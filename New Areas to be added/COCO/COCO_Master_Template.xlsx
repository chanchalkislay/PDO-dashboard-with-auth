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 Cowork\Github Copy 1 July\New Areas to be added\COCO\"/>
    </mc:Choice>
  </mc:AlternateContent>
  <xr:revisionPtr revIDLastSave="0" documentId="13_ncr:1_{1FD3560F-0864-427D-A7FD-F9537F4CBC6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CO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Q13" i="1"/>
  <c r="Q12" i="1"/>
  <c r="Q11" i="1"/>
  <c r="Q10" i="1"/>
  <c r="Q9" i="1"/>
  <c r="Q8" i="1"/>
  <c r="Q6" i="1"/>
  <c r="Q5" i="1"/>
  <c r="Q7" i="1"/>
  <c r="Q18" i="1"/>
  <c r="Q17" i="1"/>
  <c r="Q16" i="1"/>
  <c r="Q15" i="1"/>
  <c r="Q14" i="1"/>
  <c r="Q4" i="1"/>
  <c r="Q3" i="1"/>
</calcChain>
</file>

<file path=xl/sharedStrings.xml><?xml version="1.0" encoding="utf-8"?>
<sst xmlns="http://schemas.openxmlformats.org/spreadsheetml/2006/main" count="200" uniqueCount="150">
  <si>
    <t>COCO Master — Pune Divisional Office (IOCL)</t>
  </si>
  <si>
    <t>Sl No</t>
  </si>
  <si>
    <t>SAP Code</t>
  </si>
  <si>
    <t>Name of RO</t>
  </si>
  <si>
    <t>Legacy Code/s</t>
  </si>
  <si>
    <t>Legacy Names</t>
  </si>
  <si>
    <t>District</t>
  </si>
  <si>
    <t>RSA</t>
  </si>
  <si>
    <t>Permanent / Temp</t>
  </si>
  <si>
    <t>Service Provider / Adhoc Dealer Name</t>
  </si>
  <si>
    <t>Adhoc Dealer's Original RO SAP Code</t>
  </si>
  <si>
    <t>Date of Appointment</t>
  </si>
  <si>
    <t>Work Order Period (Months)</t>
  </si>
  <si>
    <t>Date of Expiry (Auto)</t>
  </si>
  <si>
    <t>354938</t>
  </si>
  <si>
    <t>ADHOC COCO Shevgaon- Triratna PETROLEUM</t>
  </si>
  <si>
    <t>372060</t>
  </si>
  <si>
    <t>Amrapur</t>
  </si>
  <si>
    <t>Ahmednagar</t>
  </si>
  <si>
    <t>Ahmednagar East RSA</t>
  </si>
  <si>
    <t>Temporary</t>
  </si>
  <si>
    <t>392222</t>
  </si>
  <si>
    <t>378277, 352674</t>
  </si>
  <si>
    <t>Shrigonda-NH</t>
  </si>
  <si>
    <t>Ahmednagar West RSA</t>
  </si>
  <si>
    <t>368608</t>
  </si>
  <si>
    <t>346004</t>
  </si>
  <si>
    <t>Astagaon</t>
  </si>
  <si>
    <t>Shirdi RSA</t>
  </si>
  <si>
    <t>386575</t>
  </si>
  <si>
    <t>Chas Nali</t>
  </si>
  <si>
    <t>D.S.BHOSALE &amp; Co</t>
  </si>
  <si>
    <t>393411</t>
  </si>
  <si>
    <t>377124, 274010</t>
  </si>
  <si>
    <t>Puntamba Phata</t>
  </si>
  <si>
    <t>383650</t>
  </si>
  <si>
    <t>275980</t>
  </si>
  <si>
    <t>Rahuri Factory LHS</t>
  </si>
  <si>
    <t>371055</t>
  </si>
  <si>
    <t>285387</t>
  </si>
  <si>
    <t>Vadgaonpan</t>
  </si>
  <si>
    <t>232661</t>
  </si>
  <si>
    <t>COCO Rajgurunagar</t>
  </si>
  <si>
    <t>Rajgurunagar Town</t>
  </si>
  <si>
    <t>Pune</t>
  </si>
  <si>
    <t>374090</t>
  </si>
  <si>
    <t>363370</t>
  </si>
  <si>
    <t>Wellesly Road</t>
  </si>
  <si>
    <t>Pune City RSA</t>
  </si>
  <si>
    <t>ADHOC Shri Krishna PETROLEUM</t>
  </si>
  <si>
    <t>379084</t>
  </si>
  <si>
    <t>355769</t>
  </si>
  <si>
    <t>Yerwada</t>
  </si>
  <si>
    <t>379095</t>
  </si>
  <si>
    <t>364204</t>
  </si>
  <si>
    <t>Ranjangaon LHS</t>
  </si>
  <si>
    <t>Pune Wagholi RSA</t>
  </si>
  <si>
    <t>ADHOC - Rushi Petro</t>
  </si>
  <si>
    <t>386713</t>
  </si>
  <si>
    <t>275207</t>
  </si>
  <si>
    <t>Lonand</t>
  </si>
  <si>
    <t>Satara</t>
  </si>
  <si>
    <t>Satara East RSA</t>
  </si>
  <si>
    <t>Bagwan PETROLEUM</t>
  </si>
  <si>
    <t>392208</t>
  </si>
  <si>
    <t>379479, 232087</t>
  </si>
  <si>
    <t>Waduj</t>
  </si>
  <si>
    <t>385847</t>
  </si>
  <si>
    <t>COCO Asale ADHOC Bavdhan Vikas PETROLEUM KSK</t>
  </si>
  <si>
    <t>374491, 361912</t>
  </si>
  <si>
    <t>Asale - Wai Road</t>
  </si>
  <si>
    <t>Satara West RSA</t>
  </si>
  <si>
    <t>Bavdhan Vikas PETROLEUM KSK</t>
  </si>
  <si>
    <t>323570</t>
  </si>
  <si>
    <t>COCO Velhe</t>
  </si>
  <si>
    <t>Khandala To Bhuinj</t>
  </si>
  <si>
    <t>386612</t>
  </si>
  <si>
    <t>344181</t>
  </si>
  <si>
    <t>Rethare</t>
  </si>
  <si>
    <t>Legend:</t>
  </si>
  <si>
    <t>Yellow cells</t>
  </si>
  <si>
    <t>Blue cells</t>
  </si>
  <si>
    <t>Perm/Temp column: 'Temporary' pre-filled where RO name contains 'ADHOC'. Please verify all entries.</t>
  </si>
  <si>
    <t>275980 Sankheshwar PETROLEUM</t>
  </si>
  <si>
    <t xml:space="preserve">COCO Wrd ADHOC 3s Service Station </t>
  </si>
  <si>
    <t>COCO Yerwada Adhoc Vilas Petroleum</t>
  </si>
  <si>
    <t>Yadav Service Station - ADHOC, Panna Moti</t>
  </si>
  <si>
    <t>COCO Chasnali ADHOC Tirupati Balaji</t>
  </si>
  <si>
    <t xml:space="preserve">COCO Vadgaon ADHOC Samarth Petro </t>
  </si>
  <si>
    <t>Permanent</t>
  </si>
  <si>
    <t>COCO Astagaon Sai Service</t>
  </si>
  <si>
    <t>Om Gurudev</t>
  </si>
  <si>
    <t>18.07.2026</t>
  </si>
  <si>
    <t>12.01.2026</t>
  </si>
  <si>
    <t xml:space="preserve">COCO Astagaon adhoc Om Gurudev Petro </t>
  </si>
  <si>
    <t>COCO Kokamthan adhoc Bhagyoday Petroleum</t>
  </si>
  <si>
    <t>Bhagyoday Petroleum</t>
  </si>
  <si>
    <t>274010 Dattaprabha PETROLEUM, Adhoc Sai Service Center</t>
  </si>
  <si>
    <t>COCO Devlali adhoc Musmade &amp; Sons</t>
  </si>
  <si>
    <t>Musmade &amp; Sons</t>
  </si>
  <si>
    <t>05.06.2026</t>
  </si>
  <si>
    <t>27.09.2025</t>
  </si>
  <si>
    <t xml:space="preserve"> COCO Chasnali Adhoc D.S.BHOSALE &amp; Co, COCO Chasnali Adhoc Aher Patil &amp; Sons 330619</t>
  </si>
  <si>
    <t>363324, 330619</t>
  </si>
  <si>
    <t xml:space="preserve">285387 ADHOC Vipul Fuel Station, </t>
  </si>
  <si>
    <t>Samrth Petroleum</t>
  </si>
  <si>
    <t>26.09.2025</t>
  </si>
  <si>
    <t>Remarks</t>
  </si>
  <si>
    <t>Site lost due to Road widening. RO doesnot exist</t>
  </si>
  <si>
    <t>Adhoc Shiv Samarth Petroleum, Adhoc Renuka Petroleum</t>
  </si>
  <si>
    <t>28.10.2025</t>
  </si>
  <si>
    <t>COCO Rathare ADHOC Shree Lakshmi Petroleum</t>
  </si>
  <si>
    <t>Shree Lakshmi Petroleum</t>
  </si>
  <si>
    <t>Shubhra Petroleum-344181</t>
  </si>
  <si>
    <t>31.12.2025</t>
  </si>
  <si>
    <t>COCO WADUJ Adhoc Shri Ram Petrol Pump</t>
  </si>
  <si>
    <t>Shri Ram Petrol Pump</t>
  </si>
  <si>
    <t>22.04.2026</t>
  </si>
  <si>
    <t>Adhoc Jagdale Petroleum,Torve Petrol Station</t>
  </si>
  <si>
    <t>COCO Balupatlachiwadi ADHOC Bachal Petroleum</t>
  </si>
  <si>
    <t>Bachal Petroleum</t>
  </si>
  <si>
    <t>22.01.2026</t>
  </si>
  <si>
    <t>COCO Ranjangaon adhoc Shree Ganesha Petroleum</t>
  </si>
  <si>
    <t>Shree Ganesh Petroleum</t>
  </si>
  <si>
    <t>Land still under possesion of Land owner, litigation going on</t>
  </si>
  <si>
    <t>Vilas Petroleum</t>
  </si>
  <si>
    <t>3S Service Station</t>
  </si>
  <si>
    <t>Adhoc Kalika Petroleum</t>
  </si>
  <si>
    <t>Triratna Petroleum</t>
  </si>
  <si>
    <t>01.11.2026</t>
  </si>
  <si>
    <t>COCO SHRIGONDA adhoc Nath Kripa Petroleum</t>
  </si>
  <si>
    <t>ADHOC AABASHRI KISAN, Adhoc Tanishka Petroleum</t>
  </si>
  <si>
    <t>Nath Kripa Petroleum</t>
  </si>
  <si>
    <t>01.04.2026</t>
  </si>
  <si>
    <t>Trading Area</t>
  </si>
  <si>
    <t>07.01.2026</t>
  </si>
  <si>
    <t>09.04.2026</t>
  </si>
  <si>
    <t>Operation</t>
  </si>
  <si>
    <t>Adhoc</t>
  </si>
  <si>
    <t>MS Trading Area Avaerage (KLPM CY)</t>
  </si>
  <si>
    <t>MS Trading Area Avaerage (KLPM last 12 months)</t>
  </si>
  <si>
    <t>HSD Trading Area Avaerage (KLPM CY)</t>
  </si>
  <si>
    <t>HSD Trading Area Avaerage (KLPM last 12 months)</t>
  </si>
  <si>
    <t>MS KLPM in preceeding 12 months brfore appointment Highest in Tradin Area</t>
  </si>
  <si>
    <t>MS Current Month</t>
  </si>
  <si>
    <t>HSD KLPM in preceeding 12 months before appointment Highest in Tradin Area</t>
  </si>
  <si>
    <t>HSD Current Month</t>
  </si>
  <si>
    <t>Buttom for view trading area in Trading Area PPT format with selection for month and period option</t>
  </si>
  <si>
    <t>MS CY till Current month</t>
  </si>
  <si>
    <t>HSD CY till current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</si>
</sst>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0"/>
      <color rgb="FFFFFFFF"/>
      <name val="Calibri"/>
    </font>
    <font>
      <sz val="10"/>
      <name val="Calibri"/>
    </font>
    <font>
      <i/>
      <sz val="10"/>
      <color rgb="FF4472C4"/>
      <name val="Calibri"/>
    </font>
    <font>
      <b/>
      <sz val="11"/>
      <name val="Calibri"/>
    </font>
    <font>
      <sz val="10"/>
      <color rgb="FF4472C4"/>
      <name val="Calibri"/>
    </font>
    <font>
      <i/>
      <sz val="9"/>
      <color rgb="FF7F7F7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5" fillId="0" borderId="0" xfId="0" applyFont="1"/>
    <xf numFmtId="0" fontId="0" fillId="5" borderId="0" xfId="0" applyFill="1"/>
    <xf numFmtId="0" fontId="3" fillId="0" borderId="0" xfId="0" applyFont="1"/>
    <xf numFmtId="0" fontId="0" fillId="6" borderId="0" xfId="0" applyFill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workbookViewId="0">
      <pane xSplit="2" ySplit="2" topLeftCell="E3" activePane="bottomRight" state="frozen"/>
      <selection pane="topRight"/>
      <selection pane="bottomLeft"/>
      <selection pane="bottomRight" activeCell="Z3" sqref="Z3"/>
    </sheetView>
  </sheetViews>
  <sheetFormatPr defaultRowHeight="14.5" x14ac:dyDescent="0.35"/>
  <cols>
    <col min="1" max="1" width="6" customWidth="1"/>
    <col min="2" max="2" width="12" customWidth="1"/>
    <col min="3" max="3" width="40" customWidth="1"/>
    <col min="4" max="4" width="16.7265625" customWidth="1"/>
    <col min="5" max="5" width="18" customWidth="1"/>
    <col min="6" max="6" width="20.81640625" customWidth="1"/>
    <col min="7" max="7" width="17.54296875" customWidth="1"/>
    <col min="8" max="8" width="14" customWidth="1"/>
    <col min="9" max="10" width="18.54296875" customWidth="1"/>
    <col min="11" max="12" width="11" customWidth="1"/>
    <col min="13" max="13" width="23.26953125" customWidth="1"/>
    <col min="14" max="14" width="22" customWidth="1"/>
    <col min="15" max="15" width="20" customWidth="1"/>
    <col min="16" max="16" width="22" customWidth="1"/>
    <col min="17" max="17" width="12.81640625" customWidth="1"/>
    <col min="18" max="18" width="10.90625" customWidth="1"/>
  </cols>
  <sheetData>
    <row r="1" spans="1:27" ht="24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27" ht="32" customHeight="1" x14ac:dyDescent="0.35">
      <c r="A2" s="1" t="s">
        <v>1</v>
      </c>
      <c r="B2" s="1" t="s">
        <v>2</v>
      </c>
      <c r="C2" s="1" t="s">
        <v>3</v>
      </c>
      <c r="D2" s="1" t="s">
        <v>107</v>
      </c>
      <c r="E2" s="1" t="s">
        <v>4</v>
      </c>
      <c r="F2" s="1" t="s">
        <v>5</v>
      </c>
      <c r="G2" s="1" t="s">
        <v>134</v>
      </c>
      <c r="H2" s="1" t="s">
        <v>6</v>
      </c>
      <c r="I2" s="1" t="s">
        <v>7</v>
      </c>
      <c r="J2" s="1" t="s">
        <v>147</v>
      </c>
      <c r="K2" s="1" t="s">
        <v>8</v>
      </c>
      <c r="L2" s="1" t="s">
        <v>137</v>
      </c>
      <c r="M2" s="1" t="s">
        <v>9</v>
      </c>
      <c r="N2" s="1" t="s">
        <v>10</v>
      </c>
      <c r="O2" s="1" t="s">
        <v>11</v>
      </c>
      <c r="P2" s="1" t="s">
        <v>12</v>
      </c>
      <c r="Q2" s="2" t="s">
        <v>13</v>
      </c>
      <c r="R2" s="17" t="s">
        <v>139</v>
      </c>
      <c r="S2" s="17" t="s">
        <v>141</v>
      </c>
      <c r="T2" s="17" t="s">
        <v>140</v>
      </c>
      <c r="U2" s="17" t="s">
        <v>142</v>
      </c>
      <c r="V2" s="17" t="s">
        <v>143</v>
      </c>
      <c r="W2" s="17" t="s">
        <v>145</v>
      </c>
      <c r="X2" s="17" t="s">
        <v>144</v>
      </c>
      <c r="Y2" s="17" t="s">
        <v>146</v>
      </c>
      <c r="Z2" s="17" t="s">
        <v>148</v>
      </c>
      <c r="AA2" s="17" t="s">
        <v>149</v>
      </c>
    </row>
    <row r="3" spans="1:27" ht="20" customHeight="1" x14ac:dyDescent="0.35">
      <c r="A3" s="3">
        <v>1</v>
      </c>
      <c r="B3" s="3" t="s">
        <v>14</v>
      </c>
      <c r="C3" s="4" t="s">
        <v>15</v>
      </c>
      <c r="D3" s="4"/>
      <c r="E3" s="4" t="s">
        <v>16</v>
      </c>
      <c r="F3" s="4" t="s">
        <v>127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138</v>
      </c>
      <c r="M3" s="4" t="s">
        <v>128</v>
      </c>
      <c r="N3" s="3">
        <v>343267</v>
      </c>
      <c r="O3" s="5" t="s">
        <v>129</v>
      </c>
      <c r="P3" s="5">
        <v>12</v>
      </c>
      <c r="Q3" s="6" t="str">
        <f>IFERROR(IF(AND(O3&lt;&gt;"",P3&lt;&gt;""),EDATE(O3,P3),"—"),"—")</f>
        <v>—</v>
      </c>
    </row>
    <row r="4" spans="1:27" ht="20" customHeight="1" x14ac:dyDescent="0.35">
      <c r="A4" s="7">
        <v>2</v>
      </c>
      <c r="B4" s="7" t="s">
        <v>21</v>
      </c>
      <c r="C4" s="8" t="s">
        <v>130</v>
      </c>
      <c r="D4" s="8"/>
      <c r="E4" s="8" t="s">
        <v>22</v>
      </c>
      <c r="F4" s="8" t="s">
        <v>131</v>
      </c>
      <c r="G4" s="7" t="s">
        <v>23</v>
      </c>
      <c r="H4" s="7" t="s">
        <v>18</v>
      </c>
      <c r="I4" s="7" t="s">
        <v>24</v>
      </c>
      <c r="J4" s="7"/>
      <c r="K4" s="7" t="s">
        <v>20</v>
      </c>
      <c r="L4" s="3" t="s">
        <v>138</v>
      </c>
      <c r="M4" s="8" t="s">
        <v>132</v>
      </c>
      <c r="N4" s="7">
        <v>381186</v>
      </c>
      <c r="O4" s="5" t="s">
        <v>133</v>
      </c>
      <c r="P4" s="5">
        <v>12</v>
      </c>
      <c r="Q4" s="6" t="str">
        <f>IFERROR(IF(AND(O4&lt;&gt;"",P4&lt;&gt;""),EDATE(O4,P4),"—"),"—")</f>
        <v>—</v>
      </c>
    </row>
    <row r="5" spans="1:27" ht="20" customHeight="1" x14ac:dyDescent="0.35">
      <c r="A5" s="3">
        <v>3</v>
      </c>
      <c r="B5" s="3" t="s">
        <v>45</v>
      </c>
      <c r="C5" s="4" t="s">
        <v>84</v>
      </c>
      <c r="D5" s="4"/>
      <c r="E5" s="4" t="s">
        <v>46</v>
      </c>
      <c r="F5" s="4" t="s">
        <v>49</v>
      </c>
      <c r="G5" s="3" t="s">
        <v>47</v>
      </c>
      <c r="H5" s="3" t="s">
        <v>44</v>
      </c>
      <c r="I5" s="3" t="s">
        <v>48</v>
      </c>
      <c r="J5" s="3"/>
      <c r="K5" s="3" t="s">
        <v>89</v>
      </c>
      <c r="L5" s="3" t="s">
        <v>138</v>
      </c>
      <c r="M5" s="4" t="s">
        <v>126</v>
      </c>
      <c r="N5" s="3">
        <v>162510</v>
      </c>
      <c r="O5" s="5" t="s">
        <v>135</v>
      </c>
      <c r="P5" s="5">
        <v>12</v>
      </c>
      <c r="Q5" s="6" t="str">
        <f>IFERROR(IF(AND(O5&lt;&gt;"",P5&lt;&gt;""),EDATE(O5,P5),"—"),"—")</f>
        <v>—</v>
      </c>
    </row>
    <row r="6" spans="1:27" ht="20" customHeight="1" x14ac:dyDescent="0.35">
      <c r="A6" s="7">
        <v>4</v>
      </c>
      <c r="B6" s="7" t="s">
        <v>50</v>
      </c>
      <c r="C6" s="8" t="s">
        <v>85</v>
      </c>
      <c r="D6" s="8"/>
      <c r="E6" s="8" t="s">
        <v>51</v>
      </c>
      <c r="F6" s="8" t="s">
        <v>86</v>
      </c>
      <c r="G6" s="7" t="s">
        <v>52</v>
      </c>
      <c r="H6" s="7" t="s">
        <v>44</v>
      </c>
      <c r="I6" s="7" t="s">
        <v>48</v>
      </c>
      <c r="J6" s="7"/>
      <c r="K6" s="7" t="s">
        <v>20</v>
      </c>
      <c r="L6" s="3" t="s">
        <v>138</v>
      </c>
      <c r="M6" s="8" t="s">
        <v>125</v>
      </c>
      <c r="N6" s="7">
        <v>312681</v>
      </c>
      <c r="O6" s="5" t="s">
        <v>136</v>
      </c>
      <c r="P6" s="5">
        <v>12</v>
      </c>
      <c r="Q6" s="6" t="str">
        <f>IFERROR(IF(AND(O6&lt;&gt;"",P6&lt;&gt;""),EDATE(O6,P6),"—"),"—")</f>
        <v>—</v>
      </c>
    </row>
    <row r="7" spans="1:27" ht="20" customHeight="1" x14ac:dyDescent="0.35">
      <c r="A7" s="3">
        <v>5</v>
      </c>
      <c r="B7" s="7" t="s">
        <v>41</v>
      </c>
      <c r="C7" s="8" t="s">
        <v>42</v>
      </c>
      <c r="D7" s="8" t="s">
        <v>124</v>
      </c>
      <c r="E7" s="8"/>
      <c r="F7" s="8"/>
      <c r="G7" s="7" t="s">
        <v>43</v>
      </c>
      <c r="H7" s="7" t="s">
        <v>44</v>
      </c>
      <c r="I7" s="7" t="s">
        <v>56</v>
      </c>
      <c r="J7" s="7"/>
      <c r="K7" s="7" t="s">
        <v>20</v>
      </c>
      <c r="L7" s="7"/>
      <c r="M7" s="8"/>
      <c r="N7" s="7"/>
      <c r="O7" s="5"/>
      <c r="P7" s="5"/>
      <c r="Q7" s="6" t="str">
        <f>IFERROR(IF(AND(O7&lt;&gt;"",P7&lt;&gt;""),EDATE(O7,P7),"—"),"—")</f>
        <v>—</v>
      </c>
    </row>
    <row r="8" spans="1:27" ht="20" customHeight="1" x14ac:dyDescent="0.35">
      <c r="A8" s="7">
        <v>6</v>
      </c>
      <c r="B8" s="3" t="s">
        <v>53</v>
      </c>
      <c r="C8" s="4" t="s">
        <v>122</v>
      </c>
      <c r="D8" s="4"/>
      <c r="E8" s="4" t="s">
        <v>54</v>
      </c>
      <c r="F8" s="4" t="s">
        <v>57</v>
      </c>
      <c r="G8" s="3" t="s">
        <v>55</v>
      </c>
      <c r="H8" s="3" t="s">
        <v>44</v>
      </c>
      <c r="I8" s="3" t="s">
        <v>56</v>
      </c>
      <c r="J8" s="3"/>
      <c r="K8" s="7" t="s">
        <v>20</v>
      </c>
      <c r="L8" s="3" t="s">
        <v>138</v>
      </c>
      <c r="M8" s="4" t="s">
        <v>123</v>
      </c>
      <c r="N8" s="3">
        <v>329224</v>
      </c>
      <c r="O8" s="5" t="s">
        <v>117</v>
      </c>
      <c r="P8" s="5">
        <v>12</v>
      </c>
      <c r="Q8" s="6" t="str">
        <f>IFERROR(IF(AND(O8&lt;&gt;"",P8&lt;&gt;""),EDATE(O8,P8),"—"),"—")</f>
        <v>—</v>
      </c>
    </row>
    <row r="9" spans="1:27" ht="20" customHeight="1" x14ac:dyDescent="0.35">
      <c r="A9" s="3">
        <v>7</v>
      </c>
      <c r="B9" s="7" t="s">
        <v>58</v>
      </c>
      <c r="C9" s="8" t="s">
        <v>119</v>
      </c>
      <c r="D9" s="8"/>
      <c r="E9" s="8" t="s">
        <v>59</v>
      </c>
      <c r="F9" s="8" t="s">
        <v>63</v>
      </c>
      <c r="G9" s="7" t="s">
        <v>60</v>
      </c>
      <c r="H9" s="7" t="s">
        <v>61</v>
      </c>
      <c r="I9" s="7" t="s">
        <v>62</v>
      </c>
      <c r="J9" s="7"/>
      <c r="K9" s="7" t="s">
        <v>20</v>
      </c>
      <c r="L9" s="3" t="s">
        <v>138</v>
      </c>
      <c r="M9" s="8" t="s">
        <v>120</v>
      </c>
      <c r="N9" s="7">
        <v>281539</v>
      </c>
      <c r="O9" s="5" t="s">
        <v>121</v>
      </c>
      <c r="P9" s="5">
        <v>12</v>
      </c>
      <c r="Q9" s="6" t="str">
        <f>IFERROR(IF(AND(O9&lt;&gt;"",P9&lt;&gt;""),EDATE(O9,P9),"—"),"—")</f>
        <v>—</v>
      </c>
    </row>
    <row r="10" spans="1:27" ht="20" customHeight="1" x14ac:dyDescent="0.35">
      <c r="A10" s="7">
        <v>8</v>
      </c>
      <c r="B10" s="3" t="s">
        <v>64</v>
      </c>
      <c r="C10" s="4" t="s">
        <v>115</v>
      </c>
      <c r="D10" s="4"/>
      <c r="E10" s="4" t="s">
        <v>65</v>
      </c>
      <c r="F10" s="4" t="s">
        <v>118</v>
      </c>
      <c r="G10" s="3" t="s">
        <v>66</v>
      </c>
      <c r="H10" s="3" t="s">
        <v>61</v>
      </c>
      <c r="I10" s="3" t="s">
        <v>62</v>
      </c>
      <c r="J10" s="3"/>
      <c r="K10" s="7" t="s">
        <v>20</v>
      </c>
      <c r="L10" s="3" t="s">
        <v>138</v>
      </c>
      <c r="M10" s="4" t="s">
        <v>116</v>
      </c>
      <c r="N10" s="3">
        <v>356681</v>
      </c>
      <c r="O10" s="5" t="s">
        <v>117</v>
      </c>
      <c r="P10" s="5">
        <v>12</v>
      </c>
      <c r="Q10" s="6" t="str">
        <f>IFERROR(IF(AND(O10&lt;&gt;"",P10&lt;&gt;""),EDATE(O10,P10),"—"),"—")</f>
        <v>—</v>
      </c>
    </row>
    <row r="11" spans="1:27" ht="20" customHeight="1" x14ac:dyDescent="0.35">
      <c r="A11" s="3">
        <v>9</v>
      </c>
      <c r="B11" s="7" t="s">
        <v>67</v>
      </c>
      <c r="C11" s="8" t="s">
        <v>68</v>
      </c>
      <c r="D11" s="8"/>
      <c r="E11" s="8" t="s">
        <v>69</v>
      </c>
      <c r="F11" s="8" t="s">
        <v>109</v>
      </c>
      <c r="G11" s="7" t="s">
        <v>70</v>
      </c>
      <c r="H11" s="7" t="s">
        <v>61</v>
      </c>
      <c r="I11" s="7" t="s">
        <v>71</v>
      </c>
      <c r="J11" s="7"/>
      <c r="K11" s="7" t="s">
        <v>20</v>
      </c>
      <c r="L11" s="3" t="s">
        <v>138</v>
      </c>
      <c r="M11" s="8" t="s">
        <v>72</v>
      </c>
      <c r="N11" s="7">
        <v>272759</v>
      </c>
      <c r="O11" s="5" t="s">
        <v>110</v>
      </c>
      <c r="P11" s="5">
        <v>12</v>
      </c>
      <c r="Q11" s="6" t="str">
        <f>IFERROR(IF(AND(O11&lt;&gt;"",P11&lt;&gt;""),EDATE(O11,P11),"—"),"—")</f>
        <v>—</v>
      </c>
    </row>
    <row r="12" spans="1:27" ht="20" customHeight="1" x14ac:dyDescent="0.35">
      <c r="A12" s="7">
        <v>10</v>
      </c>
      <c r="B12" s="3" t="s">
        <v>73</v>
      </c>
      <c r="C12" s="4" t="s">
        <v>74</v>
      </c>
      <c r="D12" s="4" t="s">
        <v>108</v>
      </c>
      <c r="E12" s="4"/>
      <c r="F12" s="4"/>
      <c r="G12" s="3" t="s">
        <v>75</v>
      </c>
      <c r="H12" s="3" t="s">
        <v>61</v>
      </c>
      <c r="I12" s="3" t="s">
        <v>71</v>
      </c>
      <c r="J12" s="3"/>
      <c r="K12" s="7" t="s">
        <v>20</v>
      </c>
      <c r="L12" s="7"/>
      <c r="M12" s="4"/>
      <c r="N12" s="3"/>
      <c r="O12" s="5"/>
      <c r="P12" s="5"/>
      <c r="Q12" s="6" t="str">
        <f>IFERROR(IF(AND(O12&lt;&gt;"",P12&lt;&gt;""),EDATE(O12,P12),"—"),"—")</f>
        <v>—</v>
      </c>
    </row>
    <row r="13" spans="1:27" ht="20" customHeight="1" x14ac:dyDescent="0.35">
      <c r="A13" s="3">
        <v>11</v>
      </c>
      <c r="B13" s="7" t="s">
        <v>76</v>
      </c>
      <c r="C13" s="8" t="s">
        <v>111</v>
      </c>
      <c r="D13" s="8"/>
      <c r="E13" s="8" t="s">
        <v>77</v>
      </c>
      <c r="F13" s="8" t="s">
        <v>113</v>
      </c>
      <c r="G13" s="7" t="s">
        <v>78</v>
      </c>
      <c r="H13" s="7" t="s">
        <v>61</v>
      </c>
      <c r="I13" s="7" t="s">
        <v>71</v>
      </c>
      <c r="J13" s="7"/>
      <c r="K13" s="7" t="s">
        <v>20</v>
      </c>
      <c r="L13" s="3" t="s">
        <v>138</v>
      </c>
      <c r="M13" s="8" t="s">
        <v>112</v>
      </c>
      <c r="N13" s="7">
        <v>352691</v>
      </c>
      <c r="O13" s="5" t="s">
        <v>114</v>
      </c>
      <c r="P13" s="5">
        <v>12</v>
      </c>
      <c r="Q13" s="6" t="str">
        <f>IFERROR(IF(AND(O13&lt;&gt;"",P13&lt;&gt;""),EDATE(O13,P13),"—"),"—")</f>
        <v>—</v>
      </c>
    </row>
    <row r="14" spans="1:27" ht="20" customHeight="1" x14ac:dyDescent="0.35">
      <c r="A14" s="7">
        <v>12</v>
      </c>
      <c r="B14" s="3" t="s">
        <v>25</v>
      </c>
      <c r="C14" s="4" t="s">
        <v>94</v>
      </c>
      <c r="D14" s="4"/>
      <c r="E14" s="4" t="s">
        <v>26</v>
      </c>
      <c r="F14" s="4" t="s">
        <v>90</v>
      </c>
      <c r="G14" s="3" t="s">
        <v>27</v>
      </c>
      <c r="H14" s="3" t="s">
        <v>18</v>
      </c>
      <c r="I14" s="3" t="s">
        <v>28</v>
      </c>
      <c r="J14" s="3"/>
      <c r="K14" s="7" t="s">
        <v>20</v>
      </c>
      <c r="L14" s="3" t="s">
        <v>138</v>
      </c>
      <c r="M14" s="4" t="s">
        <v>91</v>
      </c>
      <c r="N14" s="3">
        <v>368608</v>
      </c>
      <c r="O14" s="5" t="s">
        <v>92</v>
      </c>
      <c r="P14" s="5">
        <v>12</v>
      </c>
      <c r="Q14" s="6" t="str">
        <f>IFERROR(IF(AND(O14&lt;&gt;"",P14&lt;&gt;""),EDATE(O14,P14),"—"),"—")</f>
        <v>—</v>
      </c>
    </row>
    <row r="15" spans="1:27" ht="20" customHeight="1" x14ac:dyDescent="0.35">
      <c r="A15" s="3">
        <v>13</v>
      </c>
      <c r="B15" s="7" t="s">
        <v>29</v>
      </c>
      <c r="C15" s="8" t="s">
        <v>87</v>
      </c>
      <c r="D15" s="8"/>
      <c r="E15" s="8" t="s">
        <v>103</v>
      </c>
      <c r="F15" s="8" t="s">
        <v>102</v>
      </c>
      <c r="G15" s="7" t="s">
        <v>30</v>
      </c>
      <c r="H15" s="7" t="s">
        <v>18</v>
      </c>
      <c r="I15" s="7" t="s">
        <v>28</v>
      </c>
      <c r="J15" s="7"/>
      <c r="K15" s="7" t="s">
        <v>20</v>
      </c>
      <c r="L15" s="3" t="s">
        <v>138</v>
      </c>
      <c r="M15" s="8" t="s">
        <v>31</v>
      </c>
      <c r="N15" s="7">
        <v>126060</v>
      </c>
      <c r="O15" s="5" t="s">
        <v>93</v>
      </c>
      <c r="P15" s="5">
        <v>12</v>
      </c>
      <c r="Q15" s="6" t="str">
        <f>IFERROR(IF(AND(O15&lt;&gt;"",P15&lt;&gt;""),EDATE(O15,P15),"—"),"—")</f>
        <v>—</v>
      </c>
    </row>
    <row r="16" spans="1:27" ht="20" customHeight="1" x14ac:dyDescent="0.35">
      <c r="A16" s="7">
        <v>14</v>
      </c>
      <c r="B16" s="3" t="s">
        <v>32</v>
      </c>
      <c r="C16" s="4" t="s">
        <v>95</v>
      </c>
      <c r="D16" s="4"/>
      <c r="E16" s="4" t="s">
        <v>33</v>
      </c>
      <c r="F16" s="4" t="s">
        <v>97</v>
      </c>
      <c r="G16" s="3" t="s">
        <v>34</v>
      </c>
      <c r="H16" s="3" t="s">
        <v>18</v>
      </c>
      <c r="I16" s="3" t="s">
        <v>28</v>
      </c>
      <c r="J16" s="3"/>
      <c r="K16" s="7" t="s">
        <v>20</v>
      </c>
      <c r="L16" s="3" t="s">
        <v>138</v>
      </c>
      <c r="M16" s="4" t="s">
        <v>96</v>
      </c>
      <c r="N16" s="3">
        <v>196197</v>
      </c>
      <c r="O16" s="5" t="s">
        <v>100</v>
      </c>
      <c r="P16" s="5">
        <v>12</v>
      </c>
      <c r="Q16" s="6" t="str">
        <f>IFERROR(IF(AND(O16&lt;&gt;"",P16&lt;&gt;""),EDATE(O16,P16),"—"),"—")</f>
        <v>—</v>
      </c>
    </row>
    <row r="17" spans="1:17" ht="20" customHeight="1" x14ac:dyDescent="0.35">
      <c r="A17" s="3">
        <v>15</v>
      </c>
      <c r="B17" s="7" t="s">
        <v>35</v>
      </c>
      <c r="C17" s="8" t="s">
        <v>98</v>
      </c>
      <c r="D17" s="8"/>
      <c r="E17" s="8" t="s">
        <v>36</v>
      </c>
      <c r="F17" s="8" t="s">
        <v>83</v>
      </c>
      <c r="G17" s="7" t="s">
        <v>37</v>
      </c>
      <c r="H17" s="7" t="s">
        <v>18</v>
      </c>
      <c r="I17" s="7" t="s">
        <v>28</v>
      </c>
      <c r="J17" s="7"/>
      <c r="K17" s="7" t="s">
        <v>20</v>
      </c>
      <c r="L17" s="3" t="s">
        <v>138</v>
      </c>
      <c r="M17" s="8" t="s">
        <v>99</v>
      </c>
      <c r="N17" s="7">
        <v>126068</v>
      </c>
      <c r="O17" s="5" t="s">
        <v>101</v>
      </c>
      <c r="P17" s="5">
        <v>12</v>
      </c>
      <c r="Q17" s="6" t="str">
        <f>IFERROR(IF(AND(O17&lt;&gt;"",P17&lt;&gt;""),EDATE(O17,P17),"—"),"—")</f>
        <v>—</v>
      </c>
    </row>
    <row r="18" spans="1:17" ht="20" customHeight="1" x14ac:dyDescent="0.35">
      <c r="A18" s="7">
        <v>16</v>
      </c>
      <c r="B18" s="3" t="s">
        <v>38</v>
      </c>
      <c r="C18" s="4" t="s">
        <v>88</v>
      </c>
      <c r="D18" s="4"/>
      <c r="E18" s="4" t="s">
        <v>39</v>
      </c>
      <c r="F18" s="4" t="s">
        <v>104</v>
      </c>
      <c r="G18" s="3" t="s">
        <v>40</v>
      </c>
      <c r="H18" s="3" t="s">
        <v>18</v>
      </c>
      <c r="I18" s="3" t="s">
        <v>28</v>
      </c>
      <c r="J18" s="3"/>
      <c r="K18" s="4" t="s">
        <v>20</v>
      </c>
      <c r="L18" s="3" t="s">
        <v>138</v>
      </c>
      <c r="M18" s="4" t="s">
        <v>105</v>
      </c>
      <c r="N18" s="3">
        <v>141722</v>
      </c>
      <c r="O18" s="5" t="s">
        <v>106</v>
      </c>
      <c r="P18" s="5">
        <v>12</v>
      </c>
      <c r="Q18" s="6" t="str">
        <f>IFERROR(IF(AND(O18&lt;&gt;"",P18&lt;&gt;""),EDATE(O18,P18),"—"),"—")</f>
        <v>—</v>
      </c>
    </row>
    <row r="19" spans="1:17" x14ac:dyDescent="0.35">
      <c r="A19" s="3"/>
    </row>
    <row r="21" spans="1:17" x14ac:dyDescent="0.35">
      <c r="A21" s="9" t="s">
        <v>79</v>
      </c>
    </row>
    <row r="22" spans="1:17" x14ac:dyDescent="0.35">
      <c r="A22" s="10" t="s">
        <v>80</v>
      </c>
      <c r="B22" s="11" t="e">
        <f>User fills in</f>
        <v>#NAME?</v>
      </c>
    </row>
    <row r="23" spans="1:17" x14ac:dyDescent="0.35">
      <c r="A23" s="12" t="s">
        <v>81</v>
      </c>
      <c r="B23" s="13" t="e">
        <f>Auto-calculated by system (formula)</f>
        <v>#NAME?</v>
      </c>
    </row>
    <row r="24" spans="1:17" x14ac:dyDescent="0.35">
      <c r="A24" s="14" t="s">
        <v>82</v>
      </c>
    </row>
  </sheetData>
  <sortState xmlns:xlrd2="http://schemas.microsoft.com/office/spreadsheetml/2017/richdata2" ref="B3:Q18">
    <sortCondition ref="I3:I18"/>
  </sortState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Kislay Prasad</cp:lastModifiedBy>
  <dcterms:created xsi:type="dcterms:W3CDTF">2026-07-03T12:17:29Z</dcterms:created>
  <dcterms:modified xsi:type="dcterms:W3CDTF">2026-07-04T07:13:03Z</dcterms:modified>
</cp:coreProperties>
</file>