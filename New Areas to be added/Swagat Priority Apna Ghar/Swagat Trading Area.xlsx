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aude Cowork\Github Copy 1 July\New Areas to be added\Swagat Priority Apna Ghar\"/>
    </mc:Choice>
  </mc:AlternateContent>
  <xr:revisionPtr revIDLastSave="0" documentId="8_{42ADC7C5-A3C4-4053-8489-84BF8FA92FDC}" xr6:coauthVersionLast="47" xr6:coauthVersionMax="47" xr10:uidLastSave="{00000000-0000-0000-0000-000000000000}"/>
  <bookViews>
    <workbookView xWindow="-110" yWindow="-110" windowWidth="38620" windowHeight="21100" xr2:uid="{4C7E41FA-A9AC-4A17-A14A-95F7E288C33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" i="1" l="1"/>
  <c r="S1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E48" i="1" s="1"/>
  <c r="F48" i="1" s="1"/>
  <c r="C8" i="1"/>
  <c r="E7" i="1"/>
  <c r="D7" i="1"/>
  <c r="C7" i="1"/>
  <c r="E6" i="1"/>
  <c r="D6" i="1"/>
  <c r="C6" i="1"/>
  <c r="E5" i="1"/>
  <c r="D5" i="1"/>
  <c r="C5" i="1"/>
  <c r="E4" i="1"/>
  <c r="D4" i="1"/>
  <c r="E45" i="1" s="1"/>
  <c r="F45" i="1" s="1"/>
  <c r="C4" i="1"/>
  <c r="E3" i="1"/>
  <c r="D3" i="1"/>
  <c r="C3" i="1"/>
  <c r="E2" i="1"/>
  <c r="D2" i="1"/>
  <c r="C2" i="1"/>
  <c r="E46" i="1" l="1"/>
  <c r="F46" i="1" s="1"/>
  <c r="E47" i="1"/>
  <c r="F47" i="1" s="1"/>
  <c r="E43" i="1"/>
  <c r="E44" i="1"/>
  <c r="F44" i="1" s="1"/>
  <c r="F43" i="1" l="1"/>
  <c r="E49" i="1"/>
  <c r="F49" i="1" s="1"/>
</calcChain>
</file>

<file path=xl/sharedStrings.xml><?xml version="1.0" encoding="utf-8"?>
<sst xmlns="http://schemas.openxmlformats.org/spreadsheetml/2006/main" count="77" uniqueCount="28">
  <si>
    <t>SR#</t>
  </si>
  <si>
    <t>OMC CODE</t>
  </si>
  <si>
    <t>RETAIL OUTLET NAME</t>
  </si>
  <si>
    <t>OIL CO</t>
  </si>
  <si>
    <t>SALES AREA</t>
  </si>
  <si>
    <t>SIDE</t>
  </si>
  <si>
    <t>LHS</t>
  </si>
  <si>
    <t>RHS</t>
  </si>
  <si>
    <t>SHRI SWAMY SAMARTH AUTO TRADING AREA</t>
  </si>
  <si>
    <t>No of ROs</t>
  </si>
  <si>
    <t>RO Share</t>
  </si>
  <si>
    <t>IOCL</t>
  </si>
  <si>
    <t>BPCL</t>
  </si>
  <si>
    <t>HPCL</t>
  </si>
  <si>
    <t>NEL</t>
  </si>
  <si>
    <t>RBML</t>
  </si>
  <si>
    <t>SIMPL</t>
  </si>
  <si>
    <t>Total</t>
  </si>
  <si>
    <t>MoU (% Growth over TA Growth)</t>
  </si>
  <si>
    <t>PSU MoU (% Growth over TA Growth)</t>
  </si>
  <si>
    <t>Month +/-</t>
  </si>
  <si>
    <t>CUM.CY</t>
  </si>
  <si>
    <t>CUM.LY</t>
  </si>
  <si>
    <t>Cum +/-</t>
  </si>
  <si>
    <t>XP (KL)</t>
  </si>
  <si>
    <t>% Conv</t>
  </si>
  <si>
    <t>MAY.26</t>
  </si>
  <si>
    <t>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</si>
</sst>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4" borderId="1" xfId="0" quotePrefix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5" fontId="0" fillId="0" borderId="1" xfId="0" applyNumberFormat="1" applyBorder="1"/>
    <xf numFmtId="0" fontId="0" fillId="0" borderId="1" xfId="0" applyBorder="1"/>
    <xf numFmtId="1" fontId="0" fillId="0" borderId="1" xfId="0" applyNumberFormat="1" applyBorder="1"/>
    <xf numFmtId="165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b99294f6f6ba084/01%20Pune/00%202025/2026-27/May%202026/Sales%20Master%20-%20May26.xlsx" TargetMode="External"/><Relationship Id="rId1" Type="http://schemas.openxmlformats.org/officeDocument/2006/relationships/externalLinkPath" Target="https://d.docs.live.net/0b99294f6f6ba084/01%20Pune/00%202025/2026-27/May%202026/Sales%20Master%20-%20May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-Class"/>
      <sheetName val="C-Class"/>
      <sheetName val="D1-Class"/>
      <sheetName val="D2-Class"/>
      <sheetName val="E-Class"/>
      <sheetName val="PESO"/>
      <sheetName val="MKT SHARE"/>
      <sheetName val="MS"/>
      <sheetName val="HSD"/>
      <sheetName val="XP95"/>
      <sheetName val="XG"/>
      <sheetName val="CNG"/>
      <sheetName val="CBG"/>
      <sheetName val="IOCL"/>
      <sheetName val="BPCL"/>
      <sheetName val="HPCL"/>
      <sheetName val="NEL"/>
      <sheetName val="RBML"/>
      <sheetName val="SIMPL"/>
      <sheetName val="Master"/>
      <sheetName val="MS High Potential"/>
      <sheetName val="Transformative"/>
      <sheetName val="Apnaghar"/>
      <sheetName val="R&amp;R"/>
      <sheetName val="Resitement"/>
      <sheetName val="TAA (MS)"/>
      <sheetName val="TAA (HSD)"/>
      <sheetName val="Class of Mkt"/>
      <sheetName val="Class of Mkt PSU"/>
      <sheetName val="M-Summary"/>
      <sheetName val="CY-Summary"/>
      <sheetName val="SWAGAT"/>
      <sheetName val="Swagat TAA"/>
      <sheetName val="MS IND RSA"/>
      <sheetName val="HSD IND RSA"/>
      <sheetName val="Trend IND"/>
      <sheetName val="MS PSU RSA"/>
      <sheetName val="HSD PSU RSA"/>
      <sheetName val="Trend PSU"/>
      <sheetName val="MS IND DIST"/>
      <sheetName val="HSD IND DIST"/>
      <sheetName val="MS PSU DIST"/>
      <sheetName val="HSD PSU Dist"/>
      <sheetName val="Trend Dist"/>
      <sheetName val="XP95 IND DIST"/>
      <sheetName val="%XP95"/>
      <sheetName val="%XG"/>
      <sheetName val="Dhruva"/>
      <sheetName val="SRMP 2023"/>
      <sheetName val="Attain"/>
      <sheetName val="Xperience"/>
      <sheetName val="Lube"/>
      <sheetName val="DEF"/>
      <sheetName val="XP"/>
      <sheetName val="XP Online"/>
      <sheetName val="XP Volume"/>
      <sheetName val="LOI"/>
      <sheetName val="-ve Selling ROs"/>
      <sheetName val="Nil Selling"/>
      <sheetName val="NFR"/>
      <sheetName val="eSL5"/>
      <sheetName val="EVCS 26-27"/>
      <sheetName val="Vendor Details"/>
      <sheetName val="EVCS"/>
      <sheetName val="CPCL"/>
      <sheetName val="RO Breakup"/>
      <sheetName val="OS"/>
      <sheetName val="Corp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">
          <cell r="C3">
            <v>100107</v>
          </cell>
          <cell r="D3" t="str">
            <v>A.R. DOSHI</v>
          </cell>
          <cell r="E3" t="str">
            <v>BPCL</v>
          </cell>
          <cell r="G3" t="str">
            <v>Ahmednagar West RSA</v>
          </cell>
          <cell r="J3" t="str">
            <v>Rashin</v>
          </cell>
          <cell r="K3" t="str">
            <v>Ahmednagar</v>
          </cell>
          <cell r="L3" t="str">
            <v>D2</v>
          </cell>
          <cell r="O3" t="str">
            <v>A</v>
          </cell>
          <cell r="P3">
            <v>100</v>
          </cell>
          <cell r="Q3">
            <v>240</v>
          </cell>
          <cell r="R3">
            <v>105</v>
          </cell>
          <cell r="S3">
            <v>275</v>
          </cell>
          <cell r="T3">
            <v>-5</v>
          </cell>
          <cell r="U3">
            <v>-35</v>
          </cell>
          <cell r="V3">
            <v>197</v>
          </cell>
          <cell r="W3">
            <v>497</v>
          </cell>
          <cell r="X3">
            <v>205</v>
          </cell>
          <cell r="Y3">
            <v>555</v>
          </cell>
          <cell r="Z3">
            <v>-8</v>
          </cell>
          <cell r="AA3">
            <v>-58</v>
          </cell>
          <cell r="AB3">
            <v>340</v>
          </cell>
          <cell r="AC3">
            <v>380</v>
          </cell>
          <cell r="AD3">
            <v>-40</v>
          </cell>
          <cell r="AE3">
            <v>694</v>
          </cell>
          <cell r="AF3">
            <v>760</v>
          </cell>
          <cell r="AG3">
            <v>-66</v>
          </cell>
        </row>
        <row r="4">
          <cell r="C4">
            <v>100108</v>
          </cell>
          <cell r="D4" t="str">
            <v>ADARSH AUTOMOBILES</v>
          </cell>
          <cell r="E4" t="str">
            <v>BPCL</v>
          </cell>
          <cell r="G4" t="str">
            <v>Pune City RSA</v>
          </cell>
          <cell r="J4" t="str">
            <v>VADGAON SHERI</v>
          </cell>
          <cell r="K4" t="str">
            <v>Pune</v>
          </cell>
          <cell r="L4" t="str">
            <v>A</v>
          </cell>
          <cell r="O4" t="str">
            <v>B</v>
          </cell>
          <cell r="P4">
            <v>462</v>
          </cell>
          <cell r="Q4">
            <v>214</v>
          </cell>
          <cell r="R4">
            <v>415</v>
          </cell>
          <cell r="S4">
            <v>252</v>
          </cell>
          <cell r="T4">
            <v>47</v>
          </cell>
          <cell r="U4">
            <v>-38</v>
          </cell>
          <cell r="V4">
            <v>950</v>
          </cell>
          <cell r="W4">
            <v>452</v>
          </cell>
          <cell r="X4">
            <v>783</v>
          </cell>
          <cell r="Y4">
            <v>473</v>
          </cell>
          <cell r="Z4">
            <v>167</v>
          </cell>
          <cell r="AA4">
            <v>-21</v>
          </cell>
          <cell r="AB4">
            <v>676</v>
          </cell>
          <cell r="AC4">
            <v>667</v>
          </cell>
          <cell r="AD4">
            <v>9</v>
          </cell>
          <cell r="AE4">
            <v>1402</v>
          </cell>
          <cell r="AF4">
            <v>1256</v>
          </cell>
          <cell r="AG4">
            <v>146</v>
          </cell>
        </row>
        <row r="5">
          <cell r="C5">
            <v>100110</v>
          </cell>
          <cell r="D5" t="str">
            <v>ALFA SERVICE STATION, NAIGAON (HSD)</v>
          </cell>
          <cell r="E5" t="str">
            <v>BPCL</v>
          </cell>
          <cell r="G5" t="str">
            <v>Pune Hadapsar RSA</v>
          </cell>
          <cell r="J5" t="str">
            <v>Urlikanchan LHS</v>
          </cell>
          <cell r="K5" t="str">
            <v>Pune</v>
          </cell>
          <cell r="L5" t="str">
            <v>D1</v>
          </cell>
          <cell r="M5" t="str">
            <v>NH-65</v>
          </cell>
          <cell r="O5" t="str">
            <v>A</v>
          </cell>
          <cell r="P5">
            <v>0</v>
          </cell>
          <cell r="Q5">
            <v>784</v>
          </cell>
          <cell r="R5">
            <v>0</v>
          </cell>
          <cell r="S5">
            <v>672</v>
          </cell>
          <cell r="T5">
            <v>0</v>
          </cell>
          <cell r="U5">
            <v>112</v>
          </cell>
          <cell r="V5">
            <v>0</v>
          </cell>
          <cell r="W5">
            <v>1448</v>
          </cell>
          <cell r="X5">
            <v>0</v>
          </cell>
          <cell r="Y5">
            <v>1288</v>
          </cell>
          <cell r="Z5">
            <v>0</v>
          </cell>
          <cell r="AA5">
            <v>160</v>
          </cell>
          <cell r="AB5">
            <v>784</v>
          </cell>
          <cell r="AC5">
            <v>672</v>
          </cell>
          <cell r="AD5">
            <v>112</v>
          </cell>
          <cell r="AE5">
            <v>1448</v>
          </cell>
          <cell r="AF5">
            <v>1288</v>
          </cell>
          <cell r="AG5">
            <v>160</v>
          </cell>
        </row>
        <row r="6">
          <cell r="C6">
            <v>100111</v>
          </cell>
          <cell r="D6" t="str">
            <v>ALFA SERVICE STATION, (MS)</v>
          </cell>
          <cell r="E6" t="str">
            <v>BPCL</v>
          </cell>
          <cell r="G6" t="str">
            <v>Pune City RSA</v>
          </cell>
          <cell r="J6" t="str">
            <v>BOPODI/DAPODI/KIRKEE/WAKDEWADI</v>
          </cell>
          <cell r="K6" t="str">
            <v>Pune</v>
          </cell>
          <cell r="L6" t="str">
            <v>A</v>
          </cell>
          <cell r="O6" t="str">
            <v>A</v>
          </cell>
          <cell r="P6">
            <v>178</v>
          </cell>
          <cell r="Q6">
            <v>0</v>
          </cell>
          <cell r="R6">
            <v>156</v>
          </cell>
          <cell r="S6">
            <v>0</v>
          </cell>
          <cell r="T6">
            <v>22</v>
          </cell>
          <cell r="U6">
            <v>0</v>
          </cell>
          <cell r="V6">
            <v>346</v>
          </cell>
          <cell r="W6">
            <v>0</v>
          </cell>
          <cell r="X6">
            <v>324</v>
          </cell>
          <cell r="Y6">
            <v>0</v>
          </cell>
          <cell r="Z6">
            <v>22</v>
          </cell>
          <cell r="AA6">
            <v>0</v>
          </cell>
          <cell r="AB6">
            <v>178</v>
          </cell>
          <cell r="AC6">
            <v>156</v>
          </cell>
          <cell r="AD6">
            <v>22</v>
          </cell>
          <cell r="AE6">
            <v>346</v>
          </cell>
          <cell r="AF6">
            <v>324</v>
          </cell>
          <cell r="AG6">
            <v>22</v>
          </cell>
        </row>
        <row r="7">
          <cell r="C7">
            <v>100112</v>
          </cell>
          <cell r="D7" t="str">
            <v>AMIT SERVICE CENTRE</v>
          </cell>
          <cell r="E7" t="str">
            <v>BPCL</v>
          </cell>
          <cell r="G7" t="str">
            <v>Pune Tathawade RSA</v>
          </cell>
          <cell r="J7" t="str">
            <v>BHOR</v>
          </cell>
          <cell r="K7" t="str">
            <v>Pune</v>
          </cell>
          <cell r="L7" t="str">
            <v>D1</v>
          </cell>
          <cell r="M7" t="str">
            <v>NH-965DD</v>
          </cell>
          <cell r="O7" t="str">
            <v>A</v>
          </cell>
          <cell r="P7">
            <v>126</v>
          </cell>
          <cell r="Q7">
            <v>238</v>
          </cell>
          <cell r="R7">
            <v>87</v>
          </cell>
          <cell r="S7">
            <v>177</v>
          </cell>
          <cell r="T7">
            <v>39</v>
          </cell>
          <cell r="U7">
            <v>61</v>
          </cell>
          <cell r="V7">
            <v>230</v>
          </cell>
          <cell r="W7">
            <v>442</v>
          </cell>
          <cell r="X7">
            <v>156</v>
          </cell>
          <cell r="Y7">
            <v>348</v>
          </cell>
          <cell r="Z7">
            <v>74</v>
          </cell>
          <cell r="AA7">
            <v>94</v>
          </cell>
          <cell r="AB7">
            <v>364</v>
          </cell>
          <cell r="AC7">
            <v>264</v>
          </cell>
          <cell r="AD7">
            <v>100</v>
          </cell>
          <cell r="AE7">
            <v>672</v>
          </cell>
          <cell r="AF7">
            <v>504</v>
          </cell>
          <cell r="AG7">
            <v>168</v>
          </cell>
        </row>
        <row r="8">
          <cell r="C8">
            <v>100113</v>
          </cell>
          <cell r="D8" t="str">
            <v>ANANT OIL AGENCY</v>
          </cell>
          <cell r="E8" t="str">
            <v>BPCL</v>
          </cell>
          <cell r="G8" t="str">
            <v>Shirdi RSA</v>
          </cell>
          <cell r="J8" t="str">
            <v>RAHURI NH</v>
          </cell>
          <cell r="K8" t="str">
            <v>Ahmednagar</v>
          </cell>
          <cell r="L8" t="str">
            <v>D1</v>
          </cell>
          <cell r="M8" t="str">
            <v>NH-160</v>
          </cell>
          <cell r="O8" t="str">
            <v>A</v>
          </cell>
          <cell r="P8">
            <v>129</v>
          </cell>
          <cell r="Q8">
            <v>123</v>
          </cell>
          <cell r="R8">
            <v>135</v>
          </cell>
          <cell r="S8">
            <v>117</v>
          </cell>
          <cell r="T8">
            <v>-6</v>
          </cell>
          <cell r="U8">
            <v>6</v>
          </cell>
          <cell r="V8">
            <v>243</v>
          </cell>
          <cell r="W8">
            <v>237</v>
          </cell>
          <cell r="X8">
            <v>261</v>
          </cell>
          <cell r="Y8">
            <v>231</v>
          </cell>
          <cell r="Z8">
            <v>-18</v>
          </cell>
          <cell r="AA8">
            <v>6</v>
          </cell>
          <cell r="AB8">
            <v>252</v>
          </cell>
          <cell r="AC8">
            <v>252</v>
          </cell>
          <cell r="AD8">
            <v>0</v>
          </cell>
          <cell r="AE8">
            <v>480</v>
          </cell>
          <cell r="AF8">
            <v>492</v>
          </cell>
          <cell r="AG8">
            <v>-12</v>
          </cell>
        </row>
        <row r="9">
          <cell r="C9">
            <v>100114</v>
          </cell>
          <cell r="D9" t="str">
            <v>ASHISH PETROLEUM</v>
          </cell>
          <cell r="E9" t="str">
            <v>BPCL</v>
          </cell>
          <cell r="G9" t="str">
            <v>Pune Tathawade RSA</v>
          </cell>
          <cell r="J9" t="str">
            <v>MORGAON</v>
          </cell>
          <cell r="K9" t="str">
            <v>Pune</v>
          </cell>
          <cell r="L9" t="str">
            <v>D1</v>
          </cell>
          <cell r="M9" t="str">
            <v>NH-965D</v>
          </cell>
          <cell r="O9" t="str">
            <v>B</v>
          </cell>
          <cell r="P9">
            <v>42</v>
          </cell>
          <cell r="Q9">
            <v>174</v>
          </cell>
          <cell r="R9">
            <v>39</v>
          </cell>
          <cell r="S9">
            <v>141</v>
          </cell>
          <cell r="T9">
            <v>3</v>
          </cell>
          <cell r="U9">
            <v>33</v>
          </cell>
          <cell r="V9">
            <v>81</v>
          </cell>
          <cell r="W9">
            <v>315</v>
          </cell>
          <cell r="X9">
            <v>84</v>
          </cell>
          <cell r="Y9">
            <v>312</v>
          </cell>
          <cell r="Z9">
            <v>-3</v>
          </cell>
          <cell r="AA9">
            <v>3</v>
          </cell>
          <cell r="AB9">
            <v>216</v>
          </cell>
          <cell r="AC9">
            <v>180</v>
          </cell>
          <cell r="AD9">
            <v>36</v>
          </cell>
          <cell r="AE9">
            <v>396</v>
          </cell>
          <cell r="AF9">
            <v>396</v>
          </cell>
          <cell r="AG9">
            <v>0</v>
          </cell>
        </row>
        <row r="10">
          <cell r="C10">
            <v>100116</v>
          </cell>
          <cell r="D10" t="str">
            <v>ASHOK PETROLEUM</v>
          </cell>
          <cell r="E10" t="str">
            <v>BPCL</v>
          </cell>
          <cell r="G10" t="str">
            <v>Pune Hadapsar RSA</v>
          </cell>
          <cell r="J10" t="str">
            <v>Yawat RHS</v>
          </cell>
          <cell r="K10" t="str">
            <v>Pune</v>
          </cell>
          <cell r="L10" t="str">
            <v>D1</v>
          </cell>
          <cell r="M10" t="str">
            <v>NH-65</v>
          </cell>
          <cell r="O10" t="str">
            <v>A</v>
          </cell>
          <cell r="P10">
            <v>94</v>
          </cell>
          <cell r="Q10">
            <v>155</v>
          </cell>
          <cell r="R10">
            <v>91</v>
          </cell>
          <cell r="S10">
            <v>119</v>
          </cell>
          <cell r="T10">
            <v>3</v>
          </cell>
          <cell r="U10">
            <v>36</v>
          </cell>
          <cell r="V10">
            <v>180</v>
          </cell>
          <cell r="W10">
            <v>289</v>
          </cell>
          <cell r="X10">
            <v>187</v>
          </cell>
          <cell r="Y10">
            <v>250</v>
          </cell>
          <cell r="Z10">
            <v>-7</v>
          </cell>
          <cell r="AA10">
            <v>39</v>
          </cell>
          <cell r="AB10">
            <v>249</v>
          </cell>
          <cell r="AC10">
            <v>210</v>
          </cell>
          <cell r="AD10">
            <v>39</v>
          </cell>
          <cell r="AE10">
            <v>469</v>
          </cell>
          <cell r="AF10">
            <v>437</v>
          </cell>
          <cell r="AG10">
            <v>32</v>
          </cell>
        </row>
        <row r="11">
          <cell r="C11">
            <v>100118</v>
          </cell>
          <cell r="D11" t="str">
            <v>DESHMUKH PETROLEUM(Bhapkar Petroleum)</v>
          </cell>
          <cell r="E11" t="str">
            <v>BPCL</v>
          </cell>
          <cell r="G11" t="str">
            <v>Pune City RSA</v>
          </cell>
          <cell r="J11" t="str">
            <v>SATARA ROAD</v>
          </cell>
          <cell r="K11" t="str">
            <v>Pune</v>
          </cell>
          <cell r="L11" t="str">
            <v>A</v>
          </cell>
          <cell r="O11" t="str">
            <v>A</v>
          </cell>
          <cell r="P11">
            <v>383</v>
          </cell>
          <cell r="Q11">
            <v>133</v>
          </cell>
          <cell r="R11">
            <v>331</v>
          </cell>
          <cell r="S11">
            <v>118</v>
          </cell>
          <cell r="T11">
            <v>52</v>
          </cell>
          <cell r="U11">
            <v>15</v>
          </cell>
          <cell r="V11">
            <v>770</v>
          </cell>
          <cell r="W11">
            <v>264</v>
          </cell>
          <cell r="X11">
            <v>610</v>
          </cell>
          <cell r="Y11">
            <v>216</v>
          </cell>
          <cell r="Z11">
            <v>160</v>
          </cell>
          <cell r="AA11">
            <v>48</v>
          </cell>
          <cell r="AB11">
            <v>516</v>
          </cell>
          <cell r="AC11">
            <v>449</v>
          </cell>
          <cell r="AD11">
            <v>67</v>
          </cell>
          <cell r="AE11">
            <v>1034</v>
          </cell>
          <cell r="AF11">
            <v>826</v>
          </cell>
          <cell r="AG11">
            <v>208</v>
          </cell>
        </row>
        <row r="12">
          <cell r="C12">
            <v>100119</v>
          </cell>
          <cell r="D12" t="str">
            <v>BHARAT PETROL DEPOT</v>
          </cell>
          <cell r="E12" t="str">
            <v>BPCL</v>
          </cell>
          <cell r="G12" t="str">
            <v>Pune City RSA</v>
          </cell>
          <cell r="J12" t="str">
            <v>DANDEKAR CHOWK/NAVIPETH</v>
          </cell>
          <cell r="K12" t="str">
            <v>Pune</v>
          </cell>
          <cell r="L12" t="str">
            <v>A</v>
          </cell>
          <cell r="O12" t="str">
            <v>A</v>
          </cell>
          <cell r="P12">
            <v>575</v>
          </cell>
          <cell r="Q12">
            <v>250</v>
          </cell>
          <cell r="R12">
            <v>555</v>
          </cell>
          <cell r="S12">
            <v>205</v>
          </cell>
          <cell r="T12">
            <v>20</v>
          </cell>
          <cell r="U12">
            <v>45</v>
          </cell>
          <cell r="V12">
            <v>1135</v>
          </cell>
          <cell r="W12">
            <v>465</v>
          </cell>
          <cell r="X12">
            <v>1105</v>
          </cell>
          <cell r="Y12">
            <v>395</v>
          </cell>
          <cell r="Z12">
            <v>30</v>
          </cell>
          <cell r="AA12">
            <v>70</v>
          </cell>
          <cell r="AB12">
            <v>825</v>
          </cell>
          <cell r="AC12">
            <v>760</v>
          </cell>
          <cell r="AD12">
            <v>65</v>
          </cell>
          <cell r="AE12">
            <v>1600</v>
          </cell>
          <cell r="AF12">
            <v>1500</v>
          </cell>
          <cell r="AG12">
            <v>100</v>
          </cell>
        </row>
        <row r="13">
          <cell r="C13">
            <v>100120</v>
          </cell>
          <cell r="D13" t="str">
            <v>BHARAT PETROL DEPOT</v>
          </cell>
          <cell r="E13" t="str">
            <v>BPCL</v>
          </cell>
          <cell r="G13" t="str">
            <v>Pune City RSA</v>
          </cell>
          <cell r="J13" t="str">
            <v>SWARGATE</v>
          </cell>
          <cell r="K13" t="str">
            <v>Pune</v>
          </cell>
          <cell r="L13" t="str">
            <v>A</v>
          </cell>
          <cell r="O13" t="str">
            <v>A</v>
          </cell>
          <cell r="P13">
            <v>304</v>
          </cell>
          <cell r="Q13">
            <v>136</v>
          </cell>
          <cell r="R13">
            <v>284</v>
          </cell>
          <cell r="S13">
            <v>112</v>
          </cell>
          <cell r="T13">
            <v>20</v>
          </cell>
          <cell r="U13">
            <v>24</v>
          </cell>
          <cell r="V13">
            <v>584</v>
          </cell>
          <cell r="W13">
            <v>252</v>
          </cell>
          <cell r="X13">
            <v>596</v>
          </cell>
          <cell r="Y13">
            <v>240</v>
          </cell>
          <cell r="Z13">
            <v>-12</v>
          </cell>
          <cell r="AA13">
            <v>12</v>
          </cell>
          <cell r="AB13">
            <v>440</v>
          </cell>
          <cell r="AC13">
            <v>396</v>
          </cell>
          <cell r="AD13">
            <v>44</v>
          </cell>
          <cell r="AE13">
            <v>836</v>
          </cell>
          <cell r="AF13">
            <v>836</v>
          </cell>
          <cell r="AG13">
            <v>0</v>
          </cell>
        </row>
        <row r="14">
          <cell r="C14">
            <v>100121</v>
          </cell>
          <cell r="D14" t="str">
            <v>BHAGWATI VSK</v>
          </cell>
          <cell r="E14" t="str">
            <v>BPCL</v>
          </cell>
          <cell r="G14" t="str">
            <v>Shirdi RSA</v>
          </cell>
          <cell r="J14" t="str">
            <v>KOLHAR</v>
          </cell>
          <cell r="K14" t="str">
            <v>Ahmednagar</v>
          </cell>
          <cell r="L14" t="str">
            <v>D1</v>
          </cell>
          <cell r="M14" t="str">
            <v>NH-160</v>
          </cell>
          <cell r="O14" t="str">
            <v>B</v>
          </cell>
          <cell r="P14">
            <v>0</v>
          </cell>
          <cell r="Q14">
            <v>0</v>
          </cell>
          <cell r="R14">
            <v>6</v>
          </cell>
          <cell r="S14">
            <v>6</v>
          </cell>
          <cell r="T14">
            <v>-6</v>
          </cell>
          <cell r="U14">
            <v>-6</v>
          </cell>
          <cell r="V14">
            <v>0</v>
          </cell>
          <cell r="W14">
            <v>0</v>
          </cell>
          <cell r="X14">
            <v>9</v>
          </cell>
          <cell r="Y14">
            <v>15</v>
          </cell>
          <cell r="Z14">
            <v>-9</v>
          </cell>
          <cell r="AA14">
            <v>-15</v>
          </cell>
          <cell r="AB14">
            <v>0</v>
          </cell>
          <cell r="AC14">
            <v>12</v>
          </cell>
          <cell r="AD14">
            <v>-12</v>
          </cell>
          <cell r="AE14">
            <v>0</v>
          </cell>
          <cell r="AF14">
            <v>24</v>
          </cell>
          <cell r="AG14">
            <v>-24</v>
          </cell>
        </row>
        <row r="15">
          <cell r="C15">
            <v>100123</v>
          </cell>
          <cell r="D15" t="str">
            <v>BRIGHT STAR SERVICES</v>
          </cell>
          <cell r="E15" t="str">
            <v>BPCL</v>
          </cell>
          <cell r="G15" t="str">
            <v>Pune City RSA</v>
          </cell>
          <cell r="J15" t="str">
            <v>GPO</v>
          </cell>
          <cell r="K15" t="str">
            <v>Pune</v>
          </cell>
          <cell r="L15" t="str">
            <v>A</v>
          </cell>
          <cell r="O15" t="str">
            <v>A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</row>
        <row r="16">
          <cell r="C16">
            <v>100124</v>
          </cell>
          <cell r="D16" t="str">
            <v>RAJENDRA FUEL CENTRE</v>
          </cell>
          <cell r="E16" t="str">
            <v>BPCL</v>
          </cell>
          <cell r="G16" t="str">
            <v>Pune Hadapsar RSA</v>
          </cell>
          <cell r="J16" t="str">
            <v>Loni LHS</v>
          </cell>
          <cell r="K16" t="str">
            <v>Pune</v>
          </cell>
          <cell r="L16" t="str">
            <v>D1</v>
          </cell>
          <cell r="M16" t="str">
            <v>NH-65</v>
          </cell>
          <cell r="O16" t="str">
            <v>A</v>
          </cell>
          <cell r="P16">
            <v>130</v>
          </cell>
          <cell r="Q16">
            <v>727</v>
          </cell>
          <cell r="R16">
            <v>127</v>
          </cell>
          <cell r="S16">
            <v>533</v>
          </cell>
          <cell r="T16">
            <v>3</v>
          </cell>
          <cell r="U16">
            <v>194</v>
          </cell>
          <cell r="V16">
            <v>245</v>
          </cell>
          <cell r="W16">
            <v>1392</v>
          </cell>
          <cell r="X16">
            <v>235</v>
          </cell>
          <cell r="Y16">
            <v>1148</v>
          </cell>
          <cell r="Z16">
            <v>10</v>
          </cell>
          <cell r="AA16">
            <v>244</v>
          </cell>
          <cell r="AB16">
            <v>857</v>
          </cell>
          <cell r="AC16">
            <v>660</v>
          </cell>
          <cell r="AD16">
            <v>197</v>
          </cell>
          <cell r="AE16">
            <v>1637</v>
          </cell>
          <cell r="AF16">
            <v>1383</v>
          </cell>
          <cell r="AG16">
            <v>254</v>
          </cell>
        </row>
        <row r="17">
          <cell r="C17">
            <v>100125</v>
          </cell>
          <cell r="D17" t="str">
            <v>D. G. MUTHA</v>
          </cell>
          <cell r="E17" t="str">
            <v>BPCL</v>
          </cell>
          <cell r="G17" t="str">
            <v>Pune Wagholi RSA</v>
          </cell>
          <cell r="J17" t="str">
            <v>Shirur</v>
          </cell>
          <cell r="K17" t="str">
            <v>Pune</v>
          </cell>
          <cell r="L17" t="str">
            <v>C</v>
          </cell>
          <cell r="O17" t="str">
            <v>A</v>
          </cell>
          <cell r="P17">
            <v>80</v>
          </cell>
          <cell r="Q17">
            <v>88</v>
          </cell>
          <cell r="R17">
            <v>60</v>
          </cell>
          <cell r="S17">
            <v>60</v>
          </cell>
          <cell r="T17">
            <v>20</v>
          </cell>
          <cell r="U17">
            <v>28</v>
          </cell>
          <cell r="V17">
            <v>144</v>
          </cell>
          <cell r="W17">
            <v>144</v>
          </cell>
          <cell r="X17">
            <v>116</v>
          </cell>
          <cell r="Y17">
            <v>112</v>
          </cell>
          <cell r="Z17">
            <v>28</v>
          </cell>
          <cell r="AA17">
            <v>32</v>
          </cell>
          <cell r="AB17">
            <v>168</v>
          </cell>
          <cell r="AC17">
            <v>120</v>
          </cell>
          <cell r="AD17">
            <v>48</v>
          </cell>
          <cell r="AE17">
            <v>288</v>
          </cell>
          <cell r="AF17">
            <v>228</v>
          </cell>
          <cell r="AG17">
            <v>60</v>
          </cell>
        </row>
        <row r="18">
          <cell r="C18">
            <v>100126</v>
          </cell>
          <cell r="D18" t="str">
            <v>DATTA AUTOMOBILES</v>
          </cell>
          <cell r="E18" t="str">
            <v>BPCL</v>
          </cell>
          <cell r="G18" t="str">
            <v>Pune Tathawade RSA</v>
          </cell>
          <cell r="J18" t="str">
            <v>JAMBHULWADI TO KHED SHIVAPUR</v>
          </cell>
          <cell r="K18" t="str">
            <v>Pune</v>
          </cell>
          <cell r="L18" t="str">
            <v>D1</v>
          </cell>
          <cell r="M18" t="str">
            <v>NH-48</v>
          </cell>
          <cell r="O18" t="str">
            <v>B</v>
          </cell>
          <cell r="P18">
            <v>85</v>
          </cell>
          <cell r="Q18">
            <v>355</v>
          </cell>
          <cell r="R18">
            <v>105</v>
          </cell>
          <cell r="S18">
            <v>315</v>
          </cell>
          <cell r="T18">
            <v>-20</v>
          </cell>
          <cell r="U18">
            <v>40</v>
          </cell>
          <cell r="V18">
            <v>155</v>
          </cell>
          <cell r="W18">
            <v>645</v>
          </cell>
          <cell r="X18">
            <v>193.5</v>
          </cell>
          <cell r="Y18">
            <v>595.5</v>
          </cell>
          <cell r="Z18">
            <v>-38.5</v>
          </cell>
          <cell r="AA18">
            <v>49.5</v>
          </cell>
          <cell r="AB18">
            <v>440</v>
          </cell>
          <cell r="AC18">
            <v>420</v>
          </cell>
          <cell r="AD18">
            <v>20</v>
          </cell>
          <cell r="AE18">
            <v>800</v>
          </cell>
          <cell r="AF18">
            <v>789</v>
          </cell>
          <cell r="AG18">
            <v>11</v>
          </cell>
        </row>
        <row r="19">
          <cell r="C19">
            <v>100130</v>
          </cell>
          <cell r="D19" t="str">
            <v>FAMOUS AUTO CENTRE</v>
          </cell>
          <cell r="E19" t="str">
            <v>BPCL</v>
          </cell>
          <cell r="G19" t="str">
            <v>Pune City RSA</v>
          </cell>
          <cell r="J19" t="str">
            <v>FC ROAD</v>
          </cell>
          <cell r="K19" t="str">
            <v>Pune</v>
          </cell>
          <cell r="L19" t="str">
            <v>A</v>
          </cell>
          <cell r="O19" t="str">
            <v>A</v>
          </cell>
          <cell r="P19">
            <v>255</v>
          </cell>
          <cell r="Q19">
            <v>75</v>
          </cell>
          <cell r="R19">
            <v>274</v>
          </cell>
          <cell r="S19">
            <v>100</v>
          </cell>
          <cell r="T19">
            <v>-19</v>
          </cell>
          <cell r="U19">
            <v>-25</v>
          </cell>
          <cell r="V19">
            <v>517</v>
          </cell>
          <cell r="W19">
            <v>143</v>
          </cell>
          <cell r="X19">
            <v>573</v>
          </cell>
          <cell r="Y19">
            <v>217</v>
          </cell>
          <cell r="Z19">
            <v>-56</v>
          </cell>
          <cell r="AA19">
            <v>-74</v>
          </cell>
          <cell r="AB19">
            <v>330</v>
          </cell>
          <cell r="AC19">
            <v>374</v>
          </cell>
          <cell r="AD19">
            <v>-44</v>
          </cell>
          <cell r="AE19">
            <v>660</v>
          </cell>
          <cell r="AF19">
            <v>790</v>
          </cell>
          <cell r="AG19">
            <v>-130</v>
          </cell>
        </row>
        <row r="20">
          <cell r="C20">
            <v>100132</v>
          </cell>
          <cell r="D20" t="str">
            <v>HARIKISON AUTO</v>
          </cell>
          <cell r="E20" t="str">
            <v>BPCL</v>
          </cell>
          <cell r="G20" t="str">
            <v>Ahmednagar East RSA</v>
          </cell>
          <cell r="J20" t="str">
            <v>Nagar city</v>
          </cell>
          <cell r="K20" t="str">
            <v>Ahmednagar</v>
          </cell>
          <cell r="L20" t="str">
            <v>D1</v>
          </cell>
          <cell r="M20" t="str">
            <v>NH-753F</v>
          </cell>
          <cell r="O20" t="str">
            <v>B</v>
          </cell>
          <cell r="P20">
            <v>233</v>
          </cell>
          <cell r="Q20">
            <v>153</v>
          </cell>
          <cell r="R20">
            <v>200</v>
          </cell>
          <cell r="S20">
            <v>120</v>
          </cell>
          <cell r="T20">
            <v>33</v>
          </cell>
          <cell r="U20">
            <v>33</v>
          </cell>
          <cell r="V20">
            <v>480</v>
          </cell>
          <cell r="W20">
            <v>262</v>
          </cell>
          <cell r="X20">
            <v>395</v>
          </cell>
          <cell r="Y20">
            <v>225</v>
          </cell>
          <cell r="Z20">
            <v>85</v>
          </cell>
          <cell r="AA20">
            <v>37</v>
          </cell>
          <cell r="AB20">
            <v>386</v>
          </cell>
          <cell r="AC20">
            <v>320</v>
          </cell>
          <cell r="AD20">
            <v>66</v>
          </cell>
          <cell r="AE20">
            <v>742</v>
          </cell>
          <cell r="AF20">
            <v>620</v>
          </cell>
          <cell r="AG20">
            <v>122</v>
          </cell>
        </row>
        <row r="21">
          <cell r="C21">
            <v>100133</v>
          </cell>
          <cell r="D21" t="str">
            <v>HUTATMA RAJGURU SERVICES</v>
          </cell>
          <cell r="E21" t="str">
            <v>BPCL</v>
          </cell>
          <cell r="G21" t="str">
            <v>Pimpri Chinchwad RSA</v>
          </cell>
          <cell r="J21" t="str">
            <v>chakan to rajgurunagar LHS</v>
          </cell>
          <cell r="K21" t="str">
            <v>Pune</v>
          </cell>
          <cell r="L21" t="str">
            <v>D1</v>
          </cell>
          <cell r="M21" t="str">
            <v>NH-60</v>
          </cell>
          <cell r="O21" t="str">
            <v>A</v>
          </cell>
          <cell r="P21">
            <v>42</v>
          </cell>
          <cell r="Q21">
            <v>594</v>
          </cell>
          <cell r="R21">
            <v>47</v>
          </cell>
          <cell r="S21">
            <v>813</v>
          </cell>
          <cell r="T21">
            <v>-5</v>
          </cell>
          <cell r="U21">
            <v>-219</v>
          </cell>
          <cell r="V21">
            <v>96</v>
          </cell>
          <cell r="W21">
            <v>1268</v>
          </cell>
          <cell r="X21">
            <v>107</v>
          </cell>
          <cell r="Y21">
            <v>1577</v>
          </cell>
          <cell r="Z21">
            <v>-11</v>
          </cell>
          <cell r="AA21">
            <v>-309</v>
          </cell>
          <cell r="AB21">
            <v>636</v>
          </cell>
          <cell r="AC21">
            <v>860</v>
          </cell>
          <cell r="AD21">
            <v>-224</v>
          </cell>
          <cell r="AE21">
            <v>1364</v>
          </cell>
          <cell r="AF21">
            <v>1684</v>
          </cell>
          <cell r="AG21">
            <v>-320</v>
          </cell>
        </row>
        <row r="22">
          <cell r="C22">
            <v>100134</v>
          </cell>
          <cell r="D22" t="str">
            <v>JAIHIND HIGHWAY SERVICE STATION</v>
          </cell>
          <cell r="E22" t="str">
            <v>BPCL</v>
          </cell>
          <cell r="G22" t="str">
            <v>Pune City RSA</v>
          </cell>
          <cell r="J22" t="str">
            <v>Pimpri</v>
          </cell>
          <cell r="K22" t="str">
            <v>Pune</v>
          </cell>
          <cell r="L22" t="str">
            <v>A</v>
          </cell>
          <cell r="O22" t="str">
            <v>A</v>
          </cell>
          <cell r="P22">
            <v>420</v>
          </cell>
          <cell r="Q22">
            <v>539</v>
          </cell>
          <cell r="R22">
            <v>400</v>
          </cell>
          <cell r="S22">
            <v>496</v>
          </cell>
          <cell r="T22">
            <v>20</v>
          </cell>
          <cell r="U22">
            <v>43</v>
          </cell>
          <cell r="V22">
            <v>755</v>
          </cell>
          <cell r="W22">
            <v>1053</v>
          </cell>
          <cell r="X22">
            <v>810</v>
          </cell>
          <cell r="Y22">
            <v>1006</v>
          </cell>
          <cell r="Z22">
            <v>-55</v>
          </cell>
          <cell r="AA22">
            <v>47</v>
          </cell>
          <cell r="AB22">
            <v>959</v>
          </cell>
          <cell r="AC22">
            <v>896</v>
          </cell>
          <cell r="AD22">
            <v>63</v>
          </cell>
          <cell r="AE22">
            <v>1808</v>
          </cell>
          <cell r="AF22">
            <v>1816</v>
          </cell>
          <cell r="AG22">
            <v>-8</v>
          </cell>
        </row>
        <row r="23">
          <cell r="C23">
            <v>100135</v>
          </cell>
          <cell r="D23" t="str">
            <v>JANATA AUTOMOBILES</v>
          </cell>
          <cell r="E23" t="str">
            <v>BPCL</v>
          </cell>
          <cell r="G23" t="str">
            <v>Pune City RSA</v>
          </cell>
          <cell r="J23" t="str">
            <v>MOLEDINA ROAD/E STREET</v>
          </cell>
          <cell r="K23" t="str">
            <v>Pune</v>
          </cell>
          <cell r="L23" t="str">
            <v>A</v>
          </cell>
          <cell r="O23" t="str">
            <v>A</v>
          </cell>
          <cell r="P23">
            <v>112</v>
          </cell>
          <cell r="Q23">
            <v>0</v>
          </cell>
          <cell r="R23">
            <v>144</v>
          </cell>
          <cell r="S23">
            <v>0</v>
          </cell>
          <cell r="T23">
            <v>-32</v>
          </cell>
          <cell r="U23">
            <v>0</v>
          </cell>
          <cell r="V23">
            <v>236</v>
          </cell>
          <cell r="W23">
            <v>0</v>
          </cell>
          <cell r="X23">
            <v>300</v>
          </cell>
          <cell r="Y23">
            <v>0</v>
          </cell>
          <cell r="Z23">
            <v>-64</v>
          </cell>
          <cell r="AA23">
            <v>0</v>
          </cell>
          <cell r="AB23">
            <v>112</v>
          </cell>
          <cell r="AC23">
            <v>144</v>
          </cell>
          <cell r="AD23">
            <v>-32</v>
          </cell>
          <cell r="AE23">
            <v>236</v>
          </cell>
          <cell r="AF23">
            <v>300</v>
          </cell>
          <cell r="AG23">
            <v>-64</v>
          </cell>
        </row>
        <row r="24">
          <cell r="C24">
            <v>100136</v>
          </cell>
          <cell r="D24" t="str">
            <v xml:space="preserve">GHUMATKAR PETROLEUM </v>
          </cell>
          <cell r="E24" t="str">
            <v>BPCL</v>
          </cell>
          <cell r="G24" t="str">
            <v>Pimpri Chinchwad RSA</v>
          </cell>
          <cell r="J24" t="str">
            <v>Rajgurunagar Town</v>
          </cell>
          <cell r="K24" t="str">
            <v>Pune</v>
          </cell>
          <cell r="L24" t="str">
            <v>C</v>
          </cell>
          <cell r="O24" t="str">
            <v>A</v>
          </cell>
          <cell r="P24">
            <v>60</v>
          </cell>
          <cell r="Q24">
            <v>0</v>
          </cell>
          <cell r="R24">
            <v>55</v>
          </cell>
          <cell r="S24">
            <v>0</v>
          </cell>
          <cell r="T24">
            <v>5</v>
          </cell>
          <cell r="U24">
            <v>0</v>
          </cell>
          <cell r="V24">
            <v>105</v>
          </cell>
          <cell r="W24">
            <v>0</v>
          </cell>
          <cell r="X24">
            <v>105</v>
          </cell>
          <cell r="Y24">
            <v>0</v>
          </cell>
          <cell r="Z24">
            <v>0</v>
          </cell>
          <cell r="AA24">
            <v>0</v>
          </cell>
          <cell r="AB24">
            <v>60</v>
          </cell>
          <cell r="AC24">
            <v>55</v>
          </cell>
          <cell r="AD24">
            <v>5</v>
          </cell>
          <cell r="AE24">
            <v>105</v>
          </cell>
          <cell r="AF24">
            <v>105</v>
          </cell>
          <cell r="AG24">
            <v>0</v>
          </cell>
        </row>
        <row r="25">
          <cell r="C25">
            <v>100137</v>
          </cell>
          <cell r="D25" t="str">
            <v>KB LAHOTI &amp; CO</v>
          </cell>
          <cell r="E25" t="str">
            <v>BPCL</v>
          </cell>
          <cell r="G25" t="str">
            <v>Shirdi RSA</v>
          </cell>
          <cell r="J25" t="str">
            <v>DILLI NAKA SANGAMNER</v>
          </cell>
          <cell r="K25" t="str">
            <v>Ahmednagar</v>
          </cell>
          <cell r="L25" t="str">
            <v>C</v>
          </cell>
          <cell r="O25" t="str">
            <v>B</v>
          </cell>
          <cell r="P25">
            <v>72</v>
          </cell>
          <cell r="Q25">
            <v>156</v>
          </cell>
          <cell r="R25">
            <v>42</v>
          </cell>
          <cell r="S25">
            <v>174</v>
          </cell>
          <cell r="T25">
            <v>30</v>
          </cell>
          <cell r="U25">
            <v>-18</v>
          </cell>
          <cell r="V25">
            <v>120</v>
          </cell>
          <cell r="W25">
            <v>288</v>
          </cell>
          <cell r="X25">
            <v>87</v>
          </cell>
          <cell r="Y25">
            <v>309</v>
          </cell>
          <cell r="Z25">
            <v>33</v>
          </cell>
          <cell r="AA25">
            <v>-21</v>
          </cell>
          <cell r="AB25">
            <v>228</v>
          </cell>
          <cell r="AC25">
            <v>216</v>
          </cell>
          <cell r="AD25">
            <v>12</v>
          </cell>
          <cell r="AE25">
            <v>408</v>
          </cell>
          <cell r="AF25">
            <v>396</v>
          </cell>
          <cell r="AG25">
            <v>12</v>
          </cell>
        </row>
        <row r="26">
          <cell r="C26">
            <v>100139</v>
          </cell>
          <cell r="D26" t="str">
            <v>KANCHAN SERVICE STATION</v>
          </cell>
          <cell r="E26" t="str">
            <v>BPCL</v>
          </cell>
          <cell r="G26" t="str">
            <v>Pune City RSA</v>
          </cell>
          <cell r="J26" t="str">
            <v>MOLEDINA ROAD/E STREET</v>
          </cell>
          <cell r="K26" t="str">
            <v>Pune</v>
          </cell>
          <cell r="L26" t="str">
            <v>A</v>
          </cell>
          <cell r="O26" t="str">
            <v>A</v>
          </cell>
          <cell r="P26">
            <v>152</v>
          </cell>
          <cell r="Q26">
            <v>0</v>
          </cell>
          <cell r="R26">
            <v>144</v>
          </cell>
          <cell r="S26">
            <v>0</v>
          </cell>
          <cell r="T26">
            <v>8</v>
          </cell>
          <cell r="U26">
            <v>0</v>
          </cell>
          <cell r="V26">
            <v>316</v>
          </cell>
          <cell r="W26">
            <v>0</v>
          </cell>
          <cell r="X26">
            <v>308</v>
          </cell>
          <cell r="Y26">
            <v>0</v>
          </cell>
          <cell r="Z26">
            <v>8</v>
          </cell>
          <cell r="AA26">
            <v>0</v>
          </cell>
          <cell r="AB26">
            <v>152</v>
          </cell>
          <cell r="AC26">
            <v>144</v>
          </cell>
          <cell r="AD26">
            <v>8</v>
          </cell>
          <cell r="AE26">
            <v>316</v>
          </cell>
          <cell r="AF26">
            <v>308</v>
          </cell>
          <cell r="AG26">
            <v>8</v>
          </cell>
        </row>
        <row r="27">
          <cell r="C27">
            <v>100140</v>
          </cell>
          <cell r="D27" t="str">
            <v>KHED SHIVAPUR AUTOMOBILES(Closed)</v>
          </cell>
          <cell r="E27" t="str">
            <v>BPCL</v>
          </cell>
          <cell r="G27" t="str">
            <v>Pune Tathawade RSA</v>
          </cell>
          <cell r="J27" t="str">
            <v>KHED SHIVAPUR TO JAMBHULWADI</v>
          </cell>
          <cell r="K27" t="str">
            <v>Pune</v>
          </cell>
          <cell r="L27" t="str">
            <v>D1</v>
          </cell>
          <cell r="M27" t="str">
            <v>NH-48</v>
          </cell>
          <cell r="O27" t="str">
            <v>B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C28">
            <v>100143</v>
          </cell>
          <cell r="D28" t="str">
            <v>MANEKCHAND &amp; SONS</v>
          </cell>
          <cell r="E28" t="str">
            <v>BPCL</v>
          </cell>
          <cell r="G28" t="str">
            <v>Ahmednagar East RSA</v>
          </cell>
          <cell r="J28" t="str">
            <v>Nagar city</v>
          </cell>
          <cell r="K28" t="str">
            <v>Ahmednagar</v>
          </cell>
          <cell r="L28" t="str">
            <v>D1</v>
          </cell>
          <cell r="M28" t="str">
            <v>NH-753F</v>
          </cell>
          <cell r="O28" t="str">
            <v>A</v>
          </cell>
          <cell r="P28">
            <v>101</v>
          </cell>
          <cell r="Q28">
            <v>35</v>
          </cell>
          <cell r="R28">
            <v>105</v>
          </cell>
          <cell r="S28">
            <v>35</v>
          </cell>
          <cell r="T28">
            <v>-4</v>
          </cell>
          <cell r="U28">
            <v>0</v>
          </cell>
          <cell r="V28">
            <v>215</v>
          </cell>
          <cell r="W28">
            <v>65</v>
          </cell>
          <cell r="X28">
            <v>213</v>
          </cell>
          <cell r="Y28">
            <v>64</v>
          </cell>
          <cell r="Z28">
            <v>2</v>
          </cell>
          <cell r="AA28">
            <v>1</v>
          </cell>
          <cell r="AB28">
            <v>136</v>
          </cell>
          <cell r="AC28">
            <v>140</v>
          </cell>
          <cell r="AD28">
            <v>-4</v>
          </cell>
          <cell r="AE28">
            <v>280</v>
          </cell>
          <cell r="AF28">
            <v>277</v>
          </cell>
          <cell r="AG28">
            <v>3</v>
          </cell>
        </row>
        <row r="29">
          <cell r="C29">
            <v>100144</v>
          </cell>
          <cell r="D29" t="str">
            <v>MEHROFI TRADERS</v>
          </cell>
          <cell r="E29" t="str">
            <v>BPCL</v>
          </cell>
          <cell r="G29" t="str">
            <v>Pune City RSA</v>
          </cell>
          <cell r="J29" t="str">
            <v>GANESH KHIND ROAD</v>
          </cell>
          <cell r="K29" t="str">
            <v>Pune</v>
          </cell>
          <cell r="L29" t="str">
            <v>A</v>
          </cell>
          <cell r="O29" t="str">
            <v>A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C30">
            <v>100146</v>
          </cell>
          <cell r="D30" t="str">
            <v>MOHANISH AUTO CENTRE</v>
          </cell>
          <cell r="E30" t="str">
            <v>BPCL</v>
          </cell>
          <cell r="G30" t="str">
            <v>Pune City RSA</v>
          </cell>
          <cell r="J30" t="str">
            <v xml:space="preserve">PUNE RTO </v>
          </cell>
          <cell r="K30" t="str">
            <v>Pune</v>
          </cell>
          <cell r="L30" t="str">
            <v>A</v>
          </cell>
          <cell r="O30" t="str">
            <v>A</v>
          </cell>
          <cell r="P30">
            <v>338</v>
          </cell>
          <cell r="Q30">
            <v>80</v>
          </cell>
          <cell r="R30">
            <v>316</v>
          </cell>
          <cell r="S30">
            <v>83</v>
          </cell>
          <cell r="T30">
            <v>22</v>
          </cell>
          <cell r="U30">
            <v>-3</v>
          </cell>
          <cell r="V30">
            <v>665</v>
          </cell>
          <cell r="W30">
            <v>155</v>
          </cell>
          <cell r="X30">
            <v>618</v>
          </cell>
          <cell r="Y30">
            <v>161</v>
          </cell>
          <cell r="Z30">
            <v>47</v>
          </cell>
          <cell r="AA30">
            <v>-6</v>
          </cell>
          <cell r="AB30">
            <v>418</v>
          </cell>
          <cell r="AC30">
            <v>399</v>
          </cell>
          <cell r="AD30">
            <v>19</v>
          </cell>
          <cell r="AE30">
            <v>820</v>
          </cell>
          <cell r="AF30">
            <v>779</v>
          </cell>
          <cell r="AG30">
            <v>41</v>
          </cell>
        </row>
        <row r="31">
          <cell r="C31">
            <v>100147</v>
          </cell>
          <cell r="D31" t="str">
            <v>N. M. MANKAR</v>
          </cell>
          <cell r="E31" t="str">
            <v>BPCL</v>
          </cell>
          <cell r="G31" t="str">
            <v>Pune City RSA</v>
          </cell>
          <cell r="J31" t="str">
            <v>BOPODI/DAPODI/KIRKEE/WAKDEWADI</v>
          </cell>
          <cell r="K31" t="str">
            <v>Pune</v>
          </cell>
          <cell r="L31" t="str">
            <v>A</v>
          </cell>
          <cell r="O31" t="str">
            <v>A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C32">
            <v>100148</v>
          </cell>
          <cell r="D32" t="str">
            <v>NAGAPUR AUTO</v>
          </cell>
          <cell r="E32" t="str">
            <v>BPCL</v>
          </cell>
          <cell r="G32" t="str">
            <v>Ahmednagar East RSA</v>
          </cell>
          <cell r="J32" t="str">
            <v>MIDC Nagapur</v>
          </cell>
          <cell r="K32" t="str">
            <v>Ahmednagar</v>
          </cell>
          <cell r="L32" t="str">
            <v>D2</v>
          </cell>
          <cell r="O32" t="str">
            <v>B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C33">
            <v>100149</v>
          </cell>
          <cell r="D33" t="str">
            <v>NUSSERWAN PETROL SERVICE STATION</v>
          </cell>
          <cell r="E33" t="str">
            <v>BPCL</v>
          </cell>
          <cell r="G33" t="str">
            <v>Pune City RSA</v>
          </cell>
          <cell r="J33" t="str">
            <v>SATARA ROAD</v>
          </cell>
          <cell r="K33" t="str">
            <v>Pune</v>
          </cell>
          <cell r="L33" t="str">
            <v>A</v>
          </cell>
          <cell r="O33" t="str">
            <v>A</v>
          </cell>
          <cell r="P33">
            <v>505</v>
          </cell>
          <cell r="Q33">
            <v>135</v>
          </cell>
          <cell r="R33">
            <v>425</v>
          </cell>
          <cell r="S33">
            <v>104</v>
          </cell>
          <cell r="T33">
            <v>80</v>
          </cell>
          <cell r="U33">
            <v>31</v>
          </cell>
          <cell r="V33">
            <v>1005</v>
          </cell>
          <cell r="W33">
            <v>255</v>
          </cell>
          <cell r="X33">
            <v>849</v>
          </cell>
          <cell r="Y33">
            <v>212</v>
          </cell>
          <cell r="Z33">
            <v>156</v>
          </cell>
          <cell r="AA33">
            <v>43</v>
          </cell>
          <cell r="AB33">
            <v>640</v>
          </cell>
          <cell r="AC33">
            <v>529</v>
          </cell>
          <cell r="AD33">
            <v>111</v>
          </cell>
          <cell r="AE33">
            <v>1260</v>
          </cell>
          <cell r="AF33">
            <v>1061</v>
          </cell>
          <cell r="AG33">
            <v>199</v>
          </cell>
        </row>
        <row r="34">
          <cell r="C34">
            <v>100150</v>
          </cell>
          <cell r="D34" t="str">
            <v>OZA BROS TOWN ROAD</v>
          </cell>
          <cell r="E34" t="str">
            <v>BPCL</v>
          </cell>
          <cell r="G34" t="str">
            <v>Shirdi RSA</v>
          </cell>
          <cell r="J34" t="str">
            <v>SHRIRAMPUR TOWN</v>
          </cell>
          <cell r="K34" t="str">
            <v>Ahmednagar</v>
          </cell>
          <cell r="L34" t="str">
            <v>C</v>
          </cell>
          <cell r="O34" t="str">
            <v>B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C35">
            <v>100151</v>
          </cell>
          <cell r="D35" t="str">
            <v>OZA BROS S'NER ROAD</v>
          </cell>
          <cell r="E35" t="str">
            <v>BPCL</v>
          </cell>
          <cell r="G35" t="str">
            <v>Shirdi RSA</v>
          </cell>
          <cell r="J35" t="str">
            <v>SHRIRAMPUR TOWN</v>
          </cell>
          <cell r="K35" t="str">
            <v>Ahmednagar</v>
          </cell>
          <cell r="L35" t="str">
            <v>D2</v>
          </cell>
          <cell r="O35" t="str">
            <v>B</v>
          </cell>
          <cell r="P35">
            <v>170</v>
          </cell>
          <cell r="Q35">
            <v>150</v>
          </cell>
          <cell r="R35">
            <v>141</v>
          </cell>
          <cell r="S35">
            <v>141</v>
          </cell>
          <cell r="T35">
            <v>29</v>
          </cell>
          <cell r="U35">
            <v>9</v>
          </cell>
          <cell r="V35">
            <v>325</v>
          </cell>
          <cell r="W35">
            <v>275</v>
          </cell>
          <cell r="X35">
            <v>273</v>
          </cell>
          <cell r="Y35">
            <v>269</v>
          </cell>
          <cell r="Z35">
            <v>52</v>
          </cell>
          <cell r="AA35">
            <v>6</v>
          </cell>
          <cell r="AB35">
            <v>320</v>
          </cell>
          <cell r="AC35">
            <v>282</v>
          </cell>
          <cell r="AD35">
            <v>38</v>
          </cell>
          <cell r="AE35">
            <v>600</v>
          </cell>
          <cell r="AF35">
            <v>542</v>
          </cell>
          <cell r="AG35">
            <v>58</v>
          </cell>
        </row>
        <row r="36">
          <cell r="C36">
            <v>100153</v>
          </cell>
          <cell r="D36" t="str">
            <v>PREMCHAND LAXMICHAND &amp; SONS,KEDGAON</v>
          </cell>
          <cell r="E36" t="str">
            <v>BPCL</v>
          </cell>
          <cell r="G36" t="str">
            <v>Pune Hadapsar RSA</v>
          </cell>
          <cell r="J36" t="str">
            <v>Varvand RHS</v>
          </cell>
          <cell r="K36" t="str">
            <v>Pune</v>
          </cell>
          <cell r="L36" t="str">
            <v>D1</v>
          </cell>
          <cell r="M36" t="str">
            <v>NH-65</v>
          </cell>
          <cell r="O36" t="str">
            <v>A</v>
          </cell>
          <cell r="P36">
            <v>80</v>
          </cell>
          <cell r="Q36">
            <v>260</v>
          </cell>
          <cell r="R36">
            <v>77</v>
          </cell>
          <cell r="S36">
            <v>207</v>
          </cell>
          <cell r="T36">
            <v>3</v>
          </cell>
          <cell r="U36">
            <v>53</v>
          </cell>
          <cell r="V36">
            <v>145</v>
          </cell>
          <cell r="W36">
            <v>475</v>
          </cell>
          <cell r="X36">
            <v>142</v>
          </cell>
          <cell r="Y36">
            <v>422</v>
          </cell>
          <cell r="Z36">
            <v>3</v>
          </cell>
          <cell r="AA36">
            <v>53</v>
          </cell>
          <cell r="AB36">
            <v>340</v>
          </cell>
          <cell r="AC36">
            <v>284</v>
          </cell>
          <cell r="AD36">
            <v>56</v>
          </cell>
          <cell r="AE36">
            <v>620</v>
          </cell>
          <cell r="AF36">
            <v>564</v>
          </cell>
          <cell r="AG36">
            <v>56</v>
          </cell>
        </row>
        <row r="37">
          <cell r="C37">
            <v>100154</v>
          </cell>
          <cell r="D37" t="str">
            <v>PREMCHAND LAXMICHAND &amp; SONS, DAUND</v>
          </cell>
          <cell r="E37" t="str">
            <v>BPCL</v>
          </cell>
          <cell r="G37" t="str">
            <v>Pune Hadapsar RSA</v>
          </cell>
          <cell r="J37" t="str">
            <v>Daund-City</v>
          </cell>
          <cell r="K37" t="str">
            <v>Pune</v>
          </cell>
          <cell r="L37" t="str">
            <v>C</v>
          </cell>
          <cell r="O37" t="str">
            <v>A</v>
          </cell>
          <cell r="P37">
            <v>0</v>
          </cell>
          <cell r="Q37">
            <v>0</v>
          </cell>
          <cell r="R37">
            <v>9</v>
          </cell>
          <cell r="S37">
            <v>3</v>
          </cell>
          <cell r="T37">
            <v>-9</v>
          </cell>
          <cell r="U37">
            <v>-3</v>
          </cell>
          <cell r="V37">
            <v>0</v>
          </cell>
          <cell r="W37">
            <v>0</v>
          </cell>
          <cell r="X37">
            <v>27</v>
          </cell>
          <cell r="Y37">
            <v>9</v>
          </cell>
          <cell r="Z37">
            <v>-27</v>
          </cell>
          <cell r="AA37">
            <v>-9</v>
          </cell>
          <cell r="AB37">
            <v>0</v>
          </cell>
          <cell r="AC37">
            <v>12</v>
          </cell>
          <cell r="AD37">
            <v>-12</v>
          </cell>
          <cell r="AE37">
            <v>0</v>
          </cell>
          <cell r="AF37">
            <v>36</v>
          </cell>
          <cell r="AG37">
            <v>-36</v>
          </cell>
        </row>
        <row r="38">
          <cell r="C38">
            <v>100157</v>
          </cell>
          <cell r="D38" t="str">
            <v>PREMIER SUPPLY CO.</v>
          </cell>
          <cell r="E38" t="str">
            <v>BPCL</v>
          </cell>
          <cell r="G38" t="str">
            <v>Pune City RSA</v>
          </cell>
          <cell r="J38" t="str">
            <v>NATUBAUG</v>
          </cell>
          <cell r="K38" t="str">
            <v>Pune</v>
          </cell>
          <cell r="L38" t="str">
            <v>A</v>
          </cell>
          <cell r="O38" t="str">
            <v>A</v>
          </cell>
          <cell r="P38">
            <v>366</v>
          </cell>
          <cell r="Q38">
            <v>102</v>
          </cell>
          <cell r="R38">
            <v>387.000001</v>
          </cell>
          <cell r="S38">
            <v>117</v>
          </cell>
          <cell r="T38">
            <v>-21.000000999999997</v>
          </cell>
          <cell r="U38">
            <v>-15</v>
          </cell>
          <cell r="V38">
            <v>726</v>
          </cell>
          <cell r="W38">
            <v>198</v>
          </cell>
          <cell r="X38">
            <v>775.500001</v>
          </cell>
          <cell r="Y38">
            <v>226.5</v>
          </cell>
          <cell r="Z38">
            <v>-49.500000999999997</v>
          </cell>
          <cell r="AA38">
            <v>-28.5</v>
          </cell>
          <cell r="AB38">
            <v>468</v>
          </cell>
          <cell r="AC38">
            <v>504.000001</v>
          </cell>
          <cell r="AD38">
            <v>-36.000000999999997</v>
          </cell>
          <cell r="AE38">
            <v>924</v>
          </cell>
          <cell r="AF38">
            <v>1002.000001</v>
          </cell>
          <cell r="AG38">
            <v>-78.000000999999997</v>
          </cell>
        </row>
        <row r="39">
          <cell r="C39">
            <v>100160</v>
          </cell>
          <cell r="D39" t="str">
            <v>RELIABLE PETROLEUM</v>
          </cell>
          <cell r="E39" t="str">
            <v>BPCL</v>
          </cell>
          <cell r="G39" t="str">
            <v>Pune Hadapsar RSA</v>
          </cell>
          <cell r="J39" t="str">
            <v>Yawat LHS</v>
          </cell>
          <cell r="K39" t="str">
            <v>Pune</v>
          </cell>
          <cell r="L39" t="str">
            <v>D1</v>
          </cell>
          <cell r="M39" t="str">
            <v>NH-65</v>
          </cell>
          <cell r="O39" t="str">
            <v>A</v>
          </cell>
          <cell r="P39">
            <v>55</v>
          </cell>
          <cell r="Q39">
            <v>385</v>
          </cell>
          <cell r="R39">
            <v>50</v>
          </cell>
          <cell r="S39">
            <v>330</v>
          </cell>
          <cell r="T39">
            <v>5</v>
          </cell>
          <cell r="U39">
            <v>55</v>
          </cell>
          <cell r="V39">
            <v>90</v>
          </cell>
          <cell r="W39">
            <v>750</v>
          </cell>
          <cell r="X39">
            <v>90</v>
          </cell>
          <cell r="Y39">
            <v>650</v>
          </cell>
          <cell r="Z39">
            <v>0</v>
          </cell>
          <cell r="AA39">
            <v>100</v>
          </cell>
          <cell r="AB39">
            <v>440</v>
          </cell>
          <cell r="AC39">
            <v>380</v>
          </cell>
          <cell r="AD39">
            <v>60</v>
          </cell>
          <cell r="AE39">
            <v>840</v>
          </cell>
          <cell r="AF39">
            <v>740</v>
          </cell>
          <cell r="AG39">
            <v>100</v>
          </cell>
        </row>
        <row r="40">
          <cell r="C40">
            <v>100161</v>
          </cell>
          <cell r="D40" t="str">
            <v>ROSHANI SERVICES</v>
          </cell>
          <cell r="E40" t="str">
            <v>BPCL</v>
          </cell>
          <cell r="G40" t="str">
            <v>Pune City RSA</v>
          </cell>
          <cell r="J40" t="str">
            <v>KOREGAON PARK</v>
          </cell>
          <cell r="K40" t="str">
            <v>Pune</v>
          </cell>
          <cell r="L40" t="str">
            <v>A</v>
          </cell>
          <cell r="O40" t="str">
            <v>A</v>
          </cell>
          <cell r="P40">
            <v>522.5</v>
          </cell>
          <cell r="Q40">
            <v>211.5</v>
          </cell>
          <cell r="R40">
            <v>488.500001</v>
          </cell>
          <cell r="S40">
            <v>191.5</v>
          </cell>
          <cell r="T40">
            <v>33.999999000000003</v>
          </cell>
          <cell r="U40">
            <v>20</v>
          </cell>
          <cell r="V40">
            <v>1026</v>
          </cell>
          <cell r="W40">
            <v>419</v>
          </cell>
          <cell r="X40">
            <v>981.500001</v>
          </cell>
          <cell r="Y40">
            <v>386.5</v>
          </cell>
          <cell r="Z40">
            <v>44.499999000000003</v>
          </cell>
          <cell r="AA40">
            <v>32.5</v>
          </cell>
          <cell r="AB40">
            <v>734</v>
          </cell>
          <cell r="AC40">
            <v>680.000001</v>
          </cell>
          <cell r="AD40">
            <v>53.999999000000003</v>
          </cell>
          <cell r="AE40">
            <v>1445</v>
          </cell>
          <cell r="AF40">
            <v>1368.0000009999999</v>
          </cell>
          <cell r="AG40">
            <v>76.999999000000116</v>
          </cell>
        </row>
        <row r="41">
          <cell r="C41">
            <v>100162</v>
          </cell>
          <cell r="D41" t="str">
            <v>S. G. DATE &amp; CO.</v>
          </cell>
          <cell r="E41" t="str">
            <v>BPCL</v>
          </cell>
          <cell r="G41" t="str">
            <v>Pune Tathawade RSA</v>
          </cell>
          <cell r="J41" t="str">
            <v>BARAMATI TOWN ON UNDEWADI ROAD</v>
          </cell>
          <cell r="K41" t="str">
            <v>Pune</v>
          </cell>
          <cell r="L41" t="str">
            <v>D1</v>
          </cell>
          <cell r="M41" t="str">
            <v>NH-160</v>
          </cell>
          <cell r="O41" t="str">
            <v>A</v>
          </cell>
          <cell r="P41">
            <v>56</v>
          </cell>
          <cell r="Q41">
            <v>52</v>
          </cell>
          <cell r="R41">
            <v>52</v>
          </cell>
          <cell r="S41">
            <v>80</v>
          </cell>
          <cell r="T41">
            <v>4</v>
          </cell>
          <cell r="U41">
            <v>-28</v>
          </cell>
          <cell r="V41">
            <v>112</v>
          </cell>
          <cell r="W41">
            <v>104</v>
          </cell>
          <cell r="X41">
            <v>112</v>
          </cell>
          <cell r="Y41">
            <v>164</v>
          </cell>
          <cell r="Z41">
            <v>0</v>
          </cell>
          <cell r="AA41">
            <v>-60</v>
          </cell>
          <cell r="AB41">
            <v>108</v>
          </cell>
          <cell r="AC41">
            <v>132</v>
          </cell>
          <cell r="AD41">
            <v>-24</v>
          </cell>
          <cell r="AE41">
            <v>216</v>
          </cell>
          <cell r="AF41">
            <v>276</v>
          </cell>
          <cell r="AG41">
            <v>-60</v>
          </cell>
        </row>
        <row r="42">
          <cell r="C42">
            <v>100163</v>
          </cell>
          <cell r="D42" t="str">
            <v>SHREE SADGURU SERVICE STATION</v>
          </cell>
          <cell r="E42" t="str">
            <v>BPCL</v>
          </cell>
          <cell r="G42" t="str">
            <v>Pune City RSA</v>
          </cell>
          <cell r="J42" t="str">
            <v>J M ROAD</v>
          </cell>
          <cell r="K42" t="str">
            <v>Pune</v>
          </cell>
          <cell r="L42" t="str">
            <v>A</v>
          </cell>
          <cell r="O42" t="str">
            <v>A</v>
          </cell>
          <cell r="P42">
            <v>249</v>
          </cell>
          <cell r="Q42">
            <v>70</v>
          </cell>
          <cell r="R42">
            <v>162</v>
          </cell>
          <cell r="S42">
            <v>48</v>
          </cell>
          <cell r="T42">
            <v>87</v>
          </cell>
          <cell r="U42">
            <v>22</v>
          </cell>
          <cell r="V42">
            <v>501</v>
          </cell>
          <cell r="W42">
            <v>140</v>
          </cell>
          <cell r="X42">
            <v>281</v>
          </cell>
          <cell r="Y42">
            <v>69</v>
          </cell>
          <cell r="Z42">
            <v>220</v>
          </cell>
          <cell r="AA42">
            <v>71</v>
          </cell>
          <cell r="AB42">
            <v>319</v>
          </cell>
          <cell r="AC42">
            <v>210</v>
          </cell>
          <cell r="AD42">
            <v>109</v>
          </cell>
          <cell r="AE42">
            <v>641</v>
          </cell>
          <cell r="AF42">
            <v>350</v>
          </cell>
          <cell r="AG42">
            <v>291</v>
          </cell>
        </row>
        <row r="43">
          <cell r="C43">
            <v>100164</v>
          </cell>
          <cell r="D43" t="str">
            <v>SARASWATI AUTO SERVICES</v>
          </cell>
          <cell r="E43" t="str">
            <v>BPCL</v>
          </cell>
          <cell r="G43" t="str">
            <v>Pune City RSA</v>
          </cell>
          <cell r="J43" t="str">
            <v>SHANKARSETH ROAD</v>
          </cell>
          <cell r="K43" t="str">
            <v>Pune</v>
          </cell>
          <cell r="L43" t="str">
            <v>A</v>
          </cell>
          <cell r="O43" t="str">
            <v>A</v>
          </cell>
          <cell r="P43">
            <v>260</v>
          </cell>
          <cell r="Q43">
            <v>140</v>
          </cell>
          <cell r="R43">
            <v>255</v>
          </cell>
          <cell r="S43">
            <v>85</v>
          </cell>
          <cell r="T43">
            <v>5</v>
          </cell>
          <cell r="U43">
            <v>55</v>
          </cell>
          <cell r="V43">
            <v>490</v>
          </cell>
          <cell r="W43">
            <v>270</v>
          </cell>
          <cell r="X43">
            <v>505</v>
          </cell>
          <cell r="Y43">
            <v>175</v>
          </cell>
          <cell r="Z43">
            <v>-15</v>
          </cell>
          <cell r="AA43">
            <v>95</v>
          </cell>
          <cell r="AB43">
            <v>400</v>
          </cell>
          <cell r="AC43">
            <v>340</v>
          </cell>
          <cell r="AD43">
            <v>60</v>
          </cell>
          <cell r="AE43">
            <v>760</v>
          </cell>
          <cell r="AF43">
            <v>680</v>
          </cell>
          <cell r="AG43">
            <v>80</v>
          </cell>
        </row>
        <row r="44">
          <cell r="C44">
            <v>100165</v>
          </cell>
          <cell r="D44" t="str">
            <v>SELECT AUTOMOBILES</v>
          </cell>
          <cell r="E44" t="str">
            <v>BPCL</v>
          </cell>
          <cell r="G44" t="str">
            <v>Pune City RSA</v>
          </cell>
          <cell r="J44" t="str">
            <v>KARVE ROAD</v>
          </cell>
          <cell r="K44" t="str">
            <v>Pune</v>
          </cell>
          <cell r="L44" t="str">
            <v>A</v>
          </cell>
          <cell r="O44" t="str">
            <v>A</v>
          </cell>
          <cell r="P44">
            <v>480</v>
          </cell>
          <cell r="Q44">
            <v>136</v>
          </cell>
          <cell r="R44">
            <v>408</v>
          </cell>
          <cell r="S44">
            <v>120</v>
          </cell>
          <cell r="T44">
            <v>72</v>
          </cell>
          <cell r="U44">
            <v>16</v>
          </cell>
          <cell r="V44">
            <v>978</v>
          </cell>
          <cell r="W44">
            <v>276</v>
          </cell>
          <cell r="X44">
            <v>825</v>
          </cell>
          <cell r="Y44">
            <v>243</v>
          </cell>
          <cell r="Z44">
            <v>153</v>
          </cell>
          <cell r="AA44">
            <v>33</v>
          </cell>
          <cell r="AB44">
            <v>616</v>
          </cell>
          <cell r="AC44">
            <v>528</v>
          </cell>
          <cell r="AD44">
            <v>88</v>
          </cell>
          <cell r="AE44">
            <v>1254</v>
          </cell>
          <cell r="AF44">
            <v>1068</v>
          </cell>
          <cell r="AG44">
            <v>186</v>
          </cell>
        </row>
        <row r="45">
          <cell r="C45">
            <v>100168</v>
          </cell>
          <cell r="D45" t="str">
            <v>SHAH DHARSHI JIWAN &amp; CO., INDAPUR</v>
          </cell>
          <cell r="E45" t="str">
            <v>BPCL</v>
          </cell>
          <cell r="G45" t="str">
            <v>Pune Saswad RSA</v>
          </cell>
          <cell r="J45" t="str">
            <v>INDAPUR</v>
          </cell>
          <cell r="K45" t="str">
            <v>Pune</v>
          </cell>
          <cell r="L45" t="str">
            <v>C</v>
          </cell>
          <cell r="O45" t="str">
            <v>A</v>
          </cell>
          <cell r="P45">
            <v>48</v>
          </cell>
          <cell r="Q45">
            <v>24</v>
          </cell>
          <cell r="R45">
            <v>33</v>
          </cell>
          <cell r="S45">
            <v>15</v>
          </cell>
          <cell r="T45">
            <v>15</v>
          </cell>
          <cell r="U45">
            <v>9</v>
          </cell>
          <cell r="V45">
            <v>84</v>
          </cell>
          <cell r="W45">
            <v>48</v>
          </cell>
          <cell r="X45">
            <v>66</v>
          </cell>
          <cell r="Y45">
            <v>42</v>
          </cell>
          <cell r="Z45">
            <v>18</v>
          </cell>
          <cell r="AA45">
            <v>6</v>
          </cell>
          <cell r="AB45">
            <v>72</v>
          </cell>
          <cell r="AC45">
            <v>48</v>
          </cell>
          <cell r="AD45">
            <v>24</v>
          </cell>
          <cell r="AE45">
            <v>132</v>
          </cell>
          <cell r="AF45">
            <v>108</v>
          </cell>
          <cell r="AG45">
            <v>24</v>
          </cell>
        </row>
        <row r="46">
          <cell r="C46">
            <v>100169</v>
          </cell>
          <cell r="D46" t="str">
            <v>SHAH DHARSHI JIWAN &amp; CO., BHIGWAN</v>
          </cell>
          <cell r="E46" t="str">
            <v>BPCL</v>
          </cell>
          <cell r="G46" t="str">
            <v>Pune Saswad RSA</v>
          </cell>
          <cell r="J46" t="str">
            <v>BHIGWAN</v>
          </cell>
          <cell r="K46" t="str">
            <v>Pune</v>
          </cell>
          <cell r="L46" t="str">
            <v>D1</v>
          </cell>
          <cell r="M46" t="str">
            <v>NH-65</v>
          </cell>
          <cell r="O46" t="str">
            <v>A</v>
          </cell>
          <cell r="P46">
            <v>45</v>
          </cell>
          <cell r="Q46">
            <v>135</v>
          </cell>
          <cell r="R46">
            <v>39</v>
          </cell>
          <cell r="S46">
            <v>105</v>
          </cell>
          <cell r="T46">
            <v>6</v>
          </cell>
          <cell r="U46">
            <v>30</v>
          </cell>
          <cell r="V46">
            <v>78</v>
          </cell>
          <cell r="W46">
            <v>246</v>
          </cell>
          <cell r="X46">
            <v>81</v>
          </cell>
          <cell r="Y46">
            <v>219</v>
          </cell>
          <cell r="Z46">
            <v>-3</v>
          </cell>
          <cell r="AA46">
            <v>27</v>
          </cell>
          <cell r="AB46">
            <v>180</v>
          </cell>
          <cell r="AC46">
            <v>144</v>
          </cell>
          <cell r="AD46">
            <v>36</v>
          </cell>
          <cell r="AE46">
            <v>324</v>
          </cell>
          <cell r="AF46">
            <v>300</v>
          </cell>
          <cell r="AG46">
            <v>24</v>
          </cell>
        </row>
        <row r="47">
          <cell r="C47">
            <v>100172</v>
          </cell>
          <cell r="D47" t="str">
            <v>SHRIGONDA FFC</v>
          </cell>
          <cell r="E47" t="str">
            <v>BPCL</v>
          </cell>
          <cell r="G47" t="str">
            <v>Ahmednagar West RSA</v>
          </cell>
          <cell r="J47" t="str">
            <v>SHRIGONDA-NH</v>
          </cell>
          <cell r="K47" t="str">
            <v>Ahmednagar</v>
          </cell>
          <cell r="L47" t="str">
            <v>D1</v>
          </cell>
          <cell r="M47" t="str">
            <v>NH-548D</v>
          </cell>
          <cell r="O47" t="str">
            <v>A</v>
          </cell>
          <cell r="P47">
            <v>89</v>
          </cell>
          <cell r="Q47">
            <v>134</v>
          </cell>
          <cell r="R47">
            <v>85</v>
          </cell>
          <cell r="S47">
            <v>133</v>
          </cell>
          <cell r="T47">
            <v>4</v>
          </cell>
          <cell r="U47">
            <v>1</v>
          </cell>
          <cell r="V47">
            <v>161</v>
          </cell>
          <cell r="W47">
            <v>242</v>
          </cell>
          <cell r="X47">
            <v>153</v>
          </cell>
          <cell r="Y47">
            <v>228</v>
          </cell>
          <cell r="Z47">
            <v>8</v>
          </cell>
          <cell r="AA47">
            <v>14</v>
          </cell>
          <cell r="AB47">
            <v>223</v>
          </cell>
          <cell r="AC47">
            <v>218</v>
          </cell>
          <cell r="AD47">
            <v>5</v>
          </cell>
          <cell r="AE47">
            <v>403</v>
          </cell>
          <cell r="AF47">
            <v>381</v>
          </cell>
          <cell r="AG47">
            <v>22</v>
          </cell>
        </row>
        <row r="48">
          <cell r="C48">
            <v>100173</v>
          </cell>
          <cell r="D48" t="str">
            <v>SHOLAPUR MOTOR STORES</v>
          </cell>
          <cell r="E48" t="str">
            <v>BPCL</v>
          </cell>
          <cell r="G48" t="str">
            <v>Pune City RSA</v>
          </cell>
          <cell r="J48" t="str">
            <v>SHIVAJINAGAR</v>
          </cell>
          <cell r="K48" t="str">
            <v>Pune</v>
          </cell>
          <cell r="L48" t="str">
            <v>A</v>
          </cell>
          <cell r="O48" t="str">
            <v>B</v>
          </cell>
          <cell r="P48">
            <v>0</v>
          </cell>
          <cell r="Q48">
            <v>0</v>
          </cell>
          <cell r="R48">
            <v>132</v>
          </cell>
          <cell r="S48">
            <v>0</v>
          </cell>
          <cell r="T48">
            <v>-132</v>
          </cell>
          <cell r="U48">
            <v>0</v>
          </cell>
          <cell r="V48">
            <v>0</v>
          </cell>
          <cell r="W48">
            <v>0</v>
          </cell>
          <cell r="X48">
            <v>252</v>
          </cell>
          <cell r="Y48">
            <v>0</v>
          </cell>
          <cell r="Z48">
            <v>-252</v>
          </cell>
          <cell r="AA48">
            <v>0</v>
          </cell>
          <cell r="AB48">
            <v>0</v>
          </cell>
          <cell r="AC48">
            <v>132</v>
          </cell>
          <cell r="AD48">
            <v>-132</v>
          </cell>
          <cell r="AE48">
            <v>0</v>
          </cell>
          <cell r="AF48">
            <v>252</v>
          </cell>
          <cell r="AG48">
            <v>-252</v>
          </cell>
        </row>
        <row r="49">
          <cell r="C49">
            <v>100174</v>
          </cell>
          <cell r="D49" t="str">
            <v>TEKAWADE SERVICE STATION</v>
          </cell>
          <cell r="E49" t="str">
            <v>BPCL</v>
          </cell>
          <cell r="G49" t="str">
            <v>Pune Hadapsar RSA</v>
          </cell>
          <cell r="J49" t="str">
            <v>Hadapsar RHS</v>
          </cell>
          <cell r="K49" t="str">
            <v>Pune</v>
          </cell>
          <cell r="L49" t="str">
            <v>A</v>
          </cell>
          <cell r="O49" t="str">
            <v>A</v>
          </cell>
          <cell r="P49">
            <v>225</v>
          </cell>
          <cell r="Q49">
            <v>335</v>
          </cell>
          <cell r="R49">
            <v>173</v>
          </cell>
          <cell r="S49">
            <v>295</v>
          </cell>
          <cell r="T49">
            <v>52</v>
          </cell>
          <cell r="U49">
            <v>40</v>
          </cell>
          <cell r="V49">
            <v>429.5</v>
          </cell>
          <cell r="W49">
            <v>649.5</v>
          </cell>
          <cell r="X49">
            <v>329</v>
          </cell>
          <cell r="Y49">
            <v>545</v>
          </cell>
          <cell r="Z49">
            <v>100.5</v>
          </cell>
          <cell r="AA49">
            <v>104.5</v>
          </cell>
          <cell r="AB49">
            <v>560</v>
          </cell>
          <cell r="AC49">
            <v>468</v>
          </cell>
          <cell r="AD49">
            <v>92</v>
          </cell>
          <cell r="AE49">
            <v>1079</v>
          </cell>
          <cell r="AF49">
            <v>874</v>
          </cell>
          <cell r="AG49">
            <v>205</v>
          </cell>
        </row>
        <row r="50">
          <cell r="C50">
            <v>100177</v>
          </cell>
          <cell r="D50" t="str">
            <v>TOPUP CENTRE</v>
          </cell>
          <cell r="E50" t="str">
            <v>BPCL</v>
          </cell>
          <cell r="G50" t="str">
            <v>Ahmednagar East RSA</v>
          </cell>
          <cell r="J50" t="str">
            <v>Aurangabad Road</v>
          </cell>
          <cell r="K50" t="str">
            <v>Ahmednagar</v>
          </cell>
          <cell r="L50" t="str">
            <v>D1</v>
          </cell>
          <cell r="M50" t="str">
            <v>NH-753F</v>
          </cell>
          <cell r="O50" t="str">
            <v>A</v>
          </cell>
          <cell r="P50">
            <v>179.5</v>
          </cell>
          <cell r="Q50">
            <v>192.5</v>
          </cell>
          <cell r="R50">
            <v>144</v>
          </cell>
          <cell r="S50">
            <v>104</v>
          </cell>
          <cell r="T50">
            <v>35.5</v>
          </cell>
          <cell r="U50">
            <v>88.5</v>
          </cell>
          <cell r="V50">
            <v>321.5</v>
          </cell>
          <cell r="W50">
            <v>298.5</v>
          </cell>
          <cell r="X50">
            <v>290</v>
          </cell>
          <cell r="Y50">
            <v>195</v>
          </cell>
          <cell r="Z50">
            <v>31.5</v>
          </cell>
          <cell r="AA50">
            <v>103.5</v>
          </cell>
          <cell r="AB50">
            <v>372</v>
          </cell>
          <cell r="AC50">
            <v>248</v>
          </cell>
          <cell r="AD50">
            <v>124</v>
          </cell>
          <cell r="AE50">
            <v>620</v>
          </cell>
          <cell r="AF50">
            <v>485</v>
          </cell>
          <cell r="AG50">
            <v>135</v>
          </cell>
        </row>
        <row r="51">
          <cell r="C51">
            <v>100178</v>
          </cell>
          <cell r="D51" t="str">
            <v>U.P. GUJAR</v>
          </cell>
          <cell r="E51" t="str">
            <v>BPCL</v>
          </cell>
          <cell r="G51" t="str">
            <v>Pune Wagholi RSA</v>
          </cell>
          <cell r="J51" t="str">
            <v>Koregaon Bhima to Shikrapur LHS</v>
          </cell>
          <cell r="K51" t="str">
            <v>Pune</v>
          </cell>
          <cell r="L51" t="str">
            <v>D1</v>
          </cell>
          <cell r="M51" t="str">
            <v>NH-753F</v>
          </cell>
          <cell r="O51" t="str">
            <v>A</v>
          </cell>
          <cell r="P51">
            <v>68</v>
          </cell>
          <cell r="Q51">
            <v>228</v>
          </cell>
          <cell r="R51">
            <v>44</v>
          </cell>
          <cell r="S51">
            <v>148</v>
          </cell>
          <cell r="T51">
            <v>24</v>
          </cell>
          <cell r="U51">
            <v>80</v>
          </cell>
          <cell r="V51">
            <v>120</v>
          </cell>
          <cell r="W51">
            <v>424</v>
          </cell>
          <cell r="X51">
            <v>88</v>
          </cell>
          <cell r="Y51">
            <v>296</v>
          </cell>
          <cell r="Z51">
            <v>32</v>
          </cell>
          <cell r="AA51">
            <v>128</v>
          </cell>
          <cell r="AB51">
            <v>296</v>
          </cell>
          <cell r="AC51">
            <v>192</v>
          </cell>
          <cell r="AD51">
            <v>104</v>
          </cell>
          <cell r="AE51">
            <v>544</v>
          </cell>
          <cell r="AF51">
            <v>384</v>
          </cell>
          <cell r="AG51">
            <v>160</v>
          </cell>
        </row>
        <row r="52">
          <cell r="C52">
            <v>100180</v>
          </cell>
          <cell r="D52" t="str">
            <v xml:space="preserve">VARDHAMAN PETROL DEPOT, </v>
          </cell>
          <cell r="E52" t="str">
            <v>BPCL</v>
          </cell>
          <cell r="G52" t="str">
            <v>Pune Tathawade RSA</v>
          </cell>
          <cell r="J52" t="str">
            <v>BAVDHAN TO NARHE</v>
          </cell>
          <cell r="K52" t="str">
            <v>Pune</v>
          </cell>
          <cell r="L52" t="str">
            <v>A</v>
          </cell>
          <cell r="M52" t="str">
            <v>NH-48</v>
          </cell>
          <cell r="O52" t="str">
            <v>A</v>
          </cell>
          <cell r="P52">
            <v>360</v>
          </cell>
          <cell r="Q52">
            <v>160</v>
          </cell>
          <cell r="R52">
            <v>350</v>
          </cell>
          <cell r="S52">
            <v>130</v>
          </cell>
          <cell r="T52">
            <v>10</v>
          </cell>
          <cell r="U52">
            <v>30</v>
          </cell>
          <cell r="V52">
            <v>675</v>
          </cell>
          <cell r="W52">
            <v>305</v>
          </cell>
          <cell r="X52">
            <v>695</v>
          </cell>
          <cell r="Y52">
            <v>245</v>
          </cell>
          <cell r="Z52">
            <v>-20</v>
          </cell>
          <cell r="AA52">
            <v>60</v>
          </cell>
          <cell r="AB52">
            <v>520</v>
          </cell>
          <cell r="AC52">
            <v>480</v>
          </cell>
          <cell r="AD52">
            <v>40</v>
          </cell>
          <cell r="AE52">
            <v>980</v>
          </cell>
          <cell r="AF52">
            <v>940</v>
          </cell>
          <cell r="AG52">
            <v>40</v>
          </cell>
        </row>
        <row r="53">
          <cell r="C53">
            <v>100182</v>
          </cell>
          <cell r="D53" t="str">
            <v>WESTERN TRANSPORT AGENCY</v>
          </cell>
          <cell r="E53" t="str">
            <v>BPCL</v>
          </cell>
          <cell r="G53" t="str">
            <v>Pune City RSA</v>
          </cell>
          <cell r="J53" t="str">
            <v>KATRAJ</v>
          </cell>
          <cell r="K53" t="str">
            <v>Pune</v>
          </cell>
          <cell r="L53" t="str">
            <v>A</v>
          </cell>
          <cell r="M53" t="str">
            <v>NH-60</v>
          </cell>
          <cell r="O53" t="str">
            <v>A</v>
          </cell>
          <cell r="P53">
            <v>65</v>
          </cell>
          <cell r="Q53">
            <v>195</v>
          </cell>
          <cell r="R53">
            <v>80</v>
          </cell>
          <cell r="S53">
            <v>240</v>
          </cell>
          <cell r="T53">
            <v>-15</v>
          </cell>
          <cell r="U53">
            <v>-45</v>
          </cell>
          <cell r="V53">
            <v>125</v>
          </cell>
          <cell r="W53">
            <v>375</v>
          </cell>
          <cell r="X53">
            <v>165</v>
          </cell>
          <cell r="Y53">
            <v>495</v>
          </cell>
          <cell r="Z53">
            <v>-40</v>
          </cell>
          <cell r="AA53">
            <v>-120</v>
          </cell>
          <cell r="AB53">
            <v>260</v>
          </cell>
          <cell r="AC53">
            <v>320</v>
          </cell>
          <cell r="AD53">
            <v>-60</v>
          </cell>
          <cell r="AE53">
            <v>500</v>
          </cell>
          <cell r="AF53">
            <v>660</v>
          </cell>
          <cell r="AG53">
            <v>-160</v>
          </cell>
        </row>
        <row r="54">
          <cell r="C54">
            <v>100211</v>
          </cell>
          <cell r="D54" t="str">
            <v>POHEGAON KHURD</v>
          </cell>
          <cell r="E54" t="str">
            <v>BPCL</v>
          </cell>
          <cell r="G54" t="str">
            <v>Shirdi RSA</v>
          </cell>
          <cell r="J54" t="str">
            <v>POHEGAON</v>
          </cell>
          <cell r="K54" t="str">
            <v>Ahmednagar</v>
          </cell>
          <cell r="L54" t="str">
            <v>D1</v>
          </cell>
          <cell r="M54" t="str">
            <v>NH-752I</v>
          </cell>
          <cell r="O54" t="str">
            <v>B</v>
          </cell>
          <cell r="P54">
            <v>36</v>
          </cell>
          <cell r="Q54">
            <v>60</v>
          </cell>
          <cell r="R54">
            <v>38</v>
          </cell>
          <cell r="S54">
            <v>78</v>
          </cell>
          <cell r="T54">
            <v>-2</v>
          </cell>
          <cell r="U54">
            <v>-18</v>
          </cell>
          <cell r="V54">
            <v>66</v>
          </cell>
          <cell r="W54">
            <v>114</v>
          </cell>
          <cell r="X54">
            <v>65</v>
          </cell>
          <cell r="Y54">
            <v>123</v>
          </cell>
          <cell r="Z54">
            <v>1</v>
          </cell>
          <cell r="AA54">
            <v>-9</v>
          </cell>
          <cell r="AB54">
            <v>96</v>
          </cell>
          <cell r="AC54">
            <v>116</v>
          </cell>
          <cell r="AD54">
            <v>-20</v>
          </cell>
          <cell r="AE54">
            <v>180</v>
          </cell>
          <cell r="AF54">
            <v>188</v>
          </cell>
          <cell r="AG54">
            <v>-8</v>
          </cell>
        </row>
        <row r="55">
          <cell r="C55">
            <v>100212</v>
          </cell>
          <cell r="D55" t="str">
            <v>SHREE SERVICE STATION</v>
          </cell>
          <cell r="E55" t="str">
            <v>BPCL</v>
          </cell>
          <cell r="G55" t="str">
            <v>Pune City RSA</v>
          </cell>
          <cell r="J55" t="str">
            <v>Wagholi</v>
          </cell>
          <cell r="K55" t="str">
            <v>Pune</v>
          </cell>
          <cell r="L55" t="str">
            <v>D2</v>
          </cell>
          <cell r="O55" t="str">
            <v>B</v>
          </cell>
          <cell r="P55">
            <v>225</v>
          </cell>
          <cell r="Q55">
            <v>524</v>
          </cell>
          <cell r="R55">
            <v>205</v>
          </cell>
          <cell r="S55">
            <v>440</v>
          </cell>
          <cell r="T55">
            <v>20</v>
          </cell>
          <cell r="U55">
            <v>84</v>
          </cell>
          <cell r="V55">
            <v>460</v>
          </cell>
          <cell r="W55">
            <v>1029</v>
          </cell>
          <cell r="X55">
            <v>430</v>
          </cell>
          <cell r="Y55">
            <v>875</v>
          </cell>
          <cell r="Z55">
            <v>30</v>
          </cell>
          <cell r="AA55">
            <v>154</v>
          </cell>
          <cell r="AB55">
            <v>749</v>
          </cell>
          <cell r="AC55">
            <v>645</v>
          </cell>
          <cell r="AD55">
            <v>104</v>
          </cell>
          <cell r="AE55">
            <v>1489</v>
          </cell>
          <cell r="AF55">
            <v>1305</v>
          </cell>
          <cell r="AG55">
            <v>184</v>
          </cell>
        </row>
        <row r="56">
          <cell r="C56">
            <v>101953</v>
          </cell>
          <cell r="D56" t="str">
            <v>MILLAN PETROLEUM</v>
          </cell>
          <cell r="E56" t="str">
            <v>BPCL</v>
          </cell>
          <cell r="G56" t="str">
            <v>Pune Tathawade RSA</v>
          </cell>
          <cell r="J56" t="str">
            <v>VADGAON TO KAMSHET</v>
          </cell>
          <cell r="K56" t="str">
            <v>Pune</v>
          </cell>
          <cell r="L56" t="str">
            <v>D1</v>
          </cell>
          <cell r="M56" t="str">
            <v>NH-48</v>
          </cell>
          <cell r="O56" t="str">
            <v>A</v>
          </cell>
          <cell r="P56">
            <v>30</v>
          </cell>
          <cell r="Q56">
            <v>270</v>
          </cell>
          <cell r="R56">
            <v>25</v>
          </cell>
          <cell r="S56">
            <v>235</v>
          </cell>
          <cell r="T56">
            <v>5</v>
          </cell>
          <cell r="U56">
            <v>35</v>
          </cell>
          <cell r="V56">
            <v>55</v>
          </cell>
          <cell r="W56">
            <v>495</v>
          </cell>
          <cell r="X56">
            <v>50</v>
          </cell>
          <cell r="Y56">
            <v>430</v>
          </cell>
          <cell r="Z56">
            <v>5</v>
          </cell>
          <cell r="AA56">
            <v>65</v>
          </cell>
          <cell r="AB56">
            <v>300</v>
          </cell>
          <cell r="AC56">
            <v>260</v>
          </cell>
          <cell r="AD56">
            <v>40</v>
          </cell>
          <cell r="AE56">
            <v>550</v>
          </cell>
          <cell r="AF56">
            <v>480</v>
          </cell>
          <cell r="AG56">
            <v>70</v>
          </cell>
        </row>
        <row r="57">
          <cell r="C57">
            <v>112174</v>
          </cell>
          <cell r="D57" t="str">
            <v>BRAHMANGAON PHALBAUG</v>
          </cell>
          <cell r="E57" t="str">
            <v>BPCL</v>
          </cell>
          <cell r="G57" t="str">
            <v>Shirdi RSA</v>
          </cell>
          <cell r="J57" t="str">
            <v>KOPARGAON NH</v>
          </cell>
          <cell r="K57" t="str">
            <v>Ahmednagar</v>
          </cell>
          <cell r="L57" t="str">
            <v>D1</v>
          </cell>
          <cell r="M57" t="str">
            <v>NH-752G</v>
          </cell>
          <cell r="O57" t="str">
            <v>B</v>
          </cell>
          <cell r="P57">
            <v>105</v>
          </cell>
          <cell r="Q57">
            <v>123</v>
          </cell>
          <cell r="R57">
            <v>99</v>
          </cell>
          <cell r="S57">
            <v>105</v>
          </cell>
          <cell r="T57">
            <v>6</v>
          </cell>
          <cell r="U57">
            <v>18</v>
          </cell>
          <cell r="V57">
            <v>198</v>
          </cell>
          <cell r="W57">
            <v>222</v>
          </cell>
          <cell r="X57">
            <v>186</v>
          </cell>
          <cell r="Y57">
            <v>210</v>
          </cell>
          <cell r="Z57">
            <v>12</v>
          </cell>
          <cell r="AA57">
            <v>12</v>
          </cell>
          <cell r="AB57">
            <v>228</v>
          </cell>
          <cell r="AC57">
            <v>204</v>
          </cell>
          <cell r="AD57">
            <v>24</v>
          </cell>
          <cell r="AE57">
            <v>420</v>
          </cell>
          <cell r="AF57">
            <v>396</v>
          </cell>
          <cell r="AG57">
            <v>24</v>
          </cell>
        </row>
        <row r="58">
          <cell r="C58">
            <v>112177</v>
          </cell>
          <cell r="D58" t="str">
            <v>GODAVARI PRAVARA</v>
          </cell>
          <cell r="E58" t="str">
            <v>BPCL</v>
          </cell>
          <cell r="G58" t="str">
            <v>Shirdi RSA</v>
          </cell>
          <cell r="J58" t="str">
            <v>KOPARGAON CITY</v>
          </cell>
          <cell r="K58" t="str">
            <v>Ahmednagar</v>
          </cell>
          <cell r="L58" t="str">
            <v>D1</v>
          </cell>
          <cell r="M58" t="str">
            <v>NH-752G</v>
          </cell>
          <cell r="O58" t="str">
            <v>B</v>
          </cell>
          <cell r="P58">
            <v>51</v>
          </cell>
          <cell r="Q58">
            <v>45</v>
          </cell>
          <cell r="R58">
            <v>45</v>
          </cell>
          <cell r="S58">
            <v>27</v>
          </cell>
          <cell r="T58">
            <v>6</v>
          </cell>
          <cell r="U58">
            <v>18</v>
          </cell>
          <cell r="V58">
            <v>102</v>
          </cell>
          <cell r="W58">
            <v>78</v>
          </cell>
          <cell r="X58">
            <v>93</v>
          </cell>
          <cell r="Y58">
            <v>51</v>
          </cell>
          <cell r="Z58">
            <v>9</v>
          </cell>
          <cell r="AA58">
            <v>27</v>
          </cell>
          <cell r="AB58">
            <v>96</v>
          </cell>
          <cell r="AC58">
            <v>72</v>
          </cell>
          <cell r="AD58">
            <v>24</v>
          </cell>
          <cell r="AE58">
            <v>180</v>
          </cell>
          <cell r="AF58">
            <v>144</v>
          </cell>
          <cell r="AG58">
            <v>36</v>
          </cell>
        </row>
        <row r="59">
          <cell r="C59">
            <v>113774</v>
          </cell>
          <cell r="D59" t="str">
            <v>V.B. PAREKH</v>
          </cell>
          <cell r="E59" t="str">
            <v>BPCL</v>
          </cell>
          <cell r="G59" t="str">
            <v>Satara West RSA</v>
          </cell>
          <cell r="J59" t="str">
            <v>Satara to Bhuinj</v>
          </cell>
          <cell r="K59" t="str">
            <v>Satara</v>
          </cell>
          <cell r="L59" t="str">
            <v>D1</v>
          </cell>
          <cell r="M59" t="str">
            <v>NH-48</v>
          </cell>
          <cell r="O59" t="str">
            <v>A</v>
          </cell>
          <cell r="P59">
            <v>0</v>
          </cell>
          <cell r="Q59">
            <v>381</v>
          </cell>
          <cell r="R59">
            <v>0</v>
          </cell>
          <cell r="S59">
            <v>312</v>
          </cell>
          <cell r="T59">
            <v>0</v>
          </cell>
          <cell r="U59">
            <v>69</v>
          </cell>
          <cell r="V59">
            <v>0</v>
          </cell>
          <cell r="W59">
            <v>720</v>
          </cell>
          <cell r="X59">
            <v>0</v>
          </cell>
          <cell r="Y59">
            <v>619</v>
          </cell>
          <cell r="Z59">
            <v>0</v>
          </cell>
          <cell r="AA59">
            <v>101</v>
          </cell>
          <cell r="AB59">
            <v>381</v>
          </cell>
          <cell r="AC59">
            <v>312</v>
          </cell>
          <cell r="AD59">
            <v>69</v>
          </cell>
          <cell r="AE59">
            <v>720</v>
          </cell>
          <cell r="AF59">
            <v>619</v>
          </cell>
          <cell r="AG59">
            <v>101</v>
          </cell>
        </row>
        <row r="60">
          <cell r="C60">
            <v>113775</v>
          </cell>
          <cell r="D60" t="str">
            <v>DANGARE AUTO SERVICES</v>
          </cell>
          <cell r="E60" t="str">
            <v>BPCL</v>
          </cell>
          <cell r="G60" t="str">
            <v>Satara East RSA</v>
          </cell>
          <cell r="J60" t="str">
            <v>Wai</v>
          </cell>
          <cell r="K60" t="str">
            <v>Satara</v>
          </cell>
          <cell r="L60" t="str">
            <v>D2</v>
          </cell>
          <cell r="O60" t="str">
            <v>B</v>
          </cell>
          <cell r="P60">
            <v>36</v>
          </cell>
          <cell r="Q60">
            <v>36</v>
          </cell>
          <cell r="R60">
            <v>54</v>
          </cell>
          <cell r="S60">
            <v>54</v>
          </cell>
          <cell r="T60">
            <v>-18</v>
          </cell>
          <cell r="U60">
            <v>-18</v>
          </cell>
          <cell r="V60">
            <v>72</v>
          </cell>
          <cell r="W60">
            <v>72</v>
          </cell>
          <cell r="X60">
            <v>105</v>
          </cell>
          <cell r="Y60">
            <v>111</v>
          </cell>
          <cell r="Z60">
            <v>-33</v>
          </cell>
          <cell r="AA60">
            <v>-39</v>
          </cell>
          <cell r="AB60">
            <v>72</v>
          </cell>
          <cell r="AC60">
            <v>108</v>
          </cell>
          <cell r="AD60">
            <v>-36</v>
          </cell>
          <cell r="AE60">
            <v>144</v>
          </cell>
          <cell r="AF60">
            <v>216</v>
          </cell>
          <cell r="AG60">
            <v>-72</v>
          </cell>
        </row>
        <row r="61">
          <cell r="C61">
            <v>113776</v>
          </cell>
          <cell r="D61" t="str">
            <v>R.M. DESAI &amp; CO</v>
          </cell>
          <cell r="E61" t="str">
            <v>BPCL</v>
          </cell>
          <cell r="G61" t="str">
            <v>Satara East RSA</v>
          </cell>
          <cell r="J61" t="str">
            <v>Mahabaleswar Panchgani</v>
          </cell>
          <cell r="K61" t="str">
            <v>Satara</v>
          </cell>
          <cell r="L61" t="str">
            <v>D1</v>
          </cell>
          <cell r="M61" t="str">
            <v>NH-548C</v>
          </cell>
          <cell r="O61" t="str">
            <v>A</v>
          </cell>
          <cell r="P61">
            <v>146</v>
          </cell>
          <cell r="Q61">
            <v>174</v>
          </cell>
          <cell r="R61">
            <v>96</v>
          </cell>
          <cell r="S61">
            <v>84</v>
          </cell>
          <cell r="T61">
            <v>50</v>
          </cell>
          <cell r="U61">
            <v>90</v>
          </cell>
          <cell r="V61">
            <v>268</v>
          </cell>
          <cell r="W61">
            <v>312</v>
          </cell>
          <cell r="X61">
            <v>192</v>
          </cell>
          <cell r="Y61">
            <v>168</v>
          </cell>
          <cell r="Z61">
            <v>76</v>
          </cell>
          <cell r="AA61">
            <v>144</v>
          </cell>
          <cell r="AB61">
            <v>320</v>
          </cell>
          <cell r="AC61">
            <v>180</v>
          </cell>
          <cell r="AD61">
            <v>140</v>
          </cell>
          <cell r="AE61">
            <v>580</v>
          </cell>
          <cell r="AF61">
            <v>360</v>
          </cell>
          <cell r="AG61">
            <v>220</v>
          </cell>
        </row>
        <row r="62">
          <cell r="C62">
            <v>113778</v>
          </cell>
          <cell r="D62" t="str">
            <v>DESAI &amp; COMPANY, TARADGAON</v>
          </cell>
          <cell r="E62" t="str">
            <v>BPCL</v>
          </cell>
          <cell r="G62" t="str">
            <v>Satara East RSA</v>
          </cell>
          <cell r="J62" t="str">
            <v>Satara City</v>
          </cell>
          <cell r="K62" t="str">
            <v>Satara</v>
          </cell>
          <cell r="L62" t="str">
            <v>D1</v>
          </cell>
          <cell r="M62" t="str">
            <v>NH-965</v>
          </cell>
          <cell r="O62" t="str">
            <v>B</v>
          </cell>
          <cell r="P62">
            <v>0</v>
          </cell>
          <cell r="Q62">
            <v>36</v>
          </cell>
          <cell r="R62">
            <v>13</v>
          </cell>
          <cell r="S62">
            <v>35</v>
          </cell>
          <cell r="T62">
            <v>-13</v>
          </cell>
          <cell r="U62">
            <v>1</v>
          </cell>
          <cell r="V62">
            <v>0</v>
          </cell>
          <cell r="W62">
            <v>60</v>
          </cell>
          <cell r="X62">
            <v>25</v>
          </cell>
          <cell r="Y62">
            <v>71</v>
          </cell>
          <cell r="Z62">
            <v>-25</v>
          </cell>
          <cell r="AA62">
            <v>-11</v>
          </cell>
          <cell r="AB62">
            <v>36</v>
          </cell>
          <cell r="AC62">
            <v>48</v>
          </cell>
          <cell r="AD62">
            <v>-12</v>
          </cell>
          <cell r="AE62">
            <v>60</v>
          </cell>
          <cell r="AF62">
            <v>96</v>
          </cell>
          <cell r="AG62">
            <v>-36</v>
          </cell>
        </row>
        <row r="63">
          <cell r="C63">
            <v>113780</v>
          </cell>
          <cell r="D63" t="str">
            <v>DESAI &amp; COMPANY, NIRA</v>
          </cell>
          <cell r="E63" t="str">
            <v>BPCL</v>
          </cell>
          <cell r="G63" t="str">
            <v>Pune Saswad RSA</v>
          </cell>
          <cell r="J63" t="str">
            <v>Jejuri - Nira Road</v>
          </cell>
          <cell r="K63" t="str">
            <v>Pune</v>
          </cell>
          <cell r="L63" t="str">
            <v>D1</v>
          </cell>
          <cell r="M63" t="str">
            <v>NH-965</v>
          </cell>
          <cell r="O63" t="str">
            <v>A</v>
          </cell>
          <cell r="P63">
            <v>0</v>
          </cell>
          <cell r="Q63">
            <v>0</v>
          </cell>
          <cell r="R63">
            <v>26</v>
          </cell>
          <cell r="S63">
            <v>22</v>
          </cell>
          <cell r="T63">
            <v>-26</v>
          </cell>
          <cell r="U63">
            <v>-22</v>
          </cell>
          <cell r="V63">
            <v>0</v>
          </cell>
          <cell r="W63">
            <v>0</v>
          </cell>
          <cell r="X63">
            <v>55</v>
          </cell>
          <cell r="Y63">
            <v>41</v>
          </cell>
          <cell r="Z63">
            <v>-55</v>
          </cell>
          <cell r="AA63">
            <v>-41</v>
          </cell>
          <cell r="AB63">
            <v>0</v>
          </cell>
          <cell r="AC63">
            <v>48</v>
          </cell>
          <cell r="AD63">
            <v>-48</v>
          </cell>
          <cell r="AE63">
            <v>0</v>
          </cell>
          <cell r="AF63">
            <v>96</v>
          </cell>
          <cell r="AG63">
            <v>-96</v>
          </cell>
        </row>
        <row r="64">
          <cell r="C64">
            <v>113781</v>
          </cell>
          <cell r="D64" t="str">
            <v>G.D. GANDHI</v>
          </cell>
          <cell r="E64" t="str">
            <v>BPCL</v>
          </cell>
          <cell r="G64" t="str">
            <v>Satara West RSA</v>
          </cell>
          <cell r="J64" t="str">
            <v>Wai</v>
          </cell>
          <cell r="K64" t="str">
            <v>Satara</v>
          </cell>
          <cell r="L64" t="str">
            <v>D2</v>
          </cell>
          <cell r="O64" t="str">
            <v>B</v>
          </cell>
          <cell r="P64">
            <v>45</v>
          </cell>
          <cell r="Q64">
            <v>51</v>
          </cell>
          <cell r="R64">
            <v>105</v>
          </cell>
          <cell r="S64">
            <v>99</v>
          </cell>
          <cell r="T64">
            <v>-60</v>
          </cell>
          <cell r="U64">
            <v>-48</v>
          </cell>
          <cell r="V64">
            <v>108</v>
          </cell>
          <cell r="W64">
            <v>120</v>
          </cell>
          <cell r="X64">
            <v>201</v>
          </cell>
          <cell r="Y64">
            <v>195</v>
          </cell>
          <cell r="Z64">
            <v>-93</v>
          </cell>
          <cell r="AA64">
            <v>-75</v>
          </cell>
          <cell r="AB64">
            <v>96</v>
          </cell>
          <cell r="AC64">
            <v>204</v>
          </cell>
          <cell r="AD64">
            <v>-108</v>
          </cell>
          <cell r="AE64">
            <v>228</v>
          </cell>
          <cell r="AF64">
            <v>396</v>
          </cell>
          <cell r="AG64">
            <v>-168</v>
          </cell>
        </row>
        <row r="65">
          <cell r="C65">
            <v>113782</v>
          </cell>
          <cell r="D65" t="str">
            <v>IRANI PETROL PUMP</v>
          </cell>
          <cell r="E65" t="str">
            <v>BPCL</v>
          </cell>
          <cell r="G65" t="str">
            <v>Satara West RSA</v>
          </cell>
          <cell r="J65" t="str">
            <v>Mahabaleswar Panchgani</v>
          </cell>
          <cell r="K65" t="str">
            <v>Satara</v>
          </cell>
          <cell r="L65" t="str">
            <v>D2</v>
          </cell>
          <cell r="O65" t="str">
            <v>B</v>
          </cell>
          <cell r="P65">
            <v>215</v>
          </cell>
          <cell r="Q65">
            <v>165</v>
          </cell>
          <cell r="R65">
            <v>170</v>
          </cell>
          <cell r="S65">
            <v>150</v>
          </cell>
          <cell r="T65">
            <v>45</v>
          </cell>
          <cell r="U65">
            <v>15</v>
          </cell>
          <cell r="V65">
            <v>335</v>
          </cell>
          <cell r="W65">
            <v>265</v>
          </cell>
          <cell r="X65">
            <v>301</v>
          </cell>
          <cell r="Y65">
            <v>271</v>
          </cell>
          <cell r="Z65">
            <v>34</v>
          </cell>
          <cell r="AA65">
            <v>-6</v>
          </cell>
          <cell r="AB65">
            <v>380</v>
          </cell>
          <cell r="AC65">
            <v>320</v>
          </cell>
          <cell r="AD65">
            <v>60</v>
          </cell>
          <cell r="AE65">
            <v>600</v>
          </cell>
          <cell r="AF65">
            <v>572</v>
          </cell>
          <cell r="AG65">
            <v>28</v>
          </cell>
        </row>
        <row r="66">
          <cell r="C66">
            <v>113783</v>
          </cell>
          <cell r="D66" t="str">
            <v>KALIDAS &amp; SONS</v>
          </cell>
          <cell r="E66" t="str">
            <v>BPCL</v>
          </cell>
          <cell r="G66" t="str">
            <v>Satara West RSA</v>
          </cell>
          <cell r="J66" t="str">
            <v>Satara City</v>
          </cell>
          <cell r="K66" t="str">
            <v>Satara</v>
          </cell>
          <cell r="L66" t="str">
            <v>C</v>
          </cell>
          <cell r="O66" t="str">
            <v>B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C67">
            <v>113785</v>
          </cell>
          <cell r="D67" t="str">
            <v>KRISHNA SSK LTD</v>
          </cell>
          <cell r="E67" t="str">
            <v>BPCL</v>
          </cell>
          <cell r="G67" t="str">
            <v>Satara West RSA</v>
          </cell>
          <cell r="J67" t="str">
            <v>Rethare</v>
          </cell>
          <cell r="K67" t="str">
            <v>Satara</v>
          </cell>
          <cell r="L67" t="str">
            <v>E</v>
          </cell>
          <cell r="O67" t="str">
            <v>A</v>
          </cell>
          <cell r="P67">
            <v>80</v>
          </cell>
          <cell r="Q67">
            <v>137</v>
          </cell>
          <cell r="R67">
            <v>65</v>
          </cell>
          <cell r="S67">
            <v>60</v>
          </cell>
          <cell r="T67">
            <v>15</v>
          </cell>
          <cell r="U67">
            <v>77</v>
          </cell>
          <cell r="V67">
            <v>140</v>
          </cell>
          <cell r="W67">
            <v>202</v>
          </cell>
          <cell r="X67">
            <v>130</v>
          </cell>
          <cell r="Y67">
            <v>145</v>
          </cell>
          <cell r="Z67">
            <v>10</v>
          </cell>
          <cell r="AA67">
            <v>57</v>
          </cell>
          <cell r="AB67">
            <v>217</v>
          </cell>
          <cell r="AC67">
            <v>125</v>
          </cell>
          <cell r="AD67">
            <v>92</v>
          </cell>
          <cell r="AE67">
            <v>342</v>
          </cell>
          <cell r="AF67">
            <v>275</v>
          </cell>
          <cell r="AG67">
            <v>67</v>
          </cell>
        </row>
        <row r="68">
          <cell r="C68">
            <v>113786</v>
          </cell>
          <cell r="D68" t="str">
            <v>KRISHNA SK UDYOG S LTD</v>
          </cell>
          <cell r="E68" t="str">
            <v>BPCL</v>
          </cell>
          <cell r="G68" t="str">
            <v>Satara West RSA</v>
          </cell>
          <cell r="J68" t="str">
            <v>Rethare</v>
          </cell>
          <cell r="K68" t="str">
            <v>Satara</v>
          </cell>
          <cell r="L68" t="str">
            <v>E</v>
          </cell>
          <cell r="O68" t="str">
            <v>B</v>
          </cell>
          <cell r="P68">
            <v>40</v>
          </cell>
          <cell r="Q68">
            <v>60</v>
          </cell>
          <cell r="R68">
            <v>46</v>
          </cell>
          <cell r="S68">
            <v>66</v>
          </cell>
          <cell r="T68">
            <v>-6</v>
          </cell>
          <cell r="U68">
            <v>-6</v>
          </cell>
          <cell r="V68">
            <v>78</v>
          </cell>
          <cell r="W68">
            <v>106</v>
          </cell>
          <cell r="X68">
            <v>94</v>
          </cell>
          <cell r="Y68">
            <v>134</v>
          </cell>
          <cell r="Z68">
            <v>-16</v>
          </cell>
          <cell r="AA68">
            <v>-28</v>
          </cell>
          <cell r="AB68">
            <v>100</v>
          </cell>
          <cell r="AC68">
            <v>112</v>
          </cell>
          <cell r="AD68">
            <v>-12</v>
          </cell>
          <cell r="AE68">
            <v>184</v>
          </cell>
          <cell r="AF68">
            <v>228</v>
          </cell>
          <cell r="AG68">
            <v>-44</v>
          </cell>
        </row>
        <row r="69">
          <cell r="C69">
            <v>113787</v>
          </cell>
          <cell r="D69" t="str">
            <v>M.P. AUTOMOBILES</v>
          </cell>
          <cell r="E69" t="str">
            <v>BPCL</v>
          </cell>
          <cell r="G69" t="str">
            <v>Satara West RSA</v>
          </cell>
          <cell r="J69" t="str">
            <v>Shendre to Borgaon</v>
          </cell>
          <cell r="K69" t="str">
            <v>Satara</v>
          </cell>
          <cell r="L69" t="str">
            <v>D1</v>
          </cell>
          <cell r="M69" t="str">
            <v>NH-48</v>
          </cell>
          <cell r="O69" t="str">
            <v>A</v>
          </cell>
          <cell r="P69">
            <v>70</v>
          </cell>
          <cell r="Q69">
            <v>150</v>
          </cell>
          <cell r="R69">
            <v>102</v>
          </cell>
          <cell r="S69">
            <v>195</v>
          </cell>
          <cell r="T69">
            <v>-32</v>
          </cell>
          <cell r="U69">
            <v>-45</v>
          </cell>
          <cell r="V69">
            <v>140</v>
          </cell>
          <cell r="W69">
            <v>300</v>
          </cell>
          <cell r="X69">
            <v>192</v>
          </cell>
          <cell r="Y69">
            <v>352</v>
          </cell>
          <cell r="Z69">
            <v>-52</v>
          </cell>
          <cell r="AA69">
            <v>-52</v>
          </cell>
          <cell r="AB69">
            <v>220</v>
          </cell>
          <cell r="AC69">
            <v>297</v>
          </cell>
          <cell r="AD69">
            <v>-77</v>
          </cell>
          <cell r="AE69">
            <v>440</v>
          </cell>
          <cell r="AF69">
            <v>544</v>
          </cell>
          <cell r="AG69">
            <v>-104</v>
          </cell>
        </row>
        <row r="70">
          <cell r="C70">
            <v>113788</v>
          </cell>
          <cell r="D70" t="str">
            <v>MHAVASHE AUTOMOBILES</v>
          </cell>
          <cell r="E70" t="str">
            <v>BPCL</v>
          </cell>
          <cell r="G70" t="str">
            <v>Satara West RSA</v>
          </cell>
          <cell r="J70" t="str">
            <v>SATARA ON NH48 LHS</v>
          </cell>
          <cell r="K70" t="str">
            <v>Satara</v>
          </cell>
          <cell r="L70" t="str">
            <v>D1</v>
          </cell>
          <cell r="M70" t="str">
            <v>NH-48</v>
          </cell>
          <cell r="O70" t="str">
            <v>A</v>
          </cell>
          <cell r="P70">
            <v>178</v>
          </cell>
          <cell r="Q70">
            <v>262</v>
          </cell>
          <cell r="R70">
            <v>176</v>
          </cell>
          <cell r="S70">
            <v>220</v>
          </cell>
          <cell r="T70">
            <v>2</v>
          </cell>
          <cell r="U70">
            <v>42</v>
          </cell>
          <cell r="V70">
            <v>336</v>
          </cell>
          <cell r="W70">
            <v>500</v>
          </cell>
          <cell r="X70">
            <v>334</v>
          </cell>
          <cell r="Y70">
            <v>436</v>
          </cell>
          <cell r="Z70">
            <v>2</v>
          </cell>
          <cell r="AA70">
            <v>64</v>
          </cell>
          <cell r="AB70">
            <v>440</v>
          </cell>
          <cell r="AC70">
            <v>396</v>
          </cell>
          <cell r="AD70">
            <v>44</v>
          </cell>
          <cell r="AE70">
            <v>836</v>
          </cell>
          <cell r="AF70">
            <v>770</v>
          </cell>
          <cell r="AG70">
            <v>66</v>
          </cell>
        </row>
        <row r="71">
          <cell r="C71">
            <v>113789</v>
          </cell>
          <cell r="D71" t="str">
            <v>NANDKUMAR &amp; BROTHERS</v>
          </cell>
          <cell r="E71" t="str">
            <v>BPCL</v>
          </cell>
          <cell r="G71" t="str">
            <v>Satara West RSA</v>
          </cell>
          <cell r="J71" t="str">
            <v>Satara to Mahagaon</v>
          </cell>
          <cell r="K71" t="str">
            <v>Satara</v>
          </cell>
          <cell r="L71" t="str">
            <v>D1</v>
          </cell>
          <cell r="M71" t="str">
            <v>NH-548C</v>
          </cell>
          <cell r="O71" t="str">
            <v>B</v>
          </cell>
          <cell r="P71">
            <v>158</v>
          </cell>
          <cell r="Q71">
            <v>190</v>
          </cell>
          <cell r="R71">
            <v>119</v>
          </cell>
          <cell r="S71">
            <v>109</v>
          </cell>
          <cell r="T71">
            <v>39</v>
          </cell>
          <cell r="U71">
            <v>81</v>
          </cell>
          <cell r="V71">
            <v>286</v>
          </cell>
          <cell r="W71">
            <v>324</v>
          </cell>
          <cell r="X71">
            <v>237</v>
          </cell>
          <cell r="Y71">
            <v>239</v>
          </cell>
          <cell r="Z71">
            <v>49</v>
          </cell>
          <cell r="AA71">
            <v>85</v>
          </cell>
          <cell r="AB71">
            <v>348</v>
          </cell>
          <cell r="AC71">
            <v>228</v>
          </cell>
          <cell r="AD71">
            <v>120</v>
          </cell>
          <cell r="AE71">
            <v>610</v>
          </cell>
          <cell r="AF71">
            <v>476</v>
          </cell>
          <cell r="AG71">
            <v>134</v>
          </cell>
        </row>
        <row r="72">
          <cell r="C72">
            <v>113790</v>
          </cell>
          <cell r="D72" t="str">
            <v>NITIRAJ SERVICE CENTRE</v>
          </cell>
          <cell r="E72" t="str">
            <v>BPCL</v>
          </cell>
          <cell r="G72" t="str">
            <v>Satara West RSA</v>
          </cell>
          <cell r="J72" t="str">
            <v>KARAD TO KASHIL</v>
          </cell>
          <cell r="K72" t="str">
            <v>Satara</v>
          </cell>
          <cell r="L72" t="str">
            <v>D1</v>
          </cell>
          <cell r="M72" t="str">
            <v>NH-48</v>
          </cell>
          <cell r="O72" t="str">
            <v>A</v>
          </cell>
          <cell r="P72">
            <v>45</v>
          </cell>
          <cell r="Q72">
            <v>95</v>
          </cell>
          <cell r="R72">
            <v>51</v>
          </cell>
          <cell r="S72">
            <v>81</v>
          </cell>
          <cell r="T72">
            <v>-6</v>
          </cell>
          <cell r="U72">
            <v>14</v>
          </cell>
          <cell r="V72">
            <v>80</v>
          </cell>
          <cell r="W72">
            <v>180</v>
          </cell>
          <cell r="X72">
            <v>96</v>
          </cell>
          <cell r="Y72">
            <v>196</v>
          </cell>
          <cell r="Z72">
            <v>-16</v>
          </cell>
          <cell r="AA72">
            <v>-16</v>
          </cell>
          <cell r="AB72">
            <v>140</v>
          </cell>
          <cell r="AC72">
            <v>132</v>
          </cell>
          <cell r="AD72">
            <v>8</v>
          </cell>
          <cell r="AE72">
            <v>260</v>
          </cell>
          <cell r="AF72">
            <v>292</v>
          </cell>
          <cell r="AG72">
            <v>-32</v>
          </cell>
        </row>
        <row r="73">
          <cell r="C73">
            <v>113791</v>
          </cell>
          <cell r="D73" t="str">
            <v>PANCHGANI TRADING CO</v>
          </cell>
          <cell r="E73" t="str">
            <v>BPCL</v>
          </cell>
          <cell r="G73" t="str">
            <v>Satara West RSA</v>
          </cell>
          <cell r="J73" t="str">
            <v>Mahabaleswar Panchgani</v>
          </cell>
          <cell r="K73" t="str">
            <v>Satara</v>
          </cell>
          <cell r="L73" t="str">
            <v>D2</v>
          </cell>
          <cell r="O73" t="str">
            <v>B</v>
          </cell>
          <cell r="P73">
            <v>168</v>
          </cell>
          <cell r="Q73">
            <v>184</v>
          </cell>
          <cell r="R73">
            <v>133</v>
          </cell>
          <cell r="S73">
            <v>175</v>
          </cell>
          <cell r="T73">
            <v>35</v>
          </cell>
          <cell r="U73">
            <v>9</v>
          </cell>
          <cell r="V73">
            <v>272</v>
          </cell>
          <cell r="W73">
            <v>300</v>
          </cell>
          <cell r="X73">
            <v>237</v>
          </cell>
          <cell r="Y73">
            <v>313</v>
          </cell>
          <cell r="Z73">
            <v>35</v>
          </cell>
          <cell r="AA73">
            <v>-13</v>
          </cell>
          <cell r="AB73">
            <v>352</v>
          </cell>
          <cell r="AC73">
            <v>308</v>
          </cell>
          <cell r="AD73">
            <v>44</v>
          </cell>
          <cell r="AE73">
            <v>572</v>
          </cell>
          <cell r="AF73">
            <v>550</v>
          </cell>
          <cell r="AG73">
            <v>22</v>
          </cell>
        </row>
        <row r="74">
          <cell r="C74">
            <v>113792</v>
          </cell>
          <cell r="D74" t="str">
            <v>V.B. PAREKH, SATARA</v>
          </cell>
          <cell r="E74" t="str">
            <v>BPCL</v>
          </cell>
          <cell r="G74" t="str">
            <v>Satara West RSA</v>
          </cell>
          <cell r="J74" t="str">
            <v>Satara City</v>
          </cell>
          <cell r="K74" t="str">
            <v>Satara</v>
          </cell>
          <cell r="L74" t="str">
            <v>C</v>
          </cell>
          <cell r="O74" t="str">
            <v>A</v>
          </cell>
          <cell r="P74">
            <v>119</v>
          </cell>
          <cell r="Q74">
            <v>0</v>
          </cell>
          <cell r="R74">
            <v>125</v>
          </cell>
          <cell r="S74">
            <v>0</v>
          </cell>
          <cell r="T74">
            <v>-6</v>
          </cell>
          <cell r="U74">
            <v>0</v>
          </cell>
          <cell r="V74">
            <v>240</v>
          </cell>
          <cell r="W74">
            <v>0</v>
          </cell>
          <cell r="X74">
            <v>255</v>
          </cell>
          <cell r="Y74">
            <v>0</v>
          </cell>
          <cell r="Z74">
            <v>-15</v>
          </cell>
          <cell r="AA74">
            <v>0</v>
          </cell>
          <cell r="AB74">
            <v>119</v>
          </cell>
          <cell r="AC74">
            <v>125</v>
          </cell>
          <cell r="AD74">
            <v>-6</v>
          </cell>
          <cell r="AE74">
            <v>240</v>
          </cell>
          <cell r="AF74">
            <v>255</v>
          </cell>
          <cell r="AG74">
            <v>-15</v>
          </cell>
        </row>
        <row r="75">
          <cell r="C75">
            <v>113794</v>
          </cell>
          <cell r="D75" t="str">
            <v>PHALTAN INDUSTRIES</v>
          </cell>
          <cell r="E75" t="str">
            <v>BPCL</v>
          </cell>
          <cell r="G75" t="str">
            <v>Satara East RSA</v>
          </cell>
          <cell r="J75" t="str">
            <v>Satara City</v>
          </cell>
          <cell r="K75" t="str">
            <v>Satara</v>
          </cell>
          <cell r="L75" t="str">
            <v>D1</v>
          </cell>
          <cell r="M75" t="str">
            <v>NH-965</v>
          </cell>
          <cell r="O75" t="str">
            <v>B</v>
          </cell>
          <cell r="P75">
            <v>46</v>
          </cell>
          <cell r="Q75">
            <v>34</v>
          </cell>
          <cell r="R75">
            <v>36</v>
          </cell>
          <cell r="S75">
            <v>36</v>
          </cell>
          <cell r="T75">
            <v>10</v>
          </cell>
          <cell r="U75">
            <v>-2</v>
          </cell>
          <cell r="V75">
            <v>100</v>
          </cell>
          <cell r="W75">
            <v>76</v>
          </cell>
          <cell r="X75">
            <v>69</v>
          </cell>
          <cell r="Y75">
            <v>63</v>
          </cell>
          <cell r="Z75">
            <v>31</v>
          </cell>
          <cell r="AA75">
            <v>13</v>
          </cell>
          <cell r="AB75">
            <v>80</v>
          </cell>
          <cell r="AC75">
            <v>72</v>
          </cell>
          <cell r="AD75">
            <v>8</v>
          </cell>
          <cell r="AE75">
            <v>176</v>
          </cell>
          <cell r="AF75">
            <v>132</v>
          </cell>
          <cell r="AG75">
            <v>44</v>
          </cell>
        </row>
        <row r="76">
          <cell r="C76">
            <v>113796</v>
          </cell>
          <cell r="D76" t="str">
            <v>PRAJAKTA F.S.</v>
          </cell>
          <cell r="E76" t="str">
            <v>BPCL</v>
          </cell>
          <cell r="G76" t="str">
            <v>Ahmednagar West RSA</v>
          </cell>
          <cell r="J76" t="str">
            <v>BELWANDI</v>
          </cell>
          <cell r="K76" t="str">
            <v>Ahmednagar</v>
          </cell>
          <cell r="L76" t="str">
            <v>D2</v>
          </cell>
          <cell r="O76" t="str">
            <v>A</v>
          </cell>
          <cell r="P76">
            <v>33</v>
          </cell>
          <cell r="Q76">
            <v>87</v>
          </cell>
          <cell r="R76">
            <v>40</v>
          </cell>
          <cell r="S76">
            <v>83</v>
          </cell>
          <cell r="T76">
            <v>-7</v>
          </cell>
          <cell r="U76">
            <v>4</v>
          </cell>
          <cell r="V76">
            <v>63</v>
          </cell>
          <cell r="W76">
            <v>153</v>
          </cell>
          <cell r="X76">
            <v>70</v>
          </cell>
          <cell r="Y76">
            <v>137</v>
          </cell>
          <cell r="Z76">
            <v>-7</v>
          </cell>
          <cell r="AA76">
            <v>16</v>
          </cell>
          <cell r="AB76">
            <v>120</v>
          </cell>
          <cell r="AC76">
            <v>123</v>
          </cell>
          <cell r="AD76">
            <v>-3</v>
          </cell>
          <cell r="AE76">
            <v>216</v>
          </cell>
          <cell r="AF76">
            <v>207</v>
          </cell>
          <cell r="AG76">
            <v>9</v>
          </cell>
        </row>
        <row r="77">
          <cell r="C77">
            <v>113797</v>
          </cell>
          <cell r="D77" t="str">
            <v>RAJ AUTOMOBILES</v>
          </cell>
          <cell r="E77" t="str">
            <v>BPCL</v>
          </cell>
          <cell r="G77" t="str">
            <v>Satara West RSA</v>
          </cell>
          <cell r="J77" t="str">
            <v>Satara City</v>
          </cell>
          <cell r="K77" t="str">
            <v>Satara</v>
          </cell>
          <cell r="L77" t="str">
            <v>C</v>
          </cell>
          <cell r="O77" t="str">
            <v>A</v>
          </cell>
          <cell r="P77">
            <v>163</v>
          </cell>
          <cell r="Q77">
            <v>49</v>
          </cell>
          <cell r="R77">
            <v>164</v>
          </cell>
          <cell r="S77">
            <v>52</v>
          </cell>
          <cell r="T77">
            <v>-1</v>
          </cell>
          <cell r="U77">
            <v>-3</v>
          </cell>
          <cell r="V77">
            <v>311</v>
          </cell>
          <cell r="W77">
            <v>93</v>
          </cell>
          <cell r="X77">
            <v>324</v>
          </cell>
          <cell r="Y77">
            <v>96</v>
          </cell>
          <cell r="Z77">
            <v>-13</v>
          </cell>
          <cell r="AA77">
            <v>-3</v>
          </cell>
          <cell r="AB77">
            <v>212</v>
          </cell>
          <cell r="AC77">
            <v>216</v>
          </cell>
          <cell r="AD77">
            <v>-4</v>
          </cell>
          <cell r="AE77">
            <v>404</v>
          </cell>
          <cell r="AF77">
            <v>420</v>
          </cell>
          <cell r="AG77">
            <v>-16</v>
          </cell>
        </row>
        <row r="78">
          <cell r="C78">
            <v>113798</v>
          </cell>
          <cell r="D78" t="str">
            <v>SANGAM TRADING COMPANY</v>
          </cell>
          <cell r="E78" t="str">
            <v>BPCL</v>
          </cell>
          <cell r="G78" t="str">
            <v>Satara West RSA</v>
          </cell>
          <cell r="J78" t="str">
            <v>Karad On NH-166E</v>
          </cell>
          <cell r="K78" t="str">
            <v>Satara</v>
          </cell>
          <cell r="L78" t="str">
            <v>D1</v>
          </cell>
          <cell r="M78" t="str">
            <v>NH-166E</v>
          </cell>
          <cell r="O78" t="str">
            <v>A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</row>
        <row r="79">
          <cell r="C79">
            <v>113971</v>
          </cell>
          <cell r="D79" t="str">
            <v xml:space="preserve">GHUMATKAR PETROLEUM </v>
          </cell>
          <cell r="E79" t="str">
            <v>BPCL</v>
          </cell>
          <cell r="G79" t="str">
            <v>Pune Wagholi RSA</v>
          </cell>
          <cell r="J79" t="str">
            <v>Peth on NH LHS</v>
          </cell>
          <cell r="K79" t="str">
            <v>Pune</v>
          </cell>
          <cell r="L79" t="str">
            <v>D1</v>
          </cell>
          <cell r="M79" t="str">
            <v>NH-60</v>
          </cell>
          <cell r="O79" t="str">
            <v>A</v>
          </cell>
          <cell r="P79">
            <v>0</v>
          </cell>
          <cell r="Q79">
            <v>314</v>
          </cell>
          <cell r="R79">
            <v>0</v>
          </cell>
          <cell r="S79">
            <v>319</v>
          </cell>
          <cell r="T79">
            <v>0</v>
          </cell>
          <cell r="U79">
            <v>-5</v>
          </cell>
          <cell r="V79">
            <v>0</v>
          </cell>
          <cell r="W79">
            <v>599</v>
          </cell>
          <cell r="X79">
            <v>0</v>
          </cell>
          <cell r="Y79">
            <v>621</v>
          </cell>
          <cell r="Z79">
            <v>0</v>
          </cell>
          <cell r="AA79">
            <v>-22</v>
          </cell>
          <cell r="AB79">
            <v>314</v>
          </cell>
          <cell r="AC79">
            <v>319</v>
          </cell>
          <cell r="AD79">
            <v>-5</v>
          </cell>
          <cell r="AE79">
            <v>599</v>
          </cell>
          <cell r="AF79">
            <v>621</v>
          </cell>
          <cell r="AG79">
            <v>-22</v>
          </cell>
        </row>
        <row r="80">
          <cell r="C80">
            <v>117043</v>
          </cell>
          <cell r="D80" t="str">
            <v>Chandrashekhar Petroleum</v>
          </cell>
          <cell r="E80" t="str">
            <v>BPCL</v>
          </cell>
          <cell r="G80" t="str">
            <v>Pune Hadapsar RSA</v>
          </cell>
          <cell r="J80" t="str">
            <v>Kurkumbh RHS</v>
          </cell>
          <cell r="K80" t="str">
            <v>Pune</v>
          </cell>
          <cell r="L80" t="str">
            <v>D1</v>
          </cell>
          <cell r="M80" t="str">
            <v>NH-65</v>
          </cell>
          <cell r="O80" t="str">
            <v>A</v>
          </cell>
          <cell r="P80">
            <v>25</v>
          </cell>
          <cell r="Q80">
            <v>255</v>
          </cell>
          <cell r="R80">
            <v>35</v>
          </cell>
          <cell r="S80">
            <v>205</v>
          </cell>
          <cell r="T80">
            <v>-10</v>
          </cell>
          <cell r="U80">
            <v>50</v>
          </cell>
          <cell r="V80">
            <v>55</v>
          </cell>
          <cell r="W80">
            <v>519</v>
          </cell>
          <cell r="X80">
            <v>60</v>
          </cell>
          <cell r="Y80">
            <v>380</v>
          </cell>
          <cell r="Z80">
            <v>-5</v>
          </cell>
          <cell r="AA80">
            <v>139</v>
          </cell>
          <cell r="AB80">
            <v>280</v>
          </cell>
          <cell r="AC80">
            <v>240</v>
          </cell>
          <cell r="AD80">
            <v>40</v>
          </cell>
          <cell r="AE80">
            <v>574</v>
          </cell>
          <cell r="AF80">
            <v>440</v>
          </cell>
          <cell r="AG80">
            <v>134</v>
          </cell>
        </row>
        <row r="81">
          <cell r="C81">
            <v>130349</v>
          </cell>
          <cell r="D81" t="str">
            <v>BP PUNE RTO</v>
          </cell>
          <cell r="E81" t="str">
            <v>BPCL</v>
          </cell>
          <cell r="G81" t="str">
            <v>Pune City RSA</v>
          </cell>
          <cell r="J81" t="str">
            <v xml:space="preserve">PUNE RTO </v>
          </cell>
          <cell r="K81" t="str">
            <v>Pune</v>
          </cell>
          <cell r="L81" t="str">
            <v>A</v>
          </cell>
          <cell r="O81" t="str">
            <v>A</v>
          </cell>
          <cell r="P81">
            <v>418.64299999999997</v>
          </cell>
          <cell r="Q81">
            <v>345.85199999999998</v>
          </cell>
          <cell r="R81">
            <v>379.16600000000005</v>
          </cell>
          <cell r="S81">
            <v>291.92700000000002</v>
          </cell>
          <cell r="T81">
            <v>39.476999999999919</v>
          </cell>
          <cell r="U81">
            <v>53.924999999999955</v>
          </cell>
          <cell r="V81">
            <v>835.96900000000005</v>
          </cell>
          <cell r="W81">
            <v>666.89400000000001</v>
          </cell>
          <cell r="X81">
            <v>778.61800000000005</v>
          </cell>
          <cell r="Y81">
            <v>585.53400000000011</v>
          </cell>
          <cell r="Z81">
            <v>57.350999999999999</v>
          </cell>
          <cell r="AA81">
            <v>81.3599999999999</v>
          </cell>
          <cell r="AB81">
            <v>764.49499999999989</v>
          </cell>
          <cell r="AC81">
            <v>671.09300000000007</v>
          </cell>
          <cell r="AD81">
            <v>93.401999999999816</v>
          </cell>
          <cell r="AE81">
            <v>1502.8630000000001</v>
          </cell>
          <cell r="AF81">
            <v>1364.152</v>
          </cell>
          <cell r="AG81">
            <v>138.71100000000001</v>
          </cell>
        </row>
        <row r="82">
          <cell r="C82">
            <v>135471</v>
          </cell>
          <cell r="D82" t="str">
            <v>SWAMY SAMARTH</v>
          </cell>
          <cell r="E82" t="str">
            <v>BPCL</v>
          </cell>
          <cell r="G82" t="str">
            <v>Shirdi RSA</v>
          </cell>
          <cell r="J82" t="str">
            <v>YESGAON</v>
          </cell>
          <cell r="K82" t="str">
            <v>Ahmednagar</v>
          </cell>
          <cell r="L82" t="str">
            <v>D1</v>
          </cell>
          <cell r="M82" t="str">
            <v>NH-752G</v>
          </cell>
          <cell r="O82" t="str">
            <v>A</v>
          </cell>
          <cell r="P82">
            <v>24</v>
          </cell>
          <cell r="Q82">
            <v>72</v>
          </cell>
          <cell r="R82">
            <v>24</v>
          </cell>
          <cell r="S82">
            <v>108</v>
          </cell>
          <cell r="T82">
            <v>0</v>
          </cell>
          <cell r="U82">
            <v>-36</v>
          </cell>
          <cell r="V82">
            <v>45</v>
          </cell>
          <cell r="W82">
            <v>135</v>
          </cell>
          <cell r="X82">
            <v>39</v>
          </cell>
          <cell r="Y82">
            <v>213</v>
          </cell>
          <cell r="Z82">
            <v>6</v>
          </cell>
          <cell r="AA82">
            <v>-78</v>
          </cell>
          <cell r="AB82">
            <v>96</v>
          </cell>
          <cell r="AC82">
            <v>132</v>
          </cell>
          <cell r="AD82">
            <v>-36</v>
          </cell>
          <cell r="AE82">
            <v>180</v>
          </cell>
          <cell r="AF82">
            <v>252</v>
          </cell>
          <cell r="AG82">
            <v>-72</v>
          </cell>
        </row>
        <row r="83">
          <cell r="C83">
            <v>135490</v>
          </cell>
          <cell r="D83" t="str">
            <v>BP KHEDSHIVAPUR</v>
          </cell>
          <cell r="E83" t="str">
            <v>BPCL</v>
          </cell>
          <cell r="G83" t="str">
            <v>Pune Tathawade RSA</v>
          </cell>
          <cell r="J83" t="str">
            <v>KHEDSHIVAPUR TO HARISHCHANDRI</v>
          </cell>
          <cell r="K83" t="str">
            <v>Pune</v>
          </cell>
          <cell r="L83" t="str">
            <v>D1</v>
          </cell>
          <cell r="M83" t="str">
            <v>NH-48</v>
          </cell>
          <cell r="O83" t="str">
            <v>A</v>
          </cell>
          <cell r="P83">
            <v>275.39999999999998</v>
          </cell>
          <cell r="Q83">
            <v>932.7</v>
          </cell>
          <cell r="R83">
            <v>280.51100000000002</v>
          </cell>
          <cell r="S83">
            <v>656.54499999999996</v>
          </cell>
          <cell r="T83">
            <v>-5.1110000000000468</v>
          </cell>
          <cell r="U83">
            <v>276.15500000000009</v>
          </cell>
          <cell r="V83">
            <v>510.53399999999999</v>
          </cell>
          <cell r="W83">
            <v>1786.1460000000002</v>
          </cell>
          <cell r="X83">
            <v>545.13000000000011</v>
          </cell>
          <cell r="Y83">
            <v>1314.3519999999999</v>
          </cell>
          <cell r="Z83">
            <v>-34.596000000000117</v>
          </cell>
          <cell r="AA83">
            <v>471.79400000000032</v>
          </cell>
          <cell r="AB83">
            <v>1208.0999999999999</v>
          </cell>
          <cell r="AC83">
            <v>937.05600000000004</v>
          </cell>
          <cell r="AD83">
            <v>271.04399999999987</v>
          </cell>
          <cell r="AE83">
            <v>2296.6800000000003</v>
          </cell>
          <cell r="AF83">
            <v>1859.482</v>
          </cell>
          <cell r="AG83">
            <v>437.19800000000032</v>
          </cell>
        </row>
        <row r="84">
          <cell r="C84">
            <v>138326</v>
          </cell>
          <cell r="D84" t="str">
            <v>DEEPAK FUEL WORLD</v>
          </cell>
          <cell r="E84" t="str">
            <v>BPCL</v>
          </cell>
          <cell r="G84" t="str">
            <v>Ahmednagar East RSA</v>
          </cell>
          <cell r="J84" t="str">
            <v>Savedi</v>
          </cell>
          <cell r="K84" t="str">
            <v>Ahmednagar</v>
          </cell>
          <cell r="L84" t="str">
            <v>C</v>
          </cell>
          <cell r="O84" t="str">
            <v>A</v>
          </cell>
          <cell r="P84">
            <v>152.5</v>
          </cell>
          <cell r="Q84">
            <v>73.5</v>
          </cell>
          <cell r="R84">
            <v>118</v>
          </cell>
          <cell r="S84">
            <v>52</v>
          </cell>
          <cell r="T84">
            <v>34.5</v>
          </cell>
          <cell r="U84">
            <v>21.5</v>
          </cell>
          <cell r="V84">
            <v>285.5</v>
          </cell>
          <cell r="W84">
            <v>128.5</v>
          </cell>
          <cell r="X84">
            <v>227</v>
          </cell>
          <cell r="Y84">
            <v>105</v>
          </cell>
          <cell r="Z84">
            <v>58.5</v>
          </cell>
          <cell r="AA84">
            <v>23.5</v>
          </cell>
          <cell r="AB84">
            <v>226</v>
          </cell>
          <cell r="AC84">
            <v>170</v>
          </cell>
          <cell r="AD84">
            <v>56</v>
          </cell>
          <cell r="AE84">
            <v>414</v>
          </cell>
          <cell r="AF84">
            <v>332</v>
          </cell>
          <cell r="AG84">
            <v>82</v>
          </cell>
        </row>
        <row r="85">
          <cell r="C85">
            <v>138473</v>
          </cell>
          <cell r="D85" t="str">
            <v>NAMJOSHI PETROLEUM CORP.</v>
          </cell>
          <cell r="E85" t="str">
            <v>BPCL</v>
          </cell>
          <cell r="G85" t="str">
            <v>Satara East RSA</v>
          </cell>
          <cell r="J85" t="str">
            <v>Gharewadi</v>
          </cell>
          <cell r="K85" t="str">
            <v>Satara</v>
          </cell>
          <cell r="L85" t="str">
            <v>C</v>
          </cell>
          <cell r="O85" t="str">
            <v>B</v>
          </cell>
          <cell r="P85">
            <v>185</v>
          </cell>
          <cell r="Q85">
            <v>135</v>
          </cell>
          <cell r="R85">
            <v>75</v>
          </cell>
          <cell r="S85">
            <v>65</v>
          </cell>
          <cell r="T85">
            <v>110</v>
          </cell>
          <cell r="U85">
            <v>70</v>
          </cell>
          <cell r="V85">
            <v>355</v>
          </cell>
          <cell r="W85">
            <v>265</v>
          </cell>
          <cell r="X85">
            <v>190</v>
          </cell>
          <cell r="Y85">
            <v>170</v>
          </cell>
          <cell r="Z85">
            <v>165</v>
          </cell>
          <cell r="AA85">
            <v>95</v>
          </cell>
          <cell r="AB85">
            <v>320</v>
          </cell>
          <cell r="AC85">
            <v>140</v>
          </cell>
          <cell r="AD85">
            <v>180</v>
          </cell>
          <cell r="AE85">
            <v>620</v>
          </cell>
          <cell r="AF85">
            <v>360</v>
          </cell>
          <cell r="AG85">
            <v>260</v>
          </cell>
        </row>
        <row r="86">
          <cell r="C86">
            <v>138833</v>
          </cell>
          <cell r="D86" t="str">
            <v>TRINITY HIGHWAY SERVICES</v>
          </cell>
          <cell r="E86" t="str">
            <v>BPCL</v>
          </cell>
          <cell r="G86" t="str">
            <v>Satara West RSA</v>
          </cell>
          <cell r="J86" t="str">
            <v>PATAN</v>
          </cell>
          <cell r="K86" t="str">
            <v>Satara</v>
          </cell>
          <cell r="L86" t="str">
            <v>D1</v>
          </cell>
          <cell r="M86" t="str">
            <v>NH-166E</v>
          </cell>
          <cell r="O86" t="str">
            <v>B</v>
          </cell>
          <cell r="P86">
            <v>85</v>
          </cell>
          <cell r="Q86">
            <v>95</v>
          </cell>
          <cell r="R86">
            <v>120</v>
          </cell>
          <cell r="S86">
            <v>180</v>
          </cell>
          <cell r="T86">
            <v>-35</v>
          </cell>
          <cell r="U86">
            <v>-85</v>
          </cell>
          <cell r="V86">
            <v>190</v>
          </cell>
          <cell r="W86">
            <v>210</v>
          </cell>
          <cell r="X86">
            <v>235</v>
          </cell>
          <cell r="Y86">
            <v>365</v>
          </cell>
          <cell r="Z86">
            <v>-45</v>
          </cell>
          <cell r="AA86">
            <v>-155</v>
          </cell>
          <cell r="AB86">
            <v>180</v>
          </cell>
          <cell r="AC86">
            <v>300</v>
          </cell>
          <cell r="AD86">
            <v>-120</v>
          </cell>
          <cell r="AE86">
            <v>400</v>
          </cell>
          <cell r="AF86">
            <v>600</v>
          </cell>
          <cell r="AG86">
            <v>-200</v>
          </cell>
        </row>
        <row r="87">
          <cell r="C87">
            <v>138882</v>
          </cell>
          <cell r="D87" t="str">
            <v>KEDARI SERVICE STATION</v>
          </cell>
          <cell r="E87" t="str">
            <v>BPCL</v>
          </cell>
          <cell r="G87" t="str">
            <v>Pune City RSA</v>
          </cell>
          <cell r="J87" t="str">
            <v>WANWORIE</v>
          </cell>
          <cell r="K87" t="str">
            <v>Pune</v>
          </cell>
          <cell r="L87" t="str">
            <v>A</v>
          </cell>
          <cell r="O87" t="str">
            <v>A</v>
          </cell>
          <cell r="P87">
            <v>599</v>
          </cell>
          <cell r="Q87">
            <v>178</v>
          </cell>
          <cell r="R87">
            <v>560</v>
          </cell>
          <cell r="S87">
            <v>160</v>
          </cell>
          <cell r="T87">
            <v>39</v>
          </cell>
          <cell r="U87">
            <v>18</v>
          </cell>
          <cell r="V87">
            <v>1166</v>
          </cell>
          <cell r="W87">
            <v>345</v>
          </cell>
          <cell r="X87">
            <v>1140</v>
          </cell>
          <cell r="Y87">
            <v>320</v>
          </cell>
          <cell r="Z87">
            <v>26</v>
          </cell>
          <cell r="AA87">
            <v>25</v>
          </cell>
          <cell r="AB87">
            <v>777</v>
          </cell>
          <cell r="AC87">
            <v>720</v>
          </cell>
          <cell r="AD87">
            <v>57</v>
          </cell>
          <cell r="AE87">
            <v>1511</v>
          </cell>
          <cell r="AF87">
            <v>1460</v>
          </cell>
          <cell r="AG87">
            <v>51</v>
          </cell>
        </row>
        <row r="88">
          <cell r="C88">
            <v>138896</v>
          </cell>
          <cell r="D88" t="str">
            <v>MAGAR PETROLEUM</v>
          </cell>
          <cell r="E88" t="str">
            <v>BPCL</v>
          </cell>
          <cell r="G88" t="str">
            <v>Pune City RSA</v>
          </cell>
          <cell r="J88" t="str">
            <v>MAGARPATTA CITY</v>
          </cell>
          <cell r="K88" t="str">
            <v>Pune</v>
          </cell>
          <cell r="L88" t="str">
            <v>A</v>
          </cell>
          <cell r="O88" t="str">
            <v>A</v>
          </cell>
          <cell r="P88">
            <v>460</v>
          </cell>
          <cell r="Q88">
            <v>260</v>
          </cell>
          <cell r="R88">
            <v>445</v>
          </cell>
          <cell r="S88">
            <v>295</v>
          </cell>
          <cell r="T88">
            <v>15</v>
          </cell>
          <cell r="U88">
            <v>-35</v>
          </cell>
          <cell r="V88">
            <v>895</v>
          </cell>
          <cell r="W88">
            <v>485</v>
          </cell>
          <cell r="X88">
            <v>870</v>
          </cell>
          <cell r="Y88">
            <v>590</v>
          </cell>
          <cell r="Z88">
            <v>25</v>
          </cell>
          <cell r="AA88">
            <v>-105</v>
          </cell>
          <cell r="AB88">
            <v>720</v>
          </cell>
          <cell r="AC88">
            <v>740</v>
          </cell>
          <cell r="AD88">
            <v>-20</v>
          </cell>
          <cell r="AE88">
            <v>1380</v>
          </cell>
          <cell r="AF88">
            <v>1460</v>
          </cell>
          <cell r="AG88">
            <v>-80</v>
          </cell>
        </row>
        <row r="89">
          <cell r="C89">
            <v>139863</v>
          </cell>
          <cell r="D89" t="str">
            <v>KOTESHWAR PETROLEUM</v>
          </cell>
          <cell r="E89" t="str">
            <v>BPCL</v>
          </cell>
          <cell r="G89" t="str">
            <v>Pimpri Chinchwad RSA</v>
          </cell>
          <cell r="J89" t="str">
            <v>Kudal</v>
          </cell>
          <cell r="K89" t="str">
            <v>Pune</v>
          </cell>
          <cell r="L89" t="str">
            <v>A</v>
          </cell>
          <cell r="O89" t="str">
            <v>A</v>
          </cell>
          <cell r="P89">
            <v>410</v>
          </cell>
          <cell r="Q89">
            <v>166</v>
          </cell>
          <cell r="R89">
            <v>369</v>
          </cell>
          <cell r="S89">
            <v>127</v>
          </cell>
          <cell r="T89">
            <v>41</v>
          </cell>
          <cell r="U89">
            <v>39</v>
          </cell>
          <cell r="V89">
            <v>789</v>
          </cell>
          <cell r="W89">
            <v>313</v>
          </cell>
          <cell r="X89">
            <v>729</v>
          </cell>
          <cell r="Y89">
            <v>247</v>
          </cell>
          <cell r="Z89">
            <v>60</v>
          </cell>
          <cell r="AA89">
            <v>66</v>
          </cell>
          <cell r="AB89">
            <v>576</v>
          </cell>
          <cell r="AC89">
            <v>496</v>
          </cell>
          <cell r="AD89">
            <v>80</v>
          </cell>
          <cell r="AE89">
            <v>1102</v>
          </cell>
          <cell r="AF89">
            <v>976</v>
          </cell>
          <cell r="AG89">
            <v>126</v>
          </cell>
        </row>
        <row r="90">
          <cell r="C90">
            <v>140030</v>
          </cell>
          <cell r="D90" t="str">
            <v>NEW  AGE  FUEL WORLD</v>
          </cell>
          <cell r="E90" t="str">
            <v>BPCL</v>
          </cell>
          <cell r="G90" t="str">
            <v>Ahmednagar East RSA</v>
          </cell>
          <cell r="J90" t="str">
            <v>MIDC Nagapur</v>
          </cell>
          <cell r="K90" t="str">
            <v>Ahmednagar</v>
          </cell>
          <cell r="L90" t="str">
            <v>D2</v>
          </cell>
          <cell r="O90" t="str">
            <v>B</v>
          </cell>
          <cell r="P90">
            <v>97</v>
          </cell>
          <cell r="Q90">
            <v>335</v>
          </cell>
          <cell r="R90">
            <v>96</v>
          </cell>
          <cell r="S90">
            <v>308</v>
          </cell>
          <cell r="T90">
            <v>1</v>
          </cell>
          <cell r="U90">
            <v>27</v>
          </cell>
          <cell r="V90">
            <v>172</v>
          </cell>
          <cell r="W90">
            <v>616</v>
          </cell>
          <cell r="X90">
            <v>176</v>
          </cell>
          <cell r="Y90">
            <v>548</v>
          </cell>
          <cell r="Z90">
            <v>-4</v>
          </cell>
          <cell r="AA90">
            <v>68</v>
          </cell>
          <cell r="AB90">
            <v>432</v>
          </cell>
          <cell r="AC90">
            <v>404</v>
          </cell>
          <cell r="AD90">
            <v>28</v>
          </cell>
          <cell r="AE90">
            <v>788</v>
          </cell>
          <cell r="AF90">
            <v>724</v>
          </cell>
          <cell r="AG90">
            <v>64</v>
          </cell>
        </row>
        <row r="91">
          <cell r="C91">
            <v>140292</v>
          </cell>
          <cell r="D91" t="str">
            <v>ISHWAR SERVICE STATION</v>
          </cell>
          <cell r="E91" t="str">
            <v>BPCL</v>
          </cell>
          <cell r="G91" t="str">
            <v>Pune City RSA</v>
          </cell>
          <cell r="J91" t="str">
            <v>MARKET YARD/LULLANAGAR</v>
          </cell>
          <cell r="K91" t="str">
            <v>Pune</v>
          </cell>
          <cell r="L91" t="str">
            <v>A</v>
          </cell>
          <cell r="O91" t="str">
            <v>A</v>
          </cell>
          <cell r="P91">
            <v>297</v>
          </cell>
          <cell r="Q91">
            <v>117</v>
          </cell>
          <cell r="R91">
            <v>342.000001</v>
          </cell>
          <cell r="S91">
            <v>144</v>
          </cell>
          <cell r="T91">
            <v>-45.000000999999997</v>
          </cell>
          <cell r="U91">
            <v>-27</v>
          </cell>
          <cell r="V91">
            <v>616.5</v>
          </cell>
          <cell r="W91">
            <v>247.5</v>
          </cell>
          <cell r="X91">
            <v>693.00000199999999</v>
          </cell>
          <cell r="Y91">
            <v>279</v>
          </cell>
          <cell r="Z91">
            <v>-76.500001999999995</v>
          </cell>
          <cell r="AA91">
            <v>-31.5</v>
          </cell>
          <cell r="AB91">
            <v>414</v>
          </cell>
          <cell r="AC91">
            <v>486.000001</v>
          </cell>
          <cell r="AD91">
            <v>-72.000000999999997</v>
          </cell>
          <cell r="AE91">
            <v>864</v>
          </cell>
          <cell r="AF91">
            <v>972.00000199999999</v>
          </cell>
          <cell r="AG91">
            <v>-108.00000199999999</v>
          </cell>
        </row>
        <row r="92">
          <cell r="C92">
            <v>140498</v>
          </cell>
          <cell r="D92" t="str">
            <v>SHREEPAD HIGHWAY FUEL CENTRE</v>
          </cell>
          <cell r="E92" t="str">
            <v>BPCL</v>
          </cell>
          <cell r="G92" t="str">
            <v>Pune Saswad RSA</v>
          </cell>
          <cell r="J92" t="str">
            <v>LONI DEOKAR</v>
          </cell>
          <cell r="K92" t="str">
            <v>Pune</v>
          </cell>
          <cell r="L92" t="str">
            <v>D1</v>
          </cell>
          <cell r="M92" t="str">
            <v>NH-65</v>
          </cell>
          <cell r="O92" t="str">
            <v>B</v>
          </cell>
          <cell r="P92">
            <v>75</v>
          </cell>
          <cell r="Q92">
            <v>225</v>
          </cell>
          <cell r="R92">
            <v>55</v>
          </cell>
          <cell r="S92">
            <v>145</v>
          </cell>
          <cell r="T92">
            <v>20</v>
          </cell>
          <cell r="U92">
            <v>80</v>
          </cell>
          <cell r="V92">
            <v>145</v>
          </cell>
          <cell r="W92">
            <v>415</v>
          </cell>
          <cell r="X92">
            <v>105</v>
          </cell>
          <cell r="Y92">
            <v>295</v>
          </cell>
          <cell r="Z92">
            <v>40</v>
          </cell>
          <cell r="AA92">
            <v>120</v>
          </cell>
          <cell r="AB92">
            <v>300</v>
          </cell>
          <cell r="AC92">
            <v>200</v>
          </cell>
          <cell r="AD92">
            <v>100</v>
          </cell>
          <cell r="AE92">
            <v>560</v>
          </cell>
          <cell r="AF92">
            <v>400</v>
          </cell>
          <cell r="AG92">
            <v>160</v>
          </cell>
        </row>
        <row r="93">
          <cell r="C93">
            <v>140600</v>
          </cell>
          <cell r="D93" t="str">
            <v>KASAT PETROLEUMS</v>
          </cell>
          <cell r="E93" t="str">
            <v>BPCL</v>
          </cell>
          <cell r="G93" t="str">
            <v>Pune City RSA</v>
          </cell>
          <cell r="J93" t="str">
            <v>KARVE ROAD</v>
          </cell>
          <cell r="K93" t="str">
            <v>Pune</v>
          </cell>
          <cell r="L93" t="str">
            <v>A</v>
          </cell>
          <cell r="O93" t="str">
            <v>A</v>
          </cell>
          <cell r="P93">
            <v>540</v>
          </cell>
          <cell r="Q93">
            <v>184</v>
          </cell>
          <cell r="R93">
            <v>540</v>
          </cell>
          <cell r="S93">
            <v>180</v>
          </cell>
          <cell r="T93">
            <v>0</v>
          </cell>
          <cell r="U93">
            <v>4</v>
          </cell>
          <cell r="V93">
            <v>1058</v>
          </cell>
          <cell r="W93">
            <v>368</v>
          </cell>
          <cell r="X93">
            <v>1095</v>
          </cell>
          <cell r="Y93">
            <v>365</v>
          </cell>
          <cell r="Z93">
            <v>-37</v>
          </cell>
          <cell r="AA93">
            <v>3</v>
          </cell>
          <cell r="AB93">
            <v>724</v>
          </cell>
          <cell r="AC93">
            <v>720</v>
          </cell>
          <cell r="AD93">
            <v>4</v>
          </cell>
          <cell r="AE93">
            <v>1426</v>
          </cell>
          <cell r="AF93">
            <v>1460</v>
          </cell>
          <cell r="AG93">
            <v>-34</v>
          </cell>
        </row>
        <row r="94">
          <cell r="C94">
            <v>140948</v>
          </cell>
          <cell r="D94" t="str">
            <v>MITTALI SERVICE STATION</v>
          </cell>
          <cell r="E94" t="str">
            <v>BPCL</v>
          </cell>
          <cell r="G94" t="str">
            <v>Pune City RSA</v>
          </cell>
          <cell r="J94" t="str">
            <v>SINGHAD ROAD(RHS)</v>
          </cell>
          <cell r="K94" t="str">
            <v>Pune</v>
          </cell>
          <cell r="L94" t="str">
            <v>A</v>
          </cell>
          <cell r="O94" t="str">
            <v>A</v>
          </cell>
          <cell r="P94">
            <v>424</v>
          </cell>
          <cell r="Q94">
            <v>121</v>
          </cell>
          <cell r="R94">
            <v>443.500001</v>
          </cell>
          <cell r="S94">
            <v>151.5</v>
          </cell>
          <cell r="T94">
            <v>-19.500000999999997</v>
          </cell>
          <cell r="U94">
            <v>-30.5</v>
          </cell>
          <cell r="V94">
            <v>850</v>
          </cell>
          <cell r="W94">
            <v>263</v>
          </cell>
          <cell r="X94">
            <v>908.00000399999999</v>
          </cell>
          <cell r="Y94">
            <v>314</v>
          </cell>
          <cell r="Z94">
            <v>-58.00000399999999</v>
          </cell>
          <cell r="AA94">
            <v>-51</v>
          </cell>
          <cell r="AB94">
            <v>545</v>
          </cell>
          <cell r="AC94">
            <v>595.000001</v>
          </cell>
          <cell r="AD94">
            <v>-50.000000999999997</v>
          </cell>
          <cell r="AE94">
            <v>1113</v>
          </cell>
          <cell r="AF94">
            <v>1222.000004</v>
          </cell>
          <cell r="AG94">
            <v>-109.00000399999999</v>
          </cell>
        </row>
        <row r="95">
          <cell r="C95">
            <v>140995</v>
          </cell>
          <cell r="D95" t="str">
            <v>SHIDDIVINAYAK PETROLEUM</v>
          </cell>
          <cell r="E95" t="str">
            <v>BPCL</v>
          </cell>
          <cell r="G95" t="str">
            <v>Pune Hadapsar RSA</v>
          </cell>
          <cell r="J95" t="str">
            <v>Hadapsar LHS</v>
          </cell>
          <cell r="K95" t="str">
            <v>Pune</v>
          </cell>
          <cell r="L95" t="str">
            <v>A</v>
          </cell>
          <cell r="O95" t="str">
            <v>A</v>
          </cell>
          <cell r="P95">
            <v>643</v>
          </cell>
          <cell r="Q95">
            <v>1317</v>
          </cell>
          <cell r="R95">
            <v>548</v>
          </cell>
          <cell r="S95">
            <v>1216</v>
          </cell>
          <cell r="T95">
            <v>95</v>
          </cell>
          <cell r="U95">
            <v>101</v>
          </cell>
          <cell r="V95">
            <v>1213</v>
          </cell>
          <cell r="W95">
            <v>2559</v>
          </cell>
          <cell r="X95">
            <v>1115</v>
          </cell>
          <cell r="Y95">
            <v>2357</v>
          </cell>
          <cell r="Z95">
            <v>98</v>
          </cell>
          <cell r="AA95">
            <v>202</v>
          </cell>
          <cell r="AB95">
            <v>1960</v>
          </cell>
          <cell r="AC95">
            <v>1764</v>
          </cell>
          <cell r="AD95">
            <v>196</v>
          </cell>
          <cell r="AE95">
            <v>3772</v>
          </cell>
          <cell r="AF95">
            <v>3472</v>
          </cell>
          <cell r="AG95">
            <v>300</v>
          </cell>
        </row>
        <row r="96">
          <cell r="C96">
            <v>141153</v>
          </cell>
          <cell r="D96" t="str">
            <v>UPKAR FUELS (CLOSED FROM NOV '08)</v>
          </cell>
          <cell r="E96" t="str">
            <v>BPCL</v>
          </cell>
          <cell r="G96" t="str">
            <v>Ahmednagar West RSA</v>
          </cell>
          <cell r="J96" t="str">
            <v>PATHARDI</v>
          </cell>
          <cell r="K96" t="str">
            <v>Ahmednagar</v>
          </cell>
          <cell r="L96" t="str">
            <v>D2</v>
          </cell>
          <cell r="O96" t="str">
            <v>B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</row>
        <row r="97">
          <cell r="C97">
            <v>141513</v>
          </cell>
          <cell r="D97" t="str">
            <v>OM SAI RAM FUEL CENTER</v>
          </cell>
          <cell r="E97" t="str">
            <v>BPCL</v>
          </cell>
          <cell r="G97" t="str">
            <v>Pimpri Chinchwad RSA</v>
          </cell>
          <cell r="J97" t="str">
            <v>Khandala to Shirwal</v>
          </cell>
          <cell r="K97" t="str">
            <v>Pune</v>
          </cell>
          <cell r="L97" t="str">
            <v>A</v>
          </cell>
          <cell r="O97" t="str">
            <v>A</v>
          </cell>
          <cell r="P97">
            <v>245</v>
          </cell>
          <cell r="Q97">
            <v>91</v>
          </cell>
          <cell r="R97">
            <v>228</v>
          </cell>
          <cell r="S97">
            <v>84</v>
          </cell>
          <cell r="T97">
            <v>17</v>
          </cell>
          <cell r="U97">
            <v>7</v>
          </cell>
          <cell r="V97">
            <v>462</v>
          </cell>
          <cell r="W97">
            <v>170</v>
          </cell>
          <cell r="X97">
            <v>458</v>
          </cell>
          <cell r="Y97">
            <v>164</v>
          </cell>
          <cell r="Z97">
            <v>4</v>
          </cell>
          <cell r="AA97">
            <v>6</v>
          </cell>
          <cell r="AB97">
            <v>336</v>
          </cell>
          <cell r="AC97">
            <v>312</v>
          </cell>
          <cell r="AD97">
            <v>24</v>
          </cell>
          <cell r="AE97">
            <v>632</v>
          </cell>
          <cell r="AF97">
            <v>622</v>
          </cell>
          <cell r="AG97">
            <v>10</v>
          </cell>
        </row>
        <row r="98">
          <cell r="C98">
            <v>141762</v>
          </cell>
          <cell r="D98" t="str">
            <v>BAFNA PVC</v>
          </cell>
          <cell r="E98" t="str">
            <v>BPCL</v>
          </cell>
          <cell r="G98" t="str">
            <v>Ahmednagar West RSA</v>
          </cell>
          <cell r="J98" t="str">
            <v>JAMKHED-NAGAR RD</v>
          </cell>
          <cell r="K98" t="str">
            <v>Ahmednagar</v>
          </cell>
          <cell r="L98" t="str">
            <v>D2</v>
          </cell>
          <cell r="O98" t="str">
            <v>A</v>
          </cell>
          <cell r="P98">
            <v>24</v>
          </cell>
          <cell r="Q98">
            <v>60</v>
          </cell>
          <cell r="R98">
            <v>13</v>
          </cell>
          <cell r="S98">
            <v>62</v>
          </cell>
          <cell r="T98">
            <v>11</v>
          </cell>
          <cell r="U98">
            <v>-2</v>
          </cell>
          <cell r="V98">
            <v>39</v>
          </cell>
          <cell r="W98">
            <v>105</v>
          </cell>
          <cell r="X98">
            <v>30</v>
          </cell>
          <cell r="Y98">
            <v>111</v>
          </cell>
          <cell r="Z98">
            <v>9</v>
          </cell>
          <cell r="AA98">
            <v>-6</v>
          </cell>
          <cell r="AB98">
            <v>84</v>
          </cell>
          <cell r="AC98">
            <v>75</v>
          </cell>
          <cell r="AD98">
            <v>9</v>
          </cell>
          <cell r="AE98">
            <v>144</v>
          </cell>
          <cell r="AF98">
            <v>141</v>
          </cell>
          <cell r="AG98">
            <v>3</v>
          </cell>
        </row>
        <row r="99">
          <cell r="C99">
            <v>142306</v>
          </cell>
          <cell r="D99" t="str">
            <v>PATEL SERVICE STATION</v>
          </cell>
          <cell r="E99" t="str">
            <v>BPCL</v>
          </cell>
          <cell r="G99" t="str">
            <v>Satara West RSA</v>
          </cell>
          <cell r="J99" t="str">
            <v>Karad City</v>
          </cell>
          <cell r="K99" t="str">
            <v>Satara</v>
          </cell>
          <cell r="L99" t="str">
            <v>C</v>
          </cell>
          <cell r="O99" t="str">
            <v>A</v>
          </cell>
          <cell r="P99">
            <v>159</v>
          </cell>
          <cell r="Q99">
            <v>105</v>
          </cell>
          <cell r="R99">
            <v>144</v>
          </cell>
          <cell r="S99">
            <v>120</v>
          </cell>
          <cell r="T99">
            <v>15</v>
          </cell>
          <cell r="U99">
            <v>-15</v>
          </cell>
          <cell r="V99">
            <v>288</v>
          </cell>
          <cell r="W99">
            <v>204</v>
          </cell>
          <cell r="X99">
            <v>273</v>
          </cell>
          <cell r="Y99">
            <v>219</v>
          </cell>
          <cell r="Z99">
            <v>15</v>
          </cell>
          <cell r="AA99">
            <v>-15</v>
          </cell>
          <cell r="AB99">
            <v>264</v>
          </cell>
          <cell r="AC99">
            <v>264</v>
          </cell>
          <cell r="AD99">
            <v>0</v>
          </cell>
          <cell r="AE99">
            <v>492</v>
          </cell>
          <cell r="AF99">
            <v>492</v>
          </cell>
          <cell r="AG99">
            <v>0</v>
          </cell>
        </row>
        <row r="100">
          <cell r="C100">
            <v>142887</v>
          </cell>
          <cell r="D100" t="str">
            <v>MADHUBAN PETROLEUM</v>
          </cell>
          <cell r="E100" t="str">
            <v>BPCL</v>
          </cell>
          <cell r="G100" t="str">
            <v>Shirdi RSA</v>
          </cell>
          <cell r="J100" t="str">
            <v>GHARGAON Nashik-Pune RHS</v>
          </cell>
          <cell r="K100" t="str">
            <v>Ahmednagar</v>
          </cell>
          <cell r="L100" t="str">
            <v>D1</v>
          </cell>
          <cell r="M100" t="str">
            <v>NH-60</v>
          </cell>
          <cell r="O100" t="str">
            <v>A</v>
          </cell>
          <cell r="P100">
            <v>21</v>
          </cell>
          <cell r="Q100">
            <v>63</v>
          </cell>
          <cell r="R100">
            <v>42</v>
          </cell>
          <cell r="S100">
            <v>90</v>
          </cell>
          <cell r="T100">
            <v>-21</v>
          </cell>
          <cell r="U100">
            <v>-27</v>
          </cell>
          <cell r="V100">
            <v>33</v>
          </cell>
          <cell r="W100">
            <v>99</v>
          </cell>
          <cell r="X100">
            <v>66</v>
          </cell>
          <cell r="Y100">
            <v>174</v>
          </cell>
          <cell r="Z100">
            <v>-33</v>
          </cell>
          <cell r="AA100">
            <v>-75</v>
          </cell>
          <cell r="AB100">
            <v>84</v>
          </cell>
          <cell r="AC100">
            <v>132</v>
          </cell>
          <cell r="AD100">
            <v>-48</v>
          </cell>
          <cell r="AE100">
            <v>132</v>
          </cell>
          <cell r="AF100">
            <v>240</v>
          </cell>
          <cell r="AG100">
            <v>-108</v>
          </cell>
        </row>
        <row r="101">
          <cell r="C101">
            <v>143008</v>
          </cell>
          <cell r="D101" t="str">
            <v>D.R.GAVANE</v>
          </cell>
          <cell r="E101" t="str">
            <v>BPCL</v>
          </cell>
          <cell r="G101" t="str">
            <v>Pimpri Chinchwad RSA</v>
          </cell>
          <cell r="J101" t="str">
            <v>Dhebewadi</v>
          </cell>
          <cell r="K101" t="str">
            <v>Pune</v>
          </cell>
          <cell r="L101" t="str">
            <v>A</v>
          </cell>
          <cell r="O101" t="str">
            <v>A</v>
          </cell>
          <cell r="P101">
            <v>161</v>
          </cell>
          <cell r="Q101">
            <v>63</v>
          </cell>
          <cell r="R101">
            <v>178.500001</v>
          </cell>
          <cell r="S101">
            <v>73.5</v>
          </cell>
          <cell r="T101">
            <v>-17.500000999999997</v>
          </cell>
          <cell r="U101">
            <v>-10.5</v>
          </cell>
          <cell r="V101">
            <v>320.5</v>
          </cell>
          <cell r="W101">
            <v>125.5</v>
          </cell>
          <cell r="X101">
            <v>350.00000399999999</v>
          </cell>
          <cell r="Y101">
            <v>126</v>
          </cell>
          <cell r="Z101">
            <v>-29.50000399999999</v>
          </cell>
          <cell r="AA101">
            <v>-0.5</v>
          </cell>
          <cell r="AB101">
            <v>224</v>
          </cell>
          <cell r="AC101">
            <v>252.000001</v>
          </cell>
          <cell r="AD101">
            <v>-28.000000999999997</v>
          </cell>
          <cell r="AE101">
            <v>446</v>
          </cell>
          <cell r="AF101">
            <v>476.00000399999999</v>
          </cell>
          <cell r="AG101">
            <v>-30.00000399999999</v>
          </cell>
        </row>
        <row r="102">
          <cell r="C102">
            <v>143009</v>
          </cell>
          <cell r="D102" t="str">
            <v>RAJLAXMI SERVICE CENTRE</v>
          </cell>
          <cell r="E102" t="str">
            <v>BPCL</v>
          </cell>
          <cell r="G102" t="str">
            <v>Pimpri Chinchwad RSA</v>
          </cell>
          <cell r="J102" t="str">
            <v>chakan to rajgurunagar LHS</v>
          </cell>
          <cell r="K102" t="str">
            <v>Pune</v>
          </cell>
          <cell r="L102" t="str">
            <v>D1</v>
          </cell>
          <cell r="M102" t="str">
            <v>NH-60</v>
          </cell>
          <cell r="O102" t="str">
            <v>A</v>
          </cell>
          <cell r="P102">
            <v>81</v>
          </cell>
          <cell r="Q102">
            <v>1315</v>
          </cell>
          <cell r="R102">
            <v>84</v>
          </cell>
          <cell r="S102">
            <v>1463</v>
          </cell>
          <cell r="T102">
            <v>-3</v>
          </cell>
          <cell r="U102">
            <v>-148</v>
          </cell>
          <cell r="V102">
            <v>146</v>
          </cell>
          <cell r="W102">
            <v>2738</v>
          </cell>
          <cell r="X102">
            <v>158</v>
          </cell>
          <cell r="Y102">
            <v>2717</v>
          </cell>
          <cell r="Z102">
            <v>-12</v>
          </cell>
          <cell r="AA102">
            <v>21</v>
          </cell>
          <cell r="AB102">
            <v>1396</v>
          </cell>
          <cell r="AC102">
            <v>1547</v>
          </cell>
          <cell r="AD102">
            <v>-151</v>
          </cell>
          <cell r="AE102">
            <v>2884</v>
          </cell>
          <cell r="AF102">
            <v>2875</v>
          </cell>
          <cell r="AG102">
            <v>9</v>
          </cell>
        </row>
        <row r="103">
          <cell r="C103">
            <v>143023</v>
          </cell>
          <cell r="D103" t="str">
            <v>SIDDHANT PETROLEUM</v>
          </cell>
          <cell r="E103" t="str">
            <v>BPCL</v>
          </cell>
          <cell r="G103" t="str">
            <v>Pune Wagholi RSA</v>
          </cell>
          <cell r="J103" t="str">
            <v>Ranjangaon LHS</v>
          </cell>
          <cell r="K103" t="str">
            <v>Pune</v>
          </cell>
          <cell r="L103" t="str">
            <v>D1</v>
          </cell>
          <cell r="M103" t="str">
            <v>NH-753F</v>
          </cell>
          <cell r="O103" t="str">
            <v>A</v>
          </cell>
          <cell r="P103">
            <v>14</v>
          </cell>
          <cell r="Q103">
            <v>134</v>
          </cell>
          <cell r="R103">
            <v>15</v>
          </cell>
          <cell r="S103">
            <v>117</v>
          </cell>
          <cell r="T103">
            <v>-1</v>
          </cell>
          <cell r="U103">
            <v>17</v>
          </cell>
          <cell r="V103">
            <v>29.5</v>
          </cell>
          <cell r="W103">
            <v>318.5</v>
          </cell>
          <cell r="X103">
            <v>24</v>
          </cell>
          <cell r="Y103">
            <v>182</v>
          </cell>
          <cell r="Z103">
            <v>5.5</v>
          </cell>
          <cell r="AA103">
            <v>136.5</v>
          </cell>
          <cell r="AB103">
            <v>148</v>
          </cell>
          <cell r="AC103">
            <v>132</v>
          </cell>
          <cell r="AD103">
            <v>16</v>
          </cell>
          <cell r="AE103">
            <v>348</v>
          </cell>
          <cell r="AF103">
            <v>206</v>
          </cell>
          <cell r="AG103">
            <v>142</v>
          </cell>
        </row>
        <row r="104">
          <cell r="C104">
            <v>143938</v>
          </cell>
          <cell r="D104" t="str">
            <v>BHARAT FUEL CENTER</v>
          </cell>
          <cell r="E104" t="str">
            <v>BPCL</v>
          </cell>
          <cell r="G104" t="str">
            <v>Pune City RSA</v>
          </cell>
          <cell r="J104" t="str">
            <v>BHUKUM</v>
          </cell>
          <cell r="K104" t="str">
            <v>Pune</v>
          </cell>
          <cell r="L104" t="str">
            <v>D1</v>
          </cell>
          <cell r="M104" t="str">
            <v>NH-753F</v>
          </cell>
          <cell r="O104" t="str">
            <v>A</v>
          </cell>
          <cell r="P104">
            <v>215</v>
          </cell>
          <cell r="Q104">
            <v>505</v>
          </cell>
          <cell r="R104">
            <v>220</v>
          </cell>
          <cell r="S104">
            <v>460</v>
          </cell>
          <cell r="T104">
            <v>-5</v>
          </cell>
          <cell r="U104">
            <v>45</v>
          </cell>
          <cell r="V104">
            <v>415</v>
          </cell>
          <cell r="W104">
            <v>1005</v>
          </cell>
          <cell r="X104">
            <v>410</v>
          </cell>
          <cell r="Y104">
            <v>850</v>
          </cell>
          <cell r="Z104">
            <v>5</v>
          </cell>
          <cell r="AA104">
            <v>155</v>
          </cell>
          <cell r="AB104">
            <v>720</v>
          </cell>
          <cell r="AC104">
            <v>680</v>
          </cell>
          <cell r="AD104">
            <v>40</v>
          </cell>
          <cell r="AE104">
            <v>1420</v>
          </cell>
          <cell r="AF104">
            <v>1260</v>
          </cell>
          <cell r="AG104">
            <v>160</v>
          </cell>
        </row>
        <row r="105">
          <cell r="C105">
            <v>144051</v>
          </cell>
          <cell r="D105" t="str">
            <v>PACHPUTE K.S.</v>
          </cell>
          <cell r="E105" t="str">
            <v>BPCL</v>
          </cell>
          <cell r="G105" t="str">
            <v>Ahmednagar West RSA</v>
          </cell>
          <cell r="J105" t="str">
            <v>LONI VYNKNATH-KASHTI (NH)</v>
          </cell>
          <cell r="K105" t="str">
            <v>Ahmednagar</v>
          </cell>
          <cell r="L105" t="str">
            <v>D1</v>
          </cell>
          <cell r="M105" t="str">
            <v>NH-160</v>
          </cell>
          <cell r="O105" t="str">
            <v>A</v>
          </cell>
          <cell r="P105">
            <v>52</v>
          </cell>
          <cell r="Q105">
            <v>157.5</v>
          </cell>
          <cell r="R105">
            <v>56</v>
          </cell>
          <cell r="S105">
            <v>144</v>
          </cell>
          <cell r="T105">
            <v>-4</v>
          </cell>
          <cell r="U105">
            <v>13.5</v>
          </cell>
          <cell r="V105">
            <v>90.5</v>
          </cell>
          <cell r="W105">
            <v>261</v>
          </cell>
          <cell r="X105">
            <v>116</v>
          </cell>
          <cell r="Y105">
            <v>303</v>
          </cell>
          <cell r="Z105">
            <v>-25.5</v>
          </cell>
          <cell r="AA105">
            <v>-42</v>
          </cell>
          <cell r="AB105">
            <v>209.5</v>
          </cell>
          <cell r="AC105">
            <v>200</v>
          </cell>
          <cell r="AD105">
            <v>9.5</v>
          </cell>
          <cell r="AE105">
            <v>351.5</v>
          </cell>
          <cell r="AF105">
            <v>419</v>
          </cell>
          <cell r="AG105">
            <v>-67.5</v>
          </cell>
        </row>
        <row r="106">
          <cell r="C106">
            <v>144203</v>
          </cell>
          <cell r="D106" t="str">
            <v>SWAMI PETROLEUM</v>
          </cell>
          <cell r="E106" t="str">
            <v>BPCL</v>
          </cell>
          <cell r="G106" t="str">
            <v>Satara East RSA</v>
          </cell>
          <cell r="J106" t="str">
            <v>Umbraj on Patan SH</v>
          </cell>
          <cell r="K106" t="str">
            <v>Satara</v>
          </cell>
          <cell r="L106" t="str">
            <v>D1</v>
          </cell>
          <cell r="M106" t="str">
            <v>NH-965D</v>
          </cell>
          <cell r="O106" t="str">
            <v>A</v>
          </cell>
          <cell r="P106">
            <v>54</v>
          </cell>
          <cell r="Q106">
            <v>70</v>
          </cell>
          <cell r="R106">
            <v>53</v>
          </cell>
          <cell r="S106">
            <v>79</v>
          </cell>
          <cell r="T106">
            <v>1</v>
          </cell>
          <cell r="U106">
            <v>-9</v>
          </cell>
          <cell r="V106">
            <v>111</v>
          </cell>
          <cell r="W106">
            <v>157</v>
          </cell>
          <cell r="X106">
            <v>105</v>
          </cell>
          <cell r="Y106">
            <v>183</v>
          </cell>
          <cell r="Z106">
            <v>6</v>
          </cell>
          <cell r="AA106">
            <v>-26</v>
          </cell>
          <cell r="AB106">
            <v>124</v>
          </cell>
          <cell r="AC106">
            <v>132</v>
          </cell>
          <cell r="AD106">
            <v>-8</v>
          </cell>
          <cell r="AE106">
            <v>268</v>
          </cell>
          <cell r="AF106">
            <v>288</v>
          </cell>
          <cell r="AG106">
            <v>-20</v>
          </cell>
        </row>
        <row r="107">
          <cell r="C107">
            <v>144237</v>
          </cell>
          <cell r="D107" t="str">
            <v>SUPREME CREATIONS(closed)</v>
          </cell>
          <cell r="E107" t="str">
            <v>BPCL</v>
          </cell>
          <cell r="G107" t="str">
            <v>Pune City RSA</v>
          </cell>
          <cell r="J107" t="str">
            <v>LAVASA CITY</v>
          </cell>
          <cell r="K107" t="str">
            <v>Pune</v>
          </cell>
          <cell r="L107" t="str">
            <v>A</v>
          </cell>
          <cell r="O107" t="str">
            <v>B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08">
          <cell r="C108">
            <v>144246</v>
          </cell>
          <cell r="D108" t="str">
            <v>DEVENDRA AUTOLINES</v>
          </cell>
          <cell r="E108" t="str">
            <v>BPCL</v>
          </cell>
          <cell r="G108" t="str">
            <v>Pimpri Chinchwad RSA</v>
          </cell>
          <cell r="J108" t="str">
            <v>Satara to Bhuinj</v>
          </cell>
          <cell r="K108" t="str">
            <v>Pune</v>
          </cell>
          <cell r="L108" t="str">
            <v>D1</v>
          </cell>
          <cell r="M108" t="str">
            <v>NH-60</v>
          </cell>
          <cell r="O108" t="str">
            <v>A</v>
          </cell>
          <cell r="P108">
            <v>55</v>
          </cell>
          <cell r="Q108">
            <v>69</v>
          </cell>
          <cell r="R108">
            <v>65</v>
          </cell>
          <cell r="S108">
            <v>106</v>
          </cell>
          <cell r="T108">
            <v>-10</v>
          </cell>
          <cell r="U108">
            <v>-37</v>
          </cell>
          <cell r="V108">
            <v>117</v>
          </cell>
          <cell r="W108">
            <v>139</v>
          </cell>
          <cell r="X108">
            <v>135</v>
          </cell>
          <cell r="Y108">
            <v>217</v>
          </cell>
          <cell r="Z108">
            <v>-18</v>
          </cell>
          <cell r="AA108">
            <v>-78</v>
          </cell>
          <cell r="AB108">
            <v>124</v>
          </cell>
          <cell r="AC108">
            <v>171</v>
          </cell>
          <cell r="AD108">
            <v>-47</v>
          </cell>
          <cell r="AE108">
            <v>256</v>
          </cell>
          <cell r="AF108">
            <v>352</v>
          </cell>
          <cell r="AG108">
            <v>-96</v>
          </cell>
        </row>
        <row r="109">
          <cell r="C109">
            <v>144381</v>
          </cell>
          <cell r="D109" t="str">
            <v>BHAIRAVNATH</v>
          </cell>
          <cell r="E109" t="str">
            <v>BPCL</v>
          </cell>
          <cell r="G109" t="str">
            <v>Shirdi RSA</v>
          </cell>
          <cell r="J109" t="str">
            <v>BHAIRAVNATH NAGAR</v>
          </cell>
          <cell r="K109" t="str">
            <v>Ahmednagar</v>
          </cell>
          <cell r="L109" t="str">
            <v>D2</v>
          </cell>
          <cell r="O109" t="str">
            <v>B</v>
          </cell>
          <cell r="P109">
            <v>15</v>
          </cell>
          <cell r="Q109">
            <v>45</v>
          </cell>
          <cell r="R109">
            <v>9</v>
          </cell>
          <cell r="S109">
            <v>51</v>
          </cell>
          <cell r="T109">
            <v>6</v>
          </cell>
          <cell r="U109">
            <v>-6</v>
          </cell>
          <cell r="V109">
            <v>21</v>
          </cell>
          <cell r="W109">
            <v>75</v>
          </cell>
          <cell r="X109">
            <v>15</v>
          </cell>
          <cell r="Y109">
            <v>81</v>
          </cell>
          <cell r="Z109">
            <v>6</v>
          </cell>
          <cell r="AA109">
            <v>-6</v>
          </cell>
          <cell r="AB109">
            <v>60</v>
          </cell>
          <cell r="AC109">
            <v>60</v>
          </cell>
          <cell r="AD109">
            <v>0</v>
          </cell>
          <cell r="AE109">
            <v>96</v>
          </cell>
          <cell r="AF109">
            <v>96</v>
          </cell>
          <cell r="AG109">
            <v>0</v>
          </cell>
        </row>
        <row r="110">
          <cell r="C110">
            <v>144457</v>
          </cell>
          <cell r="D110" t="str">
            <v>KADAM PETROLEUM</v>
          </cell>
          <cell r="E110" t="str">
            <v>BPCL</v>
          </cell>
          <cell r="G110" t="str">
            <v>Satara West RSA</v>
          </cell>
          <cell r="J110" t="str">
            <v>Satara City</v>
          </cell>
          <cell r="K110" t="str">
            <v>Satara</v>
          </cell>
          <cell r="L110" t="str">
            <v>C</v>
          </cell>
          <cell r="O110" t="str">
            <v>A</v>
          </cell>
          <cell r="P110">
            <v>140</v>
          </cell>
          <cell r="Q110">
            <v>68</v>
          </cell>
          <cell r="R110">
            <v>136</v>
          </cell>
          <cell r="S110">
            <v>68</v>
          </cell>
          <cell r="T110">
            <v>4</v>
          </cell>
          <cell r="U110">
            <v>0</v>
          </cell>
          <cell r="V110">
            <v>254</v>
          </cell>
          <cell r="W110">
            <v>134</v>
          </cell>
          <cell r="X110">
            <v>248</v>
          </cell>
          <cell r="Y110">
            <v>124</v>
          </cell>
          <cell r="Z110">
            <v>6</v>
          </cell>
          <cell r="AA110">
            <v>10</v>
          </cell>
          <cell r="AB110">
            <v>208</v>
          </cell>
          <cell r="AC110">
            <v>204</v>
          </cell>
          <cell r="AD110">
            <v>4</v>
          </cell>
          <cell r="AE110">
            <v>388</v>
          </cell>
          <cell r="AF110">
            <v>372</v>
          </cell>
          <cell r="AG110">
            <v>16</v>
          </cell>
        </row>
        <row r="111">
          <cell r="C111">
            <v>144554</v>
          </cell>
          <cell r="D111" t="str">
            <v>SP AHMEDNAGAR SHIRDI</v>
          </cell>
          <cell r="E111" t="str">
            <v>BPCL</v>
          </cell>
          <cell r="G111" t="str">
            <v>Shirdi RSA</v>
          </cell>
          <cell r="J111" t="str">
            <v>SHIRDI</v>
          </cell>
          <cell r="K111" t="str">
            <v>Ahmednagar</v>
          </cell>
          <cell r="L111" t="str">
            <v>D1</v>
          </cell>
          <cell r="M111" t="str">
            <v>NH-160</v>
          </cell>
          <cell r="O111" t="str">
            <v>B</v>
          </cell>
          <cell r="P111">
            <v>21</v>
          </cell>
          <cell r="Q111">
            <v>15</v>
          </cell>
          <cell r="R111">
            <v>28</v>
          </cell>
          <cell r="S111">
            <v>28</v>
          </cell>
          <cell r="T111">
            <v>-7</v>
          </cell>
          <cell r="U111">
            <v>-13</v>
          </cell>
          <cell r="V111">
            <v>48</v>
          </cell>
          <cell r="W111">
            <v>36</v>
          </cell>
          <cell r="X111">
            <v>46</v>
          </cell>
          <cell r="Y111">
            <v>46</v>
          </cell>
          <cell r="Z111">
            <v>2</v>
          </cell>
          <cell r="AA111">
            <v>-10</v>
          </cell>
          <cell r="AB111">
            <v>36</v>
          </cell>
          <cell r="AC111">
            <v>56</v>
          </cell>
          <cell r="AD111">
            <v>-20</v>
          </cell>
          <cell r="AE111">
            <v>84</v>
          </cell>
          <cell r="AF111">
            <v>92</v>
          </cell>
          <cell r="AG111">
            <v>-8</v>
          </cell>
        </row>
        <row r="112">
          <cell r="C112">
            <v>144577</v>
          </cell>
          <cell r="D112" t="str">
            <v>SHREE SAI ROHIT</v>
          </cell>
          <cell r="E112" t="str">
            <v>BPCL</v>
          </cell>
          <cell r="G112" t="str">
            <v>Ahmednagar East RSA</v>
          </cell>
          <cell r="J112" t="str">
            <v>Kangoni</v>
          </cell>
          <cell r="K112" t="str">
            <v>Ahmednagar</v>
          </cell>
          <cell r="L112" t="str">
            <v>D1</v>
          </cell>
          <cell r="M112" t="str">
            <v>NH-753F</v>
          </cell>
          <cell r="O112" t="str">
            <v>A</v>
          </cell>
          <cell r="P112">
            <v>44</v>
          </cell>
          <cell r="Q112">
            <v>116</v>
          </cell>
          <cell r="R112">
            <v>40</v>
          </cell>
          <cell r="S112">
            <v>116</v>
          </cell>
          <cell r="T112">
            <v>4</v>
          </cell>
          <cell r="U112">
            <v>0</v>
          </cell>
          <cell r="V112">
            <v>76</v>
          </cell>
          <cell r="W112">
            <v>216</v>
          </cell>
          <cell r="X112">
            <v>85</v>
          </cell>
          <cell r="Y112">
            <v>215</v>
          </cell>
          <cell r="Z112">
            <v>-9</v>
          </cell>
          <cell r="AA112">
            <v>1</v>
          </cell>
          <cell r="AB112">
            <v>160</v>
          </cell>
          <cell r="AC112">
            <v>156</v>
          </cell>
          <cell r="AD112">
            <v>4</v>
          </cell>
          <cell r="AE112">
            <v>292</v>
          </cell>
          <cell r="AF112">
            <v>300</v>
          </cell>
          <cell r="AG112">
            <v>-8</v>
          </cell>
        </row>
        <row r="113">
          <cell r="C113">
            <v>144579</v>
          </cell>
          <cell r="D113" t="str">
            <v>ASHWIN AUTOMOBILES</v>
          </cell>
          <cell r="E113" t="str">
            <v>BPCL</v>
          </cell>
          <cell r="G113" t="str">
            <v>Ahmednagar East RSA</v>
          </cell>
          <cell r="J113" t="str">
            <v>Chas</v>
          </cell>
          <cell r="K113" t="str">
            <v>Ahmednagar</v>
          </cell>
          <cell r="L113" t="str">
            <v>D1</v>
          </cell>
          <cell r="M113" t="str">
            <v>NH-753F</v>
          </cell>
          <cell r="O113" t="str">
            <v>A</v>
          </cell>
          <cell r="P113">
            <v>44.5</v>
          </cell>
          <cell r="Q113">
            <v>127.5</v>
          </cell>
          <cell r="R113">
            <v>38</v>
          </cell>
          <cell r="S113">
            <v>128</v>
          </cell>
          <cell r="T113">
            <v>6.5</v>
          </cell>
          <cell r="U113">
            <v>-0.5</v>
          </cell>
          <cell r="V113">
            <v>85</v>
          </cell>
          <cell r="W113">
            <v>275</v>
          </cell>
          <cell r="X113">
            <v>73</v>
          </cell>
          <cell r="Y113">
            <v>259</v>
          </cell>
          <cell r="Z113">
            <v>12</v>
          </cell>
          <cell r="AA113">
            <v>16</v>
          </cell>
          <cell r="AB113">
            <v>172</v>
          </cell>
          <cell r="AC113">
            <v>166</v>
          </cell>
          <cell r="AD113">
            <v>6</v>
          </cell>
          <cell r="AE113">
            <v>360</v>
          </cell>
          <cell r="AF113">
            <v>332</v>
          </cell>
          <cell r="AG113">
            <v>28</v>
          </cell>
        </row>
        <row r="114">
          <cell r="C114">
            <v>144580</v>
          </cell>
          <cell r="D114" t="str">
            <v>D. S. PETROWORLD</v>
          </cell>
          <cell r="E114" t="str">
            <v>BPCL</v>
          </cell>
          <cell r="G114" t="str">
            <v>Ahmednagar East RSA</v>
          </cell>
          <cell r="J114" t="str">
            <v>Shevgaon-Geori Road</v>
          </cell>
          <cell r="K114" t="str">
            <v>Ahmednagar</v>
          </cell>
          <cell r="L114" t="str">
            <v>D2</v>
          </cell>
          <cell r="O114" t="str">
            <v>A</v>
          </cell>
          <cell r="P114">
            <v>39</v>
          </cell>
          <cell r="Q114">
            <v>87</v>
          </cell>
          <cell r="R114">
            <v>45</v>
          </cell>
          <cell r="S114">
            <v>75</v>
          </cell>
          <cell r="T114">
            <v>-6</v>
          </cell>
          <cell r="U114">
            <v>12</v>
          </cell>
          <cell r="V114">
            <v>78</v>
          </cell>
          <cell r="W114">
            <v>144</v>
          </cell>
          <cell r="X114">
            <v>72</v>
          </cell>
          <cell r="Y114">
            <v>108</v>
          </cell>
          <cell r="Z114">
            <v>6</v>
          </cell>
          <cell r="AA114">
            <v>36</v>
          </cell>
          <cell r="AB114">
            <v>126</v>
          </cell>
          <cell r="AC114">
            <v>120</v>
          </cell>
          <cell r="AD114">
            <v>6</v>
          </cell>
          <cell r="AE114">
            <v>222</v>
          </cell>
          <cell r="AF114">
            <v>180</v>
          </cell>
          <cell r="AG114">
            <v>42</v>
          </cell>
        </row>
        <row r="115">
          <cell r="C115">
            <v>144581</v>
          </cell>
          <cell r="D115" t="str">
            <v>SHANI MANATMEY EXP FUELS</v>
          </cell>
          <cell r="E115" t="str">
            <v>BPCL</v>
          </cell>
          <cell r="G115" t="str">
            <v>Ahmednagar East RSA</v>
          </cell>
          <cell r="J115" t="str">
            <v>Sonai</v>
          </cell>
          <cell r="K115" t="str">
            <v>Ahmednagar</v>
          </cell>
          <cell r="L115" t="str">
            <v>D1</v>
          </cell>
          <cell r="M115" t="str">
            <v>NH-160C</v>
          </cell>
          <cell r="O115" t="str">
            <v>A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</row>
        <row r="116">
          <cell r="C116">
            <v>144583</v>
          </cell>
          <cell r="D116" t="str">
            <v>SHANTILAL &amp; KANTILAL &amp; SONS</v>
          </cell>
          <cell r="E116" t="str">
            <v>BPCL</v>
          </cell>
          <cell r="G116" t="str">
            <v>Ahmednagar East RSA</v>
          </cell>
          <cell r="J116" t="str">
            <v>WAMBHORI</v>
          </cell>
          <cell r="K116" t="str">
            <v>Ahmednagar</v>
          </cell>
          <cell r="L116" t="str">
            <v>D2</v>
          </cell>
          <cell r="O116" t="str">
            <v>A</v>
          </cell>
          <cell r="P116">
            <v>46</v>
          </cell>
          <cell r="Q116">
            <v>120</v>
          </cell>
          <cell r="R116">
            <v>40</v>
          </cell>
          <cell r="S116">
            <v>82</v>
          </cell>
          <cell r="T116">
            <v>6</v>
          </cell>
          <cell r="U116">
            <v>38</v>
          </cell>
          <cell r="V116">
            <v>87.5</v>
          </cell>
          <cell r="W116">
            <v>196.5</v>
          </cell>
          <cell r="X116">
            <v>78</v>
          </cell>
          <cell r="Y116">
            <v>150</v>
          </cell>
          <cell r="Z116">
            <v>9.5</v>
          </cell>
          <cell r="AA116">
            <v>46.5</v>
          </cell>
          <cell r="AB116">
            <v>166</v>
          </cell>
          <cell r="AC116">
            <v>122</v>
          </cell>
          <cell r="AD116">
            <v>44</v>
          </cell>
          <cell r="AE116">
            <v>284</v>
          </cell>
          <cell r="AF116">
            <v>228</v>
          </cell>
          <cell r="AG116">
            <v>56</v>
          </cell>
        </row>
        <row r="117">
          <cell r="C117">
            <v>144877</v>
          </cell>
          <cell r="D117" t="str">
            <v>SHREE VENKATESHWARA</v>
          </cell>
          <cell r="E117" t="str">
            <v>BPCL</v>
          </cell>
          <cell r="G117" t="str">
            <v>Shirdi RSA</v>
          </cell>
          <cell r="J117" t="str">
            <v>VADGAONPAN</v>
          </cell>
          <cell r="K117" t="str">
            <v>Ahmednagar</v>
          </cell>
          <cell r="L117" t="str">
            <v>D2</v>
          </cell>
          <cell r="O117" t="str">
            <v>A</v>
          </cell>
          <cell r="P117">
            <v>15</v>
          </cell>
          <cell r="Q117">
            <v>45</v>
          </cell>
          <cell r="R117">
            <v>18</v>
          </cell>
          <cell r="S117">
            <v>66</v>
          </cell>
          <cell r="T117">
            <v>-3</v>
          </cell>
          <cell r="U117">
            <v>-21</v>
          </cell>
          <cell r="V117">
            <v>28</v>
          </cell>
          <cell r="W117">
            <v>96</v>
          </cell>
          <cell r="X117">
            <v>33</v>
          </cell>
          <cell r="Y117">
            <v>147</v>
          </cell>
          <cell r="Z117">
            <v>-5</v>
          </cell>
          <cell r="AA117">
            <v>-51</v>
          </cell>
          <cell r="AB117">
            <v>60</v>
          </cell>
          <cell r="AC117">
            <v>84</v>
          </cell>
          <cell r="AD117">
            <v>-24</v>
          </cell>
          <cell r="AE117">
            <v>124</v>
          </cell>
          <cell r="AF117">
            <v>180</v>
          </cell>
          <cell r="AG117">
            <v>-56</v>
          </cell>
        </row>
        <row r="118">
          <cell r="C118">
            <v>145124</v>
          </cell>
          <cell r="D118" t="str">
            <v>KISAN BORREWELL CO</v>
          </cell>
          <cell r="E118" t="str">
            <v>BPCL</v>
          </cell>
          <cell r="G118" t="str">
            <v>Satara West RSA</v>
          </cell>
          <cell r="J118" t="str">
            <v>Satara City</v>
          </cell>
          <cell r="K118" t="str">
            <v>Satara</v>
          </cell>
          <cell r="L118" t="str">
            <v>C</v>
          </cell>
          <cell r="O118" t="str">
            <v>A</v>
          </cell>
          <cell r="P118">
            <v>120</v>
          </cell>
          <cell r="Q118">
            <v>56</v>
          </cell>
          <cell r="R118">
            <v>88</v>
          </cell>
          <cell r="S118">
            <v>44</v>
          </cell>
          <cell r="T118">
            <v>32</v>
          </cell>
          <cell r="U118">
            <v>12</v>
          </cell>
          <cell r="V118">
            <v>204</v>
          </cell>
          <cell r="W118">
            <v>92</v>
          </cell>
          <cell r="X118">
            <v>161</v>
          </cell>
          <cell r="Y118">
            <v>79</v>
          </cell>
          <cell r="Z118">
            <v>43</v>
          </cell>
          <cell r="AA118">
            <v>13</v>
          </cell>
          <cell r="AB118">
            <v>176</v>
          </cell>
          <cell r="AC118">
            <v>132</v>
          </cell>
          <cell r="AD118">
            <v>44</v>
          </cell>
          <cell r="AE118">
            <v>296</v>
          </cell>
          <cell r="AF118">
            <v>240</v>
          </cell>
          <cell r="AG118">
            <v>56</v>
          </cell>
        </row>
        <row r="119">
          <cell r="C119">
            <v>145408</v>
          </cell>
          <cell r="D119" t="str">
            <v>DAULAT SERVICE STATION</v>
          </cell>
          <cell r="E119" t="str">
            <v>BPCL</v>
          </cell>
          <cell r="G119" t="str">
            <v>Pune City RSA</v>
          </cell>
          <cell r="J119" t="str">
            <v>BHUKUM</v>
          </cell>
          <cell r="K119" t="str">
            <v>Pune</v>
          </cell>
          <cell r="L119" t="str">
            <v>D1</v>
          </cell>
          <cell r="M119" t="str">
            <v>NH-753F</v>
          </cell>
          <cell r="O119" t="str">
            <v>A</v>
          </cell>
          <cell r="P119">
            <v>88</v>
          </cell>
          <cell r="Q119">
            <v>52</v>
          </cell>
          <cell r="R119">
            <v>41</v>
          </cell>
          <cell r="S119">
            <v>19</v>
          </cell>
          <cell r="T119">
            <v>47</v>
          </cell>
          <cell r="U119">
            <v>33</v>
          </cell>
          <cell r="V119">
            <v>158</v>
          </cell>
          <cell r="W119">
            <v>90</v>
          </cell>
          <cell r="X119">
            <v>89</v>
          </cell>
          <cell r="Y119">
            <v>43</v>
          </cell>
          <cell r="Z119">
            <v>69</v>
          </cell>
          <cell r="AA119">
            <v>47</v>
          </cell>
          <cell r="AB119">
            <v>140</v>
          </cell>
          <cell r="AC119">
            <v>60</v>
          </cell>
          <cell r="AD119">
            <v>80</v>
          </cell>
          <cell r="AE119">
            <v>248</v>
          </cell>
          <cell r="AF119">
            <v>132</v>
          </cell>
          <cell r="AG119">
            <v>116</v>
          </cell>
        </row>
        <row r="120">
          <cell r="C120">
            <v>145409</v>
          </cell>
          <cell r="D120" t="str">
            <v>MAULI PETROLEUM</v>
          </cell>
          <cell r="E120" t="str">
            <v>BPCL</v>
          </cell>
          <cell r="G120" t="str">
            <v>Pune City RSA</v>
          </cell>
          <cell r="J120" t="str">
            <v>BANER</v>
          </cell>
          <cell r="K120" t="str">
            <v>Pune</v>
          </cell>
          <cell r="L120" t="str">
            <v>A</v>
          </cell>
          <cell r="O120" t="str">
            <v>A</v>
          </cell>
          <cell r="P120">
            <v>890</v>
          </cell>
          <cell r="Q120">
            <v>410</v>
          </cell>
          <cell r="R120">
            <v>715</v>
          </cell>
          <cell r="S120">
            <v>305</v>
          </cell>
          <cell r="T120">
            <v>175</v>
          </cell>
          <cell r="U120">
            <v>105</v>
          </cell>
          <cell r="V120">
            <v>1680</v>
          </cell>
          <cell r="W120">
            <v>760</v>
          </cell>
          <cell r="X120">
            <v>1435</v>
          </cell>
          <cell r="Y120">
            <v>585</v>
          </cell>
          <cell r="Z120">
            <v>245</v>
          </cell>
          <cell r="AA120">
            <v>175</v>
          </cell>
          <cell r="AB120">
            <v>1300</v>
          </cell>
          <cell r="AC120">
            <v>1020</v>
          </cell>
          <cell r="AD120">
            <v>280</v>
          </cell>
          <cell r="AE120">
            <v>2440</v>
          </cell>
          <cell r="AF120">
            <v>2020</v>
          </cell>
          <cell r="AG120">
            <v>420</v>
          </cell>
        </row>
        <row r="121">
          <cell r="C121">
            <v>145670</v>
          </cell>
          <cell r="D121" t="str">
            <v>PRAJAKTA PETROLEUM</v>
          </cell>
          <cell r="E121" t="str">
            <v>BPCL</v>
          </cell>
          <cell r="G121" t="str">
            <v>Pune Hadapsar RSA</v>
          </cell>
          <cell r="J121" t="str">
            <v>Loni LHS</v>
          </cell>
          <cell r="K121" t="str">
            <v>Pune</v>
          </cell>
          <cell r="L121" t="str">
            <v>D1</v>
          </cell>
          <cell r="M121" t="str">
            <v>NH-65</v>
          </cell>
          <cell r="O121" t="str">
            <v>A</v>
          </cell>
          <cell r="P121">
            <v>145</v>
          </cell>
          <cell r="Q121">
            <v>255</v>
          </cell>
          <cell r="R121">
            <v>110</v>
          </cell>
          <cell r="S121">
            <v>215</v>
          </cell>
          <cell r="T121">
            <v>35</v>
          </cell>
          <cell r="U121">
            <v>40</v>
          </cell>
          <cell r="V121">
            <v>280</v>
          </cell>
          <cell r="W121">
            <v>500</v>
          </cell>
          <cell r="X121">
            <v>215</v>
          </cell>
          <cell r="Y121">
            <v>430</v>
          </cell>
          <cell r="Z121">
            <v>65</v>
          </cell>
          <cell r="AA121">
            <v>70</v>
          </cell>
          <cell r="AB121">
            <v>400</v>
          </cell>
          <cell r="AC121">
            <v>325</v>
          </cell>
          <cell r="AD121">
            <v>75</v>
          </cell>
          <cell r="AE121">
            <v>780</v>
          </cell>
          <cell r="AF121">
            <v>645</v>
          </cell>
          <cell r="AG121">
            <v>135</v>
          </cell>
        </row>
        <row r="122">
          <cell r="C122">
            <v>145810</v>
          </cell>
          <cell r="D122" t="str">
            <v>BAANDAL PETROLEUM</v>
          </cell>
          <cell r="E122" t="str">
            <v>BPCL</v>
          </cell>
          <cell r="G122" t="str">
            <v>Pune Wagholi RSA</v>
          </cell>
          <cell r="J122" t="str">
            <v>LONIKAND to KOREGAON BHIMA RHS</v>
          </cell>
          <cell r="K122" t="str">
            <v>Pune</v>
          </cell>
          <cell r="L122" t="str">
            <v>D1</v>
          </cell>
          <cell r="M122" t="str">
            <v>NH-753F</v>
          </cell>
          <cell r="O122" t="str">
            <v>A</v>
          </cell>
          <cell r="P122">
            <v>96</v>
          </cell>
          <cell r="Q122">
            <v>996</v>
          </cell>
          <cell r="R122">
            <v>84</v>
          </cell>
          <cell r="S122">
            <v>980</v>
          </cell>
          <cell r="T122">
            <v>12</v>
          </cell>
          <cell r="U122">
            <v>16</v>
          </cell>
          <cell r="V122">
            <v>180</v>
          </cell>
          <cell r="W122">
            <v>1887</v>
          </cell>
          <cell r="X122">
            <v>168</v>
          </cell>
          <cell r="Y122">
            <v>2058</v>
          </cell>
          <cell r="Z122">
            <v>12</v>
          </cell>
          <cell r="AA122">
            <v>-171</v>
          </cell>
          <cell r="AB122">
            <v>1092</v>
          </cell>
          <cell r="AC122">
            <v>1064</v>
          </cell>
          <cell r="AD122">
            <v>28</v>
          </cell>
          <cell r="AE122">
            <v>2067</v>
          </cell>
          <cell r="AF122">
            <v>2226</v>
          </cell>
          <cell r="AG122">
            <v>-159</v>
          </cell>
        </row>
        <row r="123">
          <cell r="C123">
            <v>145871</v>
          </cell>
          <cell r="D123" t="str">
            <v>SHUBAM PETROL DEPOT</v>
          </cell>
          <cell r="E123" t="str">
            <v>BPCL</v>
          </cell>
          <cell r="G123" t="str">
            <v>Pimpri Chinchwad RSA</v>
          </cell>
          <cell r="J123" t="str">
            <v>SATARA ON NH48 LHS</v>
          </cell>
          <cell r="K123" t="str">
            <v>Pune</v>
          </cell>
          <cell r="L123" t="str">
            <v>D1</v>
          </cell>
          <cell r="M123" t="str">
            <v>NH-548D</v>
          </cell>
          <cell r="O123" t="str">
            <v>A</v>
          </cell>
          <cell r="P123">
            <v>36</v>
          </cell>
          <cell r="Q123">
            <v>656</v>
          </cell>
          <cell r="R123">
            <v>34</v>
          </cell>
          <cell r="S123">
            <v>896</v>
          </cell>
          <cell r="T123">
            <v>2</v>
          </cell>
          <cell r="U123">
            <v>-240</v>
          </cell>
          <cell r="V123">
            <v>66</v>
          </cell>
          <cell r="W123">
            <v>1404</v>
          </cell>
          <cell r="X123">
            <v>75</v>
          </cell>
          <cell r="Y123">
            <v>1803</v>
          </cell>
          <cell r="Z123">
            <v>-9</v>
          </cell>
          <cell r="AA123">
            <v>-399</v>
          </cell>
          <cell r="AB123">
            <v>692</v>
          </cell>
          <cell r="AC123">
            <v>930</v>
          </cell>
          <cell r="AD123">
            <v>-238</v>
          </cell>
          <cell r="AE123">
            <v>1470</v>
          </cell>
          <cell r="AF123">
            <v>1878</v>
          </cell>
          <cell r="AG123">
            <v>-408</v>
          </cell>
        </row>
        <row r="124">
          <cell r="C124">
            <v>145982</v>
          </cell>
          <cell r="D124" t="str">
            <v>OM SAI PETROLEUM</v>
          </cell>
          <cell r="E124" t="str">
            <v>BPCL</v>
          </cell>
          <cell r="G124" t="str">
            <v>Shirdi RSA</v>
          </cell>
          <cell r="J124" t="str">
            <v>BELAPUR</v>
          </cell>
          <cell r="K124" t="str">
            <v>Ahmednagar</v>
          </cell>
          <cell r="L124" t="str">
            <v>D2</v>
          </cell>
          <cell r="O124" t="str">
            <v>B</v>
          </cell>
          <cell r="P124">
            <v>42</v>
          </cell>
          <cell r="Q124">
            <v>42</v>
          </cell>
          <cell r="R124">
            <v>48</v>
          </cell>
          <cell r="S124">
            <v>48</v>
          </cell>
          <cell r="T124">
            <v>-6</v>
          </cell>
          <cell r="U124">
            <v>-6</v>
          </cell>
          <cell r="V124">
            <v>78</v>
          </cell>
          <cell r="W124">
            <v>78</v>
          </cell>
          <cell r="X124">
            <v>90</v>
          </cell>
          <cell r="Y124">
            <v>90</v>
          </cell>
          <cell r="Z124">
            <v>-12</v>
          </cell>
          <cell r="AA124">
            <v>-12</v>
          </cell>
          <cell r="AB124">
            <v>84</v>
          </cell>
          <cell r="AC124">
            <v>96</v>
          </cell>
          <cell r="AD124">
            <v>-12</v>
          </cell>
          <cell r="AE124">
            <v>156</v>
          </cell>
          <cell r="AF124">
            <v>180</v>
          </cell>
          <cell r="AG124">
            <v>-24</v>
          </cell>
        </row>
        <row r="125">
          <cell r="C125">
            <v>146014</v>
          </cell>
          <cell r="D125" t="str">
            <v>SHRI RAMCHANDRA SERVICE STATION</v>
          </cell>
          <cell r="E125" t="str">
            <v>BPCL</v>
          </cell>
          <cell r="G125" t="str">
            <v>Pune Wagholi RSA</v>
          </cell>
          <cell r="J125" t="str">
            <v>LONIKAND to KOREGAON BHIMA LHS</v>
          </cell>
          <cell r="K125" t="str">
            <v>Pune</v>
          </cell>
          <cell r="L125" t="str">
            <v>D1</v>
          </cell>
          <cell r="M125" t="str">
            <v>NH-753F</v>
          </cell>
          <cell r="O125" t="str">
            <v>A</v>
          </cell>
          <cell r="P125">
            <v>35</v>
          </cell>
          <cell r="Q125">
            <v>339</v>
          </cell>
          <cell r="R125">
            <v>30</v>
          </cell>
          <cell r="S125">
            <v>454</v>
          </cell>
          <cell r="T125">
            <v>5</v>
          </cell>
          <cell r="U125">
            <v>-115</v>
          </cell>
          <cell r="V125">
            <v>60</v>
          </cell>
          <cell r="W125">
            <v>644</v>
          </cell>
          <cell r="X125">
            <v>55</v>
          </cell>
          <cell r="Y125">
            <v>847</v>
          </cell>
          <cell r="Z125">
            <v>5</v>
          </cell>
          <cell r="AA125">
            <v>-203</v>
          </cell>
          <cell r="AB125">
            <v>374</v>
          </cell>
          <cell r="AC125">
            <v>484</v>
          </cell>
          <cell r="AD125">
            <v>-110</v>
          </cell>
          <cell r="AE125">
            <v>704</v>
          </cell>
          <cell r="AF125">
            <v>902</v>
          </cell>
          <cell r="AG125">
            <v>-198</v>
          </cell>
        </row>
        <row r="126">
          <cell r="C126">
            <v>146224</v>
          </cell>
          <cell r="D126" t="str">
            <v>DESHMUKH PETROLEUM</v>
          </cell>
          <cell r="E126" t="str">
            <v>BPCL</v>
          </cell>
          <cell r="G126" t="str">
            <v>Shirdi RSA</v>
          </cell>
          <cell r="J126" t="str">
            <v>KOTUL</v>
          </cell>
          <cell r="K126" t="str">
            <v>Ahmednagar</v>
          </cell>
          <cell r="L126" t="str">
            <v>D2</v>
          </cell>
          <cell r="O126" t="str">
            <v>B</v>
          </cell>
          <cell r="P126">
            <v>30</v>
          </cell>
          <cell r="Q126">
            <v>66</v>
          </cell>
          <cell r="R126">
            <v>27</v>
          </cell>
          <cell r="S126">
            <v>57</v>
          </cell>
          <cell r="T126">
            <v>3</v>
          </cell>
          <cell r="U126">
            <v>9</v>
          </cell>
          <cell r="V126">
            <v>57</v>
          </cell>
          <cell r="W126">
            <v>123</v>
          </cell>
          <cell r="X126">
            <v>54</v>
          </cell>
          <cell r="Y126">
            <v>126</v>
          </cell>
          <cell r="Z126">
            <v>3</v>
          </cell>
          <cell r="AA126">
            <v>-3</v>
          </cell>
          <cell r="AB126">
            <v>96</v>
          </cell>
          <cell r="AC126">
            <v>84</v>
          </cell>
          <cell r="AD126">
            <v>12</v>
          </cell>
          <cell r="AE126">
            <v>180</v>
          </cell>
          <cell r="AF126">
            <v>180</v>
          </cell>
          <cell r="AG126">
            <v>0</v>
          </cell>
        </row>
        <row r="127">
          <cell r="C127">
            <v>146232</v>
          </cell>
          <cell r="D127" t="str">
            <v>RENUKA PETROLEUM</v>
          </cell>
          <cell r="E127" t="str">
            <v>BPCL</v>
          </cell>
          <cell r="G127" t="str">
            <v>Shirdi RSA</v>
          </cell>
          <cell r="J127" t="str">
            <v>DEOLALI</v>
          </cell>
          <cell r="K127" t="str">
            <v>Ahmednagar</v>
          </cell>
          <cell r="L127" t="str">
            <v>D2</v>
          </cell>
          <cell r="O127" t="str">
            <v>B</v>
          </cell>
          <cell r="P127">
            <v>99.5</v>
          </cell>
          <cell r="Q127">
            <v>235.5</v>
          </cell>
          <cell r="R127">
            <v>90</v>
          </cell>
          <cell r="S127">
            <v>174</v>
          </cell>
          <cell r="T127">
            <v>9.5</v>
          </cell>
          <cell r="U127">
            <v>61.5</v>
          </cell>
          <cell r="V127">
            <v>183.5</v>
          </cell>
          <cell r="W127">
            <v>417.5</v>
          </cell>
          <cell r="X127">
            <v>178</v>
          </cell>
          <cell r="Y127">
            <v>325</v>
          </cell>
          <cell r="Z127">
            <v>5.5</v>
          </cell>
          <cell r="AA127">
            <v>92.5</v>
          </cell>
          <cell r="AB127">
            <v>335</v>
          </cell>
          <cell r="AC127">
            <v>264</v>
          </cell>
          <cell r="AD127">
            <v>71</v>
          </cell>
          <cell r="AE127">
            <v>601</v>
          </cell>
          <cell r="AF127">
            <v>503</v>
          </cell>
          <cell r="AG127">
            <v>98</v>
          </cell>
        </row>
        <row r="128">
          <cell r="C128">
            <v>146233</v>
          </cell>
          <cell r="D128" t="str">
            <v>TRIMURTI PETROLEUM</v>
          </cell>
          <cell r="E128" t="str">
            <v>BPCL</v>
          </cell>
          <cell r="G128" t="str">
            <v>Ahmednagar East RSA</v>
          </cell>
          <cell r="J128" t="str">
            <v>manjari</v>
          </cell>
          <cell r="K128" t="str">
            <v>Ahmednagar</v>
          </cell>
          <cell r="L128" t="str">
            <v>E</v>
          </cell>
          <cell r="O128" t="str">
            <v>B</v>
          </cell>
          <cell r="P128">
            <v>26.5</v>
          </cell>
          <cell r="Q128">
            <v>58.5</v>
          </cell>
          <cell r="R128">
            <v>28</v>
          </cell>
          <cell r="S128">
            <v>59</v>
          </cell>
          <cell r="T128">
            <v>-1.5</v>
          </cell>
          <cell r="U128">
            <v>-0.5</v>
          </cell>
          <cell r="V128">
            <v>59.5</v>
          </cell>
          <cell r="W128">
            <v>115.5</v>
          </cell>
          <cell r="X128">
            <v>54</v>
          </cell>
          <cell r="Y128">
            <v>113</v>
          </cell>
          <cell r="Z128">
            <v>5.5</v>
          </cell>
          <cell r="AA128">
            <v>2.5</v>
          </cell>
          <cell r="AB128">
            <v>85</v>
          </cell>
          <cell r="AC128">
            <v>87</v>
          </cell>
          <cell r="AD128">
            <v>-2</v>
          </cell>
          <cell r="AE128">
            <v>175</v>
          </cell>
          <cell r="AF128">
            <v>167</v>
          </cell>
          <cell r="AG128">
            <v>8</v>
          </cell>
        </row>
        <row r="129">
          <cell r="C129">
            <v>147529</v>
          </cell>
          <cell r="D129" t="str">
            <v>DIGAMBAR PETROLEUM/BAANDAL PACHUNDKAR PETROLEUM ADHOC</v>
          </cell>
          <cell r="E129" t="str">
            <v>BPCL</v>
          </cell>
          <cell r="G129" t="str">
            <v>Pune Wagholi RSA</v>
          </cell>
          <cell r="J129" t="str">
            <v>Ranjangaon LHS</v>
          </cell>
          <cell r="K129" t="str">
            <v>Pune</v>
          </cell>
          <cell r="L129" t="str">
            <v>D1</v>
          </cell>
          <cell r="M129" t="str">
            <v>NH-753F</v>
          </cell>
          <cell r="O129" t="str">
            <v>A</v>
          </cell>
          <cell r="P129">
            <v>17</v>
          </cell>
          <cell r="Q129">
            <v>115</v>
          </cell>
          <cell r="R129">
            <v>12</v>
          </cell>
          <cell r="S129">
            <v>48</v>
          </cell>
          <cell r="T129">
            <v>5</v>
          </cell>
          <cell r="U129">
            <v>67</v>
          </cell>
          <cell r="V129">
            <v>31</v>
          </cell>
          <cell r="W129">
            <v>209</v>
          </cell>
          <cell r="X129">
            <v>21</v>
          </cell>
          <cell r="Y129">
            <v>99</v>
          </cell>
          <cell r="Z129">
            <v>10</v>
          </cell>
          <cell r="AA129">
            <v>110</v>
          </cell>
          <cell r="AB129">
            <v>132</v>
          </cell>
          <cell r="AC129">
            <v>60</v>
          </cell>
          <cell r="AD129">
            <v>72</v>
          </cell>
          <cell r="AE129">
            <v>240</v>
          </cell>
          <cell r="AF129">
            <v>120</v>
          </cell>
          <cell r="AG129">
            <v>120</v>
          </cell>
        </row>
        <row r="130">
          <cell r="C130">
            <v>147811</v>
          </cell>
          <cell r="D130" t="str">
            <v>C.N.KATKADE</v>
          </cell>
          <cell r="E130" t="str">
            <v>BPCL</v>
          </cell>
          <cell r="G130" t="str">
            <v>Shirdi RSA</v>
          </cell>
          <cell r="J130" t="str">
            <v>PUNTAMBA PHATA</v>
          </cell>
          <cell r="K130" t="str">
            <v>Ahmednagar</v>
          </cell>
          <cell r="L130" t="str">
            <v>D1</v>
          </cell>
          <cell r="M130" t="str">
            <v>NH-752G</v>
          </cell>
          <cell r="O130" t="str">
            <v>B</v>
          </cell>
          <cell r="P130">
            <v>95</v>
          </cell>
          <cell r="Q130">
            <v>205</v>
          </cell>
          <cell r="R130">
            <v>55</v>
          </cell>
          <cell r="S130">
            <v>145</v>
          </cell>
          <cell r="T130">
            <v>40</v>
          </cell>
          <cell r="U130">
            <v>60</v>
          </cell>
          <cell r="V130">
            <v>150</v>
          </cell>
          <cell r="W130">
            <v>350</v>
          </cell>
          <cell r="X130">
            <v>110</v>
          </cell>
          <cell r="Y130">
            <v>290</v>
          </cell>
          <cell r="Z130">
            <v>40</v>
          </cell>
          <cell r="AA130">
            <v>60</v>
          </cell>
          <cell r="AB130">
            <v>300</v>
          </cell>
          <cell r="AC130">
            <v>200</v>
          </cell>
          <cell r="AD130">
            <v>100</v>
          </cell>
          <cell r="AE130">
            <v>500</v>
          </cell>
          <cell r="AF130">
            <v>400</v>
          </cell>
          <cell r="AG130">
            <v>100</v>
          </cell>
        </row>
        <row r="131">
          <cell r="C131">
            <v>148022</v>
          </cell>
          <cell r="D131" t="str">
            <v>HITESH TRANSPORT</v>
          </cell>
          <cell r="E131" t="str">
            <v>BPCL</v>
          </cell>
          <cell r="G131" t="str">
            <v>Pune Wagholi RSA</v>
          </cell>
          <cell r="J131" t="str">
            <v>Junnar</v>
          </cell>
          <cell r="K131" t="str">
            <v>Pune</v>
          </cell>
          <cell r="L131" t="str">
            <v>D2</v>
          </cell>
          <cell r="O131" t="str">
            <v>A</v>
          </cell>
          <cell r="P131">
            <v>81</v>
          </cell>
          <cell r="Q131">
            <v>189</v>
          </cell>
          <cell r="R131">
            <v>67.5</v>
          </cell>
          <cell r="S131">
            <v>112.5</v>
          </cell>
          <cell r="T131">
            <v>13.5</v>
          </cell>
          <cell r="U131">
            <v>76.5</v>
          </cell>
          <cell r="V131">
            <v>139.5</v>
          </cell>
          <cell r="W131">
            <v>382.5</v>
          </cell>
          <cell r="X131">
            <v>124.5</v>
          </cell>
          <cell r="Y131">
            <v>187.5</v>
          </cell>
          <cell r="Z131">
            <v>15</v>
          </cell>
          <cell r="AA131">
            <v>195</v>
          </cell>
          <cell r="AB131">
            <v>270</v>
          </cell>
          <cell r="AC131">
            <v>180</v>
          </cell>
          <cell r="AD131">
            <v>90</v>
          </cell>
          <cell r="AE131">
            <v>522</v>
          </cell>
          <cell r="AF131">
            <v>312</v>
          </cell>
          <cell r="AG131">
            <v>210</v>
          </cell>
        </row>
        <row r="132">
          <cell r="C132">
            <v>148023</v>
          </cell>
          <cell r="D132" t="str">
            <v>SAI SERVICES</v>
          </cell>
          <cell r="E132" t="str">
            <v>BPCL</v>
          </cell>
          <cell r="G132" t="str">
            <v>Pune City RSA</v>
          </cell>
          <cell r="J132" t="str">
            <v>KARVE ROAD</v>
          </cell>
          <cell r="K132" t="str">
            <v>Pune</v>
          </cell>
          <cell r="L132" t="str">
            <v>A</v>
          </cell>
          <cell r="O132" t="str">
            <v>B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</row>
        <row r="133">
          <cell r="C133">
            <v>148059</v>
          </cell>
          <cell r="D133" t="str">
            <v>GUNJAN PETROLEUM (247159 MANISHA PETROLEUM ADHOC (14809 SAGAR CONSTRUCTION ))</v>
          </cell>
          <cell r="E133" t="str">
            <v>BPCL</v>
          </cell>
          <cell r="G133" t="str">
            <v>Ahmednagar East RSA</v>
          </cell>
          <cell r="J133" t="str">
            <v>Dhangarwadi</v>
          </cell>
          <cell r="K133" t="str">
            <v>Ahmednagar</v>
          </cell>
          <cell r="L133" t="str">
            <v>D1</v>
          </cell>
          <cell r="M133" t="str">
            <v>NH-753F</v>
          </cell>
          <cell r="O133" t="str">
            <v>A</v>
          </cell>
          <cell r="P133">
            <v>0</v>
          </cell>
          <cell r="Q133">
            <v>0</v>
          </cell>
          <cell r="R133">
            <v>42</v>
          </cell>
          <cell r="S133">
            <v>136</v>
          </cell>
          <cell r="T133">
            <v>-42</v>
          </cell>
          <cell r="U133">
            <v>-136</v>
          </cell>
          <cell r="V133">
            <v>14</v>
          </cell>
          <cell r="W133">
            <v>42</v>
          </cell>
          <cell r="X133">
            <v>87</v>
          </cell>
          <cell r="Y133">
            <v>271</v>
          </cell>
          <cell r="Z133">
            <v>-73</v>
          </cell>
          <cell r="AA133">
            <v>-229</v>
          </cell>
          <cell r="AB133">
            <v>0</v>
          </cell>
          <cell r="AC133">
            <v>178</v>
          </cell>
          <cell r="AD133">
            <v>-178</v>
          </cell>
          <cell r="AE133">
            <v>56</v>
          </cell>
          <cell r="AF133">
            <v>358</v>
          </cell>
          <cell r="AG133">
            <v>-302</v>
          </cell>
        </row>
        <row r="134">
          <cell r="C134">
            <v>148067</v>
          </cell>
          <cell r="D134" t="str">
            <v>DHARMAWAT PETROLEUM</v>
          </cell>
          <cell r="E134" t="str">
            <v>BPCL</v>
          </cell>
          <cell r="G134" t="str">
            <v>Pune Hadapsar RSA</v>
          </cell>
          <cell r="J134" t="str">
            <v>Urlidevachi Undri Road</v>
          </cell>
          <cell r="K134" t="str">
            <v>Pune</v>
          </cell>
          <cell r="L134" t="str">
            <v>A</v>
          </cell>
          <cell r="O134" t="str">
            <v>A</v>
          </cell>
          <cell r="P134">
            <v>310</v>
          </cell>
          <cell r="Q134">
            <v>470</v>
          </cell>
          <cell r="R134">
            <v>275</v>
          </cell>
          <cell r="S134">
            <v>445</v>
          </cell>
          <cell r="T134">
            <v>35</v>
          </cell>
          <cell r="U134">
            <v>25</v>
          </cell>
          <cell r="V134">
            <v>595</v>
          </cell>
          <cell r="W134">
            <v>930</v>
          </cell>
          <cell r="X134">
            <v>545</v>
          </cell>
          <cell r="Y134">
            <v>875</v>
          </cell>
          <cell r="Z134">
            <v>50</v>
          </cell>
          <cell r="AA134">
            <v>55</v>
          </cell>
          <cell r="AB134">
            <v>780</v>
          </cell>
          <cell r="AC134">
            <v>720</v>
          </cell>
          <cell r="AD134">
            <v>60</v>
          </cell>
          <cell r="AE134">
            <v>1525</v>
          </cell>
          <cell r="AF134">
            <v>1420</v>
          </cell>
          <cell r="AG134">
            <v>105</v>
          </cell>
        </row>
        <row r="135">
          <cell r="C135">
            <v>148068</v>
          </cell>
          <cell r="D135" t="str">
            <v>SHREE RAM PETROLEUM</v>
          </cell>
          <cell r="E135" t="str">
            <v>BPCL</v>
          </cell>
          <cell r="G135" t="str">
            <v>Satara West RSA</v>
          </cell>
          <cell r="J135" t="str">
            <v>Kolewadi to Dhebewadi</v>
          </cell>
          <cell r="K135" t="str">
            <v>Satara</v>
          </cell>
          <cell r="L135" t="str">
            <v>E</v>
          </cell>
          <cell r="O135" t="str">
            <v>B</v>
          </cell>
          <cell r="P135">
            <v>93</v>
          </cell>
          <cell r="Q135">
            <v>99</v>
          </cell>
          <cell r="R135">
            <v>84</v>
          </cell>
          <cell r="S135">
            <v>88</v>
          </cell>
          <cell r="T135">
            <v>9</v>
          </cell>
          <cell r="U135">
            <v>11</v>
          </cell>
          <cell r="V135">
            <v>153</v>
          </cell>
          <cell r="W135">
            <v>159</v>
          </cell>
          <cell r="X135">
            <v>151</v>
          </cell>
          <cell r="Y135">
            <v>165</v>
          </cell>
          <cell r="Z135">
            <v>2</v>
          </cell>
          <cell r="AA135">
            <v>-6</v>
          </cell>
          <cell r="AB135">
            <v>192</v>
          </cell>
          <cell r="AC135">
            <v>172</v>
          </cell>
          <cell r="AD135">
            <v>20</v>
          </cell>
          <cell r="AE135">
            <v>312</v>
          </cell>
          <cell r="AF135">
            <v>316</v>
          </cell>
          <cell r="AG135">
            <v>-4</v>
          </cell>
        </row>
        <row r="136">
          <cell r="C136">
            <v>148069</v>
          </cell>
          <cell r="D136" t="str">
            <v>LOBH PETROLEUM</v>
          </cell>
          <cell r="E136" t="str">
            <v>BPCL</v>
          </cell>
          <cell r="G136" t="str">
            <v>Satara West RSA</v>
          </cell>
          <cell r="J136" t="str">
            <v>Bhuinj to Satara</v>
          </cell>
          <cell r="K136" t="str">
            <v>Satara</v>
          </cell>
          <cell r="L136" t="str">
            <v>D1</v>
          </cell>
          <cell r="M136" t="str">
            <v>NH-48</v>
          </cell>
          <cell r="O136" t="str">
            <v>A</v>
          </cell>
          <cell r="P136">
            <v>58</v>
          </cell>
          <cell r="Q136">
            <v>104</v>
          </cell>
          <cell r="R136">
            <v>54</v>
          </cell>
          <cell r="S136">
            <v>46</v>
          </cell>
          <cell r="T136">
            <v>4</v>
          </cell>
          <cell r="U136">
            <v>58</v>
          </cell>
          <cell r="V136">
            <v>106</v>
          </cell>
          <cell r="W136">
            <v>240</v>
          </cell>
          <cell r="X136">
            <v>94</v>
          </cell>
          <cell r="Y136">
            <v>90</v>
          </cell>
          <cell r="Z136">
            <v>12</v>
          </cell>
          <cell r="AA136">
            <v>150</v>
          </cell>
          <cell r="AB136">
            <v>162</v>
          </cell>
          <cell r="AC136">
            <v>100</v>
          </cell>
          <cell r="AD136">
            <v>62</v>
          </cell>
          <cell r="AE136">
            <v>346</v>
          </cell>
          <cell r="AF136">
            <v>184</v>
          </cell>
          <cell r="AG136">
            <v>162</v>
          </cell>
        </row>
        <row r="137">
          <cell r="C137">
            <v>148178</v>
          </cell>
          <cell r="D137" t="str">
            <v>ATUL SALES &amp; SERVICES</v>
          </cell>
          <cell r="E137" t="str">
            <v>BPCL</v>
          </cell>
          <cell r="G137" t="str">
            <v>Pimpri Chinchwad RSA</v>
          </cell>
          <cell r="J137" t="str">
            <v xml:space="preserve">Sablewadi to shikhrapur </v>
          </cell>
          <cell r="K137" t="str">
            <v>Pune</v>
          </cell>
          <cell r="L137" t="str">
            <v>D1</v>
          </cell>
          <cell r="M137" t="str">
            <v>NH-548D</v>
          </cell>
          <cell r="O137" t="str">
            <v>A</v>
          </cell>
          <cell r="P137">
            <v>0</v>
          </cell>
          <cell r="Q137">
            <v>0</v>
          </cell>
          <cell r="R137">
            <v>9</v>
          </cell>
          <cell r="S137">
            <v>63</v>
          </cell>
          <cell r="T137">
            <v>-9</v>
          </cell>
          <cell r="U137">
            <v>-63</v>
          </cell>
          <cell r="V137">
            <v>3</v>
          </cell>
          <cell r="W137">
            <v>9</v>
          </cell>
          <cell r="X137">
            <v>22.5</v>
          </cell>
          <cell r="Y137">
            <v>121.5</v>
          </cell>
          <cell r="Z137">
            <v>-19.5</v>
          </cell>
          <cell r="AA137">
            <v>-112.5</v>
          </cell>
          <cell r="AB137">
            <v>0</v>
          </cell>
          <cell r="AC137">
            <v>72</v>
          </cell>
          <cell r="AD137">
            <v>-72</v>
          </cell>
          <cell r="AE137">
            <v>12</v>
          </cell>
          <cell r="AF137">
            <v>144</v>
          </cell>
          <cell r="AG137">
            <v>-132</v>
          </cell>
        </row>
        <row r="138">
          <cell r="C138">
            <v>148180</v>
          </cell>
          <cell r="D138" t="str">
            <v>YASH PETROLEUM</v>
          </cell>
          <cell r="E138" t="str">
            <v>BPCL</v>
          </cell>
          <cell r="G138" t="str">
            <v>Pune City RSA</v>
          </cell>
          <cell r="J138" t="str">
            <v>MUNDHWA/GHORPADI</v>
          </cell>
          <cell r="K138" t="str">
            <v>Pune</v>
          </cell>
          <cell r="L138" t="str">
            <v>A</v>
          </cell>
          <cell r="O138" t="str">
            <v>A</v>
          </cell>
          <cell r="P138">
            <v>167</v>
          </cell>
          <cell r="Q138">
            <v>82</v>
          </cell>
          <cell r="R138">
            <v>155</v>
          </cell>
          <cell r="S138">
            <v>69</v>
          </cell>
          <cell r="T138">
            <v>12</v>
          </cell>
          <cell r="U138">
            <v>13</v>
          </cell>
          <cell r="V138">
            <v>327</v>
          </cell>
          <cell r="W138">
            <v>161</v>
          </cell>
          <cell r="X138">
            <v>317</v>
          </cell>
          <cell r="Y138">
            <v>128</v>
          </cell>
          <cell r="Z138">
            <v>10</v>
          </cell>
          <cell r="AA138">
            <v>33</v>
          </cell>
          <cell r="AB138">
            <v>249</v>
          </cell>
          <cell r="AC138">
            <v>224</v>
          </cell>
          <cell r="AD138">
            <v>25</v>
          </cell>
          <cell r="AE138">
            <v>488</v>
          </cell>
          <cell r="AF138">
            <v>445</v>
          </cell>
          <cell r="AG138">
            <v>43</v>
          </cell>
        </row>
        <row r="139">
          <cell r="C139">
            <v>148424</v>
          </cell>
          <cell r="D139" t="str">
            <v>TAWARE PETROLEUM AGENCY</v>
          </cell>
          <cell r="E139" t="str">
            <v>BPCL</v>
          </cell>
          <cell r="G139" t="str">
            <v>Pune Tathawade RSA</v>
          </cell>
          <cell r="J139" t="str">
            <v>MALEGAON</v>
          </cell>
          <cell r="K139" t="str">
            <v>Pune</v>
          </cell>
          <cell r="L139" t="str">
            <v>D2</v>
          </cell>
          <cell r="O139" t="str">
            <v>A</v>
          </cell>
          <cell r="P139">
            <v>24</v>
          </cell>
          <cell r="Q139">
            <v>24</v>
          </cell>
          <cell r="R139">
            <v>24</v>
          </cell>
          <cell r="S139">
            <v>24</v>
          </cell>
          <cell r="T139">
            <v>0</v>
          </cell>
          <cell r="U139">
            <v>0</v>
          </cell>
          <cell r="V139">
            <v>54</v>
          </cell>
          <cell r="W139">
            <v>54</v>
          </cell>
          <cell r="X139">
            <v>54</v>
          </cell>
          <cell r="Y139">
            <v>54</v>
          </cell>
          <cell r="Z139">
            <v>0</v>
          </cell>
          <cell r="AA139">
            <v>0</v>
          </cell>
          <cell r="AB139">
            <v>48</v>
          </cell>
          <cell r="AC139">
            <v>48</v>
          </cell>
          <cell r="AD139">
            <v>0</v>
          </cell>
          <cell r="AE139">
            <v>108</v>
          </cell>
          <cell r="AF139">
            <v>108</v>
          </cell>
          <cell r="AG139">
            <v>0</v>
          </cell>
        </row>
        <row r="140">
          <cell r="C140">
            <v>148459</v>
          </cell>
          <cell r="D140" t="str">
            <v>SONA HIRA PETROLEUM</v>
          </cell>
          <cell r="E140" t="str">
            <v>BPCL</v>
          </cell>
          <cell r="G140" t="str">
            <v>Satara West RSA</v>
          </cell>
          <cell r="J140" t="str">
            <v>Karad Shenoli Road</v>
          </cell>
          <cell r="K140" t="str">
            <v>Satara</v>
          </cell>
          <cell r="L140" t="str">
            <v>D1</v>
          </cell>
          <cell r="M140" t="str">
            <v>NH-266</v>
          </cell>
          <cell r="O140" t="str">
            <v>B</v>
          </cell>
          <cell r="P140">
            <v>57</v>
          </cell>
          <cell r="Q140">
            <v>93</v>
          </cell>
          <cell r="R140">
            <v>39</v>
          </cell>
          <cell r="S140">
            <v>69</v>
          </cell>
          <cell r="T140">
            <v>18</v>
          </cell>
          <cell r="U140">
            <v>24</v>
          </cell>
          <cell r="V140">
            <v>96</v>
          </cell>
          <cell r="W140">
            <v>162</v>
          </cell>
          <cell r="X140">
            <v>84</v>
          </cell>
          <cell r="Y140">
            <v>144</v>
          </cell>
          <cell r="Z140">
            <v>12</v>
          </cell>
          <cell r="AA140">
            <v>18</v>
          </cell>
          <cell r="AB140">
            <v>150</v>
          </cell>
          <cell r="AC140">
            <v>108</v>
          </cell>
          <cell r="AD140">
            <v>42</v>
          </cell>
          <cell r="AE140">
            <v>258</v>
          </cell>
          <cell r="AF140">
            <v>228</v>
          </cell>
          <cell r="AG140">
            <v>30</v>
          </cell>
        </row>
        <row r="141">
          <cell r="C141">
            <v>148460</v>
          </cell>
          <cell r="D141" t="str">
            <v>J K PETROLEUM</v>
          </cell>
          <cell r="E141" t="str">
            <v>BPCL</v>
          </cell>
          <cell r="G141" t="str">
            <v>Satara West RSA</v>
          </cell>
          <cell r="J141" t="str">
            <v>Karad Oglewadi Road</v>
          </cell>
          <cell r="K141" t="str">
            <v>Satara</v>
          </cell>
          <cell r="L141" t="str">
            <v>D1</v>
          </cell>
          <cell r="M141" t="str">
            <v>NH-166E</v>
          </cell>
          <cell r="O141" t="str">
            <v>B</v>
          </cell>
          <cell r="P141">
            <v>140</v>
          </cell>
          <cell r="Q141">
            <v>101</v>
          </cell>
          <cell r="R141">
            <v>91</v>
          </cell>
          <cell r="S141">
            <v>63</v>
          </cell>
          <cell r="T141">
            <v>49</v>
          </cell>
          <cell r="U141">
            <v>38</v>
          </cell>
          <cell r="V141">
            <v>247.5</v>
          </cell>
          <cell r="W141">
            <v>185.5</v>
          </cell>
          <cell r="X141">
            <v>181.5</v>
          </cell>
          <cell r="Y141">
            <v>122.5</v>
          </cell>
          <cell r="Z141">
            <v>66</v>
          </cell>
          <cell r="AA141">
            <v>63</v>
          </cell>
          <cell r="AB141">
            <v>241</v>
          </cell>
          <cell r="AC141">
            <v>154</v>
          </cell>
          <cell r="AD141">
            <v>87</v>
          </cell>
          <cell r="AE141">
            <v>433</v>
          </cell>
          <cell r="AF141">
            <v>304</v>
          </cell>
          <cell r="AG141">
            <v>129</v>
          </cell>
        </row>
        <row r="142">
          <cell r="C142">
            <v>148461</v>
          </cell>
          <cell r="D142" t="str">
            <v>SHREE BALAJI PETROLEUM</v>
          </cell>
          <cell r="E142" t="str">
            <v>BPCL</v>
          </cell>
          <cell r="G142" t="str">
            <v>Satara East RSA</v>
          </cell>
          <cell r="J142" t="str">
            <v>Medha</v>
          </cell>
          <cell r="K142" t="str">
            <v>Satara</v>
          </cell>
          <cell r="L142" t="str">
            <v>E</v>
          </cell>
          <cell r="O142" t="str">
            <v>B</v>
          </cell>
          <cell r="P142">
            <v>45</v>
          </cell>
          <cell r="Q142">
            <v>63</v>
          </cell>
          <cell r="R142">
            <v>39</v>
          </cell>
          <cell r="S142">
            <v>33</v>
          </cell>
          <cell r="T142">
            <v>6</v>
          </cell>
          <cell r="U142">
            <v>30</v>
          </cell>
          <cell r="V142">
            <v>87</v>
          </cell>
          <cell r="W142">
            <v>105</v>
          </cell>
          <cell r="X142">
            <v>75</v>
          </cell>
          <cell r="Y142">
            <v>69</v>
          </cell>
          <cell r="Z142">
            <v>12</v>
          </cell>
          <cell r="AA142">
            <v>36</v>
          </cell>
          <cell r="AB142">
            <v>108</v>
          </cell>
          <cell r="AC142">
            <v>72</v>
          </cell>
          <cell r="AD142">
            <v>36</v>
          </cell>
          <cell r="AE142">
            <v>192</v>
          </cell>
          <cell r="AF142">
            <v>144</v>
          </cell>
          <cell r="AG142">
            <v>48</v>
          </cell>
        </row>
        <row r="143">
          <cell r="C143">
            <v>148723</v>
          </cell>
          <cell r="D143" t="str">
            <v>SAI SHRADHA PETROLEUM</v>
          </cell>
          <cell r="E143" t="str">
            <v>BPCL</v>
          </cell>
          <cell r="G143" t="str">
            <v>Ahmednagar East RSA</v>
          </cell>
          <cell r="J143" t="str">
            <v>Kukana</v>
          </cell>
          <cell r="K143" t="str">
            <v>Ahmednagar</v>
          </cell>
          <cell r="L143" t="str">
            <v>D2</v>
          </cell>
          <cell r="O143" t="str">
            <v>A</v>
          </cell>
          <cell r="P143">
            <v>90</v>
          </cell>
          <cell r="Q143">
            <v>180</v>
          </cell>
          <cell r="R143">
            <v>85</v>
          </cell>
          <cell r="S143">
            <v>95</v>
          </cell>
          <cell r="T143">
            <v>5</v>
          </cell>
          <cell r="U143">
            <v>85</v>
          </cell>
          <cell r="V143">
            <v>165</v>
          </cell>
          <cell r="W143">
            <v>265</v>
          </cell>
          <cell r="X143">
            <v>175</v>
          </cell>
          <cell r="Y143">
            <v>205</v>
          </cell>
          <cell r="Z143">
            <v>-10</v>
          </cell>
          <cell r="AA143">
            <v>60</v>
          </cell>
          <cell r="AB143">
            <v>270</v>
          </cell>
          <cell r="AC143">
            <v>180</v>
          </cell>
          <cell r="AD143">
            <v>90</v>
          </cell>
          <cell r="AE143">
            <v>430</v>
          </cell>
          <cell r="AF143">
            <v>380</v>
          </cell>
          <cell r="AG143">
            <v>50</v>
          </cell>
        </row>
        <row r="144">
          <cell r="C144">
            <v>148995</v>
          </cell>
          <cell r="D144" t="str">
            <v>SAI PETROLEUM</v>
          </cell>
          <cell r="E144" t="str">
            <v>BPCL</v>
          </cell>
          <cell r="G144" t="str">
            <v>Pune Wagholi RSA</v>
          </cell>
          <cell r="J144" t="str">
            <v>Shikrapur to Ranjangaon RHS</v>
          </cell>
          <cell r="K144" t="str">
            <v>Pune</v>
          </cell>
          <cell r="L144" t="str">
            <v>D1</v>
          </cell>
          <cell r="M144" t="str">
            <v>NH-753F</v>
          </cell>
          <cell r="O144" t="str">
            <v>A</v>
          </cell>
          <cell r="P144">
            <v>24</v>
          </cell>
          <cell r="Q144">
            <v>148</v>
          </cell>
          <cell r="R144">
            <v>16</v>
          </cell>
          <cell r="S144">
            <v>152</v>
          </cell>
          <cell r="T144">
            <v>8</v>
          </cell>
          <cell r="U144">
            <v>-4</v>
          </cell>
          <cell r="V144">
            <v>40</v>
          </cell>
          <cell r="W144">
            <v>304</v>
          </cell>
          <cell r="X144">
            <v>32</v>
          </cell>
          <cell r="Y144">
            <v>292</v>
          </cell>
          <cell r="Z144">
            <v>8</v>
          </cell>
          <cell r="AA144">
            <v>12</v>
          </cell>
          <cell r="AB144">
            <v>172</v>
          </cell>
          <cell r="AC144">
            <v>168</v>
          </cell>
          <cell r="AD144">
            <v>4</v>
          </cell>
          <cell r="AE144">
            <v>344</v>
          </cell>
          <cell r="AF144">
            <v>324</v>
          </cell>
          <cell r="AG144">
            <v>20</v>
          </cell>
        </row>
        <row r="145">
          <cell r="C145">
            <v>149177</v>
          </cell>
          <cell r="D145" t="str">
            <v>ASHISH PETROLEUM (ADHOC)</v>
          </cell>
          <cell r="E145" t="str">
            <v>BPCL</v>
          </cell>
          <cell r="G145" t="str">
            <v>Pune Tathawade RSA</v>
          </cell>
          <cell r="J145" t="str">
            <v>Masur</v>
          </cell>
          <cell r="K145" t="str">
            <v>Pune</v>
          </cell>
          <cell r="L145" t="str">
            <v>D1</v>
          </cell>
          <cell r="M145" t="str">
            <v>NH-965G</v>
          </cell>
          <cell r="O145" t="str">
            <v>B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</row>
        <row r="146">
          <cell r="C146">
            <v>149992</v>
          </cell>
          <cell r="D146" t="str">
            <v>GAYATRI PETROLEUM</v>
          </cell>
          <cell r="E146" t="str">
            <v>BPCL</v>
          </cell>
          <cell r="G146" t="str">
            <v>Satara West RSA</v>
          </cell>
          <cell r="J146" t="str">
            <v>Masur</v>
          </cell>
          <cell r="K146" t="str">
            <v>Satara</v>
          </cell>
          <cell r="L146" t="str">
            <v>D2</v>
          </cell>
          <cell r="O146" t="str">
            <v>B</v>
          </cell>
          <cell r="P146">
            <v>52</v>
          </cell>
          <cell r="Q146">
            <v>70</v>
          </cell>
          <cell r="R146">
            <v>56</v>
          </cell>
          <cell r="S146">
            <v>76</v>
          </cell>
          <cell r="T146">
            <v>-4</v>
          </cell>
          <cell r="U146">
            <v>-6</v>
          </cell>
          <cell r="V146">
            <v>100</v>
          </cell>
          <cell r="W146">
            <v>144</v>
          </cell>
          <cell r="X146">
            <v>121</v>
          </cell>
          <cell r="Y146">
            <v>159</v>
          </cell>
          <cell r="Z146">
            <v>-21</v>
          </cell>
          <cell r="AA146">
            <v>-15</v>
          </cell>
          <cell r="AB146">
            <v>122</v>
          </cell>
          <cell r="AC146">
            <v>132</v>
          </cell>
          <cell r="AD146">
            <v>-10</v>
          </cell>
          <cell r="AE146">
            <v>244</v>
          </cell>
          <cell r="AF146">
            <v>280</v>
          </cell>
          <cell r="AG146">
            <v>-36</v>
          </cell>
        </row>
        <row r="147">
          <cell r="C147">
            <v>150337</v>
          </cell>
          <cell r="D147" t="str">
            <v>TRIMURTI PETROLEUM</v>
          </cell>
          <cell r="E147" t="str">
            <v>BPCL</v>
          </cell>
          <cell r="G147" t="str">
            <v>Satara West RSA</v>
          </cell>
          <cell r="J147" t="str">
            <v>KARAD TO WATHAR</v>
          </cell>
          <cell r="K147" t="str">
            <v>Satara</v>
          </cell>
          <cell r="L147" t="str">
            <v>D1</v>
          </cell>
          <cell r="M147" t="str">
            <v>NH-48</v>
          </cell>
          <cell r="O147" t="str">
            <v>A</v>
          </cell>
          <cell r="P147">
            <v>70</v>
          </cell>
          <cell r="Q147">
            <v>272</v>
          </cell>
          <cell r="R147">
            <v>80</v>
          </cell>
          <cell r="S147">
            <v>338</v>
          </cell>
          <cell r="T147">
            <v>-10</v>
          </cell>
          <cell r="U147">
            <v>-66</v>
          </cell>
          <cell r="V147">
            <v>118</v>
          </cell>
          <cell r="W147">
            <v>544</v>
          </cell>
          <cell r="X147">
            <v>155</v>
          </cell>
          <cell r="Y147">
            <v>681</v>
          </cell>
          <cell r="Z147">
            <v>-37</v>
          </cell>
          <cell r="AA147">
            <v>-137</v>
          </cell>
          <cell r="AB147">
            <v>342</v>
          </cell>
          <cell r="AC147">
            <v>418</v>
          </cell>
          <cell r="AD147">
            <v>-76</v>
          </cell>
          <cell r="AE147">
            <v>662</v>
          </cell>
          <cell r="AF147">
            <v>836</v>
          </cell>
          <cell r="AG147">
            <v>-174</v>
          </cell>
        </row>
        <row r="148">
          <cell r="C148">
            <v>150815</v>
          </cell>
          <cell r="D148" t="str">
            <v>BP-EXPRESS HIGHWAY</v>
          </cell>
          <cell r="E148" t="str">
            <v>BPCL</v>
          </cell>
          <cell r="G148" t="str">
            <v>Pune Tathawade RSA</v>
          </cell>
          <cell r="J148" t="str">
            <v>YCEW LONAVALA TO RAVET</v>
          </cell>
          <cell r="K148" t="str">
            <v>Pune</v>
          </cell>
          <cell r="L148" t="str">
            <v>D1</v>
          </cell>
          <cell r="M148" t="str">
            <v>NH-48</v>
          </cell>
          <cell r="O148" t="str">
            <v>A</v>
          </cell>
          <cell r="P148">
            <v>238.06399999999999</v>
          </cell>
          <cell r="Q148">
            <v>918.40700000000004</v>
          </cell>
          <cell r="R148">
            <v>217.29500000000002</v>
          </cell>
          <cell r="S148">
            <v>634.81799999999998</v>
          </cell>
          <cell r="T148">
            <v>20.768999999999977</v>
          </cell>
          <cell r="U148">
            <v>283.58900000000006</v>
          </cell>
          <cell r="V148">
            <v>428.98900000000003</v>
          </cell>
          <cell r="W148">
            <v>1728.163</v>
          </cell>
          <cell r="X148">
            <v>396.32300000000004</v>
          </cell>
          <cell r="Y148">
            <v>1233.393</v>
          </cell>
          <cell r="Z148">
            <v>32.665999999999997</v>
          </cell>
          <cell r="AA148">
            <v>494.77</v>
          </cell>
          <cell r="AB148">
            <v>1156.471</v>
          </cell>
          <cell r="AC148">
            <v>852.11300000000006</v>
          </cell>
          <cell r="AD148">
            <v>304.35799999999995</v>
          </cell>
          <cell r="AE148">
            <v>2157.152</v>
          </cell>
          <cell r="AF148">
            <v>1629.7160000000001</v>
          </cell>
          <cell r="AG148">
            <v>527.43599999999992</v>
          </cell>
        </row>
        <row r="149">
          <cell r="C149">
            <v>154342</v>
          </cell>
          <cell r="D149" t="str">
            <v>BP - KELEWADE</v>
          </cell>
          <cell r="E149" t="str">
            <v>BPCL</v>
          </cell>
          <cell r="G149" t="str">
            <v>Pune Tathawade RSA</v>
          </cell>
          <cell r="J149" t="str">
            <v>HARISHCHANDRI TO KHED SHIVAPUR</v>
          </cell>
          <cell r="K149" t="str">
            <v>Pune</v>
          </cell>
          <cell r="L149" t="str">
            <v>D1</v>
          </cell>
          <cell r="M149" t="str">
            <v>NH-48</v>
          </cell>
          <cell r="O149" t="str">
            <v>A</v>
          </cell>
          <cell r="P149">
            <v>148.345</v>
          </cell>
          <cell r="Q149">
            <v>336.88799999999998</v>
          </cell>
          <cell r="R149">
            <v>121.89700000000001</v>
          </cell>
          <cell r="S149">
            <v>211.18899999999999</v>
          </cell>
          <cell r="T149">
            <v>26.447999999999993</v>
          </cell>
          <cell r="U149">
            <v>125.69899999999998</v>
          </cell>
          <cell r="V149">
            <v>246.99299999999999</v>
          </cell>
          <cell r="W149">
            <v>585.75199999999995</v>
          </cell>
          <cell r="X149">
            <v>226.93700000000001</v>
          </cell>
          <cell r="Y149">
            <v>424.404</v>
          </cell>
          <cell r="Z149">
            <v>20.055999999999983</v>
          </cell>
          <cell r="AA149">
            <v>161.34799999999996</v>
          </cell>
          <cell r="AB149">
            <v>485.23299999999995</v>
          </cell>
          <cell r="AC149">
            <v>333.08600000000001</v>
          </cell>
          <cell r="AD149">
            <v>152.14699999999993</v>
          </cell>
          <cell r="AE149">
            <v>832.74499999999989</v>
          </cell>
          <cell r="AF149">
            <v>651.34100000000001</v>
          </cell>
          <cell r="AG149">
            <v>181.40399999999988</v>
          </cell>
        </row>
        <row r="150">
          <cell r="C150">
            <v>154633</v>
          </cell>
          <cell r="D150" t="str">
            <v>SHREE SEWAGIRI PETROLEUM</v>
          </cell>
          <cell r="E150" t="str">
            <v>BPCL</v>
          </cell>
          <cell r="G150" t="str">
            <v>Satara East RSA</v>
          </cell>
          <cell r="J150" t="str">
            <v>Satara to Bhuinj</v>
          </cell>
          <cell r="K150" t="str">
            <v>Satara</v>
          </cell>
          <cell r="L150" t="str">
            <v>D1</v>
          </cell>
          <cell r="M150" t="str">
            <v>NH-548C</v>
          </cell>
          <cell r="O150" t="str">
            <v>B</v>
          </cell>
          <cell r="P150">
            <v>52</v>
          </cell>
          <cell r="Q150">
            <v>67</v>
          </cell>
          <cell r="R150">
            <v>60</v>
          </cell>
          <cell r="S150">
            <v>60</v>
          </cell>
          <cell r="T150">
            <v>-8</v>
          </cell>
          <cell r="U150">
            <v>7</v>
          </cell>
          <cell r="V150">
            <v>93</v>
          </cell>
          <cell r="W150">
            <v>128</v>
          </cell>
          <cell r="X150">
            <v>122</v>
          </cell>
          <cell r="Y150">
            <v>126</v>
          </cell>
          <cell r="Z150">
            <v>-29</v>
          </cell>
          <cell r="AA150">
            <v>2</v>
          </cell>
          <cell r="AB150">
            <v>119</v>
          </cell>
          <cell r="AC150">
            <v>120</v>
          </cell>
          <cell r="AD150">
            <v>-1</v>
          </cell>
          <cell r="AE150">
            <v>221</v>
          </cell>
          <cell r="AF150">
            <v>248</v>
          </cell>
          <cell r="AG150">
            <v>-27</v>
          </cell>
        </row>
        <row r="151">
          <cell r="C151">
            <v>154642</v>
          </cell>
          <cell r="D151" t="str">
            <v>ANAND PETROLEUM</v>
          </cell>
          <cell r="E151" t="str">
            <v>BPCL</v>
          </cell>
          <cell r="G151" t="str">
            <v>Ahmednagar West RSA</v>
          </cell>
          <cell r="J151" t="str">
            <v>ARANGAON</v>
          </cell>
          <cell r="K151" t="str">
            <v>Ahmednagar</v>
          </cell>
          <cell r="L151" t="str">
            <v>D1</v>
          </cell>
          <cell r="M151" t="str">
            <v>NH-160</v>
          </cell>
          <cell r="O151" t="str">
            <v>A</v>
          </cell>
          <cell r="P151">
            <v>120</v>
          </cell>
          <cell r="Q151">
            <v>264</v>
          </cell>
          <cell r="R151">
            <v>92</v>
          </cell>
          <cell r="S151">
            <v>226</v>
          </cell>
          <cell r="T151">
            <v>28</v>
          </cell>
          <cell r="U151">
            <v>38</v>
          </cell>
          <cell r="V151">
            <v>216.5</v>
          </cell>
          <cell r="W151">
            <v>507.5</v>
          </cell>
          <cell r="X151">
            <v>178</v>
          </cell>
          <cell r="Y151">
            <v>460</v>
          </cell>
          <cell r="Z151">
            <v>38.5</v>
          </cell>
          <cell r="AA151">
            <v>47.5</v>
          </cell>
          <cell r="AB151">
            <v>384</v>
          </cell>
          <cell r="AC151">
            <v>318</v>
          </cell>
          <cell r="AD151">
            <v>66</v>
          </cell>
          <cell r="AE151">
            <v>724</v>
          </cell>
          <cell r="AF151">
            <v>638</v>
          </cell>
          <cell r="AG151">
            <v>86</v>
          </cell>
        </row>
        <row r="152">
          <cell r="C152">
            <v>156097</v>
          </cell>
          <cell r="D152" t="str">
            <v>VIJAYRAJ PETROLEUM</v>
          </cell>
          <cell r="E152" t="str">
            <v>BPCL</v>
          </cell>
          <cell r="G152" t="str">
            <v>Satara East RSA</v>
          </cell>
          <cell r="J152" t="str">
            <v>Rajmachi to Kadegaon</v>
          </cell>
          <cell r="K152" t="str">
            <v>Satara</v>
          </cell>
          <cell r="L152" t="str">
            <v>D1</v>
          </cell>
          <cell r="M152" t="str">
            <v>NH-160</v>
          </cell>
          <cell r="O152" t="str">
            <v>B</v>
          </cell>
          <cell r="P152">
            <v>24</v>
          </cell>
          <cell r="Q152">
            <v>48</v>
          </cell>
          <cell r="R152">
            <v>30</v>
          </cell>
          <cell r="S152">
            <v>30</v>
          </cell>
          <cell r="T152">
            <v>-6</v>
          </cell>
          <cell r="U152">
            <v>18</v>
          </cell>
          <cell r="V152">
            <v>40</v>
          </cell>
          <cell r="W152">
            <v>104</v>
          </cell>
          <cell r="X152">
            <v>51</v>
          </cell>
          <cell r="Y152">
            <v>57</v>
          </cell>
          <cell r="Z152">
            <v>-11</v>
          </cell>
          <cell r="AA152">
            <v>47</v>
          </cell>
          <cell r="AB152">
            <v>72</v>
          </cell>
          <cell r="AC152">
            <v>60</v>
          </cell>
          <cell r="AD152">
            <v>12</v>
          </cell>
          <cell r="AE152">
            <v>144</v>
          </cell>
          <cell r="AF152">
            <v>108</v>
          </cell>
          <cell r="AG152">
            <v>36</v>
          </cell>
        </row>
        <row r="153">
          <cell r="C153">
            <v>157707</v>
          </cell>
          <cell r="D153" t="str">
            <v>SHRI SAMARTH MULTI SERVICE/ UPKAR FUELS</v>
          </cell>
          <cell r="E153" t="str">
            <v>BPCL</v>
          </cell>
          <cell r="G153" t="str">
            <v>Ahmednagar East RSA</v>
          </cell>
          <cell r="J153" t="str">
            <v>Supe toll</v>
          </cell>
          <cell r="K153" t="str">
            <v>Ahmednagar</v>
          </cell>
          <cell r="L153" t="str">
            <v>D1</v>
          </cell>
          <cell r="M153" t="str">
            <v>NH-753F</v>
          </cell>
          <cell r="O153" t="str">
            <v>A</v>
          </cell>
          <cell r="P153">
            <v>83</v>
          </cell>
          <cell r="Q153">
            <v>837</v>
          </cell>
          <cell r="R153">
            <v>78</v>
          </cell>
          <cell r="S153">
            <v>600</v>
          </cell>
          <cell r="T153">
            <v>5</v>
          </cell>
          <cell r="U153">
            <v>237</v>
          </cell>
          <cell r="V153">
            <v>152</v>
          </cell>
          <cell r="W153">
            <v>1644</v>
          </cell>
          <cell r="X153">
            <v>148</v>
          </cell>
          <cell r="Y153">
            <v>1385</v>
          </cell>
          <cell r="Z153">
            <v>4</v>
          </cell>
          <cell r="AA153">
            <v>259</v>
          </cell>
          <cell r="AB153">
            <v>920</v>
          </cell>
          <cell r="AC153">
            <v>678</v>
          </cell>
          <cell r="AD153">
            <v>242</v>
          </cell>
          <cell r="AE153">
            <v>1796</v>
          </cell>
          <cell r="AF153">
            <v>1533</v>
          </cell>
          <cell r="AG153">
            <v>263</v>
          </cell>
        </row>
        <row r="154">
          <cell r="C154">
            <v>158337</v>
          </cell>
          <cell r="D154" t="str">
            <v>AMBIKA PETROLEUM</v>
          </cell>
          <cell r="E154" t="str">
            <v>BPCL</v>
          </cell>
          <cell r="G154" t="str">
            <v>Satara East RSA</v>
          </cell>
          <cell r="J154" t="str">
            <v>Bhuinj to Khandala</v>
          </cell>
          <cell r="K154" t="str">
            <v>Satara</v>
          </cell>
          <cell r="L154" t="str">
            <v>D1</v>
          </cell>
          <cell r="M154" t="str">
            <v>NH-965D</v>
          </cell>
          <cell r="O154" t="str">
            <v>B</v>
          </cell>
          <cell r="P154">
            <v>3</v>
          </cell>
          <cell r="Q154">
            <v>9</v>
          </cell>
          <cell r="R154">
            <v>18</v>
          </cell>
          <cell r="S154">
            <v>30</v>
          </cell>
          <cell r="T154">
            <v>-15</v>
          </cell>
          <cell r="U154">
            <v>-21</v>
          </cell>
          <cell r="V154">
            <v>9</v>
          </cell>
          <cell r="W154">
            <v>39</v>
          </cell>
          <cell r="X154">
            <v>29</v>
          </cell>
          <cell r="Y154">
            <v>55</v>
          </cell>
          <cell r="Z154">
            <v>-20</v>
          </cell>
          <cell r="AA154">
            <v>-16</v>
          </cell>
          <cell r="AB154">
            <v>12</v>
          </cell>
          <cell r="AC154">
            <v>48</v>
          </cell>
          <cell r="AD154">
            <v>-36</v>
          </cell>
          <cell r="AE154">
            <v>48</v>
          </cell>
          <cell r="AF154">
            <v>84</v>
          </cell>
          <cell r="AG154">
            <v>-36</v>
          </cell>
        </row>
        <row r="155">
          <cell r="C155">
            <v>158522</v>
          </cell>
          <cell r="D155" t="str">
            <v>KAWADE PETROLEUM</v>
          </cell>
          <cell r="E155" t="str">
            <v>BPCL</v>
          </cell>
          <cell r="G155" t="str">
            <v>Pune City RSA</v>
          </cell>
          <cell r="J155" t="str">
            <v>MUNDHWA/GHORPADI</v>
          </cell>
          <cell r="K155" t="str">
            <v>Pune</v>
          </cell>
          <cell r="L155" t="str">
            <v>A</v>
          </cell>
          <cell r="O155" t="str">
            <v>A</v>
          </cell>
          <cell r="P155">
            <v>228</v>
          </cell>
          <cell r="Q155">
            <v>81</v>
          </cell>
          <cell r="R155">
            <v>234</v>
          </cell>
          <cell r="S155">
            <v>106</v>
          </cell>
          <cell r="T155">
            <v>-6</v>
          </cell>
          <cell r="U155">
            <v>-25</v>
          </cell>
          <cell r="V155">
            <v>449</v>
          </cell>
          <cell r="W155">
            <v>160</v>
          </cell>
          <cell r="X155">
            <v>462</v>
          </cell>
          <cell r="Y155">
            <v>196</v>
          </cell>
          <cell r="Z155">
            <v>-13</v>
          </cell>
          <cell r="AA155">
            <v>-36</v>
          </cell>
          <cell r="AB155">
            <v>309</v>
          </cell>
          <cell r="AC155">
            <v>340</v>
          </cell>
          <cell r="AD155">
            <v>-31</v>
          </cell>
          <cell r="AE155">
            <v>609</v>
          </cell>
          <cell r="AF155">
            <v>658</v>
          </cell>
          <cell r="AG155">
            <v>-49</v>
          </cell>
        </row>
        <row r="156">
          <cell r="C156">
            <v>158575</v>
          </cell>
          <cell r="D156" t="str">
            <v>BALAJI SALES CORPN</v>
          </cell>
          <cell r="E156" t="str">
            <v>BPCL</v>
          </cell>
          <cell r="G156" t="str">
            <v>Ahmednagar East RSA</v>
          </cell>
          <cell r="J156" t="str">
            <v>Newasa Budruk</v>
          </cell>
          <cell r="K156" t="str">
            <v>Ahmednagar</v>
          </cell>
          <cell r="L156" t="str">
            <v>D2</v>
          </cell>
          <cell r="O156" t="str">
            <v>B</v>
          </cell>
          <cell r="P156">
            <v>27.5</v>
          </cell>
          <cell r="Q156">
            <v>72.5</v>
          </cell>
          <cell r="R156">
            <v>24</v>
          </cell>
          <cell r="S156">
            <v>41</v>
          </cell>
          <cell r="T156">
            <v>3.5</v>
          </cell>
          <cell r="U156">
            <v>31.5</v>
          </cell>
          <cell r="V156">
            <v>46.5</v>
          </cell>
          <cell r="W156">
            <v>117.5</v>
          </cell>
          <cell r="X156">
            <v>54</v>
          </cell>
          <cell r="Y156">
            <v>113</v>
          </cell>
          <cell r="Z156">
            <v>-7.5</v>
          </cell>
          <cell r="AA156">
            <v>4.5</v>
          </cell>
          <cell r="AB156">
            <v>100</v>
          </cell>
          <cell r="AC156">
            <v>65</v>
          </cell>
          <cell r="AD156">
            <v>35</v>
          </cell>
          <cell r="AE156">
            <v>164</v>
          </cell>
          <cell r="AF156">
            <v>167</v>
          </cell>
          <cell r="AG156">
            <v>-3</v>
          </cell>
        </row>
        <row r="157">
          <cell r="C157">
            <v>158576</v>
          </cell>
          <cell r="D157" t="str">
            <v>VAIBHAVLAXMI PETROLEUM</v>
          </cell>
          <cell r="E157" t="str">
            <v>BPCL</v>
          </cell>
          <cell r="G157" t="str">
            <v>Ahmednagar West RSA</v>
          </cell>
          <cell r="J157" t="str">
            <v>Chichondi Patil</v>
          </cell>
          <cell r="K157" t="str">
            <v>Ahmednagar</v>
          </cell>
          <cell r="L157" t="str">
            <v>D2</v>
          </cell>
          <cell r="O157" t="str">
            <v>B</v>
          </cell>
          <cell r="P157">
            <v>0</v>
          </cell>
          <cell r="Q157">
            <v>0</v>
          </cell>
          <cell r="R157">
            <v>18</v>
          </cell>
          <cell r="S157">
            <v>54</v>
          </cell>
          <cell r="T157">
            <v>-18</v>
          </cell>
          <cell r="U157">
            <v>-54</v>
          </cell>
          <cell r="V157">
            <v>0</v>
          </cell>
          <cell r="W157">
            <v>0</v>
          </cell>
          <cell r="X157">
            <v>30</v>
          </cell>
          <cell r="Y157">
            <v>90</v>
          </cell>
          <cell r="Z157">
            <v>-30</v>
          </cell>
          <cell r="AA157">
            <v>-90</v>
          </cell>
          <cell r="AB157">
            <v>0</v>
          </cell>
          <cell r="AC157">
            <v>72</v>
          </cell>
          <cell r="AD157">
            <v>-72</v>
          </cell>
          <cell r="AE157">
            <v>0</v>
          </cell>
          <cell r="AF157">
            <v>120</v>
          </cell>
          <cell r="AG157">
            <v>-120</v>
          </cell>
        </row>
        <row r="158">
          <cell r="C158">
            <v>158577</v>
          </cell>
          <cell r="D158" t="str">
            <v>SAIDEEP PETROLEUM</v>
          </cell>
          <cell r="E158" t="str">
            <v>BPCL</v>
          </cell>
          <cell r="G158" t="str">
            <v>Ahmednagar West RSA</v>
          </cell>
          <cell r="J158" t="str">
            <v>ADHALGAON</v>
          </cell>
          <cell r="K158" t="str">
            <v>Ahmednagar</v>
          </cell>
          <cell r="L158" t="str">
            <v>D1</v>
          </cell>
          <cell r="M158" t="str">
            <v>NH-548D</v>
          </cell>
          <cell r="O158" t="str">
            <v>B</v>
          </cell>
          <cell r="P158">
            <v>67.5</v>
          </cell>
          <cell r="Q158">
            <v>223</v>
          </cell>
          <cell r="R158">
            <v>64</v>
          </cell>
          <cell r="S158">
            <v>208</v>
          </cell>
          <cell r="T158">
            <v>3.5</v>
          </cell>
          <cell r="U158">
            <v>15</v>
          </cell>
          <cell r="V158">
            <v>132</v>
          </cell>
          <cell r="W158">
            <v>404.5</v>
          </cell>
          <cell r="X158">
            <v>134</v>
          </cell>
          <cell r="Y158">
            <v>400</v>
          </cell>
          <cell r="Z158">
            <v>-2</v>
          </cell>
          <cell r="AA158">
            <v>4.5</v>
          </cell>
          <cell r="AB158">
            <v>290.5</v>
          </cell>
          <cell r="AC158">
            <v>272</v>
          </cell>
          <cell r="AD158">
            <v>18.5</v>
          </cell>
          <cell r="AE158">
            <v>536.5</v>
          </cell>
          <cell r="AF158">
            <v>534</v>
          </cell>
          <cell r="AG158">
            <v>2.5</v>
          </cell>
        </row>
        <row r="159">
          <cell r="C159">
            <v>158578</v>
          </cell>
          <cell r="D159" t="str">
            <v>SADGURU PETROLEUM</v>
          </cell>
          <cell r="E159" t="str">
            <v>BPCL</v>
          </cell>
          <cell r="G159" t="str">
            <v>Ahmednagar West RSA</v>
          </cell>
          <cell r="J159" t="str">
            <v>Karjat</v>
          </cell>
          <cell r="K159" t="str">
            <v>Ahmednagar</v>
          </cell>
          <cell r="L159" t="str">
            <v>D2</v>
          </cell>
          <cell r="O159" t="str">
            <v>B</v>
          </cell>
          <cell r="P159">
            <v>60.5</v>
          </cell>
          <cell r="Q159">
            <v>137.5</v>
          </cell>
          <cell r="R159">
            <v>67</v>
          </cell>
          <cell r="S159">
            <v>67</v>
          </cell>
          <cell r="T159">
            <v>-6.5</v>
          </cell>
          <cell r="U159">
            <v>70.5</v>
          </cell>
          <cell r="V159">
            <v>120.5</v>
          </cell>
          <cell r="W159">
            <v>237.5</v>
          </cell>
          <cell r="X159">
            <v>128</v>
          </cell>
          <cell r="Y159">
            <v>147</v>
          </cell>
          <cell r="Z159">
            <v>-7.5</v>
          </cell>
          <cell r="AA159">
            <v>90.5</v>
          </cell>
          <cell r="AB159">
            <v>198</v>
          </cell>
          <cell r="AC159">
            <v>134</v>
          </cell>
          <cell r="AD159">
            <v>64</v>
          </cell>
          <cell r="AE159">
            <v>358</v>
          </cell>
          <cell r="AF159">
            <v>275</v>
          </cell>
          <cell r="AG159">
            <v>83</v>
          </cell>
        </row>
        <row r="160">
          <cell r="C160">
            <v>158579</v>
          </cell>
          <cell r="D160" t="str">
            <v>OM SAI SANGAMESHWAR</v>
          </cell>
          <cell r="E160" t="str">
            <v>BPCL</v>
          </cell>
          <cell r="G160" t="str">
            <v>Ahmednagar West RSA</v>
          </cell>
          <cell r="J160" t="str">
            <v>JAMKHED-KHARDA RD</v>
          </cell>
          <cell r="K160" t="str">
            <v>Ahmednagar</v>
          </cell>
          <cell r="L160" t="str">
            <v>D2</v>
          </cell>
          <cell r="O160" t="str">
            <v>B</v>
          </cell>
          <cell r="P160">
            <v>31.5</v>
          </cell>
          <cell r="Q160">
            <v>98.5</v>
          </cell>
          <cell r="R160">
            <v>15</v>
          </cell>
          <cell r="S160">
            <v>81</v>
          </cell>
          <cell r="T160">
            <v>16.5</v>
          </cell>
          <cell r="U160">
            <v>17.5</v>
          </cell>
          <cell r="V160">
            <v>47.5</v>
          </cell>
          <cell r="W160">
            <v>208.5</v>
          </cell>
          <cell r="X160">
            <v>31</v>
          </cell>
          <cell r="Y160">
            <v>203</v>
          </cell>
          <cell r="Z160">
            <v>16.5</v>
          </cell>
          <cell r="AA160">
            <v>5.5</v>
          </cell>
          <cell r="AB160">
            <v>130</v>
          </cell>
          <cell r="AC160">
            <v>96</v>
          </cell>
          <cell r="AD160">
            <v>34</v>
          </cell>
          <cell r="AE160">
            <v>256</v>
          </cell>
          <cell r="AF160">
            <v>234</v>
          </cell>
          <cell r="AG160">
            <v>22</v>
          </cell>
        </row>
        <row r="161">
          <cell r="C161">
            <v>158580</v>
          </cell>
          <cell r="D161" t="str">
            <v>PALM FUELS</v>
          </cell>
          <cell r="E161" t="str">
            <v>BPCL</v>
          </cell>
          <cell r="G161" t="str">
            <v>Ahmednagar East RSA</v>
          </cell>
          <cell r="J161" t="str">
            <v>Savedi</v>
          </cell>
          <cell r="K161" t="str">
            <v>Ahmednagar</v>
          </cell>
          <cell r="L161" t="str">
            <v>C</v>
          </cell>
          <cell r="O161" t="str">
            <v>A</v>
          </cell>
          <cell r="P161">
            <v>113</v>
          </cell>
          <cell r="Q161">
            <v>49</v>
          </cell>
          <cell r="R161">
            <v>101</v>
          </cell>
          <cell r="S161">
            <v>34</v>
          </cell>
          <cell r="T161">
            <v>12</v>
          </cell>
          <cell r="U161">
            <v>15</v>
          </cell>
          <cell r="V161">
            <v>207.5</v>
          </cell>
          <cell r="W161">
            <v>76.5</v>
          </cell>
          <cell r="X161">
            <v>197</v>
          </cell>
          <cell r="Y161">
            <v>66</v>
          </cell>
          <cell r="Z161">
            <v>10.5</v>
          </cell>
          <cell r="AA161">
            <v>10.5</v>
          </cell>
          <cell r="AB161">
            <v>162</v>
          </cell>
          <cell r="AC161">
            <v>135</v>
          </cell>
          <cell r="AD161">
            <v>27</v>
          </cell>
          <cell r="AE161">
            <v>284</v>
          </cell>
          <cell r="AF161">
            <v>263</v>
          </cell>
          <cell r="AG161">
            <v>21</v>
          </cell>
        </row>
        <row r="162">
          <cell r="C162">
            <v>160146</v>
          </cell>
          <cell r="D162" t="str">
            <v>SHAHID JAWAN BHAUSAHEB BADAKH/BAFNA PVC</v>
          </cell>
          <cell r="E162" t="str">
            <v>BPCL</v>
          </cell>
          <cell r="G162" t="str">
            <v>Ahmednagar East RSA</v>
          </cell>
          <cell r="J162" t="str">
            <v>WAMBHORI PHATA ON NH160</v>
          </cell>
          <cell r="K162" t="str">
            <v>Ahmednagar</v>
          </cell>
          <cell r="L162" t="str">
            <v>D1</v>
          </cell>
          <cell r="M162" t="str">
            <v>NH-160</v>
          </cell>
          <cell r="O162" t="str">
            <v>A</v>
          </cell>
          <cell r="P162">
            <v>30</v>
          </cell>
          <cell r="Q162">
            <v>234</v>
          </cell>
          <cell r="R162">
            <v>39</v>
          </cell>
          <cell r="S162">
            <v>273</v>
          </cell>
          <cell r="T162">
            <v>-9</v>
          </cell>
          <cell r="U162">
            <v>-39</v>
          </cell>
          <cell r="V162">
            <v>54</v>
          </cell>
          <cell r="W162">
            <v>402</v>
          </cell>
          <cell r="X162">
            <v>74</v>
          </cell>
          <cell r="Y162">
            <v>498</v>
          </cell>
          <cell r="Z162">
            <v>-20</v>
          </cell>
          <cell r="AA162">
            <v>-96</v>
          </cell>
          <cell r="AB162">
            <v>264</v>
          </cell>
          <cell r="AC162">
            <v>312</v>
          </cell>
          <cell r="AD162">
            <v>-48</v>
          </cell>
          <cell r="AE162">
            <v>456</v>
          </cell>
          <cell r="AF162">
            <v>572</v>
          </cell>
          <cell r="AG162">
            <v>-116</v>
          </cell>
        </row>
        <row r="163">
          <cell r="C163">
            <v>160152</v>
          </cell>
          <cell r="D163" t="str">
            <v>MALGANGA PETROLEUM /MALGANGA SERVICE STN</v>
          </cell>
          <cell r="E163" t="str">
            <v>BPCL</v>
          </cell>
          <cell r="G163" t="str">
            <v>Ahmednagar West RSA</v>
          </cell>
          <cell r="J163" t="str">
            <v>Nighoj</v>
          </cell>
          <cell r="K163" t="str">
            <v>Ahmednagar</v>
          </cell>
          <cell r="L163" t="str">
            <v>D1</v>
          </cell>
          <cell r="M163" t="str">
            <v>NH-761</v>
          </cell>
          <cell r="O163" t="str">
            <v>A</v>
          </cell>
          <cell r="P163">
            <v>66.5</v>
          </cell>
          <cell r="Q163">
            <v>269.5</v>
          </cell>
          <cell r="R163">
            <v>63</v>
          </cell>
          <cell r="S163">
            <v>203</v>
          </cell>
          <cell r="T163">
            <v>3.5</v>
          </cell>
          <cell r="U163">
            <v>66.5</v>
          </cell>
          <cell r="V163">
            <v>115.5</v>
          </cell>
          <cell r="W163">
            <v>486.5</v>
          </cell>
          <cell r="X163">
            <v>126</v>
          </cell>
          <cell r="Y163">
            <v>406</v>
          </cell>
          <cell r="Z163">
            <v>-10.5</v>
          </cell>
          <cell r="AA163">
            <v>80.5</v>
          </cell>
          <cell r="AB163">
            <v>336</v>
          </cell>
          <cell r="AC163">
            <v>266</v>
          </cell>
          <cell r="AD163">
            <v>70</v>
          </cell>
          <cell r="AE163">
            <v>602</v>
          </cell>
          <cell r="AF163">
            <v>532</v>
          </cell>
          <cell r="AG163">
            <v>70</v>
          </cell>
        </row>
        <row r="164">
          <cell r="C164">
            <v>161293</v>
          </cell>
          <cell r="D164" t="str">
            <v>SAKHARE SERVICE STN</v>
          </cell>
          <cell r="E164" t="str">
            <v>BPCL</v>
          </cell>
          <cell r="G164" t="str">
            <v>Pune Hadapsar RSA</v>
          </cell>
          <cell r="J164" t="str">
            <v>Urlikanchan LHS</v>
          </cell>
          <cell r="K164" t="str">
            <v>Pune</v>
          </cell>
          <cell r="L164" t="str">
            <v>D1</v>
          </cell>
          <cell r="M164" t="str">
            <v>NH-65</v>
          </cell>
          <cell r="O164" t="str">
            <v>A</v>
          </cell>
          <cell r="P164">
            <v>36</v>
          </cell>
          <cell r="Q164">
            <v>36</v>
          </cell>
          <cell r="R164">
            <v>58</v>
          </cell>
          <cell r="S164">
            <v>142</v>
          </cell>
          <cell r="T164">
            <v>-22</v>
          </cell>
          <cell r="U164">
            <v>-106</v>
          </cell>
          <cell r="V164">
            <v>69</v>
          </cell>
          <cell r="W164">
            <v>63</v>
          </cell>
          <cell r="X164">
            <v>111</v>
          </cell>
          <cell r="Y164">
            <v>277</v>
          </cell>
          <cell r="Z164">
            <v>-42</v>
          </cell>
          <cell r="AA164">
            <v>-214</v>
          </cell>
          <cell r="AB164">
            <v>72</v>
          </cell>
          <cell r="AC164">
            <v>200</v>
          </cell>
          <cell r="AD164">
            <v>-128</v>
          </cell>
          <cell r="AE164">
            <v>132</v>
          </cell>
          <cell r="AF164">
            <v>388</v>
          </cell>
          <cell r="AG164">
            <v>-256</v>
          </cell>
        </row>
        <row r="165">
          <cell r="C165">
            <v>161490</v>
          </cell>
          <cell r="D165" t="str">
            <v xml:space="preserve">MAULI PETROLEUM (comm on July '08) / SUVIDHA SERVICES (Closed on </v>
          </cell>
          <cell r="E165" t="str">
            <v>BPCL</v>
          </cell>
          <cell r="G165" t="str">
            <v>Shirdi RSA</v>
          </cell>
          <cell r="J165" t="str">
            <v>AKOLE</v>
          </cell>
          <cell r="K165" t="str">
            <v>Ahmednagar</v>
          </cell>
          <cell r="L165" t="str">
            <v>D2</v>
          </cell>
          <cell r="O165" t="str">
            <v>B</v>
          </cell>
          <cell r="P165">
            <v>18</v>
          </cell>
          <cell r="Q165">
            <v>24</v>
          </cell>
          <cell r="R165">
            <v>15</v>
          </cell>
          <cell r="S165">
            <v>32</v>
          </cell>
          <cell r="T165">
            <v>3</v>
          </cell>
          <cell r="U165">
            <v>-8</v>
          </cell>
          <cell r="V165">
            <v>36</v>
          </cell>
          <cell r="W165">
            <v>54</v>
          </cell>
          <cell r="X165">
            <v>34</v>
          </cell>
          <cell r="Y165">
            <v>76</v>
          </cell>
          <cell r="Z165">
            <v>2</v>
          </cell>
          <cell r="AA165">
            <v>-22</v>
          </cell>
          <cell r="AB165">
            <v>42</v>
          </cell>
          <cell r="AC165">
            <v>47</v>
          </cell>
          <cell r="AD165">
            <v>-5</v>
          </cell>
          <cell r="AE165">
            <v>90</v>
          </cell>
          <cell r="AF165">
            <v>110</v>
          </cell>
          <cell r="AG165">
            <v>-20</v>
          </cell>
        </row>
        <row r="166">
          <cell r="C166">
            <v>161933</v>
          </cell>
          <cell r="D166" t="str">
            <v>BALAJI PETROLEUM</v>
          </cell>
          <cell r="E166" t="str">
            <v>BPCL</v>
          </cell>
          <cell r="G166" t="str">
            <v>Pune Wagholi RSA</v>
          </cell>
          <cell r="J166" t="str">
            <v>Alephata on Kalyan highway</v>
          </cell>
          <cell r="K166" t="str">
            <v>Pune</v>
          </cell>
          <cell r="L166" t="str">
            <v>D1</v>
          </cell>
          <cell r="M166" t="str">
            <v>NH-61</v>
          </cell>
          <cell r="O166" t="str">
            <v>A</v>
          </cell>
          <cell r="P166">
            <v>57</v>
          </cell>
          <cell r="Q166">
            <v>111</v>
          </cell>
          <cell r="R166">
            <v>55</v>
          </cell>
          <cell r="S166">
            <v>97</v>
          </cell>
          <cell r="T166">
            <v>2</v>
          </cell>
          <cell r="U166">
            <v>14</v>
          </cell>
          <cell r="V166">
            <v>105</v>
          </cell>
          <cell r="W166">
            <v>183</v>
          </cell>
          <cell r="X166">
            <v>111</v>
          </cell>
          <cell r="Y166">
            <v>217</v>
          </cell>
          <cell r="Z166">
            <v>-6</v>
          </cell>
          <cell r="AA166">
            <v>-34</v>
          </cell>
          <cell r="AB166">
            <v>168</v>
          </cell>
          <cell r="AC166">
            <v>152</v>
          </cell>
          <cell r="AD166">
            <v>16</v>
          </cell>
          <cell r="AE166">
            <v>288</v>
          </cell>
          <cell r="AF166">
            <v>328</v>
          </cell>
          <cell r="AG166">
            <v>-40</v>
          </cell>
        </row>
        <row r="167">
          <cell r="C167">
            <v>161934</v>
          </cell>
          <cell r="D167" t="str">
            <v>SHRI SIDDIVINAYAK E-WAY</v>
          </cell>
          <cell r="E167" t="str">
            <v>BPCL</v>
          </cell>
          <cell r="G167" t="str">
            <v>Pune Tathawade RSA</v>
          </cell>
          <cell r="J167" t="str">
            <v>BALEWADI TO DEHU ROAD</v>
          </cell>
          <cell r="K167" t="str">
            <v>Pune</v>
          </cell>
          <cell r="L167" t="str">
            <v>A</v>
          </cell>
          <cell r="M167" t="str">
            <v>NH-48</v>
          </cell>
          <cell r="O167" t="str">
            <v>A</v>
          </cell>
          <cell r="P167">
            <v>205</v>
          </cell>
          <cell r="Q167">
            <v>433</v>
          </cell>
          <cell r="R167">
            <v>210</v>
          </cell>
          <cell r="S167">
            <v>361</v>
          </cell>
          <cell r="T167">
            <v>-5</v>
          </cell>
          <cell r="U167">
            <v>72</v>
          </cell>
          <cell r="V167">
            <v>380</v>
          </cell>
          <cell r="W167">
            <v>786</v>
          </cell>
          <cell r="X167">
            <v>401</v>
          </cell>
          <cell r="Y167">
            <v>688</v>
          </cell>
          <cell r="Z167">
            <v>-21</v>
          </cell>
          <cell r="AA167">
            <v>98</v>
          </cell>
          <cell r="AB167">
            <v>638</v>
          </cell>
          <cell r="AC167">
            <v>571</v>
          </cell>
          <cell r="AD167">
            <v>67</v>
          </cell>
          <cell r="AE167">
            <v>1166</v>
          </cell>
          <cell r="AF167">
            <v>1089</v>
          </cell>
          <cell r="AG167">
            <v>77</v>
          </cell>
        </row>
        <row r="168">
          <cell r="C168">
            <v>163873</v>
          </cell>
          <cell r="D168" t="str">
            <v>VASUDHA PETRLM Comm (Apr09)</v>
          </cell>
          <cell r="E168" t="str">
            <v>BPCL</v>
          </cell>
          <cell r="G168" t="str">
            <v>Satara East RSA</v>
          </cell>
          <cell r="J168" t="str">
            <v>Mahabaleswar Panchgani</v>
          </cell>
          <cell r="K168" t="str">
            <v>Satara</v>
          </cell>
          <cell r="L168" t="str">
            <v>D1</v>
          </cell>
          <cell r="M168" t="str">
            <v>NH-548C</v>
          </cell>
          <cell r="O168" t="str">
            <v>B</v>
          </cell>
          <cell r="P168">
            <v>11</v>
          </cell>
          <cell r="Q168">
            <v>11</v>
          </cell>
          <cell r="R168">
            <v>21</v>
          </cell>
          <cell r="S168">
            <v>15</v>
          </cell>
          <cell r="T168">
            <v>-10</v>
          </cell>
          <cell r="U168">
            <v>-4</v>
          </cell>
          <cell r="V168">
            <v>29</v>
          </cell>
          <cell r="W168">
            <v>29</v>
          </cell>
          <cell r="X168">
            <v>21</v>
          </cell>
          <cell r="Y168">
            <v>15</v>
          </cell>
          <cell r="Z168">
            <v>8</v>
          </cell>
          <cell r="AA168">
            <v>14</v>
          </cell>
          <cell r="AB168">
            <v>22</v>
          </cell>
          <cell r="AC168">
            <v>36</v>
          </cell>
          <cell r="AD168">
            <v>-14</v>
          </cell>
          <cell r="AE168">
            <v>58</v>
          </cell>
          <cell r="AF168">
            <v>36</v>
          </cell>
          <cell r="AG168">
            <v>22</v>
          </cell>
        </row>
        <row r="169">
          <cell r="C169">
            <v>164897</v>
          </cell>
          <cell r="D169" t="str">
            <v>JAI BHARAT</v>
          </cell>
          <cell r="E169" t="str">
            <v>BPCL</v>
          </cell>
          <cell r="G169" t="str">
            <v>Pune Saswad RSA</v>
          </cell>
          <cell r="J169" t="str">
            <v>ZENDEWADI</v>
          </cell>
          <cell r="K169" t="str">
            <v>Pune</v>
          </cell>
          <cell r="L169" t="str">
            <v>D1</v>
          </cell>
          <cell r="M169" t="str">
            <v>NH-965</v>
          </cell>
          <cell r="O169" t="str">
            <v>B</v>
          </cell>
          <cell r="P169">
            <v>43</v>
          </cell>
          <cell r="Q169">
            <v>107</v>
          </cell>
          <cell r="R169">
            <v>45</v>
          </cell>
          <cell r="S169">
            <v>93</v>
          </cell>
          <cell r="T169">
            <v>-2</v>
          </cell>
          <cell r="U169">
            <v>14</v>
          </cell>
          <cell r="V169">
            <v>73</v>
          </cell>
          <cell r="W169">
            <v>215</v>
          </cell>
          <cell r="X169">
            <v>80</v>
          </cell>
          <cell r="Y169">
            <v>196</v>
          </cell>
          <cell r="Z169">
            <v>-7</v>
          </cell>
          <cell r="AA169">
            <v>19</v>
          </cell>
          <cell r="AB169">
            <v>150</v>
          </cell>
          <cell r="AC169">
            <v>138</v>
          </cell>
          <cell r="AD169">
            <v>12</v>
          </cell>
          <cell r="AE169">
            <v>288</v>
          </cell>
          <cell r="AF169">
            <v>276</v>
          </cell>
          <cell r="AG169">
            <v>12</v>
          </cell>
        </row>
        <row r="170">
          <cell r="C170">
            <v>165415</v>
          </cell>
          <cell r="D170" t="str">
            <v>KHODSHI HIGHWAY SERVICES</v>
          </cell>
          <cell r="E170" t="str">
            <v>BPCL</v>
          </cell>
          <cell r="G170" t="str">
            <v>Satara West RSA</v>
          </cell>
          <cell r="J170" t="str">
            <v>KARAD TO KASHIL</v>
          </cell>
          <cell r="K170" t="str">
            <v>Satara</v>
          </cell>
          <cell r="L170" t="str">
            <v>D1</v>
          </cell>
          <cell r="M170" t="str">
            <v>NH-48</v>
          </cell>
          <cell r="O170" t="str">
            <v>A</v>
          </cell>
          <cell r="P170">
            <v>45</v>
          </cell>
          <cell r="Q170">
            <v>355</v>
          </cell>
          <cell r="R170">
            <v>55</v>
          </cell>
          <cell r="S170">
            <v>325</v>
          </cell>
          <cell r="T170">
            <v>-10</v>
          </cell>
          <cell r="U170">
            <v>30</v>
          </cell>
          <cell r="V170">
            <v>85</v>
          </cell>
          <cell r="W170">
            <v>665</v>
          </cell>
          <cell r="X170">
            <v>95</v>
          </cell>
          <cell r="Y170">
            <v>625</v>
          </cell>
          <cell r="Z170">
            <v>-10</v>
          </cell>
          <cell r="AA170">
            <v>40</v>
          </cell>
          <cell r="AB170">
            <v>400</v>
          </cell>
          <cell r="AC170">
            <v>380</v>
          </cell>
          <cell r="AD170">
            <v>20</v>
          </cell>
          <cell r="AE170">
            <v>750</v>
          </cell>
          <cell r="AF170">
            <v>720</v>
          </cell>
          <cell r="AG170">
            <v>30</v>
          </cell>
        </row>
        <row r="171">
          <cell r="C171">
            <v>165560</v>
          </cell>
          <cell r="D171" t="str">
            <v>K. G. N. PETROLEUM</v>
          </cell>
          <cell r="E171" t="str">
            <v>BPCL</v>
          </cell>
          <cell r="G171" t="str">
            <v>Shirdi RSA</v>
          </cell>
          <cell r="J171" t="str">
            <v>KOLHAR</v>
          </cell>
          <cell r="K171" t="str">
            <v>Ahmednagar</v>
          </cell>
          <cell r="L171" t="str">
            <v>D1</v>
          </cell>
          <cell r="M171" t="str">
            <v>NH-160</v>
          </cell>
          <cell r="O171" t="str">
            <v>B</v>
          </cell>
          <cell r="P171">
            <v>0</v>
          </cell>
          <cell r="Q171">
            <v>0</v>
          </cell>
          <cell r="R171">
            <v>27</v>
          </cell>
          <cell r="S171">
            <v>45</v>
          </cell>
          <cell r="T171">
            <v>-27</v>
          </cell>
          <cell r="U171">
            <v>-45</v>
          </cell>
          <cell r="V171">
            <v>6</v>
          </cell>
          <cell r="W171">
            <v>6</v>
          </cell>
          <cell r="X171">
            <v>48</v>
          </cell>
          <cell r="Y171">
            <v>84</v>
          </cell>
          <cell r="Z171">
            <v>-42</v>
          </cell>
          <cell r="AA171">
            <v>-78</v>
          </cell>
          <cell r="AB171">
            <v>0</v>
          </cell>
          <cell r="AC171">
            <v>72</v>
          </cell>
          <cell r="AD171">
            <v>-72</v>
          </cell>
          <cell r="AE171">
            <v>12</v>
          </cell>
          <cell r="AF171">
            <v>132</v>
          </cell>
          <cell r="AG171">
            <v>-120</v>
          </cell>
        </row>
        <row r="172">
          <cell r="C172">
            <v>165995</v>
          </cell>
          <cell r="D172" t="str">
            <v>NM MORE &amp; SONS Comm (JAN'10)</v>
          </cell>
          <cell r="E172" t="str">
            <v>BPCL</v>
          </cell>
          <cell r="G172" t="str">
            <v>Satara East RSA</v>
          </cell>
          <cell r="J172" t="str">
            <v>Satara to Bhuinj</v>
          </cell>
          <cell r="K172" t="str">
            <v>Satara</v>
          </cell>
          <cell r="L172" t="str">
            <v>D1</v>
          </cell>
          <cell r="M172" t="str">
            <v>NH-160</v>
          </cell>
          <cell r="O172" t="str">
            <v>B</v>
          </cell>
          <cell r="P172">
            <v>89</v>
          </cell>
          <cell r="Q172">
            <v>111</v>
          </cell>
          <cell r="R172">
            <v>78</v>
          </cell>
          <cell r="S172">
            <v>90</v>
          </cell>
          <cell r="T172">
            <v>11</v>
          </cell>
          <cell r="U172">
            <v>21</v>
          </cell>
          <cell r="V172">
            <v>140.5</v>
          </cell>
          <cell r="W172">
            <v>199.5</v>
          </cell>
          <cell r="X172">
            <v>147</v>
          </cell>
          <cell r="Y172">
            <v>177</v>
          </cell>
          <cell r="Z172">
            <v>-6.5</v>
          </cell>
          <cell r="AA172">
            <v>22.5</v>
          </cell>
          <cell r="AB172">
            <v>200</v>
          </cell>
          <cell r="AC172">
            <v>168</v>
          </cell>
          <cell r="AD172">
            <v>32</v>
          </cell>
          <cell r="AE172">
            <v>340</v>
          </cell>
          <cell r="AF172">
            <v>324</v>
          </cell>
          <cell r="AG172">
            <v>16</v>
          </cell>
        </row>
        <row r="173">
          <cell r="C173">
            <v>166091</v>
          </cell>
          <cell r="D173" t="str">
            <v>JAI SHAMBHO</v>
          </cell>
          <cell r="E173" t="str">
            <v>BPCL</v>
          </cell>
          <cell r="G173" t="str">
            <v>Pune Hadapsar RSA</v>
          </cell>
          <cell r="J173" t="str">
            <v>FURSUNGI</v>
          </cell>
          <cell r="K173" t="str">
            <v>Pune</v>
          </cell>
          <cell r="L173" t="str">
            <v>A</v>
          </cell>
          <cell r="O173" t="str">
            <v>B</v>
          </cell>
          <cell r="P173">
            <v>250</v>
          </cell>
          <cell r="Q173">
            <v>130</v>
          </cell>
          <cell r="R173">
            <v>340</v>
          </cell>
          <cell r="S173">
            <v>184</v>
          </cell>
          <cell r="T173">
            <v>-90</v>
          </cell>
          <cell r="U173">
            <v>-54</v>
          </cell>
          <cell r="V173">
            <v>480</v>
          </cell>
          <cell r="W173">
            <v>260</v>
          </cell>
          <cell r="X173">
            <v>645</v>
          </cell>
          <cell r="Y173">
            <v>343</v>
          </cell>
          <cell r="Z173">
            <v>-165</v>
          </cell>
          <cell r="AA173">
            <v>-83</v>
          </cell>
          <cell r="AB173">
            <v>380</v>
          </cell>
          <cell r="AC173">
            <v>524</v>
          </cell>
          <cell r="AD173">
            <v>-144</v>
          </cell>
          <cell r="AE173">
            <v>740</v>
          </cell>
          <cell r="AF173">
            <v>988</v>
          </cell>
          <cell r="AG173">
            <v>-248</v>
          </cell>
        </row>
        <row r="174">
          <cell r="C174">
            <v>166092</v>
          </cell>
          <cell r="D174" t="str">
            <v>DJ PETROLEUM</v>
          </cell>
          <cell r="E174" t="str">
            <v>BPCL</v>
          </cell>
          <cell r="G174" t="str">
            <v>Pune City RSA</v>
          </cell>
          <cell r="J174" t="str">
            <v>KATRAJ KONDHWA ROAD</v>
          </cell>
          <cell r="K174" t="str">
            <v>Pune</v>
          </cell>
          <cell r="L174" t="str">
            <v>A</v>
          </cell>
          <cell r="O174" t="str">
            <v>A</v>
          </cell>
          <cell r="P174">
            <v>415</v>
          </cell>
          <cell r="Q174">
            <v>365</v>
          </cell>
          <cell r="R174">
            <v>379</v>
          </cell>
          <cell r="S174">
            <v>363</v>
          </cell>
          <cell r="T174">
            <v>36</v>
          </cell>
          <cell r="U174">
            <v>2</v>
          </cell>
          <cell r="V174">
            <v>800</v>
          </cell>
          <cell r="W174">
            <v>701</v>
          </cell>
          <cell r="X174">
            <v>754</v>
          </cell>
          <cell r="Y174">
            <v>728</v>
          </cell>
          <cell r="Z174">
            <v>46</v>
          </cell>
          <cell r="AA174">
            <v>-27</v>
          </cell>
          <cell r="AB174">
            <v>780</v>
          </cell>
          <cell r="AC174">
            <v>742</v>
          </cell>
          <cell r="AD174">
            <v>38</v>
          </cell>
          <cell r="AE174">
            <v>1501</v>
          </cell>
          <cell r="AF174">
            <v>1482</v>
          </cell>
          <cell r="AG174">
            <v>19</v>
          </cell>
        </row>
        <row r="175">
          <cell r="C175">
            <v>166211</v>
          </cell>
          <cell r="D175" t="str">
            <v>EKVIRA BP-COCO PUNE</v>
          </cell>
          <cell r="E175" t="str">
            <v>BPCL</v>
          </cell>
          <cell r="G175" t="str">
            <v>Pune City RSA</v>
          </cell>
          <cell r="J175" t="str">
            <v>BHAIROVA NALA</v>
          </cell>
          <cell r="K175" t="str">
            <v>Pune</v>
          </cell>
          <cell r="L175" t="str">
            <v>A</v>
          </cell>
          <cell r="O175" t="str">
            <v>A</v>
          </cell>
          <cell r="P175">
            <v>292</v>
          </cell>
          <cell r="Q175">
            <v>96</v>
          </cell>
          <cell r="R175">
            <v>185</v>
          </cell>
          <cell r="S175">
            <v>75</v>
          </cell>
          <cell r="T175">
            <v>107</v>
          </cell>
          <cell r="U175">
            <v>21</v>
          </cell>
          <cell r="V175">
            <v>582</v>
          </cell>
          <cell r="W175">
            <v>186</v>
          </cell>
          <cell r="X175">
            <v>380</v>
          </cell>
          <cell r="Y175">
            <v>140</v>
          </cell>
          <cell r="Z175">
            <v>202</v>
          </cell>
          <cell r="AA175">
            <v>46</v>
          </cell>
          <cell r="AB175">
            <v>388</v>
          </cell>
          <cell r="AC175">
            <v>260</v>
          </cell>
          <cell r="AD175">
            <v>128</v>
          </cell>
          <cell r="AE175">
            <v>768</v>
          </cell>
          <cell r="AF175">
            <v>520</v>
          </cell>
          <cell r="AG175">
            <v>248</v>
          </cell>
        </row>
        <row r="176">
          <cell r="C176">
            <v>166331</v>
          </cell>
          <cell r="D176" t="str">
            <v>SAI GAURI PETRLM/BP- BHOSARI</v>
          </cell>
          <cell r="E176" t="str">
            <v>BPCL</v>
          </cell>
          <cell r="G176" t="str">
            <v>Pimpri Chinchwad RSA</v>
          </cell>
          <cell r="J176" t="str">
            <v>KASHIL TO SHENDRE</v>
          </cell>
          <cell r="K176" t="str">
            <v>Pune</v>
          </cell>
          <cell r="L176" t="str">
            <v>A</v>
          </cell>
          <cell r="O176" t="str">
            <v>A</v>
          </cell>
          <cell r="P176">
            <v>153</v>
          </cell>
          <cell r="Q176">
            <v>121</v>
          </cell>
          <cell r="R176">
            <v>118.5</v>
          </cell>
          <cell r="S176">
            <v>69.5</v>
          </cell>
          <cell r="T176">
            <v>34.5</v>
          </cell>
          <cell r="U176">
            <v>51.5</v>
          </cell>
          <cell r="V176">
            <v>287</v>
          </cell>
          <cell r="W176">
            <v>233</v>
          </cell>
          <cell r="X176">
            <v>233.5</v>
          </cell>
          <cell r="Y176">
            <v>139.5</v>
          </cell>
          <cell r="Z176">
            <v>53.5</v>
          </cell>
          <cell r="AA176">
            <v>93.5</v>
          </cell>
          <cell r="AB176">
            <v>274</v>
          </cell>
          <cell r="AC176">
            <v>188</v>
          </cell>
          <cell r="AD176">
            <v>86</v>
          </cell>
          <cell r="AE176">
            <v>520</v>
          </cell>
          <cell r="AF176">
            <v>373</v>
          </cell>
          <cell r="AG176">
            <v>147</v>
          </cell>
        </row>
        <row r="177">
          <cell r="C177">
            <v>167492</v>
          </cell>
          <cell r="D177" t="str">
            <v>BEALS PETRO,</v>
          </cell>
          <cell r="E177" t="str">
            <v>BPCL</v>
          </cell>
          <cell r="G177" t="str">
            <v>Satara West RSA</v>
          </cell>
          <cell r="J177" t="str">
            <v>Wai</v>
          </cell>
          <cell r="K177" t="str">
            <v>Satara</v>
          </cell>
          <cell r="L177" t="str">
            <v>D2</v>
          </cell>
          <cell r="O177" t="str">
            <v>A</v>
          </cell>
          <cell r="P177">
            <v>146</v>
          </cell>
          <cell r="Q177">
            <v>145</v>
          </cell>
          <cell r="R177">
            <v>110</v>
          </cell>
          <cell r="S177">
            <v>115</v>
          </cell>
          <cell r="T177">
            <v>36</v>
          </cell>
          <cell r="U177">
            <v>30</v>
          </cell>
          <cell r="V177">
            <v>261</v>
          </cell>
          <cell r="W177">
            <v>270</v>
          </cell>
          <cell r="X177">
            <v>210</v>
          </cell>
          <cell r="Y177">
            <v>235</v>
          </cell>
          <cell r="Z177">
            <v>51</v>
          </cell>
          <cell r="AA177">
            <v>35</v>
          </cell>
          <cell r="AB177">
            <v>291</v>
          </cell>
          <cell r="AC177">
            <v>225</v>
          </cell>
          <cell r="AD177">
            <v>66</v>
          </cell>
          <cell r="AE177">
            <v>531</v>
          </cell>
          <cell r="AF177">
            <v>445</v>
          </cell>
          <cell r="AG177">
            <v>86</v>
          </cell>
        </row>
        <row r="178">
          <cell r="C178">
            <v>167514</v>
          </cell>
          <cell r="D178" t="str">
            <v xml:space="preserve">LAXMI PETROLEUM </v>
          </cell>
          <cell r="E178" t="str">
            <v>BPCL</v>
          </cell>
          <cell r="G178" t="str">
            <v>Pune City RSA</v>
          </cell>
          <cell r="J178" t="str">
            <v>HINJEWADI MANN ROAD</v>
          </cell>
          <cell r="K178" t="str">
            <v>Pune</v>
          </cell>
          <cell r="L178" t="str">
            <v>A</v>
          </cell>
          <cell r="O178" t="str">
            <v>A</v>
          </cell>
          <cell r="P178">
            <v>106</v>
          </cell>
          <cell r="Q178">
            <v>106</v>
          </cell>
          <cell r="R178">
            <v>119</v>
          </cell>
          <cell r="S178">
            <v>125</v>
          </cell>
          <cell r="T178">
            <v>-13</v>
          </cell>
          <cell r="U178">
            <v>-19</v>
          </cell>
          <cell r="V178">
            <v>215</v>
          </cell>
          <cell r="W178">
            <v>229</v>
          </cell>
          <cell r="X178">
            <v>233</v>
          </cell>
          <cell r="Y178">
            <v>239</v>
          </cell>
          <cell r="Z178">
            <v>-18</v>
          </cell>
          <cell r="AA178">
            <v>-10</v>
          </cell>
          <cell r="AB178">
            <v>212</v>
          </cell>
          <cell r="AC178">
            <v>244</v>
          </cell>
          <cell r="AD178">
            <v>-32</v>
          </cell>
          <cell r="AE178">
            <v>444</v>
          </cell>
          <cell r="AF178">
            <v>472</v>
          </cell>
          <cell r="AG178">
            <v>-28</v>
          </cell>
        </row>
        <row r="179">
          <cell r="C179">
            <v>167671</v>
          </cell>
          <cell r="D179" t="str">
            <v>EXPRESS PETRO SERV/VARDHMAN ADHOC/BP- DAPODI</v>
          </cell>
          <cell r="E179" t="str">
            <v>BPCL</v>
          </cell>
          <cell r="G179" t="str">
            <v>Pimpri Chinchwad RSA</v>
          </cell>
          <cell r="J179" t="str">
            <v>Kodoli to Ghojegaon</v>
          </cell>
          <cell r="K179" t="str">
            <v>Pune</v>
          </cell>
          <cell r="L179" t="str">
            <v>A</v>
          </cell>
          <cell r="O179" t="str">
            <v>A</v>
          </cell>
          <cell r="P179">
            <v>275</v>
          </cell>
          <cell r="Q179">
            <v>85</v>
          </cell>
          <cell r="R179">
            <v>275</v>
          </cell>
          <cell r="S179">
            <v>85</v>
          </cell>
          <cell r="T179">
            <v>0</v>
          </cell>
          <cell r="U179">
            <v>0</v>
          </cell>
          <cell r="V179">
            <v>535</v>
          </cell>
          <cell r="W179">
            <v>165</v>
          </cell>
          <cell r="X179">
            <v>540</v>
          </cell>
          <cell r="Y179">
            <v>160</v>
          </cell>
          <cell r="Z179">
            <v>-5</v>
          </cell>
          <cell r="AA179">
            <v>5</v>
          </cell>
          <cell r="AB179">
            <v>360</v>
          </cell>
          <cell r="AC179">
            <v>360</v>
          </cell>
          <cell r="AD179">
            <v>0</v>
          </cell>
          <cell r="AE179">
            <v>700</v>
          </cell>
          <cell r="AF179">
            <v>700</v>
          </cell>
          <cell r="AG179">
            <v>0</v>
          </cell>
        </row>
        <row r="180">
          <cell r="C180">
            <v>168661</v>
          </cell>
          <cell r="D180" t="str">
            <v>POURNIMA PETROLEUM</v>
          </cell>
          <cell r="E180" t="str">
            <v>BPCL</v>
          </cell>
          <cell r="G180" t="str">
            <v>Ahmednagar West RSA</v>
          </cell>
          <cell r="J180" t="str">
            <v>SIDDHITEK-SH</v>
          </cell>
          <cell r="K180" t="str">
            <v>Ahmednagar</v>
          </cell>
          <cell r="L180" t="str">
            <v>D2</v>
          </cell>
          <cell r="O180" t="str">
            <v>A</v>
          </cell>
          <cell r="P180">
            <v>15.5</v>
          </cell>
          <cell r="Q180">
            <v>58.5</v>
          </cell>
          <cell r="R180">
            <v>0</v>
          </cell>
          <cell r="S180">
            <v>0</v>
          </cell>
          <cell r="T180">
            <v>15.5</v>
          </cell>
          <cell r="U180">
            <v>58.5</v>
          </cell>
          <cell r="V180">
            <v>30.5</v>
          </cell>
          <cell r="W180">
            <v>91.5</v>
          </cell>
          <cell r="X180">
            <v>0</v>
          </cell>
          <cell r="Y180">
            <v>0</v>
          </cell>
          <cell r="Z180">
            <v>30.5</v>
          </cell>
          <cell r="AA180">
            <v>91.5</v>
          </cell>
          <cell r="AB180">
            <v>74</v>
          </cell>
          <cell r="AC180">
            <v>0</v>
          </cell>
          <cell r="AD180">
            <v>74</v>
          </cell>
          <cell r="AE180">
            <v>122</v>
          </cell>
          <cell r="AF180">
            <v>0</v>
          </cell>
          <cell r="AG180">
            <v>122</v>
          </cell>
        </row>
        <row r="181">
          <cell r="C181">
            <v>169991</v>
          </cell>
          <cell r="D181" t="str">
            <v>SWARAJ PETRLM</v>
          </cell>
          <cell r="E181" t="str">
            <v>BPCL</v>
          </cell>
          <cell r="G181" t="str">
            <v>Pune City RSA</v>
          </cell>
          <cell r="J181" t="str">
            <v>HINJEWADI</v>
          </cell>
          <cell r="K181" t="str">
            <v>Pune</v>
          </cell>
          <cell r="L181" t="str">
            <v>A</v>
          </cell>
          <cell r="O181" t="str">
            <v>A</v>
          </cell>
          <cell r="P181">
            <v>170</v>
          </cell>
          <cell r="Q181">
            <v>155</v>
          </cell>
          <cell r="R181">
            <v>125</v>
          </cell>
          <cell r="S181">
            <v>205</v>
          </cell>
          <cell r="T181">
            <v>45</v>
          </cell>
          <cell r="U181">
            <v>-50</v>
          </cell>
          <cell r="V181">
            <v>295</v>
          </cell>
          <cell r="W181">
            <v>310</v>
          </cell>
          <cell r="X181">
            <v>260</v>
          </cell>
          <cell r="Y181">
            <v>390</v>
          </cell>
          <cell r="Z181">
            <v>35</v>
          </cell>
          <cell r="AA181">
            <v>-80</v>
          </cell>
          <cell r="AB181">
            <v>325</v>
          </cell>
          <cell r="AC181">
            <v>330</v>
          </cell>
          <cell r="AD181">
            <v>-5</v>
          </cell>
          <cell r="AE181">
            <v>605</v>
          </cell>
          <cell r="AF181">
            <v>650</v>
          </cell>
          <cell r="AG181">
            <v>-45</v>
          </cell>
        </row>
        <row r="182">
          <cell r="C182">
            <v>170921</v>
          </cell>
          <cell r="D182" t="str">
            <v>BORAWAKE PETROLEUM (Feb'11)</v>
          </cell>
          <cell r="E182" t="str">
            <v>BPCL</v>
          </cell>
          <cell r="G182" t="str">
            <v>Satara East RSA</v>
          </cell>
          <cell r="J182" t="str">
            <v>KARAD ON NH 48 RHS</v>
          </cell>
          <cell r="K182" t="str">
            <v>Satara</v>
          </cell>
          <cell r="L182" t="str">
            <v>D1</v>
          </cell>
          <cell r="M182" t="str">
            <v>NH-160</v>
          </cell>
          <cell r="O182" t="str">
            <v>A</v>
          </cell>
          <cell r="P182">
            <v>30</v>
          </cell>
          <cell r="Q182">
            <v>42</v>
          </cell>
          <cell r="R182">
            <v>27</v>
          </cell>
          <cell r="S182">
            <v>45</v>
          </cell>
          <cell r="T182">
            <v>3</v>
          </cell>
          <cell r="U182">
            <v>-3</v>
          </cell>
          <cell r="V182">
            <v>60</v>
          </cell>
          <cell r="W182">
            <v>84</v>
          </cell>
          <cell r="X182">
            <v>54</v>
          </cell>
          <cell r="Y182">
            <v>90</v>
          </cell>
          <cell r="Z182">
            <v>6</v>
          </cell>
          <cell r="AA182">
            <v>-6</v>
          </cell>
          <cell r="AB182">
            <v>72</v>
          </cell>
          <cell r="AC182">
            <v>72</v>
          </cell>
          <cell r="AD182">
            <v>0</v>
          </cell>
          <cell r="AE182">
            <v>144</v>
          </cell>
          <cell r="AF182">
            <v>144</v>
          </cell>
          <cell r="AG182">
            <v>0</v>
          </cell>
        </row>
        <row r="183">
          <cell r="C183">
            <v>171210</v>
          </cell>
          <cell r="D183" t="str">
            <v>DINESH FUELING ZONE</v>
          </cell>
          <cell r="E183" t="str">
            <v>BPCL</v>
          </cell>
          <cell r="G183" t="str">
            <v>Ahmednagar East RSA</v>
          </cell>
          <cell r="J183" t="str">
            <v>Nagar-Manmad Bypass</v>
          </cell>
          <cell r="K183" t="str">
            <v>Ahmednagar</v>
          </cell>
          <cell r="L183" t="str">
            <v>D1</v>
          </cell>
          <cell r="M183" t="str">
            <v>NH-160</v>
          </cell>
          <cell r="O183" t="str">
            <v>A</v>
          </cell>
          <cell r="P183">
            <v>5</v>
          </cell>
          <cell r="Q183">
            <v>205</v>
          </cell>
          <cell r="R183">
            <v>20</v>
          </cell>
          <cell r="S183">
            <v>352</v>
          </cell>
          <cell r="T183">
            <v>-15</v>
          </cell>
          <cell r="U183">
            <v>-147</v>
          </cell>
          <cell r="V183">
            <v>5</v>
          </cell>
          <cell r="W183">
            <v>465</v>
          </cell>
          <cell r="X183">
            <v>35</v>
          </cell>
          <cell r="Y183">
            <v>657</v>
          </cell>
          <cell r="Z183">
            <v>-30</v>
          </cell>
          <cell r="AA183">
            <v>-192</v>
          </cell>
          <cell r="AB183">
            <v>210</v>
          </cell>
          <cell r="AC183">
            <v>372</v>
          </cell>
          <cell r="AD183">
            <v>-162</v>
          </cell>
          <cell r="AE183">
            <v>470</v>
          </cell>
          <cell r="AF183">
            <v>692</v>
          </cell>
          <cell r="AG183">
            <v>-222</v>
          </cell>
        </row>
        <row r="184">
          <cell r="C184">
            <v>171213</v>
          </cell>
          <cell r="D184" t="str">
            <v>SAI KRUPA SAKHAR KARKANA LTD</v>
          </cell>
          <cell r="E184" t="str">
            <v>BPCL</v>
          </cell>
          <cell r="G184" t="str">
            <v>Ahmednagar West RSA</v>
          </cell>
          <cell r="J184" t="str">
            <v>Hiradgaon</v>
          </cell>
          <cell r="K184" t="str">
            <v>Ahmednagar</v>
          </cell>
          <cell r="L184" t="str">
            <v>E</v>
          </cell>
          <cell r="O184" t="str">
            <v>B</v>
          </cell>
          <cell r="P184">
            <v>8.5</v>
          </cell>
          <cell r="Q184">
            <v>30.5</v>
          </cell>
          <cell r="R184">
            <v>15</v>
          </cell>
          <cell r="S184">
            <v>45</v>
          </cell>
          <cell r="T184">
            <v>-6.5</v>
          </cell>
          <cell r="U184">
            <v>-14.5</v>
          </cell>
          <cell r="V184">
            <v>13.5</v>
          </cell>
          <cell r="W184">
            <v>45.5</v>
          </cell>
          <cell r="X184">
            <v>30</v>
          </cell>
          <cell r="Y184">
            <v>90</v>
          </cell>
          <cell r="Z184">
            <v>-16.5</v>
          </cell>
          <cell r="AA184">
            <v>-44.5</v>
          </cell>
          <cell r="AB184">
            <v>39</v>
          </cell>
          <cell r="AC184">
            <v>60</v>
          </cell>
          <cell r="AD184">
            <v>-21</v>
          </cell>
          <cell r="AE184">
            <v>59</v>
          </cell>
          <cell r="AF184">
            <v>120</v>
          </cell>
          <cell r="AG184">
            <v>-61</v>
          </cell>
        </row>
        <row r="185">
          <cell r="C185">
            <v>171254</v>
          </cell>
          <cell r="D185" t="str">
            <v>NANA DHUMAL PETROLEUM</v>
          </cell>
          <cell r="E185" t="str">
            <v>BPCL</v>
          </cell>
          <cell r="G185" t="str">
            <v>Pune Saswad RSA</v>
          </cell>
          <cell r="J185" t="str">
            <v>SASWAD</v>
          </cell>
          <cell r="K185" t="str">
            <v>Pune</v>
          </cell>
          <cell r="L185" t="str">
            <v>C</v>
          </cell>
          <cell r="O185" t="str">
            <v>A</v>
          </cell>
          <cell r="P185">
            <v>144</v>
          </cell>
          <cell r="Q185">
            <v>252</v>
          </cell>
          <cell r="R185">
            <v>130</v>
          </cell>
          <cell r="S185">
            <v>200</v>
          </cell>
          <cell r="T185">
            <v>14</v>
          </cell>
          <cell r="U185">
            <v>52</v>
          </cell>
          <cell r="V185">
            <v>279</v>
          </cell>
          <cell r="W185">
            <v>447</v>
          </cell>
          <cell r="X185">
            <v>274</v>
          </cell>
          <cell r="Y185">
            <v>408</v>
          </cell>
          <cell r="Z185">
            <v>5</v>
          </cell>
          <cell r="AA185">
            <v>39</v>
          </cell>
          <cell r="AB185">
            <v>396</v>
          </cell>
          <cell r="AC185">
            <v>330</v>
          </cell>
          <cell r="AD185">
            <v>66</v>
          </cell>
          <cell r="AE185">
            <v>726</v>
          </cell>
          <cell r="AF185">
            <v>682</v>
          </cell>
          <cell r="AG185">
            <v>44</v>
          </cell>
        </row>
        <row r="186">
          <cell r="C186">
            <v>171644</v>
          </cell>
          <cell r="D186" t="str">
            <v>SAHYADRI SERVICE STATION</v>
          </cell>
          <cell r="E186" t="str">
            <v>BPCL</v>
          </cell>
          <cell r="G186" t="str">
            <v>Pune Tathawade RSA</v>
          </cell>
          <cell r="J186" t="str">
            <v>KAPURHOL TO SAROLA</v>
          </cell>
          <cell r="K186" t="str">
            <v>Pune</v>
          </cell>
          <cell r="L186" t="str">
            <v>D1</v>
          </cell>
          <cell r="M186" t="str">
            <v>NH-48</v>
          </cell>
          <cell r="O186" t="str">
            <v>A</v>
          </cell>
          <cell r="P186">
            <v>40</v>
          </cell>
          <cell r="Q186">
            <v>100</v>
          </cell>
          <cell r="R186">
            <v>48</v>
          </cell>
          <cell r="S186">
            <v>124</v>
          </cell>
          <cell r="T186">
            <v>-8</v>
          </cell>
          <cell r="U186">
            <v>-24</v>
          </cell>
          <cell r="V186">
            <v>75</v>
          </cell>
          <cell r="W186">
            <v>265</v>
          </cell>
          <cell r="X186">
            <v>93</v>
          </cell>
          <cell r="Y186">
            <v>259</v>
          </cell>
          <cell r="Z186">
            <v>-18</v>
          </cell>
          <cell r="AA186">
            <v>6</v>
          </cell>
          <cell r="AB186">
            <v>140</v>
          </cell>
          <cell r="AC186">
            <v>172</v>
          </cell>
          <cell r="AD186">
            <v>-32</v>
          </cell>
          <cell r="AE186">
            <v>340</v>
          </cell>
          <cell r="AF186">
            <v>352</v>
          </cell>
          <cell r="AG186">
            <v>-12</v>
          </cell>
        </row>
        <row r="187">
          <cell r="C187">
            <v>172076</v>
          </cell>
          <cell r="D187" t="str">
            <v>SANDIP PETROLEUM</v>
          </cell>
          <cell r="E187" t="str">
            <v>BPCL</v>
          </cell>
          <cell r="G187" t="str">
            <v>Pune Tathawade RSA</v>
          </cell>
          <cell r="J187" t="str">
            <v>BARAMATI MIDC</v>
          </cell>
          <cell r="K187" t="str">
            <v>Pune</v>
          </cell>
          <cell r="L187" t="str">
            <v>D1</v>
          </cell>
          <cell r="M187" t="str">
            <v>NH-965G</v>
          </cell>
          <cell r="O187" t="str">
            <v>A</v>
          </cell>
          <cell r="P187">
            <v>40</v>
          </cell>
          <cell r="Q187">
            <v>500</v>
          </cell>
          <cell r="R187">
            <v>40</v>
          </cell>
          <cell r="S187">
            <v>440</v>
          </cell>
          <cell r="T187">
            <v>0</v>
          </cell>
          <cell r="U187">
            <v>60</v>
          </cell>
          <cell r="V187">
            <v>80</v>
          </cell>
          <cell r="W187">
            <v>980</v>
          </cell>
          <cell r="X187">
            <v>75</v>
          </cell>
          <cell r="Y187">
            <v>825</v>
          </cell>
          <cell r="Z187">
            <v>5</v>
          </cell>
          <cell r="AA187">
            <v>155</v>
          </cell>
          <cell r="AB187">
            <v>540</v>
          </cell>
          <cell r="AC187">
            <v>480</v>
          </cell>
          <cell r="AD187">
            <v>60</v>
          </cell>
          <cell r="AE187">
            <v>1060</v>
          </cell>
          <cell r="AF187">
            <v>900</v>
          </cell>
          <cell r="AG187">
            <v>160</v>
          </cell>
        </row>
        <row r="188">
          <cell r="C188">
            <v>172175</v>
          </cell>
          <cell r="D188" t="str">
            <v>SAI SIDDHANT PETROLEUM</v>
          </cell>
          <cell r="E188" t="str">
            <v>BPCL</v>
          </cell>
          <cell r="G188" t="str">
            <v>Shirdi RSA</v>
          </cell>
          <cell r="J188" t="str">
            <v>AURANGPUR</v>
          </cell>
          <cell r="K188" t="str">
            <v>Ahmednagar</v>
          </cell>
          <cell r="L188" t="str">
            <v>D2</v>
          </cell>
          <cell r="O188" t="str">
            <v>A</v>
          </cell>
          <cell r="P188">
            <v>39</v>
          </cell>
          <cell r="Q188">
            <v>81</v>
          </cell>
          <cell r="R188">
            <v>30</v>
          </cell>
          <cell r="S188">
            <v>90</v>
          </cell>
          <cell r="T188">
            <v>9</v>
          </cell>
          <cell r="U188">
            <v>-9</v>
          </cell>
          <cell r="V188">
            <v>65</v>
          </cell>
          <cell r="W188">
            <v>159</v>
          </cell>
          <cell r="X188">
            <v>63</v>
          </cell>
          <cell r="Y188">
            <v>201</v>
          </cell>
          <cell r="Z188">
            <v>2</v>
          </cell>
          <cell r="AA188">
            <v>-42</v>
          </cell>
          <cell r="AB188">
            <v>120</v>
          </cell>
          <cell r="AC188">
            <v>120</v>
          </cell>
          <cell r="AD188">
            <v>0</v>
          </cell>
          <cell r="AE188">
            <v>224</v>
          </cell>
          <cell r="AF188">
            <v>264</v>
          </cell>
          <cell r="AG188">
            <v>-40</v>
          </cell>
        </row>
        <row r="189">
          <cell r="C189">
            <v>173221</v>
          </cell>
          <cell r="D189" t="str">
            <v>AJIT PETROLEUM</v>
          </cell>
          <cell r="E189" t="str">
            <v>BPCL</v>
          </cell>
          <cell r="G189" t="str">
            <v>Pune Wagholi RSA</v>
          </cell>
          <cell r="J189" t="str">
            <v>Shikrapur to Inamgaon</v>
          </cell>
          <cell r="K189" t="str">
            <v>Pune</v>
          </cell>
          <cell r="L189" t="str">
            <v>D1</v>
          </cell>
          <cell r="M189" t="str">
            <v>NH-548D</v>
          </cell>
          <cell r="O189" t="str">
            <v>B</v>
          </cell>
          <cell r="P189">
            <v>6</v>
          </cell>
          <cell r="Q189">
            <v>30</v>
          </cell>
          <cell r="R189">
            <v>9</v>
          </cell>
          <cell r="S189">
            <v>27</v>
          </cell>
          <cell r="T189">
            <v>-3</v>
          </cell>
          <cell r="U189">
            <v>3</v>
          </cell>
          <cell r="V189">
            <v>9</v>
          </cell>
          <cell r="W189">
            <v>39</v>
          </cell>
          <cell r="X189">
            <v>15</v>
          </cell>
          <cell r="Y189">
            <v>45</v>
          </cell>
          <cell r="Z189">
            <v>-6</v>
          </cell>
          <cell r="AA189">
            <v>-6</v>
          </cell>
          <cell r="AB189">
            <v>36</v>
          </cell>
          <cell r="AC189">
            <v>36</v>
          </cell>
          <cell r="AD189">
            <v>0</v>
          </cell>
          <cell r="AE189">
            <v>48</v>
          </cell>
          <cell r="AF189">
            <v>60</v>
          </cell>
          <cell r="AG189">
            <v>-12</v>
          </cell>
        </row>
        <row r="190">
          <cell r="C190">
            <v>173223</v>
          </cell>
          <cell r="D190" t="str">
            <v>MANTHAN PETROLEUM</v>
          </cell>
          <cell r="E190" t="str">
            <v>BPCL</v>
          </cell>
          <cell r="G190" t="str">
            <v>Pune Tathawade RSA</v>
          </cell>
          <cell r="J190" t="str">
            <v>Vadgaon Nimbalkar to Pandare</v>
          </cell>
          <cell r="K190" t="str">
            <v>Pune</v>
          </cell>
          <cell r="L190" t="str">
            <v>D2</v>
          </cell>
          <cell r="O190" t="str">
            <v>B</v>
          </cell>
          <cell r="P190">
            <v>42</v>
          </cell>
          <cell r="Q190">
            <v>66</v>
          </cell>
          <cell r="R190">
            <v>30</v>
          </cell>
          <cell r="S190">
            <v>42</v>
          </cell>
          <cell r="T190">
            <v>12</v>
          </cell>
          <cell r="U190">
            <v>24</v>
          </cell>
          <cell r="V190">
            <v>69</v>
          </cell>
          <cell r="W190">
            <v>99</v>
          </cell>
          <cell r="X190">
            <v>60</v>
          </cell>
          <cell r="Y190">
            <v>72</v>
          </cell>
          <cell r="Z190">
            <v>9</v>
          </cell>
          <cell r="AA190">
            <v>27</v>
          </cell>
          <cell r="AB190">
            <v>108</v>
          </cell>
          <cell r="AC190">
            <v>72</v>
          </cell>
          <cell r="AD190">
            <v>36</v>
          </cell>
          <cell r="AE190">
            <v>168</v>
          </cell>
          <cell r="AF190">
            <v>132</v>
          </cell>
          <cell r="AG190">
            <v>36</v>
          </cell>
        </row>
        <row r="191">
          <cell r="C191">
            <v>173310</v>
          </cell>
          <cell r="D191" t="str">
            <v>B.G.R. PETROLEUM</v>
          </cell>
          <cell r="E191" t="str">
            <v>BPCL</v>
          </cell>
          <cell r="G191" t="str">
            <v>Ahmednagar East RSA</v>
          </cell>
          <cell r="J191" t="str">
            <v>Chas</v>
          </cell>
          <cell r="K191" t="str">
            <v>Ahmednagar</v>
          </cell>
          <cell r="L191" t="str">
            <v>D1</v>
          </cell>
          <cell r="M191" t="str">
            <v>NH-753F</v>
          </cell>
          <cell r="O191" t="str">
            <v>A</v>
          </cell>
          <cell r="P191">
            <v>89</v>
          </cell>
          <cell r="Q191">
            <v>221</v>
          </cell>
          <cell r="R191">
            <v>94</v>
          </cell>
          <cell r="S191">
            <v>233</v>
          </cell>
          <cell r="T191">
            <v>-5</v>
          </cell>
          <cell r="U191">
            <v>-12</v>
          </cell>
          <cell r="V191">
            <v>165.5</v>
          </cell>
          <cell r="W191">
            <v>410.5</v>
          </cell>
          <cell r="X191">
            <v>173</v>
          </cell>
          <cell r="Y191">
            <v>450</v>
          </cell>
          <cell r="Z191">
            <v>-7.5</v>
          </cell>
          <cell r="AA191">
            <v>-39.5</v>
          </cell>
          <cell r="AB191">
            <v>310</v>
          </cell>
          <cell r="AC191">
            <v>327</v>
          </cell>
          <cell r="AD191">
            <v>-17</v>
          </cell>
          <cell r="AE191">
            <v>576</v>
          </cell>
          <cell r="AF191">
            <v>623</v>
          </cell>
          <cell r="AG191">
            <v>-47</v>
          </cell>
        </row>
        <row r="192">
          <cell r="C192">
            <v>173311</v>
          </cell>
          <cell r="D192" t="str">
            <v>PHALKE PATIL &amp; SONS</v>
          </cell>
          <cell r="E192" t="str">
            <v>BPCL</v>
          </cell>
          <cell r="G192" t="str">
            <v>Ahmednagar West RSA</v>
          </cell>
          <cell r="J192" t="str">
            <v>Ghogargoan</v>
          </cell>
          <cell r="K192" t="str">
            <v>Ahmednagar</v>
          </cell>
          <cell r="L192" t="str">
            <v>D2</v>
          </cell>
          <cell r="O192" t="str">
            <v>A</v>
          </cell>
          <cell r="P192">
            <v>13</v>
          </cell>
          <cell r="Q192">
            <v>71</v>
          </cell>
          <cell r="R192">
            <v>14</v>
          </cell>
          <cell r="S192">
            <v>54</v>
          </cell>
          <cell r="T192">
            <v>-1</v>
          </cell>
          <cell r="U192">
            <v>17</v>
          </cell>
          <cell r="V192">
            <v>31.5</v>
          </cell>
          <cell r="W192">
            <v>126.5</v>
          </cell>
          <cell r="X192">
            <v>27</v>
          </cell>
          <cell r="Y192">
            <v>105</v>
          </cell>
          <cell r="Z192">
            <v>4.5</v>
          </cell>
          <cell r="AA192">
            <v>21.5</v>
          </cell>
          <cell r="AB192">
            <v>84</v>
          </cell>
          <cell r="AC192">
            <v>68</v>
          </cell>
          <cell r="AD192">
            <v>16</v>
          </cell>
          <cell r="AE192">
            <v>158</v>
          </cell>
          <cell r="AF192">
            <v>132</v>
          </cell>
          <cell r="AG192">
            <v>26</v>
          </cell>
        </row>
        <row r="193">
          <cell r="C193">
            <v>173455</v>
          </cell>
          <cell r="D193" t="str">
            <v>SAIRAM PETROLEUM</v>
          </cell>
          <cell r="E193" t="str">
            <v>BPCL</v>
          </cell>
          <cell r="G193" t="str">
            <v>Shirdi RSA</v>
          </cell>
          <cell r="J193" t="str">
            <v>RAHURI RURAL</v>
          </cell>
          <cell r="K193" t="str">
            <v>Ahmednagar</v>
          </cell>
          <cell r="L193" t="str">
            <v>D1</v>
          </cell>
          <cell r="M193" t="str">
            <v>NH-160</v>
          </cell>
          <cell r="O193" t="str">
            <v>B</v>
          </cell>
          <cell r="P193">
            <v>41</v>
          </cell>
          <cell r="Q193">
            <v>47</v>
          </cell>
          <cell r="R193">
            <v>42</v>
          </cell>
          <cell r="S193">
            <v>30</v>
          </cell>
          <cell r="T193">
            <v>-1</v>
          </cell>
          <cell r="U193">
            <v>17</v>
          </cell>
          <cell r="V193">
            <v>80</v>
          </cell>
          <cell r="W193">
            <v>80</v>
          </cell>
          <cell r="X193">
            <v>79</v>
          </cell>
          <cell r="Y193">
            <v>55</v>
          </cell>
          <cell r="Z193">
            <v>1</v>
          </cell>
          <cell r="AA193">
            <v>25</v>
          </cell>
          <cell r="AB193">
            <v>88</v>
          </cell>
          <cell r="AC193">
            <v>72</v>
          </cell>
          <cell r="AD193">
            <v>16</v>
          </cell>
          <cell r="AE193">
            <v>160</v>
          </cell>
          <cell r="AF193">
            <v>134</v>
          </cell>
          <cell r="AG193">
            <v>26</v>
          </cell>
        </row>
        <row r="194">
          <cell r="C194">
            <v>173853</v>
          </cell>
          <cell r="D194" t="str">
            <v>ESHWAR PETROLEUM</v>
          </cell>
          <cell r="E194" t="str">
            <v>BPCL</v>
          </cell>
          <cell r="G194" t="str">
            <v>Shirdi RSA</v>
          </cell>
          <cell r="J194" t="str">
            <v>PRATAPPUR ASHWI</v>
          </cell>
          <cell r="K194" t="str">
            <v>Ahmednagar</v>
          </cell>
          <cell r="L194" t="str">
            <v>E</v>
          </cell>
          <cell r="O194" t="str">
            <v>B</v>
          </cell>
          <cell r="P194">
            <v>59</v>
          </cell>
          <cell r="Q194">
            <v>85</v>
          </cell>
          <cell r="R194">
            <v>49</v>
          </cell>
          <cell r="S194">
            <v>63</v>
          </cell>
          <cell r="T194">
            <v>10</v>
          </cell>
          <cell r="U194">
            <v>22</v>
          </cell>
          <cell r="V194">
            <v>102</v>
          </cell>
          <cell r="W194">
            <v>148</v>
          </cell>
          <cell r="X194">
            <v>97</v>
          </cell>
          <cell r="Y194">
            <v>123</v>
          </cell>
          <cell r="Z194">
            <v>5</v>
          </cell>
          <cell r="AA194">
            <v>25</v>
          </cell>
          <cell r="AB194">
            <v>144</v>
          </cell>
          <cell r="AC194">
            <v>112</v>
          </cell>
          <cell r="AD194">
            <v>32</v>
          </cell>
          <cell r="AE194">
            <v>250</v>
          </cell>
          <cell r="AF194">
            <v>220</v>
          </cell>
          <cell r="AG194">
            <v>30</v>
          </cell>
        </row>
        <row r="195">
          <cell r="C195">
            <v>174187</v>
          </cell>
          <cell r="D195" t="str">
            <v>SHREE SWAMISAMARTH</v>
          </cell>
          <cell r="E195" t="str">
            <v>BPCL</v>
          </cell>
          <cell r="G195" t="str">
            <v>Satara East RSA</v>
          </cell>
          <cell r="J195" t="str">
            <v>Narayanwadi Not on NH</v>
          </cell>
          <cell r="K195" t="str">
            <v>Satara</v>
          </cell>
          <cell r="L195" t="str">
            <v>D2</v>
          </cell>
          <cell r="O195" t="str">
            <v>B</v>
          </cell>
          <cell r="P195">
            <v>48</v>
          </cell>
          <cell r="Q195">
            <v>36</v>
          </cell>
          <cell r="R195">
            <v>54</v>
          </cell>
          <cell r="S195">
            <v>66</v>
          </cell>
          <cell r="T195">
            <v>-6</v>
          </cell>
          <cell r="U195">
            <v>-30</v>
          </cell>
          <cell r="V195">
            <v>94</v>
          </cell>
          <cell r="W195">
            <v>74</v>
          </cell>
          <cell r="X195">
            <v>104</v>
          </cell>
          <cell r="Y195">
            <v>124</v>
          </cell>
          <cell r="Z195">
            <v>-10</v>
          </cell>
          <cell r="AA195">
            <v>-50</v>
          </cell>
          <cell r="AB195">
            <v>84</v>
          </cell>
          <cell r="AC195">
            <v>120</v>
          </cell>
          <cell r="AD195">
            <v>-36</v>
          </cell>
          <cell r="AE195">
            <v>168</v>
          </cell>
          <cell r="AF195">
            <v>228</v>
          </cell>
          <cell r="AG195">
            <v>-60</v>
          </cell>
        </row>
        <row r="196">
          <cell r="C196">
            <v>174350</v>
          </cell>
          <cell r="D196" t="str">
            <v xml:space="preserve">SHRI SWAMY SAMARTH PETROLEUM </v>
          </cell>
          <cell r="E196" t="str">
            <v>BPCL</v>
          </cell>
          <cell r="G196" t="str">
            <v>Ahmednagar West RSA</v>
          </cell>
          <cell r="J196" t="str">
            <v>TISGAON (MIRI RD)</v>
          </cell>
          <cell r="K196" t="str">
            <v>Ahmednagar</v>
          </cell>
          <cell r="L196" t="str">
            <v>E</v>
          </cell>
          <cell r="O196" t="str">
            <v>B</v>
          </cell>
          <cell r="P196">
            <v>80</v>
          </cell>
          <cell r="Q196">
            <v>186</v>
          </cell>
          <cell r="R196">
            <v>70</v>
          </cell>
          <cell r="S196">
            <v>140</v>
          </cell>
          <cell r="T196">
            <v>10</v>
          </cell>
          <cell r="U196">
            <v>46</v>
          </cell>
          <cell r="V196">
            <v>140</v>
          </cell>
          <cell r="W196">
            <v>294</v>
          </cell>
          <cell r="X196">
            <v>145</v>
          </cell>
          <cell r="Y196">
            <v>247</v>
          </cell>
          <cell r="Z196">
            <v>-5</v>
          </cell>
          <cell r="AA196">
            <v>47</v>
          </cell>
          <cell r="AB196">
            <v>266</v>
          </cell>
          <cell r="AC196">
            <v>210</v>
          </cell>
          <cell r="AD196">
            <v>56</v>
          </cell>
          <cell r="AE196">
            <v>434</v>
          </cell>
          <cell r="AF196">
            <v>392</v>
          </cell>
          <cell r="AG196">
            <v>42</v>
          </cell>
        </row>
        <row r="197">
          <cell r="C197">
            <v>174353</v>
          </cell>
          <cell r="D197" t="str">
            <v>SHREERAM PETRLM</v>
          </cell>
          <cell r="E197" t="str">
            <v>BPCL</v>
          </cell>
          <cell r="G197" t="str">
            <v>Satara West RSA</v>
          </cell>
          <cell r="J197" t="str">
            <v>Gharewadi</v>
          </cell>
          <cell r="K197" t="str">
            <v>Satara</v>
          </cell>
          <cell r="L197" t="str">
            <v>E</v>
          </cell>
          <cell r="O197" t="str">
            <v>B</v>
          </cell>
          <cell r="P197">
            <v>60</v>
          </cell>
          <cell r="Q197">
            <v>60</v>
          </cell>
          <cell r="R197">
            <v>60</v>
          </cell>
          <cell r="S197">
            <v>84</v>
          </cell>
          <cell r="T197">
            <v>0</v>
          </cell>
          <cell r="U197">
            <v>-24</v>
          </cell>
          <cell r="V197">
            <v>114</v>
          </cell>
          <cell r="W197">
            <v>114</v>
          </cell>
          <cell r="X197">
            <v>114</v>
          </cell>
          <cell r="Y197">
            <v>150</v>
          </cell>
          <cell r="Z197">
            <v>0</v>
          </cell>
          <cell r="AA197">
            <v>-36</v>
          </cell>
          <cell r="AB197">
            <v>120</v>
          </cell>
          <cell r="AC197">
            <v>144</v>
          </cell>
          <cell r="AD197">
            <v>-24</v>
          </cell>
          <cell r="AE197">
            <v>228</v>
          </cell>
          <cell r="AF197">
            <v>264</v>
          </cell>
          <cell r="AG197">
            <v>-36</v>
          </cell>
        </row>
        <row r="198">
          <cell r="C198">
            <v>174419</v>
          </cell>
          <cell r="D198" t="str">
            <v>RADHE RADHE PETROLEUM</v>
          </cell>
          <cell r="E198" t="str">
            <v>BPCL</v>
          </cell>
          <cell r="G198" t="str">
            <v>Pimpri Chinchwad RSA</v>
          </cell>
          <cell r="J198" t="str">
            <v>WATHAR TO KARAD</v>
          </cell>
          <cell r="K198" t="str">
            <v>Pune</v>
          </cell>
          <cell r="L198" t="str">
            <v>E</v>
          </cell>
          <cell r="O198" t="str">
            <v>B</v>
          </cell>
          <cell r="P198">
            <v>24</v>
          </cell>
          <cell r="Q198">
            <v>24</v>
          </cell>
          <cell r="R198">
            <v>24</v>
          </cell>
          <cell r="S198">
            <v>36</v>
          </cell>
          <cell r="T198">
            <v>0</v>
          </cell>
          <cell r="U198">
            <v>-12</v>
          </cell>
          <cell r="V198">
            <v>59</v>
          </cell>
          <cell r="W198">
            <v>69</v>
          </cell>
          <cell r="X198">
            <v>51</v>
          </cell>
          <cell r="Y198">
            <v>69</v>
          </cell>
          <cell r="Z198">
            <v>8</v>
          </cell>
          <cell r="AA198">
            <v>0</v>
          </cell>
          <cell r="AB198">
            <v>48</v>
          </cell>
          <cell r="AC198">
            <v>60</v>
          </cell>
          <cell r="AD198">
            <v>-12</v>
          </cell>
          <cell r="AE198">
            <v>128</v>
          </cell>
          <cell r="AF198">
            <v>120</v>
          </cell>
          <cell r="AG198">
            <v>8</v>
          </cell>
        </row>
        <row r="199">
          <cell r="C199">
            <v>174966</v>
          </cell>
          <cell r="D199" t="str">
            <v xml:space="preserve">Beldare Patil Petroleum </v>
          </cell>
          <cell r="E199" t="str">
            <v>BPCL</v>
          </cell>
          <cell r="G199" t="str">
            <v>Pune City RSA</v>
          </cell>
          <cell r="J199" t="str">
            <v>AMBEGAON/WARJE</v>
          </cell>
          <cell r="K199" t="str">
            <v>Pune</v>
          </cell>
          <cell r="L199" t="str">
            <v>A</v>
          </cell>
          <cell r="O199" t="str">
            <v>A</v>
          </cell>
          <cell r="P199">
            <v>270</v>
          </cell>
          <cell r="Q199">
            <v>230</v>
          </cell>
          <cell r="R199">
            <v>245</v>
          </cell>
          <cell r="S199">
            <v>135</v>
          </cell>
          <cell r="T199">
            <v>25</v>
          </cell>
          <cell r="U199">
            <v>95</v>
          </cell>
          <cell r="V199">
            <v>475</v>
          </cell>
          <cell r="W199">
            <v>435</v>
          </cell>
          <cell r="X199">
            <v>510</v>
          </cell>
          <cell r="Y199">
            <v>270</v>
          </cell>
          <cell r="Z199">
            <v>-35</v>
          </cell>
          <cell r="AA199">
            <v>165</v>
          </cell>
          <cell r="AB199">
            <v>500</v>
          </cell>
          <cell r="AC199">
            <v>380</v>
          </cell>
          <cell r="AD199">
            <v>120</v>
          </cell>
          <cell r="AE199">
            <v>910</v>
          </cell>
          <cell r="AF199">
            <v>780</v>
          </cell>
          <cell r="AG199">
            <v>130</v>
          </cell>
        </row>
        <row r="200">
          <cell r="C200">
            <v>175046</v>
          </cell>
          <cell r="D200" t="str">
            <v>VAISHALI PETROLEUM</v>
          </cell>
          <cell r="E200" t="str">
            <v>BPCL</v>
          </cell>
          <cell r="G200" t="str">
            <v>Ahmednagar West RSA</v>
          </cell>
          <cell r="J200" t="str">
            <v>Kanhoor (Parner)</v>
          </cell>
          <cell r="K200" t="str">
            <v>Ahmednagar</v>
          </cell>
          <cell r="L200" t="str">
            <v>E</v>
          </cell>
          <cell r="O200" t="str">
            <v>B</v>
          </cell>
          <cell r="P200">
            <v>24.5</v>
          </cell>
          <cell r="Q200">
            <v>52.5</v>
          </cell>
          <cell r="R200">
            <v>22</v>
          </cell>
          <cell r="S200">
            <v>53</v>
          </cell>
          <cell r="T200">
            <v>2.5</v>
          </cell>
          <cell r="U200">
            <v>-0.5</v>
          </cell>
          <cell r="V200">
            <v>49</v>
          </cell>
          <cell r="W200">
            <v>112</v>
          </cell>
          <cell r="X200">
            <v>46</v>
          </cell>
          <cell r="Y200">
            <v>127</v>
          </cell>
          <cell r="Z200">
            <v>3</v>
          </cell>
          <cell r="AA200">
            <v>-15</v>
          </cell>
          <cell r="AB200">
            <v>77</v>
          </cell>
          <cell r="AC200">
            <v>75</v>
          </cell>
          <cell r="AD200">
            <v>2</v>
          </cell>
          <cell r="AE200">
            <v>161</v>
          </cell>
          <cell r="AF200">
            <v>173</v>
          </cell>
          <cell r="AG200">
            <v>-12</v>
          </cell>
        </row>
        <row r="201">
          <cell r="C201">
            <v>175633</v>
          </cell>
          <cell r="D201" t="str">
            <v>Dhawade Petroleum</v>
          </cell>
          <cell r="E201" t="str">
            <v>BPCL</v>
          </cell>
          <cell r="G201" t="str">
            <v>Pune City RSA</v>
          </cell>
          <cell r="J201" t="str">
            <v>WARJE/UTTAMNAGAR</v>
          </cell>
          <cell r="K201" t="str">
            <v>Pune</v>
          </cell>
          <cell r="L201" t="str">
            <v>A</v>
          </cell>
          <cell r="O201" t="str">
            <v>A</v>
          </cell>
          <cell r="P201">
            <v>113</v>
          </cell>
          <cell r="Q201">
            <v>119</v>
          </cell>
          <cell r="R201">
            <v>100</v>
          </cell>
          <cell r="S201">
            <v>112</v>
          </cell>
          <cell r="T201">
            <v>13</v>
          </cell>
          <cell r="U201">
            <v>7</v>
          </cell>
          <cell r="V201">
            <v>223</v>
          </cell>
          <cell r="W201">
            <v>214</v>
          </cell>
          <cell r="X201">
            <v>217</v>
          </cell>
          <cell r="Y201">
            <v>211</v>
          </cell>
          <cell r="Z201">
            <v>6</v>
          </cell>
          <cell r="AA201">
            <v>3</v>
          </cell>
          <cell r="AB201">
            <v>232</v>
          </cell>
          <cell r="AC201">
            <v>212</v>
          </cell>
          <cell r="AD201">
            <v>20</v>
          </cell>
          <cell r="AE201">
            <v>437</v>
          </cell>
          <cell r="AF201">
            <v>428</v>
          </cell>
          <cell r="AG201">
            <v>9</v>
          </cell>
        </row>
        <row r="202">
          <cell r="C202">
            <v>175732</v>
          </cell>
          <cell r="D202" t="str">
            <v>SHREE GAJANAN PETROLEUM</v>
          </cell>
          <cell r="E202" t="str">
            <v>BPCL</v>
          </cell>
          <cell r="G202" t="str">
            <v>Pune Hadapsar RSA</v>
          </cell>
          <cell r="J202" t="str">
            <v>Manjari</v>
          </cell>
          <cell r="K202" t="str">
            <v>Pune</v>
          </cell>
          <cell r="L202" t="str">
            <v>A</v>
          </cell>
          <cell r="O202" t="str">
            <v>A</v>
          </cell>
          <cell r="P202">
            <v>120.5</v>
          </cell>
          <cell r="Q202">
            <v>55.5</v>
          </cell>
          <cell r="R202">
            <v>111</v>
          </cell>
          <cell r="S202">
            <v>37</v>
          </cell>
          <cell r="T202">
            <v>9.5</v>
          </cell>
          <cell r="U202">
            <v>18.5</v>
          </cell>
          <cell r="V202">
            <v>236</v>
          </cell>
          <cell r="W202">
            <v>112</v>
          </cell>
          <cell r="X202">
            <v>225.000001</v>
          </cell>
          <cell r="Y202">
            <v>87</v>
          </cell>
          <cell r="Z202">
            <v>10.999999000000003</v>
          </cell>
          <cell r="AA202">
            <v>25</v>
          </cell>
          <cell r="AB202">
            <v>176</v>
          </cell>
          <cell r="AC202">
            <v>148</v>
          </cell>
          <cell r="AD202">
            <v>28</v>
          </cell>
          <cell r="AE202">
            <v>348</v>
          </cell>
          <cell r="AF202">
            <v>312.000001</v>
          </cell>
          <cell r="AG202">
            <v>35.999999000000003</v>
          </cell>
        </row>
        <row r="203">
          <cell r="C203">
            <v>175927</v>
          </cell>
          <cell r="D203" t="str">
            <v>RAJYOG PETROLEUM</v>
          </cell>
          <cell r="E203" t="str">
            <v>BPCL</v>
          </cell>
          <cell r="G203" t="str">
            <v>Pimpri Chinchwad RSA</v>
          </cell>
          <cell r="J203" t="str">
            <v>KARAD TO WATHAR</v>
          </cell>
          <cell r="K203" t="str">
            <v>Pune</v>
          </cell>
          <cell r="L203" t="str">
            <v>A</v>
          </cell>
          <cell r="O203" t="str">
            <v>B</v>
          </cell>
          <cell r="P203">
            <v>140</v>
          </cell>
          <cell r="Q203">
            <v>100</v>
          </cell>
          <cell r="R203">
            <v>171</v>
          </cell>
          <cell r="S203">
            <v>105</v>
          </cell>
          <cell r="T203">
            <v>-31</v>
          </cell>
          <cell r="U203">
            <v>-5</v>
          </cell>
          <cell r="V203">
            <v>285</v>
          </cell>
          <cell r="W203">
            <v>194</v>
          </cell>
          <cell r="X203">
            <v>361</v>
          </cell>
          <cell r="Y203">
            <v>204</v>
          </cell>
          <cell r="Z203">
            <v>-76</v>
          </cell>
          <cell r="AA203">
            <v>-10</v>
          </cell>
          <cell r="AB203">
            <v>240</v>
          </cell>
          <cell r="AC203">
            <v>276</v>
          </cell>
          <cell r="AD203">
            <v>-36</v>
          </cell>
          <cell r="AE203">
            <v>479</v>
          </cell>
          <cell r="AF203">
            <v>565</v>
          </cell>
          <cell r="AG203">
            <v>-86</v>
          </cell>
        </row>
        <row r="204">
          <cell r="C204">
            <v>176439</v>
          </cell>
          <cell r="D204" t="str">
            <v>MAHI PETRO TRADERS</v>
          </cell>
          <cell r="E204" t="str">
            <v>BPCL</v>
          </cell>
          <cell r="F204" t="str">
            <v>2012-13</v>
          </cell>
          <cell r="G204" t="str">
            <v>Pune Saswad RSA</v>
          </cell>
          <cell r="J204" t="str">
            <v>JEJURI</v>
          </cell>
          <cell r="K204" t="str">
            <v>Pune</v>
          </cell>
          <cell r="L204" t="str">
            <v>D1</v>
          </cell>
          <cell r="M204" t="str">
            <v>NH-965</v>
          </cell>
          <cell r="O204" t="str">
            <v>A</v>
          </cell>
          <cell r="P204">
            <v>0</v>
          </cell>
          <cell r="Q204">
            <v>12</v>
          </cell>
          <cell r="R204">
            <v>36</v>
          </cell>
          <cell r="S204">
            <v>45</v>
          </cell>
          <cell r="T204">
            <v>-36</v>
          </cell>
          <cell r="U204">
            <v>-33</v>
          </cell>
          <cell r="V204">
            <v>0</v>
          </cell>
          <cell r="W204">
            <v>48</v>
          </cell>
          <cell r="X204">
            <v>61</v>
          </cell>
          <cell r="Y204">
            <v>82</v>
          </cell>
          <cell r="Z204">
            <v>-61</v>
          </cell>
          <cell r="AA204">
            <v>-34</v>
          </cell>
          <cell r="AB204">
            <v>12</v>
          </cell>
          <cell r="AC204">
            <v>81</v>
          </cell>
          <cell r="AD204">
            <v>-69</v>
          </cell>
          <cell r="AE204">
            <v>48</v>
          </cell>
          <cell r="AF204">
            <v>143</v>
          </cell>
          <cell r="AG204">
            <v>-95</v>
          </cell>
        </row>
        <row r="205">
          <cell r="C205">
            <v>176580</v>
          </cell>
          <cell r="D205" t="str">
            <v>SAI GANESH FUELS</v>
          </cell>
          <cell r="E205" t="str">
            <v>BPCL</v>
          </cell>
          <cell r="G205" t="str">
            <v>Ahmednagar East RSA</v>
          </cell>
          <cell r="J205" t="str">
            <v>Shevgaon</v>
          </cell>
          <cell r="K205" t="str">
            <v>Ahmednagar</v>
          </cell>
          <cell r="L205" t="str">
            <v>D2</v>
          </cell>
          <cell r="O205" t="str">
            <v>A</v>
          </cell>
          <cell r="P205">
            <v>66.5</v>
          </cell>
          <cell r="Q205">
            <v>148.5</v>
          </cell>
          <cell r="R205">
            <v>57</v>
          </cell>
          <cell r="S205">
            <v>138</v>
          </cell>
          <cell r="T205">
            <v>9.5</v>
          </cell>
          <cell r="U205">
            <v>10.5</v>
          </cell>
          <cell r="V205">
            <v>115.5</v>
          </cell>
          <cell r="W205">
            <v>253.5</v>
          </cell>
          <cell r="X205">
            <v>103</v>
          </cell>
          <cell r="Y205">
            <v>259</v>
          </cell>
          <cell r="Z205">
            <v>12.5</v>
          </cell>
          <cell r="AA205">
            <v>-5.5</v>
          </cell>
          <cell r="AB205">
            <v>215</v>
          </cell>
          <cell r="AC205">
            <v>195</v>
          </cell>
          <cell r="AD205">
            <v>20</v>
          </cell>
          <cell r="AE205">
            <v>369</v>
          </cell>
          <cell r="AF205">
            <v>362</v>
          </cell>
          <cell r="AG205">
            <v>7</v>
          </cell>
        </row>
        <row r="206">
          <cell r="C206">
            <v>176581</v>
          </cell>
          <cell r="D206" t="str">
            <v>SAI SHIVRAM PETROLEUM</v>
          </cell>
          <cell r="E206" t="str">
            <v>BPCL</v>
          </cell>
          <cell r="F206" t="str">
            <v>2012-13</v>
          </cell>
          <cell r="G206" t="str">
            <v>Shirdi RSA</v>
          </cell>
          <cell r="J206" t="str">
            <v>RAHURI FACTORY LHS</v>
          </cell>
          <cell r="K206" t="str">
            <v>Ahmednagar</v>
          </cell>
          <cell r="L206" t="str">
            <v>D1</v>
          </cell>
          <cell r="M206" t="str">
            <v>NH-160</v>
          </cell>
          <cell r="O206" t="str">
            <v>A</v>
          </cell>
          <cell r="P206">
            <v>33</v>
          </cell>
          <cell r="Q206">
            <v>99</v>
          </cell>
          <cell r="R206">
            <v>25</v>
          </cell>
          <cell r="S206">
            <v>123</v>
          </cell>
          <cell r="T206">
            <v>8</v>
          </cell>
          <cell r="U206">
            <v>-24</v>
          </cell>
          <cell r="V206">
            <v>54</v>
          </cell>
          <cell r="W206">
            <v>210</v>
          </cell>
          <cell r="X206">
            <v>56</v>
          </cell>
          <cell r="Y206">
            <v>248</v>
          </cell>
          <cell r="Z206">
            <v>-2</v>
          </cell>
          <cell r="AA206">
            <v>-38</v>
          </cell>
          <cell r="AB206">
            <v>132</v>
          </cell>
          <cell r="AC206">
            <v>148</v>
          </cell>
          <cell r="AD206">
            <v>-16</v>
          </cell>
          <cell r="AE206">
            <v>264</v>
          </cell>
          <cell r="AF206">
            <v>304</v>
          </cell>
          <cell r="AG206">
            <v>-40</v>
          </cell>
        </row>
        <row r="207">
          <cell r="C207">
            <v>176582</v>
          </cell>
          <cell r="D207" t="str">
            <v>SHRI GANESH PETROLEUM</v>
          </cell>
          <cell r="E207" t="str">
            <v>BPCL</v>
          </cell>
          <cell r="G207" t="str">
            <v>Ahmednagar West RSA</v>
          </cell>
          <cell r="J207" t="str">
            <v>Pimpri Kolander</v>
          </cell>
          <cell r="K207" t="str">
            <v>Ahmednagar</v>
          </cell>
          <cell r="L207" t="str">
            <v>D2</v>
          </cell>
          <cell r="O207" t="str">
            <v>A</v>
          </cell>
          <cell r="P207">
            <v>30</v>
          </cell>
          <cell r="Q207">
            <v>127</v>
          </cell>
          <cell r="R207">
            <v>26</v>
          </cell>
          <cell r="S207">
            <v>100</v>
          </cell>
          <cell r="T207">
            <v>4</v>
          </cell>
          <cell r="U207">
            <v>27</v>
          </cell>
          <cell r="V207">
            <v>60.5</v>
          </cell>
          <cell r="W207">
            <v>218.5</v>
          </cell>
          <cell r="X207">
            <v>54</v>
          </cell>
          <cell r="Y207">
            <v>196</v>
          </cell>
          <cell r="Z207">
            <v>6.5</v>
          </cell>
          <cell r="AA207">
            <v>22.5</v>
          </cell>
          <cell r="AB207">
            <v>157</v>
          </cell>
          <cell r="AC207">
            <v>126</v>
          </cell>
          <cell r="AD207">
            <v>31</v>
          </cell>
          <cell r="AE207">
            <v>279</v>
          </cell>
          <cell r="AF207">
            <v>250</v>
          </cell>
          <cell r="AG207">
            <v>29</v>
          </cell>
        </row>
        <row r="208">
          <cell r="C208">
            <v>176583</v>
          </cell>
          <cell r="D208" t="str">
            <v>VITTHAL HIGHWAY</v>
          </cell>
          <cell r="E208" t="str">
            <v>BPCL</v>
          </cell>
          <cell r="G208" t="str">
            <v>Ahmednagar East RSA</v>
          </cell>
          <cell r="J208" t="str">
            <v>Shendi</v>
          </cell>
          <cell r="K208" t="str">
            <v>Ahmednagar</v>
          </cell>
          <cell r="L208" t="str">
            <v>D1</v>
          </cell>
          <cell r="M208" t="str">
            <v>NH-753F</v>
          </cell>
          <cell r="O208" t="str">
            <v>B</v>
          </cell>
          <cell r="P208">
            <v>93</v>
          </cell>
          <cell r="Q208">
            <v>244</v>
          </cell>
          <cell r="R208">
            <v>81</v>
          </cell>
          <cell r="S208">
            <v>183</v>
          </cell>
          <cell r="T208">
            <v>12</v>
          </cell>
          <cell r="U208">
            <v>61</v>
          </cell>
          <cell r="V208">
            <v>165</v>
          </cell>
          <cell r="W208">
            <v>424</v>
          </cell>
          <cell r="X208">
            <v>156</v>
          </cell>
          <cell r="Y208">
            <v>360</v>
          </cell>
          <cell r="Z208">
            <v>9</v>
          </cell>
          <cell r="AA208">
            <v>64</v>
          </cell>
          <cell r="AB208">
            <v>337</v>
          </cell>
          <cell r="AC208">
            <v>264</v>
          </cell>
          <cell r="AD208">
            <v>73</v>
          </cell>
          <cell r="AE208">
            <v>589</v>
          </cell>
          <cell r="AF208">
            <v>516</v>
          </cell>
          <cell r="AG208">
            <v>73</v>
          </cell>
        </row>
        <row r="209">
          <cell r="C209">
            <v>176713</v>
          </cell>
          <cell r="D209" t="str">
            <v>SHRI SAI  PETROLEUM</v>
          </cell>
          <cell r="E209" t="str">
            <v>BPCL</v>
          </cell>
          <cell r="F209" t="str">
            <v>2012-13</v>
          </cell>
          <cell r="G209" t="str">
            <v>Pune Tathawade RSA</v>
          </cell>
          <cell r="J209" t="str">
            <v>Vadgaon Nimbalkar to Pandare</v>
          </cell>
          <cell r="K209" t="str">
            <v>Pune</v>
          </cell>
          <cell r="L209" t="str">
            <v>D2</v>
          </cell>
          <cell r="O209" t="str">
            <v>A</v>
          </cell>
          <cell r="P209">
            <v>15</v>
          </cell>
          <cell r="Q209">
            <v>45</v>
          </cell>
          <cell r="R209">
            <v>15</v>
          </cell>
          <cell r="S209">
            <v>33</v>
          </cell>
          <cell r="T209">
            <v>0</v>
          </cell>
          <cell r="U209">
            <v>12</v>
          </cell>
          <cell r="V209">
            <v>24</v>
          </cell>
          <cell r="W209">
            <v>72</v>
          </cell>
          <cell r="X209">
            <v>28</v>
          </cell>
          <cell r="Y209">
            <v>80</v>
          </cell>
          <cell r="Z209">
            <v>-4</v>
          </cell>
          <cell r="AA209">
            <v>-8</v>
          </cell>
          <cell r="AB209">
            <v>60</v>
          </cell>
          <cell r="AC209">
            <v>48</v>
          </cell>
          <cell r="AD209">
            <v>12</v>
          </cell>
          <cell r="AE209">
            <v>96</v>
          </cell>
          <cell r="AF209">
            <v>108</v>
          </cell>
          <cell r="AG209">
            <v>-12</v>
          </cell>
        </row>
        <row r="210">
          <cell r="C210">
            <v>177345</v>
          </cell>
          <cell r="D210" t="str">
            <v>AVADAI PETROLEUM</v>
          </cell>
          <cell r="E210" t="str">
            <v>BPCL</v>
          </cell>
          <cell r="F210" t="str">
            <v>2012-13</v>
          </cell>
          <cell r="G210" t="str">
            <v>Pune Tathawade RSA</v>
          </cell>
          <cell r="J210" t="str">
            <v>VADGAON TO KAMSHET</v>
          </cell>
          <cell r="K210" t="str">
            <v>Pune</v>
          </cell>
          <cell r="L210" t="str">
            <v>D1</v>
          </cell>
          <cell r="M210" t="str">
            <v>NH-48</v>
          </cell>
          <cell r="O210" t="str">
            <v>B</v>
          </cell>
          <cell r="P210">
            <v>50</v>
          </cell>
          <cell r="Q210">
            <v>254</v>
          </cell>
          <cell r="R210">
            <v>40</v>
          </cell>
          <cell r="S210">
            <v>200</v>
          </cell>
          <cell r="T210">
            <v>10</v>
          </cell>
          <cell r="U210">
            <v>54</v>
          </cell>
          <cell r="V210">
            <v>90</v>
          </cell>
          <cell r="W210">
            <v>474</v>
          </cell>
          <cell r="X210">
            <v>85</v>
          </cell>
          <cell r="Y210">
            <v>375</v>
          </cell>
          <cell r="Z210">
            <v>5</v>
          </cell>
          <cell r="AA210">
            <v>99</v>
          </cell>
          <cell r="AB210">
            <v>304</v>
          </cell>
          <cell r="AC210">
            <v>240</v>
          </cell>
          <cell r="AD210">
            <v>64</v>
          </cell>
          <cell r="AE210">
            <v>564</v>
          </cell>
          <cell r="AF210">
            <v>460</v>
          </cell>
          <cell r="AG210">
            <v>104</v>
          </cell>
        </row>
        <row r="211">
          <cell r="C211">
            <v>177378</v>
          </cell>
          <cell r="D211" t="str">
            <v>YASH PETRO</v>
          </cell>
          <cell r="E211" t="str">
            <v>BPCL</v>
          </cell>
          <cell r="F211" t="str">
            <v>2012-13</v>
          </cell>
          <cell r="G211" t="str">
            <v>Satara East RSA</v>
          </cell>
          <cell r="J211" t="str">
            <v>Satara to Bhuinj</v>
          </cell>
          <cell r="K211" t="str">
            <v>Satara</v>
          </cell>
          <cell r="L211" t="str">
            <v>D1</v>
          </cell>
          <cell r="M211" t="str">
            <v>NH-548C</v>
          </cell>
          <cell r="O211" t="str">
            <v>B</v>
          </cell>
          <cell r="P211">
            <v>9</v>
          </cell>
          <cell r="Q211">
            <v>27</v>
          </cell>
          <cell r="R211">
            <v>24</v>
          </cell>
          <cell r="S211">
            <v>24</v>
          </cell>
          <cell r="T211">
            <v>-15</v>
          </cell>
          <cell r="U211">
            <v>3</v>
          </cell>
          <cell r="V211">
            <v>21</v>
          </cell>
          <cell r="W211">
            <v>51</v>
          </cell>
          <cell r="X211">
            <v>45</v>
          </cell>
          <cell r="Y211">
            <v>51</v>
          </cell>
          <cell r="Z211">
            <v>-24</v>
          </cell>
          <cell r="AA211">
            <v>0</v>
          </cell>
          <cell r="AB211">
            <v>36</v>
          </cell>
          <cell r="AC211">
            <v>48</v>
          </cell>
          <cell r="AD211">
            <v>-12</v>
          </cell>
          <cell r="AE211">
            <v>72</v>
          </cell>
          <cell r="AF211">
            <v>96</v>
          </cell>
          <cell r="AG211">
            <v>-24</v>
          </cell>
        </row>
        <row r="212">
          <cell r="C212">
            <v>177551</v>
          </cell>
          <cell r="D212" t="str">
            <v>JAY GANESH PETROLEUM</v>
          </cell>
          <cell r="E212" t="str">
            <v>BPCL</v>
          </cell>
          <cell r="F212" t="str">
            <v>2012-13</v>
          </cell>
          <cell r="G212" t="str">
            <v>Pune Hadapsar RSA</v>
          </cell>
          <cell r="J212" t="str">
            <v>Urlidevachi Undri Road</v>
          </cell>
          <cell r="K212" t="str">
            <v>Pune</v>
          </cell>
          <cell r="L212" t="str">
            <v>A</v>
          </cell>
          <cell r="O212" t="str">
            <v>A</v>
          </cell>
          <cell r="P212">
            <v>50</v>
          </cell>
          <cell r="Q212">
            <v>190</v>
          </cell>
          <cell r="R212">
            <v>43</v>
          </cell>
          <cell r="S212">
            <v>221</v>
          </cell>
          <cell r="T212">
            <v>7</v>
          </cell>
          <cell r="U212">
            <v>-31</v>
          </cell>
          <cell r="V212">
            <v>108</v>
          </cell>
          <cell r="W212">
            <v>400</v>
          </cell>
          <cell r="X212">
            <v>89</v>
          </cell>
          <cell r="Y212">
            <v>423</v>
          </cell>
          <cell r="Z212">
            <v>19</v>
          </cell>
          <cell r="AA212">
            <v>-23</v>
          </cell>
          <cell r="AB212">
            <v>240</v>
          </cell>
          <cell r="AC212">
            <v>264</v>
          </cell>
          <cell r="AD212">
            <v>-24</v>
          </cell>
          <cell r="AE212">
            <v>508</v>
          </cell>
          <cell r="AF212">
            <v>512</v>
          </cell>
          <cell r="AG212">
            <v>-4</v>
          </cell>
        </row>
        <row r="213">
          <cell r="C213">
            <v>177677</v>
          </cell>
          <cell r="D213" t="str">
            <v>HARSHAD PETROLEUM</v>
          </cell>
          <cell r="E213" t="str">
            <v>BPCL</v>
          </cell>
          <cell r="F213" t="str">
            <v>2012-13</v>
          </cell>
          <cell r="G213" t="str">
            <v>Pune Hadapsar RSA</v>
          </cell>
          <cell r="J213" t="str">
            <v>Mandavgaon Farata</v>
          </cell>
          <cell r="K213" t="str">
            <v>Pune</v>
          </cell>
          <cell r="L213" t="str">
            <v>E</v>
          </cell>
          <cell r="O213" t="str">
            <v>B</v>
          </cell>
          <cell r="P213">
            <v>43</v>
          </cell>
          <cell r="Q213">
            <v>89</v>
          </cell>
          <cell r="R213">
            <v>38</v>
          </cell>
          <cell r="S213">
            <v>78</v>
          </cell>
          <cell r="T213">
            <v>5</v>
          </cell>
          <cell r="U213">
            <v>11</v>
          </cell>
          <cell r="V213">
            <v>83</v>
          </cell>
          <cell r="W213">
            <v>153</v>
          </cell>
          <cell r="X213">
            <v>88</v>
          </cell>
          <cell r="Y213">
            <v>156</v>
          </cell>
          <cell r="Z213">
            <v>-5</v>
          </cell>
          <cell r="AA213">
            <v>-3</v>
          </cell>
          <cell r="AB213">
            <v>132</v>
          </cell>
          <cell r="AC213">
            <v>116</v>
          </cell>
          <cell r="AD213">
            <v>16</v>
          </cell>
          <cell r="AE213">
            <v>236</v>
          </cell>
          <cell r="AF213">
            <v>244</v>
          </cell>
          <cell r="AG213">
            <v>-8</v>
          </cell>
        </row>
        <row r="214">
          <cell r="C214">
            <v>177959</v>
          </cell>
          <cell r="D214" t="str">
            <v>SHUBHAM PETROLEUM</v>
          </cell>
          <cell r="E214" t="str">
            <v>BPCL</v>
          </cell>
          <cell r="F214" t="str">
            <v>2012-13</v>
          </cell>
          <cell r="G214" t="str">
            <v>Pune Saswad RSA</v>
          </cell>
          <cell r="J214" t="str">
            <v>bhigwan-rashin road</v>
          </cell>
          <cell r="K214" t="str">
            <v>Pune</v>
          </cell>
          <cell r="L214" t="str">
            <v>D2</v>
          </cell>
          <cell r="O214" t="str">
            <v>A</v>
          </cell>
          <cell r="P214">
            <v>50</v>
          </cell>
          <cell r="Q214">
            <v>190</v>
          </cell>
          <cell r="R214">
            <v>40</v>
          </cell>
          <cell r="S214">
            <v>80</v>
          </cell>
          <cell r="T214">
            <v>10</v>
          </cell>
          <cell r="U214">
            <v>110</v>
          </cell>
          <cell r="V214">
            <v>93</v>
          </cell>
          <cell r="W214">
            <v>299</v>
          </cell>
          <cell r="X214">
            <v>85</v>
          </cell>
          <cell r="Y214">
            <v>155</v>
          </cell>
          <cell r="Z214">
            <v>8</v>
          </cell>
          <cell r="AA214">
            <v>144</v>
          </cell>
          <cell r="AB214">
            <v>240</v>
          </cell>
          <cell r="AC214">
            <v>120</v>
          </cell>
          <cell r="AD214">
            <v>120</v>
          </cell>
          <cell r="AE214">
            <v>392</v>
          </cell>
          <cell r="AF214">
            <v>240</v>
          </cell>
          <cell r="AG214">
            <v>152</v>
          </cell>
        </row>
        <row r="215">
          <cell r="C215">
            <v>177972</v>
          </cell>
          <cell r="D215" t="str">
            <v>VAIBHAV PETROLEUM</v>
          </cell>
          <cell r="E215" t="str">
            <v>BPCL</v>
          </cell>
          <cell r="F215" t="str">
            <v>2012-13</v>
          </cell>
          <cell r="G215" t="str">
            <v>Pune Hadapsar RSA</v>
          </cell>
          <cell r="J215" t="str">
            <v>DAUND</v>
          </cell>
          <cell r="K215" t="str">
            <v>Pune</v>
          </cell>
          <cell r="L215" t="str">
            <v>D2</v>
          </cell>
          <cell r="O215" t="str">
            <v>A</v>
          </cell>
          <cell r="P215">
            <v>20</v>
          </cell>
          <cell r="Q215">
            <v>16</v>
          </cell>
          <cell r="R215">
            <v>12</v>
          </cell>
          <cell r="S215">
            <v>6</v>
          </cell>
          <cell r="T215">
            <v>8</v>
          </cell>
          <cell r="U215">
            <v>10</v>
          </cell>
          <cell r="V215">
            <v>26</v>
          </cell>
          <cell r="W215">
            <v>22</v>
          </cell>
          <cell r="X215">
            <v>18</v>
          </cell>
          <cell r="Y215">
            <v>12</v>
          </cell>
          <cell r="Z215">
            <v>8</v>
          </cell>
          <cell r="AA215">
            <v>10</v>
          </cell>
          <cell r="AB215">
            <v>36</v>
          </cell>
          <cell r="AC215">
            <v>18</v>
          </cell>
          <cell r="AD215">
            <v>18</v>
          </cell>
          <cell r="AE215">
            <v>48</v>
          </cell>
          <cell r="AF215">
            <v>30</v>
          </cell>
          <cell r="AG215">
            <v>18</v>
          </cell>
        </row>
        <row r="216">
          <cell r="C216">
            <v>178117</v>
          </cell>
          <cell r="D216" t="str">
            <v>RAHUL PETROLEUM</v>
          </cell>
          <cell r="E216" t="str">
            <v>BPCL</v>
          </cell>
          <cell r="F216" t="str">
            <v>2012-13</v>
          </cell>
          <cell r="G216" t="str">
            <v>Satara East RSA</v>
          </cell>
          <cell r="J216" t="str">
            <v>ATIT TO KASHIL</v>
          </cell>
          <cell r="K216" t="str">
            <v>Satara</v>
          </cell>
          <cell r="L216" t="str">
            <v>E</v>
          </cell>
          <cell r="O216" t="str">
            <v>B</v>
          </cell>
          <cell r="P216">
            <v>33</v>
          </cell>
          <cell r="Q216">
            <v>87</v>
          </cell>
          <cell r="R216">
            <v>30</v>
          </cell>
          <cell r="S216">
            <v>66</v>
          </cell>
          <cell r="T216">
            <v>3</v>
          </cell>
          <cell r="U216">
            <v>21</v>
          </cell>
          <cell r="V216">
            <v>60</v>
          </cell>
          <cell r="W216">
            <v>156</v>
          </cell>
          <cell r="X216">
            <v>54</v>
          </cell>
          <cell r="Y216">
            <v>138</v>
          </cell>
          <cell r="Z216">
            <v>6</v>
          </cell>
          <cell r="AA216">
            <v>18</v>
          </cell>
          <cell r="AB216">
            <v>120</v>
          </cell>
          <cell r="AC216">
            <v>96</v>
          </cell>
          <cell r="AD216">
            <v>24</v>
          </cell>
          <cell r="AE216">
            <v>216</v>
          </cell>
          <cell r="AF216">
            <v>192</v>
          </cell>
          <cell r="AG216">
            <v>24</v>
          </cell>
        </row>
        <row r="217">
          <cell r="C217">
            <v>178127</v>
          </cell>
          <cell r="D217" t="str">
            <v>SHRI JAGDAMBA FUELS</v>
          </cell>
          <cell r="E217" t="str">
            <v>BPCL</v>
          </cell>
          <cell r="F217" t="str">
            <v>2012-13</v>
          </cell>
          <cell r="G217" t="str">
            <v>Ahmednagar West RSA</v>
          </cell>
          <cell r="J217" t="str">
            <v>Koradgaon</v>
          </cell>
          <cell r="K217" t="str">
            <v>Ahmednagar</v>
          </cell>
          <cell r="L217" t="str">
            <v>E</v>
          </cell>
          <cell r="O217" t="str">
            <v>B</v>
          </cell>
          <cell r="P217">
            <v>24</v>
          </cell>
          <cell r="Q217">
            <v>103</v>
          </cell>
          <cell r="R217">
            <v>27</v>
          </cell>
          <cell r="S217">
            <v>93</v>
          </cell>
          <cell r="T217">
            <v>-3</v>
          </cell>
          <cell r="U217">
            <v>10</v>
          </cell>
          <cell r="V217">
            <v>56</v>
          </cell>
          <cell r="W217">
            <v>181</v>
          </cell>
          <cell r="X217">
            <v>51</v>
          </cell>
          <cell r="Y217">
            <v>165</v>
          </cell>
          <cell r="Z217">
            <v>5</v>
          </cell>
          <cell r="AA217">
            <v>16</v>
          </cell>
          <cell r="AB217">
            <v>127</v>
          </cell>
          <cell r="AC217">
            <v>120</v>
          </cell>
          <cell r="AD217">
            <v>7</v>
          </cell>
          <cell r="AE217">
            <v>237</v>
          </cell>
          <cell r="AF217">
            <v>216</v>
          </cell>
          <cell r="AG217">
            <v>21</v>
          </cell>
        </row>
        <row r="218">
          <cell r="C218">
            <v>178344</v>
          </cell>
          <cell r="D218" t="str">
            <v>WANDHEKAR PETROLEUM</v>
          </cell>
          <cell r="E218" t="str">
            <v>BPCL</v>
          </cell>
          <cell r="F218" t="str">
            <v>2012-13</v>
          </cell>
          <cell r="G218" t="str">
            <v>Pune Saswad RSA</v>
          </cell>
          <cell r="J218" t="str">
            <v>Saswad-Narayanpur Road</v>
          </cell>
          <cell r="K218" t="str">
            <v>Pune</v>
          </cell>
          <cell r="L218" t="str">
            <v>D2</v>
          </cell>
          <cell r="O218" t="str">
            <v>A</v>
          </cell>
          <cell r="P218">
            <v>21</v>
          </cell>
          <cell r="Q218">
            <v>111</v>
          </cell>
          <cell r="R218">
            <v>23</v>
          </cell>
          <cell r="S218">
            <v>77</v>
          </cell>
          <cell r="T218">
            <v>-2</v>
          </cell>
          <cell r="U218">
            <v>34</v>
          </cell>
          <cell r="V218">
            <v>39</v>
          </cell>
          <cell r="W218">
            <v>225</v>
          </cell>
          <cell r="X218">
            <v>39</v>
          </cell>
          <cell r="Y218">
            <v>181</v>
          </cell>
          <cell r="Z218">
            <v>0</v>
          </cell>
          <cell r="AA218">
            <v>44</v>
          </cell>
          <cell r="AB218">
            <v>132</v>
          </cell>
          <cell r="AC218">
            <v>100</v>
          </cell>
          <cell r="AD218">
            <v>32</v>
          </cell>
          <cell r="AE218">
            <v>264</v>
          </cell>
          <cell r="AF218">
            <v>220</v>
          </cell>
          <cell r="AG218">
            <v>44</v>
          </cell>
        </row>
        <row r="219">
          <cell r="C219">
            <v>178430</v>
          </cell>
          <cell r="D219" t="str">
            <v>ANAND KUNDAN PETROLEUM</v>
          </cell>
          <cell r="E219" t="str">
            <v>BPCL</v>
          </cell>
          <cell r="G219" t="str">
            <v>Ahmednagar West RSA</v>
          </cell>
          <cell r="J219" t="str">
            <v>Bhalawani</v>
          </cell>
          <cell r="K219" t="str">
            <v>Ahmednagar</v>
          </cell>
          <cell r="L219" t="str">
            <v>D1</v>
          </cell>
          <cell r="M219" t="str">
            <v>NH-61</v>
          </cell>
          <cell r="O219" t="str">
            <v>A</v>
          </cell>
          <cell r="P219">
            <v>21</v>
          </cell>
          <cell r="Q219">
            <v>27</v>
          </cell>
          <cell r="R219">
            <v>19</v>
          </cell>
          <cell r="S219">
            <v>45</v>
          </cell>
          <cell r="T219">
            <v>2</v>
          </cell>
          <cell r="U219">
            <v>-18</v>
          </cell>
          <cell r="V219">
            <v>21</v>
          </cell>
          <cell r="W219">
            <v>27</v>
          </cell>
          <cell r="X219">
            <v>22</v>
          </cell>
          <cell r="Y219">
            <v>54</v>
          </cell>
          <cell r="Z219">
            <v>-1</v>
          </cell>
          <cell r="AA219">
            <v>-27</v>
          </cell>
          <cell r="AB219">
            <v>48</v>
          </cell>
          <cell r="AC219">
            <v>64</v>
          </cell>
          <cell r="AD219">
            <v>-16</v>
          </cell>
          <cell r="AE219">
            <v>48</v>
          </cell>
          <cell r="AF219">
            <v>76</v>
          </cell>
          <cell r="AG219">
            <v>-28</v>
          </cell>
        </row>
        <row r="220">
          <cell r="C220">
            <v>178582</v>
          </cell>
          <cell r="D220" t="str">
            <v>DEV PETROLEUM</v>
          </cell>
          <cell r="E220" t="str">
            <v>BPCL</v>
          </cell>
          <cell r="F220" t="str">
            <v>2012-13</v>
          </cell>
          <cell r="G220" t="str">
            <v>Pune Wagholi RSA</v>
          </cell>
          <cell r="J220" t="str">
            <v>Narayangaon to Alephata RHS</v>
          </cell>
          <cell r="K220" t="str">
            <v>Pune</v>
          </cell>
          <cell r="L220" t="str">
            <v>D1</v>
          </cell>
          <cell r="M220" t="str">
            <v>NH-60</v>
          </cell>
          <cell r="O220" t="str">
            <v>A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</row>
        <row r="221">
          <cell r="C221">
            <v>178603</v>
          </cell>
          <cell r="D221" t="str">
            <v>B. K. NAIK PETROLEUM</v>
          </cell>
          <cell r="E221" t="str">
            <v>BPCL</v>
          </cell>
          <cell r="F221" t="str">
            <v>2012-13</v>
          </cell>
          <cell r="G221" t="str">
            <v>Shirdi RSA</v>
          </cell>
          <cell r="J221" t="str">
            <v>BELAPUR</v>
          </cell>
          <cell r="K221" t="str">
            <v>Ahmednagar</v>
          </cell>
          <cell r="L221" t="str">
            <v>D2</v>
          </cell>
          <cell r="O221" t="str">
            <v>B</v>
          </cell>
          <cell r="P221">
            <v>59</v>
          </cell>
          <cell r="Q221">
            <v>65</v>
          </cell>
          <cell r="R221">
            <v>54</v>
          </cell>
          <cell r="S221">
            <v>66</v>
          </cell>
          <cell r="T221">
            <v>5</v>
          </cell>
          <cell r="U221">
            <v>-1</v>
          </cell>
          <cell r="V221">
            <v>100.5</v>
          </cell>
          <cell r="W221">
            <v>113.5</v>
          </cell>
          <cell r="X221">
            <v>95</v>
          </cell>
          <cell r="Y221">
            <v>113</v>
          </cell>
          <cell r="Z221">
            <v>5.5</v>
          </cell>
          <cell r="AA221">
            <v>0.5</v>
          </cell>
          <cell r="AB221">
            <v>124</v>
          </cell>
          <cell r="AC221">
            <v>120</v>
          </cell>
          <cell r="AD221">
            <v>4</v>
          </cell>
          <cell r="AE221">
            <v>214</v>
          </cell>
          <cell r="AF221">
            <v>208</v>
          </cell>
          <cell r="AG221">
            <v>6</v>
          </cell>
        </row>
        <row r="222">
          <cell r="C222">
            <v>179154</v>
          </cell>
          <cell r="D222" t="str">
            <v>VAISHNAVI PETROLEUM</v>
          </cell>
          <cell r="E222" t="str">
            <v>BPCL</v>
          </cell>
          <cell r="F222" t="str">
            <v>2012-13</v>
          </cell>
          <cell r="G222" t="str">
            <v>Ahmednagar East RSA</v>
          </cell>
          <cell r="J222" t="str">
            <v>Supe toll</v>
          </cell>
          <cell r="K222" t="str">
            <v>Ahmednagar</v>
          </cell>
          <cell r="L222" t="str">
            <v>D1</v>
          </cell>
          <cell r="M222" t="str">
            <v>NH-753F</v>
          </cell>
          <cell r="O222" t="str">
            <v>A</v>
          </cell>
          <cell r="P222">
            <v>38.5</v>
          </cell>
          <cell r="Q222">
            <v>500.5</v>
          </cell>
          <cell r="R222">
            <v>38</v>
          </cell>
          <cell r="S222">
            <v>354</v>
          </cell>
          <cell r="T222">
            <v>0.5</v>
          </cell>
          <cell r="U222">
            <v>146.5</v>
          </cell>
          <cell r="V222">
            <v>69</v>
          </cell>
          <cell r="W222">
            <v>886</v>
          </cell>
          <cell r="X222">
            <v>73</v>
          </cell>
          <cell r="Y222">
            <v>721</v>
          </cell>
          <cell r="Z222">
            <v>-4</v>
          </cell>
          <cell r="AA222">
            <v>165</v>
          </cell>
          <cell r="AB222">
            <v>539</v>
          </cell>
          <cell r="AC222">
            <v>392</v>
          </cell>
          <cell r="AD222">
            <v>147</v>
          </cell>
          <cell r="AE222">
            <v>955</v>
          </cell>
          <cell r="AF222">
            <v>794</v>
          </cell>
          <cell r="AG222">
            <v>161</v>
          </cell>
        </row>
        <row r="223">
          <cell r="C223">
            <v>179337</v>
          </cell>
          <cell r="D223" t="str">
            <v>VISHAL FUEL STATION</v>
          </cell>
          <cell r="E223" t="str">
            <v>BPCL</v>
          </cell>
          <cell r="F223" t="str">
            <v>2012-13</v>
          </cell>
          <cell r="G223" t="str">
            <v>Ahmednagar West RSA</v>
          </cell>
          <cell r="J223" t="str">
            <v>ARANGAON</v>
          </cell>
          <cell r="K223" t="str">
            <v>Ahmednagar</v>
          </cell>
          <cell r="L223" t="str">
            <v>D1</v>
          </cell>
          <cell r="M223" t="str">
            <v>NH-160</v>
          </cell>
          <cell r="O223" t="str">
            <v>B</v>
          </cell>
          <cell r="P223">
            <v>50</v>
          </cell>
          <cell r="Q223">
            <v>296</v>
          </cell>
          <cell r="R223">
            <v>50</v>
          </cell>
          <cell r="S223">
            <v>290</v>
          </cell>
          <cell r="T223">
            <v>0</v>
          </cell>
          <cell r="U223">
            <v>6</v>
          </cell>
          <cell r="V223">
            <v>89</v>
          </cell>
          <cell r="W223">
            <v>485</v>
          </cell>
          <cell r="X223">
            <v>98</v>
          </cell>
          <cell r="Y223">
            <v>634</v>
          </cell>
          <cell r="Z223">
            <v>-9</v>
          </cell>
          <cell r="AA223">
            <v>-149</v>
          </cell>
          <cell r="AB223">
            <v>346</v>
          </cell>
          <cell r="AC223">
            <v>340</v>
          </cell>
          <cell r="AD223">
            <v>6</v>
          </cell>
          <cell r="AE223">
            <v>574</v>
          </cell>
          <cell r="AF223">
            <v>732</v>
          </cell>
          <cell r="AG223">
            <v>-158</v>
          </cell>
        </row>
        <row r="224">
          <cell r="C224">
            <v>179338</v>
          </cell>
          <cell r="D224" t="str">
            <v>KUNDAN PETROLEUM</v>
          </cell>
          <cell r="E224" t="str">
            <v>BPCL</v>
          </cell>
          <cell r="F224" t="str">
            <v>2012-13</v>
          </cell>
          <cell r="G224" t="str">
            <v>Shirdi RSA</v>
          </cell>
          <cell r="J224" t="str">
            <v>RAHATA</v>
          </cell>
          <cell r="K224" t="str">
            <v>Ahmednagar</v>
          </cell>
          <cell r="L224" t="str">
            <v>D1</v>
          </cell>
          <cell r="M224" t="str">
            <v>NH-160</v>
          </cell>
          <cell r="O224" t="str">
            <v>B</v>
          </cell>
          <cell r="P224">
            <v>48</v>
          </cell>
          <cell r="Q224">
            <v>60</v>
          </cell>
          <cell r="R224">
            <v>48</v>
          </cell>
          <cell r="S224">
            <v>48</v>
          </cell>
          <cell r="T224">
            <v>0</v>
          </cell>
          <cell r="U224">
            <v>12</v>
          </cell>
          <cell r="V224">
            <v>78</v>
          </cell>
          <cell r="W224">
            <v>90</v>
          </cell>
          <cell r="X224">
            <v>80</v>
          </cell>
          <cell r="Y224">
            <v>80</v>
          </cell>
          <cell r="Z224">
            <v>-2</v>
          </cell>
          <cell r="AA224">
            <v>10</v>
          </cell>
          <cell r="AB224">
            <v>108</v>
          </cell>
          <cell r="AC224">
            <v>96</v>
          </cell>
          <cell r="AD224">
            <v>12</v>
          </cell>
          <cell r="AE224">
            <v>168</v>
          </cell>
          <cell r="AF224">
            <v>160</v>
          </cell>
          <cell r="AG224">
            <v>8</v>
          </cell>
        </row>
        <row r="225">
          <cell r="C225">
            <v>179606</v>
          </cell>
          <cell r="D225" t="str">
            <v>Shree Ganesha Petroleum</v>
          </cell>
          <cell r="E225" t="str">
            <v>BPCL</v>
          </cell>
          <cell r="F225" t="str">
            <v>2012-13</v>
          </cell>
          <cell r="G225" t="str">
            <v>Pune Wagholi RSA</v>
          </cell>
          <cell r="J225" t="str">
            <v>Ranjangaon RHS</v>
          </cell>
          <cell r="K225" t="str">
            <v>Pune</v>
          </cell>
          <cell r="L225" t="str">
            <v>D1</v>
          </cell>
          <cell r="M225" t="str">
            <v>NH-753F</v>
          </cell>
          <cell r="O225" t="str">
            <v>A</v>
          </cell>
          <cell r="P225">
            <v>40</v>
          </cell>
          <cell r="Q225">
            <v>408</v>
          </cell>
          <cell r="R225">
            <v>40</v>
          </cell>
          <cell r="S225">
            <v>442</v>
          </cell>
          <cell r="T225">
            <v>0</v>
          </cell>
          <cell r="U225">
            <v>-34</v>
          </cell>
          <cell r="V225">
            <v>80</v>
          </cell>
          <cell r="W225">
            <v>852</v>
          </cell>
          <cell r="X225">
            <v>80</v>
          </cell>
          <cell r="Y225">
            <v>884</v>
          </cell>
          <cell r="Z225">
            <v>0</v>
          </cell>
          <cell r="AA225">
            <v>-32</v>
          </cell>
          <cell r="AB225">
            <v>448</v>
          </cell>
          <cell r="AC225">
            <v>482</v>
          </cell>
          <cell r="AD225">
            <v>-34</v>
          </cell>
          <cell r="AE225">
            <v>932</v>
          </cell>
          <cell r="AF225">
            <v>964</v>
          </cell>
          <cell r="AG225">
            <v>-32</v>
          </cell>
        </row>
        <row r="226">
          <cell r="C226">
            <v>179623</v>
          </cell>
          <cell r="D226" t="str">
            <v>Kunal Autolines</v>
          </cell>
          <cell r="E226" t="str">
            <v>BPCL</v>
          </cell>
          <cell r="F226" t="str">
            <v>2012-13</v>
          </cell>
          <cell r="G226" t="str">
            <v>Pune Saswad RSA</v>
          </cell>
          <cell r="J226" t="str">
            <v>JUNCTION</v>
          </cell>
          <cell r="K226" t="str">
            <v>Pune</v>
          </cell>
          <cell r="L226" t="str">
            <v>D1</v>
          </cell>
          <cell r="M226" t="str">
            <v>NH-965G</v>
          </cell>
          <cell r="O226" t="str">
            <v>A</v>
          </cell>
          <cell r="P226">
            <v>20</v>
          </cell>
          <cell r="Q226">
            <v>92</v>
          </cell>
          <cell r="R226">
            <v>20</v>
          </cell>
          <cell r="S226">
            <v>36</v>
          </cell>
          <cell r="T226">
            <v>0</v>
          </cell>
          <cell r="U226">
            <v>56</v>
          </cell>
          <cell r="V226">
            <v>40</v>
          </cell>
          <cell r="W226">
            <v>156</v>
          </cell>
          <cell r="X226">
            <v>35</v>
          </cell>
          <cell r="Y226">
            <v>63</v>
          </cell>
          <cell r="Z226">
            <v>5</v>
          </cell>
          <cell r="AA226">
            <v>93</v>
          </cell>
          <cell r="AB226">
            <v>112</v>
          </cell>
          <cell r="AC226">
            <v>56</v>
          </cell>
          <cell r="AD226">
            <v>56</v>
          </cell>
          <cell r="AE226">
            <v>196</v>
          </cell>
          <cell r="AF226">
            <v>98</v>
          </cell>
          <cell r="AG226">
            <v>98</v>
          </cell>
        </row>
        <row r="227">
          <cell r="C227">
            <v>179631</v>
          </cell>
          <cell r="D227" t="str">
            <v>Gholap Petroluem</v>
          </cell>
          <cell r="E227" t="str">
            <v>BPCL</v>
          </cell>
          <cell r="F227" t="str">
            <v>2012-13</v>
          </cell>
          <cell r="G227" t="str">
            <v>Pune Tathawade RSA</v>
          </cell>
          <cell r="J227" t="str">
            <v>BARAMATI INDAPUR ROAD</v>
          </cell>
          <cell r="K227" t="str">
            <v>Pune</v>
          </cell>
          <cell r="L227" t="str">
            <v>D1</v>
          </cell>
          <cell r="M227" t="str">
            <v>NH-965G</v>
          </cell>
          <cell r="O227" t="str">
            <v>A</v>
          </cell>
          <cell r="P227">
            <v>25</v>
          </cell>
          <cell r="Q227">
            <v>29</v>
          </cell>
          <cell r="R227">
            <v>24</v>
          </cell>
          <cell r="S227">
            <v>32</v>
          </cell>
          <cell r="T227">
            <v>1</v>
          </cell>
          <cell r="U227">
            <v>-3</v>
          </cell>
          <cell r="V227">
            <v>49</v>
          </cell>
          <cell r="W227">
            <v>53</v>
          </cell>
          <cell r="X227">
            <v>47</v>
          </cell>
          <cell r="Y227">
            <v>51</v>
          </cell>
          <cell r="Z227">
            <v>2</v>
          </cell>
          <cell r="AA227">
            <v>2</v>
          </cell>
          <cell r="AB227">
            <v>54</v>
          </cell>
          <cell r="AC227">
            <v>56</v>
          </cell>
          <cell r="AD227">
            <v>-2</v>
          </cell>
          <cell r="AE227">
            <v>102</v>
          </cell>
          <cell r="AF227">
            <v>98</v>
          </cell>
          <cell r="AG227">
            <v>4</v>
          </cell>
        </row>
        <row r="228">
          <cell r="C228">
            <v>180047</v>
          </cell>
          <cell r="D228" t="str">
            <v>SHIVRAJ PETROLEUM</v>
          </cell>
          <cell r="E228" t="str">
            <v>BPCL</v>
          </cell>
          <cell r="F228" t="str">
            <v>2012-13</v>
          </cell>
          <cell r="G228" t="str">
            <v>Satara East RSA</v>
          </cell>
          <cell r="J228" t="str">
            <v>Kolewadi to Dhebewadi</v>
          </cell>
          <cell r="K228" t="str">
            <v>Satara</v>
          </cell>
          <cell r="L228" t="str">
            <v>D1</v>
          </cell>
          <cell r="M228" t="str">
            <v>NH-965</v>
          </cell>
          <cell r="O228" t="str">
            <v>B</v>
          </cell>
          <cell r="P228">
            <v>51</v>
          </cell>
          <cell r="Q228">
            <v>273</v>
          </cell>
          <cell r="R228">
            <v>39</v>
          </cell>
          <cell r="S228">
            <v>93</v>
          </cell>
          <cell r="T228">
            <v>12</v>
          </cell>
          <cell r="U228">
            <v>180</v>
          </cell>
          <cell r="V228">
            <v>96</v>
          </cell>
          <cell r="W228">
            <v>492</v>
          </cell>
          <cell r="X228">
            <v>74</v>
          </cell>
          <cell r="Y228">
            <v>174</v>
          </cell>
          <cell r="Z228">
            <v>22</v>
          </cell>
          <cell r="AA228">
            <v>318</v>
          </cell>
          <cell r="AB228">
            <v>324</v>
          </cell>
          <cell r="AC228">
            <v>132</v>
          </cell>
          <cell r="AD228">
            <v>192</v>
          </cell>
          <cell r="AE228">
            <v>588</v>
          </cell>
          <cell r="AF228">
            <v>248</v>
          </cell>
          <cell r="AG228">
            <v>340</v>
          </cell>
        </row>
        <row r="229">
          <cell r="C229">
            <v>180053</v>
          </cell>
          <cell r="D229" t="str">
            <v>YASHRAJ PETROLEUM</v>
          </cell>
          <cell r="E229" t="str">
            <v>BPCL</v>
          </cell>
          <cell r="F229" t="str">
            <v>2012-13</v>
          </cell>
          <cell r="G229" t="str">
            <v>Pune Saswad RSA</v>
          </cell>
          <cell r="J229" t="str">
            <v>Junction-Nimgaon Ketki Raod</v>
          </cell>
          <cell r="K229" t="str">
            <v>Pune</v>
          </cell>
          <cell r="L229" t="str">
            <v>D1</v>
          </cell>
          <cell r="M229" t="str">
            <v>NH-965G</v>
          </cell>
          <cell r="O229" t="str">
            <v>A</v>
          </cell>
          <cell r="P229">
            <v>36</v>
          </cell>
          <cell r="Q229">
            <v>96</v>
          </cell>
          <cell r="R229">
            <v>36</v>
          </cell>
          <cell r="S229">
            <v>84</v>
          </cell>
          <cell r="T229">
            <v>0</v>
          </cell>
          <cell r="U229">
            <v>12</v>
          </cell>
          <cell r="V229">
            <v>69</v>
          </cell>
          <cell r="W229">
            <v>183</v>
          </cell>
          <cell r="X229">
            <v>66</v>
          </cell>
          <cell r="Y229">
            <v>150</v>
          </cell>
          <cell r="Z229">
            <v>3</v>
          </cell>
          <cell r="AA229">
            <v>33</v>
          </cell>
          <cell r="AB229">
            <v>132</v>
          </cell>
          <cell r="AC229">
            <v>120</v>
          </cell>
          <cell r="AD229">
            <v>12</v>
          </cell>
          <cell r="AE229">
            <v>252</v>
          </cell>
          <cell r="AF229">
            <v>216</v>
          </cell>
          <cell r="AG229">
            <v>36</v>
          </cell>
        </row>
        <row r="230">
          <cell r="C230">
            <v>180054</v>
          </cell>
          <cell r="D230" t="str">
            <v>SAI SIDDHI PETROLEUM</v>
          </cell>
          <cell r="E230" t="str">
            <v>BPCL</v>
          </cell>
          <cell r="F230" t="str">
            <v>2012-13</v>
          </cell>
          <cell r="G230" t="str">
            <v>Shirdi RSA</v>
          </cell>
          <cell r="J230" t="str">
            <v>TALEGAON SANGAMNER NH</v>
          </cell>
          <cell r="K230" t="str">
            <v>Ahmednagar</v>
          </cell>
          <cell r="L230" t="str">
            <v>D2</v>
          </cell>
          <cell r="O230" t="str">
            <v>A</v>
          </cell>
          <cell r="P230">
            <v>0</v>
          </cell>
          <cell r="Q230">
            <v>0</v>
          </cell>
          <cell r="R230">
            <v>37</v>
          </cell>
          <cell r="S230">
            <v>115</v>
          </cell>
          <cell r="T230">
            <v>-37</v>
          </cell>
          <cell r="U230">
            <v>-115</v>
          </cell>
          <cell r="V230">
            <v>15</v>
          </cell>
          <cell r="W230">
            <v>45</v>
          </cell>
          <cell r="X230">
            <v>56</v>
          </cell>
          <cell r="Y230">
            <v>172</v>
          </cell>
          <cell r="Z230">
            <v>-41</v>
          </cell>
          <cell r="AA230">
            <v>-127</v>
          </cell>
          <cell r="AB230">
            <v>0</v>
          </cell>
          <cell r="AC230">
            <v>152</v>
          </cell>
          <cell r="AD230">
            <v>-152</v>
          </cell>
          <cell r="AE230">
            <v>60</v>
          </cell>
          <cell r="AF230">
            <v>228</v>
          </cell>
          <cell r="AG230">
            <v>-168</v>
          </cell>
        </row>
        <row r="231">
          <cell r="C231">
            <v>180055</v>
          </cell>
          <cell r="D231" t="str">
            <v>YADRUCCHA PETROLEUM</v>
          </cell>
          <cell r="E231" t="str">
            <v>BPCL</v>
          </cell>
          <cell r="F231" t="str">
            <v>2012-13</v>
          </cell>
          <cell r="G231" t="str">
            <v>Shirdi RSA</v>
          </cell>
          <cell r="J231" t="str">
            <v>TALEGAON SANGAMNER SH</v>
          </cell>
          <cell r="K231" t="str">
            <v>Ahmednagar</v>
          </cell>
          <cell r="L231" t="str">
            <v>D2</v>
          </cell>
          <cell r="O231" t="str">
            <v>B</v>
          </cell>
          <cell r="P231">
            <v>37</v>
          </cell>
          <cell r="Q231">
            <v>85</v>
          </cell>
          <cell r="R231">
            <v>38</v>
          </cell>
          <cell r="S231">
            <v>114</v>
          </cell>
          <cell r="T231">
            <v>-1</v>
          </cell>
          <cell r="U231">
            <v>-29</v>
          </cell>
          <cell r="V231">
            <v>73</v>
          </cell>
          <cell r="W231">
            <v>157</v>
          </cell>
          <cell r="X231">
            <v>71</v>
          </cell>
          <cell r="Y231">
            <v>213</v>
          </cell>
          <cell r="Z231">
            <v>2</v>
          </cell>
          <cell r="AA231">
            <v>-56</v>
          </cell>
          <cell r="AB231">
            <v>122</v>
          </cell>
          <cell r="AC231">
            <v>152</v>
          </cell>
          <cell r="AD231">
            <v>-30</v>
          </cell>
          <cell r="AE231">
            <v>230</v>
          </cell>
          <cell r="AF231">
            <v>284</v>
          </cell>
          <cell r="AG231">
            <v>-54</v>
          </cell>
        </row>
        <row r="232">
          <cell r="C232">
            <v>180190</v>
          </cell>
          <cell r="D232" t="str">
            <v>SAHYADRI FUEL STATION</v>
          </cell>
          <cell r="E232" t="str">
            <v>BPCL</v>
          </cell>
          <cell r="F232" t="str">
            <v>2013-14</v>
          </cell>
          <cell r="G232" t="str">
            <v>Ahmednagar West RSA</v>
          </cell>
          <cell r="J232" t="str">
            <v>KHARDA</v>
          </cell>
          <cell r="K232" t="str">
            <v>Ahmednagar</v>
          </cell>
          <cell r="L232" t="str">
            <v>D2</v>
          </cell>
          <cell r="O232" t="str">
            <v>B</v>
          </cell>
          <cell r="P232">
            <v>35</v>
          </cell>
          <cell r="Q232">
            <v>105</v>
          </cell>
          <cell r="R232">
            <v>37</v>
          </cell>
          <cell r="S232">
            <v>119</v>
          </cell>
          <cell r="T232">
            <v>-2</v>
          </cell>
          <cell r="U232">
            <v>-14</v>
          </cell>
          <cell r="V232">
            <v>71.5</v>
          </cell>
          <cell r="W232">
            <v>214.5</v>
          </cell>
          <cell r="X232">
            <v>69</v>
          </cell>
          <cell r="Y232">
            <v>227</v>
          </cell>
          <cell r="Z232">
            <v>2.5</v>
          </cell>
          <cell r="AA232">
            <v>-12.5</v>
          </cell>
          <cell r="AB232">
            <v>140</v>
          </cell>
          <cell r="AC232">
            <v>156</v>
          </cell>
          <cell r="AD232">
            <v>-16</v>
          </cell>
          <cell r="AE232">
            <v>286</v>
          </cell>
          <cell r="AF232">
            <v>296</v>
          </cell>
          <cell r="AG232">
            <v>-10</v>
          </cell>
        </row>
        <row r="233">
          <cell r="C233">
            <v>180191</v>
          </cell>
          <cell r="D233" t="str">
            <v>Banbro Metal Pvt.Ltd</v>
          </cell>
          <cell r="E233" t="str">
            <v>BPCL</v>
          </cell>
          <cell r="F233" t="str">
            <v>2021-22</v>
          </cell>
          <cell r="G233" t="str">
            <v>Ahmednagar East RSA</v>
          </cell>
          <cell r="J233" t="str">
            <v>MIDC Nagapur</v>
          </cell>
          <cell r="K233" t="str">
            <v>Ahmednagar</v>
          </cell>
          <cell r="L233" t="str">
            <v>C</v>
          </cell>
          <cell r="O233" t="str">
            <v>A</v>
          </cell>
          <cell r="P233">
            <v>131</v>
          </cell>
          <cell r="Q233">
            <v>258</v>
          </cell>
          <cell r="R233">
            <v>133</v>
          </cell>
          <cell r="S233">
            <v>218</v>
          </cell>
          <cell r="T233">
            <v>-2</v>
          </cell>
          <cell r="U233">
            <v>40</v>
          </cell>
          <cell r="V233">
            <v>249</v>
          </cell>
          <cell r="W233">
            <v>466</v>
          </cell>
          <cell r="X233">
            <v>254</v>
          </cell>
          <cell r="Y233">
            <v>437</v>
          </cell>
          <cell r="Z233">
            <v>-5</v>
          </cell>
          <cell r="AA233">
            <v>29</v>
          </cell>
          <cell r="AB233">
            <v>389</v>
          </cell>
          <cell r="AC233">
            <v>351</v>
          </cell>
          <cell r="AD233">
            <v>38</v>
          </cell>
          <cell r="AE233">
            <v>715</v>
          </cell>
          <cell r="AF233">
            <v>691</v>
          </cell>
          <cell r="AG233">
            <v>24</v>
          </cell>
        </row>
        <row r="234">
          <cell r="C234">
            <v>180192</v>
          </cell>
          <cell r="D234" t="str">
            <v>Chaitanya Petroleum</v>
          </cell>
          <cell r="E234" t="str">
            <v>BPCL</v>
          </cell>
          <cell r="F234" t="str">
            <v>2016-17</v>
          </cell>
          <cell r="G234" t="str">
            <v>Shirdi RSA</v>
          </cell>
          <cell r="J234" t="str">
            <v>MIDC SANGAMNER</v>
          </cell>
          <cell r="K234" t="str">
            <v>Ahmednagar</v>
          </cell>
          <cell r="L234" t="str">
            <v>D1</v>
          </cell>
          <cell r="M234" t="str">
            <v>NH-60</v>
          </cell>
          <cell r="O234" t="str">
            <v>B</v>
          </cell>
          <cell r="P234">
            <v>84</v>
          </cell>
          <cell r="Q234">
            <v>408</v>
          </cell>
          <cell r="R234">
            <v>68</v>
          </cell>
          <cell r="S234">
            <v>216</v>
          </cell>
          <cell r="T234">
            <v>16</v>
          </cell>
          <cell r="U234">
            <v>192</v>
          </cell>
          <cell r="V234">
            <v>153</v>
          </cell>
          <cell r="W234">
            <v>843</v>
          </cell>
          <cell r="X234">
            <v>132</v>
          </cell>
          <cell r="Y234">
            <v>420</v>
          </cell>
          <cell r="Z234">
            <v>21</v>
          </cell>
          <cell r="AA234">
            <v>423</v>
          </cell>
          <cell r="AB234">
            <v>492</v>
          </cell>
          <cell r="AC234">
            <v>284</v>
          </cell>
          <cell r="AD234">
            <v>208</v>
          </cell>
          <cell r="AE234">
            <v>996</v>
          </cell>
          <cell r="AF234">
            <v>552</v>
          </cell>
          <cell r="AG234">
            <v>444</v>
          </cell>
        </row>
        <row r="235">
          <cell r="C235">
            <v>180232</v>
          </cell>
          <cell r="D235" t="str">
            <v>Laxminarayan Petroi Pump</v>
          </cell>
          <cell r="E235" t="str">
            <v>BPCL</v>
          </cell>
          <cell r="F235" t="str">
            <v>2013-14</v>
          </cell>
          <cell r="G235" t="str">
            <v>Shirdi RSA</v>
          </cell>
          <cell r="J235" t="str">
            <v>KHOKAR-BHOKAR</v>
          </cell>
          <cell r="K235" t="str">
            <v>Ahmednagar</v>
          </cell>
          <cell r="L235" t="str">
            <v>D2</v>
          </cell>
          <cell r="O235" t="str">
            <v>B</v>
          </cell>
          <cell r="P235">
            <v>28</v>
          </cell>
          <cell r="Q235">
            <v>84</v>
          </cell>
          <cell r="R235">
            <v>42</v>
          </cell>
          <cell r="S235">
            <v>66</v>
          </cell>
          <cell r="T235">
            <v>-14</v>
          </cell>
          <cell r="U235">
            <v>18</v>
          </cell>
          <cell r="V235">
            <v>59</v>
          </cell>
          <cell r="W235">
            <v>145</v>
          </cell>
          <cell r="X235">
            <v>69</v>
          </cell>
          <cell r="Y235">
            <v>111</v>
          </cell>
          <cell r="Z235">
            <v>-10</v>
          </cell>
          <cell r="AA235">
            <v>34</v>
          </cell>
          <cell r="AB235">
            <v>112</v>
          </cell>
          <cell r="AC235">
            <v>108</v>
          </cell>
          <cell r="AD235">
            <v>4</v>
          </cell>
          <cell r="AE235">
            <v>204</v>
          </cell>
          <cell r="AF235">
            <v>180</v>
          </cell>
          <cell r="AG235">
            <v>24</v>
          </cell>
        </row>
        <row r="236">
          <cell r="C236">
            <v>180281</v>
          </cell>
          <cell r="D236" t="str">
            <v>Govind Fuel Station</v>
          </cell>
          <cell r="E236" t="str">
            <v>BPCL</v>
          </cell>
          <cell r="F236" t="str">
            <v>2013-14</v>
          </cell>
          <cell r="G236" t="str">
            <v>Shirdi RSA</v>
          </cell>
          <cell r="J236" t="str">
            <v>NIMGAON JALI</v>
          </cell>
          <cell r="K236" t="str">
            <v>Ahmednagar</v>
          </cell>
          <cell r="L236" t="str">
            <v>D2</v>
          </cell>
          <cell r="O236" t="str">
            <v>B</v>
          </cell>
          <cell r="P236">
            <v>33</v>
          </cell>
          <cell r="Q236">
            <v>84</v>
          </cell>
          <cell r="R236">
            <v>25</v>
          </cell>
          <cell r="S236">
            <v>61</v>
          </cell>
          <cell r="T236">
            <v>8</v>
          </cell>
          <cell r="U236">
            <v>23</v>
          </cell>
          <cell r="V236">
            <v>54.5</v>
          </cell>
          <cell r="W236">
            <v>136.5</v>
          </cell>
          <cell r="X236">
            <v>42</v>
          </cell>
          <cell r="Y236">
            <v>125</v>
          </cell>
          <cell r="Z236">
            <v>12.5</v>
          </cell>
          <cell r="AA236">
            <v>11.5</v>
          </cell>
          <cell r="AB236">
            <v>117</v>
          </cell>
          <cell r="AC236">
            <v>86</v>
          </cell>
          <cell r="AD236">
            <v>31</v>
          </cell>
          <cell r="AE236">
            <v>191</v>
          </cell>
          <cell r="AF236">
            <v>167</v>
          </cell>
          <cell r="AG236">
            <v>24</v>
          </cell>
        </row>
        <row r="237">
          <cell r="C237">
            <v>180357</v>
          </cell>
          <cell r="D237" t="str">
            <v>HARIOM PETROLEUM</v>
          </cell>
          <cell r="E237" t="str">
            <v>BPCL</v>
          </cell>
          <cell r="F237" t="str">
            <v>2012-13</v>
          </cell>
          <cell r="G237" t="str">
            <v>Satara West RSA</v>
          </cell>
          <cell r="J237" t="str">
            <v>Khandala to Shirwal</v>
          </cell>
          <cell r="K237" t="str">
            <v>Satara</v>
          </cell>
          <cell r="L237" t="str">
            <v>D1</v>
          </cell>
          <cell r="M237" t="str">
            <v>NH-48</v>
          </cell>
          <cell r="O237" t="str">
            <v>A</v>
          </cell>
          <cell r="P237">
            <v>110</v>
          </cell>
          <cell r="Q237">
            <v>350</v>
          </cell>
          <cell r="R237">
            <v>95</v>
          </cell>
          <cell r="S237">
            <v>305</v>
          </cell>
          <cell r="T237">
            <v>15</v>
          </cell>
          <cell r="U237">
            <v>45</v>
          </cell>
          <cell r="V237">
            <v>200</v>
          </cell>
          <cell r="W237">
            <v>720</v>
          </cell>
          <cell r="X237">
            <v>170</v>
          </cell>
          <cell r="Y237">
            <v>632</v>
          </cell>
          <cell r="Z237">
            <v>30</v>
          </cell>
          <cell r="AA237">
            <v>88</v>
          </cell>
          <cell r="AB237">
            <v>460</v>
          </cell>
          <cell r="AC237">
            <v>400</v>
          </cell>
          <cell r="AD237">
            <v>60</v>
          </cell>
          <cell r="AE237">
            <v>920</v>
          </cell>
          <cell r="AF237">
            <v>802</v>
          </cell>
          <cell r="AG237">
            <v>118</v>
          </cell>
        </row>
        <row r="238">
          <cell r="C238">
            <v>180369</v>
          </cell>
          <cell r="D238" t="str">
            <v>Vittal Balaji Dherange &amp; Co.</v>
          </cell>
          <cell r="E238" t="str">
            <v>BPCL</v>
          </cell>
          <cell r="F238" t="str">
            <v>2014-15</v>
          </cell>
          <cell r="G238" t="str">
            <v>Shirdi RSA</v>
          </cell>
          <cell r="J238" t="str">
            <v>SANGAMNER KHURD ON NH</v>
          </cell>
          <cell r="K238" t="str">
            <v>Ahmednagar</v>
          </cell>
          <cell r="L238" t="str">
            <v>D1</v>
          </cell>
          <cell r="M238" t="str">
            <v>NH-60</v>
          </cell>
          <cell r="O238" t="str">
            <v>B</v>
          </cell>
          <cell r="P238">
            <v>85</v>
          </cell>
          <cell r="Q238">
            <v>195</v>
          </cell>
          <cell r="R238">
            <v>80</v>
          </cell>
          <cell r="S238">
            <v>160</v>
          </cell>
          <cell r="T238">
            <v>5</v>
          </cell>
          <cell r="U238">
            <v>35</v>
          </cell>
          <cell r="V238">
            <v>171</v>
          </cell>
          <cell r="W238">
            <v>393</v>
          </cell>
          <cell r="X238">
            <v>145</v>
          </cell>
          <cell r="Y238">
            <v>295</v>
          </cell>
          <cell r="Z238">
            <v>26</v>
          </cell>
          <cell r="AA238">
            <v>98</v>
          </cell>
          <cell r="AB238">
            <v>280</v>
          </cell>
          <cell r="AC238">
            <v>240</v>
          </cell>
          <cell r="AD238">
            <v>40</v>
          </cell>
          <cell r="AE238">
            <v>564</v>
          </cell>
          <cell r="AF238">
            <v>440</v>
          </cell>
          <cell r="AG238">
            <v>124</v>
          </cell>
        </row>
        <row r="239">
          <cell r="C239">
            <v>180422</v>
          </cell>
          <cell r="D239" t="str">
            <v>MAG PETROLEUM</v>
          </cell>
          <cell r="E239" t="str">
            <v>BPCL</v>
          </cell>
          <cell r="F239" t="str">
            <v>2012-13</v>
          </cell>
          <cell r="G239" t="str">
            <v>Satara East RSA</v>
          </cell>
          <cell r="J239" t="str">
            <v>KHOJEWADI</v>
          </cell>
          <cell r="K239" t="str">
            <v>Satara</v>
          </cell>
          <cell r="L239" t="str">
            <v>D1</v>
          </cell>
          <cell r="M239" t="str">
            <v>NH-965</v>
          </cell>
          <cell r="O239" t="str">
            <v>A</v>
          </cell>
          <cell r="P239">
            <v>39</v>
          </cell>
          <cell r="Q239">
            <v>69</v>
          </cell>
          <cell r="R239">
            <v>27</v>
          </cell>
          <cell r="S239">
            <v>33</v>
          </cell>
          <cell r="T239">
            <v>12</v>
          </cell>
          <cell r="U239">
            <v>36</v>
          </cell>
          <cell r="V239">
            <v>75</v>
          </cell>
          <cell r="W239">
            <v>141</v>
          </cell>
          <cell r="X239">
            <v>51</v>
          </cell>
          <cell r="Y239">
            <v>69</v>
          </cell>
          <cell r="Z239">
            <v>24</v>
          </cell>
          <cell r="AA239">
            <v>72</v>
          </cell>
          <cell r="AB239">
            <v>108</v>
          </cell>
          <cell r="AC239">
            <v>60</v>
          </cell>
          <cell r="AD239">
            <v>48</v>
          </cell>
          <cell r="AE239">
            <v>216</v>
          </cell>
          <cell r="AF239">
            <v>120</v>
          </cell>
          <cell r="AG239">
            <v>96</v>
          </cell>
        </row>
        <row r="240">
          <cell r="C240">
            <v>180429</v>
          </cell>
          <cell r="D240" t="str">
            <v>REKHA PETROLEUM</v>
          </cell>
          <cell r="E240" t="str">
            <v>BPCL</v>
          </cell>
          <cell r="F240" t="str">
            <v>2012-13</v>
          </cell>
          <cell r="G240" t="str">
            <v>Satara East RSA</v>
          </cell>
          <cell r="J240" t="str">
            <v>Bhuinj to Khandala</v>
          </cell>
          <cell r="K240" t="str">
            <v>Satara</v>
          </cell>
          <cell r="L240" t="str">
            <v>E</v>
          </cell>
          <cell r="O240" t="str">
            <v>B</v>
          </cell>
          <cell r="P240">
            <v>66</v>
          </cell>
          <cell r="Q240">
            <v>94</v>
          </cell>
          <cell r="R240">
            <v>44</v>
          </cell>
          <cell r="S240">
            <v>52</v>
          </cell>
          <cell r="T240">
            <v>22</v>
          </cell>
          <cell r="U240">
            <v>42</v>
          </cell>
          <cell r="V240">
            <v>117</v>
          </cell>
          <cell r="W240">
            <v>163</v>
          </cell>
          <cell r="X240">
            <v>87</v>
          </cell>
          <cell r="Y240">
            <v>117</v>
          </cell>
          <cell r="Z240">
            <v>30</v>
          </cell>
          <cell r="AA240">
            <v>46</v>
          </cell>
          <cell r="AB240">
            <v>160</v>
          </cell>
          <cell r="AC240">
            <v>96</v>
          </cell>
          <cell r="AD240">
            <v>64</v>
          </cell>
          <cell r="AE240">
            <v>280</v>
          </cell>
          <cell r="AF240">
            <v>204</v>
          </cell>
          <cell r="AG240">
            <v>76</v>
          </cell>
        </row>
        <row r="241">
          <cell r="C241">
            <v>180498</v>
          </cell>
          <cell r="D241" t="str">
            <v>SONAWANE PETROLEUM</v>
          </cell>
          <cell r="E241" t="str">
            <v>BPCL</v>
          </cell>
          <cell r="F241" t="str">
            <v>2012-13</v>
          </cell>
          <cell r="G241" t="str">
            <v>Pune Hadapsar RSA</v>
          </cell>
          <cell r="J241" t="str">
            <v>Pilanwadi</v>
          </cell>
          <cell r="K241" t="str">
            <v>Pune</v>
          </cell>
          <cell r="L241" t="str">
            <v>D2</v>
          </cell>
          <cell r="O241" t="str">
            <v>B</v>
          </cell>
          <cell r="P241">
            <v>7</v>
          </cell>
          <cell r="Q241">
            <v>17</v>
          </cell>
          <cell r="R241">
            <v>8</v>
          </cell>
          <cell r="S241">
            <v>16</v>
          </cell>
          <cell r="T241">
            <v>-1</v>
          </cell>
          <cell r="U241">
            <v>1</v>
          </cell>
          <cell r="V241">
            <v>19</v>
          </cell>
          <cell r="W241">
            <v>41</v>
          </cell>
          <cell r="X241">
            <v>22</v>
          </cell>
          <cell r="Y241">
            <v>38</v>
          </cell>
          <cell r="Z241">
            <v>-3</v>
          </cell>
          <cell r="AA241">
            <v>3</v>
          </cell>
          <cell r="AB241">
            <v>24</v>
          </cell>
          <cell r="AC241">
            <v>24</v>
          </cell>
          <cell r="AD241">
            <v>0</v>
          </cell>
          <cell r="AE241">
            <v>60</v>
          </cell>
          <cell r="AF241">
            <v>60</v>
          </cell>
          <cell r="AG241">
            <v>0</v>
          </cell>
        </row>
        <row r="242">
          <cell r="C242">
            <v>180499</v>
          </cell>
          <cell r="D242" t="str">
            <v>DIGVIJAY PETRO</v>
          </cell>
          <cell r="E242" t="str">
            <v>BPCL</v>
          </cell>
          <cell r="F242" t="str">
            <v>2012-13</v>
          </cell>
          <cell r="G242" t="str">
            <v>Pune Tathawade RSA</v>
          </cell>
          <cell r="J242" t="str">
            <v>Nandgaon to Ghogaon</v>
          </cell>
          <cell r="K242" t="str">
            <v>Pune</v>
          </cell>
          <cell r="L242" t="str">
            <v>D1</v>
          </cell>
          <cell r="M242" t="str">
            <v>NH-160</v>
          </cell>
          <cell r="O242" t="str">
            <v>A</v>
          </cell>
          <cell r="P242">
            <v>45</v>
          </cell>
          <cell r="Q242">
            <v>95</v>
          </cell>
          <cell r="R242">
            <v>33</v>
          </cell>
          <cell r="S242">
            <v>111</v>
          </cell>
          <cell r="T242">
            <v>12</v>
          </cell>
          <cell r="U242">
            <v>-16</v>
          </cell>
          <cell r="V242">
            <v>88</v>
          </cell>
          <cell r="W242">
            <v>184</v>
          </cell>
          <cell r="X242">
            <v>78</v>
          </cell>
          <cell r="Y242">
            <v>266</v>
          </cell>
          <cell r="Z242">
            <v>10</v>
          </cell>
          <cell r="AA242">
            <v>-82</v>
          </cell>
          <cell r="AB242">
            <v>140</v>
          </cell>
          <cell r="AC242">
            <v>144</v>
          </cell>
          <cell r="AD242">
            <v>-4</v>
          </cell>
          <cell r="AE242">
            <v>272</v>
          </cell>
          <cell r="AF242">
            <v>344</v>
          </cell>
          <cell r="AG242">
            <v>-72</v>
          </cell>
        </row>
        <row r="243">
          <cell r="C243">
            <v>180500</v>
          </cell>
          <cell r="D243" t="str">
            <v>JANAI PETROLEUM</v>
          </cell>
          <cell r="E243" t="str">
            <v>BPCL</v>
          </cell>
          <cell r="F243" t="str">
            <v>2012-13</v>
          </cell>
          <cell r="G243" t="str">
            <v>Pune Tathawade RSA</v>
          </cell>
          <cell r="J243" t="str">
            <v>MORGAON-BARAMATI RD</v>
          </cell>
          <cell r="K243" t="str">
            <v>Pune</v>
          </cell>
          <cell r="L243" t="str">
            <v>D2</v>
          </cell>
          <cell r="O243" t="str">
            <v>A</v>
          </cell>
          <cell r="P243">
            <v>36</v>
          </cell>
          <cell r="Q243">
            <v>96</v>
          </cell>
          <cell r="R243">
            <v>39</v>
          </cell>
          <cell r="S243">
            <v>87</v>
          </cell>
          <cell r="T243">
            <v>-3</v>
          </cell>
          <cell r="U243">
            <v>9</v>
          </cell>
          <cell r="V243">
            <v>69</v>
          </cell>
          <cell r="W243">
            <v>171</v>
          </cell>
          <cell r="X243">
            <v>81</v>
          </cell>
          <cell r="Y243">
            <v>189</v>
          </cell>
          <cell r="Z243">
            <v>-12</v>
          </cell>
          <cell r="AA243">
            <v>-18</v>
          </cell>
          <cell r="AB243">
            <v>132</v>
          </cell>
          <cell r="AC243">
            <v>126</v>
          </cell>
          <cell r="AD243">
            <v>6</v>
          </cell>
          <cell r="AE243">
            <v>240</v>
          </cell>
          <cell r="AF243">
            <v>270</v>
          </cell>
          <cell r="AG243">
            <v>-30</v>
          </cell>
        </row>
        <row r="244">
          <cell r="C244">
            <v>180504</v>
          </cell>
          <cell r="D244" t="str">
            <v>TIRUPATI PETROLEUM</v>
          </cell>
          <cell r="E244" t="str">
            <v>BPCL</v>
          </cell>
          <cell r="F244" t="str">
            <v>2012-13</v>
          </cell>
          <cell r="G244" t="str">
            <v>Pune Saswad RSA</v>
          </cell>
          <cell r="J244" t="str">
            <v>INDAPUR</v>
          </cell>
          <cell r="K244" t="str">
            <v>Pune</v>
          </cell>
          <cell r="L244" t="str">
            <v>C</v>
          </cell>
          <cell r="O244" t="str">
            <v>A</v>
          </cell>
          <cell r="P244">
            <v>14</v>
          </cell>
          <cell r="Q244">
            <v>5</v>
          </cell>
          <cell r="R244">
            <v>19</v>
          </cell>
          <cell r="S244">
            <v>10</v>
          </cell>
          <cell r="T244">
            <v>-5</v>
          </cell>
          <cell r="U244">
            <v>-5</v>
          </cell>
          <cell r="V244">
            <v>28</v>
          </cell>
          <cell r="W244">
            <v>10</v>
          </cell>
          <cell r="X244">
            <v>43</v>
          </cell>
          <cell r="Y244">
            <v>24</v>
          </cell>
          <cell r="Z244">
            <v>-15</v>
          </cell>
          <cell r="AA244">
            <v>-14</v>
          </cell>
          <cell r="AB244">
            <v>19</v>
          </cell>
          <cell r="AC244">
            <v>29</v>
          </cell>
          <cell r="AD244">
            <v>-10</v>
          </cell>
          <cell r="AE244">
            <v>38</v>
          </cell>
          <cell r="AF244">
            <v>67</v>
          </cell>
          <cell r="AG244">
            <v>-29</v>
          </cell>
        </row>
        <row r="245">
          <cell r="C245">
            <v>180505</v>
          </cell>
          <cell r="D245" t="str">
            <v>OMKAR PETROLEUM</v>
          </cell>
          <cell r="E245" t="str">
            <v>BPCL</v>
          </cell>
          <cell r="F245" t="str">
            <v>2012-13</v>
          </cell>
          <cell r="G245" t="str">
            <v>Pune Saswad RSA</v>
          </cell>
          <cell r="J245" t="str">
            <v>WALCHANDNAGAR-BAVDA ROAD</v>
          </cell>
          <cell r="K245" t="str">
            <v>Pune</v>
          </cell>
          <cell r="L245" t="str">
            <v>D2</v>
          </cell>
          <cell r="O245" t="str">
            <v>A</v>
          </cell>
          <cell r="P245">
            <v>22</v>
          </cell>
          <cell r="Q245">
            <v>62</v>
          </cell>
          <cell r="R245">
            <v>18</v>
          </cell>
          <cell r="S245">
            <v>46</v>
          </cell>
          <cell r="T245">
            <v>4</v>
          </cell>
          <cell r="U245">
            <v>16</v>
          </cell>
          <cell r="V245">
            <v>41</v>
          </cell>
          <cell r="W245">
            <v>115</v>
          </cell>
          <cell r="X245">
            <v>39</v>
          </cell>
          <cell r="Y245">
            <v>101</v>
          </cell>
          <cell r="Z245">
            <v>2</v>
          </cell>
          <cell r="AA245">
            <v>14</v>
          </cell>
          <cell r="AB245">
            <v>84</v>
          </cell>
          <cell r="AC245">
            <v>64</v>
          </cell>
          <cell r="AD245">
            <v>20</v>
          </cell>
          <cell r="AE245">
            <v>156</v>
          </cell>
          <cell r="AF245">
            <v>140</v>
          </cell>
          <cell r="AG245">
            <v>16</v>
          </cell>
        </row>
        <row r="246">
          <cell r="C246">
            <v>180556</v>
          </cell>
          <cell r="D246" t="str">
            <v>NEELKANTH PETROLEUM</v>
          </cell>
          <cell r="E246" t="str">
            <v>BPCL</v>
          </cell>
          <cell r="F246" t="str">
            <v>2012-13</v>
          </cell>
          <cell r="G246" t="str">
            <v>Satara East RSA</v>
          </cell>
          <cell r="J246" t="str">
            <v>Karad to Masur Road</v>
          </cell>
          <cell r="K246" t="str">
            <v>Satara</v>
          </cell>
          <cell r="L246" t="str">
            <v>D1</v>
          </cell>
          <cell r="M246" t="str">
            <v>NH-160</v>
          </cell>
          <cell r="O246" t="str">
            <v>B</v>
          </cell>
          <cell r="P246">
            <v>20</v>
          </cell>
          <cell r="Q246">
            <v>460</v>
          </cell>
          <cell r="R246">
            <v>55</v>
          </cell>
          <cell r="S246">
            <v>345</v>
          </cell>
          <cell r="T246">
            <v>-35</v>
          </cell>
          <cell r="U246">
            <v>115</v>
          </cell>
          <cell r="V246">
            <v>50</v>
          </cell>
          <cell r="W246">
            <v>890</v>
          </cell>
          <cell r="X246">
            <v>100</v>
          </cell>
          <cell r="Y246">
            <v>760</v>
          </cell>
          <cell r="Z246">
            <v>-50</v>
          </cell>
          <cell r="AA246">
            <v>130</v>
          </cell>
          <cell r="AB246">
            <v>480</v>
          </cell>
          <cell r="AC246">
            <v>400</v>
          </cell>
          <cell r="AD246">
            <v>80</v>
          </cell>
          <cell r="AE246">
            <v>940</v>
          </cell>
          <cell r="AF246">
            <v>860</v>
          </cell>
          <cell r="AG246">
            <v>80</v>
          </cell>
        </row>
        <row r="247">
          <cell r="C247">
            <v>180562</v>
          </cell>
          <cell r="D247" t="str">
            <v>NANAPATIL GHOGARE FUEL STATIO</v>
          </cell>
          <cell r="E247" t="str">
            <v>BPCL</v>
          </cell>
          <cell r="F247" t="str">
            <v>2014-15</v>
          </cell>
          <cell r="G247" t="str">
            <v>Shirdi RSA</v>
          </cell>
          <cell r="J247" t="str">
            <v>LONI PRAVARA SH</v>
          </cell>
          <cell r="K247" t="str">
            <v>Ahmednagar</v>
          </cell>
          <cell r="L247" t="str">
            <v>D2</v>
          </cell>
          <cell r="O247" t="str">
            <v>B</v>
          </cell>
          <cell r="P247">
            <v>54.5</v>
          </cell>
          <cell r="Q247">
            <v>67.5</v>
          </cell>
          <cell r="R247">
            <v>60</v>
          </cell>
          <cell r="S247">
            <v>60</v>
          </cell>
          <cell r="T247">
            <v>-5.5</v>
          </cell>
          <cell r="U247">
            <v>7.5</v>
          </cell>
          <cell r="V247">
            <v>97.5</v>
          </cell>
          <cell r="W247">
            <v>116.5</v>
          </cell>
          <cell r="X247">
            <v>117</v>
          </cell>
          <cell r="Y247">
            <v>111</v>
          </cell>
          <cell r="Z247">
            <v>-19.5</v>
          </cell>
          <cell r="AA247">
            <v>5.5</v>
          </cell>
          <cell r="AB247">
            <v>122</v>
          </cell>
          <cell r="AC247">
            <v>120</v>
          </cell>
          <cell r="AD247">
            <v>2</v>
          </cell>
          <cell r="AE247">
            <v>214</v>
          </cell>
          <cell r="AF247">
            <v>228</v>
          </cell>
          <cell r="AG247">
            <v>-14</v>
          </cell>
        </row>
        <row r="248">
          <cell r="C248">
            <v>180603</v>
          </cell>
          <cell r="D248" t="str">
            <v>PATINGESHWAR PETROLEUM</v>
          </cell>
          <cell r="E248" t="str">
            <v>BPCL</v>
          </cell>
          <cell r="F248" t="str">
            <v>2014-15</v>
          </cell>
          <cell r="G248" t="str">
            <v>Shirdi RSA</v>
          </cell>
          <cell r="J248" t="str">
            <v>KALAS AKOLE</v>
          </cell>
          <cell r="K248" t="str">
            <v>Ahmednagar</v>
          </cell>
          <cell r="L248" t="str">
            <v>D2</v>
          </cell>
          <cell r="O248" t="str">
            <v>B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C249">
            <v>180664</v>
          </cell>
          <cell r="D249" t="str">
            <v>JAYANT PETROLEUM</v>
          </cell>
          <cell r="E249" t="str">
            <v>BPCL</v>
          </cell>
          <cell r="G249" t="str">
            <v>Ahmednagar West RSA</v>
          </cell>
          <cell r="J249" t="str">
            <v>Visapur</v>
          </cell>
          <cell r="K249" t="str">
            <v>Ahmednagar</v>
          </cell>
          <cell r="L249" t="str">
            <v>E</v>
          </cell>
          <cell r="O249" t="str">
            <v>B</v>
          </cell>
          <cell r="P249">
            <v>29</v>
          </cell>
          <cell r="Q249">
            <v>93</v>
          </cell>
          <cell r="R249">
            <v>16</v>
          </cell>
          <cell r="S249">
            <v>74</v>
          </cell>
          <cell r="T249">
            <v>13</v>
          </cell>
          <cell r="U249">
            <v>19</v>
          </cell>
          <cell r="V249">
            <v>50.5</v>
          </cell>
          <cell r="W249">
            <v>169.5</v>
          </cell>
          <cell r="X249">
            <v>34</v>
          </cell>
          <cell r="Y249">
            <v>180</v>
          </cell>
          <cell r="Z249">
            <v>16.5</v>
          </cell>
          <cell r="AA249">
            <v>-10.5</v>
          </cell>
          <cell r="AB249">
            <v>122</v>
          </cell>
          <cell r="AC249">
            <v>90</v>
          </cell>
          <cell r="AD249">
            <v>32</v>
          </cell>
          <cell r="AE249">
            <v>220</v>
          </cell>
          <cell r="AF249">
            <v>214</v>
          </cell>
          <cell r="AG249">
            <v>6</v>
          </cell>
        </row>
        <row r="250">
          <cell r="C250">
            <v>180738</v>
          </cell>
          <cell r="D250" t="str">
            <v>SVAYAM SIYA PETROLEUM</v>
          </cell>
          <cell r="E250" t="str">
            <v>BPCL</v>
          </cell>
          <cell r="F250" t="str">
            <v>2012-13</v>
          </cell>
          <cell r="G250" t="str">
            <v>Ahmednagar East RSA</v>
          </cell>
          <cell r="J250" t="str">
            <v>Nagar-Manmad Bypass</v>
          </cell>
          <cell r="K250" t="str">
            <v>Ahmednagar</v>
          </cell>
          <cell r="L250" t="str">
            <v>D1</v>
          </cell>
          <cell r="M250" t="str">
            <v>NH-160</v>
          </cell>
          <cell r="O250" t="str">
            <v>A</v>
          </cell>
          <cell r="P250">
            <v>8</v>
          </cell>
          <cell r="Q250">
            <v>526</v>
          </cell>
          <cell r="R250">
            <v>20</v>
          </cell>
          <cell r="S250">
            <v>514</v>
          </cell>
          <cell r="T250">
            <v>-12</v>
          </cell>
          <cell r="U250">
            <v>12</v>
          </cell>
          <cell r="V250">
            <v>20</v>
          </cell>
          <cell r="W250">
            <v>918</v>
          </cell>
          <cell r="X250">
            <v>35</v>
          </cell>
          <cell r="Y250">
            <v>1015</v>
          </cell>
          <cell r="Z250">
            <v>-15</v>
          </cell>
          <cell r="AA250">
            <v>-97</v>
          </cell>
          <cell r="AB250">
            <v>534</v>
          </cell>
          <cell r="AC250">
            <v>534</v>
          </cell>
          <cell r="AD250">
            <v>0</v>
          </cell>
          <cell r="AE250">
            <v>938</v>
          </cell>
          <cell r="AF250">
            <v>1050</v>
          </cell>
          <cell r="AG250">
            <v>-112</v>
          </cell>
        </row>
        <row r="251">
          <cell r="C251">
            <v>180780</v>
          </cell>
          <cell r="D251" t="str">
            <v>VIJAY PETROLEUM</v>
          </cell>
          <cell r="E251" t="str">
            <v>BPCL</v>
          </cell>
          <cell r="F251" t="str">
            <v>2012-13</v>
          </cell>
          <cell r="G251" t="str">
            <v>Satara West RSA</v>
          </cell>
          <cell r="J251" t="str">
            <v>Shirwal to Khandala</v>
          </cell>
          <cell r="K251" t="str">
            <v>Satara</v>
          </cell>
          <cell r="L251" t="str">
            <v>D1</v>
          </cell>
          <cell r="M251" t="str">
            <v>NH-48</v>
          </cell>
          <cell r="O251" t="str">
            <v>A</v>
          </cell>
          <cell r="P251">
            <v>18</v>
          </cell>
          <cell r="Q251">
            <v>18</v>
          </cell>
          <cell r="R251">
            <v>26</v>
          </cell>
          <cell r="S251">
            <v>26</v>
          </cell>
          <cell r="T251">
            <v>-8</v>
          </cell>
          <cell r="U251">
            <v>-8</v>
          </cell>
          <cell r="V251">
            <v>36</v>
          </cell>
          <cell r="W251">
            <v>36</v>
          </cell>
          <cell r="X251">
            <v>38</v>
          </cell>
          <cell r="Y251">
            <v>38</v>
          </cell>
          <cell r="Z251">
            <v>-2</v>
          </cell>
          <cell r="AA251">
            <v>-2</v>
          </cell>
          <cell r="AB251">
            <v>36</v>
          </cell>
          <cell r="AC251">
            <v>52</v>
          </cell>
          <cell r="AD251">
            <v>-16</v>
          </cell>
          <cell r="AE251">
            <v>72</v>
          </cell>
          <cell r="AF251">
            <v>76</v>
          </cell>
          <cell r="AG251">
            <v>-4</v>
          </cell>
        </row>
        <row r="252">
          <cell r="C252">
            <v>180797</v>
          </cell>
          <cell r="D252" t="str">
            <v>DHRUV PETROLEUM</v>
          </cell>
          <cell r="E252" t="str">
            <v>BPCL</v>
          </cell>
          <cell r="F252" t="str">
            <v>2012-13</v>
          </cell>
          <cell r="G252" t="str">
            <v>Satara West RSA</v>
          </cell>
          <cell r="J252" t="str">
            <v>ATIT TO KASHIL</v>
          </cell>
          <cell r="K252" t="str">
            <v>Satara</v>
          </cell>
          <cell r="L252" t="str">
            <v>D1</v>
          </cell>
          <cell r="M252" t="str">
            <v>NH-48</v>
          </cell>
          <cell r="O252" t="str">
            <v>A</v>
          </cell>
          <cell r="P252">
            <v>60</v>
          </cell>
          <cell r="Q252">
            <v>100</v>
          </cell>
          <cell r="R252">
            <v>65</v>
          </cell>
          <cell r="S252">
            <v>95</v>
          </cell>
          <cell r="T252">
            <v>-5</v>
          </cell>
          <cell r="U252">
            <v>5</v>
          </cell>
          <cell r="V252">
            <v>98</v>
          </cell>
          <cell r="W252">
            <v>194</v>
          </cell>
          <cell r="X252">
            <v>120</v>
          </cell>
          <cell r="Y252">
            <v>220</v>
          </cell>
          <cell r="Z252">
            <v>-22</v>
          </cell>
          <cell r="AA252">
            <v>-26</v>
          </cell>
          <cell r="AB252">
            <v>160</v>
          </cell>
          <cell r="AC252">
            <v>160</v>
          </cell>
          <cell r="AD252">
            <v>0</v>
          </cell>
          <cell r="AE252">
            <v>292</v>
          </cell>
          <cell r="AF252">
            <v>340</v>
          </cell>
          <cell r="AG252">
            <v>-48</v>
          </cell>
        </row>
        <row r="253">
          <cell r="C253">
            <v>180858</v>
          </cell>
          <cell r="D253" t="str">
            <v>J P PETROLEUM</v>
          </cell>
          <cell r="E253" t="str">
            <v>BPCL</v>
          </cell>
          <cell r="F253" t="str">
            <v>2012-13</v>
          </cell>
          <cell r="G253" t="str">
            <v>Satara East RSA</v>
          </cell>
          <cell r="J253" t="str">
            <v>Ambawade S.Wagholi</v>
          </cell>
          <cell r="K253" t="str">
            <v>Satara</v>
          </cell>
          <cell r="L253" t="str">
            <v>D1</v>
          </cell>
          <cell r="M253" t="str">
            <v>NH-965D</v>
          </cell>
          <cell r="O253" t="str">
            <v>B</v>
          </cell>
          <cell r="P253">
            <v>79</v>
          </cell>
          <cell r="Q253">
            <v>125</v>
          </cell>
          <cell r="R253">
            <v>78</v>
          </cell>
          <cell r="S253">
            <v>114</v>
          </cell>
          <cell r="T253">
            <v>1</v>
          </cell>
          <cell r="U253">
            <v>11</v>
          </cell>
          <cell r="V253">
            <v>151</v>
          </cell>
          <cell r="W253">
            <v>245</v>
          </cell>
          <cell r="X253">
            <v>144</v>
          </cell>
          <cell r="Y253">
            <v>216</v>
          </cell>
          <cell r="Z253">
            <v>7</v>
          </cell>
          <cell r="AA253">
            <v>29</v>
          </cell>
          <cell r="AB253">
            <v>204</v>
          </cell>
          <cell r="AC253">
            <v>192</v>
          </cell>
          <cell r="AD253">
            <v>12</v>
          </cell>
          <cell r="AE253">
            <v>396</v>
          </cell>
          <cell r="AF253">
            <v>360</v>
          </cell>
          <cell r="AG253">
            <v>36</v>
          </cell>
        </row>
        <row r="254">
          <cell r="C254">
            <v>181554</v>
          </cell>
          <cell r="D254" t="str">
            <v>SAYHADRI PETROLEUM</v>
          </cell>
          <cell r="E254" t="str">
            <v>BPCL</v>
          </cell>
          <cell r="F254" t="str">
            <v>2013-14</v>
          </cell>
          <cell r="G254" t="str">
            <v>Satara West RSA</v>
          </cell>
          <cell r="J254" t="str">
            <v>Kudal</v>
          </cell>
          <cell r="K254" t="str">
            <v>Satara</v>
          </cell>
          <cell r="L254" t="str">
            <v>C</v>
          </cell>
          <cell r="O254" t="str">
            <v>B</v>
          </cell>
          <cell r="P254">
            <v>60</v>
          </cell>
          <cell r="Q254">
            <v>98</v>
          </cell>
          <cell r="R254">
            <v>64</v>
          </cell>
          <cell r="S254">
            <v>78</v>
          </cell>
          <cell r="T254">
            <v>-4</v>
          </cell>
          <cell r="U254">
            <v>20</v>
          </cell>
          <cell r="V254">
            <v>105</v>
          </cell>
          <cell r="W254">
            <v>163</v>
          </cell>
          <cell r="X254">
            <v>121</v>
          </cell>
          <cell r="Y254">
            <v>155</v>
          </cell>
          <cell r="Z254">
            <v>-16</v>
          </cell>
          <cell r="AA254">
            <v>8</v>
          </cell>
          <cell r="AB254">
            <v>158</v>
          </cell>
          <cell r="AC254">
            <v>142</v>
          </cell>
          <cell r="AD254">
            <v>16</v>
          </cell>
          <cell r="AE254">
            <v>268</v>
          </cell>
          <cell r="AF254">
            <v>276</v>
          </cell>
          <cell r="AG254">
            <v>-8</v>
          </cell>
        </row>
        <row r="255">
          <cell r="C255">
            <v>181775</v>
          </cell>
          <cell r="D255" t="str">
            <v>OM PETROLEUM</v>
          </cell>
          <cell r="E255" t="str">
            <v>BPCL</v>
          </cell>
          <cell r="F255" t="str">
            <v>2013-14</v>
          </cell>
          <cell r="G255" t="str">
            <v>Pune Saswad RSA</v>
          </cell>
          <cell r="J255" t="str">
            <v>Jejuri Morgaon Road</v>
          </cell>
          <cell r="K255" t="str">
            <v>Pune</v>
          </cell>
          <cell r="L255" t="str">
            <v>D2</v>
          </cell>
          <cell r="O255" t="str">
            <v>B</v>
          </cell>
          <cell r="P255">
            <v>8</v>
          </cell>
          <cell r="Q255">
            <v>40</v>
          </cell>
          <cell r="R255">
            <v>12</v>
          </cell>
          <cell r="S255">
            <v>24</v>
          </cell>
          <cell r="T255">
            <v>-4</v>
          </cell>
          <cell r="U255">
            <v>16</v>
          </cell>
          <cell r="V255">
            <v>20</v>
          </cell>
          <cell r="W255">
            <v>76</v>
          </cell>
          <cell r="X255">
            <v>20</v>
          </cell>
          <cell r="Y255">
            <v>52</v>
          </cell>
          <cell r="Z255">
            <v>0</v>
          </cell>
          <cell r="AA255">
            <v>24</v>
          </cell>
          <cell r="AB255">
            <v>48</v>
          </cell>
          <cell r="AC255">
            <v>36</v>
          </cell>
          <cell r="AD255">
            <v>12</v>
          </cell>
          <cell r="AE255">
            <v>96</v>
          </cell>
          <cell r="AF255">
            <v>72</v>
          </cell>
          <cell r="AG255">
            <v>24</v>
          </cell>
        </row>
        <row r="256">
          <cell r="C256">
            <v>181776</v>
          </cell>
          <cell r="D256" t="str">
            <v>SHRI SWAMI SAMARTH PETROLEUM</v>
          </cell>
          <cell r="E256" t="str">
            <v>BPCL</v>
          </cell>
          <cell r="F256" t="str">
            <v>2013-14</v>
          </cell>
          <cell r="G256" t="str">
            <v>Pune Tathawade RSA</v>
          </cell>
          <cell r="J256" t="str">
            <v>Mekhali Road</v>
          </cell>
          <cell r="K256" t="str">
            <v>Pune</v>
          </cell>
          <cell r="L256" t="str">
            <v>E</v>
          </cell>
          <cell r="O256" t="str">
            <v>A</v>
          </cell>
          <cell r="P256">
            <v>39</v>
          </cell>
          <cell r="Q256">
            <v>45</v>
          </cell>
          <cell r="R256">
            <v>37</v>
          </cell>
          <cell r="S256">
            <v>47</v>
          </cell>
          <cell r="T256">
            <v>2</v>
          </cell>
          <cell r="U256">
            <v>-2</v>
          </cell>
          <cell r="V256">
            <v>87</v>
          </cell>
          <cell r="W256">
            <v>93</v>
          </cell>
          <cell r="X256">
            <v>75</v>
          </cell>
          <cell r="Y256">
            <v>93</v>
          </cell>
          <cell r="Z256">
            <v>12</v>
          </cell>
          <cell r="AA256">
            <v>0</v>
          </cell>
          <cell r="AB256">
            <v>84</v>
          </cell>
          <cell r="AC256">
            <v>84</v>
          </cell>
          <cell r="AD256">
            <v>0</v>
          </cell>
          <cell r="AE256">
            <v>180</v>
          </cell>
          <cell r="AF256">
            <v>168</v>
          </cell>
          <cell r="AG256">
            <v>12</v>
          </cell>
        </row>
        <row r="257">
          <cell r="C257">
            <v>181786</v>
          </cell>
          <cell r="D257" t="str">
            <v>SHIVSHAKTI PETROLEUM</v>
          </cell>
          <cell r="E257" t="str">
            <v>BPCL</v>
          </cell>
          <cell r="F257" t="str">
            <v>2013-14</v>
          </cell>
          <cell r="G257" t="str">
            <v>Satara East RSA</v>
          </cell>
          <cell r="J257" t="str">
            <v>Lonand</v>
          </cell>
          <cell r="K257" t="str">
            <v>Satara</v>
          </cell>
          <cell r="L257" t="str">
            <v>D1</v>
          </cell>
          <cell r="M257" t="str">
            <v>NH-965D</v>
          </cell>
          <cell r="O257" t="str">
            <v>A</v>
          </cell>
          <cell r="P257">
            <v>73</v>
          </cell>
          <cell r="Q257">
            <v>38</v>
          </cell>
          <cell r="R257">
            <v>84</v>
          </cell>
          <cell r="S257">
            <v>84</v>
          </cell>
          <cell r="T257">
            <v>-11</v>
          </cell>
          <cell r="U257">
            <v>-46</v>
          </cell>
          <cell r="V257">
            <v>147</v>
          </cell>
          <cell r="W257">
            <v>96</v>
          </cell>
          <cell r="X257">
            <v>170</v>
          </cell>
          <cell r="Y257">
            <v>162</v>
          </cell>
          <cell r="Z257">
            <v>-23</v>
          </cell>
          <cell r="AA257">
            <v>-66</v>
          </cell>
          <cell r="AB257">
            <v>111</v>
          </cell>
          <cell r="AC257">
            <v>168</v>
          </cell>
          <cell r="AD257">
            <v>-57</v>
          </cell>
          <cell r="AE257">
            <v>243</v>
          </cell>
          <cell r="AF257">
            <v>332</v>
          </cell>
          <cell r="AG257">
            <v>-89</v>
          </cell>
        </row>
        <row r="258">
          <cell r="C258">
            <v>181791</v>
          </cell>
          <cell r="D258" t="str">
            <v>SHERU PETROLEUM</v>
          </cell>
          <cell r="E258" t="str">
            <v>BPCL</v>
          </cell>
          <cell r="F258" t="str">
            <v>2013-14</v>
          </cell>
          <cell r="G258" t="str">
            <v>Pune Hadapsar RSA</v>
          </cell>
          <cell r="J258" t="str">
            <v>Yawat RHS</v>
          </cell>
          <cell r="K258" t="str">
            <v>Pune</v>
          </cell>
          <cell r="L258" t="str">
            <v>D1</v>
          </cell>
          <cell r="M258" t="str">
            <v>NH-65</v>
          </cell>
          <cell r="O258" t="str">
            <v>A</v>
          </cell>
          <cell r="P258">
            <v>18</v>
          </cell>
          <cell r="Q258">
            <v>54</v>
          </cell>
          <cell r="R258">
            <v>12</v>
          </cell>
          <cell r="S258">
            <v>36</v>
          </cell>
          <cell r="T258">
            <v>6</v>
          </cell>
          <cell r="U258">
            <v>18</v>
          </cell>
          <cell r="V258">
            <v>36</v>
          </cell>
          <cell r="W258">
            <v>120</v>
          </cell>
          <cell r="X258">
            <v>21</v>
          </cell>
          <cell r="Y258">
            <v>63</v>
          </cell>
          <cell r="Z258">
            <v>15</v>
          </cell>
          <cell r="AA258">
            <v>57</v>
          </cell>
          <cell r="AB258">
            <v>72</v>
          </cell>
          <cell r="AC258">
            <v>48</v>
          </cell>
          <cell r="AD258">
            <v>24</v>
          </cell>
          <cell r="AE258">
            <v>156</v>
          </cell>
          <cell r="AF258">
            <v>84</v>
          </cell>
          <cell r="AG258">
            <v>72</v>
          </cell>
        </row>
        <row r="259">
          <cell r="C259">
            <v>181812</v>
          </cell>
          <cell r="D259" t="str">
            <v>SHRI NAGESHWAR PETROLEUM</v>
          </cell>
          <cell r="E259" t="str">
            <v>BPCL</v>
          </cell>
          <cell r="F259" t="str">
            <v>2013-14</v>
          </cell>
          <cell r="G259" t="str">
            <v>Pimpri Chinchwad RSA</v>
          </cell>
          <cell r="J259" t="str">
            <v>Moshi</v>
          </cell>
          <cell r="K259" t="str">
            <v>Pune</v>
          </cell>
          <cell r="L259" t="str">
            <v>A</v>
          </cell>
          <cell r="O259" t="str">
            <v>A</v>
          </cell>
          <cell r="P259">
            <v>269</v>
          </cell>
          <cell r="Q259">
            <v>145</v>
          </cell>
          <cell r="R259">
            <v>283</v>
          </cell>
          <cell r="S259">
            <v>207</v>
          </cell>
          <cell r="T259">
            <v>-14</v>
          </cell>
          <cell r="U259">
            <v>-62</v>
          </cell>
          <cell r="V259">
            <v>500</v>
          </cell>
          <cell r="W259">
            <v>335</v>
          </cell>
          <cell r="X259">
            <v>576</v>
          </cell>
          <cell r="Y259">
            <v>418</v>
          </cell>
          <cell r="Z259">
            <v>-76</v>
          </cell>
          <cell r="AA259">
            <v>-83</v>
          </cell>
          <cell r="AB259">
            <v>414</v>
          </cell>
          <cell r="AC259">
            <v>490</v>
          </cell>
          <cell r="AD259">
            <v>-76</v>
          </cell>
          <cell r="AE259">
            <v>835</v>
          </cell>
          <cell r="AF259">
            <v>994</v>
          </cell>
          <cell r="AG259">
            <v>-159</v>
          </cell>
        </row>
        <row r="260">
          <cell r="C260">
            <v>182098</v>
          </cell>
          <cell r="D260" t="str">
            <v>MANISHA PETROLEUM</v>
          </cell>
          <cell r="E260" t="str">
            <v>BPCL</v>
          </cell>
          <cell r="F260" t="str">
            <v>2013-14</v>
          </cell>
          <cell r="G260" t="str">
            <v>Ahmednagar East RSA</v>
          </cell>
          <cell r="J260" t="str">
            <v>Ghodegaon</v>
          </cell>
          <cell r="K260" t="str">
            <v>Ahmednagar</v>
          </cell>
          <cell r="L260" t="str">
            <v>D1</v>
          </cell>
          <cell r="M260" t="str">
            <v>NH-753F</v>
          </cell>
          <cell r="O260" t="str">
            <v>A</v>
          </cell>
          <cell r="P260">
            <v>47</v>
          </cell>
          <cell r="Q260">
            <v>305</v>
          </cell>
          <cell r="R260">
            <v>47</v>
          </cell>
          <cell r="S260">
            <v>280</v>
          </cell>
          <cell r="T260">
            <v>0</v>
          </cell>
          <cell r="U260">
            <v>25</v>
          </cell>
          <cell r="V260">
            <v>79</v>
          </cell>
          <cell r="W260">
            <v>593</v>
          </cell>
          <cell r="X260">
            <v>90</v>
          </cell>
          <cell r="Y260">
            <v>543</v>
          </cell>
          <cell r="Z260">
            <v>-11</v>
          </cell>
          <cell r="AA260">
            <v>50</v>
          </cell>
          <cell r="AB260">
            <v>352</v>
          </cell>
          <cell r="AC260">
            <v>327</v>
          </cell>
          <cell r="AD260">
            <v>25</v>
          </cell>
          <cell r="AE260">
            <v>672</v>
          </cell>
          <cell r="AF260">
            <v>633</v>
          </cell>
          <cell r="AG260">
            <v>39</v>
          </cell>
        </row>
        <row r="261">
          <cell r="C261">
            <v>182204</v>
          </cell>
          <cell r="D261" t="str">
            <v>DEVALE PETROLEUM</v>
          </cell>
          <cell r="E261" t="str">
            <v>BPCL</v>
          </cell>
          <cell r="F261" t="str">
            <v>2013-14</v>
          </cell>
          <cell r="G261" t="str">
            <v>Pune Tathawade RSA</v>
          </cell>
          <cell r="J261" t="str">
            <v>Gunawadi</v>
          </cell>
          <cell r="K261" t="str">
            <v>Pune</v>
          </cell>
          <cell r="L261" t="str">
            <v>D2</v>
          </cell>
          <cell r="O261" t="str">
            <v>A</v>
          </cell>
          <cell r="P261">
            <v>49.5</v>
          </cell>
          <cell r="Q261">
            <v>22.5</v>
          </cell>
          <cell r="R261">
            <v>61</v>
          </cell>
          <cell r="S261">
            <v>35</v>
          </cell>
          <cell r="T261">
            <v>-11.5</v>
          </cell>
          <cell r="U261">
            <v>-12.5</v>
          </cell>
          <cell r="V261">
            <v>105.5</v>
          </cell>
          <cell r="W261">
            <v>48.5</v>
          </cell>
          <cell r="X261">
            <v>115</v>
          </cell>
          <cell r="Y261">
            <v>65</v>
          </cell>
          <cell r="Z261">
            <v>-9.5</v>
          </cell>
          <cell r="AA261">
            <v>-16.5</v>
          </cell>
          <cell r="AB261">
            <v>72</v>
          </cell>
          <cell r="AC261">
            <v>96</v>
          </cell>
          <cell r="AD261">
            <v>-24</v>
          </cell>
          <cell r="AE261">
            <v>154</v>
          </cell>
          <cell r="AF261">
            <v>180</v>
          </cell>
          <cell r="AG261">
            <v>-26</v>
          </cell>
        </row>
        <row r="262">
          <cell r="C262">
            <v>182205</v>
          </cell>
          <cell r="D262" t="str">
            <v>JAGADALE PETROLEUM</v>
          </cell>
          <cell r="E262" t="str">
            <v>BPCL</v>
          </cell>
          <cell r="F262" t="str">
            <v>2013-14</v>
          </cell>
          <cell r="G262" t="str">
            <v>Pune Tathawade RSA</v>
          </cell>
          <cell r="J262" t="str">
            <v>MORGAON</v>
          </cell>
          <cell r="K262" t="str">
            <v>Pune</v>
          </cell>
          <cell r="L262" t="str">
            <v>D1</v>
          </cell>
          <cell r="M262" t="str">
            <v>NH-965D</v>
          </cell>
          <cell r="O262" t="str">
            <v>A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C263">
            <v>182297</v>
          </cell>
          <cell r="D263" t="str">
            <v>D R Jamdade</v>
          </cell>
          <cell r="E263" t="str">
            <v>BPCL</v>
          </cell>
          <cell r="F263" t="str">
            <v>2013-14</v>
          </cell>
          <cell r="G263" t="str">
            <v>Shirdi RSA</v>
          </cell>
          <cell r="J263" t="str">
            <v>SAVLIHIR</v>
          </cell>
          <cell r="K263" t="str">
            <v>Ahmednagar</v>
          </cell>
          <cell r="L263" t="str">
            <v>D1</v>
          </cell>
          <cell r="M263" t="str">
            <v>NH-160</v>
          </cell>
          <cell r="O263" t="str">
            <v>B</v>
          </cell>
          <cell r="P263">
            <v>0</v>
          </cell>
          <cell r="Q263">
            <v>0</v>
          </cell>
          <cell r="R263">
            <v>6</v>
          </cell>
          <cell r="S263">
            <v>18</v>
          </cell>
          <cell r="T263">
            <v>-6</v>
          </cell>
          <cell r="U263">
            <v>-18</v>
          </cell>
          <cell r="V263">
            <v>0</v>
          </cell>
          <cell r="W263">
            <v>0</v>
          </cell>
          <cell r="X263">
            <v>12</v>
          </cell>
          <cell r="Y263">
            <v>36</v>
          </cell>
          <cell r="Z263">
            <v>-12</v>
          </cell>
          <cell r="AA263">
            <v>-36</v>
          </cell>
          <cell r="AB263">
            <v>0</v>
          </cell>
          <cell r="AC263">
            <v>24</v>
          </cell>
          <cell r="AD263">
            <v>-24</v>
          </cell>
          <cell r="AE263">
            <v>0</v>
          </cell>
          <cell r="AF263">
            <v>48</v>
          </cell>
          <cell r="AG263">
            <v>-48</v>
          </cell>
        </row>
        <row r="264">
          <cell r="C264">
            <v>182460</v>
          </cell>
          <cell r="D264" t="str">
            <v>JAYWANT PETROLEUM</v>
          </cell>
          <cell r="E264" t="str">
            <v>BPCL</v>
          </cell>
          <cell r="G264" t="str">
            <v>Satara West RSA</v>
          </cell>
          <cell r="J264" t="str">
            <v>Chore</v>
          </cell>
          <cell r="K264" t="str">
            <v>Satara</v>
          </cell>
          <cell r="L264" t="str">
            <v>E</v>
          </cell>
          <cell r="O264" t="str">
            <v>B</v>
          </cell>
          <cell r="P264">
            <v>8</v>
          </cell>
          <cell r="Q264">
            <v>24</v>
          </cell>
          <cell r="R264">
            <v>10</v>
          </cell>
          <cell r="S264">
            <v>38</v>
          </cell>
          <cell r="T264">
            <v>-2</v>
          </cell>
          <cell r="U264">
            <v>-14</v>
          </cell>
          <cell r="V264">
            <v>11</v>
          </cell>
          <cell r="W264">
            <v>45</v>
          </cell>
          <cell r="X264">
            <v>14</v>
          </cell>
          <cell r="Y264">
            <v>70</v>
          </cell>
          <cell r="Z264">
            <v>-3</v>
          </cell>
          <cell r="AA264">
            <v>-25</v>
          </cell>
          <cell r="AB264">
            <v>32</v>
          </cell>
          <cell r="AC264">
            <v>48</v>
          </cell>
          <cell r="AD264">
            <v>-16</v>
          </cell>
          <cell r="AE264">
            <v>56</v>
          </cell>
          <cell r="AF264">
            <v>84</v>
          </cell>
          <cell r="AG264">
            <v>-28</v>
          </cell>
        </row>
        <row r="265">
          <cell r="C265">
            <v>182537</v>
          </cell>
          <cell r="D265" t="str">
            <v>VINAYAK PETROLEUM</v>
          </cell>
          <cell r="E265" t="str">
            <v>BPCL</v>
          </cell>
          <cell r="F265" t="str">
            <v>2013-14</v>
          </cell>
          <cell r="G265" t="str">
            <v>Pune Hadapsar RSA</v>
          </cell>
          <cell r="J265" t="str">
            <v>Theur</v>
          </cell>
          <cell r="K265" t="str">
            <v>Pune</v>
          </cell>
          <cell r="L265" t="str">
            <v>D1</v>
          </cell>
          <cell r="M265" t="str">
            <v>NH-548DD</v>
          </cell>
          <cell r="O265" t="str">
            <v>A</v>
          </cell>
          <cell r="P265">
            <v>48</v>
          </cell>
          <cell r="Q265">
            <v>120</v>
          </cell>
          <cell r="R265">
            <v>33</v>
          </cell>
          <cell r="S265">
            <v>75</v>
          </cell>
          <cell r="T265">
            <v>15</v>
          </cell>
          <cell r="U265">
            <v>45</v>
          </cell>
          <cell r="V265">
            <v>99</v>
          </cell>
          <cell r="W265">
            <v>225</v>
          </cell>
          <cell r="X265">
            <v>66</v>
          </cell>
          <cell r="Y265">
            <v>150</v>
          </cell>
          <cell r="Z265">
            <v>33</v>
          </cell>
          <cell r="AA265">
            <v>75</v>
          </cell>
          <cell r="AB265">
            <v>168</v>
          </cell>
          <cell r="AC265">
            <v>108</v>
          </cell>
          <cell r="AD265">
            <v>60</v>
          </cell>
          <cell r="AE265">
            <v>324</v>
          </cell>
          <cell r="AF265">
            <v>216</v>
          </cell>
          <cell r="AG265">
            <v>108</v>
          </cell>
        </row>
        <row r="266">
          <cell r="C266">
            <v>182538</v>
          </cell>
          <cell r="D266" t="str">
            <v>SANJEEVANI PETROLEUM</v>
          </cell>
          <cell r="E266" t="str">
            <v>BPCL</v>
          </cell>
          <cell r="F266" t="str">
            <v>2013-14</v>
          </cell>
          <cell r="G266" t="str">
            <v>Pune Saswad RSA</v>
          </cell>
          <cell r="J266" t="str">
            <v>KALAS INDAPUR</v>
          </cell>
          <cell r="K266" t="str">
            <v>Pune</v>
          </cell>
          <cell r="L266" t="str">
            <v>D2</v>
          </cell>
          <cell r="O266" t="str">
            <v>A</v>
          </cell>
          <cell r="P266">
            <v>20</v>
          </cell>
          <cell r="Q266">
            <v>100</v>
          </cell>
          <cell r="R266">
            <v>16</v>
          </cell>
          <cell r="S266">
            <v>80</v>
          </cell>
          <cell r="T266">
            <v>4</v>
          </cell>
          <cell r="U266">
            <v>20</v>
          </cell>
          <cell r="V266">
            <v>35</v>
          </cell>
          <cell r="W266">
            <v>181</v>
          </cell>
          <cell r="X266">
            <v>34</v>
          </cell>
          <cell r="Y266">
            <v>170</v>
          </cell>
          <cell r="Z266">
            <v>1</v>
          </cell>
          <cell r="AA266">
            <v>11</v>
          </cell>
          <cell r="AB266">
            <v>120</v>
          </cell>
          <cell r="AC266">
            <v>96</v>
          </cell>
          <cell r="AD266">
            <v>24</v>
          </cell>
          <cell r="AE266">
            <v>216</v>
          </cell>
          <cell r="AF266">
            <v>204</v>
          </cell>
          <cell r="AG266">
            <v>12</v>
          </cell>
        </row>
        <row r="267">
          <cell r="C267">
            <v>182643</v>
          </cell>
          <cell r="D267" t="str">
            <v>SHIV PARVATI PETROLEUM</v>
          </cell>
          <cell r="E267" t="str">
            <v>BPCL</v>
          </cell>
          <cell r="F267" t="str">
            <v>2013-14</v>
          </cell>
          <cell r="G267" t="str">
            <v>Pune Saswad RSA</v>
          </cell>
          <cell r="J267" t="str">
            <v>Kapurhol-Ketkawale Road</v>
          </cell>
          <cell r="K267" t="str">
            <v>Pune</v>
          </cell>
          <cell r="L267" t="str">
            <v>D2</v>
          </cell>
          <cell r="O267" t="str">
            <v>A</v>
          </cell>
          <cell r="P267">
            <v>29</v>
          </cell>
          <cell r="Q267">
            <v>43</v>
          </cell>
          <cell r="R267">
            <v>27</v>
          </cell>
          <cell r="S267">
            <v>37</v>
          </cell>
          <cell r="T267">
            <v>2</v>
          </cell>
          <cell r="U267">
            <v>6</v>
          </cell>
          <cell r="V267">
            <v>48</v>
          </cell>
          <cell r="W267">
            <v>72</v>
          </cell>
          <cell r="X267">
            <v>47</v>
          </cell>
          <cell r="Y267">
            <v>73</v>
          </cell>
          <cell r="Z267">
            <v>1</v>
          </cell>
          <cell r="AA267">
            <v>-1</v>
          </cell>
          <cell r="AB267">
            <v>72</v>
          </cell>
          <cell r="AC267">
            <v>64</v>
          </cell>
          <cell r="AD267">
            <v>8</v>
          </cell>
          <cell r="AE267">
            <v>120</v>
          </cell>
          <cell r="AF267">
            <v>120</v>
          </cell>
          <cell r="AG267">
            <v>0</v>
          </cell>
        </row>
        <row r="268">
          <cell r="C268">
            <v>182695</v>
          </cell>
          <cell r="D268" t="str">
            <v>SHREE GHUMAIDEVI PETROLEUM</v>
          </cell>
          <cell r="E268" t="str">
            <v>BPCL</v>
          </cell>
          <cell r="F268" t="str">
            <v>2013-14</v>
          </cell>
          <cell r="G268" t="str">
            <v>Satara East RSA</v>
          </cell>
          <cell r="J268" t="str">
            <v>Pimpode</v>
          </cell>
          <cell r="K268" t="str">
            <v>Satara</v>
          </cell>
          <cell r="L268" t="str">
            <v>E</v>
          </cell>
          <cell r="O268" t="str">
            <v>A</v>
          </cell>
          <cell r="P268">
            <v>56</v>
          </cell>
          <cell r="Q268">
            <v>148</v>
          </cell>
          <cell r="R268">
            <v>56</v>
          </cell>
          <cell r="S268">
            <v>124</v>
          </cell>
          <cell r="T268">
            <v>0</v>
          </cell>
          <cell r="U268">
            <v>24</v>
          </cell>
          <cell r="V268">
            <v>112</v>
          </cell>
          <cell r="W268">
            <v>284</v>
          </cell>
          <cell r="X268">
            <v>111</v>
          </cell>
          <cell r="Y268">
            <v>285</v>
          </cell>
          <cell r="Z268">
            <v>1</v>
          </cell>
          <cell r="AA268">
            <v>-1</v>
          </cell>
          <cell r="AB268">
            <v>204</v>
          </cell>
          <cell r="AC268">
            <v>180</v>
          </cell>
          <cell r="AD268">
            <v>24</v>
          </cell>
          <cell r="AE268">
            <v>396</v>
          </cell>
          <cell r="AF268">
            <v>396</v>
          </cell>
          <cell r="AG268">
            <v>0</v>
          </cell>
        </row>
        <row r="269">
          <cell r="C269">
            <v>182696</v>
          </cell>
          <cell r="D269" t="str">
            <v>AZAD PETROLEUM</v>
          </cell>
          <cell r="E269" t="str">
            <v>BPCL</v>
          </cell>
          <cell r="F269" t="str">
            <v>2013-14</v>
          </cell>
          <cell r="G269" t="str">
            <v>Satara West RSA</v>
          </cell>
          <cell r="J269" t="str">
            <v>KARAD TO KASHIL</v>
          </cell>
          <cell r="K269" t="str">
            <v>Satara</v>
          </cell>
          <cell r="L269" t="str">
            <v>D1</v>
          </cell>
          <cell r="M269" t="str">
            <v>NH-48</v>
          </cell>
          <cell r="O269" t="str">
            <v>A</v>
          </cell>
          <cell r="P269">
            <v>37.5</v>
          </cell>
          <cell r="Q269">
            <v>64.5</v>
          </cell>
          <cell r="R269">
            <v>36</v>
          </cell>
          <cell r="S269">
            <v>90</v>
          </cell>
          <cell r="T269">
            <v>1.5</v>
          </cell>
          <cell r="U269">
            <v>-25.5</v>
          </cell>
          <cell r="V269">
            <v>37.5</v>
          </cell>
          <cell r="W269">
            <v>64.5</v>
          </cell>
          <cell r="X269">
            <v>63</v>
          </cell>
          <cell r="Y269">
            <v>153</v>
          </cell>
          <cell r="Z269">
            <v>-25.5</v>
          </cell>
          <cell r="AA269">
            <v>-88.5</v>
          </cell>
          <cell r="AB269">
            <v>102</v>
          </cell>
          <cell r="AC269">
            <v>126</v>
          </cell>
          <cell r="AD269">
            <v>-24</v>
          </cell>
          <cell r="AE269">
            <v>102</v>
          </cell>
          <cell r="AF269">
            <v>216</v>
          </cell>
          <cell r="AG269">
            <v>-114</v>
          </cell>
        </row>
        <row r="270">
          <cell r="C270">
            <v>182871</v>
          </cell>
          <cell r="D270" t="str">
            <v>TULJABHAVANI PETROLEUM</v>
          </cell>
          <cell r="E270" t="str">
            <v>BPCL</v>
          </cell>
          <cell r="F270" t="str">
            <v>2013-14</v>
          </cell>
          <cell r="G270" t="str">
            <v>Pimpri Chinchwad RSA</v>
          </cell>
          <cell r="J270" t="str">
            <v>Dudhalgaon</v>
          </cell>
          <cell r="K270" t="str">
            <v>Pune</v>
          </cell>
          <cell r="L270" t="str">
            <v>A</v>
          </cell>
          <cell r="O270" t="str">
            <v>A</v>
          </cell>
          <cell r="P270">
            <v>265</v>
          </cell>
          <cell r="Q270">
            <v>295</v>
          </cell>
          <cell r="R270">
            <v>195</v>
          </cell>
          <cell r="S270">
            <v>265</v>
          </cell>
          <cell r="T270">
            <v>70</v>
          </cell>
          <cell r="U270">
            <v>30</v>
          </cell>
          <cell r="V270">
            <v>475</v>
          </cell>
          <cell r="W270">
            <v>565</v>
          </cell>
          <cell r="X270">
            <v>385</v>
          </cell>
          <cell r="Y270">
            <v>515</v>
          </cell>
          <cell r="Z270">
            <v>90</v>
          </cell>
          <cell r="AA270">
            <v>50</v>
          </cell>
          <cell r="AB270">
            <v>560</v>
          </cell>
          <cell r="AC270">
            <v>460</v>
          </cell>
          <cell r="AD270">
            <v>100</v>
          </cell>
          <cell r="AE270">
            <v>1040</v>
          </cell>
          <cell r="AF270">
            <v>900</v>
          </cell>
          <cell r="AG270">
            <v>140</v>
          </cell>
        </row>
        <row r="271">
          <cell r="C271">
            <v>183124</v>
          </cell>
          <cell r="D271" t="str">
            <v>SHREE GUPTALING PETROL PUMP</v>
          </cell>
          <cell r="E271" t="str">
            <v>BPCL</v>
          </cell>
          <cell r="F271" t="str">
            <v>2013-14</v>
          </cell>
          <cell r="G271" t="str">
            <v>Satara East RSA</v>
          </cell>
          <cell r="J271" t="str">
            <v>Shingnapur</v>
          </cell>
          <cell r="K271" t="str">
            <v>Satara</v>
          </cell>
          <cell r="L271" t="str">
            <v>E</v>
          </cell>
          <cell r="O271" t="str">
            <v>B</v>
          </cell>
          <cell r="P271">
            <v>11</v>
          </cell>
          <cell r="Q271">
            <v>31</v>
          </cell>
          <cell r="R271">
            <v>3</v>
          </cell>
          <cell r="S271">
            <v>21</v>
          </cell>
          <cell r="T271">
            <v>8</v>
          </cell>
          <cell r="U271">
            <v>10</v>
          </cell>
          <cell r="V271">
            <v>18</v>
          </cell>
          <cell r="W271">
            <v>48</v>
          </cell>
          <cell r="X271">
            <v>15</v>
          </cell>
          <cell r="Y271">
            <v>45</v>
          </cell>
          <cell r="Z271">
            <v>3</v>
          </cell>
          <cell r="AA271">
            <v>3</v>
          </cell>
          <cell r="AB271">
            <v>42</v>
          </cell>
          <cell r="AC271">
            <v>24</v>
          </cell>
          <cell r="AD271">
            <v>18</v>
          </cell>
          <cell r="AE271">
            <v>66</v>
          </cell>
          <cell r="AF271">
            <v>60</v>
          </cell>
          <cell r="AG271">
            <v>6</v>
          </cell>
        </row>
        <row r="272">
          <cell r="C272">
            <v>183754</v>
          </cell>
          <cell r="D272" t="str">
            <v>Keshav Enterprises</v>
          </cell>
          <cell r="E272" t="str">
            <v>BPCL</v>
          </cell>
          <cell r="F272" t="str">
            <v>2014-15</v>
          </cell>
          <cell r="G272" t="str">
            <v>Shirdi RSA</v>
          </cell>
          <cell r="J272" t="str">
            <v>SHRIRAMPUR RURAL</v>
          </cell>
          <cell r="K272" t="str">
            <v>Ahmednagar</v>
          </cell>
          <cell r="L272" t="str">
            <v>D2</v>
          </cell>
          <cell r="O272" t="str">
            <v>B</v>
          </cell>
          <cell r="P272">
            <v>27</v>
          </cell>
          <cell r="Q272">
            <v>69</v>
          </cell>
          <cell r="R272">
            <v>37</v>
          </cell>
          <cell r="S272">
            <v>79</v>
          </cell>
          <cell r="T272">
            <v>-10</v>
          </cell>
          <cell r="U272">
            <v>-10</v>
          </cell>
          <cell r="V272">
            <v>54</v>
          </cell>
          <cell r="W272">
            <v>138</v>
          </cell>
          <cell r="X272">
            <v>73</v>
          </cell>
          <cell r="Y272">
            <v>151</v>
          </cell>
          <cell r="Z272">
            <v>-19</v>
          </cell>
          <cell r="AA272">
            <v>-13</v>
          </cell>
          <cell r="AB272">
            <v>96</v>
          </cell>
          <cell r="AC272">
            <v>116</v>
          </cell>
          <cell r="AD272">
            <v>-20</v>
          </cell>
          <cell r="AE272">
            <v>192</v>
          </cell>
          <cell r="AF272">
            <v>224</v>
          </cell>
          <cell r="AG272">
            <v>-32</v>
          </cell>
        </row>
        <row r="273">
          <cell r="C273">
            <v>183993</v>
          </cell>
          <cell r="D273" t="str">
            <v>ASHOK AUTOMOBILES (WALUNJ) Resitement</v>
          </cell>
          <cell r="E273" t="str">
            <v>BPCL</v>
          </cell>
          <cell r="G273" t="str">
            <v>Ahmednagar West RSA</v>
          </cell>
          <cell r="J273" t="str">
            <v>Walunj</v>
          </cell>
          <cell r="K273" t="str">
            <v>Ahmednagar</v>
          </cell>
          <cell r="L273" t="str">
            <v>D1</v>
          </cell>
          <cell r="M273" t="str">
            <v>NH-561A</v>
          </cell>
          <cell r="O273" t="str">
            <v>A</v>
          </cell>
          <cell r="P273">
            <v>18</v>
          </cell>
          <cell r="Q273">
            <v>18</v>
          </cell>
          <cell r="R273">
            <v>26</v>
          </cell>
          <cell r="S273">
            <v>34</v>
          </cell>
          <cell r="T273">
            <v>-8</v>
          </cell>
          <cell r="U273">
            <v>-16</v>
          </cell>
          <cell r="V273">
            <v>33</v>
          </cell>
          <cell r="W273">
            <v>39</v>
          </cell>
          <cell r="X273">
            <v>55</v>
          </cell>
          <cell r="Y273">
            <v>67</v>
          </cell>
          <cell r="Z273">
            <v>-22</v>
          </cell>
          <cell r="AA273">
            <v>-28</v>
          </cell>
          <cell r="AB273">
            <v>36</v>
          </cell>
          <cell r="AC273">
            <v>60</v>
          </cell>
          <cell r="AD273">
            <v>-24</v>
          </cell>
          <cell r="AE273">
            <v>72</v>
          </cell>
          <cell r="AF273">
            <v>122</v>
          </cell>
          <cell r="AG273">
            <v>-50</v>
          </cell>
        </row>
        <row r="274">
          <cell r="C274">
            <v>184385</v>
          </cell>
          <cell r="D274" t="str">
            <v>Meera Petroleum</v>
          </cell>
          <cell r="E274" t="str">
            <v>BPCL</v>
          </cell>
          <cell r="F274" t="str">
            <v>2013-14</v>
          </cell>
          <cell r="G274" t="str">
            <v>Satara West RSA</v>
          </cell>
          <cell r="J274" t="str">
            <v>Bhuinj to Khandala</v>
          </cell>
          <cell r="K274" t="str">
            <v>Satara</v>
          </cell>
          <cell r="L274" t="str">
            <v>D1</v>
          </cell>
          <cell r="M274" t="str">
            <v>NH-48</v>
          </cell>
          <cell r="O274" t="str">
            <v>A</v>
          </cell>
          <cell r="P274">
            <v>40</v>
          </cell>
          <cell r="Q274">
            <v>120</v>
          </cell>
          <cell r="R274">
            <v>75</v>
          </cell>
          <cell r="S274">
            <v>165</v>
          </cell>
          <cell r="T274">
            <v>-35</v>
          </cell>
          <cell r="U274">
            <v>-45</v>
          </cell>
          <cell r="V274">
            <v>75</v>
          </cell>
          <cell r="W274">
            <v>225</v>
          </cell>
          <cell r="X274">
            <v>126</v>
          </cell>
          <cell r="Y274">
            <v>318</v>
          </cell>
          <cell r="Z274">
            <v>-51</v>
          </cell>
          <cell r="AA274">
            <v>-93</v>
          </cell>
          <cell r="AB274">
            <v>160</v>
          </cell>
          <cell r="AC274">
            <v>240</v>
          </cell>
          <cell r="AD274">
            <v>-80</v>
          </cell>
          <cell r="AE274">
            <v>300</v>
          </cell>
          <cell r="AF274">
            <v>444</v>
          </cell>
          <cell r="AG274">
            <v>-144</v>
          </cell>
        </row>
        <row r="275">
          <cell r="C275">
            <v>184387</v>
          </cell>
          <cell r="D275" t="str">
            <v>SHRI SIDDHI PETROLEUM</v>
          </cell>
          <cell r="E275" t="str">
            <v>BPCL</v>
          </cell>
          <cell r="F275" t="str">
            <v>2014-15</v>
          </cell>
          <cell r="G275" t="str">
            <v>Satara West RSA</v>
          </cell>
          <cell r="J275" t="str">
            <v>Nandgaon to Ghogaon</v>
          </cell>
          <cell r="K275" t="str">
            <v>Satara</v>
          </cell>
          <cell r="L275" t="str">
            <v>D2</v>
          </cell>
          <cell r="O275" t="str">
            <v>B</v>
          </cell>
          <cell r="P275">
            <v>6</v>
          </cell>
          <cell r="Q275">
            <v>6</v>
          </cell>
          <cell r="R275">
            <v>57</v>
          </cell>
          <cell r="S275">
            <v>63</v>
          </cell>
          <cell r="T275">
            <v>-51</v>
          </cell>
          <cell r="U275">
            <v>-57</v>
          </cell>
          <cell r="V275">
            <v>27</v>
          </cell>
          <cell r="W275">
            <v>33</v>
          </cell>
          <cell r="X275">
            <v>102</v>
          </cell>
          <cell r="Y275">
            <v>126</v>
          </cell>
          <cell r="Z275">
            <v>-75</v>
          </cell>
          <cell r="AA275">
            <v>-93</v>
          </cell>
          <cell r="AB275">
            <v>12</v>
          </cell>
          <cell r="AC275">
            <v>120</v>
          </cell>
          <cell r="AD275">
            <v>-108</v>
          </cell>
          <cell r="AE275">
            <v>60</v>
          </cell>
          <cell r="AF275">
            <v>228</v>
          </cell>
          <cell r="AG275">
            <v>-168</v>
          </cell>
        </row>
        <row r="276">
          <cell r="C276">
            <v>184388</v>
          </cell>
          <cell r="D276" t="str">
            <v>Aditya Vikram Petroleum</v>
          </cell>
          <cell r="E276" t="str">
            <v>BPCL</v>
          </cell>
          <cell r="F276" t="str">
            <v>2013-14</v>
          </cell>
          <cell r="G276" t="str">
            <v>Satara East RSA</v>
          </cell>
          <cell r="J276" t="str">
            <v>Sangvi</v>
          </cell>
          <cell r="K276" t="str">
            <v>Satara</v>
          </cell>
          <cell r="L276" t="str">
            <v>E</v>
          </cell>
          <cell r="O276" t="str">
            <v>B</v>
          </cell>
          <cell r="P276">
            <v>88</v>
          </cell>
          <cell r="Q276">
            <v>134</v>
          </cell>
          <cell r="R276">
            <v>70</v>
          </cell>
          <cell r="S276">
            <v>100</v>
          </cell>
          <cell r="T276">
            <v>18</v>
          </cell>
          <cell r="U276">
            <v>34</v>
          </cell>
          <cell r="V276">
            <v>164</v>
          </cell>
          <cell r="W276">
            <v>250</v>
          </cell>
          <cell r="X276">
            <v>143</v>
          </cell>
          <cell r="Y276">
            <v>219</v>
          </cell>
          <cell r="Z276">
            <v>21</v>
          </cell>
          <cell r="AA276">
            <v>31</v>
          </cell>
          <cell r="AB276">
            <v>222</v>
          </cell>
          <cell r="AC276">
            <v>170</v>
          </cell>
          <cell r="AD276">
            <v>52</v>
          </cell>
          <cell r="AE276">
            <v>414</v>
          </cell>
          <cell r="AF276">
            <v>362</v>
          </cell>
          <cell r="AG276">
            <v>52</v>
          </cell>
        </row>
        <row r="277">
          <cell r="C277">
            <v>184456</v>
          </cell>
          <cell r="D277" t="str">
            <v>Shivthare Petroleum</v>
          </cell>
          <cell r="E277" t="str">
            <v>BPCL</v>
          </cell>
          <cell r="F277" t="str">
            <v>2013-14</v>
          </cell>
          <cell r="G277" t="str">
            <v>Satara East RSA</v>
          </cell>
          <cell r="J277" t="str">
            <v>Lonand Shirval Road</v>
          </cell>
          <cell r="K277" t="str">
            <v>Satara</v>
          </cell>
          <cell r="L277" t="str">
            <v>D1</v>
          </cell>
          <cell r="M277" t="str">
            <v>NH-965DD</v>
          </cell>
          <cell r="O277" t="str">
            <v>A</v>
          </cell>
          <cell r="P277">
            <v>32</v>
          </cell>
          <cell r="Q277">
            <v>76</v>
          </cell>
          <cell r="R277">
            <v>36</v>
          </cell>
          <cell r="S277">
            <v>72</v>
          </cell>
          <cell r="T277">
            <v>-4</v>
          </cell>
          <cell r="U277">
            <v>4</v>
          </cell>
          <cell r="V277">
            <v>60</v>
          </cell>
          <cell r="W277">
            <v>156</v>
          </cell>
          <cell r="X277">
            <v>64</v>
          </cell>
          <cell r="Y277">
            <v>128</v>
          </cell>
          <cell r="Z277">
            <v>-4</v>
          </cell>
          <cell r="AA277">
            <v>28</v>
          </cell>
          <cell r="AB277">
            <v>108</v>
          </cell>
          <cell r="AC277">
            <v>108</v>
          </cell>
          <cell r="AD277">
            <v>0</v>
          </cell>
          <cell r="AE277">
            <v>216</v>
          </cell>
          <cell r="AF277">
            <v>192</v>
          </cell>
          <cell r="AG277">
            <v>24</v>
          </cell>
        </row>
        <row r="278">
          <cell r="C278">
            <v>184487</v>
          </cell>
          <cell r="D278" t="str">
            <v>SAVITA PETROLEUM</v>
          </cell>
          <cell r="E278" t="str">
            <v>BPCL</v>
          </cell>
          <cell r="F278" t="str">
            <v>2014-15</v>
          </cell>
          <cell r="G278" t="str">
            <v>Shirdi RSA</v>
          </cell>
          <cell r="J278" t="str">
            <v>VIRGAON</v>
          </cell>
          <cell r="K278" t="str">
            <v>Ahmednagar</v>
          </cell>
          <cell r="L278" t="str">
            <v>D2</v>
          </cell>
          <cell r="O278" t="str">
            <v>B</v>
          </cell>
          <cell r="P278">
            <v>33</v>
          </cell>
          <cell r="Q278">
            <v>51</v>
          </cell>
          <cell r="R278">
            <v>33</v>
          </cell>
          <cell r="S278">
            <v>39</v>
          </cell>
          <cell r="T278">
            <v>0</v>
          </cell>
          <cell r="U278">
            <v>12</v>
          </cell>
          <cell r="V278">
            <v>63</v>
          </cell>
          <cell r="W278">
            <v>93</v>
          </cell>
          <cell r="X278">
            <v>45</v>
          </cell>
          <cell r="Y278">
            <v>63</v>
          </cell>
          <cell r="Z278">
            <v>18</v>
          </cell>
          <cell r="AA278">
            <v>30</v>
          </cell>
          <cell r="AB278">
            <v>84</v>
          </cell>
          <cell r="AC278">
            <v>72</v>
          </cell>
          <cell r="AD278">
            <v>12</v>
          </cell>
          <cell r="AE278">
            <v>156</v>
          </cell>
          <cell r="AF278">
            <v>108</v>
          </cell>
          <cell r="AG278">
            <v>48</v>
          </cell>
        </row>
        <row r="279">
          <cell r="C279">
            <v>184488</v>
          </cell>
          <cell r="D279" t="str">
            <v>SONAI PETROLEUM</v>
          </cell>
          <cell r="E279" t="str">
            <v>BPCL</v>
          </cell>
          <cell r="F279" t="str">
            <v>2014-15</v>
          </cell>
          <cell r="G279" t="str">
            <v>Pune Saswad RSA</v>
          </cell>
          <cell r="J279" t="str">
            <v>Saswad-Jejuri Road</v>
          </cell>
          <cell r="K279" t="str">
            <v>Pune</v>
          </cell>
          <cell r="L279" t="str">
            <v>D1</v>
          </cell>
          <cell r="M279" t="str">
            <v>NH-965</v>
          </cell>
          <cell r="O279" t="str">
            <v>A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</row>
        <row r="280">
          <cell r="C280">
            <v>184489</v>
          </cell>
          <cell r="D280" t="str">
            <v>SHANKAR PARVATI PETROLEUM</v>
          </cell>
          <cell r="E280" t="str">
            <v>BPCL</v>
          </cell>
          <cell r="F280" t="str">
            <v>2014-15</v>
          </cell>
          <cell r="G280" t="str">
            <v>Ahmednagar East RSA</v>
          </cell>
          <cell r="J280" t="str">
            <v>TAKLIMIYA</v>
          </cell>
          <cell r="K280" t="str">
            <v>Ahmednagar</v>
          </cell>
          <cell r="L280" t="str">
            <v>E</v>
          </cell>
          <cell r="O280" t="str">
            <v>A</v>
          </cell>
          <cell r="P280">
            <v>49.5</v>
          </cell>
          <cell r="Q280">
            <v>85.5</v>
          </cell>
          <cell r="R280">
            <v>39</v>
          </cell>
          <cell r="S280">
            <v>57</v>
          </cell>
          <cell r="T280">
            <v>10.5</v>
          </cell>
          <cell r="U280">
            <v>28.5</v>
          </cell>
          <cell r="V280">
            <v>82.5</v>
          </cell>
          <cell r="W280">
            <v>136.5</v>
          </cell>
          <cell r="X280">
            <v>69</v>
          </cell>
          <cell r="Y280">
            <v>111</v>
          </cell>
          <cell r="Z280">
            <v>13.5</v>
          </cell>
          <cell r="AA280">
            <v>25.5</v>
          </cell>
          <cell r="AB280">
            <v>135</v>
          </cell>
          <cell r="AC280">
            <v>96</v>
          </cell>
          <cell r="AD280">
            <v>39</v>
          </cell>
          <cell r="AE280">
            <v>219</v>
          </cell>
          <cell r="AF280">
            <v>180</v>
          </cell>
          <cell r="AG280">
            <v>39</v>
          </cell>
        </row>
        <row r="281">
          <cell r="C281">
            <v>185010</v>
          </cell>
          <cell r="D281" t="str">
            <v>SHREE SAI PETROLEUM</v>
          </cell>
          <cell r="E281" t="str">
            <v>BPCL</v>
          </cell>
          <cell r="G281" t="str">
            <v>Pune City RSA</v>
          </cell>
          <cell r="J281" t="str">
            <v>LOHAGAON WAGHOLI ROAD</v>
          </cell>
          <cell r="K281" t="str">
            <v>Pune</v>
          </cell>
          <cell r="L281" t="str">
            <v>A</v>
          </cell>
          <cell r="O281" t="str">
            <v>A</v>
          </cell>
          <cell r="P281">
            <v>132</v>
          </cell>
          <cell r="Q281">
            <v>132</v>
          </cell>
          <cell r="R281">
            <v>135</v>
          </cell>
          <cell r="S281">
            <v>141</v>
          </cell>
          <cell r="T281">
            <v>-3</v>
          </cell>
          <cell r="U281">
            <v>-9</v>
          </cell>
          <cell r="V281">
            <v>252</v>
          </cell>
          <cell r="W281">
            <v>264</v>
          </cell>
          <cell r="X281">
            <v>270</v>
          </cell>
          <cell r="Y281">
            <v>282</v>
          </cell>
          <cell r="Z281">
            <v>-18</v>
          </cell>
          <cell r="AA281">
            <v>-18</v>
          </cell>
          <cell r="AB281">
            <v>264</v>
          </cell>
          <cell r="AC281">
            <v>276</v>
          </cell>
          <cell r="AD281">
            <v>-12</v>
          </cell>
          <cell r="AE281">
            <v>516</v>
          </cell>
          <cell r="AF281">
            <v>552</v>
          </cell>
          <cell r="AG281">
            <v>-36</v>
          </cell>
        </row>
        <row r="282">
          <cell r="C282">
            <v>185336</v>
          </cell>
          <cell r="D282" t="str">
            <v>R J FUELS</v>
          </cell>
          <cell r="E282" t="str">
            <v>BPCL</v>
          </cell>
          <cell r="F282" t="str">
            <v>2014-15</v>
          </cell>
          <cell r="G282" t="str">
            <v>Shirdi RSA</v>
          </cell>
          <cell r="J282" t="str">
            <v>SAVLIHIR</v>
          </cell>
          <cell r="K282" t="str">
            <v>Ahmednagar</v>
          </cell>
          <cell r="L282" t="str">
            <v>D1</v>
          </cell>
          <cell r="M282" t="str">
            <v>NH-160</v>
          </cell>
          <cell r="O282" t="str">
            <v>B</v>
          </cell>
          <cell r="P282">
            <v>51</v>
          </cell>
          <cell r="Q282">
            <v>153</v>
          </cell>
          <cell r="R282">
            <v>63</v>
          </cell>
          <cell r="S282">
            <v>153</v>
          </cell>
          <cell r="T282">
            <v>-12</v>
          </cell>
          <cell r="U282">
            <v>0</v>
          </cell>
          <cell r="V282">
            <v>96</v>
          </cell>
          <cell r="W282">
            <v>300</v>
          </cell>
          <cell r="X282">
            <v>129</v>
          </cell>
          <cell r="Y282">
            <v>327</v>
          </cell>
          <cell r="Z282">
            <v>-33</v>
          </cell>
          <cell r="AA282">
            <v>-27</v>
          </cell>
          <cell r="AB282">
            <v>204</v>
          </cell>
          <cell r="AC282">
            <v>216</v>
          </cell>
          <cell r="AD282">
            <v>-12</v>
          </cell>
          <cell r="AE282">
            <v>396</v>
          </cell>
          <cell r="AF282">
            <v>456</v>
          </cell>
          <cell r="AG282">
            <v>-60</v>
          </cell>
        </row>
        <row r="283">
          <cell r="C283">
            <v>185551</v>
          </cell>
          <cell r="D283" t="str">
            <v>LADKAT PETROLEUM</v>
          </cell>
          <cell r="E283" t="str">
            <v>BPCL</v>
          </cell>
          <cell r="F283" t="str">
            <v>2014-15</v>
          </cell>
          <cell r="G283" t="str">
            <v>Ahmednagar West RSA</v>
          </cell>
          <cell r="J283" t="str">
            <v>Pargaon Sudrik</v>
          </cell>
          <cell r="K283" t="str">
            <v>Ahmednagar</v>
          </cell>
          <cell r="L283" t="str">
            <v>D2</v>
          </cell>
          <cell r="O283" t="str">
            <v>B</v>
          </cell>
          <cell r="P283">
            <v>30.5</v>
          </cell>
          <cell r="Q283">
            <v>115.5</v>
          </cell>
          <cell r="R283">
            <v>27</v>
          </cell>
          <cell r="S283">
            <v>105</v>
          </cell>
          <cell r="T283">
            <v>3.5</v>
          </cell>
          <cell r="U283">
            <v>10.5</v>
          </cell>
          <cell r="V283">
            <v>61</v>
          </cell>
          <cell r="W283">
            <v>219</v>
          </cell>
          <cell r="X283">
            <v>63</v>
          </cell>
          <cell r="Y283">
            <v>212</v>
          </cell>
          <cell r="Z283">
            <v>-2</v>
          </cell>
          <cell r="AA283">
            <v>7</v>
          </cell>
          <cell r="AB283">
            <v>146</v>
          </cell>
          <cell r="AC283">
            <v>132</v>
          </cell>
          <cell r="AD283">
            <v>14</v>
          </cell>
          <cell r="AE283">
            <v>280</v>
          </cell>
          <cell r="AF283">
            <v>275</v>
          </cell>
          <cell r="AG283">
            <v>5</v>
          </cell>
        </row>
        <row r="284">
          <cell r="C284">
            <v>185997</v>
          </cell>
          <cell r="D284" t="str">
            <v>ARNAV PETROLEUM</v>
          </cell>
          <cell r="E284" t="str">
            <v>BPCL</v>
          </cell>
          <cell r="F284" t="str">
            <v>2014-15</v>
          </cell>
          <cell r="G284" t="str">
            <v>Pune Saswad RSA</v>
          </cell>
          <cell r="J284" t="str">
            <v>WALCHANDNAGAR-BAVDA ROAD</v>
          </cell>
          <cell r="K284" t="str">
            <v>Pune</v>
          </cell>
          <cell r="L284" t="str">
            <v>D2</v>
          </cell>
          <cell r="O284" t="str">
            <v>B</v>
          </cell>
          <cell r="P284">
            <v>20</v>
          </cell>
          <cell r="Q284">
            <v>52</v>
          </cell>
          <cell r="R284">
            <v>14</v>
          </cell>
          <cell r="S284">
            <v>38</v>
          </cell>
          <cell r="T284">
            <v>6</v>
          </cell>
          <cell r="U284">
            <v>14</v>
          </cell>
          <cell r="V284">
            <v>38</v>
          </cell>
          <cell r="W284">
            <v>94</v>
          </cell>
          <cell r="X284">
            <v>29</v>
          </cell>
          <cell r="Y284">
            <v>79</v>
          </cell>
          <cell r="Z284">
            <v>9</v>
          </cell>
          <cell r="AA284">
            <v>15</v>
          </cell>
          <cell r="AB284">
            <v>72</v>
          </cell>
          <cell r="AC284">
            <v>52</v>
          </cell>
          <cell r="AD284">
            <v>20</v>
          </cell>
          <cell r="AE284">
            <v>132</v>
          </cell>
          <cell r="AF284">
            <v>108</v>
          </cell>
          <cell r="AG284">
            <v>24</v>
          </cell>
        </row>
        <row r="285">
          <cell r="C285">
            <v>186188</v>
          </cell>
          <cell r="D285" t="str">
            <v>Aaruj Petroleun</v>
          </cell>
          <cell r="E285" t="str">
            <v>BPCL</v>
          </cell>
          <cell r="F285" t="str">
            <v>2014-15</v>
          </cell>
          <cell r="G285" t="str">
            <v>Pune Tathawade RSA</v>
          </cell>
          <cell r="J285" t="str">
            <v>BARAMATI BHIGWAN ROAD</v>
          </cell>
          <cell r="K285" t="str">
            <v>Pune</v>
          </cell>
          <cell r="L285" t="str">
            <v>D2</v>
          </cell>
          <cell r="O285" t="str">
            <v>B</v>
          </cell>
          <cell r="P285">
            <v>24</v>
          </cell>
          <cell r="Q285">
            <v>24</v>
          </cell>
          <cell r="R285">
            <v>16</v>
          </cell>
          <cell r="S285">
            <v>14</v>
          </cell>
          <cell r="T285">
            <v>8</v>
          </cell>
          <cell r="U285">
            <v>10</v>
          </cell>
          <cell r="V285">
            <v>36</v>
          </cell>
          <cell r="W285">
            <v>36</v>
          </cell>
          <cell r="X285">
            <v>37</v>
          </cell>
          <cell r="Y285">
            <v>29</v>
          </cell>
          <cell r="Z285">
            <v>-1</v>
          </cell>
          <cell r="AA285">
            <v>7</v>
          </cell>
          <cell r="AB285">
            <v>48</v>
          </cell>
          <cell r="AC285">
            <v>30</v>
          </cell>
          <cell r="AD285">
            <v>18</v>
          </cell>
          <cell r="AE285">
            <v>72</v>
          </cell>
          <cell r="AF285">
            <v>66</v>
          </cell>
          <cell r="AG285">
            <v>6</v>
          </cell>
        </row>
        <row r="286">
          <cell r="C286">
            <v>186208</v>
          </cell>
          <cell r="D286" t="str">
            <v>VIJAY PETROLEUM  (ADHOC) Vasudha Petroleum Adhoc</v>
          </cell>
          <cell r="E286" t="str">
            <v>BPCL</v>
          </cell>
          <cell r="G286" t="str">
            <v>Satara East RSA</v>
          </cell>
          <cell r="J286" t="str">
            <v>Waduj</v>
          </cell>
          <cell r="K286" t="str">
            <v>Satara</v>
          </cell>
          <cell r="L286" t="str">
            <v>D2</v>
          </cell>
          <cell r="O286" t="str">
            <v>B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C287">
            <v>186495</v>
          </cell>
          <cell r="D287" t="str">
            <v>PRAJVAL PETROLEUM</v>
          </cell>
          <cell r="E287" t="str">
            <v>BPCL</v>
          </cell>
          <cell r="F287" t="str">
            <v>2014-15</v>
          </cell>
          <cell r="G287" t="str">
            <v>Ahmednagar East RSA</v>
          </cell>
          <cell r="J287" t="str">
            <v>Bodhegaon</v>
          </cell>
          <cell r="K287" t="str">
            <v>Ahmednagar</v>
          </cell>
          <cell r="L287" t="str">
            <v>D2</v>
          </cell>
          <cell r="O287" t="str">
            <v>B</v>
          </cell>
          <cell r="P287">
            <v>48</v>
          </cell>
          <cell r="Q287">
            <v>192</v>
          </cell>
          <cell r="R287">
            <v>57</v>
          </cell>
          <cell r="S287">
            <v>135</v>
          </cell>
          <cell r="T287">
            <v>-9</v>
          </cell>
          <cell r="U287">
            <v>57</v>
          </cell>
          <cell r="V287">
            <v>93</v>
          </cell>
          <cell r="W287">
            <v>279</v>
          </cell>
          <cell r="X287">
            <v>99</v>
          </cell>
          <cell r="Y287">
            <v>225</v>
          </cell>
          <cell r="Z287">
            <v>-6</v>
          </cell>
          <cell r="AA287">
            <v>54</v>
          </cell>
          <cell r="AB287">
            <v>240</v>
          </cell>
          <cell r="AC287">
            <v>192</v>
          </cell>
          <cell r="AD287">
            <v>48</v>
          </cell>
          <cell r="AE287">
            <v>372</v>
          </cell>
          <cell r="AF287">
            <v>324</v>
          </cell>
          <cell r="AG287">
            <v>48</v>
          </cell>
        </row>
        <row r="288">
          <cell r="C288">
            <v>186679</v>
          </cell>
          <cell r="D288" t="str">
            <v>Balsiddhanath Petroleum</v>
          </cell>
          <cell r="E288" t="str">
            <v>BPCL</v>
          </cell>
          <cell r="F288" t="str">
            <v>2014-15</v>
          </cell>
          <cell r="G288" t="str">
            <v>Satara East RSA</v>
          </cell>
          <cell r="J288" t="str">
            <v>Khandala</v>
          </cell>
          <cell r="K288" t="str">
            <v>Satara</v>
          </cell>
          <cell r="L288" t="str">
            <v>E</v>
          </cell>
          <cell r="O288" t="str">
            <v>B</v>
          </cell>
          <cell r="P288">
            <v>9</v>
          </cell>
          <cell r="Q288">
            <v>63</v>
          </cell>
          <cell r="R288">
            <v>9</v>
          </cell>
          <cell r="S288">
            <v>39</v>
          </cell>
          <cell r="T288">
            <v>0</v>
          </cell>
          <cell r="U288">
            <v>24</v>
          </cell>
          <cell r="V288">
            <v>21</v>
          </cell>
          <cell r="W288">
            <v>111</v>
          </cell>
          <cell r="X288">
            <v>18</v>
          </cell>
          <cell r="Y288">
            <v>90</v>
          </cell>
          <cell r="Z288">
            <v>3</v>
          </cell>
          <cell r="AA288">
            <v>21</v>
          </cell>
          <cell r="AB288">
            <v>72</v>
          </cell>
          <cell r="AC288">
            <v>48</v>
          </cell>
          <cell r="AD288">
            <v>24</v>
          </cell>
          <cell r="AE288">
            <v>132</v>
          </cell>
          <cell r="AF288">
            <v>108</v>
          </cell>
          <cell r="AG288">
            <v>24</v>
          </cell>
        </row>
        <row r="289">
          <cell r="C289">
            <v>186741</v>
          </cell>
          <cell r="D289" t="str">
            <v>SHREEDATTA PETROLEUM</v>
          </cell>
          <cell r="E289" t="str">
            <v>BPCL</v>
          </cell>
          <cell r="F289" t="str">
            <v>2014-15</v>
          </cell>
          <cell r="G289" t="str">
            <v>Ahmednagar West RSA</v>
          </cell>
          <cell r="J289" t="str">
            <v>Halgaon</v>
          </cell>
          <cell r="K289" t="str">
            <v>Ahmednagar</v>
          </cell>
          <cell r="L289" t="str">
            <v>E</v>
          </cell>
          <cell r="O289" t="str">
            <v>B</v>
          </cell>
          <cell r="P289">
            <v>32</v>
          </cell>
          <cell r="Q289">
            <v>136</v>
          </cell>
          <cell r="R289">
            <v>23</v>
          </cell>
          <cell r="S289">
            <v>61</v>
          </cell>
          <cell r="T289">
            <v>9</v>
          </cell>
          <cell r="U289">
            <v>75</v>
          </cell>
          <cell r="V289">
            <v>60</v>
          </cell>
          <cell r="W289">
            <v>228</v>
          </cell>
          <cell r="X289">
            <v>47</v>
          </cell>
          <cell r="Y289">
            <v>169</v>
          </cell>
          <cell r="Z289">
            <v>13</v>
          </cell>
          <cell r="AA289">
            <v>59</v>
          </cell>
          <cell r="AB289">
            <v>168</v>
          </cell>
          <cell r="AC289">
            <v>84</v>
          </cell>
          <cell r="AD289">
            <v>84</v>
          </cell>
          <cell r="AE289">
            <v>288</v>
          </cell>
          <cell r="AF289">
            <v>216</v>
          </cell>
          <cell r="AG289">
            <v>72</v>
          </cell>
        </row>
        <row r="290">
          <cell r="C290">
            <v>187630</v>
          </cell>
          <cell r="D290" t="str">
            <v>PADMA PETROLEUM</v>
          </cell>
          <cell r="E290" t="str">
            <v>BPCL</v>
          </cell>
          <cell r="F290" t="str">
            <v>2014-15</v>
          </cell>
          <cell r="G290" t="str">
            <v>Pune Saswad RSA</v>
          </cell>
          <cell r="J290" t="str">
            <v>Bhigwan - Baramati Road</v>
          </cell>
          <cell r="K290" t="str">
            <v>Pune</v>
          </cell>
          <cell r="L290" t="str">
            <v>D2</v>
          </cell>
          <cell r="O290" t="str">
            <v>B</v>
          </cell>
          <cell r="P290">
            <v>6</v>
          </cell>
          <cell r="Q290">
            <v>42</v>
          </cell>
          <cell r="R290">
            <v>12</v>
          </cell>
          <cell r="S290">
            <v>36</v>
          </cell>
          <cell r="T290">
            <v>-6</v>
          </cell>
          <cell r="U290">
            <v>6</v>
          </cell>
          <cell r="V290">
            <v>15</v>
          </cell>
          <cell r="W290">
            <v>69</v>
          </cell>
          <cell r="X290">
            <v>28</v>
          </cell>
          <cell r="Y290">
            <v>80</v>
          </cell>
          <cell r="Z290">
            <v>-13</v>
          </cell>
          <cell r="AA290">
            <v>-11</v>
          </cell>
          <cell r="AB290">
            <v>48</v>
          </cell>
          <cell r="AC290">
            <v>48</v>
          </cell>
          <cell r="AD290">
            <v>0</v>
          </cell>
          <cell r="AE290">
            <v>84</v>
          </cell>
          <cell r="AF290">
            <v>108</v>
          </cell>
          <cell r="AG290">
            <v>-24</v>
          </cell>
        </row>
        <row r="291">
          <cell r="C291">
            <v>187759</v>
          </cell>
          <cell r="D291" t="str">
            <v>YOGESHWAR PETROLEUM</v>
          </cell>
          <cell r="E291" t="str">
            <v>BPCL</v>
          </cell>
          <cell r="F291" t="str">
            <v>2014-15</v>
          </cell>
          <cell r="G291" t="str">
            <v>Ahmednagar East RSA</v>
          </cell>
          <cell r="J291" t="str">
            <v>Amrapur</v>
          </cell>
          <cell r="K291" t="str">
            <v>Ahmednagar</v>
          </cell>
          <cell r="L291" t="str">
            <v>D2</v>
          </cell>
          <cell r="O291" t="str">
            <v>B</v>
          </cell>
          <cell r="P291">
            <v>52</v>
          </cell>
          <cell r="Q291">
            <v>143</v>
          </cell>
          <cell r="R291">
            <v>46</v>
          </cell>
          <cell r="S291">
            <v>137</v>
          </cell>
          <cell r="T291">
            <v>6</v>
          </cell>
          <cell r="U291">
            <v>6</v>
          </cell>
          <cell r="V291">
            <v>88.5</v>
          </cell>
          <cell r="W291">
            <v>252.5</v>
          </cell>
          <cell r="X291">
            <v>88</v>
          </cell>
          <cell r="Y291">
            <v>259</v>
          </cell>
          <cell r="Z291">
            <v>0.5</v>
          </cell>
          <cell r="AA291">
            <v>-6.5</v>
          </cell>
          <cell r="AB291">
            <v>195</v>
          </cell>
          <cell r="AC291">
            <v>183</v>
          </cell>
          <cell r="AD291">
            <v>12</v>
          </cell>
          <cell r="AE291">
            <v>341</v>
          </cell>
          <cell r="AF291">
            <v>347</v>
          </cell>
          <cell r="AG291">
            <v>-6</v>
          </cell>
        </row>
        <row r="292">
          <cell r="C292">
            <v>187810</v>
          </cell>
          <cell r="D292" t="str">
            <v>Shevantai Petroleum</v>
          </cell>
          <cell r="E292" t="str">
            <v>BPCL</v>
          </cell>
          <cell r="F292" t="str">
            <v>2015-16</v>
          </cell>
          <cell r="G292" t="str">
            <v>Pune Wagholi RSA</v>
          </cell>
          <cell r="J292" t="str">
            <v>Narayangaon</v>
          </cell>
          <cell r="K292" t="str">
            <v>Pune</v>
          </cell>
          <cell r="L292" t="str">
            <v>C</v>
          </cell>
          <cell r="O292" t="str">
            <v>A</v>
          </cell>
          <cell r="P292">
            <v>55</v>
          </cell>
          <cell r="Q292">
            <v>105</v>
          </cell>
          <cell r="R292">
            <v>45</v>
          </cell>
          <cell r="S292">
            <v>75</v>
          </cell>
          <cell r="T292">
            <v>10</v>
          </cell>
          <cell r="U292">
            <v>30</v>
          </cell>
          <cell r="V292">
            <v>95</v>
          </cell>
          <cell r="W292">
            <v>185</v>
          </cell>
          <cell r="X292">
            <v>95</v>
          </cell>
          <cell r="Y292">
            <v>165</v>
          </cell>
          <cell r="Z292">
            <v>0</v>
          </cell>
          <cell r="AA292">
            <v>20</v>
          </cell>
          <cell r="AB292">
            <v>160</v>
          </cell>
          <cell r="AC292">
            <v>120</v>
          </cell>
          <cell r="AD292">
            <v>40</v>
          </cell>
          <cell r="AE292">
            <v>280</v>
          </cell>
          <cell r="AF292">
            <v>260</v>
          </cell>
          <cell r="AG292">
            <v>20</v>
          </cell>
        </row>
        <row r="293">
          <cell r="C293">
            <v>187824</v>
          </cell>
          <cell r="D293" t="str">
            <v>J P Divekar &amp; Sons</v>
          </cell>
          <cell r="E293" t="str">
            <v>BPCL</v>
          </cell>
          <cell r="F293" t="str">
            <v>2015-16</v>
          </cell>
          <cell r="G293" t="str">
            <v>Pune Hadapsar RSA</v>
          </cell>
          <cell r="J293" t="str">
            <v>Varvand LHS</v>
          </cell>
          <cell r="K293" t="str">
            <v>Pune</v>
          </cell>
          <cell r="L293" t="str">
            <v>D1</v>
          </cell>
          <cell r="M293" t="str">
            <v>NH-65</v>
          </cell>
          <cell r="O293" t="str">
            <v>A</v>
          </cell>
          <cell r="P293">
            <v>29.5</v>
          </cell>
          <cell r="Q293">
            <v>89.5</v>
          </cell>
          <cell r="R293">
            <v>31</v>
          </cell>
          <cell r="S293">
            <v>89</v>
          </cell>
          <cell r="T293">
            <v>-1.5</v>
          </cell>
          <cell r="U293">
            <v>0.5</v>
          </cell>
          <cell r="V293">
            <v>53.5</v>
          </cell>
          <cell r="W293">
            <v>181.5</v>
          </cell>
          <cell r="X293">
            <v>53</v>
          </cell>
          <cell r="Y293">
            <v>171</v>
          </cell>
          <cell r="Z293">
            <v>0.5</v>
          </cell>
          <cell r="AA293">
            <v>10.5</v>
          </cell>
          <cell r="AB293">
            <v>119</v>
          </cell>
          <cell r="AC293">
            <v>120</v>
          </cell>
          <cell r="AD293">
            <v>-1</v>
          </cell>
          <cell r="AE293">
            <v>235</v>
          </cell>
          <cell r="AF293">
            <v>224</v>
          </cell>
          <cell r="AG293">
            <v>11</v>
          </cell>
        </row>
        <row r="294">
          <cell r="C294">
            <v>187826</v>
          </cell>
          <cell r="D294" t="str">
            <v>Babji Petroleum</v>
          </cell>
          <cell r="E294" t="str">
            <v>BPCL</v>
          </cell>
          <cell r="F294" t="str">
            <v>2015-16</v>
          </cell>
          <cell r="G294" t="str">
            <v>Pune City RSA</v>
          </cell>
          <cell r="J294" t="str">
            <v>AMBEGAON/WARJE</v>
          </cell>
          <cell r="K294" t="str">
            <v>Pune</v>
          </cell>
          <cell r="L294" t="str">
            <v>A</v>
          </cell>
          <cell r="O294" t="str">
            <v>A</v>
          </cell>
          <cell r="P294">
            <v>599</v>
          </cell>
          <cell r="Q294">
            <v>639</v>
          </cell>
          <cell r="R294">
            <v>535</v>
          </cell>
          <cell r="S294">
            <v>565</v>
          </cell>
          <cell r="T294">
            <v>64</v>
          </cell>
          <cell r="U294">
            <v>74</v>
          </cell>
          <cell r="V294">
            <v>1148</v>
          </cell>
          <cell r="W294">
            <v>1216</v>
          </cell>
          <cell r="X294">
            <v>1080</v>
          </cell>
          <cell r="Y294">
            <v>1100</v>
          </cell>
          <cell r="Z294">
            <v>68</v>
          </cell>
          <cell r="AA294">
            <v>116</v>
          </cell>
          <cell r="AB294">
            <v>1238</v>
          </cell>
          <cell r="AC294">
            <v>1100</v>
          </cell>
          <cell r="AD294">
            <v>138</v>
          </cell>
          <cell r="AE294">
            <v>2364</v>
          </cell>
          <cell r="AF294">
            <v>2180</v>
          </cell>
          <cell r="AG294">
            <v>184</v>
          </cell>
        </row>
        <row r="295">
          <cell r="C295">
            <v>188080</v>
          </cell>
          <cell r="D295" t="str">
            <v>YUVRAJ PETROLEUM</v>
          </cell>
          <cell r="E295" t="str">
            <v>BPCL</v>
          </cell>
          <cell r="F295" t="str">
            <v>2014-15</v>
          </cell>
          <cell r="G295" t="str">
            <v>Ahmednagar West RSA</v>
          </cell>
          <cell r="J295" t="str">
            <v>MAHI JALGAON-NH</v>
          </cell>
          <cell r="K295" t="str">
            <v>Ahmednagar</v>
          </cell>
          <cell r="L295" t="str">
            <v>D2</v>
          </cell>
          <cell r="O295" t="str">
            <v>B</v>
          </cell>
          <cell r="P295">
            <v>54</v>
          </cell>
          <cell r="Q295">
            <v>210</v>
          </cell>
          <cell r="R295">
            <v>48</v>
          </cell>
          <cell r="S295">
            <v>204</v>
          </cell>
          <cell r="T295">
            <v>6</v>
          </cell>
          <cell r="U295">
            <v>6</v>
          </cell>
          <cell r="V295">
            <v>93</v>
          </cell>
          <cell r="W295">
            <v>471</v>
          </cell>
          <cell r="X295">
            <v>89</v>
          </cell>
          <cell r="Y295">
            <v>429</v>
          </cell>
          <cell r="Z295">
            <v>4</v>
          </cell>
          <cell r="AA295">
            <v>42</v>
          </cell>
          <cell r="AB295">
            <v>264</v>
          </cell>
          <cell r="AC295">
            <v>252</v>
          </cell>
          <cell r="AD295">
            <v>12</v>
          </cell>
          <cell r="AE295">
            <v>564</v>
          </cell>
          <cell r="AF295">
            <v>518</v>
          </cell>
          <cell r="AG295">
            <v>46</v>
          </cell>
        </row>
        <row r="296">
          <cell r="C296">
            <v>188201</v>
          </cell>
          <cell r="D296" t="str">
            <v>PREMSHREE PETROLEUM</v>
          </cell>
          <cell r="E296" t="str">
            <v>BPCL</v>
          </cell>
          <cell r="F296" t="str">
            <v>2014-15</v>
          </cell>
          <cell r="G296" t="str">
            <v>Ahmednagar West RSA</v>
          </cell>
          <cell r="J296" t="str">
            <v>PATHARDI-SH</v>
          </cell>
          <cell r="K296" t="str">
            <v>Ahmednagar</v>
          </cell>
          <cell r="L296" t="str">
            <v>D2</v>
          </cell>
          <cell r="O296" t="str">
            <v>A</v>
          </cell>
          <cell r="P296">
            <v>52</v>
          </cell>
          <cell r="Q296">
            <v>83</v>
          </cell>
          <cell r="R296">
            <v>54</v>
          </cell>
          <cell r="S296">
            <v>74</v>
          </cell>
          <cell r="T296">
            <v>-2</v>
          </cell>
          <cell r="U296">
            <v>9</v>
          </cell>
          <cell r="V296">
            <v>99</v>
          </cell>
          <cell r="W296">
            <v>138</v>
          </cell>
          <cell r="X296">
            <v>114</v>
          </cell>
          <cell r="Y296">
            <v>138</v>
          </cell>
          <cell r="Z296">
            <v>-15</v>
          </cell>
          <cell r="AA296">
            <v>0</v>
          </cell>
          <cell r="AB296">
            <v>135</v>
          </cell>
          <cell r="AC296">
            <v>128</v>
          </cell>
          <cell r="AD296">
            <v>7</v>
          </cell>
          <cell r="AE296">
            <v>237</v>
          </cell>
          <cell r="AF296">
            <v>252</v>
          </cell>
          <cell r="AG296">
            <v>-15</v>
          </cell>
        </row>
        <row r="297">
          <cell r="C297">
            <v>188243</v>
          </cell>
          <cell r="D297" t="str">
            <v>SIDDHESHWAR PETROLEUM</v>
          </cell>
          <cell r="E297" t="str">
            <v>BPCL</v>
          </cell>
          <cell r="F297" t="str">
            <v>2015-16</v>
          </cell>
          <cell r="G297" t="str">
            <v>Ahmednagar West RSA</v>
          </cell>
          <cell r="J297" t="str">
            <v>MIRAJGAON-SH</v>
          </cell>
          <cell r="K297" t="str">
            <v>Ahmednagar</v>
          </cell>
          <cell r="L297" t="str">
            <v>D2</v>
          </cell>
          <cell r="O297" t="str">
            <v>B</v>
          </cell>
          <cell r="P297">
            <v>15</v>
          </cell>
          <cell r="Q297">
            <v>57</v>
          </cell>
          <cell r="R297">
            <v>9</v>
          </cell>
          <cell r="S297">
            <v>39</v>
          </cell>
          <cell r="T297">
            <v>6</v>
          </cell>
          <cell r="U297">
            <v>18</v>
          </cell>
          <cell r="V297">
            <v>27</v>
          </cell>
          <cell r="W297">
            <v>93</v>
          </cell>
          <cell r="X297">
            <v>18</v>
          </cell>
          <cell r="Y297">
            <v>78</v>
          </cell>
          <cell r="Z297">
            <v>9</v>
          </cell>
          <cell r="AA297">
            <v>15</v>
          </cell>
          <cell r="AB297">
            <v>72</v>
          </cell>
          <cell r="AC297">
            <v>48</v>
          </cell>
          <cell r="AD297">
            <v>24</v>
          </cell>
          <cell r="AE297">
            <v>120</v>
          </cell>
          <cell r="AF297">
            <v>96</v>
          </cell>
          <cell r="AG297">
            <v>24</v>
          </cell>
        </row>
        <row r="298">
          <cell r="C298">
            <v>188446</v>
          </cell>
          <cell r="D298" t="str">
            <v>SUJAY PETROLEUM</v>
          </cell>
          <cell r="E298" t="str">
            <v>BPCL</v>
          </cell>
          <cell r="F298" t="str">
            <v>2014-15</v>
          </cell>
          <cell r="G298" t="str">
            <v>Shirdi RSA</v>
          </cell>
          <cell r="J298" t="str">
            <v>SANGAMNER - GOLIBAR</v>
          </cell>
          <cell r="K298" t="str">
            <v>Ahmednagar</v>
          </cell>
          <cell r="L298" t="str">
            <v>C</v>
          </cell>
          <cell r="O298" t="str">
            <v>B</v>
          </cell>
          <cell r="P298">
            <v>33.5</v>
          </cell>
          <cell r="Q298">
            <v>33.5</v>
          </cell>
          <cell r="R298">
            <v>40</v>
          </cell>
          <cell r="S298">
            <v>34</v>
          </cell>
          <cell r="T298">
            <v>-6.5</v>
          </cell>
          <cell r="U298">
            <v>-0.5</v>
          </cell>
          <cell r="V298">
            <v>57.5</v>
          </cell>
          <cell r="W298">
            <v>57.5</v>
          </cell>
          <cell r="X298">
            <v>72</v>
          </cell>
          <cell r="Y298">
            <v>54</v>
          </cell>
          <cell r="Z298">
            <v>-14.5</v>
          </cell>
          <cell r="AA298">
            <v>3.5</v>
          </cell>
          <cell r="AB298">
            <v>67</v>
          </cell>
          <cell r="AC298">
            <v>74</v>
          </cell>
          <cell r="AD298">
            <v>-7</v>
          </cell>
          <cell r="AE298">
            <v>115</v>
          </cell>
          <cell r="AF298">
            <v>126</v>
          </cell>
          <cell r="AG298">
            <v>-11</v>
          </cell>
        </row>
        <row r="299">
          <cell r="C299">
            <v>188568</v>
          </cell>
          <cell r="D299" t="str">
            <v>RAJ ENTERPRISES</v>
          </cell>
          <cell r="E299" t="str">
            <v>BPCL</v>
          </cell>
          <cell r="F299" t="str">
            <v>2014-15</v>
          </cell>
          <cell r="G299" t="str">
            <v>Shirdi RSA</v>
          </cell>
          <cell r="J299" t="str">
            <v>BHAIRAVNATH NAGAR</v>
          </cell>
          <cell r="K299" t="str">
            <v>Ahmednagar</v>
          </cell>
          <cell r="L299" t="str">
            <v>D2</v>
          </cell>
          <cell r="O299" t="str">
            <v>A</v>
          </cell>
          <cell r="P299">
            <v>57</v>
          </cell>
          <cell r="Q299">
            <v>39</v>
          </cell>
          <cell r="R299">
            <v>73</v>
          </cell>
          <cell r="S299">
            <v>33</v>
          </cell>
          <cell r="T299">
            <v>-16</v>
          </cell>
          <cell r="U299">
            <v>6</v>
          </cell>
          <cell r="V299">
            <v>108</v>
          </cell>
          <cell r="W299">
            <v>60</v>
          </cell>
          <cell r="X299">
            <v>136</v>
          </cell>
          <cell r="Y299">
            <v>54</v>
          </cell>
          <cell r="Z299">
            <v>-28</v>
          </cell>
          <cell r="AA299">
            <v>6</v>
          </cell>
          <cell r="AB299">
            <v>96</v>
          </cell>
          <cell r="AC299">
            <v>106</v>
          </cell>
          <cell r="AD299">
            <v>-10</v>
          </cell>
          <cell r="AE299">
            <v>168</v>
          </cell>
          <cell r="AF299">
            <v>190</v>
          </cell>
          <cell r="AG299">
            <v>-22</v>
          </cell>
        </row>
        <row r="300">
          <cell r="C300">
            <v>188855</v>
          </cell>
          <cell r="D300" t="str">
            <v>VARAD PETROLEUM</v>
          </cell>
          <cell r="E300" t="str">
            <v>BPCL</v>
          </cell>
          <cell r="F300" t="str">
            <v>2015-16</v>
          </cell>
          <cell r="G300" t="str">
            <v>Pune Wagholi RSA</v>
          </cell>
          <cell r="J300" t="str">
            <v>Koregaon Bhima to Shikrapur LHS</v>
          </cell>
          <cell r="K300" t="str">
            <v>Pune</v>
          </cell>
          <cell r="L300" t="str">
            <v>D1</v>
          </cell>
          <cell r="M300" t="str">
            <v>NH-753F</v>
          </cell>
          <cell r="O300" t="str">
            <v>A</v>
          </cell>
          <cell r="P300">
            <v>69</v>
          </cell>
          <cell r="Q300">
            <v>173</v>
          </cell>
          <cell r="R300">
            <v>61</v>
          </cell>
          <cell r="S300">
            <v>151</v>
          </cell>
          <cell r="T300">
            <v>8</v>
          </cell>
          <cell r="U300">
            <v>22</v>
          </cell>
          <cell r="V300">
            <v>129</v>
          </cell>
          <cell r="W300">
            <v>318</v>
          </cell>
          <cell r="X300">
            <v>116</v>
          </cell>
          <cell r="Y300">
            <v>297</v>
          </cell>
          <cell r="Z300">
            <v>13</v>
          </cell>
          <cell r="AA300">
            <v>21</v>
          </cell>
          <cell r="AB300">
            <v>242</v>
          </cell>
          <cell r="AC300">
            <v>212</v>
          </cell>
          <cell r="AD300">
            <v>30</v>
          </cell>
          <cell r="AE300">
            <v>447</v>
          </cell>
          <cell r="AF300">
            <v>413</v>
          </cell>
          <cell r="AG300">
            <v>34</v>
          </cell>
        </row>
        <row r="301">
          <cell r="C301">
            <v>188859</v>
          </cell>
          <cell r="D301" t="str">
            <v>Kedarnath Petroleum</v>
          </cell>
          <cell r="E301" t="str">
            <v>BPCL</v>
          </cell>
          <cell r="F301" t="str">
            <v>2015-16</v>
          </cell>
          <cell r="G301" t="str">
            <v>Satara West RSA</v>
          </cell>
          <cell r="J301" t="str">
            <v>KARAD ON NH 48 RHS</v>
          </cell>
          <cell r="K301" t="str">
            <v>Satara</v>
          </cell>
          <cell r="L301" t="str">
            <v>D1</v>
          </cell>
          <cell r="M301" t="str">
            <v>NH-48</v>
          </cell>
          <cell r="O301" t="str">
            <v>A</v>
          </cell>
          <cell r="P301">
            <v>43</v>
          </cell>
          <cell r="Q301">
            <v>115</v>
          </cell>
          <cell r="R301">
            <v>47</v>
          </cell>
          <cell r="S301">
            <v>137</v>
          </cell>
          <cell r="T301">
            <v>-4</v>
          </cell>
          <cell r="U301">
            <v>-22</v>
          </cell>
          <cell r="V301">
            <v>73.5</v>
          </cell>
          <cell r="W301">
            <v>230.5</v>
          </cell>
          <cell r="X301">
            <v>96</v>
          </cell>
          <cell r="Y301">
            <v>272</v>
          </cell>
          <cell r="Z301">
            <v>-22.5</v>
          </cell>
          <cell r="AA301">
            <v>-41.5</v>
          </cell>
          <cell r="AB301">
            <v>158</v>
          </cell>
          <cell r="AC301">
            <v>184</v>
          </cell>
          <cell r="AD301">
            <v>-26</v>
          </cell>
          <cell r="AE301">
            <v>304</v>
          </cell>
          <cell r="AF301">
            <v>368</v>
          </cell>
          <cell r="AG301">
            <v>-64</v>
          </cell>
        </row>
        <row r="302">
          <cell r="C302">
            <v>189606</v>
          </cell>
          <cell r="D302" t="str">
            <v>Shitole Petroleum</v>
          </cell>
          <cell r="E302" t="str">
            <v>BPCL</v>
          </cell>
          <cell r="F302" t="str">
            <v>2015-16</v>
          </cell>
          <cell r="G302" t="str">
            <v>Pune City RSA</v>
          </cell>
          <cell r="J302" t="str">
            <v>SANGAVI</v>
          </cell>
          <cell r="K302" t="str">
            <v>Pune</v>
          </cell>
          <cell r="L302" t="str">
            <v>A</v>
          </cell>
          <cell r="O302" t="str">
            <v>A</v>
          </cell>
          <cell r="P302">
            <v>247</v>
          </cell>
          <cell r="Q302">
            <v>73</v>
          </cell>
          <cell r="R302">
            <v>250</v>
          </cell>
          <cell r="S302">
            <v>70</v>
          </cell>
          <cell r="T302">
            <v>-3</v>
          </cell>
          <cell r="U302">
            <v>3</v>
          </cell>
          <cell r="V302">
            <v>480</v>
          </cell>
          <cell r="W302">
            <v>148</v>
          </cell>
          <cell r="X302">
            <v>500</v>
          </cell>
          <cell r="Y302">
            <v>140</v>
          </cell>
          <cell r="Z302">
            <v>-20</v>
          </cell>
          <cell r="AA302">
            <v>8</v>
          </cell>
          <cell r="AB302">
            <v>320</v>
          </cell>
          <cell r="AC302">
            <v>320</v>
          </cell>
          <cell r="AD302">
            <v>0</v>
          </cell>
          <cell r="AE302">
            <v>628</v>
          </cell>
          <cell r="AF302">
            <v>640</v>
          </cell>
          <cell r="AG302">
            <v>-12</v>
          </cell>
        </row>
        <row r="303">
          <cell r="C303">
            <v>190129</v>
          </cell>
          <cell r="D303" t="str">
            <v>K. B. Petroleum</v>
          </cell>
          <cell r="E303" t="str">
            <v>BPCL</v>
          </cell>
          <cell r="F303" t="str">
            <v>2015-16</v>
          </cell>
          <cell r="G303" t="str">
            <v>Pune City RSA</v>
          </cell>
          <cell r="J303" t="str">
            <v>HINJEWADI</v>
          </cell>
          <cell r="K303" t="str">
            <v>Pune</v>
          </cell>
          <cell r="L303" t="str">
            <v>A</v>
          </cell>
          <cell r="O303" t="str">
            <v>B</v>
          </cell>
          <cell r="P303">
            <v>200</v>
          </cell>
          <cell r="Q303">
            <v>220</v>
          </cell>
          <cell r="R303">
            <v>190</v>
          </cell>
          <cell r="S303">
            <v>190</v>
          </cell>
          <cell r="T303">
            <v>10</v>
          </cell>
          <cell r="U303">
            <v>30</v>
          </cell>
          <cell r="V303">
            <v>370</v>
          </cell>
          <cell r="W303">
            <v>410</v>
          </cell>
          <cell r="X303">
            <v>380</v>
          </cell>
          <cell r="Y303">
            <v>420</v>
          </cell>
          <cell r="Z303">
            <v>-10</v>
          </cell>
          <cell r="AA303">
            <v>-10</v>
          </cell>
          <cell r="AB303">
            <v>420</v>
          </cell>
          <cell r="AC303">
            <v>380</v>
          </cell>
          <cell r="AD303">
            <v>40</v>
          </cell>
          <cell r="AE303">
            <v>780</v>
          </cell>
          <cell r="AF303">
            <v>800</v>
          </cell>
          <cell r="AG303">
            <v>-20</v>
          </cell>
        </row>
        <row r="304">
          <cell r="C304">
            <v>190152</v>
          </cell>
          <cell r="D304" t="str">
            <v>Radhey Petroleum</v>
          </cell>
          <cell r="E304" t="str">
            <v>BPCL</v>
          </cell>
          <cell r="F304" t="str">
            <v>2015-16</v>
          </cell>
          <cell r="G304" t="str">
            <v>Satara West RSA</v>
          </cell>
          <cell r="J304" t="str">
            <v>Wadhe to Shivthar</v>
          </cell>
          <cell r="K304" t="str">
            <v>Satara</v>
          </cell>
          <cell r="L304" t="str">
            <v>D1</v>
          </cell>
          <cell r="M304" t="str">
            <v>NH-965D</v>
          </cell>
          <cell r="O304" t="str">
            <v>B</v>
          </cell>
          <cell r="P304">
            <v>44</v>
          </cell>
          <cell r="Q304">
            <v>64</v>
          </cell>
          <cell r="R304">
            <v>56</v>
          </cell>
          <cell r="S304">
            <v>100</v>
          </cell>
          <cell r="T304">
            <v>-12</v>
          </cell>
          <cell r="U304">
            <v>-36</v>
          </cell>
          <cell r="V304">
            <v>88</v>
          </cell>
          <cell r="W304">
            <v>140</v>
          </cell>
          <cell r="X304">
            <v>116</v>
          </cell>
          <cell r="Y304">
            <v>196</v>
          </cell>
          <cell r="Z304">
            <v>-28</v>
          </cell>
          <cell r="AA304">
            <v>-56</v>
          </cell>
          <cell r="AB304">
            <v>108</v>
          </cell>
          <cell r="AC304">
            <v>156</v>
          </cell>
          <cell r="AD304">
            <v>-48</v>
          </cell>
          <cell r="AE304">
            <v>228</v>
          </cell>
          <cell r="AF304">
            <v>312</v>
          </cell>
          <cell r="AG304">
            <v>-84</v>
          </cell>
        </row>
        <row r="305">
          <cell r="C305">
            <v>190309</v>
          </cell>
          <cell r="D305" t="str">
            <v>ARYAN PETROLEUM</v>
          </cell>
          <cell r="E305" t="str">
            <v>BPCL</v>
          </cell>
          <cell r="F305" t="str">
            <v>2015-16</v>
          </cell>
          <cell r="G305" t="str">
            <v>Pune City RSA</v>
          </cell>
          <cell r="J305" t="str">
            <v>PAUD ROAD</v>
          </cell>
          <cell r="K305" t="str">
            <v>Pune</v>
          </cell>
          <cell r="L305" t="str">
            <v>D1</v>
          </cell>
          <cell r="M305" t="str">
            <v>NH-753F</v>
          </cell>
          <cell r="O305" t="str">
            <v>A</v>
          </cell>
          <cell r="P305">
            <v>29</v>
          </cell>
          <cell r="Q305">
            <v>43</v>
          </cell>
          <cell r="R305">
            <v>32</v>
          </cell>
          <cell r="S305">
            <v>40</v>
          </cell>
          <cell r="T305">
            <v>-3</v>
          </cell>
          <cell r="U305">
            <v>3</v>
          </cell>
          <cell r="V305">
            <v>49</v>
          </cell>
          <cell r="W305">
            <v>83</v>
          </cell>
          <cell r="X305">
            <v>55</v>
          </cell>
          <cell r="Y305">
            <v>73</v>
          </cell>
          <cell r="Z305">
            <v>-6</v>
          </cell>
          <cell r="AA305">
            <v>10</v>
          </cell>
          <cell r="AB305">
            <v>72</v>
          </cell>
          <cell r="AC305">
            <v>72</v>
          </cell>
          <cell r="AD305">
            <v>0</v>
          </cell>
          <cell r="AE305">
            <v>132</v>
          </cell>
          <cell r="AF305">
            <v>128</v>
          </cell>
          <cell r="AG305">
            <v>4</v>
          </cell>
        </row>
        <row r="306">
          <cell r="C306">
            <v>190526</v>
          </cell>
          <cell r="D306" t="str">
            <v>Raghunandan Petroleum</v>
          </cell>
          <cell r="E306" t="str">
            <v>BPCL</v>
          </cell>
          <cell r="F306" t="str">
            <v>2015-16</v>
          </cell>
          <cell r="G306" t="str">
            <v>Pune City RSA</v>
          </cell>
          <cell r="J306" t="str">
            <v>Thergaon</v>
          </cell>
          <cell r="K306" t="str">
            <v>Pune</v>
          </cell>
          <cell r="L306" t="str">
            <v>A</v>
          </cell>
          <cell r="O306" t="str">
            <v>B</v>
          </cell>
          <cell r="P306">
            <v>305</v>
          </cell>
          <cell r="Q306">
            <v>255</v>
          </cell>
          <cell r="R306">
            <v>290</v>
          </cell>
          <cell r="S306">
            <v>270</v>
          </cell>
          <cell r="T306">
            <v>15</v>
          </cell>
          <cell r="U306">
            <v>-15</v>
          </cell>
          <cell r="V306">
            <v>581</v>
          </cell>
          <cell r="W306">
            <v>493</v>
          </cell>
          <cell r="X306">
            <v>580</v>
          </cell>
          <cell r="Y306">
            <v>540</v>
          </cell>
          <cell r="Z306">
            <v>1</v>
          </cell>
          <cell r="AA306">
            <v>-47</v>
          </cell>
          <cell r="AB306">
            <v>560</v>
          </cell>
          <cell r="AC306">
            <v>560</v>
          </cell>
          <cell r="AD306">
            <v>0</v>
          </cell>
          <cell r="AE306">
            <v>1074</v>
          </cell>
          <cell r="AF306">
            <v>1120</v>
          </cell>
          <cell r="AG306">
            <v>-46</v>
          </cell>
        </row>
        <row r="307">
          <cell r="C307">
            <v>190805</v>
          </cell>
          <cell r="D307" t="str">
            <v>Sathe Patil Petroleum</v>
          </cell>
          <cell r="E307" t="str">
            <v>BPCL</v>
          </cell>
          <cell r="F307" t="str">
            <v>2015-16</v>
          </cell>
          <cell r="G307" t="str">
            <v>Pune City RSA</v>
          </cell>
          <cell r="J307" t="str">
            <v>WAKAD</v>
          </cell>
          <cell r="K307" t="str">
            <v>Pune</v>
          </cell>
          <cell r="L307" t="str">
            <v>A</v>
          </cell>
          <cell r="O307" t="str">
            <v>B</v>
          </cell>
          <cell r="P307">
            <v>365</v>
          </cell>
          <cell r="Q307">
            <v>135</v>
          </cell>
          <cell r="R307">
            <v>382</v>
          </cell>
          <cell r="S307">
            <v>132</v>
          </cell>
          <cell r="T307">
            <v>-17</v>
          </cell>
          <cell r="U307">
            <v>3</v>
          </cell>
          <cell r="V307">
            <v>665</v>
          </cell>
          <cell r="W307">
            <v>275</v>
          </cell>
          <cell r="X307">
            <v>757</v>
          </cell>
          <cell r="Y307">
            <v>277</v>
          </cell>
          <cell r="Z307">
            <v>-92</v>
          </cell>
          <cell r="AA307">
            <v>-2</v>
          </cell>
          <cell r="AB307">
            <v>500</v>
          </cell>
          <cell r="AC307">
            <v>514</v>
          </cell>
          <cell r="AD307">
            <v>-14</v>
          </cell>
          <cell r="AE307">
            <v>940</v>
          </cell>
          <cell r="AF307">
            <v>1034</v>
          </cell>
          <cell r="AG307">
            <v>-94</v>
          </cell>
        </row>
        <row r="308">
          <cell r="C308">
            <v>191641</v>
          </cell>
          <cell r="D308" t="str">
            <v>BABA PETROLEUM</v>
          </cell>
          <cell r="E308" t="str">
            <v>BPCL</v>
          </cell>
          <cell r="F308" t="str">
            <v>2015-16</v>
          </cell>
          <cell r="G308" t="str">
            <v>Ahmednagar East RSA</v>
          </cell>
          <cell r="J308" t="str">
            <v>Dhangarwadi</v>
          </cell>
          <cell r="K308" t="str">
            <v>Ahmednagar</v>
          </cell>
          <cell r="L308" t="str">
            <v>D1</v>
          </cell>
          <cell r="M308" t="str">
            <v>NH-753F</v>
          </cell>
          <cell r="O308" t="str">
            <v>B</v>
          </cell>
          <cell r="P308">
            <v>52.5</v>
          </cell>
          <cell r="Q308">
            <v>188.5</v>
          </cell>
          <cell r="R308">
            <v>43</v>
          </cell>
          <cell r="S308">
            <v>157</v>
          </cell>
          <cell r="T308">
            <v>9.5</v>
          </cell>
          <cell r="U308">
            <v>31.5</v>
          </cell>
          <cell r="V308">
            <v>92</v>
          </cell>
          <cell r="W308">
            <v>333</v>
          </cell>
          <cell r="X308">
            <v>88</v>
          </cell>
          <cell r="Y308">
            <v>312</v>
          </cell>
          <cell r="Z308">
            <v>4</v>
          </cell>
          <cell r="AA308">
            <v>21</v>
          </cell>
          <cell r="AB308">
            <v>241</v>
          </cell>
          <cell r="AC308">
            <v>200</v>
          </cell>
          <cell r="AD308">
            <v>41</v>
          </cell>
          <cell r="AE308">
            <v>425</v>
          </cell>
          <cell r="AF308">
            <v>400</v>
          </cell>
          <cell r="AG308">
            <v>25</v>
          </cell>
        </row>
        <row r="309">
          <cell r="C309">
            <v>191642</v>
          </cell>
          <cell r="D309" t="str">
            <v>ANJALI PETROLEUM</v>
          </cell>
          <cell r="E309" t="str">
            <v>BPCL</v>
          </cell>
          <cell r="F309" t="str">
            <v>2015-16</v>
          </cell>
          <cell r="G309" t="str">
            <v>Ahmednagar West RSA</v>
          </cell>
          <cell r="J309" t="str">
            <v>Mahi Jalgaon</v>
          </cell>
          <cell r="K309" t="str">
            <v>Ahmednagar</v>
          </cell>
          <cell r="L309" t="str">
            <v>D2</v>
          </cell>
          <cell r="O309" t="str">
            <v>A</v>
          </cell>
          <cell r="P309">
            <v>42</v>
          </cell>
          <cell r="Q309">
            <v>78</v>
          </cell>
          <cell r="R309">
            <v>30</v>
          </cell>
          <cell r="S309">
            <v>54</v>
          </cell>
          <cell r="T309">
            <v>12</v>
          </cell>
          <cell r="U309">
            <v>24</v>
          </cell>
          <cell r="V309">
            <v>75.5</v>
          </cell>
          <cell r="W309">
            <v>154.5</v>
          </cell>
          <cell r="X309">
            <v>61</v>
          </cell>
          <cell r="Y309">
            <v>109</v>
          </cell>
          <cell r="Z309">
            <v>14.5</v>
          </cell>
          <cell r="AA309">
            <v>45.5</v>
          </cell>
          <cell r="AB309">
            <v>120</v>
          </cell>
          <cell r="AC309">
            <v>84</v>
          </cell>
          <cell r="AD309">
            <v>36</v>
          </cell>
          <cell r="AE309">
            <v>230</v>
          </cell>
          <cell r="AF309">
            <v>170</v>
          </cell>
          <cell r="AG309">
            <v>60</v>
          </cell>
        </row>
        <row r="310">
          <cell r="C310">
            <v>191643</v>
          </cell>
          <cell r="D310" t="str">
            <v>Himalaya Petroleum</v>
          </cell>
          <cell r="E310" t="str">
            <v>BPCL</v>
          </cell>
          <cell r="F310" t="str">
            <v>2015-16</v>
          </cell>
          <cell r="G310" t="str">
            <v>Ahmednagar West RSA</v>
          </cell>
          <cell r="J310" t="str">
            <v>JAMKHED-NAGAR RD</v>
          </cell>
          <cell r="K310" t="str">
            <v>Ahmednagar</v>
          </cell>
          <cell r="L310" t="str">
            <v>D2</v>
          </cell>
          <cell r="O310" t="str">
            <v>B</v>
          </cell>
          <cell r="P310">
            <v>24.5</v>
          </cell>
          <cell r="Q310">
            <v>66.5</v>
          </cell>
          <cell r="R310">
            <v>12</v>
          </cell>
          <cell r="S310">
            <v>24</v>
          </cell>
          <cell r="T310">
            <v>12.5</v>
          </cell>
          <cell r="U310">
            <v>42.5</v>
          </cell>
          <cell r="V310">
            <v>43.5</v>
          </cell>
          <cell r="W310">
            <v>99.5</v>
          </cell>
          <cell r="X310">
            <v>30</v>
          </cell>
          <cell r="Y310">
            <v>54</v>
          </cell>
          <cell r="Z310">
            <v>13.5</v>
          </cell>
          <cell r="AA310">
            <v>45.5</v>
          </cell>
          <cell r="AB310">
            <v>91</v>
          </cell>
          <cell r="AC310">
            <v>36</v>
          </cell>
          <cell r="AD310">
            <v>55</v>
          </cell>
          <cell r="AE310">
            <v>143</v>
          </cell>
          <cell r="AF310">
            <v>84</v>
          </cell>
          <cell r="AG310">
            <v>59</v>
          </cell>
        </row>
        <row r="311">
          <cell r="C311">
            <v>191644</v>
          </cell>
          <cell r="D311" t="str">
            <v>Chandrabhaga Petroleum</v>
          </cell>
          <cell r="E311" t="str">
            <v>BPCL</v>
          </cell>
          <cell r="F311" t="str">
            <v>2015-16</v>
          </cell>
          <cell r="G311" t="str">
            <v>Ahmednagar West RSA</v>
          </cell>
          <cell r="J311" t="str">
            <v>Khed</v>
          </cell>
          <cell r="K311" t="str">
            <v>Ahmednagar</v>
          </cell>
          <cell r="L311" t="str">
            <v>D2</v>
          </cell>
          <cell r="O311" t="str">
            <v>B</v>
          </cell>
          <cell r="P311">
            <v>9</v>
          </cell>
          <cell r="Q311">
            <v>117</v>
          </cell>
          <cell r="R311">
            <v>13</v>
          </cell>
          <cell r="S311">
            <v>25</v>
          </cell>
          <cell r="T311">
            <v>-4</v>
          </cell>
          <cell r="U311">
            <v>92</v>
          </cell>
          <cell r="V311">
            <v>18</v>
          </cell>
          <cell r="W311">
            <v>144</v>
          </cell>
          <cell r="X311">
            <v>23</v>
          </cell>
          <cell r="Y311">
            <v>54</v>
          </cell>
          <cell r="Z311">
            <v>-5</v>
          </cell>
          <cell r="AA311">
            <v>90</v>
          </cell>
          <cell r="AB311">
            <v>126</v>
          </cell>
          <cell r="AC311">
            <v>38</v>
          </cell>
          <cell r="AD311">
            <v>88</v>
          </cell>
          <cell r="AE311">
            <v>162</v>
          </cell>
          <cell r="AF311">
            <v>77</v>
          </cell>
          <cell r="AG311">
            <v>85</v>
          </cell>
        </row>
        <row r="312">
          <cell r="C312">
            <v>191876</v>
          </cell>
          <cell r="D312" t="str">
            <v>Shalini Petroleum(OTUR-Hutatma Rajguru)Closed RO</v>
          </cell>
          <cell r="E312" t="str">
            <v>BPCL</v>
          </cell>
          <cell r="G312" t="str">
            <v>Pune Wagholi RSA</v>
          </cell>
          <cell r="J312" t="str">
            <v>Alephata to Ottur</v>
          </cell>
          <cell r="K312" t="str">
            <v>Pune</v>
          </cell>
          <cell r="L312" t="str">
            <v>D1</v>
          </cell>
          <cell r="M312" t="str">
            <v>NH-61</v>
          </cell>
          <cell r="O312" t="str">
            <v>A</v>
          </cell>
          <cell r="P312">
            <v>8</v>
          </cell>
          <cell r="Q312">
            <v>36</v>
          </cell>
          <cell r="R312">
            <v>9</v>
          </cell>
          <cell r="S312">
            <v>15</v>
          </cell>
          <cell r="T312">
            <v>-1</v>
          </cell>
          <cell r="U312">
            <v>21</v>
          </cell>
          <cell r="V312">
            <v>15</v>
          </cell>
          <cell r="W312">
            <v>53</v>
          </cell>
          <cell r="X312">
            <v>13</v>
          </cell>
          <cell r="Y312">
            <v>35</v>
          </cell>
          <cell r="Z312">
            <v>2</v>
          </cell>
          <cell r="AA312">
            <v>18</v>
          </cell>
          <cell r="AB312">
            <v>44</v>
          </cell>
          <cell r="AC312">
            <v>24</v>
          </cell>
          <cell r="AD312">
            <v>20</v>
          </cell>
          <cell r="AE312">
            <v>68</v>
          </cell>
          <cell r="AF312">
            <v>48</v>
          </cell>
          <cell r="AG312">
            <v>20</v>
          </cell>
        </row>
        <row r="313">
          <cell r="C313">
            <v>192077</v>
          </cell>
          <cell r="D313" t="str">
            <v>RISHA PETROLEUM</v>
          </cell>
          <cell r="E313" t="str">
            <v>BPCL</v>
          </cell>
          <cell r="F313" t="str">
            <v>2015-16</v>
          </cell>
          <cell r="G313" t="str">
            <v>Pune City RSA</v>
          </cell>
          <cell r="J313" t="str">
            <v>TAMHINI</v>
          </cell>
          <cell r="K313" t="str">
            <v>Pune</v>
          </cell>
          <cell r="L313" t="str">
            <v>D1</v>
          </cell>
          <cell r="M313" t="str">
            <v>NH-753F</v>
          </cell>
          <cell r="O313" t="str">
            <v>A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C314">
            <v>192178</v>
          </cell>
          <cell r="D314" t="str">
            <v>SHINDE PETROLEUM</v>
          </cell>
          <cell r="E314" t="str">
            <v>BPCL</v>
          </cell>
          <cell r="F314" t="str">
            <v>2015-16</v>
          </cell>
          <cell r="G314" t="str">
            <v>Satara West RSA</v>
          </cell>
          <cell r="J314" t="str">
            <v>Karad City</v>
          </cell>
          <cell r="K314" t="str">
            <v>Satara</v>
          </cell>
          <cell r="L314" t="str">
            <v>C</v>
          </cell>
          <cell r="O314" t="str">
            <v>B</v>
          </cell>
          <cell r="P314">
            <v>71</v>
          </cell>
          <cell r="Q314">
            <v>60</v>
          </cell>
          <cell r="R314">
            <v>70</v>
          </cell>
          <cell r="S314">
            <v>46</v>
          </cell>
          <cell r="T314">
            <v>1</v>
          </cell>
          <cell r="U314">
            <v>14</v>
          </cell>
          <cell r="V314">
            <v>128</v>
          </cell>
          <cell r="W314">
            <v>99</v>
          </cell>
          <cell r="X314">
            <v>136</v>
          </cell>
          <cell r="Y314">
            <v>100</v>
          </cell>
          <cell r="Z314">
            <v>-8</v>
          </cell>
          <cell r="AA314">
            <v>-1</v>
          </cell>
          <cell r="AB314">
            <v>131</v>
          </cell>
          <cell r="AC314">
            <v>116</v>
          </cell>
          <cell r="AD314">
            <v>15</v>
          </cell>
          <cell r="AE314">
            <v>227</v>
          </cell>
          <cell r="AF314">
            <v>236</v>
          </cell>
          <cell r="AG314">
            <v>-9</v>
          </cell>
        </row>
        <row r="315">
          <cell r="C315">
            <v>192197</v>
          </cell>
          <cell r="D315" t="str">
            <v>SAI PRASAD PETROLEUM</v>
          </cell>
          <cell r="E315" t="str">
            <v>BPCL</v>
          </cell>
          <cell r="F315" t="str">
            <v>2015-16</v>
          </cell>
          <cell r="G315" t="str">
            <v>Shirdi RSA</v>
          </cell>
          <cell r="J315" t="str">
            <v>PUNTAMBA PHATA</v>
          </cell>
          <cell r="K315" t="str">
            <v>Ahmednagar</v>
          </cell>
          <cell r="L315" t="str">
            <v>D1</v>
          </cell>
          <cell r="M315" t="str">
            <v>NH-752G</v>
          </cell>
          <cell r="O315" t="str">
            <v>B</v>
          </cell>
          <cell r="P315">
            <v>54</v>
          </cell>
          <cell r="Q315">
            <v>114</v>
          </cell>
          <cell r="R315">
            <v>36</v>
          </cell>
          <cell r="S315">
            <v>108</v>
          </cell>
          <cell r="T315">
            <v>18</v>
          </cell>
          <cell r="U315">
            <v>6</v>
          </cell>
          <cell r="V315">
            <v>84</v>
          </cell>
          <cell r="W315">
            <v>252</v>
          </cell>
          <cell r="X315">
            <v>63</v>
          </cell>
          <cell r="Y315">
            <v>201</v>
          </cell>
          <cell r="Z315">
            <v>21</v>
          </cell>
          <cell r="AA315">
            <v>51</v>
          </cell>
          <cell r="AB315">
            <v>168</v>
          </cell>
          <cell r="AC315">
            <v>144</v>
          </cell>
          <cell r="AD315">
            <v>24</v>
          </cell>
          <cell r="AE315">
            <v>336</v>
          </cell>
          <cell r="AF315">
            <v>264</v>
          </cell>
          <cell r="AG315">
            <v>72</v>
          </cell>
        </row>
        <row r="316">
          <cell r="C316">
            <v>192198</v>
          </cell>
          <cell r="D316" t="str">
            <v>SARTHAK PETROLEUM</v>
          </cell>
          <cell r="E316" t="str">
            <v>BPCL</v>
          </cell>
          <cell r="F316" t="str">
            <v>2015-16</v>
          </cell>
          <cell r="G316" t="str">
            <v>Shirdi RSA</v>
          </cell>
          <cell r="J316" t="str">
            <v>LONI PRAVARA NH</v>
          </cell>
          <cell r="K316" t="str">
            <v>Ahmednagar</v>
          </cell>
          <cell r="L316" t="str">
            <v>D1</v>
          </cell>
          <cell r="M316" t="str">
            <v>NH-160D</v>
          </cell>
          <cell r="O316" t="str">
            <v>B</v>
          </cell>
          <cell r="P316">
            <v>40</v>
          </cell>
          <cell r="Q316">
            <v>46</v>
          </cell>
          <cell r="R316">
            <v>36</v>
          </cell>
          <cell r="S316">
            <v>42</v>
          </cell>
          <cell r="T316">
            <v>4</v>
          </cell>
          <cell r="U316">
            <v>4</v>
          </cell>
          <cell r="V316">
            <v>82</v>
          </cell>
          <cell r="W316">
            <v>88</v>
          </cell>
          <cell r="X316">
            <v>73</v>
          </cell>
          <cell r="Y316">
            <v>85</v>
          </cell>
          <cell r="Z316">
            <v>9</v>
          </cell>
          <cell r="AA316">
            <v>3</v>
          </cell>
          <cell r="AB316">
            <v>86</v>
          </cell>
          <cell r="AC316">
            <v>78</v>
          </cell>
          <cell r="AD316">
            <v>8</v>
          </cell>
          <cell r="AE316">
            <v>170</v>
          </cell>
          <cell r="AF316">
            <v>158</v>
          </cell>
          <cell r="AG316">
            <v>12</v>
          </cell>
        </row>
        <row r="317">
          <cell r="C317">
            <v>192554</v>
          </cell>
          <cell r="D317" t="str">
            <v>SATYABHAMA PETROLEUM</v>
          </cell>
          <cell r="E317" t="str">
            <v>BPCL</v>
          </cell>
          <cell r="F317" t="str">
            <v>2015-16</v>
          </cell>
          <cell r="G317" t="str">
            <v>Ahmednagar West RSA</v>
          </cell>
          <cell r="J317" t="str">
            <v>PATHARDI-NH</v>
          </cell>
          <cell r="K317" t="str">
            <v>Ahmednagar</v>
          </cell>
          <cell r="L317" t="str">
            <v>D1</v>
          </cell>
          <cell r="M317" t="str">
            <v>NH-61</v>
          </cell>
          <cell r="O317" t="str">
            <v>A</v>
          </cell>
          <cell r="P317">
            <v>24.5</v>
          </cell>
          <cell r="Q317">
            <v>54.5</v>
          </cell>
          <cell r="R317">
            <v>21</v>
          </cell>
          <cell r="S317">
            <v>51</v>
          </cell>
          <cell r="T317">
            <v>3.5</v>
          </cell>
          <cell r="U317">
            <v>3.5</v>
          </cell>
          <cell r="V317">
            <v>36.5</v>
          </cell>
          <cell r="W317">
            <v>90.5</v>
          </cell>
          <cell r="X317">
            <v>39</v>
          </cell>
          <cell r="Y317">
            <v>93</v>
          </cell>
          <cell r="Z317">
            <v>-2.5</v>
          </cell>
          <cell r="AA317">
            <v>-2.5</v>
          </cell>
          <cell r="AB317">
            <v>79</v>
          </cell>
          <cell r="AC317">
            <v>72</v>
          </cell>
          <cell r="AD317">
            <v>7</v>
          </cell>
          <cell r="AE317">
            <v>127</v>
          </cell>
          <cell r="AF317">
            <v>132</v>
          </cell>
          <cell r="AG317">
            <v>-5</v>
          </cell>
        </row>
        <row r="318">
          <cell r="C318">
            <v>192571</v>
          </cell>
          <cell r="D318" t="str">
            <v>S G ABHANG PETROLEUM</v>
          </cell>
          <cell r="E318" t="str">
            <v>BPCL</v>
          </cell>
          <cell r="F318" t="str">
            <v>2015-16</v>
          </cell>
          <cell r="G318" t="str">
            <v>Shirdi RSA</v>
          </cell>
          <cell r="J318" t="str">
            <v>SANGAMNER - GOLIBAR</v>
          </cell>
          <cell r="K318" t="str">
            <v>Ahmednagar</v>
          </cell>
          <cell r="L318" t="str">
            <v>C</v>
          </cell>
          <cell r="O318" t="str">
            <v>A</v>
          </cell>
          <cell r="P318">
            <v>105</v>
          </cell>
          <cell r="Q318">
            <v>51</v>
          </cell>
          <cell r="R318">
            <v>27</v>
          </cell>
          <cell r="S318">
            <v>9</v>
          </cell>
          <cell r="T318">
            <v>78</v>
          </cell>
          <cell r="U318">
            <v>42</v>
          </cell>
          <cell r="V318">
            <v>177</v>
          </cell>
          <cell r="W318">
            <v>99</v>
          </cell>
          <cell r="X318">
            <v>36</v>
          </cell>
          <cell r="Y318">
            <v>12</v>
          </cell>
          <cell r="Z318">
            <v>141</v>
          </cell>
          <cell r="AA318">
            <v>87</v>
          </cell>
          <cell r="AB318">
            <v>156</v>
          </cell>
          <cell r="AC318">
            <v>36</v>
          </cell>
          <cell r="AD318">
            <v>120</v>
          </cell>
          <cell r="AE318">
            <v>276</v>
          </cell>
          <cell r="AF318">
            <v>48</v>
          </cell>
          <cell r="AG318">
            <v>228</v>
          </cell>
        </row>
        <row r="319">
          <cell r="C319">
            <v>193712</v>
          </cell>
          <cell r="D319" t="str">
            <v>Ramchandra Petroleum</v>
          </cell>
          <cell r="E319" t="str">
            <v>BPCL</v>
          </cell>
          <cell r="F319" t="str">
            <v>2016-17</v>
          </cell>
          <cell r="G319" t="str">
            <v>Ahmednagar East RSA</v>
          </cell>
          <cell r="J319" t="str">
            <v>Antarwali Kh</v>
          </cell>
          <cell r="K319" t="str">
            <v>Ahmednagar</v>
          </cell>
          <cell r="L319" t="str">
            <v>E</v>
          </cell>
          <cell r="O319" t="str">
            <v>B</v>
          </cell>
          <cell r="P319">
            <v>19.5</v>
          </cell>
          <cell r="Q319">
            <v>46.5</v>
          </cell>
          <cell r="R319">
            <v>21</v>
          </cell>
          <cell r="S319">
            <v>49</v>
          </cell>
          <cell r="T319">
            <v>-1.5</v>
          </cell>
          <cell r="U319">
            <v>-2.5</v>
          </cell>
          <cell r="V319">
            <v>39</v>
          </cell>
          <cell r="W319">
            <v>93</v>
          </cell>
          <cell r="X319">
            <v>32</v>
          </cell>
          <cell r="Y319">
            <v>81</v>
          </cell>
          <cell r="Z319">
            <v>7</v>
          </cell>
          <cell r="AA319">
            <v>12</v>
          </cell>
          <cell r="AB319">
            <v>66</v>
          </cell>
          <cell r="AC319">
            <v>70</v>
          </cell>
          <cell r="AD319">
            <v>-4</v>
          </cell>
          <cell r="AE319">
            <v>132</v>
          </cell>
          <cell r="AF319">
            <v>113</v>
          </cell>
          <cell r="AG319">
            <v>19</v>
          </cell>
        </row>
        <row r="320">
          <cell r="C320">
            <v>193739</v>
          </cell>
          <cell r="D320" t="str">
            <v>PRIYANVADA PETROLEUM</v>
          </cell>
          <cell r="E320" t="str">
            <v>BPCL</v>
          </cell>
          <cell r="F320" t="str">
            <v>2016-17</v>
          </cell>
          <cell r="G320" t="str">
            <v>Ahmednagar East RSA</v>
          </cell>
          <cell r="J320" t="str">
            <v>Akolner</v>
          </cell>
          <cell r="K320" t="str">
            <v>Ahmednagar</v>
          </cell>
          <cell r="L320" t="str">
            <v>E</v>
          </cell>
          <cell r="O320" t="str">
            <v>B</v>
          </cell>
          <cell r="P320">
            <v>12</v>
          </cell>
          <cell r="Q320">
            <v>36</v>
          </cell>
          <cell r="R320">
            <v>6</v>
          </cell>
          <cell r="S320">
            <v>18</v>
          </cell>
          <cell r="T320">
            <v>6</v>
          </cell>
          <cell r="U320">
            <v>18</v>
          </cell>
          <cell r="V320">
            <v>21.5</v>
          </cell>
          <cell r="W320">
            <v>64.5</v>
          </cell>
          <cell r="X320">
            <v>9</v>
          </cell>
          <cell r="Y320">
            <v>27</v>
          </cell>
          <cell r="Z320">
            <v>12.5</v>
          </cell>
          <cell r="AA320">
            <v>37.5</v>
          </cell>
          <cell r="AB320">
            <v>48</v>
          </cell>
          <cell r="AC320">
            <v>24</v>
          </cell>
          <cell r="AD320">
            <v>24</v>
          </cell>
          <cell r="AE320">
            <v>86</v>
          </cell>
          <cell r="AF320">
            <v>36</v>
          </cell>
          <cell r="AG320">
            <v>50</v>
          </cell>
        </row>
        <row r="321">
          <cell r="C321">
            <v>193916</v>
          </cell>
          <cell r="D321" t="str">
            <v>SAIKRUSHNA PETROLEUM</v>
          </cell>
          <cell r="E321" t="str">
            <v>BPCL</v>
          </cell>
          <cell r="F321" t="str">
            <v>2016-17</v>
          </cell>
          <cell r="G321" t="str">
            <v>Shirdi RSA</v>
          </cell>
          <cell r="J321" t="str">
            <v>SHIRDI PIMPALWADI SH</v>
          </cell>
          <cell r="K321" t="str">
            <v>Ahmednagar</v>
          </cell>
          <cell r="L321" t="str">
            <v>D2</v>
          </cell>
          <cell r="O321" t="str">
            <v>B</v>
          </cell>
          <cell r="P321">
            <v>95.5</v>
          </cell>
          <cell r="Q321">
            <v>132.5</v>
          </cell>
          <cell r="R321">
            <v>71</v>
          </cell>
          <cell r="S321">
            <v>129</v>
          </cell>
          <cell r="T321">
            <v>24.5</v>
          </cell>
          <cell r="U321">
            <v>3.5</v>
          </cell>
          <cell r="V321">
            <v>177</v>
          </cell>
          <cell r="W321">
            <v>279</v>
          </cell>
          <cell r="X321">
            <v>125</v>
          </cell>
          <cell r="Y321">
            <v>235</v>
          </cell>
          <cell r="Z321">
            <v>52</v>
          </cell>
          <cell r="AA321">
            <v>44</v>
          </cell>
          <cell r="AB321">
            <v>228</v>
          </cell>
          <cell r="AC321">
            <v>200</v>
          </cell>
          <cell r="AD321">
            <v>28</v>
          </cell>
          <cell r="AE321">
            <v>456</v>
          </cell>
          <cell r="AF321">
            <v>360</v>
          </cell>
          <cell r="AG321">
            <v>96</v>
          </cell>
        </row>
        <row r="322">
          <cell r="C322">
            <v>194549</v>
          </cell>
          <cell r="D322" t="str">
            <v>Abnave Petroleum</v>
          </cell>
          <cell r="E322" t="str">
            <v>BPCL</v>
          </cell>
          <cell r="F322" t="str">
            <v>2016-17</v>
          </cell>
          <cell r="G322" t="str">
            <v>Pune Wagholi RSA</v>
          </cell>
          <cell r="J322" t="str">
            <v>LONIKAND SH</v>
          </cell>
          <cell r="K322" t="str">
            <v>Pune</v>
          </cell>
          <cell r="L322" t="str">
            <v>D2</v>
          </cell>
          <cell r="O322" t="str">
            <v>A</v>
          </cell>
          <cell r="P322">
            <v>15</v>
          </cell>
          <cell r="Q322">
            <v>57</v>
          </cell>
          <cell r="R322">
            <v>12</v>
          </cell>
          <cell r="S322">
            <v>36</v>
          </cell>
          <cell r="T322">
            <v>3</v>
          </cell>
          <cell r="U322">
            <v>21</v>
          </cell>
          <cell r="V322">
            <v>24</v>
          </cell>
          <cell r="W322">
            <v>108</v>
          </cell>
          <cell r="X322">
            <v>27</v>
          </cell>
          <cell r="Y322">
            <v>81</v>
          </cell>
          <cell r="Z322">
            <v>-3</v>
          </cell>
          <cell r="AA322">
            <v>27</v>
          </cell>
          <cell r="AB322">
            <v>72</v>
          </cell>
          <cell r="AC322">
            <v>48</v>
          </cell>
          <cell r="AD322">
            <v>24</v>
          </cell>
          <cell r="AE322">
            <v>132</v>
          </cell>
          <cell r="AF322">
            <v>108</v>
          </cell>
          <cell r="AG322">
            <v>24</v>
          </cell>
        </row>
        <row r="323">
          <cell r="C323">
            <v>194626</v>
          </cell>
          <cell r="D323" t="str">
            <v>SAHAKARMAHARSHI BHAUSAHEB THORAT SAHAKARI SAKHAR KARKHANA LTD.</v>
          </cell>
          <cell r="E323" t="str">
            <v>BPCL</v>
          </cell>
          <cell r="G323" t="str">
            <v>Shirdi RSA</v>
          </cell>
          <cell r="J323" t="str">
            <v>SANGAMNER - GOLIBAR</v>
          </cell>
          <cell r="K323" t="str">
            <v>Ahmednagar</v>
          </cell>
          <cell r="L323" t="str">
            <v>C</v>
          </cell>
          <cell r="O323" t="str">
            <v>A</v>
          </cell>
          <cell r="P323">
            <v>200</v>
          </cell>
          <cell r="Q323">
            <v>360</v>
          </cell>
          <cell r="R323">
            <v>170</v>
          </cell>
          <cell r="S323">
            <v>210</v>
          </cell>
          <cell r="T323">
            <v>30</v>
          </cell>
          <cell r="U323">
            <v>150</v>
          </cell>
          <cell r="V323">
            <v>355</v>
          </cell>
          <cell r="W323">
            <v>665</v>
          </cell>
          <cell r="X323">
            <v>320</v>
          </cell>
          <cell r="Y323">
            <v>380</v>
          </cell>
          <cell r="Z323">
            <v>35</v>
          </cell>
          <cell r="AA323">
            <v>285</v>
          </cell>
          <cell r="AB323">
            <v>560</v>
          </cell>
          <cell r="AC323">
            <v>380</v>
          </cell>
          <cell r="AD323">
            <v>180</v>
          </cell>
          <cell r="AE323">
            <v>1020</v>
          </cell>
          <cell r="AF323">
            <v>700</v>
          </cell>
          <cell r="AG323">
            <v>320</v>
          </cell>
        </row>
        <row r="324">
          <cell r="C324">
            <v>194808</v>
          </cell>
          <cell r="D324" t="str">
            <v xml:space="preserve">Ashtavinayak Petro </v>
          </cell>
          <cell r="E324" t="str">
            <v>BPCL</v>
          </cell>
          <cell r="F324" t="str">
            <v>2017-18</v>
          </cell>
          <cell r="G324" t="str">
            <v>Pune Wagholi RSA</v>
          </cell>
          <cell r="J324" t="str">
            <v>Narayangaon to Alephata LHS</v>
          </cell>
          <cell r="K324" t="str">
            <v>Pune</v>
          </cell>
          <cell r="L324" t="str">
            <v>D1</v>
          </cell>
          <cell r="M324" t="str">
            <v>NH-60</v>
          </cell>
          <cell r="O324" t="str">
            <v>A</v>
          </cell>
          <cell r="P324">
            <v>70</v>
          </cell>
          <cell r="Q324">
            <v>390</v>
          </cell>
          <cell r="R324">
            <v>75</v>
          </cell>
          <cell r="S324">
            <v>325</v>
          </cell>
          <cell r="T324">
            <v>-5</v>
          </cell>
          <cell r="U324">
            <v>65</v>
          </cell>
          <cell r="V324">
            <v>120</v>
          </cell>
          <cell r="W324">
            <v>780</v>
          </cell>
          <cell r="X324">
            <v>135</v>
          </cell>
          <cell r="Y324">
            <v>625</v>
          </cell>
          <cell r="Z324">
            <v>-15</v>
          </cell>
          <cell r="AA324">
            <v>155</v>
          </cell>
          <cell r="AB324">
            <v>460</v>
          </cell>
          <cell r="AC324">
            <v>400</v>
          </cell>
          <cell r="AD324">
            <v>60</v>
          </cell>
          <cell r="AE324">
            <v>900</v>
          </cell>
          <cell r="AF324">
            <v>760</v>
          </cell>
          <cell r="AG324">
            <v>140</v>
          </cell>
        </row>
        <row r="325">
          <cell r="C325">
            <v>195779</v>
          </cell>
          <cell r="D325" t="str">
            <v>Khandeshwar Petroleum</v>
          </cell>
          <cell r="E325" t="str">
            <v>BPCL</v>
          </cell>
          <cell r="F325" t="str">
            <v>2017-18</v>
          </cell>
          <cell r="G325" t="str">
            <v>Ahmednagar West RSA</v>
          </cell>
          <cell r="J325" t="str">
            <v>ALKUTI</v>
          </cell>
          <cell r="K325" t="str">
            <v>Ahmednagar</v>
          </cell>
          <cell r="L325" t="str">
            <v>D2</v>
          </cell>
          <cell r="O325" t="str">
            <v>A</v>
          </cell>
          <cell r="P325">
            <v>45</v>
          </cell>
          <cell r="Q325">
            <v>98</v>
          </cell>
          <cell r="R325">
            <v>38</v>
          </cell>
          <cell r="S325">
            <v>99</v>
          </cell>
          <cell r="T325">
            <v>7</v>
          </cell>
          <cell r="U325">
            <v>-1</v>
          </cell>
          <cell r="V325">
            <v>77</v>
          </cell>
          <cell r="W325">
            <v>168</v>
          </cell>
          <cell r="X325">
            <v>83</v>
          </cell>
          <cell r="Y325">
            <v>219</v>
          </cell>
          <cell r="Z325">
            <v>-6</v>
          </cell>
          <cell r="AA325">
            <v>-51</v>
          </cell>
          <cell r="AB325">
            <v>143</v>
          </cell>
          <cell r="AC325">
            <v>137</v>
          </cell>
          <cell r="AD325">
            <v>6</v>
          </cell>
          <cell r="AE325">
            <v>245</v>
          </cell>
          <cell r="AF325">
            <v>302</v>
          </cell>
          <cell r="AG325">
            <v>-57</v>
          </cell>
        </row>
        <row r="326">
          <cell r="C326">
            <v>195782</v>
          </cell>
          <cell r="D326" t="str">
            <v>R J PETROELUM</v>
          </cell>
          <cell r="E326" t="str">
            <v>BPCL</v>
          </cell>
          <cell r="F326" t="str">
            <v>2017-18</v>
          </cell>
          <cell r="G326" t="str">
            <v>Ahmednagar West RSA</v>
          </cell>
          <cell r="J326" t="str">
            <v>KOLGAON</v>
          </cell>
          <cell r="K326" t="str">
            <v>Ahmednagar</v>
          </cell>
          <cell r="L326" t="str">
            <v>D1</v>
          </cell>
          <cell r="M326" t="str">
            <v>NH-160</v>
          </cell>
          <cell r="O326" t="str">
            <v>B</v>
          </cell>
          <cell r="P326">
            <v>27.5</v>
          </cell>
          <cell r="Q326">
            <v>69.5</v>
          </cell>
          <cell r="R326">
            <v>27</v>
          </cell>
          <cell r="S326">
            <v>69</v>
          </cell>
          <cell r="T326">
            <v>0.5</v>
          </cell>
          <cell r="U326">
            <v>0.5</v>
          </cell>
          <cell r="V326">
            <v>48.5</v>
          </cell>
          <cell r="W326">
            <v>132.5</v>
          </cell>
          <cell r="X326">
            <v>33</v>
          </cell>
          <cell r="Y326">
            <v>87</v>
          </cell>
          <cell r="Z326">
            <v>15.5</v>
          </cell>
          <cell r="AA326">
            <v>45.5</v>
          </cell>
          <cell r="AB326">
            <v>97</v>
          </cell>
          <cell r="AC326">
            <v>96</v>
          </cell>
          <cell r="AD326">
            <v>1</v>
          </cell>
          <cell r="AE326">
            <v>181</v>
          </cell>
          <cell r="AF326">
            <v>120</v>
          </cell>
          <cell r="AG326">
            <v>61</v>
          </cell>
        </row>
        <row r="327">
          <cell r="C327">
            <v>196018</v>
          </cell>
          <cell r="D327" t="str">
            <v>SANT KRUPA PETROLEUM</v>
          </cell>
          <cell r="E327" t="str">
            <v>BPCL</v>
          </cell>
          <cell r="F327" t="str">
            <v>2016-17</v>
          </cell>
          <cell r="G327" t="str">
            <v>Ahmednagar West RSA</v>
          </cell>
          <cell r="J327" t="str">
            <v>Kasar Pimpalgaon</v>
          </cell>
          <cell r="K327" t="str">
            <v>Ahmednagar</v>
          </cell>
          <cell r="L327" t="str">
            <v>D2</v>
          </cell>
          <cell r="O327" t="str">
            <v>A</v>
          </cell>
          <cell r="P327">
            <v>15.5</v>
          </cell>
          <cell r="Q327">
            <v>28.5</v>
          </cell>
          <cell r="R327">
            <v>12</v>
          </cell>
          <cell r="S327">
            <v>36</v>
          </cell>
          <cell r="T327">
            <v>3.5</v>
          </cell>
          <cell r="U327">
            <v>-7.5</v>
          </cell>
          <cell r="V327">
            <v>30.5</v>
          </cell>
          <cell r="W327">
            <v>49.5</v>
          </cell>
          <cell r="X327">
            <v>24</v>
          </cell>
          <cell r="Y327">
            <v>60</v>
          </cell>
          <cell r="Z327">
            <v>6.5</v>
          </cell>
          <cell r="AA327">
            <v>-10.5</v>
          </cell>
          <cell r="AB327">
            <v>44</v>
          </cell>
          <cell r="AC327">
            <v>48</v>
          </cell>
          <cell r="AD327">
            <v>-4</v>
          </cell>
          <cell r="AE327">
            <v>80</v>
          </cell>
          <cell r="AF327">
            <v>84</v>
          </cell>
          <cell r="AG327">
            <v>-4</v>
          </cell>
        </row>
        <row r="328">
          <cell r="C328">
            <v>196113</v>
          </cell>
          <cell r="D328" t="str">
            <v>SHRI SAMARATH PETROLEUM</v>
          </cell>
          <cell r="E328" t="str">
            <v>BPCL</v>
          </cell>
          <cell r="F328" t="str">
            <v>2017-18</v>
          </cell>
          <cell r="G328" t="str">
            <v>Pune City RSA</v>
          </cell>
          <cell r="J328" t="str">
            <v>Dhanori</v>
          </cell>
          <cell r="K328" t="str">
            <v>Pune</v>
          </cell>
          <cell r="L328" t="str">
            <v>A</v>
          </cell>
          <cell r="O328" t="str">
            <v>A</v>
          </cell>
          <cell r="P328">
            <v>275</v>
          </cell>
          <cell r="Q328">
            <v>45</v>
          </cell>
          <cell r="R328">
            <v>242</v>
          </cell>
          <cell r="S328">
            <v>50</v>
          </cell>
          <cell r="T328">
            <v>33</v>
          </cell>
          <cell r="U328">
            <v>-5</v>
          </cell>
          <cell r="V328">
            <v>565</v>
          </cell>
          <cell r="W328">
            <v>95</v>
          </cell>
          <cell r="X328">
            <v>512</v>
          </cell>
          <cell r="Y328">
            <v>100</v>
          </cell>
          <cell r="Z328">
            <v>53</v>
          </cell>
          <cell r="AA328">
            <v>-5</v>
          </cell>
          <cell r="AB328">
            <v>320</v>
          </cell>
          <cell r="AC328">
            <v>292</v>
          </cell>
          <cell r="AD328">
            <v>28</v>
          </cell>
          <cell r="AE328">
            <v>660</v>
          </cell>
          <cell r="AF328">
            <v>612</v>
          </cell>
          <cell r="AG328">
            <v>48</v>
          </cell>
        </row>
        <row r="329">
          <cell r="C329">
            <v>196186</v>
          </cell>
          <cell r="D329" t="str">
            <v>JIJAMATA PETROLEUM</v>
          </cell>
          <cell r="E329" t="str">
            <v>BPCL</v>
          </cell>
          <cell r="F329" t="str">
            <v>2017-18</v>
          </cell>
          <cell r="G329" t="str">
            <v>Pune Saswad RSA</v>
          </cell>
          <cell r="J329" t="str">
            <v>BAVDA</v>
          </cell>
          <cell r="K329" t="str">
            <v>Pune</v>
          </cell>
          <cell r="L329" t="str">
            <v>D1</v>
          </cell>
          <cell r="M329" t="str">
            <v>NH-965G</v>
          </cell>
          <cell r="O329" t="str">
            <v>A</v>
          </cell>
          <cell r="P329">
            <v>18</v>
          </cell>
          <cell r="Q329">
            <v>42</v>
          </cell>
          <cell r="R329">
            <v>15</v>
          </cell>
          <cell r="S329">
            <v>45</v>
          </cell>
          <cell r="T329">
            <v>3</v>
          </cell>
          <cell r="U329">
            <v>-3</v>
          </cell>
          <cell r="V329">
            <v>33</v>
          </cell>
          <cell r="W329">
            <v>87</v>
          </cell>
          <cell r="X329">
            <v>33</v>
          </cell>
          <cell r="Y329">
            <v>87</v>
          </cell>
          <cell r="Z329">
            <v>0</v>
          </cell>
          <cell r="AA329">
            <v>0</v>
          </cell>
          <cell r="AB329">
            <v>60</v>
          </cell>
          <cell r="AC329">
            <v>60</v>
          </cell>
          <cell r="AD329">
            <v>0</v>
          </cell>
          <cell r="AE329">
            <v>120</v>
          </cell>
          <cell r="AF329">
            <v>120</v>
          </cell>
          <cell r="AG329">
            <v>0</v>
          </cell>
        </row>
        <row r="330">
          <cell r="C330">
            <v>196483</v>
          </cell>
          <cell r="D330" t="str">
            <v>Venkata Oil Hubs</v>
          </cell>
          <cell r="E330" t="str">
            <v>BPCL</v>
          </cell>
          <cell r="F330" t="str">
            <v>2017-18</v>
          </cell>
          <cell r="G330" t="str">
            <v>Shirdi RSA</v>
          </cell>
          <cell r="J330" t="str">
            <v>RAHURI FACTORY RHS</v>
          </cell>
          <cell r="K330" t="str">
            <v>Ahmednagar</v>
          </cell>
          <cell r="L330" t="str">
            <v>D1</v>
          </cell>
          <cell r="M330" t="str">
            <v>NH-160</v>
          </cell>
          <cell r="O330" t="str">
            <v>A</v>
          </cell>
          <cell r="P330">
            <v>15</v>
          </cell>
          <cell r="Q330">
            <v>45</v>
          </cell>
          <cell r="R330">
            <v>27</v>
          </cell>
          <cell r="S330">
            <v>81</v>
          </cell>
          <cell r="T330">
            <v>-12</v>
          </cell>
          <cell r="U330">
            <v>-36</v>
          </cell>
          <cell r="V330">
            <v>24</v>
          </cell>
          <cell r="W330">
            <v>84</v>
          </cell>
          <cell r="X330">
            <v>39</v>
          </cell>
          <cell r="Y330">
            <v>117</v>
          </cell>
          <cell r="Z330">
            <v>-15</v>
          </cell>
          <cell r="AA330">
            <v>-33</v>
          </cell>
          <cell r="AB330">
            <v>60</v>
          </cell>
          <cell r="AC330">
            <v>108</v>
          </cell>
          <cell r="AD330">
            <v>-48</v>
          </cell>
          <cell r="AE330">
            <v>108</v>
          </cell>
          <cell r="AF330">
            <v>156</v>
          </cell>
          <cell r="AG330">
            <v>-48</v>
          </cell>
        </row>
        <row r="331">
          <cell r="C331">
            <v>196740</v>
          </cell>
          <cell r="D331" t="str">
            <v>SAIKRUPA SERVICES</v>
          </cell>
          <cell r="E331" t="str">
            <v>BPCL</v>
          </cell>
          <cell r="F331" t="str">
            <v>2017-18</v>
          </cell>
          <cell r="G331" t="str">
            <v>Pune City RSA</v>
          </cell>
          <cell r="J331" t="str">
            <v>RAVET</v>
          </cell>
          <cell r="K331" t="str">
            <v>Pune</v>
          </cell>
          <cell r="L331" t="str">
            <v>A</v>
          </cell>
          <cell r="O331" t="str">
            <v>B</v>
          </cell>
          <cell r="P331">
            <v>265</v>
          </cell>
          <cell r="Q331">
            <v>127</v>
          </cell>
          <cell r="R331">
            <v>285</v>
          </cell>
          <cell r="S331">
            <v>123</v>
          </cell>
          <cell r="T331">
            <v>-20</v>
          </cell>
          <cell r="U331">
            <v>4</v>
          </cell>
          <cell r="V331">
            <v>460</v>
          </cell>
          <cell r="W331">
            <v>244</v>
          </cell>
          <cell r="X331">
            <v>565</v>
          </cell>
          <cell r="Y331">
            <v>247</v>
          </cell>
          <cell r="Z331">
            <v>-105</v>
          </cell>
          <cell r="AA331">
            <v>-3</v>
          </cell>
          <cell r="AB331">
            <v>392</v>
          </cell>
          <cell r="AC331">
            <v>408</v>
          </cell>
          <cell r="AD331">
            <v>-16</v>
          </cell>
          <cell r="AE331">
            <v>704</v>
          </cell>
          <cell r="AF331">
            <v>812</v>
          </cell>
          <cell r="AG331">
            <v>-108</v>
          </cell>
        </row>
        <row r="332">
          <cell r="C332">
            <v>197028</v>
          </cell>
          <cell r="D332" t="str">
            <v>Rahi Petroleum</v>
          </cell>
          <cell r="E332" t="str">
            <v>BPCL</v>
          </cell>
          <cell r="F332" t="str">
            <v>2017-18</v>
          </cell>
          <cell r="G332" t="str">
            <v>Pimpri Chinchwad RSA</v>
          </cell>
          <cell r="J332" t="str">
            <v>ALANDI MARKAL ROAD</v>
          </cell>
          <cell r="K332" t="str">
            <v>Pune</v>
          </cell>
          <cell r="L332" t="str">
            <v>D2</v>
          </cell>
          <cell r="O332" t="str">
            <v>B</v>
          </cell>
          <cell r="P332">
            <v>50</v>
          </cell>
          <cell r="Q332">
            <v>142</v>
          </cell>
          <cell r="R332">
            <v>50</v>
          </cell>
          <cell r="S332">
            <v>118</v>
          </cell>
          <cell r="T332">
            <v>0</v>
          </cell>
          <cell r="U332">
            <v>24</v>
          </cell>
          <cell r="V332">
            <v>90</v>
          </cell>
          <cell r="W332">
            <v>270</v>
          </cell>
          <cell r="X332">
            <v>85</v>
          </cell>
          <cell r="Y332">
            <v>203</v>
          </cell>
          <cell r="Z332">
            <v>5</v>
          </cell>
          <cell r="AA332">
            <v>67</v>
          </cell>
          <cell r="AB332">
            <v>192</v>
          </cell>
          <cell r="AC332">
            <v>168</v>
          </cell>
          <cell r="AD332">
            <v>24</v>
          </cell>
          <cell r="AE332">
            <v>360</v>
          </cell>
          <cell r="AF332">
            <v>288</v>
          </cell>
          <cell r="AG332">
            <v>72</v>
          </cell>
        </row>
        <row r="333">
          <cell r="C333">
            <v>197400</v>
          </cell>
          <cell r="D333" t="str">
            <v>B J Salunke Petroleum</v>
          </cell>
          <cell r="E333" t="str">
            <v>BPCL</v>
          </cell>
          <cell r="F333" t="str">
            <v>2017-18</v>
          </cell>
          <cell r="G333" t="str">
            <v>Shirdi RSA</v>
          </cell>
          <cell r="J333" t="str">
            <v>PUNTAMBA</v>
          </cell>
          <cell r="K333" t="str">
            <v>Ahmednagar</v>
          </cell>
          <cell r="L333" t="str">
            <v>E</v>
          </cell>
          <cell r="O333" t="str">
            <v>B</v>
          </cell>
          <cell r="P333">
            <v>36</v>
          </cell>
          <cell r="Q333">
            <v>60</v>
          </cell>
          <cell r="R333">
            <v>24</v>
          </cell>
          <cell r="S333">
            <v>60</v>
          </cell>
          <cell r="T333">
            <v>12</v>
          </cell>
          <cell r="U333">
            <v>0</v>
          </cell>
          <cell r="V333">
            <v>58</v>
          </cell>
          <cell r="W333">
            <v>102</v>
          </cell>
          <cell r="X333">
            <v>51</v>
          </cell>
          <cell r="Y333">
            <v>105</v>
          </cell>
          <cell r="Z333">
            <v>7</v>
          </cell>
          <cell r="AA333">
            <v>-3</v>
          </cell>
          <cell r="AB333">
            <v>96</v>
          </cell>
          <cell r="AC333">
            <v>84</v>
          </cell>
          <cell r="AD333">
            <v>12</v>
          </cell>
          <cell r="AE333">
            <v>160</v>
          </cell>
          <cell r="AF333">
            <v>156</v>
          </cell>
          <cell r="AG333">
            <v>4</v>
          </cell>
        </row>
        <row r="334">
          <cell r="C334">
            <v>197520</v>
          </cell>
          <cell r="D334" t="str">
            <v>M S SHINDE PETROLEUM</v>
          </cell>
          <cell r="E334" t="str">
            <v>BPCL</v>
          </cell>
          <cell r="F334" t="str">
            <v>2019-20</v>
          </cell>
          <cell r="G334" t="str">
            <v>Pune Wagholi RSA</v>
          </cell>
          <cell r="J334" t="str">
            <v>Manchar bypass LHS</v>
          </cell>
          <cell r="K334" t="str">
            <v>Pune</v>
          </cell>
          <cell r="L334" t="str">
            <v>D1</v>
          </cell>
          <cell r="M334" t="str">
            <v>NH-60</v>
          </cell>
          <cell r="O334" t="str">
            <v>A</v>
          </cell>
          <cell r="P334">
            <v>55</v>
          </cell>
          <cell r="Q334">
            <v>145</v>
          </cell>
          <cell r="R334">
            <v>40</v>
          </cell>
          <cell r="S334">
            <v>112</v>
          </cell>
          <cell r="T334">
            <v>15</v>
          </cell>
          <cell r="U334">
            <v>33</v>
          </cell>
          <cell r="V334">
            <v>100</v>
          </cell>
          <cell r="W334">
            <v>280</v>
          </cell>
          <cell r="X334">
            <v>82</v>
          </cell>
          <cell r="Y334">
            <v>202</v>
          </cell>
          <cell r="Z334">
            <v>18</v>
          </cell>
          <cell r="AA334">
            <v>78</v>
          </cell>
          <cell r="AB334">
            <v>200</v>
          </cell>
          <cell r="AC334">
            <v>152</v>
          </cell>
          <cell r="AD334">
            <v>48</v>
          </cell>
          <cell r="AE334">
            <v>380</v>
          </cell>
          <cell r="AF334">
            <v>284</v>
          </cell>
          <cell r="AG334">
            <v>96</v>
          </cell>
        </row>
        <row r="335">
          <cell r="C335">
            <v>198755</v>
          </cell>
          <cell r="D335" t="str">
            <v>Bhagat Petroleum</v>
          </cell>
          <cell r="E335" t="str">
            <v>BPCL</v>
          </cell>
          <cell r="F335" t="str">
            <v>2017-18</v>
          </cell>
          <cell r="G335" t="str">
            <v>Pune Tathawade RSA</v>
          </cell>
          <cell r="J335" t="str">
            <v>BARAMATI BHIGWAN ROAD</v>
          </cell>
          <cell r="K335" t="str">
            <v>Pune</v>
          </cell>
          <cell r="L335" t="str">
            <v>D2</v>
          </cell>
          <cell r="O335" t="str">
            <v>A</v>
          </cell>
          <cell r="P335">
            <v>0</v>
          </cell>
          <cell r="Q335">
            <v>0</v>
          </cell>
          <cell r="R335">
            <v>11</v>
          </cell>
          <cell r="S335">
            <v>25</v>
          </cell>
          <cell r="T335">
            <v>-11</v>
          </cell>
          <cell r="U335">
            <v>-25</v>
          </cell>
          <cell r="V335">
            <v>0</v>
          </cell>
          <cell r="W335">
            <v>0</v>
          </cell>
          <cell r="X335">
            <v>24</v>
          </cell>
          <cell r="Y335">
            <v>48</v>
          </cell>
          <cell r="Z335">
            <v>-24</v>
          </cell>
          <cell r="AA335">
            <v>-48</v>
          </cell>
          <cell r="AB335">
            <v>0</v>
          </cell>
          <cell r="AC335">
            <v>36</v>
          </cell>
          <cell r="AD335">
            <v>-36</v>
          </cell>
          <cell r="AE335">
            <v>0</v>
          </cell>
          <cell r="AF335">
            <v>72</v>
          </cell>
          <cell r="AG335">
            <v>-72</v>
          </cell>
        </row>
        <row r="336">
          <cell r="C336">
            <v>198816</v>
          </cell>
          <cell r="D336" t="str">
            <v>Shashikala Petroleum</v>
          </cell>
          <cell r="E336" t="str">
            <v>BPCL</v>
          </cell>
          <cell r="F336" t="str">
            <v>2017-18</v>
          </cell>
          <cell r="G336" t="str">
            <v>Shirdi RSA</v>
          </cell>
          <cell r="J336" t="str">
            <v>LAKH</v>
          </cell>
          <cell r="K336" t="str">
            <v>Ahmednagar</v>
          </cell>
          <cell r="L336" t="str">
            <v>E</v>
          </cell>
          <cell r="O336" t="str">
            <v>B</v>
          </cell>
          <cell r="P336">
            <v>3</v>
          </cell>
          <cell r="Q336">
            <v>9</v>
          </cell>
          <cell r="R336">
            <v>6</v>
          </cell>
          <cell r="S336">
            <v>6</v>
          </cell>
          <cell r="T336">
            <v>-3</v>
          </cell>
          <cell r="U336">
            <v>3</v>
          </cell>
          <cell r="V336">
            <v>9</v>
          </cell>
          <cell r="W336">
            <v>15</v>
          </cell>
          <cell r="X336">
            <v>9</v>
          </cell>
          <cell r="Y336">
            <v>15</v>
          </cell>
          <cell r="Z336">
            <v>0</v>
          </cell>
          <cell r="AA336">
            <v>0</v>
          </cell>
          <cell r="AB336">
            <v>12</v>
          </cell>
          <cell r="AC336">
            <v>12</v>
          </cell>
          <cell r="AD336">
            <v>0</v>
          </cell>
          <cell r="AE336">
            <v>24</v>
          </cell>
          <cell r="AF336">
            <v>24</v>
          </cell>
          <cell r="AG336">
            <v>0</v>
          </cell>
        </row>
        <row r="337">
          <cell r="C337">
            <v>198904</v>
          </cell>
          <cell r="D337" t="str">
            <v>SHRAVANI PETROLEUM</v>
          </cell>
          <cell r="E337" t="str">
            <v>BPCL</v>
          </cell>
          <cell r="G337" t="str">
            <v>Satara West RSA</v>
          </cell>
          <cell r="J337" t="str">
            <v>Khandala to Shirwal</v>
          </cell>
          <cell r="K337" t="str">
            <v>Satara</v>
          </cell>
          <cell r="L337" t="str">
            <v>D1</v>
          </cell>
          <cell r="M337" t="str">
            <v>NH-48</v>
          </cell>
          <cell r="O337" t="str">
            <v>A</v>
          </cell>
          <cell r="P337">
            <v>72</v>
          </cell>
          <cell r="Q337">
            <v>52</v>
          </cell>
          <cell r="R337">
            <v>77</v>
          </cell>
          <cell r="S337">
            <v>47</v>
          </cell>
          <cell r="T337">
            <v>-5</v>
          </cell>
          <cell r="U337">
            <v>5</v>
          </cell>
          <cell r="V337">
            <v>146</v>
          </cell>
          <cell r="W337">
            <v>104</v>
          </cell>
          <cell r="X337">
            <v>153</v>
          </cell>
          <cell r="Y337">
            <v>87</v>
          </cell>
          <cell r="Z337">
            <v>-7</v>
          </cell>
          <cell r="AA337">
            <v>17</v>
          </cell>
          <cell r="AB337">
            <v>124</v>
          </cell>
          <cell r="AC337">
            <v>124</v>
          </cell>
          <cell r="AD337">
            <v>0</v>
          </cell>
          <cell r="AE337">
            <v>250</v>
          </cell>
          <cell r="AF337">
            <v>240</v>
          </cell>
          <cell r="AG337">
            <v>10</v>
          </cell>
        </row>
        <row r="338">
          <cell r="C338">
            <v>198982</v>
          </cell>
          <cell r="D338" t="str">
            <v>KETAN PETROLEUM</v>
          </cell>
          <cell r="E338" t="str">
            <v>BPCL</v>
          </cell>
          <cell r="G338" t="str">
            <v>Ahmednagar West RSA</v>
          </cell>
          <cell r="J338" t="str">
            <v>Ruichattisi</v>
          </cell>
          <cell r="K338" t="str">
            <v>Ahmednagar</v>
          </cell>
          <cell r="L338" t="str">
            <v>D1</v>
          </cell>
          <cell r="M338" t="str">
            <v>NH-561A</v>
          </cell>
          <cell r="O338" t="str">
            <v>A</v>
          </cell>
          <cell r="P338">
            <v>26</v>
          </cell>
          <cell r="Q338">
            <v>104</v>
          </cell>
          <cell r="R338">
            <v>24</v>
          </cell>
          <cell r="S338">
            <v>60</v>
          </cell>
          <cell r="T338">
            <v>2</v>
          </cell>
          <cell r="U338">
            <v>44</v>
          </cell>
          <cell r="V338">
            <v>51.5</v>
          </cell>
          <cell r="W338">
            <v>180.5</v>
          </cell>
          <cell r="X338">
            <v>30</v>
          </cell>
          <cell r="Y338">
            <v>78</v>
          </cell>
          <cell r="Z338">
            <v>21.5</v>
          </cell>
          <cell r="AA338">
            <v>102.5</v>
          </cell>
          <cell r="AB338">
            <v>130</v>
          </cell>
          <cell r="AC338">
            <v>84</v>
          </cell>
          <cell r="AD338">
            <v>46</v>
          </cell>
          <cell r="AE338">
            <v>232</v>
          </cell>
          <cell r="AF338">
            <v>108</v>
          </cell>
          <cell r="AG338">
            <v>124</v>
          </cell>
        </row>
        <row r="339">
          <cell r="C339">
            <v>199460</v>
          </cell>
          <cell r="D339" t="str">
            <v>Tanhai Petroleum</v>
          </cell>
          <cell r="E339" t="str">
            <v>BPCL</v>
          </cell>
          <cell r="F339" t="str">
            <v>2017-18</v>
          </cell>
          <cell r="G339" t="str">
            <v>Ahmednagar West RSA</v>
          </cell>
          <cell r="J339" t="str">
            <v>Manikdaundi</v>
          </cell>
          <cell r="K339" t="str">
            <v>Ahmednagar</v>
          </cell>
          <cell r="L339" t="str">
            <v>E</v>
          </cell>
          <cell r="O339" t="str">
            <v>B</v>
          </cell>
          <cell r="P339">
            <v>21</v>
          </cell>
          <cell r="Q339">
            <v>75</v>
          </cell>
          <cell r="R339">
            <v>9</v>
          </cell>
          <cell r="S339">
            <v>27</v>
          </cell>
          <cell r="T339">
            <v>12</v>
          </cell>
          <cell r="U339">
            <v>48</v>
          </cell>
          <cell r="V339">
            <v>36</v>
          </cell>
          <cell r="W339">
            <v>120</v>
          </cell>
          <cell r="X339">
            <v>19</v>
          </cell>
          <cell r="Y339">
            <v>57</v>
          </cell>
          <cell r="Z339">
            <v>17</v>
          </cell>
          <cell r="AA339">
            <v>63</v>
          </cell>
          <cell r="AB339">
            <v>96</v>
          </cell>
          <cell r="AC339">
            <v>36</v>
          </cell>
          <cell r="AD339">
            <v>60</v>
          </cell>
          <cell r="AE339">
            <v>156</v>
          </cell>
          <cell r="AF339">
            <v>76</v>
          </cell>
          <cell r="AG339">
            <v>80</v>
          </cell>
        </row>
        <row r="340">
          <cell r="C340">
            <v>199616</v>
          </cell>
          <cell r="D340" t="str">
            <v>Sathe Petroleum</v>
          </cell>
          <cell r="E340" t="str">
            <v>BPCL</v>
          </cell>
          <cell r="F340" t="str">
            <v>2017-18</v>
          </cell>
          <cell r="G340" t="str">
            <v>Pune City RSA</v>
          </cell>
          <cell r="J340" t="str">
            <v>LOHAGAON URBAN</v>
          </cell>
          <cell r="K340" t="str">
            <v>Pune</v>
          </cell>
          <cell r="L340" t="str">
            <v>A</v>
          </cell>
          <cell r="O340" t="str">
            <v>A</v>
          </cell>
          <cell r="P340">
            <v>289</v>
          </cell>
          <cell r="Q340">
            <v>83</v>
          </cell>
          <cell r="R340">
            <v>275</v>
          </cell>
          <cell r="S340">
            <v>85</v>
          </cell>
          <cell r="T340">
            <v>14</v>
          </cell>
          <cell r="U340">
            <v>-2</v>
          </cell>
          <cell r="V340">
            <v>534</v>
          </cell>
          <cell r="W340">
            <v>158</v>
          </cell>
          <cell r="X340">
            <v>540</v>
          </cell>
          <cell r="Y340">
            <v>160</v>
          </cell>
          <cell r="Z340">
            <v>-6</v>
          </cell>
          <cell r="AA340">
            <v>-2</v>
          </cell>
          <cell r="AB340">
            <v>372</v>
          </cell>
          <cell r="AC340">
            <v>360</v>
          </cell>
          <cell r="AD340">
            <v>12</v>
          </cell>
          <cell r="AE340">
            <v>692</v>
          </cell>
          <cell r="AF340">
            <v>700</v>
          </cell>
          <cell r="AG340">
            <v>-8</v>
          </cell>
        </row>
        <row r="341">
          <cell r="C341">
            <v>200119</v>
          </cell>
          <cell r="D341" t="str">
            <v>Om Sai Petroleum</v>
          </cell>
          <cell r="E341" t="str">
            <v>BPCL</v>
          </cell>
          <cell r="F341" t="str">
            <v>2017-18</v>
          </cell>
          <cell r="G341" t="str">
            <v>Pune Wagholi RSA</v>
          </cell>
          <cell r="J341" t="str">
            <v>Ane</v>
          </cell>
          <cell r="K341" t="str">
            <v>Pune</v>
          </cell>
          <cell r="L341" t="str">
            <v>D1</v>
          </cell>
          <cell r="M341" t="str">
            <v>NH-61</v>
          </cell>
          <cell r="O341" t="str">
            <v>B</v>
          </cell>
          <cell r="P341">
            <v>9</v>
          </cell>
          <cell r="Q341">
            <v>27</v>
          </cell>
          <cell r="R341">
            <v>16</v>
          </cell>
          <cell r="S341">
            <v>20</v>
          </cell>
          <cell r="T341">
            <v>-7</v>
          </cell>
          <cell r="U341">
            <v>7</v>
          </cell>
          <cell r="V341">
            <v>18</v>
          </cell>
          <cell r="W341">
            <v>42</v>
          </cell>
          <cell r="X341">
            <v>22</v>
          </cell>
          <cell r="Y341">
            <v>38</v>
          </cell>
          <cell r="Z341">
            <v>-4</v>
          </cell>
          <cell r="AA341">
            <v>4</v>
          </cell>
          <cell r="AB341">
            <v>36</v>
          </cell>
          <cell r="AC341">
            <v>36</v>
          </cell>
          <cell r="AD341">
            <v>0</v>
          </cell>
          <cell r="AE341">
            <v>60</v>
          </cell>
          <cell r="AF341">
            <v>60</v>
          </cell>
          <cell r="AG341">
            <v>0</v>
          </cell>
        </row>
        <row r="342">
          <cell r="C342">
            <v>200581</v>
          </cell>
          <cell r="D342" t="str">
            <v>Shree Moraya Petroleum</v>
          </cell>
          <cell r="E342" t="str">
            <v>BPCL</v>
          </cell>
          <cell r="F342" t="str">
            <v>2017-18</v>
          </cell>
          <cell r="G342" t="str">
            <v>Pune Hadapsar RSA</v>
          </cell>
          <cell r="J342" t="str">
            <v>Patas-Kangaon Road</v>
          </cell>
          <cell r="K342" t="str">
            <v>Pune</v>
          </cell>
          <cell r="L342" t="str">
            <v>E</v>
          </cell>
          <cell r="O342" t="str">
            <v>A</v>
          </cell>
          <cell r="P342">
            <v>13.5</v>
          </cell>
          <cell r="Q342">
            <v>400.5</v>
          </cell>
          <cell r="R342">
            <v>22.5</v>
          </cell>
          <cell r="S342">
            <v>247.5</v>
          </cell>
          <cell r="T342">
            <v>-9</v>
          </cell>
          <cell r="U342">
            <v>153</v>
          </cell>
          <cell r="V342">
            <v>36</v>
          </cell>
          <cell r="W342">
            <v>738</v>
          </cell>
          <cell r="X342">
            <v>40.5</v>
          </cell>
          <cell r="Y342">
            <v>499.5</v>
          </cell>
          <cell r="Z342">
            <v>-4.5</v>
          </cell>
          <cell r="AA342">
            <v>238.5</v>
          </cell>
          <cell r="AB342">
            <v>414</v>
          </cell>
          <cell r="AC342">
            <v>270</v>
          </cell>
          <cell r="AD342">
            <v>144</v>
          </cell>
          <cell r="AE342">
            <v>774</v>
          </cell>
          <cell r="AF342">
            <v>540</v>
          </cell>
          <cell r="AG342">
            <v>234</v>
          </cell>
        </row>
        <row r="343">
          <cell r="C343">
            <v>200715</v>
          </cell>
          <cell r="D343" t="str">
            <v>Vikas Petroleum</v>
          </cell>
          <cell r="E343" t="str">
            <v>BPCL</v>
          </cell>
          <cell r="F343" t="str">
            <v>2017-18</v>
          </cell>
          <cell r="G343" t="str">
            <v>Satara East RSA</v>
          </cell>
          <cell r="J343" t="str">
            <v>Ambheri</v>
          </cell>
          <cell r="K343" t="str">
            <v>Satara</v>
          </cell>
          <cell r="L343" t="str">
            <v>E</v>
          </cell>
          <cell r="O343" t="str">
            <v>B</v>
          </cell>
          <cell r="P343">
            <v>30</v>
          </cell>
          <cell r="Q343">
            <v>42</v>
          </cell>
          <cell r="R343">
            <v>33</v>
          </cell>
          <cell r="S343">
            <v>43</v>
          </cell>
          <cell r="T343">
            <v>-3</v>
          </cell>
          <cell r="U343">
            <v>-1</v>
          </cell>
          <cell r="V343">
            <v>54</v>
          </cell>
          <cell r="W343">
            <v>78</v>
          </cell>
          <cell r="X343">
            <v>68</v>
          </cell>
          <cell r="Y343">
            <v>112</v>
          </cell>
          <cell r="Z343">
            <v>-14</v>
          </cell>
          <cell r="AA343">
            <v>-34</v>
          </cell>
          <cell r="AB343">
            <v>72</v>
          </cell>
          <cell r="AC343">
            <v>76</v>
          </cell>
          <cell r="AD343">
            <v>-4</v>
          </cell>
          <cell r="AE343">
            <v>132</v>
          </cell>
          <cell r="AF343">
            <v>180</v>
          </cell>
          <cell r="AG343">
            <v>-48</v>
          </cell>
        </row>
        <row r="344">
          <cell r="C344">
            <v>200803</v>
          </cell>
          <cell r="D344" t="str">
            <v>Astvinayak Petroleum</v>
          </cell>
          <cell r="E344" t="str">
            <v>BPCL</v>
          </cell>
          <cell r="F344" t="str">
            <v>2017-18</v>
          </cell>
          <cell r="G344" t="str">
            <v>Ahmednagar East RSA</v>
          </cell>
          <cell r="J344" t="str">
            <v>KHEDLE PARMANAND</v>
          </cell>
          <cell r="K344" t="str">
            <v>Ahmednagar</v>
          </cell>
          <cell r="L344" t="str">
            <v>D2</v>
          </cell>
          <cell r="O344" t="str">
            <v>B</v>
          </cell>
          <cell r="P344">
            <v>24.5</v>
          </cell>
          <cell r="Q344">
            <v>48.5</v>
          </cell>
          <cell r="R344">
            <v>18</v>
          </cell>
          <cell r="S344">
            <v>54</v>
          </cell>
          <cell r="T344">
            <v>6.5</v>
          </cell>
          <cell r="U344">
            <v>-5.5</v>
          </cell>
          <cell r="V344">
            <v>45.5</v>
          </cell>
          <cell r="W344">
            <v>99.5</v>
          </cell>
          <cell r="X344">
            <v>40</v>
          </cell>
          <cell r="Y344">
            <v>107</v>
          </cell>
          <cell r="Z344">
            <v>5.5</v>
          </cell>
          <cell r="AA344">
            <v>-7.5</v>
          </cell>
          <cell r="AB344">
            <v>73</v>
          </cell>
          <cell r="AC344">
            <v>72</v>
          </cell>
          <cell r="AD344">
            <v>1</v>
          </cell>
          <cell r="AE344">
            <v>145</v>
          </cell>
          <cell r="AF344">
            <v>147</v>
          </cell>
          <cell r="AG344">
            <v>-2</v>
          </cell>
        </row>
        <row r="345">
          <cell r="C345">
            <v>200918</v>
          </cell>
          <cell r="D345" t="str">
            <v>YASHWANT PETROLEUM</v>
          </cell>
          <cell r="E345" t="str">
            <v>BPCL</v>
          </cell>
          <cell r="F345" t="str">
            <v>2017-18</v>
          </cell>
          <cell r="G345" t="str">
            <v>Ahmednagar West RSA</v>
          </cell>
          <cell r="J345" t="str">
            <v>Mandavgan</v>
          </cell>
          <cell r="K345" t="str">
            <v>Ahmednagar</v>
          </cell>
          <cell r="L345" t="str">
            <v>E</v>
          </cell>
          <cell r="O345" t="str">
            <v>B</v>
          </cell>
          <cell r="P345">
            <v>34.5</v>
          </cell>
          <cell r="Q345">
            <v>96.5</v>
          </cell>
          <cell r="R345">
            <v>35</v>
          </cell>
          <cell r="S345">
            <v>130</v>
          </cell>
          <cell r="T345">
            <v>-0.5</v>
          </cell>
          <cell r="U345">
            <v>-33.5</v>
          </cell>
          <cell r="V345">
            <v>62</v>
          </cell>
          <cell r="W345">
            <v>167</v>
          </cell>
          <cell r="X345">
            <v>73</v>
          </cell>
          <cell r="Y345">
            <v>279</v>
          </cell>
          <cell r="Z345">
            <v>-11</v>
          </cell>
          <cell r="AA345">
            <v>-112</v>
          </cell>
          <cell r="AB345">
            <v>131</v>
          </cell>
          <cell r="AC345">
            <v>165</v>
          </cell>
          <cell r="AD345">
            <v>-34</v>
          </cell>
          <cell r="AE345">
            <v>229</v>
          </cell>
          <cell r="AF345">
            <v>352</v>
          </cell>
          <cell r="AG345">
            <v>-123</v>
          </cell>
        </row>
        <row r="346">
          <cell r="C346">
            <v>201627</v>
          </cell>
          <cell r="D346" t="str">
            <v>BB KOLPE PETROLEUM</v>
          </cell>
          <cell r="E346" t="str">
            <v>BPCL</v>
          </cell>
          <cell r="F346" t="str">
            <v>2017-18</v>
          </cell>
          <cell r="G346" t="str">
            <v>Shirdi RSA</v>
          </cell>
          <cell r="J346" t="str">
            <v>CHAS NALI</v>
          </cell>
          <cell r="K346" t="str">
            <v>Ahmednagar</v>
          </cell>
          <cell r="L346" t="str">
            <v>D2</v>
          </cell>
          <cell r="O346" t="str">
            <v>B</v>
          </cell>
          <cell r="P346">
            <v>60</v>
          </cell>
          <cell r="Q346">
            <v>96</v>
          </cell>
          <cell r="R346">
            <v>56</v>
          </cell>
          <cell r="S346">
            <v>96</v>
          </cell>
          <cell r="T346">
            <v>4</v>
          </cell>
          <cell r="U346">
            <v>0</v>
          </cell>
          <cell r="V346">
            <v>99</v>
          </cell>
          <cell r="W346">
            <v>213</v>
          </cell>
          <cell r="X346">
            <v>91</v>
          </cell>
          <cell r="Y346">
            <v>189</v>
          </cell>
          <cell r="Z346">
            <v>8</v>
          </cell>
          <cell r="AA346">
            <v>24</v>
          </cell>
          <cell r="AB346">
            <v>156</v>
          </cell>
          <cell r="AC346">
            <v>152</v>
          </cell>
          <cell r="AD346">
            <v>4</v>
          </cell>
          <cell r="AE346">
            <v>312</v>
          </cell>
          <cell r="AF346">
            <v>280</v>
          </cell>
          <cell r="AG346">
            <v>32</v>
          </cell>
        </row>
        <row r="347">
          <cell r="C347">
            <v>201776</v>
          </cell>
          <cell r="D347" t="str">
            <v>Shelar Petroleum</v>
          </cell>
          <cell r="E347" t="str">
            <v>BPCL</v>
          </cell>
          <cell r="F347" t="str">
            <v>2017-18</v>
          </cell>
          <cell r="G347" t="str">
            <v>Pune Tathawade RSA</v>
          </cell>
          <cell r="J347" t="str">
            <v>Nimbut to Someshwar Nagar</v>
          </cell>
          <cell r="K347" t="str">
            <v>Pune</v>
          </cell>
          <cell r="L347" t="str">
            <v>D2</v>
          </cell>
          <cell r="O347" t="str">
            <v>B</v>
          </cell>
          <cell r="P347">
            <v>0</v>
          </cell>
          <cell r="Q347">
            <v>0</v>
          </cell>
          <cell r="R347">
            <v>12</v>
          </cell>
          <cell r="S347">
            <v>12</v>
          </cell>
          <cell r="T347">
            <v>-12</v>
          </cell>
          <cell r="U347">
            <v>-12</v>
          </cell>
          <cell r="V347">
            <v>4</v>
          </cell>
          <cell r="W347">
            <v>8</v>
          </cell>
          <cell r="X347">
            <v>24</v>
          </cell>
          <cell r="Y347">
            <v>24</v>
          </cell>
          <cell r="Z347">
            <v>-20</v>
          </cell>
          <cell r="AA347">
            <v>-16</v>
          </cell>
          <cell r="AB347">
            <v>0</v>
          </cell>
          <cell r="AC347">
            <v>24</v>
          </cell>
          <cell r="AD347">
            <v>-24</v>
          </cell>
          <cell r="AE347">
            <v>12</v>
          </cell>
          <cell r="AF347">
            <v>48</v>
          </cell>
          <cell r="AG347">
            <v>-36</v>
          </cell>
        </row>
        <row r="348">
          <cell r="C348">
            <v>201785</v>
          </cell>
          <cell r="D348" t="str">
            <v>Shree Swami Shankar Petroleum</v>
          </cell>
          <cell r="E348" t="str">
            <v>BPCL</v>
          </cell>
          <cell r="F348" t="str">
            <v>2017-18</v>
          </cell>
          <cell r="G348" t="str">
            <v>Pune City RSA</v>
          </cell>
          <cell r="J348" t="str">
            <v>NANDED CITY</v>
          </cell>
          <cell r="K348" t="str">
            <v>Pune</v>
          </cell>
          <cell r="L348" t="str">
            <v>A</v>
          </cell>
          <cell r="O348" t="str">
            <v>B</v>
          </cell>
          <cell r="P348">
            <v>165</v>
          </cell>
          <cell r="Q348">
            <v>295</v>
          </cell>
          <cell r="R348">
            <v>145</v>
          </cell>
          <cell r="S348">
            <v>215</v>
          </cell>
          <cell r="T348">
            <v>20</v>
          </cell>
          <cell r="U348">
            <v>80</v>
          </cell>
          <cell r="V348">
            <v>296</v>
          </cell>
          <cell r="W348">
            <v>536</v>
          </cell>
          <cell r="X348">
            <v>285</v>
          </cell>
          <cell r="Y348">
            <v>555</v>
          </cell>
          <cell r="Z348">
            <v>11</v>
          </cell>
          <cell r="AA348">
            <v>-19</v>
          </cell>
          <cell r="AB348">
            <v>460</v>
          </cell>
          <cell r="AC348">
            <v>360</v>
          </cell>
          <cell r="AD348">
            <v>100</v>
          </cell>
          <cell r="AE348">
            <v>832</v>
          </cell>
          <cell r="AF348">
            <v>840</v>
          </cell>
          <cell r="AG348">
            <v>-8</v>
          </cell>
        </row>
        <row r="349">
          <cell r="C349">
            <v>202620</v>
          </cell>
          <cell r="D349" t="str">
            <v>Shri Wagh Petroleum</v>
          </cell>
          <cell r="E349" t="str">
            <v>BPCL</v>
          </cell>
          <cell r="F349" t="str">
            <v>2017-18</v>
          </cell>
          <cell r="G349" t="str">
            <v>Pune Saswad RSA</v>
          </cell>
          <cell r="J349" t="str">
            <v>Indapur Bypass</v>
          </cell>
          <cell r="K349" t="str">
            <v>Pune</v>
          </cell>
          <cell r="L349" t="str">
            <v>D1</v>
          </cell>
          <cell r="M349" t="str">
            <v>NH-65</v>
          </cell>
          <cell r="O349" t="str">
            <v>A</v>
          </cell>
          <cell r="P349">
            <v>16</v>
          </cell>
          <cell r="Q349">
            <v>60</v>
          </cell>
          <cell r="R349">
            <v>28</v>
          </cell>
          <cell r="S349">
            <v>114</v>
          </cell>
          <cell r="T349">
            <v>-12</v>
          </cell>
          <cell r="U349">
            <v>-54</v>
          </cell>
          <cell r="V349">
            <v>36</v>
          </cell>
          <cell r="W349">
            <v>154</v>
          </cell>
          <cell r="X349">
            <v>56</v>
          </cell>
          <cell r="Y349">
            <v>219</v>
          </cell>
          <cell r="Z349">
            <v>-20</v>
          </cell>
          <cell r="AA349">
            <v>-65</v>
          </cell>
          <cell r="AB349">
            <v>76</v>
          </cell>
          <cell r="AC349">
            <v>142</v>
          </cell>
          <cell r="AD349">
            <v>-66</v>
          </cell>
          <cell r="AE349">
            <v>190</v>
          </cell>
          <cell r="AF349">
            <v>275</v>
          </cell>
          <cell r="AG349">
            <v>-85</v>
          </cell>
        </row>
        <row r="350">
          <cell r="C350">
            <v>202883</v>
          </cell>
          <cell r="D350" t="str">
            <v>Samiksha Petroleum</v>
          </cell>
          <cell r="E350" t="str">
            <v>BPCL</v>
          </cell>
          <cell r="F350" t="str">
            <v>2017-18</v>
          </cell>
          <cell r="G350" t="str">
            <v>Satara West RSA</v>
          </cell>
          <cell r="J350" t="str">
            <v>WATHAR TO KARAD</v>
          </cell>
          <cell r="K350" t="str">
            <v>Satara</v>
          </cell>
          <cell r="L350" t="str">
            <v>D1</v>
          </cell>
          <cell r="M350" t="str">
            <v>NH-48</v>
          </cell>
          <cell r="O350" t="str">
            <v>A</v>
          </cell>
          <cell r="P350">
            <v>62</v>
          </cell>
          <cell r="Q350">
            <v>159</v>
          </cell>
          <cell r="R350">
            <v>66</v>
          </cell>
          <cell r="S350">
            <v>174</v>
          </cell>
          <cell r="T350">
            <v>-4</v>
          </cell>
          <cell r="U350">
            <v>-15</v>
          </cell>
          <cell r="V350">
            <v>117</v>
          </cell>
          <cell r="W350">
            <v>336</v>
          </cell>
          <cell r="X350">
            <v>111</v>
          </cell>
          <cell r="Y350">
            <v>297</v>
          </cell>
          <cell r="Z350">
            <v>6</v>
          </cell>
          <cell r="AA350">
            <v>39</v>
          </cell>
          <cell r="AB350">
            <v>221</v>
          </cell>
          <cell r="AC350">
            <v>240</v>
          </cell>
          <cell r="AD350">
            <v>-19</v>
          </cell>
          <cell r="AE350">
            <v>453</v>
          </cell>
          <cell r="AF350">
            <v>408</v>
          </cell>
          <cell r="AG350">
            <v>45</v>
          </cell>
        </row>
        <row r="351">
          <cell r="C351">
            <v>202969</v>
          </cell>
          <cell r="D351" t="str">
            <v>SAI SERVICE</v>
          </cell>
          <cell r="E351" t="str">
            <v>BPCL</v>
          </cell>
          <cell r="F351" t="str">
            <v>2018-19</v>
          </cell>
          <cell r="G351" t="str">
            <v>Ahmednagar East RSA</v>
          </cell>
          <cell r="J351" t="str">
            <v>DAHIGAON-NE</v>
          </cell>
          <cell r="K351" t="str">
            <v>Ahmednagar</v>
          </cell>
          <cell r="L351" t="str">
            <v>E</v>
          </cell>
          <cell r="O351" t="str">
            <v>B</v>
          </cell>
          <cell r="P351">
            <v>42</v>
          </cell>
          <cell r="Q351">
            <v>104</v>
          </cell>
          <cell r="R351">
            <v>44</v>
          </cell>
          <cell r="S351">
            <v>69</v>
          </cell>
          <cell r="T351">
            <v>-2</v>
          </cell>
          <cell r="U351">
            <v>35</v>
          </cell>
          <cell r="V351">
            <v>70</v>
          </cell>
          <cell r="W351">
            <v>132</v>
          </cell>
          <cell r="X351">
            <v>82</v>
          </cell>
          <cell r="Y351">
            <v>114</v>
          </cell>
          <cell r="Z351">
            <v>-12</v>
          </cell>
          <cell r="AA351">
            <v>18</v>
          </cell>
          <cell r="AB351">
            <v>146</v>
          </cell>
          <cell r="AC351">
            <v>113</v>
          </cell>
          <cell r="AD351">
            <v>33</v>
          </cell>
          <cell r="AE351">
            <v>202</v>
          </cell>
          <cell r="AF351">
            <v>196</v>
          </cell>
          <cell r="AG351">
            <v>6</v>
          </cell>
        </row>
        <row r="352">
          <cell r="C352">
            <v>203215</v>
          </cell>
          <cell r="D352" t="str">
            <v>BP-Khadaki</v>
          </cell>
          <cell r="E352" t="str">
            <v>BPCL</v>
          </cell>
          <cell r="F352" t="str">
            <v>2017-18</v>
          </cell>
          <cell r="G352" t="str">
            <v>Pune Hadapsar RSA</v>
          </cell>
          <cell r="J352" t="str">
            <v>Ravangaon LHS</v>
          </cell>
          <cell r="K352" t="str">
            <v>Pune</v>
          </cell>
          <cell r="L352" t="str">
            <v>D1</v>
          </cell>
          <cell r="M352" t="str">
            <v>NH-65</v>
          </cell>
          <cell r="O352" t="str">
            <v>B</v>
          </cell>
          <cell r="P352">
            <v>50.744</v>
          </cell>
          <cell r="Q352">
            <v>368.214</v>
          </cell>
          <cell r="R352">
            <v>49.022999999999996</v>
          </cell>
          <cell r="S352">
            <v>268.18700000000001</v>
          </cell>
          <cell r="T352">
            <v>1.7210000000000036</v>
          </cell>
          <cell r="U352">
            <v>100.02699999999999</v>
          </cell>
          <cell r="V352">
            <v>90.412000000000006</v>
          </cell>
          <cell r="W352">
            <v>681.42000000000007</v>
          </cell>
          <cell r="X352">
            <v>96.307999999999993</v>
          </cell>
          <cell r="Y352">
            <v>551.95100000000002</v>
          </cell>
          <cell r="Z352">
            <v>-5.8959999999999866</v>
          </cell>
          <cell r="AA352">
            <v>129.46900000000005</v>
          </cell>
          <cell r="AB352">
            <v>418.95799999999997</v>
          </cell>
          <cell r="AC352">
            <v>317.21000000000004</v>
          </cell>
          <cell r="AD352">
            <v>101.74799999999993</v>
          </cell>
          <cell r="AE352">
            <v>771.83200000000011</v>
          </cell>
          <cell r="AF352">
            <v>648.25900000000001</v>
          </cell>
          <cell r="AG352">
            <v>123.57300000000009</v>
          </cell>
        </row>
        <row r="353">
          <cell r="C353">
            <v>204233</v>
          </cell>
          <cell r="D353" t="str">
            <v>PRAGATI PETROLEUM</v>
          </cell>
          <cell r="E353" t="str">
            <v>BPCL</v>
          </cell>
          <cell r="F353" t="str">
            <v>2018-19</v>
          </cell>
          <cell r="G353" t="str">
            <v>Shirdi RSA</v>
          </cell>
          <cell r="J353" t="str">
            <v>VIRGAON</v>
          </cell>
          <cell r="K353" t="str">
            <v>Ahmednagar</v>
          </cell>
          <cell r="L353" t="str">
            <v>D2</v>
          </cell>
          <cell r="O353" t="str">
            <v>A</v>
          </cell>
          <cell r="P353">
            <v>0</v>
          </cell>
          <cell r="Q353">
            <v>0</v>
          </cell>
          <cell r="R353">
            <v>9</v>
          </cell>
          <cell r="S353">
            <v>15</v>
          </cell>
          <cell r="T353">
            <v>-9</v>
          </cell>
          <cell r="U353">
            <v>-15</v>
          </cell>
          <cell r="V353">
            <v>0</v>
          </cell>
          <cell r="W353">
            <v>0</v>
          </cell>
          <cell r="X353">
            <v>15</v>
          </cell>
          <cell r="Y353">
            <v>33</v>
          </cell>
          <cell r="Z353">
            <v>-15</v>
          </cell>
          <cell r="AA353">
            <v>-33</v>
          </cell>
          <cell r="AB353">
            <v>0</v>
          </cell>
          <cell r="AC353">
            <v>24</v>
          </cell>
          <cell r="AD353">
            <v>-24</v>
          </cell>
          <cell r="AE353">
            <v>0</v>
          </cell>
          <cell r="AF353">
            <v>48</v>
          </cell>
          <cell r="AG353">
            <v>-48</v>
          </cell>
        </row>
        <row r="354">
          <cell r="C354">
            <v>204402</v>
          </cell>
          <cell r="D354" t="str">
            <v>Pirjade Petroleum</v>
          </cell>
          <cell r="E354" t="str">
            <v>BPCL</v>
          </cell>
          <cell r="F354" t="str">
            <v>2018-19</v>
          </cell>
          <cell r="G354" t="str">
            <v>Ahmednagar West RSA</v>
          </cell>
          <cell r="J354" t="str">
            <v>Pedgaon</v>
          </cell>
          <cell r="K354" t="str">
            <v>Ahmednagar</v>
          </cell>
          <cell r="L354" t="str">
            <v>E</v>
          </cell>
          <cell r="O354" t="str">
            <v>B</v>
          </cell>
          <cell r="P354">
            <v>12</v>
          </cell>
          <cell r="Q354">
            <v>36</v>
          </cell>
          <cell r="R354">
            <v>9</v>
          </cell>
          <cell r="S354">
            <v>27</v>
          </cell>
          <cell r="T354">
            <v>3</v>
          </cell>
          <cell r="U354">
            <v>9</v>
          </cell>
          <cell r="V354">
            <v>27</v>
          </cell>
          <cell r="W354">
            <v>69</v>
          </cell>
          <cell r="X354">
            <v>12</v>
          </cell>
          <cell r="Y354">
            <v>36</v>
          </cell>
          <cell r="Z354">
            <v>15</v>
          </cell>
          <cell r="AA354">
            <v>33</v>
          </cell>
          <cell r="AB354">
            <v>48</v>
          </cell>
          <cell r="AC354">
            <v>36</v>
          </cell>
          <cell r="AD354">
            <v>12</v>
          </cell>
          <cell r="AE354">
            <v>96</v>
          </cell>
          <cell r="AF354">
            <v>48</v>
          </cell>
          <cell r="AG354">
            <v>48</v>
          </cell>
        </row>
        <row r="355">
          <cell r="C355">
            <v>204481</v>
          </cell>
          <cell r="D355" t="str">
            <v>ARANESHWAR PETROLEUM</v>
          </cell>
          <cell r="E355" t="str">
            <v>BPCL</v>
          </cell>
          <cell r="F355" t="str">
            <v>2018-19</v>
          </cell>
          <cell r="G355" t="str">
            <v>Ahmednagar West RSA</v>
          </cell>
          <cell r="J355" t="str">
            <v>ARANGAON (JAMKHED)-E CLASS</v>
          </cell>
          <cell r="K355" t="str">
            <v>Ahmednagar</v>
          </cell>
          <cell r="L355" t="str">
            <v>E</v>
          </cell>
          <cell r="O355" t="str">
            <v>B</v>
          </cell>
          <cell r="P355">
            <v>38.5</v>
          </cell>
          <cell r="Q355">
            <v>107.5</v>
          </cell>
          <cell r="R355">
            <v>25</v>
          </cell>
          <cell r="S355">
            <v>100</v>
          </cell>
          <cell r="T355">
            <v>13.5</v>
          </cell>
          <cell r="U355">
            <v>7.5</v>
          </cell>
          <cell r="V355">
            <v>61</v>
          </cell>
          <cell r="W355">
            <v>187</v>
          </cell>
          <cell r="X355">
            <v>42</v>
          </cell>
          <cell r="Y355">
            <v>215</v>
          </cell>
          <cell r="Z355">
            <v>19</v>
          </cell>
          <cell r="AA355">
            <v>-28</v>
          </cell>
          <cell r="AB355">
            <v>146</v>
          </cell>
          <cell r="AC355">
            <v>125</v>
          </cell>
          <cell r="AD355">
            <v>21</v>
          </cell>
          <cell r="AE355">
            <v>248</v>
          </cell>
          <cell r="AF355">
            <v>257</v>
          </cell>
          <cell r="AG355">
            <v>-9</v>
          </cell>
        </row>
        <row r="356">
          <cell r="C356">
            <v>205223</v>
          </cell>
          <cell r="D356" t="str">
            <v>Shree Mane Petroleum</v>
          </cell>
          <cell r="E356" t="str">
            <v>BPCL</v>
          </cell>
          <cell r="F356" t="str">
            <v>2018-19</v>
          </cell>
          <cell r="G356" t="str">
            <v>Pune Saswad RSA</v>
          </cell>
          <cell r="J356" t="str">
            <v>Kurvali</v>
          </cell>
          <cell r="K356" t="str">
            <v>Pune</v>
          </cell>
          <cell r="L356" t="str">
            <v>E</v>
          </cell>
          <cell r="O356" t="str">
            <v>A</v>
          </cell>
          <cell r="P356">
            <v>46</v>
          </cell>
          <cell r="Q356">
            <v>74</v>
          </cell>
          <cell r="R356">
            <v>44</v>
          </cell>
          <cell r="S356">
            <v>46</v>
          </cell>
          <cell r="T356">
            <v>2</v>
          </cell>
          <cell r="U356">
            <v>28</v>
          </cell>
          <cell r="V356">
            <v>93</v>
          </cell>
          <cell r="W356">
            <v>133</v>
          </cell>
          <cell r="X356">
            <v>90</v>
          </cell>
          <cell r="Y356">
            <v>102</v>
          </cell>
          <cell r="Z356">
            <v>3</v>
          </cell>
          <cell r="AA356">
            <v>31</v>
          </cell>
          <cell r="AB356">
            <v>120</v>
          </cell>
          <cell r="AC356">
            <v>90</v>
          </cell>
          <cell r="AD356">
            <v>30</v>
          </cell>
          <cell r="AE356">
            <v>226</v>
          </cell>
          <cell r="AF356">
            <v>192</v>
          </cell>
          <cell r="AG356">
            <v>34</v>
          </cell>
        </row>
        <row r="357">
          <cell r="C357">
            <v>205230</v>
          </cell>
          <cell r="D357" t="str">
            <v>Pari Petroleum</v>
          </cell>
          <cell r="E357" t="str">
            <v>BPCL</v>
          </cell>
          <cell r="F357" t="str">
            <v>2018-19</v>
          </cell>
          <cell r="G357" t="str">
            <v>Pune Hadapsar RSA</v>
          </cell>
          <cell r="J357" t="str">
            <v>DAUND</v>
          </cell>
          <cell r="K357" t="str">
            <v>Pune</v>
          </cell>
          <cell r="L357" t="str">
            <v>D2</v>
          </cell>
          <cell r="O357" t="str">
            <v>A</v>
          </cell>
          <cell r="P357">
            <v>30</v>
          </cell>
          <cell r="Q357">
            <v>78</v>
          </cell>
          <cell r="R357">
            <v>21</v>
          </cell>
          <cell r="S357">
            <v>45</v>
          </cell>
          <cell r="T357">
            <v>9</v>
          </cell>
          <cell r="U357">
            <v>33</v>
          </cell>
          <cell r="V357">
            <v>51</v>
          </cell>
          <cell r="W357">
            <v>129</v>
          </cell>
          <cell r="X357">
            <v>41</v>
          </cell>
          <cell r="Y357">
            <v>85</v>
          </cell>
          <cell r="Z357">
            <v>10</v>
          </cell>
          <cell r="AA357">
            <v>44</v>
          </cell>
          <cell r="AB357">
            <v>108</v>
          </cell>
          <cell r="AC357">
            <v>66</v>
          </cell>
          <cell r="AD357">
            <v>42</v>
          </cell>
          <cell r="AE357">
            <v>180</v>
          </cell>
          <cell r="AF357">
            <v>126</v>
          </cell>
          <cell r="AG357">
            <v>54</v>
          </cell>
        </row>
        <row r="358">
          <cell r="C358">
            <v>205480</v>
          </cell>
          <cell r="D358" t="str">
            <v>RAJYOG PETROLEUM</v>
          </cell>
          <cell r="E358" t="str">
            <v>BPCL</v>
          </cell>
          <cell r="F358" t="str">
            <v>2018-19</v>
          </cell>
          <cell r="G358" t="str">
            <v>Ahmednagar West RSA</v>
          </cell>
          <cell r="J358" t="str">
            <v>Walki</v>
          </cell>
          <cell r="K358" t="str">
            <v>Ahmednagar</v>
          </cell>
          <cell r="L358" t="str">
            <v>E</v>
          </cell>
          <cell r="O358" t="str">
            <v>A</v>
          </cell>
          <cell r="P358">
            <v>0</v>
          </cell>
          <cell r="Q358">
            <v>0</v>
          </cell>
          <cell r="R358">
            <v>18</v>
          </cell>
          <cell r="S358">
            <v>18</v>
          </cell>
          <cell r="T358">
            <v>-18</v>
          </cell>
          <cell r="U358">
            <v>-18</v>
          </cell>
          <cell r="V358">
            <v>0</v>
          </cell>
          <cell r="W358">
            <v>0</v>
          </cell>
          <cell r="X358">
            <v>33</v>
          </cell>
          <cell r="Y358">
            <v>39</v>
          </cell>
          <cell r="Z358">
            <v>-33</v>
          </cell>
          <cell r="AA358">
            <v>-39</v>
          </cell>
          <cell r="AB358">
            <v>0</v>
          </cell>
          <cell r="AC358">
            <v>36</v>
          </cell>
          <cell r="AD358">
            <v>-36</v>
          </cell>
          <cell r="AE358">
            <v>0</v>
          </cell>
          <cell r="AF358">
            <v>72</v>
          </cell>
          <cell r="AG358">
            <v>-72</v>
          </cell>
        </row>
        <row r="359">
          <cell r="C359">
            <v>205598</v>
          </cell>
          <cell r="D359" t="str">
            <v>Sairaj Petroleum</v>
          </cell>
          <cell r="E359" t="str">
            <v>BPCL</v>
          </cell>
          <cell r="F359" t="str">
            <v>2018-19</v>
          </cell>
          <cell r="G359" t="str">
            <v>Satara West RSA</v>
          </cell>
          <cell r="J359" t="str">
            <v>Bhuinj to Satara</v>
          </cell>
          <cell r="K359" t="str">
            <v>Satara</v>
          </cell>
          <cell r="L359" t="str">
            <v>D1</v>
          </cell>
          <cell r="M359" t="str">
            <v>NH-48</v>
          </cell>
          <cell r="O359" t="str">
            <v>A</v>
          </cell>
          <cell r="P359">
            <v>16</v>
          </cell>
          <cell r="Q359">
            <v>32</v>
          </cell>
          <cell r="R359">
            <v>10</v>
          </cell>
          <cell r="S359">
            <v>14</v>
          </cell>
          <cell r="T359">
            <v>6</v>
          </cell>
          <cell r="U359">
            <v>18</v>
          </cell>
          <cell r="V359">
            <v>32</v>
          </cell>
          <cell r="W359">
            <v>64</v>
          </cell>
          <cell r="X359">
            <v>22</v>
          </cell>
          <cell r="Y359">
            <v>26</v>
          </cell>
          <cell r="Z359">
            <v>10</v>
          </cell>
          <cell r="AA359">
            <v>38</v>
          </cell>
          <cell r="AB359">
            <v>48</v>
          </cell>
          <cell r="AC359">
            <v>24</v>
          </cell>
          <cell r="AD359">
            <v>24</v>
          </cell>
          <cell r="AE359">
            <v>96</v>
          </cell>
          <cell r="AF359">
            <v>48</v>
          </cell>
          <cell r="AG359">
            <v>48</v>
          </cell>
        </row>
        <row r="360">
          <cell r="C360">
            <v>205711</v>
          </cell>
          <cell r="D360" t="str">
            <v>KRISHNATARA PETROLEUM</v>
          </cell>
          <cell r="E360" t="str">
            <v>BPCL</v>
          </cell>
          <cell r="F360" t="str">
            <v>2018-19</v>
          </cell>
          <cell r="G360" t="str">
            <v>Ahmednagar West RSA</v>
          </cell>
          <cell r="J360" t="str">
            <v>Vadzire</v>
          </cell>
          <cell r="K360" t="str">
            <v>Ahmednagar</v>
          </cell>
          <cell r="L360" t="str">
            <v>D2</v>
          </cell>
          <cell r="O360" t="str">
            <v>A</v>
          </cell>
          <cell r="P360">
            <v>27.5</v>
          </cell>
          <cell r="Q360">
            <v>173.5</v>
          </cell>
          <cell r="R360">
            <v>33</v>
          </cell>
          <cell r="S360">
            <v>141</v>
          </cell>
          <cell r="T360">
            <v>-5.5</v>
          </cell>
          <cell r="U360">
            <v>32.5</v>
          </cell>
          <cell r="V360">
            <v>59</v>
          </cell>
          <cell r="W360">
            <v>296</v>
          </cell>
          <cell r="X360">
            <v>65</v>
          </cell>
          <cell r="Y360">
            <v>262</v>
          </cell>
          <cell r="Z360">
            <v>-6</v>
          </cell>
          <cell r="AA360">
            <v>34</v>
          </cell>
          <cell r="AB360">
            <v>201</v>
          </cell>
          <cell r="AC360">
            <v>174</v>
          </cell>
          <cell r="AD360">
            <v>27</v>
          </cell>
          <cell r="AE360">
            <v>355</v>
          </cell>
          <cell r="AF360">
            <v>327</v>
          </cell>
          <cell r="AG360">
            <v>28</v>
          </cell>
        </row>
        <row r="361">
          <cell r="C361">
            <v>206855</v>
          </cell>
          <cell r="D361" t="str">
            <v>Navale Petroleum</v>
          </cell>
          <cell r="E361" t="str">
            <v>BPCL</v>
          </cell>
          <cell r="F361" t="str">
            <v>2018-19</v>
          </cell>
          <cell r="G361" t="str">
            <v>Ahmednagar West RSA</v>
          </cell>
          <cell r="J361" t="str">
            <v>JAMKHED-MOHA RD</v>
          </cell>
          <cell r="K361" t="str">
            <v>Ahmednagar</v>
          </cell>
          <cell r="L361" t="str">
            <v>D1</v>
          </cell>
          <cell r="M361" t="str">
            <v>NH-548D</v>
          </cell>
          <cell r="O361" t="str">
            <v>A</v>
          </cell>
          <cell r="P361">
            <v>80</v>
          </cell>
          <cell r="Q361">
            <v>190</v>
          </cell>
          <cell r="R361">
            <v>40</v>
          </cell>
          <cell r="S361">
            <v>120</v>
          </cell>
          <cell r="T361">
            <v>40</v>
          </cell>
          <cell r="U361">
            <v>70</v>
          </cell>
          <cell r="V361">
            <v>120</v>
          </cell>
          <cell r="W361">
            <v>330</v>
          </cell>
          <cell r="X361">
            <v>80</v>
          </cell>
          <cell r="Y361">
            <v>300</v>
          </cell>
          <cell r="Z361">
            <v>40</v>
          </cell>
          <cell r="AA361">
            <v>30</v>
          </cell>
          <cell r="AB361">
            <v>270</v>
          </cell>
          <cell r="AC361">
            <v>160</v>
          </cell>
          <cell r="AD361">
            <v>110</v>
          </cell>
          <cell r="AE361">
            <v>450</v>
          </cell>
          <cell r="AF361">
            <v>380</v>
          </cell>
          <cell r="AG361">
            <v>70</v>
          </cell>
        </row>
        <row r="362">
          <cell r="C362">
            <v>206930</v>
          </cell>
          <cell r="D362" t="str">
            <v>BAANDAL PACHUNDKAR PETROLEUM</v>
          </cell>
          <cell r="E362" t="str">
            <v>BPCL</v>
          </cell>
          <cell r="F362" t="str">
            <v>2018-19</v>
          </cell>
          <cell r="G362" t="str">
            <v>Pune Wagholi RSA</v>
          </cell>
          <cell r="J362" t="str">
            <v>Ranjangaon LHS</v>
          </cell>
          <cell r="K362" t="str">
            <v>Pune</v>
          </cell>
          <cell r="L362" t="str">
            <v>D1</v>
          </cell>
          <cell r="M362" t="str">
            <v>NH-753F</v>
          </cell>
          <cell r="O362" t="str">
            <v>A</v>
          </cell>
          <cell r="P362">
            <v>40</v>
          </cell>
          <cell r="Q362">
            <v>389</v>
          </cell>
          <cell r="R362">
            <v>40</v>
          </cell>
          <cell r="S362">
            <v>492</v>
          </cell>
          <cell r="T362">
            <v>0</v>
          </cell>
          <cell r="U362">
            <v>-103</v>
          </cell>
          <cell r="V362">
            <v>73</v>
          </cell>
          <cell r="W362">
            <v>840</v>
          </cell>
          <cell r="X362">
            <v>80</v>
          </cell>
          <cell r="Y362">
            <v>941</v>
          </cell>
          <cell r="Z362">
            <v>-7</v>
          </cell>
          <cell r="AA362">
            <v>-101</v>
          </cell>
          <cell r="AB362">
            <v>429</v>
          </cell>
          <cell r="AC362">
            <v>532</v>
          </cell>
          <cell r="AD362">
            <v>-103</v>
          </cell>
          <cell r="AE362">
            <v>913</v>
          </cell>
          <cell r="AF362">
            <v>1021</v>
          </cell>
          <cell r="AG362">
            <v>-108</v>
          </cell>
        </row>
        <row r="363">
          <cell r="C363">
            <v>206983</v>
          </cell>
          <cell r="D363" t="str">
            <v>JIJAI PETROLEUM</v>
          </cell>
          <cell r="E363" t="str">
            <v>BPCL</v>
          </cell>
          <cell r="F363" t="str">
            <v>2018-19</v>
          </cell>
          <cell r="G363" t="str">
            <v>Pune Hadapsar RSA</v>
          </cell>
          <cell r="J363" t="str">
            <v>Khamgaon</v>
          </cell>
          <cell r="K363" t="str">
            <v>Pune</v>
          </cell>
          <cell r="L363" t="str">
            <v>E</v>
          </cell>
          <cell r="O363" t="str">
            <v>A</v>
          </cell>
          <cell r="P363">
            <v>12</v>
          </cell>
          <cell r="Q363">
            <v>48</v>
          </cell>
          <cell r="R363">
            <v>8</v>
          </cell>
          <cell r="S363">
            <v>16</v>
          </cell>
          <cell r="T363">
            <v>4</v>
          </cell>
          <cell r="U363">
            <v>32</v>
          </cell>
          <cell r="V363">
            <v>24</v>
          </cell>
          <cell r="W363">
            <v>84</v>
          </cell>
          <cell r="X363">
            <v>18</v>
          </cell>
          <cell r="Y363">
            <v>42</v>
          </cell>
          <cell r="Z363">
            <v>6</v>
          </cell>
          <cell r="AA363">
            <v>42</v>
          </cell>
          <cell r="AB363">
            <v>60</v>
          </cell>
          <cell r="AC363">
            <v>24</v>
          </cell>
          <cell r="AD363">
            <v>36</v>
          </cell>
          <cell r="AE363">
            <v>108</v>
          </cell>
          <cell r="AF363">
            <v>60</v>
          </cell>
          <cell r="AG363">
            <v>48</v>
          </cell>
        </row>
        <row r="364">
          <cell r="C364">
            <v>207285</v>
          </cell>
          <cell r="D364" t="str">
            <v>SHIVRAI PETROLEUM</v>
          </cell>
          <cell r="E364" t="str">
            <v>BPCL</v>
          </cell>
          <cell r="F364" t="str">
            <v>2018-19</v>
          </cell>
          <cell r="G364" t="str">
            <v>Pune Wagholi RSA</v>
          </cell>
          <cell r="J364" t="str">
            <v>Karde</v>
          </cell>
          <cell r="K364" t="str">
            <v>Pune</v>
          </cell>
          <cell r="L364" t="str">
            <v>D2</v>
          </cell>
          <cell r="O364" t="str">
            <v>B</v>
          </cell>
          <cell r="P364">
            <v>0</v>
          </cell>
          <cell r="Q364">
            <v>0</v>
          </cell>
          <cell r="R364">
            <v>19.5</v>
          </cell>
          <cell r="S364">
            <v>58.5</v>
          </cell>
          <cell r="T364">
            <v>-19.5</v>
          </cell>
          <cell r="U364">
            <v>-58.5</v>
          </cell>
          <cell r="V364">
            <v>0</v>
          </cell>
          <cell r="W364">
            <v>0</v>
          </cell>
          <cell r="X364">
            <v>42</v>
          </cell>
          <cell r="Y364">
            <v>126</v>
          </cell>
          <cell r="Z364">
            <v>-42</v>
          </cell>
          <cell r="AA364">
            <v>-126</v>
          </cell>
          <cell r="AB364">
            <v>0</v>
          </cell>
          <cell r="AC364">
            <v>78</v>
          </cell>
          <cell r="AD364">
            <v>-78</v>
          </cell>
          <cell r="AE364">
            <v>0</v>
          </cell>
          <cell r="AF364">
            <v>168</v>
          </cell>
          <cell r="AG364">
            <v>-168</v>
          </cell>
        </row>
        <row r="365">
          <cell r="C365">
            <v>207413</v>
          </cell>
          <cell r="D365" t="str">
            <v>Shiv Petroleum</v>
          </cell>
          <cell r="E365" t="str">
            <v>BPCL</v>
          </cell>
          <cell r="F365" t="str">
            <v>2018-19</v>
          </cell>
          <cell r="G365" t="str">
            <v>Ahmednagar West RSA</v>
          </cell>
          <cell r="J365" t="str">
            <v>Shahapur</v>
          </cell>
          <cell r="K365" t="str">
            <v>Ahmednagar</v>
          </cell>
          <cell r="L365" t="str">
            <v>D1</v>
          </cell>
          <cell r="M365" t="str">
            <v>NH-61</v>
          </cell>
          <cell r="O365" t="str">
            <v>A</v>
          </cell>
          <cell r="P365">
            <v>54</v>
          </cell>
          <cell r="Q365">
            <v>68</v>
          </cell>
          <cell r="R365">
            <v>54</v>
          </cell>
          <cell r="S365">
            <v>74</v>
          </cell>
          <cell r="T365">
            <v>0</v>
          </cell>
          <cell r="U365">
            <v>-6</v>
          </cell>
          <cell r="V365">
            <v>106.5</v>
          </cell>
          <cell r="W365">
            <v>129.5</v>
          </cell>
          <cell r="X365">
            <v>97</v>
          </cell>
          <cell r="Y365">
            <v>140</v>
          </cell>
          <cell r="Z365">
            <v>9.5</v>
          </cell>
          <cell r="AA365">
            <v>-10.5</v>
          </cell>
          <cell r="AB365">
            <v>122</v>
          </cell>
          <cell r="AC365">
            <v>128</v>
          </cell>
          <cell r="AD365">
            <v>-6</v>
          </cell>
          <cell r="AE365">
            <v>236</v>
          </cell>
          <cell r="AF365">
            <v>237</v>
          </cell>
          <cell r="AG365">
            <v>-1</v>
          </cell>
        </row>
        <row r="366">
          <cell r="C366">
            <v>207469</v>
          </cell>
          <cell r="D366" t="str">
            <v>Nathkrupa Petroleum</v>
          </cell>
          <cell r="E366" t="str">
            <v>BPCL</v>
          </cell>
          <cell r="F366" t="str">
            <v>2018-19</v>
          </cell>
          <cell r="G366" t="str">
            <v>Ahmednagar West RSA</v>
          </cell>
          <cell r="J366" t="str">
            <v>Chincholi Kaldat</v>
          </cell>
          <cell r="K366" t="str">
            <v>Ahmednagar</v>
          </cell>
          <cell r="L366" t="str">
            <v>D1</v>
          </cell>
          <cell r="M366" t="str">
            <v>NH-548D</v>
          </cell>
          <cell r="O366" t="str">
            <v>A</v>
          </cell>
          <cell r="P366">
            <v>22</v>
          </cell>
          <cell r="Q366">
            <v>83</v>
          </cell>
          <cell r="R366">
            <v>13</v>
          </cell>
          <cell r="S366">
            <v>50</v>
          </cell>
          <cell r="T366">
            <v>9</v>
          </cell>
          <cell r="U366">
            <v>33</v>
          </cell>
          <cell r="V366">
            <v>37</v>
          </cell>
          <cell r="W366">
            <v>152</v>
          </cell>
          <cell r="X366">
            <v>25</v>
          </cell>
          <cell r="Y366">
            <v>110</v>
          </cell>
          <cell r="Z366">
            <v>12</v>
          </cell>
          <cell r="AA366">
            <v>42</v>
          </cell>
          <cell r="AB366">
            <v>105</v>
          </cell>
          <cell r="AC366">
            <v>63</v>
          </cell>
          <cell r="AD366">
            <v>42</v>
          </cell>
          <cell r="AE366">
            <v>189</v>
          </cell>
          <cell r="AF366">
            <v>135</v>
          </cell>
          <cell r="AG366">
            <v>54</v>
          </cell>
        </row>
        <row r="367">
          <cell r="C367">
            <v>207470</v>
          </cell>
          <cell r="D367" t="str">
            <v>LALBAUG CHA RAJA PETROLEUM</v>
          </cell>
          <cell r="E367" t="str">
            <v>BPCL</v>
          </cell>
          <cell r="F367" t="str">
            <v>2019-20</v>
          </cell>
          <cell r="G367" t="str">
            <v>Shirdi RSA</v>
          </cell>
          <cell r="J367" t="str">
            <v>BRAMHANWADA</v>
          </cell>
          <cell r="K367" t="str">
            <v>Ahmednagar</v>
          </cell>
          <cell r="L367" t="str">
            <v>D2</v>
          </cell>
          <cell r="O367" t="str">
            <v>A</v>
          </cell>
          <cell r="P367">
            <v>21</v>
          </cell>
          <cell r="Q367">
            <v>42</v>
          </cell>
          <cell r="R367">
            <v>25</v>
          </cell>
          <cell r="S367">
            <v>46</v>
          </cell>
          <cell r="T367">
            <v>-4</v>
          </cell>
          <cell r="U367">
            <v>-4</v>
          </cell>
          <cell r="V367">
            <v>31.5</v>
          </cell>
          <cell r="W367">
            <v>87.5</v>
          </cell>
          <cell r="X367">
            <v>36</v>
          </cell>
          <cell r="Y367">
            <v>92</v>
          </cell>
          <cell r="Z367">
            <v>-4.5</v>
          </cell>
          <cell r="AA367">
            <v>-4.5</v>
          </cell>
          <cell r="AB367">
            <v>63</v>
          </cell>
          <cell r="AC367">
            <v>71</v>
          </cell>
          <cell r="AD367">
            <v>-8</v>
          </cell>
          <cell r="AE367">
            <v>119</v>
          </cell>
          <cell r="AF367">
            <v>128</v>
          </cell>
          <cell r="AG367">
            <v>-9</v>
          </cell>
        </row>
        <row r="368">
          <cell r="C368">
            <v>207575</v>
          </cell>
          <cell r="D368" t="str">
            <v>CHANDRAMAULI PETROLEUM</v>
          </cell>
          <cell r="E368" t="str">
            <v>BPCL</v>
          </cell>
          <cell r="F368" t="str">
            <v>2019-20</v>
          </cell>
          <cell r="G368" t="str">
            <v>Shirdi RSA</v>
          </cell>
          <cell r="J368" t="str">
            <v>SHIDVAD</v>
          </cell>
          <cell r="K368" t="str">
            <v>Ahmednagar</v>
          </cell>
          <cell r="L368" t="str">
            <v>D2</v>
          </cell>
          <cell r="O368" t="str">
            <v>A</v>
          </cell>
          <cell r="P368">
            <v>43</v>
          </cell>
          <cell r="Q368">
            <v>43</v>
          </cell>
          <cell r="R368">
            <v>26</v>
          </cell>
          <cell r="S368">
            <v>50</v>
          </cell>
          <cell r="T368">
            <v>17</v>
          </cell>
          <cell r="U368">
            <v>-7</v>
          </cell>
          <cell r="V368">
            <v>71</v>
          </cell>
          <cell r="W368">
            <v>85</v>
          </cell>
          <cell r="X368">
            <v>58</v>
          </cell>
          <cell r="Y368">
            <v>92</v>
          </cell>
          <cell r="Z368">
            <v>13</v>
          </cell>
          <cell r="AA368">
            <v>-7</v>
          </cell>
          <cell r="AB368">
            <v>86</v>
          </cell>
          <cell r="AC368">
            <v>76</v>
          </cell>
          <cell r="AD368">
            <v>10</v>
          </cell>
          <cell r="AE368">
            <v>156</v>
          </cell>
          <cell r="AF368">
            <v>150</v>
          </cell>
          <cell r="AG368">
            <v>6</v>
          </cell>
        </row>
        <row r="369">
          <cell r="C369">
            <v>208703</v>
          </cell>
          <cell r="D369" t="str">
            <v>Phonix Petroleum</v>
          </cell>
          <cell r="E369" t="str">
            <v>BPCL</v>
          </cell>
          <cell r="F369" t="str">
            <v>2018-19</v>
          </cell>
          <cell r="G369" t="str">
            <v>Pune Tathawade RSA</v>
          </cell>
          <cell r="J369" t="str">
            <v>SUPE BARAMATI</v>
          </cell>
          <cell r="K369" t="str">
            <v>Pune</v>
          </cell>
          <cell r="L369" t="str">
            <v>D1</v>
          </cell>
          <cell r="M369" t="str">
            <v>NH-965D</v>
          </cell>
          <cell r="O369" t="str">
            <v>B</v>
          </cell>
          <cell r="P369">
            <v>12</v>
          </cell>
          <cell r="Q369">
            <v>36</v>
          </cell>
          <cell r="R369">
            <v>18</v>
          </cell>
          <cell r="S369">
            <v>54</v>
          </cell>
          <cell r="T369">
            <v>-6</v>
          </cell>
          <cell r="U369">
            <v>-18</v>
          </cell>
          <cell r="V369">
            <v>24</v>
          </cell>
          <cell r="W369">
            <v>70</v>
          </cell>
          <cell r="X369">
            <v>30</v>
          </cell>
          <cell r="Y369">
            <v>102</v>
          </cell>
          <cell r="Z369">
            <v>-6</v>
          </cell>
          <cell r="AA369">
            <v>-32</v>
          </cell>
          <cell r="AB369">
            <v>48</v>
          </cell>
          <cell r="AC369">
            <v>72</v>
          </cell>
          <cell r="AD369">
            <v>-24</v>
          </cell>
          <cell r="AE369">
            <v>94</v>
          </cell>
          <cell r="AF369">
            <v>132</v>
          </cell>
          <cell r="AG369">
            <v>-38</v>
          </cell>
        </row>
        <row r="370">
          <cell r="C370">
            <v>209014</v>
          </cell>
          <cell r="D370" t="str">
            <v>Onyx Petroleum</v>
          </cell>
          <cell r="E370" t="str">
            <v>BPCL</v>
          </cell>
          <cell r="F370" t="str">
            <v>2018-19</v>
          </cell>
          <cell r="G370" t="str">
            <v>Pune Wagholi RSA</v>
          </cell>
          <cell r="J370" t="str">
            <v xml:space="preserve">Pabal to rajgurunagar </v>
          </cell>
          <cell r="K370" t="str">
            <v>Pune</v>
          </cell>
          <cell r="L370" t="str">
            <v>D2</v>
          </cell>
          <cell r="O370" t="str">
            <v>B</v>
          </cell>
          <cell r="P370">
            <v>4</v>
          </cell>
          <cell r="Q370">
            <v>20</v>
          </cell>
          <cell r="R370">
            <v>7</v>
          </cell>
          <cell r="S370">
            <v>41</v>
          </cell>
          <cell r="T370">
            <v>-3</v>
          </cell>
          <cell r="U370">
            <v>-21</v>
          </cell>
          <cell r="V370">
            <v>13</v>
          </cell>
          <cell r="W370">
            <v>59</v>
          </cell>
          <cell r="X370">
            <v>14</v>
          </cell>
          <cell r="Y370">
            <v>82</v>
          </cell>
          <cell r="Z370">
            <v>-1</v>
          </cell>
          <cell r="AA370">
            <v>-23</v>
          </cell>
          <cell r="AB370">
            <v>24</v>
          </cell>
          <cell r="AC370">
            <v>48</v>
          </cell>
          <cell r="AD370">
            <v>-24</v>
          </cell>
          <cell r="AE370">
            <v>72</v>
          </cell>
          <cell r="AF370">
            <v>96</v>
          </cell>
          <cell r="AG370">
            <v>-24</v>
          </cell>
        </row>
        <row r="371">
          <cell r="C371">
            <v>209194</v>
          </cell>
          <cell r="D371" t="str">
            <v>Ghundare Patil Petroleum</v>
          </cell>
          <cell r="E371" t="str">
            <v>BPCL</v>
          </cell>
          <cell r="F371" t="str">
            <v>2018-19</v>
          </cell>
          <cell r="G371" t="str">
            <v>Pimpri Chinchwad RSA</v>
          </cell>
          <cell r="J371" t="str">
            <v>ALANDI MARKAL ROAD</v>
          </cell>
          <cell r="K371" t="str">
            <v>Pune</v>
          </cell>
          <cell r="L371" t="str">
            <v>D2</v>
          </cell>
          <cell r="O371" t="str">
            <v>A</v>
          </cell>
          <cell r="P371">
            <v>92</v>
          </cell>
          <cell r="Q371">
            <v>72</v>
          </cell>
          <cell r="R371">
            <v>78</v>
          </cell>
          <cell r="S371">
            <v>60</v>
          </cell>
          <cell r="T371">
            <v>14</v>
          </cell>
          <cell r="U371">
            <v>12</v>
          </cell>
          <cell r="V371">
            <v>180</v>
          </cell>
          <cell r="W371">
            <v>141</v>
          </cell>
          <cell r="X371">
            <v>147</v>
          </cell>
          <cell r="Y371">
            <v>118</v>
          </cell>
          <cell r="Z371">
            <v>33</v>
          </cell>
          <cell r="AA371">
            <v>23</v>
          </cell>
          <cell r="AB371">
            <v>164</v>
          </cell>
          <cell r="AC371">
            <v>138</v>
          </cell>
          <cell r="AD371">
            <v>26</v>
          </cell>
          <cell r="AE371">
            <v>321</v>
          </cell>
          <cell r="AF371">
            <v>265</v>
          </cell>
          <cell r="AG371">
            <v>56</v>
          </cell>
        </row>
        <row r="372">
          <cell r="C372">
            <v>209447</v>
          </cell>
          <cell r="D372" t="str">
            <v>SHRI KRUPASINDHU PETROLEUM</v>
          </cell>
          <cell r="E372" t="str">
            <v>BPCL</v>
          </cell>
          <cell r="F372" t="str">
            <v>2019-20</v>
          </cell>
          <cell r="G372" t="str">
            <v>Ahmednagar East RSA</v>
          </cell>
          <cell r="J372" t="str">
            <v>Miri</v>
          </cell>
          <cell r="K372" t="str">
            <v>Ahmednagar</v>
          </cell>
          <cell r="L372" t="str">
            <v>D2</v>
          </cell>
          <cell r="O372" t="str">
            <v>A</v>
          </cell>
          <cell r="P372">
            <v>64</v>
          </cell>
          <cell r="Q372">
            <v>172</v>
          </cell>
          <cell r="R372">
            <v>73</v>
          </cell>
          <cell r="S372">
            <v>163</v>
          </cell>
          <cell r="T372">
            <v>-9</v>
          </cell>
          <cell r="U372">
            <v>9</v>
          </cell>
          <cell r="V372">
            <v>124</v>
          </cell>
          <cell r="W372">
            <v>292</v>
          </cell>
          <cell r="X372">
            <v>138</v>
          </cell>
          <cell r="Y372">
            <v>294</v>
          </cell>
          <cell r="Z372">
            <v>-14</v>
          </cell>
          <cell r="AA372">
            <v>-2</v>
          </cell>
          <cell r="AB372">
            <v>236</v>
          </cell>
          <cell r="AC372">
            <v>236</v>
          </cell>
          <cell r="AD372">
            <v>0</v>
          </cell>
          <cell r="AE372">
            <v>416</v>
          </cell>
          <cell r="AF372">
            <v>432</v>
          </cell>
          <cell r="AG372">
            <v>-16</v>
          </cell>
        </row>
        <row r="373">
          <cell r="C373">
            <v>210854</v>
          </cell>
          <cell r="D373" t="str">
            <v>DATTAKRUPA PETROLEUM</v>
          </cell>
          <cell r="E373" t="str">
            <v>BPCL</v>
          </cell>
          <cell r="F373" t="str">
            <v>2019-20</v>
          </cell>
          <cell r="G373" t="str">
            <v>Pune Hadapsar RSA</v>
          </cell>
          <cell r="J373" t="str">
            <v>CHOUFULLA-KHEDGAON</v>
          </cell>
          <cell r="K373" t="str">
            <v>Pune</v>
          </cell>
          <cell r="L373" t="str">
            <v>D2</v>
          </cell>
          <cell r="O373" t="str">
            <v>A</v>
          </cell>
          <cell r="P373">
            <v>14</v>
          </cell>
          <cell r="Q373">
            <v>130</v>
          </cell>
          <cell r="R373">
            <v>14</v>
          </cell>
          <cell r="S373">
            <v>82</v>
          </cell>
          <cell r="T373">
            <v>0</v>
          </cell>
          <cell r="U373">
            <v>48</v>
          </cell>
          <cell r="V373">
            <v>26</v>
          </cell>
          <cell r="W373">
            <v>270</v>
          </cell>
          <cell r="X373">
            <v>26</v>
          </cell>
          <cell r="Y373">
            <v>154</v>
          </cell>
          <cell r="Z373">
            <v>0</v>
          </cell>
          <cell r="AA373">
            <v>116</v>
          </cell>
          <cell r="AB373">
            <v>144</v>
          </cell>
          <cell r="AC373">
            <v>96</v>
          </cell>
          <cell r="AD373">
            <v>48</v>
          </cell>
          <cell r="AE373">
            <v>296</v>
          </cell>
          <cell r="AF373">
            <v>180</v>
          </cell>
          <cell r="AG373">
            <v>116</v>
          </cell>
        </row>
        <row r="374">
          <cell r="C374">
            <v>210994</v>
          </cell>
          <cell r="D374" t="str">
            <v>PAWAR PETROLEUM</v>
          </cell>
          <cell r="E374" t="str">
            <v>BPCL</v>
          </cell>
          <cell r="F374" t="str">
            <v>2019-20</v>
          </cell>
          <cell r="G374" t="str">
            <v>Satara East RSA</v>
          </cell>
          <cell r="J374" t="str">
            <v>chitali</v>
          </cell>
          <cell r="K374" t="str">
            <v>Satara</v>
          </cell>
          <cell r="L374" t="str">
            <v>D2</v>
          </cell>
          <cell r="O374" t="str">
            <v>A</v>
          </cell>
          <cell r="P374">
            <v>40</v>
          </cell>
          <cell r="Q374">
            <v>60</v>
          </cell>
          <cell r="R374">
            <v>40</v>
          </cell>
          <cell r="S374">
            <v>40</v>
          </cell>
          <cell r="T374">
            <v>0</v>
          </cell>
          <cell r="U374">
            <v>20</v>
          </cell>
          <cell r="V374">
            <v>85</v>
          </cell>
          <cell r="W374">
            <v>115</v>
          </cell>
          <cell r="X374">
            <v>80</v>
          </cell>
          <cell r="Y374">
            <v>100</v>
          </cell>
          <cell r="Z374">
            <v>5</v>
          </cell>
          <cell r="AA374">
            <v>15</v>
          </cell>
          <cell r="AB374">
            <v>100</v>
          </cell>
          <cell r="AC374">
            <v>80</v>
          </cell>
          <cell r="AD374">
            <v>20</v>
          </cell>
          <cell r="AE374">
            <v>200</v>
          </cell>
          <cell r="AF374">
            <v>180</v>
          </cell>
          <cell r="AG374">
            <v>20</v>
          </cell>
        </row>
        <row r="375">
          <cell r="C375">
            <v>211240</v>
          </cell>
          <cell r="D375" t="str">
            <v>Anna Mahadik Petroleum</v>
          </cell>
          <cell r="E375" t="str">
            <v>BPCL</v>
          </cell>
          <cell r="F375" t="str">
            <v>2019-20</v>
          </cell>
          <cell r="G375" t="str">
            <v>Pune Hadapsar RSA</v>
          </cell>
          <cell r="J375" t="str">
            <v>Urlikanchan LHS</v>
          </cell>
          <cell r="K375" t="str">
            <v>Pune</v>
          </cell>
          <cell r="L375" t="str">
            <v>D1</v>
          </cell>
          <cell r="M375" t="str">
            <v>NH-65</v>
          </cell>
          <cell r="O375" t="str">
            <v>A</v>
          </cell>
          <cell r="P375">
            <v>54</v>
          </cell>
          <cell r="Q375">
            <v>102</v>
          </cell>
          <cell r="R375">
            <v>87</v>
          </cell>
          <cell r="S375">
            <v>155</v>
          </cell>
          <cell r="T375">
            <v>-33</v>
          </cell>
          <cell r="U375">
            <v>-53</v>
          </cell>
          <cell r="V375">
            <v>101</v>
          </cell>
          <cell r="W375">
            <v>199</v>
          </cell>
          <cell r="X375">
            <v>168</v>
          </cell>
          <cell r="Y375">
            <v>295</v>
          </cell>
          <cell r="Z375">
            <v>-67</v>
          </cell>
          <cell r="AA375">
            <v>-96</v>
          </cell>
          <cell r="AB375">
            <v>156</v>
          </cell>
          <cell r="AC375">
            <v>242</v>
          </cell>
          <cell r="AD375">
            <v>-86</v>
          </cell>
          <cell r="AE375">
            <v>300</v>
          </cell>
          <cell r="AF375">
            <v>463</v>
          </cell>
          <cell r="AG375">
            <v>-163</v>
          </cell>
        </row>
        <row r="376">
          <cell r="C376">
            <v>211252</v>
          </cell>
          <cell r="D376" t="str">
            <v>SHIVPADMA PETROLEUM</v>
          </cell>
          <cell r="E376" t="str">
            <v>BPCL</v>
          </cell>
          <cell r="F376" t="str">
            <v>2019-20</v>
          </cell>
          <cell r="G376" t="str">
            <v>Shirdi RSA</v>
          </cell>
          <cell r="J376" t="str">
            <v>CHAS NALI</v>
          </cell>
          <cell r="K376" t="str">
            <v>Ahmednagar</v>
          </cell>
          <cell r="L376" t="str">
            <v>D2</v>
          </cell>
          <cell r="O376" t="str">
            <v>A</v>
          </cell>
          <cell r="P376">
            <v>27</v>
          </cell>
          <cell r="Q376">
            <v>69</v>
          </cell>
          <cell r="R376">
            <v>24</v>
          </cell>
          <cell r="S376">
            <v>40</v>
          </cell>
          <cell r="T376">
            <v>3</v>
          </cell>
          <cell r="U376">
            <v>29</v>
          </cell>
          <cell r="V376">
            <v>54</v>
          </cell>
          <cell r="W376">
            <v>102</v>
          </cell>
          <cell r="X376">
            <v>67</v>
          </cell>
          <cell r="Y376">
            <v>101</v>
          </cell>
          <cell r="Z376">
            <v>-13</v>
          </cell>
          <cell r="AA376">
            <v>1</v>
          </cell>
          <cell r="AB376">
            <v>96</v>
          </cell>
          <cell r="AC376">
            <v>64</v>
          </cell>
          <cell r="AD376">
            <v>32</v>
          </cell>
          <cell r="AE376">
            <v>156</v>
          </cell>
          <cell r="AF376">
            <v>168</v>
          </cell>
          <cell r="AG376">
            <v>-12</v>
          </cell>
        </row>
        <row r="377">
          <cell r="C377">
            <v>211634</v>
          </cell>
          <cell r="D377" t="str">
            <v>SK PETROLEUM /earlier ...KEDARNATH PETROLEUM ADHOC (207254) /earlier ...NITIRAJ SERVICE CENTRE ADHOC (201116)</v>
          </cell>
          <cell r="E377" t="str">
            <v>BPCL</v>
          </cell>
          <cell r="G377" t="str">
            <v>Satara West RSA</v>
          </cell>
          <cell r="J377" t="str">
            <v>KASHIL TO KARAD</v>
          </cell>
          <cell r="K377" t="str">
            <v>Satara</v>
          </cell>
          <cell r="L377" t="str">
            <v>D1</v>
          </cell>
          <cell r="M377" t="str">
            <v>NH-48</v>
          </cell>
          <cell r="O377" t="str">
            <v>A</v>
          </cell>
          <cell r="P377">
            <v>58</v>
          </cell>
          <cell r="Q377">
            <v>58</v>
          </cell>
          <cell r="R377">
            <v>30</v>
          </cell>
          <cell r="S377">
            <v>30</v>
          </cell>
          <cell r="T377">
            <v>28</v>
          </cell>
          <cell r="U377">
            <v>28</v>
          </cell>
          <cell r="V377">
            <v>97.5</v>
          </cell>
          <cell r="W377">
            <v>138.5</v>
          </cell>
          <cell r="X377">
            <v>72</v>
          </cell>
          <cell r="Y377">
            <v>72</v>
          </cell>
          <cell r="Z377">
            <v>25.5</v>
          </cell>
          <cell r="AA377">
            <v>66.5</v>
          </cell>
          <cell r="AB377">
            <v>116</v>
          </cell>
          <cell r="AC377">
            <v>60</v>
          </cell>
          <cell r="AD377">
            <v>56</v>
          </cell>
          <cell r="AE377">
            <v>236</v>
          </cell>
          <cell r="AF377">
            <v>144</v>
          </cell>
          <cell r="AG377">
            <v>92</v>
          </cell>
        </row>
        <row r="378">
          <cell r="C378">
            <v>212204</v>
          </cell>
          <cell r="D378" t="str">
            <v>SALVI PETRO STATION</v>
          </cell>
          <cell r="E378" t="str">
            <v>BPCL</v>
          </cell>
          <cell r="F378" t="str">
            <v>2019-20</v>
          </cell>
          <cell r="G378" t="str">
            <v>Pune City RSA</v>
          </cell>
          <cell r="J378" t="str">
            <v>KHARADI BYPASS</v>
          </cell>
          <cell r="K378" t="str">
            <v>Pune</v>
          </cell>
          <cell r="L378" t="str">
            <v>A</v>
          </cell>
          <cell r="O378" t="str">
            <v>B</v>
          </cell>
          <cell r="P378">
            <v>632</v>
          </cell>
          <cell r="Q378">
            <v>204</v>
          </cell>
          <cell r="R378">
            <v>562</v>
          </cell>
          <cell r="S378">
            <v>208</v>
          </cell>
          <cell r="T378">
            <v>70</v>
          </cell>
          <cell r="U378">
            <v>-4</v>
          </cell>
          <cell r="V378">
            <v>1223</v>
          </cell>
          <cell r="W378">
            <v>409</v>
          </cell>
          <cell r="X378">
            <v>1092</v>
          </cell>
          <cell r="Y378">
            <v>404</v>
          </cell>
          <cell r="Z378">
            <v>131</v>
          </cell>
          <cell r="AA378">
            <v>5</v>
          </cell>
          <cell r="AB378">
            <v>836</v>
          </cell>
          <cell r="AC378">
            <v>770</v>
          </cell>
          <cell r="AD378">
            <v>66</v>
          </cell>
          <cell r="AE378">
            <v>1632</v>
          </cell>
          <cell r="AF378">
            <v>1496</v>
          </cell>
          <cell r="AG378">
            <v>136</v>
          </cell>
        </row>
        <row r="379">
          <cell r="C379">
            <v>212217</v>
          </cell>
          <cell r="D379" t="str">
            <v>Pathare Petroleum</v>
          </cell>
          <cell r="E379" t="str">
            <v>BPCL</v>
          </cell>
          <cell r="F379" t="str">
            <v>2019-20</v>
          </cell>
          <cell r="G379" t="str">
            <v>Pune Hadapsar RSA</v>
          </cell>
          <cell r="J379" t="str">
            <v>P5_Kesnand</v>
          </cell>
          <cell r="K379" t="str">
            <v>Pune</v>
          </cell>
          <cell r="L379" t="str">
            <v>C</v>
          </cell>
          <cell r="O379" t="str">
            <v>A</v>
          </cell>
          <cell r="P379">
            <v>23</v>
          </cell>
          <cell r="Q379">
            <v>61</v>
          </cell>
          <cell r="R379">
            <v>25</v>
          </cell>
          <cell r="S379">
            <v>71</v>
          </cell>
          <cell r="T379">
            <v>-2</v>
          </cell>
          <cell r="U379">
            <v>-10</v>
          </cell>
          <cell r="V379">
            <v>47</v>
          </cell>
          <cell r="W379">
            <v>121</v>
          </cell>
          <cell r="X379">
            <v>49</v>
          </cell>
          <cell r="Y379">
            <v>155</v>
          </cell>
          <cell r="Z379">
            <v>-2</v>
          </cell>
          <cell r="AA379">
            <v>-34</v>
          </cell>
          <cell r="AB379">
            <v>84</v>
          </cell>
          <cell r="AC379">
            <v>96</v>
          </cell>
          <cell r="AD379">
            <v>-12</v>
          </cell>
          <cell r="AE379">
            <v>168</v>
          </cell>
          <cell r="AF379">
            <v>204</v>
          </cell>
          <cell r="AG379">
            <v>-36</v>
          </cell>
        </row>
        <row r="380">
          <cell r="C380">
            <v>212445</v>
          </cell>
          <cell r="D380" t="str">
            <v>K B MURTADAK &amp; SONS PETROLEUM</v>
          </cell>
          <cell r="E380" t="str">
            <v>BPCL</v>
          </cell>
          <cell r="F380" t="str">
            <v>2019-20</v>
          </cell>
          <cell r="G380" t="str">
            <v>Shirdi RSA</v>
          </cell>
          <cell r="J380" t="str">
            <v>TALEGAON SANGAMNER NH</v>
          </cell>
          <cell r="K380" t="str">
            <v>Ahmednagar</v>
          </cell>
          <cell r="L380" t="str">
            <v>D2</v>
          </cell>
          <cell r="O380" t="str">
            <v>B</v>
          </cell>
          <cell r="P380">
            <v>22</v>
          </cell>
          <cell r="Q380">
            <v>66</v>
          </cell>
          <cell r="R380">
            <v>25</v>
          </cell>
          <cell r="S380">
            <v>95</v>
          </cell>
          <cell r="T380">
            <v>-3</v>
          </cell>
          <cell r="U380">
            <v>-29</v>
          </cell>
          <cell r="V380">
            <v>45</v>
          </cell>
          <cell r="W380">
            <v>135</v>
          </cell>
          <cell r="X380">
            <v>45</v>
          </cell>
          <cell r="Y380">
            <v>155</v>
          </cell>
          <cell r="Z380">
            <v>0</v>
          </cell>
          <cell r="AA380">
            <v>-20</v>
          </cell>
          <cell r="AB380">
            <v>88</v>
          </cell>
          <cell r="AC380">
            <v>120</v>
          </cell>
          <cell r="AD380">
            <v>-32</v>
          </cell>
          <cell r="AE380">
            <v>180</v>
          </cell>
          <cell r="AF380">
            <v>200</v>
          </cell>
          <cell r="AG380">
            <v>-20</v>
          </cell>
        </row>
        <row r="381">
          <cell r="C381">
            <v>212446</v>
          </cell>
          <cell r="D381" t="str">
            <v>SAI MALHAR PETROELUM</v>
          </cell>
          <cell r="E381" t="str">
            <v>BPCL</v>
          </cell>
          <cell r="F381" t="str">
            <v>2019-20</v>
          </cell>
          <cell r="G381" t="str">
            <v>Shirdi RSA</v>
          </cell>
          <cell r="J381" t="str">
            <v>GANESHNAGAR</v>
          </cell>
          <cell r="K381" t="str">
            <v>Ahmednagar</v>
          </cell>
          <cell r="L381" t="str">
            <v>D2</v>
          </cell>
          <cell r="O381" t="str">
            <v>B</v>
          </cell>
          <cell r="P381">
            <v>32</v>
          </cell>
          <cell r="Q381">
            <v>68</v>
          </cell>
          <cell r="R381">
            <v>19</v>
          </cell>
          <cell r="S381">
            <v>83</v>
          </cell>
          <cell r="T381">
            <v>13</v>
          </cell>
          <cell r="U381">
            <v>-15</v>
          </cell>
          <cell r="V381">
            <v>53</v>
          </cell>
          <cell r="W381">
            <v>107</v>
          </cell>
          <cell r="X381">
            <v>30</v>
          </cell>
          <cell r="Y381">
            <v>154</v>
          </cell>
          <cell r="Z381">
            <v>23</v>
          </cell>
          <cell r="AA381">
            <v>-47</v>
          </cell>
          <cell r="AB381">
            <v>100</v>
          </cell>
          <cell r="AC381">
            <v>102</v>
          </cell>
          <cell r="AD381">
            <v>-2</v>
          </cell>
          <cell r="AE381">
            <v>160</v>
          </cell>
          <cell r="AF381">
            <v>184</v>
          </cell>
          <cell r="AG381">
            <v>-24</v>
          </cell>
        </row>
        <row r="382">
          <cell r="C382">
            <v>212658</v>
          </cell>
          <cell r="D382" t="str">
            <v>MAHALAXMI PETROLEUM</v>
          </cell>
          <cell r="E382" t="str">
            <v>BPCL</v>
          </cell>
          <cell r="G382" t="str">
            <v>Pimpri Chinchwad RSA</v>
          </cell>
          <cell r="J382" t="str">
            <v>Talegaon</v>
          </cell>
          <cell r="K382" t="str">
            <v>Pune</v>
          </cell>
          <cell r="L382" t="str">
            <v>D1</v>
          </cell>
          <cell r="M382" t="str">
            <v>NH-548D</v>
          </cell>
          <cell r="O382" t="str">
            <v>A</v>
          </cell>
          <cell r="P382">
            <v>0</v>
          </cell>
          <cell r="Q382">
            <v>0</v>
          </cell>
          <cell r="R382">
            <v>120</v>
          </cell>
          <cell r="S382">
            <v>120</v>
          </cell>
          <cell r="T382">
            <v>-120</v>
          </cell>
          <cell r="U382">
            <v>-120</v>
          </cell>
          <cell r="V382">
            <v>49</v>
          </cell>
          <cell r="W382">
            <v>37</v>
          </cell>
          <cell r="X382">
            <v>230</v>
          </cell>
          <cell r="Y382">
            <v>220</v>
          </cell>
          <cell r="Z382">
            <v>-181</v>
          </cell>
          <cell r="AA382">
            <v>-183</v>
          </cell>
          <cell r="AB382">
            <v>0</v>
          </cell>
          <cell r="AC382">
            <v>240</v>
          </cell>
          <cell r="AD382">
            <v>-240</v>
          </cell>
          <cell r="AE382">
            <v>86</v>
          </cell>
          <cell r="AF382">
            <v>450</v>
          </cell>
          <cell r="AG382">
            <v>-364</v>
          </cell>
        </row>
        <row r="383">
          <cell r="C383">
            <v>213173</v>
          </cell>
          <cell r="D383" t="str">
            <v>JAY SANTOSHI MATA PETROLEUM</v>
          </cell>
          <cell r="E383" t="str">
            <v>BPCL</v>
          </cell>
          <cell r="F383" t="str">
            <v>2019-20</v>
          </cell>
          <cell r="G383" t="str">
            <v>Ahmednagar West RSA</v>
          </cell>
          <cell r="J383" t="str">
            <v>Jawalke (Jamkhed)</v>
          </cell>
          <cell r="K383" t="str">
            <v>Ahmednagar</v>
          </cell>
          <cell r="L383" t="str">
            <v>E</v>
          </cell>
          <cell r="O383" t="str">
            <v>A</v>
          </cell>
          <cell r="P383">
            <v>13.5</v>
          </cell>
          <cell r="Q383">
            <v>85.5</v>
          </cell>
          <cell r="R383">
            <v>6</v>
          </cell>
          <cell r="S383">
            <v>18</v>
          </cell>
          <cell r="T383">
            <v>7.5</v>
          </cell>
          <cell r="U383">
            <v>67.5</v>
          </cell>
          <cell r="V383">
            <v>19.5</v>
          </cell>
          <cell r="W383">
            <v>161.5</v>
          </cell>
          <cell r="X383">
            <v>15</v>
          </cell>
          <cell r="Y383">
            <v>57</v>
          </cell>
          <cell r="Z383">
            <v>4.5</v>
          </cell>
          <cell r="AA383">
            <v>104.5</v>
          </cell>
          <cell r="AB383">
            <v>99</v>
          </cell>
          <cell r="AC383">
            <v>24</v>
          </cell>
          <cell r="AD383">
            <v>75</v>
          </cell>
          <cell r="AE383">
            <v>181</v>
          </cell>
          <cell r="AF383">
            <v>72</v>
          </cell>
          <cell r="AG383">
            <v>109</v>
          </cell>
        </row>
        <row r="384">
          <cell r="C384">
            <v>213560</v>
          </cell>
          <cell r="D384" t="str">
            <v>Shree Mahalaxmi Petroleum</v>
          </cell>
          <cell r="E384" t="str">
            <v>BPCL</v>
          </cell>
          <cell r="F384" t="str">
            <v>2019-20</v>
          </cell>
          <cell r="G384" t="str">
            <v>Pune Wagholi RSA</v>
          </cell>
          <cell r="J384" t="str">
            <v>Awasari Khurd</v>
          </cell>
          <cell r="K384" t="str">
            <v>Pune</v>
          </cell>
          <cell r="L384" t="str">
            <v>E</v>
          </cell>
          <cell r="O384" t="str">
            <v>A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</row>
        <row r="385">
          <cell r="C385">
            <v>213591</v>
          </cell>
          <cell r="D385" t="str">
            <v>Krushnadeep Petroleum</v>
          </cell>
          <cell r="E385" t="str">
            <v>BPCL</v>
          </cell>
          <cell r="F385" t="str">
            <v>2019-20</v>
          </cell>
          <cell r="G385" t="str">
            <v>Pune Hadapsar RSA</v>
          </cell>
          <cell r="J385" t="str">
            <v>Theur</v>
          </cell>
          <cell r="K385" t="str">
            <v>Pune</v>
          </cell>
          <cell r="L385" t="str">
            <v>D1</v>
          </cell>
          <cell r="M385" t="str">
            <v>NH-548DD</v>
          </cell>
          <cell r="O385" t="str">
            <v>B</v>
          </cell>
          <cell r="P385">
            <v>67</v>
          </cell>
          <cell r="Q385">
            <v>209</v>
          </cell>
          <cell r="R385">
            <v>57</v>
          </cell>
          <cell r="S385">
            <v>195</v>
          </cell>
          <cell r="T385">
            <v>10</v>
          </cell>
          <cell r="U385">
            <v>14</v>
          </cell>
          <cell r="V385">
            <v>126</v>
          </cell>
          <cell r="W385">
            <v>410</v>
          </cell>
          <cell r="X385">
            <v>117</v>
          </cell>
          <cell r="Y385">
            <v>399</v>
          </cell>
          <cell r="Z385">
            <v>9</v>
          </cell>
          <cell r="AA385">
            <v>11</v>
          </cell>
          <cell r="AB385">
            <v>276</v>
          </cell>
          <cell r="AC385">
            <v>252</v>
          </cell>
          <cell r="AD385">
            <v>24</v>
          </cell>
          <cell r="AE385">
            <v>536</v>
          </cell>
          <cell r="AF385">
            <v>516</v>
          </cell>
          <cell r="AG385">
            <v>20</v>
          </cell>
        </row>
        <row r="386">
          <cell r="C386">
            <v>213886</v>
          </cell>
          <cell r="D386" t="str">
            <v>JAI GANESH PETRO SERVICES</v>
          </cell>
          <cell r="E386" t="str">
            <v>BPCL</v>
          </cell>
          <cell r="F386" t="str">
            <v>2019-20</v>
          </cell>
          <cell r="G386" t="str">
            <v>Pune Saswad RSA</v>
          </cell>
          <cell r="J386" t="str">
            <v>Saswad-Bopdev-Pune Road</v>
          </cell>
          <cell r="K386" t="str">
            <v>Pune</v>
          </cell>
          <cell r="L386" t="str">
            <v>D2</v>
          </cell>
          <cell r="O386" t="str">
            <v>B</v>
          </cell>
          <cell r="P386">
            <v>75</v>
          </cell>
          <cell r="Q386">
            <v>117</v>
          </cell>
          <cell r="R386">
            <v>41</v>
          </cell>
          <cell r="S386">
            <v>103</v>
          </cell>
          <cell r="T386">
            <v>34</v>
          </cell>
          <cell r="U386">
            <v>14</v>
          </cell>
          <cell r="V386">
            <v>131</v>
          </cell>
          <cell r="W386">
            <v>216</v>
          </cell>
          <cell r="X386">
            <v>79.5</v>
          </cell>
          <cell r="Y386">
            <v>198.5</v>
          </cell>
          <cell r="Z386">
            <v>51.5</v>
          </cell>
          <cell r="AA386">
            <v>17.5</v>
          </cell>
          <cell r="AB386">
            <v>192</v>
          </cell>
          <cell r="AC386">
            <v>144</v>
          </cell>
          <cell r="AD386">
            <v>48</v>
          </cell>
          <cell r="AE386">
            <v>347</v>
          </cell>
          <cell r="AF386">
            <v>278</v>
          </cell>
          <cell r="AG386">
            <v>69</v>
          </cell>
        </row>
        <row r="387">
          <cell r="C387">
            <v>213900</v>
          </cell>
          <cell r="D387" t="str">
            <v>MAULI KRUPA PETROLEUM</v>
          </cell>
          <cell r="E387" t="str">
            <v>BPCL</v>
          </cell>
          <cell r="F387" t="str">
            <v>2019-20</v>
          </cell>
          <cell r="G387" t="str">
            <v>Pimpri Chinchwad RSA</v>
          </cell>
          <cell r="J387" t="str">
            <v>Alandi</v>
          </cell>
          <cell r="K387" t="str">
            <v>Pune</v>
          </cell>
          <cell r="L387" t="str">
            <v>A</v>
          </cell>
          <cell r="O387" t="str">
            <v>B</v>
          </cell>
          <cell r="P387">
            <v>271</v>
          </cell>
          <cell r="Q387">
            <v>102</v>
          </cell>
          <cell r="R387">
            <v>274</v>
          </cell>
          <cell r="S387">
            <v>103</v>
          </cell>
          <cell r="T387">
            <v>-3</v>
          </cell>
          <cell r="U387">
            <v>-1</v>
          </cell>
          <cell r="V387">
            <v>526</v>
          </cell>
          <cell r="W387">
            <v>195</v>
          </cell>
          <cell r="X387">
            <v>528</v>
          </cell>
          <cell r="Y387">
            <v>206</v>
          </cell>
          <cell r="Z387">
            <v>-2</v>
          </cell>
          <cell r="AA387">
            <v>-11</v>
          </cell>
          <cell r="AB387">
            <v>373</v>
          </cell>
          <cell r="AC387">
            <v>377</v>
          </cell>
          <cell r="AD387">
            <v>-4</v>
          </cell>
          <cell r="AE387">
            <v>721</v>
          </cell>
          <cell r="AF387">
            <v>734</v>
          </cell>
          <cell r="AG387">
            <v>-13</v>
          </cell>
        </row>
        <row r="388">
          <cell r="C388">
            <v>213901</v>
          </cell>
          <cell r="D388" t="str">
            <v>SHREE MURARI PETROLEUM</v>
          </cell>
          <cell r="E388" t="str">
            <v>BPCL</v>
          </cell>
          <cell r="F388" t="str">
            <v>2019-20</v>
          </cell>
          <cell r="G388" t="str">
            <v>Pune City RSA</v>
          </cell>
          <cell r="J388" t="str">
            <v>WAKAD</v>
          </cell>
          <cell r="K388" t="str">
            <v>Pune</v>
          </cell>
          <cell r="L388" t="str">
            <v>A</v>
          </cell>
          <cell r="O388" t="str">
            <v>B</v>
          </cell>
          <cell r="P388">
            <v>340</v>
          </cell>
          <cell r="Q388">
            <v>140</v>
          </cell>
          <cell r="R388">
            <v>305</v>
          </cell>
          <cell r="S388">
            <v>95</v>
          </cell>
          <cell r="T388">
            <v>35</v>
          </cell>
          <cell r="U388">
            <v>45</v>
          </cell>
          <cell r="V388">
            <v>655</v>
          </cell>
          <cell r="W388">
            <v>265</v>
          </cell>
          <cell r="X388">
            <v>623</v>
          </cell>
          <cell r="Y388">
            <v>199</v>
          </cell>
          <cell r="Z388">
            <v>32</v>
          </cell>
          <cell r="AA388">
            <v>66</v>
          </cell>
          <cell r="AB388">
            <v>480</v>
          </cell>
          <cell r="AC388">
            <v>400</v>
          </cell>
          <cell r="AD388">
            <v>80</v>
          </cell>
          <cell r="AE388">
            <v>920</v>
          </cell>
          <cell r="AF388">
            <v>822</v>
          </cell>
          <cell r="AG388">
            <v>98</v>
          </cell>
        </row>
        <row r="389">
          <cell r="C389">
            <v>213925</v>
          </cell>
          <cell r="D389" t="str">
            <v>SHIR SIDDHA PETROLEUM</v>
          </cell>
          <cell r="E389" t="str">
            <v>BPCL</v>
          </cell>
          <cell r="F389" t="str">
            <v>2019-20</v>
          </cell>
          <cell r="G389" t="str">
            <v>Pune Saswad RSA</v>
          </cell>
          <cell r="J389" t="str">
            <v>Malshiras Purandar</v>
          </cell>
          <cell r="K389" t="str">
            <v>Pune</v>
          </cell>
          <cell r="L389" t="str">
            <v>D2</v>
          </cell>
          <cell r="O389" t="str">
            <v>B</v>
          </cell>
          <cell r="P389">
            <v>12</v>
          </cell>
          <cell r="Q389">
            <v>12</v>
          </cell>
          <cell r="R389">
            <v>10</v>
          </cell>
          <cell r="S389">
            <v>14</v>
          </cell>
          <cell r="T389">
            <v>2</v>
          </cell>
          <cell r="U389">
            <v>-2</v>
          </cell>
          <cell r="V389">
            <v>20</v>
          </cell>
          <cell r="W389">
            <v>28</v>
          </cell>
          <cell r="X389">
            <v>23</v>
          </cell>
          <cell r="Y389">
            <v>37</v>
          </cell>
          <cell r="Z389">
            <v>-3</v>
          </cell>
          <cell r="AA389">
            <v>-9</v>
          </cell>
          <cell r="AB389">
            <v>24</v>
          </cell>
          <cell r="AC389">
            <v>24</v>
          </cell>
          <cell r="AD389">
            <v>0</v>
          </cell>
          <cell r="AE389">
            <v>48</v>
          </cell>
          <cell r="AF389">
            <v>60</v>
          </cell>
          <cell r="AG389">
            <v>-12</v>
          </cell>
        </row>
        <row r="390">
          <cell r="C390">
            <v>214011</v>
          </cell>
          <cell r="D390" t="str">
            <v>Samarth Petroleum</v>
          </cell>
          <cell r="E390" t="str">
            <v>BPCL</v>
          </cell>
          <cell r="F390" t="str">
            <v>2019-20</v>
          </cell>
          <cell r="G390" t="str">
            <v>Satara West RSA</v>
          </cell>
          <cell r="J390" t="str">
            <v>Dhebewadi</v>
          </cell>
          <cell r="K390" t="str">
            <v>Satara</v>
          </cell>
          <cell r="L390" t="str">
            <v>E</v>
          </cell>
          <cell r="O390" t="str">
            <v>B</v>
          </cell>
          <cell r="P390">
            <v>118</v>
          </cell>
          <cell r="Q390">
            <v>134</v>
          </cell>
          <cell r="R390">
            <v>99</v>
          </cell>
          <cell r="S390">
            <v>101</v>
          </cell>
          <cell r="T390">
            <v>19</v>
          </cell>
          <cell r="U390">
            <v>33</v>
          </cell>
          <cell r="V390">
            <v>209</v>
          </cell>
          <cell r="W390">
            <v>245</v>
          </cell>
          <cell r="X390">
            <v>182.5</v>
          </cell>
          <cell r="Y390">
            <v>215.5</v>
          </cell>
          <cell r="Z390">
            <v>26.5</v>
          </cell>
          <cell r="AA390">
            <v>29.5</v>
          </cell>
          <cell r="AB390">
            <v>252</v>
          </cell>
          <cell r="AC390">
            <v>200</v>
          </cell>
          <cell r="AD390">
            <v>52</v>
          </cell>
          <cell r="AE390">
            <v>454</v>
          </cell>
          <cell r="AF390">
            <v>398</v>
          </cell>
          <cell r="AG390">
            <v>56</v>
          </cell>
        </row>
        <row r="391">
          <cell r="C391">
            <v>214353</v>
          </cell>
          <cell r="D391" t="str">
            <v>BABA FUELS</v>
          </cell>
          <cell r="E391" t="str">
            <v>BPCL</v>
          </cell>
          <cell r="F391" t="str">
            <v>2019-20</v>
          </cell>
          <cell r="G391" t="str">
            <v>Pune Wagholi RSA</v>
          </cell>
          <cell r="J391" t="str">
            <v>LONIKAND SH</v>
          </cell>
          <cell r="K391" t="str">
            <v>Pune</v>
          </cell>
          <cell r="L391" t="str">
            <v>D2</v>
          </cell>
          <cell r="O391" t="str">
            <v>B</v>
          </cell>
          <cell r="P391">
            <v>26</v>
          </cell>
          <cell r="Q391">
            <v>110</v>
          </cell>
          <cell r="R391">
            <v>26</v>
          </cell>
          <cell r="S391">
            <v>114</v>
          </cell>
          <cell r="T391">
            <v>0</v>
          </cell>
          <cell r="U391">
            <v>-4</v>
          </cell>
          <cell r="V391">
            <v>48</v>
          </cell>
          <cell r="W391">
            <v>232</v>
          </cell>
          <cell r="X391">
            <v>46</v>
          </cell>
          <cell r="Y391">
            <v>226</v>
          </cell>
          <cell r="Z391">
            <v>2</v>
          </cell>
          <cell r="AA391">
            <v>6</v>
          </cell>
          <cell r="AB391">
            <v>136</v>
          </cell>
          <cell r="AC391">
            <v>140</v>
          </cell>
          <cell r="AD391">
            <v>-4</v>
          </cell>
          <cell r="AE391">
            <v>280</v>
          </cell>
          <cell r="AF391">
            <v>272</v>
          </cell>
          <cell r="AG391">
            <v>8</v>
          </cell>
        </row>
        <row r="392">
          <cell r="C392">
            <v>214773</v>
          </cell>
          <cell r="D392" t="str">
            <v>DHANRAJ PETROLEUM</v>
          </cell>
          <cell r="E392" t="str">
            <v>BPCL</v>
          </cell>
          <cell r="F392" t="str">
            <v>2019-20</v>
          </cell>
          <cell r="G392" t="str">
            <v>Pune Hadapsar RSA</v>
          </cell>
          <cell r="J392" t="str">
            <v>Kurkumbh LHS</v>
          </cell>
          <cell r="K392" t="str">
            <v>Pune</v>
          </cell>
          <cell r="L392" t="str">
            <v>D1</v>
          </cell>
          <cell r="M392" t="str">
            <v>NH-65</v>
          </cell>
          <cell r="O392" t="str">
            <v>B</v>
          </cell>
          <cell r="P392">
            <v>11</v>
          </cell>
          <cell r="Q392">
            <v>137</v>
          </cell>
          <cell r="R392">
            <v>15</v>
          </cell>
          <cell r="S392">
            <v>45</v>
          </cell>
          <cell r="T392">
            <v>-4</v>
          </cell>
          <cell r="U392">
            <v>92</v>
          </cell>
          <cell r="V392">
            <v>19</v>
          </cell>
          <cell r="W392">
            <v>263</v>
          </cell>
          <cell r="X392">
            <v>24</v>
          </cell>
          <cell r="Y392">
            <v>84</v>
          </cell>
          <cell r="Z392">
            <v>-5</v>
          </cell>
          <cell r="AA392">
            <v>179</v>
          </cell>
          <cell r="AB392">
            <v>148</v>
          </cell>
          <cell r="AC392">
            <v>60</v>
          </cell>
          <cell r="AD392">
            <v>88</v>
          </cell>
          <cell r="AE392">
            <v>282</v>
          </cell>
          <cell r="AF392">
            <v>108</v>
          </cell>
          <cell r="AG392">
            <v>174</v>
          </cell>
        </row>
        <row r="393">
          <cell r="C393">
            <v>214803</v>
          </cell>
          <cell r="D393" t="str">
            <v>KRUSHNAI PETROLEUM</v>
          </cell>
          <cell r="E393" t="str">
            <v>BPCL</v>
          </cell>
          <cell r="F393" t="str">
            <v>2019-20</v>
          </cell>
          <cell r="G393" t="str">
            <v>Pimpri Chinchwad RSA</v>
          </cell>
          <cell r="J393" t="str">
            <v>Alandi</v>
          </cell>
          <cell r="K393" t="str">
            <v>Pune</v>
          </cell>
          <cell r="L393" t="str">
            <v>A</v>
          </cell>
          <cell r="O393" t="str">
            <v>B</v>
          </cell>
          <cell r="P393">
            <v>155</v>
          </cell>
          <cell r="Q393">
            <v>385</v>
          </cell>
          <cell r="R393">
            <v>150</v>
          </cell>
          <cell r="S393">
            <v>290</v>
          </cell>
          <cell r="T393">
            <v>5</v>
          </cell>
          <cell r="U393">
            <v>95</v>
          </cell>
          <cell r="V393">
            <v>290</v>
          </cell>
          <cell r="W393">
            <v>770</v>
          </cell>
          <cell r="X393">
            <v>285</v>
          </cell>
          <cell r="Y393">
            <v>575</v>
          </cell>
          <cell r="Z393">
            <v>5</v>
          </cell>
          <cell r="AA393">
            <v>195</v>
          </cell>
          <cell r="AB393">
            <v>540</v>
          </cell>
          <cell r="AC393">
            <v>440</v>
          </cell>
          <cell r="AD393">
            <v>100</v>
          </cell>
          <cell r="AE393">
            <v>1060</v>
          </cell>
          <cell r="AF393">
            <v>860</v>
          </cell>
          <cell r="AG393">
            <v>200</v>
          </cell>
        </row>
        <row r="394">
          <cell r="C394">
            <v>214920</v>
          </cell>
          <cell r="D394" t="str">
            <v>MARUTI PETROLEUM</v>
          </cell>
          <cell r="E394" t="str">
            <v>BPCL</v>
          </cell>
          <cell r="F394" t="str">
            <v>2020-21</v>
          </cell>
          <cell r="G394" t="str">
            <v>Pimpri Chinchwad RSA</v>
          </cell>
          <cell r="J394" t="str">
            <v>Chakan MIDC</v>
          </cell>
          <cell r="K394" t="str">
            <v>Pune</v>
          </cell>
          <cell r="L394" t="str">
            <v>C</v>
          </cell>
          <cell r="O394" t="str">
            <v>B</v>
          </cell>
          <cell r="P394">
            <v>70</v>
          </cell>
          <cell r="Q394">
            <v>265</v>
          </cell>
          <cell r="R394">
            <v>51</v>
          </cell>
          <cell r="S394">
            <v>215</v>
          </cell>
          <cell r="T394">
            <v>19</v>
          </cell>
          <cell r="U394">
            <v>50</v>
          </cell>
          <cell r="V394">
            <v>135</v>
          </cell>
          <cell r="W394">
            <v>485</v>
          </cell>
          <cell r="X394">
            <v>109</v>
          </cell>
          <cell r="Y394">
            <v>416</v>
          </cell>
          <cell r="Z394">
            <v>26</v>
          </cell>
          <cell r="AA394">
            <v>69</v>
          </cell>
          <cell r="AB394">
            <v>335</v>
          </cell>
          <cell r="AC394">
            <v>266</v>
          </cell>
          <cell r="AD394">
            <v>69</v>
          </cell>
          <cell r="AE394">
            <v>620</v>
          </cell>
          <cell r="AF394">
            <v>525</v>
          </cell>
          <cell r="AG394">
            <v>95</v>
          </cell>
        </row>
        <row r="395">
          <cell r="C395">
            <v>214928</v>
          </cell>
          <cell r="D395" t="str">
            <v>POLICE WELFARE PETROL PUMP</v>
          </cell>
          <cell r="E395" t="str">
            <v>BPCL</v>
          </cell>
          <cell r="F395" t="str">
            <v>2019-20</v>
          </cell>
          <cell r="G395" t="str">
            <v>Satara West RSA</v>
          </cell>
          <cell r="J395" t="str">
            <v>Karad City</v>
          </cell>
          <cell r="K395" t="str">
            <v>Satara</v>
          </cell>
          <cell r="L395" t="str">
            <v>C</v>
          </cell>
          <cell r="O395" t="str">
            <v>B</v>
          </cell>
          <cell r="P395">
            <v>123</v>
          </cell>
          <cell r="Q395">
            <v>121</v>
          </cell>
          <cell r="R395">
            <v>113</v>
          </cell>
          <cell r="S395">
            <v>111</v>
          </cell>
          <cell r="T395">
            <v>10</v>
          </cell>
          <cell r="U395">
            <v>10</v>
          </cell>
          <cell r="V395">
            <v>228</v>
          </cell>
          <cell r="W395">
            <v>220</v>
          </cell>
          <cell r="X395">
            <v>221</v>
          </cell>
          <cell r="Y395">
            <v>211</v>
          </cell>
          <cell r="Z395">
            <v>7</v>
          </cell>
          <cell r="AA395">
            <v>9</v>
          </cell>
          <cell r="AB395">
            <v>244</v>
          </cell>
          <cell r="AC395">
            <v>224</v>
          </cell>
          <cell r="AD395">
            <v>20</v>
          </cell>
          <cell r="AE395">
            <v>448</v>
          </cell>
          <cell r="AF395">
            <v>432</v>
          </cell>
          <cell r="AG395">
            <v>16</v>
          </cell>
        </row>
        <row r="396">
          <cell r="C396">
            <v>214991</v>
          </cell>
          <cell r="D396" t="str">
            <v>SHIV SAMARTH PETROLEUM</v>
          </cell>
          <cell r="E396" t="str">
            <v>BPCL</v>
          </cell>
          <cell r="F396" t="str">
            <v>2019-20</v>
          </cell>
          <cell r="G396" t="str">
            <v>Pune Tathawade RSA</v>
          </cell>
          <cell r="J396" t="str">
            <v>Nimbut to Someshwar Nagar</v>
          </cell>
          <cell r="K396" t="str">
            <v>Pune</v>
          </cell>
          <cell r="L396" t="str">
            <v>D2</v>
          </cell>
          <cell r="O396" t="str">
            <v>A</v>
          </cell>
          <cell r="P396">
            <v>52</v>
          </cell>
          <cell r="Q396">
            <v>88</v>
          </cell>
          <cell r="R396">
            <v>45</v>
          </cell>
          <cell r="S396">
            <v>75</v>
          </cell>
          <cell r="T396">
            <v>7</v>
          </cell>
          <cell r="U396">
            <v>13</v>
          </cell>
          <cell r="V396">
            <v>91</v>
          </cell>
          <cell r="W396">
            <v>157</v>
          </cell>
          <cell r="X396">
            <v>90</v>
          </cell>
          <cell r="Y396">
            <v>174</v>
          </cell>
          <cell r="Z396">
            <v>1</v>
          </cell>
          <cell r="AA396">
            <v>-17</v>
          </cell>
          <cell r="AB396">
            <v>140</v>
          </cell>
          <cell r="AC396">
            <v>120</v>
          </cell>
          <cell r="AD396">
            <v>20</v>
          </cell>
          <cell r="AE396">
            <v>248</v>
          </cell>
          <cell r="AF396">
            <v>264</v>
          </cell>
          <cell r="AG396">
            <v>-16</v>
          </cell>
        </row>
        <row r="397">
          <cell r="C397">
            <v>215012</v>
          </cell>
          <cell r="D397" t="str">
            <v>SHRINATH PETROLEUM</v>
          </cell>
          <cell r="E397" t="str">
            <v>BPCL</v>
          </cell>
          <cell r="F397" t="str">
            <v>2020-21</v>
          </cell>
          <cell r="G397" t="str">
            <v>Pune Saswad RSA</v>
          </cell>
          <cell r="J397" t="str">
            <v>saswad-veer-lonand road</v>
          </cell>
          <cell r="K397" t="str">
            <v>Pune</v>
          </cell>
          <cell r="L397" t="str">
            <v>D2</v>
          </cell>
          <cell r="O397" t="str">
            <v>B</v>
          </cell>
          <cell r="P397">
            <v>65</v>
          </cell>
          <cell r="Q397">
            <v>137</v>
          </cell>
          <cell r="R397">
            <v>72</v>
          </cell>
          <cell r="S397">
            <v>112</v>
          </cell>
          <cell r="T397">
            <v>-7</v>
          </cell>
          <cell r="U397">
            <v>25</v>
          </cell>
          <cell r="V397">
            <v>115</v>
          </cell>
          <cell r="W397">
            <v>267</v>
          </cell>
          <cell r="X397">
            <v>132</v>
          </cell>
          <cell r="Y397">
            <v>226</v>
          </cell>
          <cell r="Z397">
            <v>-17</v>
          </cell>
          <cell r="AA397">
            <v>41</v>
          </cell>
          <cell r="AB397">
            <v>202</v>
          </cell>
          <cell r="AC397">
            <v>184</v>
          </cell>
          <cell r="AD397">
            <v>18</v>
          </cell>
          <cell r="AE397">
            <v>382</v>
          </cell>
          <cell r="AF397">
            <v>358</v>
          </cell>
          <cell r="AG397">
            <v>24</v>
          </cell>
        </row>
        <row r="398">
          <cell r="C398">
            <v>215047</v>
          </cell>
          <cell r="D398" t="str">
            <v>OMSHREE PETROLEUM</v>
          </cell>
          <cell r="E398" t="str">
            <v>BPCL</v>
          </cell>
          <cell r="F398" t="str">
            <v>2019-20</v>
          </cell>
          <cell r="G398" t="str">
            <v>Ahmednagar West RSA</v>
          </cell>
          <cell r="J398" t="str">
            <v>Hangewadi</v>
          </cell>
          <cell r="K398" t="str">
            <v>Ahmednagar</v>
          </cell>
          <cell r="L398" t="str">
            <v>E</v>
          </cell>
          <cell r="O398" t="str">
            <v>B</v>
          </cell>
          <cell r="P398">
            <v>31.5</v>
          </cell>
          <cell r="Q398">
            <v>94.5</v>
          </cell>
          <cell r="R398">
            <v>29</v>
          </cell>
          <cell r="S398">
            <v>87</v>
          </cell>
          <cell r="T398">
            <v>2.5</v>
          </cell>
          <cell r="U398">
            <v>7.5</v>
          </cell>
          <cell r="V398">
            <v>49</v>
          </cell>
          <cell r="W398">
            <v>147</v>
          </cell>
          <cell r="X398">
            <v>49</v>
          </cell>
          <cell r="Y398">
            <v>147</v>
          </cell>
          <cell r="Z398">
            <v>0</v>
          </cell>
          <cell r="AA398">
            <v>0</v>
          </cell>
          <cell r="AB398">
            <v>126</v>
          </cell>
          <cell r="AC398">
            <v>116</v>
          </cell>
          <cell r="AD398">
            <v>10</v>
          </cell>
          <cell r="AE398">
            <v>196</v>
          </cell>
          <cell r="AF398">
            <v>196</v>
          </cell>
          <cell r="AG398">
            <v>0</v>
          </cell>
        </row>
        <row r="399">
          <cell r="C399">
            <v>215055</v>
          </cell>
          <cell r="D399" t="str">
            <v>AASHIRWAD PETROLEUM</v>
          </cell>
          <cell r="E399" t="str">
            <v>BPCL</v>
          </cell>
          <cell r="F399" t="str">
            <v>2020-21</v>
          </cell>
          <cell r="G399" t="str">
            <v>Ahmednagar West RSA</v>
          </cell>
          <cell r="J399" t="str">
            <v>Ajnuj</v>
          </cell>
          <cell r="K399" t="str">
            <v>Ahmednagar</v>
          </cell>
          <cell r="L399" t="str">
            <v>E</v>
          </cell>
          <cell r="O399" t="str">
            <v>A</v>
          </cell>
          <cell r="P399">
            <v>12.5</v>
          </cell>
          <cell r="Q399">
            <v>30.5</v>
          </cell>
          <cell r="R399">
            <v>12</v>
          </cell>
          <cell r="S399">
            <v>24</v>
          </cell>
          <cell r="T399">
            <v>0.5</v>
          </cell>
          <cell r="U399">
            <v>6.5</v>
          </cell>
          <cell r="V399">
            <v>21.5</v>
          </cell>
          <cell r="W399">
            <v>45.5</v>
          </cell>
          <cell r="X399">
            <v>21</v>
          </cell>
          <cell r="Y399">
            <v>51</v>
          </cell>
          <cell r="Z399">
            <v>0.5</v>
          </cell>
          <cell r="AA399">
            <v>-5.5</v>
          </cell>
          <cell r="AB399">
            <v>43</v>
          </cell>
          <cell r="AC399">
            <v>36</v>
          </cell>
          <cell r="AD399">
            <v>7</v>
          </cell>
          <cell r="AE399">
            <v>67</v>
          </cell>
          <cell r="AF399">
            <v>72</v>
          </cell>
          <cell r="AG399">
            <v>-5</v>
          </cell>
        </row>
        <row r="400">
          <cell r="C400">
            <v>215436</v>
          </cell>
          <cell r="D400" t="str">
            <v>VKD PETROLEUM</v>
          </cell>
          <cell r="E400" t="str">
            <v>BPCL</v>
          </cell>
          <cell r="F400" t="str">
            <v>2019-20</v>
          </cell>
          <cell r="G400" t="str">
            <v>Pune City RSA</v>
          </cell>
          <cell r="J400" t="str">
            <v>AMBEGAON/WARJE</v>
          </cell>
          <cell r="K400" t="str">
            <v>Pune</v>
          </cell>
          <cell r="L400" t="str">
            <v>A</v>
          </cell>
          <cell r="O400" t="str">
            <v>B</v>
          </cell>
          <cell r="P400">
            <v>429</v>
          </cell>
          <cell r="Q400">
            <v>229</v>
          </cell>
          <cell r="R400">
            <v>394</v>
          </cell>
          <cell r="S400">
            <v>223</v>
          </cell>
          <cell r="T400">
            <v>35</v>
          </cell>
          <cell r="U400">
            <v>6</v>
          </cell>
          <cell r="V400">
            <v>849</v>
          </cell>
          <cell r="W400">
            <v>457</v>
          </cell>
          <cell r="X400">
            <v>823</v>
          </cell>
          <cell r="Y400">
            <v>450</v>
          </cell>
          <cell r="Z400">
            <v>26</v>
          </cell>
          <cell r="AA400">
            <v>7</v>
          </cell>
          <cell r="AB400">
            <v>658</v>
          </cell>
          <cell r="AC400">
            <v>617</v>
          </cell>
          <cell r="AD400">
            <v>41</v>
          </cell>
          <cell r="AE400">
            <v>1306</v>
          </cell>
          <cell r="AF400">
            <v>1273</v>
          </cell>
          <cell r="AG400">
            <v>33</v>
          </cell>
        </row>
        <row r="401">
          <cell r="C401">
            <v>215515</v>
          </cell>
          <cell r="D401" t="str">
            <v>S R NAVALEPATIL PETROLEUM</v>
          </cell>
          <cell r="E401" t="str">
            <v>BPCL</v>
          </cell>
          <cell r="F401" t="str">
            <v>2020-21</v>
          </cell>
          <cell r="G401" t="str">
            <v>Shirdi RSA</v>
          </cell>
          <cell r="J401" t="str">
            <v>KALAS AKOLE</v>
          </cell>
          <cell r="K401" t="str">
            <v>Ahmednagar</v>
          </cell>
          <cell r="L401" t="str">
            <v>D2</v>
          </cell>
          <cell r="O401" t="str">
            <v>B</v>
          </cell>
          <cell r="P401">
            <v>125</v>
          </cell>
          <cell r="Q401">
            <v>195</v>
          </cell>
          <cell r="R401">
            <v>110</v>
          </cell>
          <cell r="S401">
            <v>190</v>
          </cell>
          <cell r="T401">
            <v>15</v>
          </cell>
          <cell r="U401">
            <v>5</v>
          </cell>
          <cell r="V401">
            <v>220</v>
          </cell>
          <cell r="W401">
            <v>380</v>
          </cell>
          <cell r="X401">
            <v>205</v>
          </cell>
          <cell r="Y401">
            <v>375</v>
          </cell>
          <cell r="Z401">
            <v>15</v>
          </cell>
          <cell r="AA401">
            <v>5</v>
          </cell>
          <cell r="AB401">
            <v>320</v>
          </cell>
          <cell r="AC401">
            <v>300</v>
          </cell>
          <cell r="AD401">
            <v>20</v>
          </cell>
          <cell r="AE401">
            <v>600</v>
          </cell>
          <cell r="AF401">
            <v>580</v>
          </cell>
          <cell r="AG401">
            <v>20</v>
          </cell>
        </row>
        <row r="402">
          <cell r="C402">
            <v>215700</v>
          </cell>
          <cell r="D402" t="str">
            <v>Mane Petroleum</v>
          </cell>
          <cell r="E402" t="str">
            <v>BPCL</v>
          </cell>
          <cell r="F402" t="str">
            <v>2020-21</v>
          </cell>
          <cell r="G402" t="str">
            <v>Pune Saswad RSA</v>
          </cell>
          <cell r="J402" t="str">
            <v>SHELGAON</v>
          </cell>
          <cell r="K402" t="str">
            <v>Pune</v>
          </cell>
          <cell r="L402" t="str">
            <v>E</v>
          </cell>
          <cell r="O402" t="str">
            <v>B</v>
          </cell>
          <cell r="P402">
            <v>10</v>
          </cell>
          <cell r="Q402">
            <v>144</v>
          </cell>
          <cell r="R402">
            <v>10</v>
          </cell>
          <cell r="S402">
            <v>122</v>
          </cell>
          <cell r="T402">
            <v>0</v>
          </cell>
          <cell r="U402">
            <v>22</v>
          </cell>
          <cell r="V402">
            <v>25</v>
          </cell>
          <cell r="W402">
            <v>305</v>
          </cell>
          <cell r="X402">
            <v>20</v>
          </cell>
          <cell r="Y402">
            <v>266</v>
          </cell>
          <cell r="Z402">
            <v>5</v>
          </cell>
          <cell r="AA402">
            <v>39</v>
          </cell>
          <cell r="AB402">
            <v>154</v>
          </cell>
          <cell r="AC402">
            <v>132</v>
          </cell>
          <cell r="AD402">
            <v>22</v>
          </cell>
          <cell r="AE402">
            <v>330</v>
          </cell>
          <cell r="AF402">
            <v>286</v>
          </cell>
          <cell r="AG402">
            <v>44</v>
          </cell>
        </row>
        <row r="403">
          <cell r="C403">
            <v>215701</v>
          </cell>
          <cell r="D403" t="str">
            <v>SUDAMA PETROLEUM</v>
          </cell>
          <cell r="E403" t="str">
            <v>BPCL</v>
          </cell>
          <cell r="F403" t="str">
            <v>2020-21</v>
          </cell>
          <cell r="G403" t="str">
            <v>Shirdi RSA</v>
          </cell>
          <cell r="J403" t="str">
            <v>VADGAONPAN</v>
          </cell>
          <cell r="K403" t="str">
            <v>Ahmednagar</v>
          </cell>
          <cell r="L403" t="str">
            <v>D2</v>
          </cell>
          <cell r="O403" t="str">
            <v>B</v>
          </cell>
          <cell r="P403">
            <v>34</v>
          </cell>
          <cell r="Q403">
            <v>52</v>
          </cell>
          <cell r="R403">
            <v>34</v>
          </cell>
          <cell r="S403">
            <v>46</v>
          </cell>
          <cell r="T403">
            <v>0</v>
          </cell>
          <cell r="U403">
            <v>6</v>
          </cell>
          <cell r="V403">
            <v>67</v>
          </cell>
          <cell r="W403">
            <v>91</v>
          </cell>
          <cell r="X403">
            <v>62</v>
          </cell>
          <cell r="Y403">
            <v>86</v>
          </cell>
          <cell r="Z403">
            <v>5</v>
          </cell>
          <cell r="AA403">
            <v>5</v>
          </cell>
          <cell r="AB403">
            <v>86</v>
          </cell>
          <cell r="AC403">
            <v>80</v>
          </cell>
          <cell r="AD403">
            <v>6</v>
          </cell>
          <cell r="AE403">
            <v>158</v>
          </cell>
          <cell r="AF403">
            <v>148</v>
          </cell>
          <cell r="AG403">
            <v>10</v>
          </cell>
        </row>
        <row r="404">
          <cell r="C404">
            <v>215732</v>
          </cell>
          <cell r="D404" t="str">
            <v>SHREEGURU PETROLEUM</v>
          </cell>
          <cell r="E404" t="str">
            <v>BPCL</v>
          </cell>
          <cell r="F404" t="str">
            <v>2020-21</v>
          </cell>
          <cell r="G404" t="str">
            <v>Ahmednagar East RSA</v>
          </cell>
          <cell r="J404" t="str">
            <v>Miri</v>
          </cell>
          <cell r="K404" t="str">
            <v>Ahmednagar</v>
          </cell>
          <cell r="L404" t="str">
            <v>D2</v>
          </cell>
          <cell r="O404" t="str">
            <v>B</v>
          </cell>
          <cell r="P404">
            <v>40.5</v>
          </cell>
          <cell r="Q404">
            <v>105.5</v>
          </cell>
          <cell r="R404">
            <v>41</v>
          </cell>
          <cell r="S404">
            <v>111</v>
          </cell>
          <cell r="T404">
            <v>-0.5</v>
          </cell>
          <cell r="U404">
            <v>-5.5</v>
          </cell>
          <cell r="V404">
            <v>73.5</v>
          </cell>
          <cell r="W404">
            <v>180.5</v>
          </cell>
          <cell r="X404">
            <v>79</v>
          </cell>
          <cell r="Y404">
            <v>198</v>
          </cell>
          <cell r="Z404">
            <v>-5.5</v>
          </cell>
          <cell r="AA404">
            <v>-17.5</v>
          </cell>
          <cell r="AB404">
            <v>146</v>
          </cell>
          <cell r="AC404">
            <v>152</v>
          </cell>
          <cell r="AD404">
            <v>-6</v>
          </cell>
          <cell r="AE404">
            <v>254</v>
          </cell>
          <cell r="AF404">
            <v>277</v>
          </cell>
          <cell r="AG404">
            <v>-23</v>
          </cell>
        </row>
        <row r="405">
          <cell r="C405">
            <v>215738</v>
          </cell>
          <cell r="D405" t="str">
            <v>VEERA PETROLEUM</v>
          </cell>
          <cell r="E405" t="str">
            <v>BPCL</v>
          </cell>
          <cell r="F405" t="str">
            <v>2020-21</v>
          </cell>
          <cell r="G405" t="str">
            <v>Shirdi RSA</v>
          </cell>
          <cell r="J405" t="str">
            <v>LONI PRAVARA SH</v>
          </cell>
          <cell r="K405" t="str">
            <v>Ahmednagar</v>
          </cell>
          <cell r="L405" t="str">
            <v>D2</v>
          </cell>
          <cell r="O405" t="str">
            <v>B</v>
          </cell>
          <cell r="P405">
            <v>29</v>
          </cell>
          <cell r="Q405">
            <v>43</v>
          </cell>
          <cell r="R405">
            <v>44</v>
          </cell>
          <cell r="S405">
            <v>68</v>
          </cell>
          <cell r="T405">
            <v>-15</v>
          </cell>
          <cell r="U405">
            <v>-25</v>
          </cell>
          <cell r="V405">
            <v>64</v>
          </cell>
          <cell r="W405">
            <v>106</v>
          </cell>
          <cell r="X405">
            <v>70</v>
          </cell>
          <cell r="Y405">
            <v>119</v>
          </cell>
          <cell r="Z405">
            <v>-6</v>
          </cell>
          <cell r="AA405">
            <v>-13</v>
          </cell>
          <cell r="AB405">
            <v>72</v>
          </cell>
          <cell r="AC405">
            <v>112</v>
          </cell>
          <cell r="AD405">
            <v>-40</v>
          </cell>
          <cell r="AE405">
            <v>170</v>
          </cell>
          <cell r="AF405">
            <v>189</v>
          </cell>
          <cell r="AG405">
            <v>-19</v>
          </cell>
        </row>
        <row r="406">
          <cell r="C406">
            <v>215794</v>
          </cell>
          <cell r="D406" t="str">
            <v>Hausai Petroleum</v>
          </cell>
          <cell r="E406" t="str">
            <v>BPCL</v>
          </cell>
          <cell r="F406" t="str">
            <v>2020-21</v>
          </cell>
          <cell r="G406" t="str">
            <v>Pune Hadapsar RSA</v>
          </cell>
          <cell r="J406" t="str">
            <v>Virobawadi</v>
          </cell>
          <cell r="K406" t="str">
            <v>Pune</v>
          </cell>
          <cell r="L406" t="str">
            <v>D2</v>
          </cell>
          <cell r="O406" t="str">
            <v>B</v>
          </cell>
          <cell r="P406">
            <v>9</v>
          </cell>
          <cell r="Q406">
            <v>39</v>
          </cell>
          <cell r="R406">
            <v>0</v>
          </cell>
          <cell r="S406">
            <v>0</v>
          </cell>
          <cell r="T406">
            <v>9</v>
          </cell>
          <cell r="U406">
            <v>39</v>
          </cell>
          <cell r="V406">
            <v>23</v>
          </cell>
          <cell r="W406">
            <v>61</v>
          </cell>
          <cell r="X406">
            <v>0</v>
          </cell>
          <cell r="Y406">
            <v>0</v>
          </cell>
          <cell r="Z406">
            <v>23</v>
          </cell>
          <cell r="AA406">
            <v>61</v>
          </cell>
          <cell r="AB406">
            <v>48</v>
          </cell>
          <cell r="AC406">
            <v>0</v>
          </cell>
          <cell r="AD406">
            <v>48</v>
          </cell>
          <cell r="AE406">
            <v>84</v>
          </cell>
          <cell r="AF406">
            <v>0</v>
          </cell>
          <cell r="AG406">
            <v>84</v>
          </cell>
        </row>
        <row r="407">
          <cell r="C407">
            <v>215800</v>
          </cell>
          <cell r="D407" t="str">
            <v>AMARDEEP PETROLEUM</v>
          </cell>
          <cell r="E407" t="str">
            <v>BPCL</v>
          </cell>
          <cell r="F407" t="str">
            <v>2020-21</v>
          </cell>
          <cell r="G407" t="str">
            <v>Pune Wagholi RSA</v>
          </cell>
          <cell r="J407" t="str">
            <v>Karde</v>
          </cell>
          <cell r="K407" t="str">
            <v>Pune</v>
          </cell>
          <cell r="L407" t="str">
            <v>D2</v>
          </cell>
          <cell r="O407" t="str">
            <v>B</v>
          </cell>
          <cell r="P407">
            <v>27</v>
          </cell>
          <cell r="Q407">
            <v>101</v>
          </cell>
          <cell r="R407">
            <v>44</v>
          </cell>
          <cell r="S407">
            <v>104</v>
          </cell>
          <cell r="T407">
            <v>-17</v>
          </cell>
          <cell r="U407">
            <v>-3</v>
          </cell>
          <cell r="V407">
            <v>55</v>
          </cell>
          <cell r="W407">
            <v>165</v>
          </cell>
          <cell r="X407">
            <v>93</v>
          </cell>
          <cell r="Y407">
            <v>207</v>
          </cell>
          <cell r="Z407">
            <v>-38</v>
          </cell>
          <cell r="AA407">
            <v>-42</v>
          </cell>
          <cell r="AB407">
            <v>128</v>
          </cell>
          <cell r="AC407">
            <v>148</v>
          </cell>
          <cell r="AD407">
            <v>-20</v>
          </cell>
          <cell r="AE407">
            <v>220</v>
          </cell>
          <cell r="AF407">
            <v>300</v>
          </cell>
          <cell r="AG407">
            <v>-80</v>
          </cell>
        </row>
        <row r="408">
          <cell r="C408">
            <v>217180</v>
          </cell>
          <cell r="D408" t="str">
            <v>ANAND PETROLEUM</v>
          </cell>
          <cell r="E408" t="str">
            <v>BPCL</v>
          </cell>
          <cell r="F408" t="str">
            <v>2020-21</v>
          </cell>
          <cell r="G408" t="str">
            <v>Pune Hadapsar RSA</v>
          </cell>
          <cell r="J408" t="str">
            <v>Kurkumbh LHS</v>
          </cell>
          <cell r="K408" t="str">
            <v>Pune</v>
          </cell>
          <cell r="L408" t="str">
            <v>D1</v>
          </cell>
          <cell r="M408" t="str">
            <v>NH-65</v>
          </cell>
          <cell r="O408" t="str">
            <v>B</v>
          </cell>
          <cell r="P408">
            <v>20</v>
          </cell>
          <cell r="Q408">
            <v>168</v>
          </cell>
          <cell r="R408">
            <v>28</v>
          </cell>
          <cell r="S408">
            <v>188</v>
          </cell>
          <cell r="T408">
            <v>-8</v>
          </cell>
          <cell r="U408">
            <v>-20</v>
          </cell>
          <cell r="V408">
            <v>35</v>
          </cell>
          <cell r="W408">
            <v>359</v>
          </cell>
          <cell r="X408">
            <v>45</v>
          </cell>
          <cell r="Y408">
            <v>359</v>
          </cell>
          <cell r="Z408">
            <v>-10</v>
          </cell>
          <cell r="AA408">
            <v>0</v>
          </cell>
          <cell r="AB408">
            <v>188</v>
          </cell>
          <cell r="AC408">
            <v>216</v>
          </cell>
          <cell r="AD408">
            <v>-28</v>
          </cell>
          <cell r="AE408">
            <v>394</v>
          </cell>
          <cell r="AF408">
            <v>404</v>
          </cell>
          <cell r="AG408">
            <v>-10</v>
          </cell>
        </row>
        <row r="409">
          <cell r="C409">
            <v>217249</v>
          </cell>
          <cell r="D409" t="str">
            <v>SANGRAJE PETROLEUM</v>
          </cell>
          <cell r="E409" t="str">
            <v>BPCL</v>
          </cell>
          <cell r="F409" t="str">
            <v>2020-21</v>
          </cell>
          <cell r="G409" t="str">
            <v>Shirdi RSA</v>
          </cell>
          <cell r="J409" t="str">
            <v>SAVLIHIR</v>
          </cell>
          <cell r="K409" t="str">
            <v>Ahmednagar</v>
          </cell>
          <cell r="L409" t="str">
            <v>D1</v>
          </cell>
          <cell r="M409" t="str">
            <v>NH-160</v>
          </cell>
          <cell r="O409" t="str">
            <v>B</v>
          </cell>
          <cell r="P409">
            <v>18</v>
          </cell>
          <cell r="Q409">
            <v>66</v>
          </cell>
          <cell r="R409">
            <v>27</v>
          </cell>
          <cell r="S409">
            <v>117</v>
          </cell>
          <cell r="T409">
            <v>-9</v>
          </cell>
          <cell r="U409">
            <v>-51</v>
          </cell>
          <cell r="V409">
            <v>33</v>
          </cell>
          <cell r="W409">
            <v>147</v>
          </cell>
          <cell r="X409">
            <v>48</v>
          </cell>
          <cell r="Y409">
            <v>228</v>
          </cell>
          <cell r="Z409">
            <v>-15</v>
          </cell>
          <cell r="AA409">
            <v>-81</v>
          </cell>
          <cell r="AB409">
            <v>84</v>
          </cell>
          <cell r="AC409">
            <v>144</v>
          </cell>
          <cell r="AD409">
            <v>-60</v>
          </cell>
          <cell r="AE409">
            <v>180</v>
          </cell>
          <cell r="AF409">
            <v>276</v>
          </cell>
          <cell r="AG409">
            <v>-96</v>
          </cell>
        </row>
        <row r="410">
          <cell r="C410">
            <v>217412</v>
          </cell>
          <cell r="D410" t="str">
            <v>Siddhanath Petroleum</v>
          </cell>
          <cell r="E410" t="str">
            <v>BPCL</v>
          </cell>
          <cell r="F410" t="str">
            <v>2020-21</v>
          </cell>
          <cell r="G410" t="str">
            <v>Satara East RSA</v>
          </cell>
          <cell r="J410" t="str">
            <v>ANDRUD</v>
          </cell>
          <cell r="K410" t="str">
            <v>Satara</v>
          </cell>
          <cell r="L410" t="str">
            <v>E</v>
          </cell>
          <cell r="O410" t="str">
            <v>A</v>
          </cell>
          <cell r="P410">
            <v>15</v>
          </cell>
          <cell r="Q410">
            <v>27</v>
          </cell>
          <cell r="R410">
            <v>6</v>
          </cell>
          <cell r="S410">
            <v>6</v>
          </cell>
          <cell r="T410">
            <v>9</v>
          </cell>
          <cell r="U410">
            <v>21</v>
          </cell>
          <cell r="V410">
            <v>29</v>
          </cell>
          <cell r="W410">
            <v>49</v>
          </cell>
          <cell r="X410">
            <v>6</v>
          </cell>
          <cell r="Y410">
            <v>6</v>
          </cell>
          <cell r="Z410">
            <v>23</v>
          </cell>
          <cell r="AA410">
            <v>43</v>
          </cell>
          <cell r="AB410">
            <v>42</v>
          </cell>
          <cell r="AC410">
            <v>12</v>
          </cell>
          <cell r="AD410">
            <v>30</v>
          </cell>
          <cell r="AE410">
            <v>78</v>
          </cell>
          <cell r="AF410">
            <v>12</v>
          </cell>
          <cell r="AG410">
            <v>66</v>
          </cell>
        </row>
        <row r="411">
          <cell r="C411">
            <v>217586</v>
          </cell>
          <cell r="D411" t="str">
            <v>KATRAJ PETROLEUM</v>
          </cell>
          <cell r="E411" t="str">
            <v>BPCL</v>
          </cell>
          <cell r="F411" t="str">
            <v>2020-21</v>
          </cell>
          <cell r="G411" t="str">
            <v>Pune City RSA</v>
          </cell>
          <cell r="J411" t="str">
            <v>KATRAJ</v>
          </cell>
          <cell r="K411" t="str">
            <v>Pune</v>
          </cell>
          <cell r="L411" t="str">
            <v>A</v>
          </cell>
          <cell r="O411" t="str">
            <v>A</v>
          </cell>
          <cell r="P411">
            <v>342</v>
          </cell>
          <cell r="Q411">
            <v>406</v>
          </cell>
          <cell r="R411">
            <v>308</v>
          </cell>
          <cell r="S411">
            <v>324</v>
          </cell>
          <cell r="T411">
            <v>34</v>
          </cell>
          <cell r="U411">
            <v>82</v>
          </cell>
          <cell r="V411">
            <v>657</v>
          </cell>
          <cell r="W411">
            <v>791</v>
          </cell>
          <cell r="X411">
            <v>603</v>
          </cell>
          <cell r="Y411">
            <v>631</v>
          </cell>
          <cell r="Z411">
            <v>54</v>
          </cell>
          <cell r="AA411">
            <v>160</v>
          </cell>
          <cell r="AB411">
            <v>748</v>
          </cell>
          <cell r="AC411">
            <v>632</v>
          </cell>
          <cell r="AD411">
            <v>116</v>
          </cell>
          <cell r="AE411">
            <v>1448</v>
          </cell>
          <cell r="AF411">
            <v>1234</v>
          </cell>
          <cell r="AG411">
            <v>214</v>
          </cell>
        </row>
        <row r="412">
          <cell r="C412">
            <v>218007</v>
          </cell>
          <cell r="D412" t="str">
            <v>Komal Petroleum</v>
          </cell>
          <cell r="E412" t="str">
            <v>BPCL</v>
          </cell>
          <cell r="F412" t="str">
            <v>2020-21</v>
          </cell>
          <cell r="G412" t="str">
            <v>Pimpri Chinchwad RSA</v>
          </cell>
          <cell r="J412" t="str">
            <v>Chakan MIDC</v>
          </cell>
          <cell r="K412" t="str">
            <v>Pune</v>
          </cell>
          <cell r="L412" t="str">
            <v>C</v>
          </cell>
          <cell r="O412" t="str">
            <v>B</v>
          </cell>
          <cell r="P412">
            <v>50</v>
          </cell>
          <cell r="Q412">
            <v>138</v>
          </cell>
          <cell r="R412">
            <v>43</v>
          </cell>
          <cell r="S412">
            <v>133</v>
          </cell>
          <cell r="T412">
            <v>7</v>
          </cell>
          <cell r="U412">
            <v>5</v>
          </cell>
          <cell r="V412">
            <v>92</v>
          </cell>
          <cell r="W412">
            <v>260</v>
          </cell>
          <cell r="X412">
            <v>85</v>
          </cell>
          <cell r="Y412">
            <v>255</v>
          </cell>
          <cell r="Z412">
            <v>7</v>
          </cell>
          <cell r="AA412">
            <v>5</v>
          </cell>
          <cell r="AB412">
            <v>188</v>
          </cell>
          <cell r="AC412">
            <v>176</v>
          </cell>
          <cell r="AD412">
            <v>12</v>
          </cell>
          <cell r="AE412">
            <v>352</v>
          </cell>
          <cell r="AF412">
            <v>340</v>
          </cell>
          <cell r="AG412">
            <v>12</v>
          </cell>
        </row>
        <row r="413">
          <cell r="C413">
            <v>218010</v>
          </cell>
          <cell r="D413" t="str">
            <v>Vishakha Petroleum</v>
          </cell>
          <cell r="E413" t="str">
            <v>BPCL</v>
          </cell>
          <cell r="F413" t="str">
            <v>2020-21</v>
          </cell>
          <cell r="G413" t="str">
            <v>Pimpri Chinchwad RSA</v>
          </cell>
          <cell r="J413" t="str">
            <v>Chakan MIDC</v>
          </cell>
          <cell r="K413" t="str">
            <v>Pune</v>
          </cell>
          <cell r="L413" t="str">
            <v>C</v>
          </cell>
          <cell r="O413" t="str">
            <v>B</v>
          </cell>
          <cell r="P413">
            <v>14</v>
          </cell>
          <cell r="Q413">
            <v>68</v>
          </cell>
          <cell r="R413">
            <v>23</v>
          </cell>
          <cell r="S413">
            <v>105</v>
          </cell>
          <cell r="T413">
            <v>-9</v>
          </cell>
          <cell r="U413">
            <v>-37</v>
          </cell>
          <cell r="V413">
            <v>31</v>
          </cell>
          <cell r="W413">
            <v>147</v>
          </cell>
          <cell r="X413">
            <v>45</v>
          </cell>
          <cell r="Y413">
            <v>191</v>
          </cell>
          <cell r="Z413">
            <v>-14</v>
          </cell>
          <cell r="AA413">
            <v>-44</v>
          </cell>
          <cell r="AB413">
            <v>82</v>
          </cell>
          <cell r="AC413">
            <v>128</v>
          </cell>
          <cell r="AD413">
            <v>-46</v>
          </cell>
          <cell r="AE413">
            <v>178</v>
          </cell>
          <cell r="AF413">
            <v>236</v>
          </cell>
          <cell r="AG413">
            <v>-58</v>
          </cell>
        </row>
        <row r="414">
          <cell r="C414">
            <v>218021</v>
          </cell>
          <cell r="D414" t="str">
            <v>BM PETROLEUM</v>
          </cell>
          <cell r="E414" t="str">
            <v>BPCL</v>
          </cell>
          <cell r="F414" t="str">
            <v>2020-21</v>
          </cell>
          <cell r="G414" t="str">
            <v>Pimpri Chinchwad RSA</v>
          </cell>
          <cell r="J414" t="str">
            <v>Talegaon MIDC</v>
          </cell>
          <cell r="K414" t="str">
            <v>Pune</v>
          </cell>
          <cell r="L414" t="str">
            <v>C</v>
          </cell>
          <cell r="O414" t="str">
            <v>B</v>
          </cell>
          <cell r="P414">
            <v>46</v>
          </cell>
          <cell r="Q414">
            <v>255</v>
          </cell>
          <cell r="R414">
            <v>30</v>
          </cell>
          <cell r="S414">
            <v>365</v>
          </cell>
          <cell r="T414">
            <v>16</v>
          </cell>
          <cell r="U414">
            <v>-110</v>
          </cell>
          <cell r="V414">
            <v>81</v>
          </cell>
          <cell r="W414">
            <v>518</v>
          </cell>
          <cell r="X414">
            <v>60</v>
          </cell>
          <cell r="Y414">
            <v>712</v>
          </cell>
          <cell r="Z414">
            <v>21</v>
          </cell>
          <cell r="AA414">
            <v>-194</v>
          </cell>
          <cell r="AB414">
            <v>301</v>
          </cell>
          <cell r="AC414">
            <v>395</v>
          </cell>
          <cell r="AD414">
            <v>-94</v>
          </cell>
          <cell r="AE414">
            <v>599</v>
          </cell>
          <cell r="AF414">
            <v>772</v>
          </cell>
          <cell r="AG414">
            <v>-173</v>
          </cell>
        </row>
        <row r="415">
          <cell r="C415">
            <v>218067</v>
          </cell>
          <cell r="D415" t="str">
            <v>SHRI RASAI PETROLEUM</v>
          </cell>
          <cell r="E415" t="str">
            <v>BPCL</v>
          </cell>
          <cell r="F415" t="str">
            <v>2020-21</v>
          </cell>
          <cell r="G415" t="str">
            <v>Pune Hadapsar RSA</v>
          </cell>
          <cell r="J415" t="str">
            <v>Mandavgaon Farata</v>
          </cell>
          <cell r="K415" t="str">
            <v>Pune</v>
          </cell>
          <cell r="L415" t="str">
            <v>E</v>
          </cell>
          <cell r="O415" t="str">
            <v>B</v>
          </cell>
          <cell r="P415">
            <v>45</v>
          </cell>
          <cell r="Q415">
            <v>95</v>
          </cell>
          <cell r="R415">
            <v>36</v>
          </cell>
          <cell r="S415">
            <v>108</v>
          </cell>
          <cell r="T415">
            <v>9</v>
          </cell>
          <cell r="U415">
            <v>-13</v>
          </cell>
          <cell r="V415">
            <v>83</v>
          </cell>
          <cell r="W415">
            <v>181</v>
          </cell>
          <cell r="X415">
            <v>79</v>
          </cell>
          <cell r="Y415">
            <v>221</v>
          </cell>
          <cell r="Z415">
            <v>4</v>
          </cell>
          <cell r="AA415">
            <v>-40</v>
          </cell>
          <cell r="AB415">
            <v>140</v>
          </cell>
          <cell r="AC415">
            <v>144</v>
          </cell>
          <cell r="AD415">
            <v>-4</v>
          </cell>
          <cell r="AE415">
            <v>264</v>
          </cell>
          <cell r="AF415">
            <v>300</v>
          </cell>
          <cell r="AG415">
            <v>-36</v>
          </cell>
        </row>
        <row r="416">
          <cell r="C416">
            <v>218300</v>
          </cell>
          <cell r="D416" t="str">
            <v>GAIKWAD PETROLEUM</v>
          </cell>
          <cell r="E416" t="str">
            <v>BPCL</v>
          </cell>
          <cell r="F416" t="str">
            <v>2020-21</v>
          </cell>
          <cell r="G416" t="str">
            <v>Pune Wagholi RSA</v>
          </cell>
          <cell r="J416" t="str">
            <v>Koregaon Bhima to Shikrapur LHS</v>
          </cell>
          <cell r="K416" t="str">
            <v>Pune</v>
          </cell>
          <cell r="L416" t="str">
            <v>D1</v>
          </cell>
          <cell r="M416" t="str">
            <v>NH-753F</v>
          </cell>
          <cell r="O416" t="str">
            <v>B</v>
          </cell>
          <cell r="P416">
            <v>33</v>
          </cell>
          <cell r="Q416">
            <v>329</v>
          </cell>
          <cell r="R416">
            <v>20</v>
          </cell>
          <cell r="S416">
            <v>393</v>
          </cell>
          <cell r="T416">
            <v>13</v>
          </cell>
          <cell r="U416">
            <v>-64</v>
          </cell>
          <cell r="V416">
            <v>53</v>
          </cell>
          <cell r="W416">
            <v>677</v>
          </cell>
          <cell r="X416">
            <v>45</v>
          </cell>
          <cell r="Y416">
            <v>743</v>
          </cell>
          <cell r="Z416">
            <v>8</v>
          </cell>
          <cell r="AA416">
            <v>-66</v>
          </cell>
          <cell r="AB416">
            <v>362</v>
          </cell>
          <cell r="AC416">
            <v>413</v>
          </cell>
          <cell r="AD416">
            <v>-51</v>
          </cell>
          <cell r="AE416">
            <v>730</v>
          </cell>
          <cell r="AF416">
            <v>788</v>
          </cell>
          <cell r="AG416">
            <v>-58</v>
          </cell>
        </row>
        <row r="417">
          <cell r="C417">
            <v>218701</v>
          </cell>
          <cell r="D417" t="str">
            <v>Shreeji Petroleum</v>
          </cell>
          <cell r="E417" t="str">
            <v>BPCL</v>
          </cell>
          <cell r="F417" t="str">
            <v>2020-21</v>
          </cell>
          <cell r="G417" t="str">
            <v>Satara West RSA</v>
          </cell>
          <cell r="J417" t="str">
            <v>Bhuinj to Satara</v>
          </cell>
          <cell r="K417" t="str">
            <v>Satara</v>
          </cell>
          <cell r="L417" t="str">
            <v>D1</v>
          </cell>
          <cell r="M417" t="str">
            <v>NH-48</v>
          </cell>
          <cell r="O417" t="str">
            <v>B</v>
          </cell>
          <cell r="P417">
            <v>69</v>
          </cell>
          <cell r="Q417">
            <v>173</v>
          </cell>
          <cell r="R417">
            <v>60</v>
          </cell>
          <cell r="S417">
            <v>119</v>
          </cell>
          <cell r="T417">
            <v>9</v>
          </cell>
          <cell r="U417">
            <v>54</v>
          </cell>
          <cell r="V417">
            <v>116</v>
          </cell>
          <cell r="W417">
            <v>311</v>
          </cell>
          <cell r="X417">
            <v>105</v>
          </cell>
          <cell r="Y417">
            <v>232</v>
          </cell>
          <cell r="Z417">
            <v>11</v>
          </cell>
          <cell r="AA417">
            <v>79</v>
          </cell>
          <cell r="AB417">
            <v>242</v>
          </cell>
          <cell r="AC417">
            <v>179</v>
          </cell>
          <cell r="AD417">
            <v>63</v>
          </cell>
          <cell r="AE417">
            <v>427</v>
          </cell>
          <cell r="AF417">
            <v>337</v>
          </cell>
          <cell r="AG417">
            <v>90</v>
          </cell>
        </row>
        <row r="418">
          <cell r="C418">
            <v>219079</v>
          </cell>
          <cell r="D418" t="str">
            <v>Barde Petroleum</v>
          </cell>
          <cell r="E418" t="str">
            <v>BPCL</v>
          </cell>
          <cell r="F418" t="str">
            <v>2020-21</v>
          </cell>
          <cell r="G418" t="str">
            <v>Shirdi RSA</v>
          </cell>
          <cell r="J418" t="str">
            <v>UNDIRGAON</v>
          </cell>
          <cell r="K418" t="str">
            <v>Ahmednagar</v>
          </cell>
          <cell r="L418" t="str">
            <v>D2</v>
          </cell>
          <cell r="O418" t="str">
            <v>A</v>
          </cell>
          <cell r="P418">
            <v>18</v>
          </cell>
          <cell r="Q418">
            <v>42</v>
          </cell>
          <cell r="R418">
            <v>40</v>
          </cell>
          <cell r="S418">
            <v>64</v>
          </cell>
          <cell r="T418">
            <v>-22</v>
          </cell>
          <cell r="U418">
            <v>-22</v>
          </cell>
          <cell r="V418">
            <v>33</v>
          </cell>
          <cell r="W418">
            <v>63</v>
          </cell>
          <cell r="X418">
            <v>67</v>
          </cell>
          <cell r="Y418">
            <v>97</v>
          </cell>
          <cell r="Z418">
            <v>-34</v>
          </cell>
          <cell r="AA418">
            <v>-34</v>
          </cell>
          <cell r="AB418">
            <v>60</v>
          </cell>
          <cell r="AC418">
            <v>104</v>
          </cell>
          <cell r="AD418">
            <v>-44</v>
          </cell>
          <cell r="AE418">
            <v>96</v>
          </cell>
          <cell r="AF418">
            <v>164</v>
          </cell>
          <cell r="AG418">
            <v>-68</v>
          </cell>
        </row>
        <row r="419">
          <cell r="C419">
            <v>219479</v>
          </cell>
          <cell r="D419" t="str">
            <v>shere Petroleum</v>
          </cell>
          <cell r="E419" t="str">
            <v>BPCL</v>
          </cell>
          <cell r="F419" t="str">
            <v>2020-21</v>
          </cell>
          <cell r="G419" t="str">
            <v>Pune Tathawade RSA</v>
          </cell>
          <cell r="J419" t="str">
            <v>Jalochi</v>
          </cell>
          <cell r="K419" t="str">
            <v>Pune</v>
          </cell>
          <cell r="L419" t="str">
            <v>C</v>
          </cell>
          <cell r="O419" t="str">
            <v>B</v>
          </cell>
          <cell r="P419">
            <v>26</v>
          </cell>
          <cell r="Q419">
            <v>22</v>
          </cell>
          <cell r="R419">
            <v>0</v>
          </cell>
          <cell r="S419">
            <v>0</v>
          </cell>
          <cell r="T419">
            <v>26</v>
          </cell>
          <cell r="U419">
            <v>22</v>
          </cell>
          <cell r="V419">
            <v>62</v>
          </cell>
          <cell r="W419">
            <v>34</v>
          </cell>
          <cell r="X419">
            <v>0</v>
          </cell>
          <cell r="Y419">
            <v>0</v>
          </cell>
          <cell r="Z419">
            <v>62</v>
          </cell>
          <cell r="AA419">
            <v>34</v>
          </cell>
          <cell r="AB419">
            <v>48</v>
          </cell>
          <cell r="AC419">
            <v>0</v>
          </cell>
          <cell r="AD419">
            <v>48</v>
          </cell>
          <cell r="AE419">
            <v>96</v>
          </cell>
          <cell r="AF419">
            <v>0</v>
          </cell>
          <cell r="AG419">
            <v>96</v>
          </cell>
        </row>
        <row r="420">
          <cell r="C420">
            <v>220310</v>
          </cell>
          <cell r="D420" t="str">
            <v>SHREE VENKATESH PETROLEUM</v>
          </cell>
          <cell r="E420" t="str">
            <v>BPCL</v>
          </cell>
          <cell r="F420" t="str">
            <v>2020-21</v>
          </cell>
          <cell r="G420" t="str">
            <v>Shirdi RSA</v>
          </cell>
          <cell r="J420" t="str">
            <v>DHAMORI KOPARGAON</v>
          </cell>
          <cell r="K420" t="str">
            <v>Ahmednagar</v>
          </cell>
          <cell r="L420" t="str">
            <v>E</v>
          </cell>
          <cell r="O420" t="str">
            <v>B</v>
          </cell>
          <cell r="P420">
            <v>36</v>
          </cell>
          <cell r="Q420">
            <v>84</v>
          </cell>
          <cell r="R420">
            <v>36</v>
          </cell>
          <cell r="S420">
            <v>60</v>
          </cell>
          <cell r="T420">
            <v>0</v>
          </cell>
          <cell r="U420">
            <v>24</v>
          </cell>
          <cell r="V420">
            <v>69</v>
          </cell>
          <cell r="W420">
            <v>135</v>
          </cell>
          <cell r="X420">
            <v>69</v>
          </cell>
          <cell r="Y420">
            <v>123</v>
          </cell>
          <cell r="Z420">
            <v>0</v>
          </cell>
          <cell r="AA420">
            <v>12</v>
          </cell>
          <cell r="AB420">
            <v>120</v>
          </cell>
          <cell r="AC420">
            <v>96</v>
          </cell>
          <cell r="AD420">
            <v>24</v>
          </cell>
          <cell r="AE420">
            <v>204</v>
          </cell>
          <cell r="AF420">
            <v>192</v>
          </cell>
          <cell r="AG420">
            <v>12</v>
          </cell>
        </row>
        <row r="421">
          <cell r="C421">
            <v>220352</v>
          </cell>
          <cell r="D421" t="str">
            <v>GORDE PATIL PETROLEUM</v>
          </cell>
          <cell r="E421" t="str">
            <v>BPCL</v>
          </cell>
          <cell r="F421" t="str">
            <v>2020-21</v>
          </cell>
          <cell r="G421" t="str">
            <v>Shirdi RSA</v>
          </cell>
          <cell r="J421" t="str">
            <v>GOGALGAON</v>
          </cell>
          <cell r="K421" t="str">
            <v>Ahmednagar</v>
          </cell>
          <cell r="L421" t="str">
            <v>E</v>
          </cell>
          <cell r="O421" t="str">
            <v>B</v>
          </cell>
          <cell r="P421">
            <v>25</v>
          </cell>
          <cell r="Q421">
            <v>175</v>
          </cell>
          <cell r="R421">
            <v>35</v>
          </cell>
          <cell r="S421">
            <v>165</v>
          </cell>
          <cell r="T421">
            <v>-10</v>
          </cell>
          <cell r="U421">
            <v>10</v>
          </cell>
          <cell r="V421">
            <v>45</v>
          </cell>
          <cell r="W421">
            <v>375</v>
          </cell>
          <cell r="X421">
            <v>65</v>
          </cell>
          <cell r="Y421">
            <v>367</v>
          </cell>
          <cell r="Z421">
            <v>-20</v>
          </cell>
          <cell r="AA421">
            <v>8</v>
          </cell>
          <cell r="AB421">
            <v>200</v>
          </cell>
          <cell r="AC421">
            <v>200</v>
          </cell>
          <cell r="AD421">
            <v>0</v>
          </cell>
          <cell r="AE421">
            <v>420</v>
          </cell>
          <cell r="AF421">
            <v>432</v>
          </cell>
          <cell r="AG421">
            <v>-12</v>
          </cell>
        </row>
        <row r="422">
          <cell r="C422">
            <v>220481</v>
          </cell>
          <cell r="D422" t="str">
            <v>AKSHADA PETROLEUM</v>
          </cell>
          <cell r="E422" t="str">
            <v>BPCL</v>
          </cell>
          <cell r="F422" t="str">
            <v>2020-21</v>
          </cell>
          <cell r="G422" t="str">
            <v>Shirdi RSA</v>
          </cell>
          <cell r="J422" t="str">
            <v>KALAS AKOLE</v>
          </cell>
          <cell r="K422" t="str">
            <v>Ahmednagar</v>
          </cell>
          <cell r="L422" t="str">
            <v>D2</v>
          </cell>
          <cell r="O422" t="str">
            <v>B</v>
          </cell>
          <cell r="P422">
            <v>28</v>
          </cell>
          <cell r="Q422">
            <v>72</v>
          </cell>
          <cell r="R422">
            <v>3</v>
          </cell>
          <cell r="S422">
            <v>9</v>
          </cell>
          <cell r="T422">
            <v>25</v>
          </cell>
          <cell r="U422">
            <v>63</v>
          </cell>
          <cell r="V422">
            <v>45</v>
          </cell>
          <cell r="W422">
            <v>123</v>
          </cell>
          <cell r="X422">
            <v>12</v>
          </cell>
          <cell r="Y422">
            <v>36</v>
          </cell>
          <cell r="Z422">
            <v>33</v>
          </cell>
          <cell r="AA422">
            <v>87</v>
          </cell>
          <cell r="AB422">
            <v>100</v>
          </cell>
          <cell r="AC422">
            <v>12</v>
          </cell>
          <cell r="AD422">
            <v>88</v>
          </cell>
          <cell r="AE422">
            <v>168</v>
          </cell>
          <cell r="AF422">
            <v>48</v>
          </cell>
          <cell r="AG422">
            <v>120</v>
          </cell>
        </row>
        <row r="423">
          <cell r="C423">
            <v>220514</v>
          </cell>
          <cell r="D423" t="str">
            <v>GAIKWAD PETROLEUM</v>
          </cell>
          <cell r="E423" t="str">
            <v>BPCL</v>
          </cell>
          <cell r="F423" t="str">
            <v>2020-21</v>
          </cell>
          <cell r="G423" t="str">
            <v>Pimpri Chinchwad RSA</v>
          </cell>
          <cell r="J423" t="str">
            <v>CHAKAN NH-60 RHS</v>
          </cell>
          <cell r="K423" t="str">
            <v>Pune</v>
          </cell>
          <cell r="L423" t="str">
            <v>D1</v>
          </cell>
          <cell r="M423" t="str">
            <v>NH-60</v>
          </cell>
          <cell r="O423" t="str">
            <v>A</v>
          </cell>
          <cell r="P423">
            <v>20</v>
          </cell>
          <cell r="Q423">
            <v>172</v>
          </cell>
          <cell r="R423">
            <v>20</v>
          </cell>
          <cell r="S423">
            <v>178</v>
          </cell>
          <cell r="T423">
            <v>0</v>
          </cell>
          <cell r="U423">
            <v>-6</v>
          </cell>
          <cell r="V423">
            <v>40</v>
          </cell>
          <cell r="W423">
            <v>368</v>
          </cell>
          <cell r="X423">
            <v>50</v>
          </cell>
          <cell r="Y423">
            <v>368</v>
          </cell>
          <cell r="Z423">
            <v>-10</v>
          </cell>
          <cell r="AA423">
            <v>0</v>
          </cell>
          <cell r="AB423">
            <v>192</v>
          </cell>
          <cell r="AC423">
            <v>198</v>
          </cell>
          <cell r="AD423">
            <v>-6</v>
          </cell>
          <cell r="AE423">
            <v>408</v>
          </cell>
          <cell r="AF423">
            <v>418</v>
          </cell>
          <cell r="AG423">
            <v>-10</v>
          </cell>
        </row>
        <row r="424">
          <cell r="C424">
            <v>220515</v>
          </cell>
          <cell r="D424" t="str">
            <v>SARJAA PETROLEUM</v>
          </cell>
          <cell r="E424" t="str">
            <v>BPCL</v>
          </cell>
          <cell r="F424" t="str">
            <v>2020-21</v>
          </cell>
          <cell r="G424" t="str">
            <v>Pune Wagholi RSA</v>
          </cell>
          <cell r="J424" t="str">
            <v>Ghodegaon_Ambegaon</v>
          </cell>
          <cell r="K424" t="str">
            <v>Pune</v>
          </cell>
          <cell r="L424" t="str">
            <v>D2</v>
          </cell>
          <cell r="O424" t="str">
            <v>A</v>
          </cell>
          <cell r="P424">
            <v>65</v>
          </cell>
          <cell r="Q424">
            <v>155</v>
          </cell>
          <cell r="R424">
            <v>59</v>
          </cell>
          <cell r="S424">
            <v>93</v>
          </cell>
          <cell r="T424">
            <v>6</v>
          </cell>
          <cell r="U424">
            <v>62</v>
          </cell>
          <cell r="V424">
            <v>120</v>
          </cell>
          <cell r="W424">
            <v>272</v>
          </cell>
          <cell r="X424">
            <v>110</v>
          </cell>
          <cell r="Y424">
            <v>190</v>
          </cell>
          <cell r="Z424">
            <v>10</v>
          </cell>
          <cell r="AA424">
            <v>82</v>
          </cell>
          <cell r="AB424">
            <v>220</v>
          </cell>
          <cell r="AC424">
            <v>152</v>
          </cell>
          <cell r="AD424">
            <v>68</v>
          </cell>
          <cell r="AE424">
            <v>392</v>
          </cell>
          <cell r="AF424">
            <v>300</v>
          </cell>
          <cell r="AG424">
            <v>92</v>
          </cell>
        </row>
        <row r="425">
          <cell r="C425">
            <v>220663</v>
          </cell>
          <cell r="D425" t="str">
            <v>R K Petrolem</v>
          </cell>
          <cell r="E425" t="str">
            <v>BPCL</v>
          </cell>
          <cell r="F425" t="str">
            <v>2020-21</v>
          </cell>
          <cell r="G425" t="str">
            <v>Pimpri Chinchwad RSA</v>
          </cell>
          <cell r="J425" t="str">
            <v>Talegaon MIDC</v>
          </cell>
          <cell r="K425" t="str">
            <v>Pune</v>
          </cell>
          <cell r="L425" t="str">
            <v>C</v>
          </cell>
          <cell r="O425" t="str">
            <v>B</v>
          </cell>
          <cell r="P425">
            <v>50</v>
          </cell>
          <cell r="Q425">
            <v>202</v>
          </cell>
          <cell r="R425">
            <v>50</v>
          </cell>
          <cell r="S425">
            <v>230</v>
          </cell>
          <cell r="T425">
            <v>0</v>
          </cell>
          <cell r="U425">
            <v>-28</v>
          </cell>
          <cell r="V425">
            <v>95</v>
          </cell>
          <cell r="W425">
            <v>395</v>
          </cell>
          <cell r="X425">
            <v>95</v>
          </cell>
          <cell r="Y425">
            <v>423</v>
          </cell>
          <cell r="Z425">
            <v>0</v>
          </cell>
          <cell r="AA425">
            <v>-28</v>
          </cell>
          <cell r="AB425">
            <v>252</v>
          </cell>
          <cell r="AC425">
            <v>280</v>
          </cell>
          <cell r="AD425">
            <v>-28</v>
          </cell>
          <cell r="AE425">
            <v>490</v>
          </cell>
          <cell r="AF425">
            <v>518</v>
          </cell>
          <cell r="AG425">
            <v>-28</v>
          </cell>
        </row>
        <row r="426">
          <cell r="C426">
            <v>221304</v>
          </cell>
          <cell r="D426" t="str">
            <v>SHREE MAULI PETROLEUM</v>
          </cell>
          <cell r="E426" t="str">
            <v>BPCL</v>
          </cell>
          <cell r="F426" t="str">
            <v>2020-21</v>
          </cell>
          <cell r="G426" t="str">
            <v>Ahmednagar East RSA</v>
          </cell>
          <cell r="J426" t="str">
            <v>Shevgaon</v>
          </cell>
          <cell r="K426" t="str">
            <v>Ahmednagar</v>
          </cell>
          <cell r="L426" t="str">
            <v>D2</v>
          </cell>
          <cell r="O426" t="str">
            <v>A</v>
          </cell>
          <cell r="P426">
            <v>56.5</v>
          </cell>
          <cell r="Q426">
            <v>91.5</v>
          </cell>
          <cell r="R426">
            <v>55</v>
          </cell>
          <cell r="S426">
            <v>114</v>
          </cell>
          <cell r="T426">
            <v>1.5</v>
          </cell>
          <cell r="U426">
            <v>-22.5</v>
          </cell>
          <cell r="V426">
            <v>98</v>
          </cell>
          <cell r="W426">
            <v>174</v>
          </cell>
          <cell r="X426">
            <v>111</v>
          </cell>
          <cell r="Y426">
            <v>218</v>
          </cell>
          <cell r="Z426">
            <v>-13</v>
          </cell>
          <cell r="AA426">
            <v>-44</v>
          </cell>
          <cell r="AB426">
            <v>148</v>
          </cell>
          <cell r="AC426">
            <v>169</v>
          </cell>
          <cell r="AD426">
            <v>-21</v>
          </cell>
          <cell r="AE426">
            <v>272</v>
          </cell>
          <cell r="AF426">
            <v>329</v>
          </cell>
          <cell r="AG426">
            <v>-57</v>
          </cell>
        </row>
        <row r="427">
          <cell r="C427">
            <v>221676</v>
          </cell>
          <cell r="D427" t="str">
            <v>DR. VITTHALRAO VIKHE PATIL SSK LTD.(Resitement)</v>
          </cell>
          <cell r="E427" t="str">
            <v>BPCL</v>
          </cell>
          <cell r="G427" t="str">
            <v>Shirdi RSA</v>
          </cell>
          <cell r="J427" t="str">
            <v>PRAVARA NAGAR</v>
          </cell>
          <cell r="K427" t="str">
            <v>Ahmednagar</v>
          </cell>
          <cell r="L427" t="str">
            <v>E</v>
          </cell>
          <cell r="O427" t="str">
            <v>B</v>
          </cell>
          <cell r="P427">
            <v>0</v>
          </cell>
          <cell r="Q427">
            <v>0</v>
          </cell>
          <cell r="R427">
            <v>3</v>
          </cell>
          <cell r="S427">
            <v>9</v>
          </cell>
          <cell r="T427">
            <v>-3</v>
          </cell>
          <cell r="U427">
            <v>-9</v>
          </cell>
          <cell r="V427">
            <v>0</v>
          </cell>
          <cell r="W427">
            <v>0</v>
          </cell>
          <cell r="X427">
            <v>9</v>
          </cell>
          <cell r="Y427">
            <v>27</v>
          </cell>
          <cell r="Z427">
            <v>-9</v>
          </cell>
          <cell r="AA427">
            <v>-27</v>
          </cell>
          <cell r="AB427">
            <v>0</v>
          </cell>
          <cell r="AC427">
            <v>12</v>
          </cell>
          <cell r="AD427">
            <v>-12</v>
          </cell>
          <cell r="AE427">
            <v>0</v>
          </cell>
          <cell r="AF427">
            <v>36</v>
          </cell>
          <cell r="AG427">
            <v>-36</v>
          </cell>
        </row>
        <row r="428">
          <cell r="C428">
            <v>221708</v>
          </cell>
          <cell r="D428" t="str">
            <v>Suryawanshi Petroleum</v>
          </cell>
          <cell r="E428" t="str">
            <v>BPCL</v>
          </cell>
          <cell r="F428" t="str">
            <v>2020-21</v>
          </cell>
          <cell r="G428" t="str">
            <v>Satara East RSA</v>
          </cell>
          <cell r="J428" t="str">
            <v>Mhaswad not on NH</v>
          </cell>
          <cell r="K428" t="str">
            <v>Satara</v>
          </cell>
          <cell r="L428" t="str">
            <v>E</v>
          </cell>
          <cell r="O428" t="str">
            <v>B</v>
          </cell>
          <cell r="P428">
            <v>99</v>
          </cell>
          <cell r="Q428">
            <v>57</v>
          </cell>
          <cell r="R428">
            <v>105</v>
          </cell>
          <cell r="S428">
            <v>63</v>
          </cell>
          <cell r="T428">
            <v>-6</v>
          </cell>
          <cell r="U428">
            <v>-6</v>
          </cell>
          <cell r="V428">
            <v>177</v>
          </cell>
          <cell r="W428">
            <v>123</v>
          </cell>
          <cell r="X428">
            <v>180</v>
          </cell>
          <cell r="Y428">
            <v>120</v>
          </cell>
          <cell r="Z428">
            <v>-3</v>
          </cell>
          <cell r="AA428">
            <v>3</v>
          </cell>
          <cell r="AB428">
            <v>156</v>
          </cell>
          <cell r="AC428">
            <v>168</v>
          </cell>
          <cell r="AD428">
            <v>-12</v>
          </cell>
          <cell r="AE428">
            <v>300</v>
          </cell>
          <cell r="AF428">
            <v>300</v>
          </cell>
          <cell r="AG428">
            <v>0</v>
          </cell>
        </row>
        <row r="429">
          <cell r="C429">
            <v>221729</v>
          </cell>
          <cell r="D429" t="str">
            <v>Sonam Petroleum</v>
          </cell>
          <cell r="E429" t="str">
            <v>BPCL</v>
          </cell>
          <cell r="F429" t="str">
            <v>2020-21</v>
          </cell>
          <cell r="G429" t="str">
            <v>Satara East RSA</v>
          </cell>
          <cell r="J429" t="str">
            <v>GOPUJ</v>
          </cell>
          <cell r="K429" t="str">
            <v>Satara</v>
          </cell>
          <cell r="L429" t="str">
            <v>E</v>
          </cell>
          <cell r="O429" t="str">
            <v>B</v>
          </cell>
          <cell r="P429">
            <v>29.5</v>
          </cell>
          <cell r="Q429">
            <v>36.5</v>
          </cell>
          <cell r="R429">
            <v>24</v>
          </cell>
          <cell r="S429">
            <v>36</v>
          </cell>
          <cell r="T429">
            <v>5.5</v>
          </cell>
          <cell r="U429">
            <v>0.5</v>
          </cell>
          <cell r="V429">
            <v>52.5</v>
          </cell>
          <cell r="W429">
            <v>79.5</v>
          </cell>
          <cell r="X429">
            <v>51</v>
          </cell>
          <cell r="Y429">
            <v>81</v>
          </cell>
          <cell r="Z429">
            <v>1.5</v>
          </cell>
          <cell r="AA429">
            <v>-1.5</v>
          </cell>
          <cell r="AB429">
            <v>66</v>
          </cell>
          <cell r="AC429">
            <v>60</v>
          </cell>
          <cell r="AD429">
            <v>6</v>
          </cell>
          <cell r="AE429">
            <v>132</v>
          </cell>
          <cell r="AF429">
            <v>132</v>
          </cell>
          <cell r="AG429">
            <v>0</v>
          </cell>
        </row>
        <row r="430">
          <cell r="C430">
            <v>263416</v>
          </cell>
          <cell r="D430" t="str">
            <v>M.P.AUTOMOBILE ADHOC (J P PETROLEUM ADHOC (KISAN BOREWELL CO ADHOC-246739 (222037 R.M. DESAI &amp; CO ADHOC/222037 J P PETROLEUM ADHOC : KAMAL SERV CENTRE- TERMINATED (163872)))</v>
          </cell>
          <cell r="E430" t="str">
            <v>BPCL</v>
          </cell>
          <cell r="G430" t="str">
            <v>Satara East RSA</v>
          </cell>
          <cell r="J430" t="str">
            <v>Nhavi Budruk</v>
          </cell>
          <cell r="K430" t="str">
            <v>Satara</v>
          </cell>
          <cell r="L430" t="str">
            <v>E</v>
          </cell>
          <cell r="O430" t="str">
            <v>A</v>
          </cell>
          <cell r="P430">
            <v>30</v>
          </cell>
          <cell r="Q430">
            <v>36</v>
          </cell>
          <cell r="R430">
            <v>41</v>
          </cell>
          <cell r="S430">
            <v>59</v>
          </cell>
          <cell r="T430">
            <v>-11</v>
          </cell>
          <cell r="U430">
            <v>-23</v>
          </cell>
          <cell r="V430">
            <v>45</v>
          </cell>
          <cell r="W430">
            <v>61</v>
          </cell>
          <cell r="X430">
            <v>84</v>
          </cell>
          <cell r="Y430">
            <v>112</v>
          </cell>
          <cell r="Z430">
            <v>-39</v>
          </cell>
          <cell r="AA430">
            <v>-51</v>
          </cell>
          <cell r="AB430">
            <v>66</v>
          </cell>
          <cell r="AC430">
            <v>100</v>
          </cell>
          <cell r="AD430">
            <v>-34</v>
          </cell>
          <cell r="AE430">
            <v>106</v>
          </cell>
          <cell r="AF430">
            <v>196</v>
          </cell>
          <cell r="AG430">
            <v>-90</v>
          </cell>
        </row>
        <row r="431">
          <cell r="C431">
            <v>222081</v>
          </cell>
          <cell r="D431" t="str">
            <v>JAGDAMB PETROLEUM</v>
          </cell>
          <cell r="E431" t="str">
            <v>BPCL</v>
          </cell>
          <cell r="F431" t="str">
            <v>2020-21</v>
          </cell>
          <cell r="G431" t="str">
            <v>Ahmednagar East RSA</v>
          </cell>
          <cell r="J431" t="str">
            <v>Salbatpur</v>
          </cell>
          <cell r="K431" t="str">
            <v>Ahmednagar</v>
          </cell>
          <cell r="L431" t="str">
            <v>E</v>
          </cell>
          <cell r="O431" t="str">
            <v>B</v>
          </cell>
          <cell r="P431">
            <v>36.5</v>
          </cell>
          <cell r="Q431">
            <v>91.5</v>
          </cell>
          <cell r="R431">
            <v>35</v>
          </cell>
          <cell r="S431">
            <v>74</v>
          </cell>
          <cell r="T431">
            <v>1.5</v>
          </cell>
          <cell r="U431">
            <v>17.5</v>
          </cell>
          <cell r="V431">
            <v>71.5</v>
          </cell>
          <cell r="W431">
            <v>154.5</v>
          </cell>
          <cell r="X431">
            <v>66</v>
          </cell>
          <cell r="Y431">
            <v>139</v>
          </cell>
          <cell r="Z431">
            <v>5.5</v>
          </cell>
          <cell r="AA431">
            <v>15.5</v>
          </cell>
          <cell r="AB431">
            <v>128</v>
          </cell>
          <cell r="AC431">
            <v>109</v>
          </cell>
          <cell r="AD431">
            <v>19</v>
          </cell>
          <cell r="AE431">
            <v>226</v>
          </cell>
          <cell r="AF431">
            <v>205</v>
          </cell>
          <cell r="AG431">
            <v>21</v>
          </cell>
        </row>
        <row r="432">
          <cell r="C432">
            <v>222273</v>
          </cell>
          <cell r="D432" t="str">
            <v>KISANGIRI PETROLEUM</v>
          </cell>
          <cell r="E432" t="str">
            <v>BPCL</v>
          </cell>
          <cell r="F432" t="str">
            <v>2020-21</v>
          </cell>
          <cell r="G432" t="str">
            <v>Ahmednagar East RSA</v>
          </cell>
          <cell r="J432" t="str">
            <v>Khupati</v>
          </cell>
          <cell r="K432" t="str">
            <v>Ahmednagar</v>
          </cell>
          <cell r="L432" t="str">
            <v>D2</v>
          </cell>
          <cell r="O432" t="str">
            <v>B</v>
          </cell>
          <cell r="P432">
            <v>34</v>
          </cell>
          <cell r="Q432">
            <v>88</v>
          </cell>
          <cell r="R432">
            <v>35</v>
          </cell>
          <cell r="S432">
            <v>68</v>
          </cell>
          <cell r="T432">
            <v>-1</v>
          </cell>
          <cell r="U432">
            <v>20</v>
          </cell>
          <cell r="V432">
            <v>61.5</v>
          </cell>
          <cell r="W432">
            <v>146.5</v>
          </cell>
          <cell r="X432">
            <v>70</v>
          </cell>
          <cell r="Y432">
            <v>135</v>
          </cell>
          <cell r="Z432">
            <v>-8.5</v>
          </cell>
          <cell r="AA432">
            <v>11.5</v>
          </cell>
          <cell r="AB432">
            <v>122</v>
          </cell>
          <cell r="AC432">
            <v>103</v>
          </cell>
          <cell r="AD432">
            <v>19</v>
          </cell>
          <cell r="AE432">
            <v>208</v>
          </cell>
          <cell r="AF432">
            <v>205</v>
          </cell>
          <cell r="AG432">
            <v>3</v>
          </cell>
        </row>
        <row r="433">
          <cell r="C433">
            <v>222347</v>
          </cell>
          <cell r="D433" t="str">
            <v>SHRI SADGURU KRUPA PETROLEUM</v>
          </cell>
          <cell r="E433" t="str">
            <v>BPCL</v>
          </cell>
          <cell r="F433" t="str">
            <v>2020-21</v>
          </cell>
          <cell r="G433" t="str">
            <v>Pune City RSA</v>
          </cell>
          <cell r="J433" t="str">
            <v>WANWORIE</v>
          </cell>
          <cell r="K433" t="str">
            <v>Pune</v>
          </cell>
          <cell r="L433" t="str">
            <v>A</v>
          </cell>
          <cell r="O433" t="str">
            <v>A</v>
          </cell>
          <cell r="P433">
            <v>164</v>
          </cell>
          <cell r="Q433">
            <v>66</v>
          </cell>
          <cell r="R433">
            <v>138</v>
          </cell>
          <cell r="S433">
            <v>60</v>
          </cell>
          <cell r="T433">
            <v>26</v>
          </cell>
          <cell r="U433">
            <v>6</v>
          </cell>
          <cell r="V433">
            <v>340</v>
          </cell>
          <cell r="W433">
            <v>144</v>
          </cell>
          <cell r="X433">
            <v>290</v>
          </cell>
          <cell r="Y433">
            <v>128</v>
          </cell>
          <cell r="Z433">
            <v>50</v>
          </cell>
          <cell r="AA433">
            <v>16</v>
          </cell>
          <cell r="AB433">
            <v>230</v>
          </cell>
          <cell r="AC433">
            <v>198</v>
          </cell>
          <cell r="AD433">
            <v>32</v>
          </cell>
          <cell r="AE433">
            <v>484</v>
          </cell>
          <cell r="AF433">
            <v>418</v>
          </cell>
          <cell r="AG433">
            <v>66</v>
          </cell>
        </row>
        <row r="434">
          <cell r="C434">
            <v>223428</v>
          </cell>
          <cell r="D434" t="str">
            <v>JYOTIRLING PETROLEUM</v>
          </cell>
          <cell r="E434" t="str">
            <v>BPCL</v>
          </cell>
          <cell r="F434" t="str">
            <v>2020-21</v>
          </cell>
          <cell r="G434" t="str">
            <v>Pune Saswad RSA</v>
          </cell>
          <cell r="J434" t="str">
            <v>Gulunche</v>
          </cell>
          <cell r="K434" t="str">
            <v>Pune</v>
          </cell>
          <cell r="L434" t="str">
            <v>D1</v>
          </cell>
          <cell r="M434" t="str">
            <v>NH-965D</v>
          </cell>
          <cell r="O434" t="str">
            <v>B</v>
          </cell>
          <cell r="P434">
            <v>7</v>
          </cell>
          <cell r="Q434">
            <v>53</v>
          </cell>
          <cell r="R434">
            <v>13</v>
          </cell>
          <cell r="S434">
            <v>47</v>
          </cell>
          <cell r="T434">
            <v>-6</v>
          </cell>
          <cell r="U434">
            <v>6</v>
          </cell>
          <cell r="V434">
            <v>20</v>
          </cell>
          <cell r="W434">
            <v>100</v>
          </cell>
          <cell r="X434">
            <v>22</v>
          </cell>
          <cell r="Y434">
            <v>86</v>
          </cell>
          <cell r="Z434">
            <v>-2</v>
          </cell>
          <cell r="AA434">
            <v>14</v>
          </cell>
          <cell r="AB434">
            <v>60</v>
          </cell>
          <cell r="AC434">
            <v>60</v>
          </cell>
          <cell r="AD434">
            <v>0</v>
          </cell>
          <cell r="AE434">
            <v>120</v>
          </cell>
          <cell r="AF434">
            <v>108</v>
          </cell>
          <cell r="AG434">
            <v>12</v>
          </cell>
        </row>
        <row r="435">
          <cell r="C435">
            <v>223586</v>
          </cell>
          <cell r="D435" t="str">
            <v>SHASHIKALA ENTERPRISES</v>
          </cell>
          <cell r="E435" t="str">
            <v>BPCL</v>
          </cell>
          <cell r="F435" t="str">
            <v>2020-21</v>
          </cell>
          <cell r="G435" t="str">
            <v>Pune Saswad RSA</v>
          </cell>
          <cell r="J435" t="str">
            <v>JEJURI DHALEWADI ROAD</v>
          </cell>
          <cell r="K435" t="str">
            <v>Pune</v>
          </cell>
          <cell r="L435" t="str">
            <v>E</v>
          </cell>
          <cell r="O435" t="str">
            <v>B</v>
          </cell>
          <cell r="P435">
            <v>20</v>
          </cell>
          <cell r="Q435">
            <v>64</v>
          </cell>
          <cell r="R435">
            <v>20</v>
          </cell>
          <cell r="S435">
            <v>60</v>
          </cell>
          <cell r="T435">
            <v>0</v>
          </cell>
          <cell r="U435">
            <v>4</v>
          </cell>
          <cell r="V435">
            <v>39</v>
          </cell>
          <cell r="W435">
            <v>117</v>
          </cell>
          <cell r="X435">
            <v>40</v>
          </cell>
          <cell r="Y435">
            <v>120</v>
          </cell>
          <cell r="Z435">
            <v>-1</v>
          </cell>
          <cell r="AA435">
            <v>-3</v>
          </cell>
          <cell r="AB435">
            <v>84</v>
          </cell>
          <cell r="AC435">
            <v>80</v>
          </cell>
          <cell r="AD435">
            <v>4</v>
          </cell>
          <cell r="AE435">
            <v>156</v>
          </cell>
          <cell r="AF435">
            <v>160</v>
          </cell>
          <cell r="AG435">
            <v>-4</v>
          </cell>
        </row>
        <row r="436">
          <cell r="C436">
            <v>224652</v>
          </cell>
          <cell r="D436" t="str">
            <v>D P LANDGE PETROLEUM</v>
          </cell>
          <cell r="E436" t="str">
            <v>BPCL</v>
          </cell>
          <cell r="F436" t="str">
            <v>2020-21</v>
          </cell>
          <cell r="G436" t="str">
            <v>Pimpri Chinchwad RSA</v>
          </cell>
          <cell r="J436" t="str">
            <v>Bhosari</v>
          </cell>
          <cell r="K436" t="str">
            <v>Pune</v>
          </cell>
          <cell r="L436" t="str">
            <v>A</v>
          </cell>
          <cell r="O436" t="str">
            <v>B</v>
          </cell>
          <cell r="P436">
            <v>99</v>
          </cell>
          <cell r="Q436">
            <v>117</v>
          </cell>
          <cell r="R436">
            <v>95</v>
          </cell>
          <cell r="S436">
            <v>103</v>
          </cell>
          <cell r="T436">
            <v>4</v>
          </cell>
          <cell r="U436">
            <v>14</v>
          </cell>
          <cell r="V436">
            <v>174</v>
          </cell>
          <cell r="W436">
            <v>234</v>
          </cell>
          <cell r="X436">
            <v>191</v>
          </cell>
          <cell r="Y436">
            <v>211</v>
          </cell>
          <cell r="Z436">
            <v>-17</v>
          </cell>
          <cell r="AA436">
            <v>23</v>
          </cell>
          <cell r="AB436">
            <v>216</v>
          </cell>
          <cell r="AC436">
            <v>198</v>
          </cell>
          <cell r="AD436">
            <v>18</v>
          </cell>
          <cell r="AE436">
            <v>408</v>
          </cell>
          <cell r="AF436">
            <v>402</v>
          </cell>
          <cell r="AG436">
            <v>6</v>
          </cell>
        </row>
        <row r="437">
          <cell r="C437">
            <v>224776</v>
          </cell>
          <cell r="D437" t="str">
            <v>SHREE SADGURU PETROLEUM</v>
          </cell>
          <cell r="E437" t="str">
            <v>BPCL</v>
          </cell>
          <cell r="F437" t="str">
            <v>2020-21</v>
          </cell>
          <cell r="G437" t="str">
            <v>Pune City RSA</v>
          </cell>
          <cell r="J437" t="str">
            <v>GHOTAWADE</v>
          </cell>
          <cell r="K437" t="str">
            <v>Pune</v>
          </cell>
          <cell r="L437" t="str">
            <v>D2</v>
          </cell>
          <cell r="O437" t="str">
            <v>B</v>
          </cell>
          <cell r="P437">
            <v>112</v>
          </cell>
          <cell r="Q437">
            <v>212</v>
          </cell>
          <cell r="R437">
            <v>97</v>
          </cell>
          <cell r="S437">
            <v>159</v>
          </cell>
          <cell r="T437">
            <v>15</v>
          </cell>
          <cell r="U437">
            <v>53</v>
          </cell>
          <cell r="V437">
            <v>197</v>
          </cell>
          <cell r="W437">
            <v>367</v>
          </cell>
          <cell r="X437">
            <v>189</v>
          </cell>
          <cell r="Y437">
            <v>303</v>
          </cell>
          <cell r="Z437">
            <v>8</v>
          </cell>
          <cell r="AA437">
            <v>64</v>
          </cell>
          <cell r="AB437">
            <v>324</v>
          </cell>
          <cell r="AC437">
            <v>256</v>
          </cell>
          <cell r="AD437">
            <v>68</v>
          </cell>
          <cell r="AE437">
            <v>564</v>
          </cell>
          <cell r="AF437">
            <v>492</v>
          </cell>
          <cell r="AG437">
            <v>72</v>
          </cell>
        </row>
        <row r="438">
          <cell r="C438">
            <v>225015</v>
          </cell>
          <cell r="D438" t="str">
            <v>JB PETROLEUM</v>
          </cell>
          <cell r="E438" t="str">
            <v>BPCL</v>
          </cell>
          <cell r="F438" t="str">
            <v>2020-21</v>
          </cell>
          <cell r="G438" t="str">
            <v>Satara West RSA</v>
          </cell>
          <cell r="J438" t="str">
            <v>Bhuinj to Satara</v>
          </cell>
          <cell r="K438" t="str">
            <v>Satara</v>
          </cell>
          <cell r="L438" t="str">
            <v>D1</v>
          </cell>
          <cell r="M438" t="str">
            <v>NH-48</v>
          </cell>
          <cell r="O438" t="str">
            <v>B</v>
          </cell>
          <cell r="P438">
            <v>43</v>
          </cell>
          <cell r="Q438">
            <v>63</v>
          </cell>
          <cell r="R438">
            <v>55</v>
          </cell>
          <cell r="S438">
            <v>77</v>
          </cell>
          <cell r="T438">
            <v>-12</v>
          </cell>
          <cell r="U438">
            <v>-14</v>
          </cell>
          <cell r="V438">
            <v>73</v>
          </cell>
          <cell r="W438">
            <v>117</v>
          </cell>
          <cell r="X438">
            <v>91</v>
          </cell>
          <cell r="Y438">
            <v>137</v>
          </cell>
          <cell r="Z438">
            <v>-18</v>
          </cell>
          <cell r="AA438">
            <v>-20</v>
          </cell>
          <cell r="AB438">
            <v>106</v>
          </cell>
          <cell r="AC438">
            <v>132</v>
          </cell>
          <cell r="AD438">
            <v>-26</v>
          </cell>
          <cell r="AE438">
            <v>190</v>
          </cell>
          <cell r="AF438">
            <v>228</v>
          </cell>
          <cell r="AG438">
            <v>-38</v>
          </cell>
        </row>
        <row r="439">
          <cell r="C439">
            <v>225344</v>
          </cell>
          <cell r="D439" t="str">
            <v>RAMESHWAR PETROLEUM</v>
          </cell>
          <cell r="E439" t="str">
            <v>BPCL</v>
          </cell>
          <cell r="F439" t="str">
            <v>2020-21</v>
          </cell>
          <cell r="G439" t="str">
            <v>Ahmednagar West RSA</v>
          </cell>
          <cell r="J439" t="str">
            <v>Parner Balavani Rd</v>
          </cell>
          <cell r="K439" t="str">
            <v>Ahmednagar</v>
          </cell>
          <cell r="L439" t="str">
            <v>E</v>
          </cell>
          <cell r="O439" t="str">
            <v>B</v>
          </cell>
          <cell r="P439">
            <v>13.5</v>
          </cell>
          <cell r="Q439">
            <v>32.5</v>
          </cell>
          <cell r="R439">
            <v>14</v>
          </cell>
          <cell r="S439">
            <v>27</v>
          </cell>
          <cell r="T439">
            <v>-0.5</v>
          </cell>
          <cell r="U439">
            <v>5.5</v>
          </cell>
          <cell r="V439">
            <v>35.5</v>
          </cell>
          <cell r="W439">
            <v>64.5</v>
          </cell>
          <cell r="X439">
            <v>27</v>
          </cell>
          <cell r="Y439">
            <v>53</v>
          </cell>
          <cell r="Z439">
            <v>8.5</v>
          </cell>
          <cell r="AA439">
            <v>11.5</v>
          </cell>
          <cell r="AB439">
            <v>46</v>
          </cell>
          <cell r="AC439">
            <v>41</v>
          </cell>
          <cell r="AD439">
            <v>5</v>
          </cell>
          <cell r="AE439">
            <v>100</v>
          </cell>
          <cell r="AF439">
            <v>80</v>
          </cell>
          <cell r="AG439">
            <v>20</v>
          </cell>
        </row>
        <row r="440">
          <cell r="C440">
            <v>225346</v>
          </cell>
          <cell r="D440" t="str">
            <v>SHREE RAM PETROLEUM ADHOC / C B PETROLEUM (150335)</v>
          </cell>
          <cell r="E440" t="str">
            <v>BPCL</v>
          </cell>
          <cell r="G440" t="str">
            <v>Satara West RSA</v>
          </cell>
          <cell r="J440" t="str">
            <v>MALHARPETH TO NADE</v>
          </cell>
          <cell r="K440" t="str">
            <v>Satara</v>
          </cell>
          <cell r="L440" t="str">
            <v>D1</v>
          </cell>
          <cell r="M440" t="str">
            <v>NH-166E</v>
          </cell>
          <cell r="O440" t="str">
            <v>B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C441">
            <v>225347</v>
          </cell>
          <cell r="D441" t="str">
            <v>SHIVPARVATI FUELS</v>
          </cell>
          <cell r="E441" t="str">
            <v>BPCL</v>
          </cell>
          <cell r="F441" t="str">
            <v>2020-21</v>
          </cell>
          <cell r="G441" t="str">
            <v>Ahmednagar West RSA</v>
          </cell>
          <cell r="J441" t="str">
            <v>SHRIGONDA-MDR</v>
          </cell>
          <cell r="K441" t="str">
            <v>Ahmednagar</v>
          </cell>
          <cell r="L441" t="str">
            <v>C</v>
          </cell>
          <cell r="O441" t="str">
            <v>B</v>
          </cell>
          <cell r="P441">
            <v>42</v>
          </cell>
          <cell r="Q441">
            <v>140</v>
          </cell>
          <cell r="R441">
            <v>46</v>
          </cell>
          <cell r="S441">
            <v>81</v>
          </cell>
          <cell r="T441">
            <v>-4</v>
          </cell>
          <cell r="U441">
            <v>59</v>
          </cell>
          <cell r="V441">
            <v>80.5</v>
          </cell>
          <cell r="W441">
            <v>199.5</v>
          </cell>
          <cell r="X441">
            <v>92</v>
          </cell>
          <cell r="Y441">
            <v>162</v>
          </cell>
          <cell r="Z441">
            <v>-11.5</v>
          </cell>
          <cell r="AA441">
            <v>37.5</v>
          </cell>
          <cell r="AB441">
            <v>182</v>
          </cell>
          <cell r="AC441">
            <v>127</v>
          </cell>
          <cell r="AD441">
            <v>55</v>
          </cell>
          <cell r="AE441">
            <v>280</v>
          </cell>
          <cell r="AF441">
            <v>254</v>
          </cell>
          <cell r="AG441">
            <v>26</v>
          </cell>
        </row>
        <row r="442">
          <cell r="C442">
            <v>225384</v>
          </cell>
          <cell r="D442" t="str">
            <v>LONKAR PETROLEUM</v>
          </cell>
          <cell r="E442" t="str">
            <v>BPCL</v>
          </cell>
          <cell r="F442" t="str">
            <v>2020-21</v>
          </cell>
          <cell r="G442" t="str">
            <v>Pune Hadapsar RSA</v>
          </cell>
          <cell r="J442" t="str">
            <v>Manjari</v>
          </cell>
          <cell r="K442" t="str">
            <v>Pune</v>
          </cell>
          <cell r="L442" t="str">
            <v>A</v>
          </cell>
          <cell r="O442" t="str">
            <v>A</v>
          </cell>
          <cell r="P442">
            <v>295</v>
          </cell>
          <cell r="Q442">
            <v>105</v>
          </cell>
          <cell r="R442">
            <v>255</v>
          </cell>
          <cell r="S442">
            <v>85</v>
          </cell>
          <cell r="T442">
            <v>40</v>
          </cell>
          <cell r="U442">
            <v>20</v>
          </cell>
          <cell r="V442">
            <v>557</v>
          </cell>
          <cell r="W442">
            <v>197</v>
          </cell>
          <cell r="X442">
            <v>535</v>
          </cell>
          <cell r="Y442">
            <v>165</v>
          </cell>
          <cell r="Z442">
            <v>22</v>
          </cell>
          <cell r="AA442">
            <v>32</v>
          </cell>
          <cell r="AB442">
            <v>400</v>
          </cell>
          <cell r="AC442">
            <v>340</v>
          </cell>
          <cell r="AD442">
            <v>60</v>
          </cell>
          <cell r="AE442">
            <v>754</v>
          </cell>
          <cell r="AF442">
            <v>700</v>
          </cell>
          <cell r="AG442">
            <v>54</v>
          </cell>
        </row>
        <row r="443">
          <cell r="C443">
            <v>225546</v>
          </cell>
          <cell r="D443" t="str">
            <v>ANUP PETROLEUM</v>
          </cell>
          <cell r="E443" t="str">
            <v>BPCL</v>
          </cell>
          <cell r="F443" t="str">
            <v>2020-21</v>
          </cell>
          <cell r="G443" t="str">
            <v>Pune Tathawade RSA</v>
          </cell>
          <cell r="J443" t="str">
            <v>KHEDSHIVAPUR TO HARISHCHANDRI</v>
          </cell>
          <cell r="K443" t="str">
            <v>Pune</v>
          </cell>
          <cell r="L443" t="str">
            <v>D1</v>
          </cell>
          <cell r="M443" t="str">
            <v>NH-48</v>
          </cell>
          <cell r="O443" t="str">
            <v>A</v>
          </cell>
          <cell r="P443">
            <v>49</v>
          </cell>
          <cell r="Q443">
            <v>119</v>
          </cell>
          <cell r="R443">
            <v>32</v>
          </cell>
          <cell r="S443">
            <v>76</v>
          </cell>
          <cell r="T443">
            <v>17</v>
          </cell>
          <cell r="U443">
            <v>43</v>
          </cell>
          <cell r="V443">
            <v>90</v>
          </cell>
          <cell r="W443">
            <v>230</v>
          </cell>
          <cell r="X443">
            <v>65</v>
          </cell>
          <cell r="Y443">
            <v>175</v>
          </cell>
          <cell r="Z443">
            <v>25</v>
          </cell>
          <cell r="AA443">
            <v>55</v>
          </cell>
          <cell r="AB443">
            <v>168</v>
          </cell>
          <cell r="AC443">
            <v>108</v>
          </cell>
          <cell r="AD443">
            <v>60</v>
          </cell>
          <cell r="AE443">
            <v>320</v>
          </cell>
          <cell r="AF443">
            <v>240</v>
          </cell>
          <cell r="AG443">
            <v>80</v>
          </cell>
        </row>
        <row r="444">
          <cell r="C444">
            <v>225547</v>
          </cell>
          <cell r="D444" t="str">
            <v>WAGHJAI PETROLEUM</v>
          </cell>
          <cell r="E444" t="str">
            <v>BPCL</v>
          </cell>
          <cell r="F444" t="str">
            <v>2020-21</v>
          </cell>
          <cell r="G444" t="str">
            <v>Pimpri Chinchwad RSA</v>
          </cell>
          <cell r="J444" t="str">
            <v>Moshi</v>
          </cell>
          <cell r="K444" t="str">
            <v>Pune</v>
          </cell>
          <cell r="L444" t="str">
            <v>A</v>
          </cell>
          <cell r="O444" t="str">
            <v>A</v>
          </cell>
          <cell r="P444">
            <v>279</v>
          </cell>
          <cell r="Q444">
            <v>327</v>
          </cell>
          <cell r="R444">
            <v>245</v>
          </cell>
          <cell r="S444">
            <v>357</v>
          </cell>
          <cell r="T444">
            <v>34</v>
          </cell>
          <cell r="U444">
            <v>-30</v>
          </cell>
          <cell r="V444">
            <v>509</v>
          </cell>
          <cell r="W444">
            <v>711</v>
          </cell>
          <cell r="X444">
            <v>485</v>
          </cell>
          <cell r="Y444">
            <v>679</v>
          </cell>
          <cell r="Z444">
            <v>24</v>
          </cell>
          <cell r="AA444">
            <v>32</v>
          </cell>
          <cell r="AB444">
            <v>606</v>
          </cell>
          <cell r="AC444">
            <v>602</v>
          </cell>
          <cell r="AD444">
            <v>4</v>
          </cell>
          <cell r="AE444">
            <v>1220</v>
          </cell>
          <cell r="AF444">
            <v>1164</v>
          </cell>
          <cell r="AG444">
            <v>56</v>
          </cell>
        </row>
        <row r="445">
          <cell r="C445">
            <v>225653</v>
          </cell>
          <cell r="D445" t="str">
            <v>GORE PETROLEUM</v>
          </cell>
          <cell r="E445" t="str">
            <v>BPCL</v>
          </cell>
          <cell r="F445" t="str">
            <v>2020-21</v>
          </cell>
          <cell r="G445" t="str">
            <v>Shirdi RSA</v>
          </cell>
          <cell r="J445" t="str">
            <v>BHERADAPUR</v>
          </cell>
          <cell r="K445" t="str">
            <v>Ahmednagar</v>
          </cell>
          <cell r="L445" t="str">
            <v>E</v>
          </cell>
          <cell r="O445" t="str">
            <v>B</v>
          </cell>
          <cell r="P445">
            <v>29.5</v>
          </cell>
          <cell r="Q445">
            <v>59.5</v>
          </cell>
          <cell r="R445">
            <v>38</v>
          </cell>
          <cell r="S445">
            <v>85</v>
          </cell>
          <cell r="T445">
            <v>-8.5</v>
          </cell>
          <cell r="U445">
            <v>-25.5</v>
          </cell>
          <cell r="V445">
            <v>54.5</v>
          </cell>
          <cell r="W445">
            <v>110.5</v>
          </cell>
          <cell r="X445">
            <v>70</v>
          </cell>
          <cell r="Y445">
            <v>143</v>
          </cell>
          <cell r="Z445">
            <v>-15.5</v>
          </cell>
          <cell r="AA445">
            <v>-32.5</v>
          </cell>
          <cell r="AB445">
            <v>89</v>
          </cell>
          <cell r="AC445">
            <v>123</v>
          </cell>
          <cell r="AD445">
            <v>-34</v>
          </cell>
          <cell r="AE445">
            <v>165</v>
          </cell>
          <cell r="AF445">
            <v>213</v>
          </cell>
          <cell r="AG445">
            <v>-48</v>
          </cell>
        </row>
        <row r="446">
          <cell r="C446">
            <v>225809</v>
          </cell>
          <cell r="D446" t="str">
            <v>WANDHEKAR FUEL STATION</v>
          </cell>
          <cell r="E446" t="str">
            <v>BPCL</v>
          </cell>
          <cell r="F446" t="str">
            <v>2020-21</v>
          </cell>
          <cell r="G446" t="str">
            <v>Pune Saswad RSA</v>
          </cell>
          <cell r="J446" t="str">
            <v>Saswad-Bopdev-Pune Road</v>
          </cell>
          <cell r="K446" t="str">
            <v>Pune</v>
          </cell>
          <cell r="L446" t="str">
            <v>D2</v>
          </cell>
          <cell r="O446" t="str">
            <v>B</v>
          </cell>
          <cell r="P446">
            <v>84</v>
          </cell>
          <cell r="Q446">
            <v>108</v>
          </cell>
          <cell r="R446">
            <v>79</v>
          </cell>
          <cell r="S446">
            <v>109</v>
          </cell>
          <cell r="T446">
            <v>5</v>
          </cell>
          <cell r="U446">
            <v>-1</v>
          </cell>
          <cell r="V446">
            <v>160</v>
          </cell>
          <cell r="W446">
            <v>190</v>
          </cell>
          <cell r="X446">
            <v>161</v>
          </cell>
          <cell r="Y446">
            <v>207</v>
          </cell>
          <cell r="Z446">
            <v>-1</v>
          </cell>
          <cell r="AA446">
            <v>-17</v>
          </cell>
          <cell r="AB446">
            <v>192</v>
          </cell>
          <cell r="AC446">
            <v>188</v>
          </cell>
          <cell r="AD446">
            <v>4</v>
          </cell>
          <cell r="AE446">
            <v>350</v>
          </cell>
          <cell r="AF446">
            <v>368</v>
          </cell>
          <cell r="AG446">
            <v>-18</v>
          </cell>
        </row>
        <row r="447">
          <cell r="C447">
            <v>225959</v>
          </cell>
          <cell r="D447" t="str">
            <v>SHRI SWAMI SAMARTH PETROLEUM</v>
          </cell>
          <cell r="E447" t="str">
            <v>BPCL</v>
          </cell>
          <cell r="F447" t="str">
            <v>2020-21</v>
          </cell>
          <cell r="G447" t="str">
            <v>Pune Hadapsar RSA</v>
          </cell>
          <cell r="J447" t="str">
            <v>SAHAJPUR</v>
          </cell>
          <cell r="K447" t="str">
            <v>Pune</v>
          </cell>
          <cell r="L447" t="str">
            <v>E</v>
          </cell>
          <cell r="O447" t="str">
            <v>B</v>
          </cell>
          <cell r="P447">
            <v>19</v>
          </cell>
          <cell r="Q447">
            <v>169</v>
          </cell>
          <cell r="R447">
            <v>17</v>
          </cell>
          <cell r="S447">
            <v>99</v>
          </cell>
          <cell r="T447">
            <v>2</v>
          </cell>
          <cell r="U447">
            <v>70</v>
          </cell>
          <cell r="V447">
            <v>37</v>
          </cell>
          <cell r="W447">
            <v>307</v>
          </cell>
          <cell r="X447">
            <v>29</v>
          </cell>
          <cell r="Y447">
            <v>195</v>
          </cell>
          <cell r="Z447">
            <v>8</v>
          </cell>
          <cell r="AA447">
            <v>112</v>
          </cell>
          <cell r="AB447">
            <v>188</v>
          </cell>
          <cell r="AC447">
            <v>116</v>
          </cell>
          <cell r="AD447">
            <v>72</v>
          </cell>
          <cell r="AE447">
            <v>344</v>
          </cell>
          <cell r="AF447">
            <v>224</v>
          </cell>
          <cell r="AG447">
            <v>120</v>
          </cell>
        </row>
        <row r="448">
          <cell r="C448">
            <v>226960</v>
          </cell>
          <cell r="D448" t="str">
            <v>SP PR WELFARE PETROL PUMP</v>
          </cell>
          <cell r="E448" t="str">
            <v>BPCL</v>
          </cell>
          <cell r="F448" t="str">
            <v>2021-22</v>
          </cell>
          <cell r="G448" t="str">
            <v>Pune City RSA</v>
          </cell>
          <cell r="J448" t="str">
            <v>BANER</v>
          </cell>
          <cell r="K448" t="str">
            <v>Pune</v>
          </cell>
          <cell r="L448" t="str">
            <v>A</v>
          </cell>
          <cell r="O448" t="str">
            <v>B</v>
          </cell>
          <cell r="P448">
            <v>290</v>
          </cell>
          <cell r="Q448">
            <v>157</v>
          </cell>
          <cell r="R448">
            <v>170</v>
          </cell>
          <cell r="S448">
            <v>83</v>
          </cell>
          <cell r="T448">
            <v>120</v>
          </cell>
          <cell r="U448">
            <v>74</v>
          </cell>
          <cell r="V448">
            <v>555</v>
          </cell>
          <cell r="W448">
            <v>293</v>
          </cell>
          <cell r="X448">
            <v>314</v>
          </cell>
          <cell r="Y448">
            <v>154</v>
          </cell>
          <cell r="Z448">
            <v>241</v>
          </cell>
          <cell r="AA448">
            <v>139</v>
          </cell>
          <cell r="AB448">
            <v>447</v>
          </cell>
          <cell r="AC448">
            <v>253</v>
          </cell>
          <cell r="AD448">
            <v>194</v>
          </cell>
          <cell r="AE448">
            <v>848</v>
          </cell>
          <cell r="AF448">
            <v>468</v>
          </cell>
          <cell r="AG448">
            <v>380</v>
          </cell>
        </row>
        <row r="449">
          <cell r="C449">
            <v>227012</v>
          </cell>
          <cell r="D449" t="str">
            <v>SP PR WELFARE PETROL PUMP</v>
          </cell>
          <cell r="E449" t="str">
            <v>BPCL</v>
          </cell>
          <cell r="F449" t="str">
            <v>2021-22</v>
          </cell>
          <cell r="G449" t="str">
            <v>Pune City RSA</v>
          </cell>
          <cell r="J449" t="str">
            <v>BANER</v>
          </cell>
          <cell r="K449" t="str">
            <v>Pune</v>
          </cell>
          <cell r="L449" t="str">
            <v>A</v>
          </cell>
          <cell r="O449" t="str">
            <v>B</v>
          </cell>
          <cell r="P449">
            <v>331</v>
          </cell>
          <cell r="Q449">
            <v>154</v>
          </cell>
          <cell r="R449">
            <v>332</v>
          </cell>
          <cell r="S449">
            <v>137</v>
          </cell>
          <cell r="T449">
            <v>-1</v>
          </cell>
          <cell r="U449">
            <v>17</v>
          </cell>
          <cell r="V449">
            <v>614</v>
          </cell>
          <cell r="W449">
            <v>277</v>
          </cell>
          <cell r="X449">
            <v>662</v>
          </cell>
          <cell r="Y449">
            <v>268</v>
          </cell>
          <cell r="Z449">
            <v>-48</v>
          </cell>
          <cell r="AA449">
            <v>9</v>
          </cell>
          <cell r="AB449">
            <v>485</v>
          </cell>
          <cell r="AC449">
            <v>469</v>
          </cell>
          <cell r="AD449">
            <v>16</v>
          </cell>
          <cell r="AE449">
            <v>891</v>
          </cell>
          <cell r="AF449">
            <v>930</v>
          </cell>
          <cell r="AG449">
            <v>-39</v>
          </cell>
        </row>
        <row r="450">
          <cell r="C450">
            <v>228239</v>
          </cell>
          <cell r="D450" t="str">
            <v>Shivneri Petroleum</v>
          </cell>
          <cell r="E450" t="str">
            <v>BPCL</v>
          </cell>
          <cell r="F450" t="str">
            <v>2021-22</v>
          </cell>
          <cell r="G450" t="str">
            <v>Shirdi RSA</v>
          </cell>
          <cell r="J450" t="str">
            <v>VADGAONPAN</v>
          </cell>
          <cell r="K450" t="str">
            <v>Ahmednagar</v>
          </cell>
          <cell r="L450" t="str">
            <v>D2</v>
          </cell>
          <cell r="O450" t="str">
            <v>A</v>
          </cell>
          <cell r="P450">
            <v>33</v>
          </cell>
          <cell r="Q450">
            <v>75</v>
          </cell>
          <cell r="R450">
            <v>30</v>
          </cell>
          <cell r="S450">
            <v>42</v>
          </cell>
          <cell r="T450">
            <v>3</v>
          </cell>
          <cell r="U450">
            <v>33</v>
          </cell>
          <cell r="V450">
            <v>51</v>
          </cell>
          <cell r="W450">
            <v>105</v>
          </cell>
          <cell r="X450">
            <v>45</v>
          </cell>
          <cell r="Y450">
            <v>75</v>
          </cell>
          <cell r="Z450">
            <v>6</v>
          </cell>
          <cell r="AA450">
            <v>30</v>
          </cell>
          <cell r="AB450">
            <v>108</v>
          </cell>
          <cell r="AC450">
            <v>72</v>
          </cell>
          <cell r="AD450">
            <v>36</v>
          </cell>
          <cell r="AE450">
            <v>156</v>
          </cell>
          <cell r="AF450">
            <v>120</v>
          </cell>
          <cell r="AG450">
            <v>36</v>
          </cell>
        </row>
        <row r="451">
          <cell r="C451">
            <v>228466</v>
          </cell>
          <cell r="D451" t="str">
            <v>ANNA MAHADIK SERVICE STATION</v>
          </cell>
          <cell r="E451" t="str">
            <v>BPCL</v>
          </cell>
          <cell r="F451" t="str">
            <v>2021-22</v>
          </cell>
          <cell r="G451" t="str">
            <v>Pune Hadapsar RSA</v>
          </cell>
          <cell r="J451" t="str">
            <v>Urlikanchan LHS</v>
          </cell>
          <cell r="K451" t="str">
            <v>Pune</v>
          </cell>
          <cell r="L451" t="str">
            <v>D1</v>
          </cell>
          <cell r="M451" t="str">
            <v>NH-65</v>
          </cell>
          <cell r="O451" t="str">
            <v>A</v>
          </cell>
          <cell r="P451">
            <v>6</v>
          </cell>
          <cell r="Q451">
            <v>18</v>
          </cell>
          <cell r="R451">
            <v>0</v>
          </cell>
          <cell r="S451">
            <v>0</v>
          </cell>
          <cell r="T451">
            <v>6</v>
          </cell>
          <cell r="U451">
            <v>18</v>
          </cell>
          <cell r="V451">
            <v>18</v>
          </cell>
          <cell r="W451">
            <v>54</v>
          </cell>
          <cell r="X451">
            <v>4</v>
          </cell>
          <cell r="Y451">
            <v>8</v>
          </cell>
          <cell r="Z451">
            <v>14</v>
          </cell>
          <cell r="AA451">
            <v>46</v>
          </cell>
          <cell r="AB451">
            <v>24</v>
          </cell>
          <cell r="AC451">
            <v>0</v>
          </cell>
          <cell r="AD451">
            <v>24</v>
          </cell>
          <cell r="AE451">
            <v>72</v>
          </cell>
          <cell r="AF451">
            <v>12</v>
          </cell>
          <cell r="AG451">
            <v>60</v>
          </cell>
        </row>
        <row r="452">
          <cell r="C452">
            <v>229042</v>
          </cell>
          <cell r="D452" t="str">
            <v>M.D MOZE PETROLEUM</v>
          </cell>
          <cell r="E452" t="str">
            <v>BPCL</v>
          </cell>
          <cell r="F452" t="str">
            <v>2021-22</v>
          </cell>
          <cell r="G452" t="str">
            <v>Pune City RSA</v>
          </cell>
          <cell r="J452" t="str">
            <v>LOHAGAON URBAN</v>
          </cell>
          <cell r="K452" t="str">
            <v>Pune</v>
          </cell>
          <cell r="L452" t="str">
            <v>A</v>
          </cell>
          <cell r="O452" t="str">
            <v>A</v>
          </cell>
          <cell r="P452">
            <v>172</v>
          </cell>
          <cell r="Q452">
            <v>92</v>
          </cell>
          <cell r="R452">
            <v>248</v>
          </cell>
          <cell r="S452">
            <v>126</v>
          </cell>
          <cell r="T452">
            <v>-76</v>
          </cell>
          <cell r="U452">
            <v>-34</v>
          </cell>
          <cell r="V452">
            <v>322</v>
          </cell>
          <cell r="W452">
            <v>184</v>
          </cell>
          <cell r="X452">
            <v>493</v>
          </cell>
          <cell r="Y452">
            <v>255</v>
          </cell>
          <cell r="Z452">
            <v>-171</v>
          </cell>
          <cell r="AA452">
            <v>-71</v>
          </cell>
          <cell r="AB452">
            <v>264</v>
          </cell>
          <cell r="AC452">
            <v>374</v>
          </cell>
          <cell r="AD452">
            <v>-110</v>
          </cell>
          <cell r="AE452">
            <v>506</v>
          </cell>
          <cell r="AF452">
            <v>748</v>
          </cell>
          <cell r="AG452">
            <v>-242</v>
          </cell>
        </row>
        <row r="453">
          <cell r="C453">
            <v>229099</v>
          </cell>
          <cell r="D453" t="str">
            <v>Baba Petrol Pump</v>
          </cell>
          <cell r="E453" t="str">
            <v>BPCL</v>
          </cell>
          <cell r="F453" t="str">
            <v>2021-22</v>
          </cell>
          <cell r="G453" t="str">
            <v>Satara East RSA</v>
          </cell>
          <cell r="J453" t="str">
            <v>Kinhai</v>
          </cell>
          <cell r="K453" t="str">
            <v>Satara</v>
          </cell>
          <cell r="L453" t="str">
            <v>E</v>
          </cell>
          <cell r="O453" t="str">
            <v>A</v>
          </cell>
          <cell r="P453">
            <v>34</v>
          </cell>
          <cell r="Q453">
            <v>62</v>
          </cell>
          <cell r="R453">
            <v>32</v>
          </cell>
          <cell r="S453">
            <v>48</v>
          </cell>
          <cell r="T453">
            <v>2</v>
          </cell>
          <cell r="U453">
            <v>14</v>
          </cell>
          <cell r="V453">
            <v>68</v>
          </cell>
          <cell r="W453">
            <v>136</v>
          </cell>
          <cell r="X453">
            <v>61</v>
          </cell>
          <cell r="Y453">
            <v>115</v>
          </cell>
          <cell r="Z453">
            <v>7</v>
          </cell>
          <cell r="AA453">
            <v>21</v>
          </cell>
          <cell r="AB453">
            <v>96</v>
          </cell>
          <cell r="AC453">
            <v>80</v>
          </cell>
          <cell r="AD453">
            <v>16</v>
          </cell>
          <cell r="AE453">
            <v>204</v>
          </cell>
          <cell r="AF453">
            <v>176</v>
          </cell>
          <cell r="AG453">
            <v>28</v>
          </cell>
        </row>
        <row r="454">
          <cell r="C454">
            <v>229289</v>
          </cell>
          <cell r="D454" t="str">
            <v>JAI GANESH PETRO STATION</v>
          </cell>
          <cell r="E454" t="str">
            <v>BPCL</v>
          </cell>
          <cell r="F454" t="str">
            <v>2021-22</v>
          </cell>
          <cell r="G454" t="str">
            <v>Pune Hadapsar RSA</v>
          </cell>
          <cell r="J454" t="str">
            <v>Urlidevachi Undri Road</v>
          </cell>
          <cell r="K454" t="str">
            <v>Pune</v>
          </cell>
          <cell r="L454" t="str">
            <v>A</v>
          </cell>
          <cell r="O454" t="str">
            <v>A</v>
          </cell>
          <cell r="P454">
            <v>68</v>
          </cell>
          <cell r="Q454">
            <v>36</v>
          </cell>
          <cell r="R454">
            <v>78</v>
          </cell>
          <cell r="S454">
            <v>66</v>
          </cell>
          <cell r="T454">
            <v>-10</v>
          </cell>
          <cell r="U454">
            <v>-30</v>
          </cell>
          <cell r="V454">
            <v>147</v>
          </cell>
          <cell r="W454">
            <v>73</v>
          </cell>
          <cell r="X454">
            <v>162</v>
          </cell>
          <cell r="Y454">
            <v>150</v>
          </cell>
          <cell r="Z454">
            <v>-15</v>
          </cell>
          <cell r="AA454">
            <v>-77</v>
          </cell>
          <cell r="AB454">
            <v>104</v>
          </cell>
          <cell r="AC454">
            <v>144</v>
          </cell>
          <cell r="AD454">
            <v>-40</v>
          </cell>
          <cell r="AE454">
            <v>220</v>
          </cell>
          <cell r="AF454">
            <v>312</v>
          </cell>
          <cell r="AG454">
            <v>-92</v>
          </cell>
        </row>
        <row r="455">
          <cell r="C455">
            <v>229325</v>
          </cell>
          <cell r="D455" t="str">
            <v>VITHOBA RAJE PETROLEUM</v>
          </cell>
          <cell r="E455" t="str">
            <v>BPCL</v>
          </cell>
          <cell r="F455" t="str">
            <v>2021-22</v>
          </cell>
          <cell r="G455" t="str">
            <v>Ahmednagar West RSA</v>
          </cell>
          <cell r="J455" t="str">
            <v>PATHARDI-NH</v>
          </cell>
          <cell r="K455" t="str">
            <v>Ahmednagar</v>
          </cell>
          <cell r="L455" t="str">
            <v>D1</v>
          </cell>
          <cell r="M455" t="str">
            <v>NH-61</v>
          </cell>
          <cell r="O455" t="str">
            <v>A</v>
          </cell>
          <cell r="P455">
            <v>85.5</v>
          </cell>
          <cell r="Q455">
            <v>223.5</v>
          </cell>
          <cell r="R455">
            <v>89</v>
          </cell>
          <cell r="S455">
            <v>224</v>
          </cell>
          <cell r="T455">
            <v>-3.5</v>
          </cell>
          <cell r="U455">
            <v>-0.5</v>
          </cell>
          <cell r="V455">
            <v>156.5</v>
          </cell>
          <cell r="W455">
            <v>400.5</v>
          </cell>
          <cell r="X455">
            <v>170</v>
          </cell>
          <cell r="Y455">
            <v>438</v>
          </cell>
          <cell r="Z455">
            <v>-13.5</v>
          </cell>
          <cell r="AA455">
            <v>-37.5</v>
          </cell>
          <cell r="AB455">
            <v>309</v>
          </cell>
          <cell r="AC455">
            <v>313</v>
          </cell>
          <cell r="AD455">
            <v>-4</v>
          </cell>
          <cell r="AE455">
            <v>557</v>
          </cell>
          <cell r="AF455">
            <v>608</v>
          </cell>
          <cell r="AG455">
            <v>-51</v>
          </cell>
        </row>
        <row r="456">
          <cell r="C456">
            <v>229694</v>
          </cell>
          <cell r="D456" t="str">
            <v>SHREE SIDDHIVINAYAK PETROLEUM</v>
          </cell>
          <cell r="E456" t="str">
            <v>BPCL</v>
          </cell>
          <cell r="F456" t="str">
            <v>2021-22</v>
          </cell>
          <cell r="G456" t="str">
            <v>Satara West RSA</v>
          </cell>
          <cell r="J456" t="str">
            <v>Umbraj on Patan SH</v>
          </cell>
          <cell r="K456" t="str">
            <v>Satara</v>
          </cell>
          <cell r="L456" t="str">
            <v>D2</v>
          </cell>
          <cell r="O456" t="str">
            <v>A</v>
          </cell>
          <cell r="P456">
            <v>42</v>
          </cell>
          <cell r="Q456">
            <v>91</v>
          </cell>
          <cell r="R456">
            <v>44</v>
          </cell>
          <cell r="S456">
            <v>62</v>
          </cell>
          <cell r="T456">
            <v>-2</v>
          </cell>
          <cell r="U456">
            <v>29</v>
          </cell>
          <cell r="V456">
            <v>80</v>
          </cell>
          <cell r="W456">
            <v>219</v>
          </cell>
          <cell r="X456">
            <v>93</v>
          </cell>
          <cell r="Y456">
            <v>129</v>
          </cell>
          <cell r="Z456">
            <v>-13</v>
          </cell>
          <cell r="AA456">
            <v>90</v>
          </cell>
          <cell r="AB456">
            <v>133</v>
          </cell>
          <cell r="AC456">
            <v>106</v>
          </cell>
          <cell r="AD456">
            <v>27</v>
          </cell>
          <cell r="AE456">
            <v>299</v>
          </cell>
          <cell r="AF456">
            <v>222</v>
          </cell>
          <cell r="AG456">
            <v>77</v>
          </cell>
        </row>
        <row r="457">
          <cell r="C457">
            <v>229905</v>
          </cell>
          <cell r="D457" t="str">
            <v>KHATARE PETROLEUM</v>
          </cell>
          <cell r="E457" t="str">
            <v>BPCL</v>
          </cell>
          <cell r="G457" t="str">
            <v>Ahmednagar West RSA</v>
          </cell>
          <cell r="J457" t="str">
            <v>VISAPUR-NH</v>
          </cell>
          <cell r="K457" t="str">
            <v>Ahmednagar</v>
          </cell>
          <cell r="L457" t="str">
            <v>D1</v>
          </cell>
          <cell r="M457" t="str">
            <v>NH-160</v>
          </cell>
          <cell r="O457" t="str">
            <v>A</v>
          </cell>
          <cell r="P457">
            <v>0</v>
          </cell>
          <cell r="Q457">
            <v>0</v>
          </cell>
          <cell r="R457">
            <v>6</v>
          </cell>
          <cell r="S457">
            <v>42</v>
          </cell>
          <cell r="T457">
            <v>-6</v>
          </cell>
          <cell r="U457">
            <v>-42</v>
          </cell>
          <cell r="V457">
            <v>0</v>
          </cell>
          <cell r="W457">
            <v>0</v>
          </cell>
          <cell r="X457">
            <v>12</v>
          </cell>
          <cell r="Y457">
            <v>72</v>
          </cell>
          <cell r="Z457">
            <v>-12</v>
          </cell>
          <cell r="AA457">
            <v>-72</v>
          </cell>
          <cell r="AB457">
            <v>0</v>
          </cell>
          <cell r="AC457">
            <v>48</v>
          </cell>
          <cell r="AD457">
            <v>-48</v>
          </cell>
          <cell r="AE457">
            <v>0</v>
          </cell>
          <cell r="AF457">
            <v>84</v>
          </cell>
          <cell r="AG457">
            <v>-84</v>
          </cell>
        </row>
        <row r="458">
          <cell r="C458">
            <v>230142</v>
          </cell>
          <cell r="D458" t="str">
            <v>ASHA PETROLEUM</v>
          </cell>
          <cell r="E458" t="str">
            <v>BPCL</v>
          </cell>
          <cell r="F458" t="str">
            <v>2021-22</v>
          </cell>
          <cell r="G458" t="str">
            <v>Ahmednagar West RSA</v>
          </cell>
          <cell r="J458" t="str">
            <v>KARPADI</v>
          </cell>
          <cell r="K458" t="str">
            <v>Ahmednagar</v>
          </cell>
          <cell r="L458" t="str">
            <v>E</v>
          </cell>
          <cell r="O458" t="str">
            <v>A</v>
          </cell>
          <cell r="P458">
            <v>9.5</v>
          </cell>
          <cell r="Q458">
            <v>38.5</v>
          </cell>
          <cell r="R458">
            <v>0</v>
          </cell>
          <cell r="S458">
            <v>0</v>
          </cell>
          <cell r="T458">
            <v>9.5</v>
          </cell>
          <cell r="U458">
            <v>38.5</v>
          </cell>
          <cell r="V458">
            <v>15.5</v>
          </cell>
          <cell r="W458">
            <v>56.5</v>
          </cell>
          <cell r="X458">
            <v>0</v>
          </cell>
          <cell r="Y458">
            <v>0</v>
          </cell>
          <cell r="Z458">
            <v>15.5</v>
          </cell>
          <cell r="AA458">
            <v>56.5</v>
          </cell>
          <cell r="AB458">
            <v>48</v>
          </cell>
          <cell r="AC458">
            <v>0</v>
          </cell>
          <cell r="AD458">
            <v>48</v>
          </cell>
          <cell r="AE458">
            <v>72</v>
          </cell>
          <cell r="AF458">
            <v>0</v>
          </cell>
          <cell r="AG458">
            <v>72</v>
          </cell>
        </row>
        <row r="459">
          <cell r="C459">
            <v>230334</v>
          </cell>
          <cell r="D459" t="str">
            <v>KADU PATIL PETROLEUM</v>
          </cell>
          <cell r="E459" t="str">
            <v>BPCL</v>
          </cell>
          <cell r="F459" t="str">
            <v>2021-22</v>
          </cell>
          <cell r="G459" t="str">
            <v>Pune City RSA</v>
          </cell>
          <cell r="J459" t="str">
            <v>NANDED CITY</v>
          </cell>
          <cell r="K459" t="str">
            <v>Pune</v>
          </cell>
          <cell r="L459" t="str">
            <v>A</v>
          </cell>
          <cell r="O459" t="str">
            <v>A</v>
          </cell>
          <cell r="P459">
            <v>400</v>
          </cell>
          <cell r="Q459">
            <v>240</v>
          </cell>
          <cell r="R459">
            <v>405</v>
          </cell>
          <cell r="S459">
            <v>195</v>
          </cell>
          <cell r="T459">
            <v>-5</v>
          </cell>
          <cell r="U459">
            <v>45</v>
          </cell>
          <cell r="V459">
            <v>780</v>
          </cell>
          <cell r="W459">
            <v>464</v>
          </cell>
          <cell r="X459">
            <v>820</v>
          </cell>
          <cell r="Y459">
            <v>380</v>
          </cell>
          <cell r="Z459">
            <v>-40</v>
          </cell>
          <cell r="AA459">
            <v>84</v>
          </cell>
          <cell r="AB459">
            <v>640</v>
          </cell>
          <cell r="AC459">
            <v>600</v>
          </cell>
          <cell r="AD459">
            <v>40</v>
          </cell>
          <cell r="AE459">
            <v>1244</v>
          </cell>
          <cell r="AF459">
            <v>1200</v>
          </cell>
          <cell r="AG459">
            <v>44</v>
          </cell>
        </row>
        <row r="460">
          <cell r="C460">
            <v>230449</v>
          </cell>
          <cell r="D460" t="str">
            <v>SHRI SADGURU KRUPA PETROLEUM</v>
          </cell>
          <cell r="E460" t="str">
            <v>BPCL</v>
          </cell>
          <cell r="F460" t="str">
            <v>2021-22</v>
          </cell>
          <cell r="G460" t="str">
            <v>Shirdi RSA</v>
          </cell>
          <cell r="J460" t="str">
            <v>CHAS NALI</v>
          </cell>
          <cell r="K460" t="str">
            <v>Ahmednagar</v>
          </cell>
          <cell r="L460" t="str">
            <v>D2</v>
          </cell>
          <cell r="O460" t="str">
            <v>A</v>
          </cell>
          <cell r="P460">
            <v>30</v>
          </cell>
          <cell r="Q460">
            <v>78</v>
          </cell>
          <cell r="R460">
            <v>30</v>
          </cell>
          <cell r="S460">
            <v>54</v>
          </cell>
          <cell r="T460">
            <v>0</v>
          </cell>
          <cell r="U460">
            <v>24</v>
          </cell>
          <cell r="V460">
            <v>48</v>
          </cell>
          <cell r="W460">
            <v>132</v>
          </cell>
          <cell r="X460">
            <v>59</v>
          </cell>
          <cell r="Y460">
            <v>117</v>
          </cell>
          <cell r="Z460">
            <v>-11</v>
          </cell>
          <cell r="AA460">
            <v>15</v>
          </cell>
          <cell r="AB460">
            <v>108</v>
          </cell>
          <cell r="AC460">
            <v>84</v>
          </cell>
          <cell r="AD460">
            <v>24</v>
          </cell>
          <cell r="AE460">
            <v>180</v>
          </cell>
          <cell r="AF460">
            <v>176</v>
          </cell>
          <cell r="AG460">
            <v>4</v>
          </cell>
        </row>
        <row r="461">
          <cell r="C461">
            <v>230684</v>
          </cell>
          <cell r="D461" t="str">
            <v>FUELOCITY TECH PRIVATE LIMITED</v>
          </cell>
          <cell r="E461" t="str">
            <v>BPCL</v>
          </cell>
          <cell r="G461" t="str">
            <v>Pune City RSA</v>
          </cell>
          <cell r="J461" t="str">
            <v>DDD</v>
          </cell>
          <cell r="K461" t="str">
            <v>Pune</v>
          </cell>
          <cell r="L461" t="str">
            <v>A</v>
          </cell>
          <cell r="O461" t="str">
            <v>A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C462">
            <v>230711</v>
          </cell>
          <cell r="D462" t="str">
            <v>S. N. JAJU PETROLEUM</v>
          </cell>
          <cell r="E462" t="str">
            <v>BPCL</v>
          </cell>
          <cell r="F462" t="str">
            <v>2021-22</v>
          </cell>
          <cell r="G462" t="str">
            <v>Shirdi RSA</v>
          </cell>
          <cell r="J462" t="str">
            <v>SANGAMNER - GOLIBAR</v>
          </cell>
          <cell r="K462" t="str">
            <v>Ahmednagar</v>
          </cell>
          <cell r="L462" t="str">
            <v>C</v>
          </cell>
          <cell r="O462" t="str">
            <v>A</v>
          </cell>
          <cell r="P462">
            <v>106</v>
          </cell>
          <cell r="Q462">
            <v>76</v>
          </cell>
          <cell r="R462">
            <v>153</v>
          </cell>
          <cell r="S462">
            <v>75</v>
          </cell>
          <cell r="T462">
            <v>-47</v>
          </cell>
          <cell r="U462">
            <v>1</v>
          </cell>
          <cell r="V462">
            <v>211</v>
          </cell>
          <cell r="W462">
            <v>139</v>
          </cell>
          <cell r="X462">
            <v>292</v>
          </cell>
          <cell r="Y462">
            <v>148</v>
          </cell>
          <cell r="Z462">
            <v>-81</v>
          </cell>
          <cell r="AA462">
            <v>-9</v>
          </cell>
          <cell r="AB462">
            <v>182</v>
          </cell>
          <cell r="AC462">
            <v>228</v>
          </cell>
          <cell r="AD462">
            <v>-46</v>
          </cell>
          <cell r="AE462">
            <v>350</v>
          </cell>
          <cell r="AF462">
            <v>440</v>
          </cell>
          <cell r="AG462">
            <v>-90</v>
          </cell>
        </row>
        <row r="463">
          <cell r="C463">
            <v>230794</v>
          </cell>
          <cell r="D463" t="str">
            <v>D C PETROLEUM</v>
          </cell>
          <cell r="E463" t="str">
            <v>BPCL</v>
          </cell>
          <cell r="F463" t="str">
            <v>2021-22</v>
          </cell>
          <cell r="G463" t="str">
            <v>Pimpri Chinchwad RSA</v>
          </cell>
          <cell r="J463" t="str">
            <v>Ambethan</v>
          </cell>
          <cell r="K463" t="str">
            <v>Pune</v>
          </cell>
          <cell r="L463" t="str">
            <v>E</v>
          </cell>
          <cell r="O463" t="str">
            <v>A</v>
          </cell>
          <cell r="P463">
            <v>89.5</v>
          </cell>
          <cell r="Q463">
            <v>158.5</v>
          </cell>
          <cell r="R463">
            <v>80</v>
          </cell>
          <cell r="S463">
            <v>146</v>
          </cell>
          <cell r="T463">
            <v>9.5</v>
          </cell>
          <cell r="U463">
            <v>12.5</v>
          </cell>
          <cell r="V463">
            <v>172.5</v>
          </cell>
          <cell r="W463">
            <v>307.5</v>
          </cell>
          <cell r="X463">
            <v>160</v>
          </cell>
          <cell r="Y463">
            <v>288</v>
          </cell>
          <cell r="Z463">
            <v>12.5</v>
          </cell>
          <cell r="AA463">
            <v>19.5</v>
          </cell>
          <cell r="AB463">
            <v>248</v>
          </cell>
          <cell r="AC463">
            <v>226</v>
          </cell>
          <cell r="AD463">
            <v>22</v>
          </cell>
          <cell r="AE463">
            <v>480</v>
          </cell>
          <cell r="AF463">
            <v>448</v>
          </cell>
          <cell r="AG463">
            <v>32</v>
          </cell>
        </row>
        <row r="464">
          <cell r="C464">
            <v>230978</v>
          </cell>
          <cell r="D464" t="str">
            <v>SOPANKAKA PETROLEUM</v>
          </cell>
          <cell r="E464" t="str">
            <v>BPCL</v>
          </cell>
          <cell r="F464" t="str">
            <v>2021-22</v>
          </cell>
          <cell r="G464" t="str">
            <v>Satara East RSA</v>
          </cell>
          <cell r="J464" t="str">
            <v>BORWAT</v>
          </cell>
          <cell r="K464" t="str">
            <v>Satara</v>
          </cell>
          <cell r="L464" t="str">
            <v>E</v>
          </cell>
          <cell r="O464" t="str">
            <v>A</v>
          </cell>
          <cell r="P464">
            <v>18</v>
          </cell>
          <cell r="Q464">
            <v>39</v>
          </cell>
          <cell r="R464">
            <v>10</v>
          </cell>
          <cell r="S464">
            <v>26</v>
          </cell>
          <cell r="T464">
            <v>8</v>
          </cell>
          <cell r="U464">
            <v>13</v>
          </cell>
          <cell r="V464">
            <v>29</v>
          </cell>
          <cell r="W464">
            <v>64</v>
          </cell>
          <cell r="X464">
            <v>29</v>
          </cell>
          <cell r="Y464">
            <v>67</v>
          </cell>
          <cell r="Z464">
            <v>0</v>
          </cell>
          <cell r="AA464">
            <v>-3</v>
          </cell>
          <cell r="AB464">
            <v>57</v>
          </cell>
          <cell r="AC464">
            <v>36</v>
          </cell>
          <cell r="AD464">
            <v>21</v>
          </cell>
          <cell r="AE464">
            <v>93</v>
          </cell>
          <cell r="AF464">
            <v>96</v>
          </cell>
          <cell r="AG464">
            <v>-3</v>
          </cell>
        </row>
        <row r="465">
          <cell r="C465">
            <v>231793</v>
          </cell>
          <cell r="D465" t="str">
            <v>ASHOKRAO PETROLEUM</v>
          </cell>
          <cell r="E465" t="str">
            <v>BPCL</v>
          </cell>
          <cell r="F465" t="str">
            <v>2021-22</v>
          </cell>
          <cell r="G465" t="str">
            <v>Ahmednagar East RSA</v>
          </cell>
          <cell r="J465" t="str">
            <v>Kamargaon</v>
          </cell>
          <cell r="K465" t="str">
            <v>Ahmednagar</v>
          </cell>
          <cell r="L465" t="str">
            <v>D1</v>
          </cell>
          <cell r="M465" t="str">
            <v>NH-753F</v>
          </cell>
          <cell r="O465" t="str">
            <v>B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C466">
            <v>231815</v>
          </cell>
          <cell r="D466" t="str">
            <v>SHRI MUNGADEVI PETROLEUM</v>
          </cell>
          <cell r="E466" t="str">
            <v>BPCL</v>
          </cell>
          <cell r="F466" t="str">
            <v>2021-22</v>
          </cell>
          <cell r="G466" t="str">
            <v>Ahmednagar East RSA</v>
          </cell>
          <cell r="J466" t="str">
            <v>Mungi- Hatgaon NH752E</v>
          </cell>
          <cell r="K466" t="str">
            <v>Ahmednagar</v>
          </cell>
          <cell r="L466" t="str">
            <v>D1</v>
          </cell>
          <cell r="M466" t="str">
            <v>NH-752E</v>
          </cell>
          <cell r="O466" t="str">
            <v>A</v>
          </cell>
          <cell r="P466">
            <v>22.5</v>
          </cell>
          <cell r="Q466">
            <v>61.5</v>
          </cell>
          <cell r="R466">
            <v>17</v>
          </cell>
          <cell r="S466">
            <v>51</v>
          </cell>
          <cell r="T466">
            <v>5.5</v>
          </cell>
          <cell r="U466">
            <v>10.5</v>
          </cell>
          <cell r="V466">
            <v>42.5</v>
          </cell>
          <cell r="W466">
            <v>121.5</v>
          </cell>
          <cell r="X466">
            <v>41</v>
          </cell>
          <cell r="Y466">
            <v>109</v>
          </cell>
          <cell r="Z466">
            <v>1.5</v>
          </cell>
          <cell r="AA466">
            <v>12.5</v>
          </cell>
          <cell r="AB466">
            <v>84</v>
          </cell>
          <cell r="AC466">
            <v>68</v>
          </cell>
          <cell r="AD466">
            <v>16</v>
          </cell>
          <cell r="AE466">
            <v>164</v>
          </cell>
          <cell r="AF466">
            <v>150</v>
          </cell>
          <cell r="AG466">
            <v>14</v>
          </cell>
        </row>
        <row r="467">
          <cell r="C467">
            <v>231927</v>
          </cell>
          <cell r="D467" t="str">
            <v>PPS ENTERPRISES</v>
          </cell>
          <cell r="E467" t="str">
            <v>BPCL</v>
          </cell>
          <cell r="F467" t="str">
            <v>2021-22</v>
          </cell>
          <cell r="G467" t="str">
            <v>Pune Wagholi RSA</v>
          </cell>
          <cell r="J467" t="str">
            <v>Peth on NH RHS</v>
          </cell>
          <cell r="K467" t="str">
            <v>Pune</v>
          </cell>
          <cell r="L467" t="str">
            <v>D1</v>
          </cell>
          <cell r="M467" t="str">
            <v>NH-60</v>
          </cell>
          <cell r="O467" t="str">
            <v>A</v>
          </cell>
          <cell r="P467">
            <v>35</v>
          </cell>
          <cell r="Q467">
            <v>345</v>
          </cell>
          <cell r="R467">
            <v>45</v>
          </cell>
          <cell r="S467">
            <v>114</v>
          </cell>
          <cell r="T467">
            <v>-10</v>
          </cell>
          <cell r="U467">
            <v>231</v>
          </cell>
          <cell r="V467">
            <v>65</v>
          </cell>
          <cell r="W467">
            <v>695</v>
          </cell>
          <cell r="X467">
            <v>80</v>
          </cell>
          <cell r="Y467">
            <v>186</v>
          </cell>
          <cell r="Z467">
            <v>-15</v>
          </cell>
          <cell r="AA467">
            <v>509</v>
          </cell>
          <cell r="AB467">
            <v>380</v>
          </cell>
          <cell r="AC467">
            <v>159</v>
          </cell>
          <cell r="AD467">
            <v>221</v>
          </cell>
          <cell r="AE467">
            <v>760</v>
          </cell>
          <cell r="AF467">
            <v>266</v>
          </cell>
          <cell r="AG467">
            <v>494</v>
          </cell>
        </row>
        <row r="468">
          <cell r="C468">
            <v>232048</v>
          </cell>
          <cell r="D468" t="str">
            <v>KANHERKAR PETROLEUM</v>
          </cell>
          <cell r="E468" t="str">
            <v>BPCL</v>
          </cell>
          <cell r="F468" t="str">
            <v>2021-22</v>
          </cell>
          <cell r="G468" t="str">
            <v>Pune Saswad RSA</v>
          </cell>
          <cell r="J468" t="str">
            <v>badalwadi</v>
          </cell>
          <cell r="K468" t="str">
            <v>Pune</v>
          </cell>
          <cell r="L468" t="str">
            <v>D1</v>
          </cell>
          <cell r="M468" t="str">
            <v>NH-65</v>
          </cell>
          <cell r="O468" t="str">
            <v>A</v>
          </cell>
          <cell r="P468">
            <v>48</v>
          </cell>
          <cell r="Q468">
            <v>156</v>
          </cell>
          <cell r="R468">
            <v>36</v>
          </cell>
          <cell r="S468">
            <v>105</v>
          </cell>
          <cell r="T468">
            <v>12</v>
          </cell>
          <cell r="U468">
            <v>51</v>
          </cell>
          <cell r="V468">
            <v>81.5</v>
          </cell>
          <cell r="W468">
            <v>268.5</v>
          </cell>
          <cell r="X468">
            <v>64</v>
          </cell>
          <cell r="Y468">
            <v>221</v>
          </cell>
          <cell r="Z468">
            <v>17.5</v>
          </cell>
          <cell r="AA468">
            <v>47.5</v>
          </cell>
          <cell r="AB468">
            <v>204</v>
          </cell>
          <cell r="AC468">
            <v>141</v>
          </cell>
          <cell r="AD468">
            <v>63</v>
          </cell>
          <cell r="AE468">
            <v>350</v>
          </cell>
          <cell r="AF468">
            <v>285</v>
          </cell>
          <cell r="AG468">
            <v>65</v>
          </cell>
        </row>
        <row r="469">
          <cell r="C469">
            <v>232344</v>
          </cell>
          <cell r="D469" t="str">
            <v>SWARA PETROLEUM</v>
          </cell>
          <cell r="E469" t="str">
            <v>BPCL</v>
          </cell>
          <cell r="F469" t="str">
            <v>2021-22</v>
          </cell>
          <cell r="G469" t="str">
            <v>Pimpri Chinchwad RSA</v>
          </cell>
          <cell r="J469" t="str">
            <v xml:space="preserve">Sablewadi to shikhrapur </v>
          </cell>
          <cell r="K469" t="str">
            <v>Pune</v>
          </cell>
          <cell r="L469" t="str">
            <v>D1</v>
          </cell>
          <cell r="M469" t="str">
            <v>NH-548D</v>
          </cell>
          <cell r="O469" t="str">
            <v>A</v>
          </cell>
          <cell r="P469">
            <v>3</v>
          </cell>
          <cell r="Q469">
            <v>33</v>
          </cell>
          <cell r="R469">
            <v>0</v>
          </cell>
          <cell r="S469">
            <v>0</v>
          </cell>
          <cell r="T469">
            <v>3</v>
          </cell>
          <cell r="U469">
            <v>33</v>
          </cell>
          <cell r="V469">
            <v>3</v>
          </cell>
          <cell r="W469">
            <v>69</v>
          </cell>
          <cell r="X469">
            <v>3</v>
          </cell>
          <cell r="Y469">
            <v>9</v>
          </cell>
          <cell r="Z469">
            <v>0</v>
          </cell>
          <cell r="AA469">
            <v>60</v>
          </cell>
          <cell r="AB469">
            <v>36</v>
          </cell>
          <cell r="AC469">
            <v>0</v>
          </cell>
          <cell r="AD469">
            <v>36</v>
          </cell>
          <cell r="AE469">
            <v>72</v>
          </cell>
          <cell r="AF469">
            <v>12</v>
          </cell>
          <cell r="AG469">
            <v>60</v>
          </cell>
        </row>
        <row r="470">
          <cell r="C470">
            <v>232957</v>
          </cell>
          <cell r="D470" t="str">
            <v>JAGADGURU ENERGY STATION</v>
          </cell>
          <cell r="E470" t="str">
            <v>BPCL</v>
          </cell>
          <cell r="F470" t="str">
            <v>2022-23</v>
          </cell>
          <cell r="G470" t="str">
            <v>Pimpri Chinchwad RSA</v>
          </cell>
          <cell r="J470" t="str">
            <v>Dehu Talegaon Road</v>
          </cell>
          <cell r="K470" t="str">
            <v>Pune</v>
          </cell>
          <cell r="L470" t="str">
            <v>C</v>
          </cell>
          <cell r="O470" t="str">
            <v>B</v>
          </cell>
          <cell r="P470">
            <v>38</v>
          </cell>
          <cell r="Q470">
            <v>38</v>
          </cell>
          <cell r="R470">
            <v>35</v>
          </cell>
          <cell r="S470">
            <v>33</v>
          </cell>
          <cell r="T470">
            <v>3</v>
          </cell>
          <cell r="U470">
            <v>5</v>
          </cell>
          <cell r="V470">
            <v>88</v>
          </cell>
          <cell r="W470">
            <v>76</v>
          </cell>
          <cell r="X470">
            <v>81</v>
          </cell>
          <cell r="Y470">
            <v>71</v>
          </cell>
          <cell r="Z470">
            <v>7</v>
          </cell>
          <cell r="AA470">
            <v>5</v>
          </cell>
          <cell r="AB470">
            <v>76</v>
          </cell>
          <cell r="AC470">
            <v>68</v>
          </cell>
          <cell r="AD470">
            <v>8</v>
          </cell>
          <cell r="AE470">
            <v>164</v>
          </cell>
          <cell r="AF470">
            <v>152</v>
          </cell>
          <cell r="AG470">
            <v>12</v>
          </cell>
        </row>
        <row r="471">
          <cell r="C471">
            <v>232959</v>
          </cell>
          <cell r="D471" t="str">
            <v>SRINIVAS PETROLEUM</v>
          </cell>
          <cell r="E471" t="str">
            <v>BPCL</v>
          </cell>
          <cell r="F471" t="str">
            <v>2021-22</v>
          </cell>
          <cell r="G471" t="str">
            <v>Satara West RSA</v>
          </cell>
          <cell r="J471" t="str">
            <v>Kodoli to Ghojegaon</v>
          </cell>
          <cell r="K471" t="str">
            <v>Satara</v>
          </cell>
          <cell r="L471" t="str">
            <v>D2</v>
          </cell>
          <cell r="O471" t="str">
            <v>A</v>
          </cell>
          <cell r="P471">
            <v>57</v>
          </cell>
          <cell r="Q471">
            <v>55</v>
          </cell>
          <cell r="R471">
            <v>70</v>
          </cell>
          <cell r="S471">
            <v>94</v>
          </cell>
          <cell r="T471">
            <v>-13</v>
          </cell>
          <cell r="U471">
            <v>-39</v>
          </cell>
          <cell r="V471">
            <v>105</v>
          </cell>
          <cell r="W471">
            <v>99</v>
          </cell>
          <cell r="X471">
            <v>124</v>
          </cell>
          <cell r="Y471">
            <v>184</v>
          </cell>
          <cell r="Z471">
            <v>-19</v>
          </cell>
          <cell r="AA471">
            <v>-85</v>
          </cell>
          <cell r="AB471">
            <v>112</v>
          </cell>
          <cell r="AC471">
            <v>164</v>
          </cell>
          <cell r="AD471">
            <v>-52</v>
          </cell>
          <cell r="AE471">
            <v>204</v>
          </cell>
          <cell r="AF471">
            <v>308</v>
          </cell>
          <cell r="AG471">
            <v>-104</v>
          </cell>
        </row>
        <row r="472">
          <cell r="C472">
            <v>232968</v>
          </cell>
          <cell r="D472" t="str">
            <v>SHEWALE AUTOBAHN AND PETROLEU</v>
          </cell>
          <cell r="E472" t="str">
            <v>BPCL</v>
          </cell>
          <cell r="F472" t="str">
            <v>2021-22</v>
          </cell>
          <cell r="G472" t="str">
            <v>Satara West RSA</v>
          </cell>
          <cell r="J472" t="str">
            <v>Satara to Bhuinj</v>
          </cell>
          <cell r="K472" t="str">
            <v>Satara</v>
          </cell>
          <cell r="L472" t="str">
            <v>D1</v>
          </cell>
          <cell r="M472" t="str">
            <v>NH-48</v>
          </cell>
          <cell r="O472" t="str">
            <v>A</v>
          </cell>
          <cell r="P472">
            <v>73</v>
          </cell>
          <cell r="Q472">
            <v>132</v>
          </cell>
          <cell r="R472">
            <v>75</v>
          </cell>
          <cell r="S472">
            <v>117</v>
          </cell>
          <cell r="T472">
            <v>-2</v>
          </cell>
          <cell r="U472">
            <v>15</v>
          </cell>
          <cell r="V472">
            <v>128</v>
          </cell>
          <cell r="W472">
            <v>245</v>
          </cell>
          <cell r="X472">
            <v>130</v>
          </cell>
          <cell r="Y472">
            <v>204</v>
          </cell>
          <cell r="Z472">
            <v>-2</v>
          </cell>
          <cell r="AA472">
            <v>41</v>
          </cell>
          <cell r="AB472">
            <v>205</v>
          </cell>
          <cell r="AC472">
            <v>192</v>
          </cell>
          <cell r="AD472">
            <v>13</v>
          </cell>
          <cell r="AE472">
            <v>373</v>
          </cell>
          <cell r="AF472">
            <v>334</v>
          </cell>
          <cell r="AG472">
            <v>39</v>
          </cell>
        </row>
        <row r="473">
          <cell r="C473">
            <v>232971</v>
          </cell>
          <cell r="D473" t="str">
            <v>AARADHYA PETROLEUM</v>
          </cell>
          <cell r="E473" t="str">
            <v>BPCL</v>
          </cell>
          <cell r="F473" t="str">
            <v>2021-22</v>
          </cell>
          <cell r="G473" t="str">
            <v>Ahmednagar East RSA</v>
          </cell>
          <cell r="J473" t="str">
            <v>MIDC Nagapur</v>
          </cell>
          <cell r="K473" t="str">
            <v>Ahmednagar</v>
          </cell>
          <cell r="L473" t="str">
            <v>D2</v>
          </cell>
          <cell r="O473" t="str">
            <v>A</v>
          </cell>
          <cell r="P473">
            <v>194.5</v>
          </cell>
          <cell r="Q473">
            <v>150.5</v>
          </cell>
          <cell r="R473">
            <v>160</v>
          </cell>
          <cell r="S473">
            <v>96</v>
          </cell>
          <cell r="T473">
            <v>34.5</v>
          </cell>
          <cell r="U473">
            <v>54.5</v>
          </cell>
          <cell r="V473">
            <v>370.5</v>
          </cell>
          <cell r="W473">
            <v>250.5</v>
          </cell>
          <cell r="X473">
            <v>324</v>
          </cell>
          <cell r="Y473">
            <v>184</v>
          </cell>
          <cell r="Z473">
            <v>46.5</v>
          </cell>
          <cell r="AA473">
            <v>66.5</v>
          </cell>
          <cell r="AB473">
            <v>345</v>
          </cell>
          <cell r="AC473">
            <v>256</v>
          </cell>
          <cell r="AD473">
            <v>89</v>
          </cell>
          <cell r="AE473">
            <v>621</v>
          </cell>
          <cell r="AF473">
            <v>508</v>
          </cell>
          <cell r="AG473">
            <v>113</v>
          </cell>
        </row>
        <row r="474">
          <cell r="C474">
            <v>232979</v>
          </cell>
          <cell r="D474" t="str">
            <v>YASHWANT PETROLEUM</v>
          </cell>
          <cell r="E474" t="str">
            <v>BPCL</v>
          </cell>
          <cell r="F474" t="str">
            <v>2021-22</v>
          </cell>
          <cell r="G474" t="str">
            <v>Satara West RSA</v>
          </cell>
          <cell r="J474" t="str">
            <v>Nandgaon to Ghogaon</v>
          </cell>
          <cell r="K474" t="str">
            <v>Satara</v>
          </cell>
          <cell r="L474" t="str">
            <v>D2</v>
          </cell>
          <cell r="O474" t="str">
            <v>A</v>
          </cell>
          <cell r="P474">
            <v>48</v>
          </cell>
          <cell r="Q474">
            <v>48</v>
          </cell>
          <cell r="R474">
            <v>48</v>
          </cell>
          <cell r="S474">
            <v>64</v>
          </cell>
          <cell r="T474">
            <v>0</v>
          </cell>
          <cell r="U474">
            <v>-16</v>
          </cell>
          <cell r="V474">
            <v>78</v>
          </cell>
          <cell r="W474">
            <v>78</v>
          </cell>
          <cell r="X474">
            <v>83</v>
          </cell>
          <cell r="Y474">
            <v>121</v>
          </cell>
          <cell r="Z474">
            <v>-5</v>
          </cell>
          <cell r="AA474">
            <v>-43</v>
          </cell>
          <cell r="AB474">
            <v>96</v>
          </cell>
          <cell r="AC474">
            <v>112</v>
          </cell>
          <cell r="AD474">
            <v>-16</v>
          </cell>
          <cell r="AE474">
            <v>156</v>
          </cell>
          <cell r="AF474">
            <v>204</v>
          </cell>
          <cell r="AG474">
            <v>-48</v>
          </cell>
        </row>
        <row r="475">
          <cell r="C475">
            <v>232996</v>
          </cell>
          <cell r="D475" t="str">
            <v>UNIQUE PETROLEUM (TRINITY HIGHWAY SERVICES- 113800)</v>
          </cell>
          <cell r="E475" t="str">
            <v>BPCL</v>
          </cell>
          <cell r="G475" t="str">
            <v>Satara East RSA</v>
          </cell>
          <cell r="J475" t="str">
            <v>Thakurki</v>
          </cell>
          <cell r="K475" t="str">
            <v>Satara</v>
          </cell>
          <cell r="L475" t="str">
            <v>D2</v>
          </cell>
          <cell r="O475" t="str">
            <v>A</v>
          </cell>
          <cell r="P475">
            <v>30</v>
          </cell>
          <cell r="Q475">
            <v>30</v>
          </cell>
          <cell r="R475">
            <v>27</v>
          </cell>
          <cell r="S475">
            <v>21</v>
          </cell>
          <cell r="T475">
            <v>3</v>
          </cell>
          <cell r="U475">
            <v>9</v>
          </cell>
          <cell r="V475">
            <v>48</v>
          </cell>
          <cell r="W475">
            <v>48</v>
          </cell>
          <cell r="X475">
            <v>46</v>
          </cell>
          <cell r="Y475">
            <v>34</v>
          </cell>
          <cell r="Z475">
            <v>2</v>
          </cell>
          <cell r="AA475">
            <v>14</v>
          </cell>
          <cell r="AB475">
            <v>60</v>
          </cell>
          <cell r="AC475">
            <v>48</v>
          </cell>
          <cell r="AD475">
            <v>12</v>
          </cell>
          <cell r="AE475">
            <v>96</v>
          </cell>
          <cell r="AF475">
            <v>80</v>
          </cell>
          <cell r="AG475">
            <v>16</v>
          </cell>
        </row>
        <row r="476">
          <cell r="C476">
            <v>233284</v>
          </cell>
          <cell r="D476" t="str">
            <v>PACHUNDKAR BAANDAL PETROLEUM</v>
          </cell>
          <cell r="E476" t="str">
            <v>BPCL</v>
          </cell>
          <cell r="F476" t="str">
            <v>2021-22</v>
          </cell>
          <cell r="G476" t="str">
            <v>Pune Wagholi RSA</v>
          </cell>
          <cell r="J476" t="str">
            <v>LONIKAND to KOREGAON BHIMA LHS</v>
          </cell>
          <cell r="K476" t="str">
            <v>Pune</v>
          </cell>
          <cell r="L476" t="str">
            <v>D1</v>
          </cell>
          <cell r="M476" t="str">
            <v>NH-753F</v>
          </cell>
          <cell r="O476" t="str">
            <v>A</v>
          </cell>
          <cell r="P476">
            <v>35</v>
          </cell>
          <cell r="Q476">
            <v>273</v>
          </cell>
          <cell r="R476">
            <v>59</v>
          </cell>
          <cell r="S476">
            <v>361</v>
          </cell>
          <cell r="T476">
            <v>-24</v>
          </cell>
          <cell r="U476">
            <v>-88</v>
          </cell>
          <cell r="V476">
            <v>75</v>
          </cell>
          <cell r="W476">
            <v>539</v>
          </cell>
          <cell r="X476">
            <v>102</v>
          </cell>
          <cell r="Y476">
            <v>660</v>
          </cell>
          <cell r="Z476">
            <v>-27</v>
          </cell>
          <cell r="AA476">
            <v>-121</v>
          </cell>
          <cell r="AB476">
            <v>308</v>
          </cell>
          <cell r="AC476">
            <v>420</v>
          </cell>
          <cell r="AD476">
            <v>-112</v>
          </cell>
          <cell r="AE476">
            <v>614</v>
          </cell>
          <cell r="AF476">
            <v>762</v>
          </cell>
          <cell r="AG476">
            <v>-148</v>
          </cell>
        </row>
        <row r="477">
          <cell r="C477">
            <v>233285</v>
          </cell>
          <cell r="D477" t="str">
            <v>SHIV NINE PETROLEUM</v>
          </cell>
          <cell r="E477" t="str">
            <v>BPCL</v>
          </cell>
          <cell r="F477" t="str">
            <v>2021-22</v>
          </cell>
          <cell r="G477" t="str">
            <v>Ahmednagar West RSA</v>
          </cell>
          <cell r="J477" t="str">
            <v>JAKHANGAON</v>
          </cell>
          <cell r="K477" t="str">
            <v>Ahmednagar</v>
          </cell>
          <cell r="L477" t="str">
            <v>D1</v>
          </cell>
          <cell r="M477" t="str">
            <v>NH-61</v>
          </cell>
          <cell r="O477" t="str">
            <v>A</v>
          </cell>
          <cell r="P477">
            <v>45.5</v>
          </cell>
          <cell r="Q477">
            <v>90.5</v>
          </cell>
          <cell r="R477">
            <v>41</v>
          </cell>
          <cell r="S477">
            <v>84</v>
          </cell>
          <cell r="T477">
            <v>4.5</v>
          </cell>
          <cell r="U477">
            <v>6.5</v>
          </cell>
          <cell r="V477">
            <v>77</v>
          </cell>
          <cell r="W477">
            <v>149</v>
          </cell>
          <cell r="X477">
            <v>73</v>
          </cell>
          <cell r="Y477">
            <v>166</v>
          </cell>
          <cell r="Z477">
            <v>4</v>
          </cell>
          <cell r="AA477">
            <v>-17</v>
          </cell>
          <cell r="AB477">
            <v>136</v>
          </cell>
          <cell r="AC477">
            <v>125</v>
          </cell>
          <cell r="AD477">
            <v>11</v>
          </cell>
          <cell r="AE477">
            <v>226</v>
          </cell>
          <cell r="AF477">
            <v>239</v>
          </cell>
          <cell r="AG477">
            <v>-13</v>
          </cell>
        </row>
        <row r="478">
          <cell r="C478">
            <v>233370</v>
          </cell>
          <cell r="D478" t="str">
            <v>SHRI SIDDHIVINAYAK PETROLEUM</v>
          </cell>
          <cell r="E478" t="str">
            <v>BPCL</v>
          </cell>
          <cell r="F478" t="str">
            <v>2021-22</v>
          </cell>
          <cell r="G478" t="str">
            <v>Ahmednagar West RSA</v>
          </cell>
          <cell r="J478" t="str">
            <v>TAKLI KAZI</v>
          </cell>
          <cell r="K478" t="str">
            <v>Ahmednagar</v>
          </cell>
          <cell r="L478" t="str">
            <v>D1</v>
          </cell>
          <cell r="M478" t="str">
            <v>NH-561</v>
          </cell>
          <cell r="O478" t="str">
            <v>A</v>
          </cell>
          <cell r="P478">
            <v>51.5</v>
          </cell>
          <cell r="Q478">
            <v>51.5</v>
          </cell>
          <cell r="R478">
            <v>63</v>
          </cell>
          <cell r="S478">
            <v>81</v>
          </cell>
          <cell r="T478">
            <v>-11.5</v>
          </cell>
          <cell r="U478">
            <v>-29.5</v>
          </cell>
          <cell r="V478">
            <v>114.5</v>
          </cell>
          <cell r="W478">
            <v>120.5</v>
          </cell>
          <cell r="X478">
            <v>112</v>
          </cell>
          <cell r="Y478">
            <v>155</v>
          </cell>
          <cell r="Z478">
            <v>2.5</v>
          </cell>
          <cell r="AA478">
            <v>-34.5</v>
          </cell>
          <cell r="AB478">
            <v>103</v>
          </cell>
          <cell r="AC478">
            <v>144</v>
          </cell>
          <cell r="AD478">
            <v>-41</v>
          </cell>
          <cell r="AE478">
            <v>235</v>
          </cell>
          <cell r="AF478">
            <v>267</v>
          </cell>
          <cell r="AG478">
            <v>-32</v>
          </cell>
        </row>
        <row r="479">
          <cell r="C479">
            <v>233622</v>
          </cell>
          <cell r="D479" t="str">
            <v>SWAMI OM PETROLEUM</v>
          </cell>
          <cell r="E479" t="str">
            <v>BPCL</v>
          </cell>
          <cell r="F479" t="str">
            <v>2021-22</v>
          </cell>
          <cell r="G479" t="str">
            <v>Pune Hadapsar RSA</v>
          </cell>
          <cell r="J479" t="str">
            <v>Rajegaon</v>
          </cell>
          <cell r="K479" t="str">
            <v>Pune</v>
          </cell>
          <cell r="L479" t="str">
            <v>E</v>
          </cell>
          <cell r="O479" t="str">
            <v>A</v>
          </cell>
          <cell r="P479">
            <v>19</v>
          </cell>
          <cell r="Q479">
            <v>53</v>
          </cell>
          <cell r="R479">
            <v>26</v>
          </cell>
          <cell r="S479">
            <v>42</v>
          </cell>
          <cell r="T479">
            <v>-7</v>
          </cell>
          <cell r="U479">
            <v>11</v>
          </cell>
          <cell r="V479">
            <v>38</v>
          </cell>
          <cell r="W479">
            <v>94</v>
          </cell>
          <cell r="X479">
            <v>52</v>
          </cell>
          <cell r="Y479">
            <v>100</v>
          </cell>
          <cell r="Z479">
            <v>-14</v>
          </cell>
          <cell r="AA479">
            <v>-6</v>
          </cell>
          <cell r="AB479">
            <v>72</v>
          </cell>
          <cell r="AC479">
            <v>68</v>
          </cell>
          <cell r="AD479">
            <v>4</v>
          </cell>
          <cell r="AE479">
            <v>132</v>
          </cell>
          <cell r="AF479">
            <v>152</v>
          </cell>
          <cell r="AG479">
            <v>-20</v>
          </cell>
        </row>
        <row r="480">
          <cell r="C480">
            <v>233630</v>
          </cell>
          <cell r="D480" t="str">
            <v>GAWADE ENERGY STATION</v>
          </cell>
          <cell r="E480" t="str">
            <v>BPCL</v>
          </cell>
          <cell r="F480" t="str">
            <v>2021-22</v>
          </cell>
          <cell r="G480" t="str">
            <v>Pimpri Chinchwad RSA</v>
          </cell>
          <cell r="J480" t="str">
            <v>Rajgurunagar on SH</v>
          </cell>
          <cell r="K480" t="str">
            <v>Pune</v>
          </cell>
          <cell r="L480" t="str">
            <v>D2</v>
          </cell>
          <cell r="O480" t="str">
            <v>A</v>
          </cell>
          <cell r="P480">
            <v>33</v>
          </cell>
          <cell r="Q480">
            <v>59</v>
          </cell>
          <cell r="R480">
            <v>33</v>
          </cell>
          <cell r="S480">
            <v>43</v>
          </cell>
          <cell r="T480">
            <v>0</v>
          </cell>
          <cell r="U480">
            <v>16</v>
          </cell>
          <cell r="V480">
            <v>61</v>
          </cell>
          <cell r="W480">
            <v>103</v>
          </cell>
          <cell r="X480">
            <v>66</v>
          </cell>
          <cell r="Y480">
            <v>82</v>
          </cell>
          <cell r="Z480">
            <v>-5</v>
          </cell>
          <cell r="AA480">
            <v>21</v>
          </cell>
          <cell r="AB480">
            <v>92</v>
          </cell>
          <cell r="AC480">
            <v>76</v>
          </cell>
          <cell r="AD480">
            <v>16</v>
          </cell>
          <cell r="AE480">
            <v>164</v>
          </cell>
          <cell r="AF480">
            <v>148</v>
          </cell>
          <cell r="AG480">
            <v>16</v>
          </cell>
        </row>
        <row r="481">
          <cell r="C481">
            <v>233639</v>
          </cell>
          <cell r="D481" t="str">
            <v>ANANDA PETROLEUM</v>
          </cell>
          <cell r="E481" t="str">
            <v>BPCL</v>
          </cell>
          <cell r="F481" t="str">
            <v>2021-22</v>
          </cell>
          <cell r="G481" t="str">
            <v>Pune Hadapsar RSA</v>
          </cell>
          <cell r="J481" t="str">
            <v>Nagargaon</v>
          </cell>
          <cell r="K481" t="str">
            <v>Pune</v>
          </cell>
          <cell r="L481" t="str">
            <v>E</v>
          </cell>
          <cell r="O481" t="str">
            <v>A</v>
          </cell>
          <cell r="P481">
            <v>9</v>
          </cell>
          <cell r="Q481">
            <v>63</v>
          </cell>
          <cell r="R481">
            <v>0</v>
          </cell>
          <cell r="S481">
            <v>0</v>
          </cell>
          <cell r="T481">
            <v>9</v>
          </cell>
          <cell r="U481">
            <v>63</v>
          </cell>
          <cell r="V481">
            <v>15</v>
          </cell>
          <cell r="W481">
            <v>105</v>
          </cell>
          <cell r="X481">
            <v>0</v>
          </cell>
          <cell r="Y481">
            <v>0</v>
          </cell>
          <cell r="Z481">
            <v>15</v>
          </cell>
          <cell r="AA481">
            <v>105</v>
          </cell>
          <cell r="AB481">
            <v>72</v>
          </cell>
          <cell r="AC481">
            <v>0</v>
          </cell>
          <cell r="AD481">
            <v>72</v>
          </cell>
          <cell r="AE481">
            <v>120</v>
          </cell>
          <cell r="AF481">
            <v>0</v>
          </cell>
          <cell r="AG481">
            <v>120</v>
          </cell>
        </row>
        <row r="482">
          <cell r="C482">
            <v>234218</v>
          </cell>
          <cell r="D482" t="str">
            <v>RAJASHREE PETROLEUM</v>
          </cell>
          <cell r="E482" t="str">
            <v>BPCL</v>
          </cell>
          <cell r="F482" t="str">
            <v>2021-22</v>
          </cell>
          <cell r="G482" t="str">
            <v>Shirdi RSA</v>
          </cell>
          <cell r="J482" t="str">
            <v>KOLHEWADI</v>
          </cell>
          <cell r="K482" t="str">
            <v>Ahmednagar</v>
          </cell>
          <cell r="L482" t="str">
            <v>E</v>
          </cell>
          <cell r="O482" t="str">
            <v>A</v>
          </cell>
          <cell r="P482">
            <v>12</v>
          </cell>
          <cell r="Q482">
            <v>36</v>
          </cell>
          <cell r="R482">
            <v>18</v>
          </cell>
          <cell r="S482">
            <v>54</v>
          </cell>
          <cell r="T482">
            <v>-6</v>
          </cell>
          <cell r="U482">
            <v>-18</v>
          </cell>
          <cell r="V482">
            <v>27</v>
          </cell>
          <cell r="W482">
            <v>69</v>
          </cell>
          <cell r="X482">
            <v>21</v>
          </cell>
          <cell r="Y482">
            <v>87</v>
          </cell>
          <cell r="Z482">
            <v>6</v>
          </cell>
          <cell r="AA482">
            <v>-18</v>
          </cell>
          <cell r="AB482">
            <v>48</v>
          </cell>
          <cell r="AC482">
            <v>72</v>
          </cell>
          <cell r="AD482">
            <v>-24</v>
          </cell>
          <cell r="AE482">
            <v>96</v>
          </cell>
          <cell r="AF482">
            <v>108</v>
          </cell>
          <cell r="AG482">
            <v>-12</v>
          </cell>
        </row>
        <row r="483">
          <cell r="C483">
            <v>234441</v>
          </cell>
          <cell r="D483" t="str">
            <v>SHIVSHAKTI GROUP OF PETROLEUM</v>
          </cell>
          <cell r="E483" t="str">
            <v>BPCL</v>
          </cell>
          <cell r="F483" t="str">
            <v>2022-23</v>
          </cell>
          <cell r="G483" t="str">
            <v>Pimpri Chinchwad RSA</v>
          </cell>
          <cell r="J483" t="str">
            <v>sakhurde</v>
          </cell>
          <cell r="K483" t="str">
            <v>Pune</v>
          </cell>
          <cell r="L483" t="str">
            <v>D1</v>
          </cell>
          <cell r="M483" t="str">
            <v>NH-548D</v>
          </cell>
          <cell r="O483" t="str">
            <v>B</v>
          </cell>
          <cell r="P483">
            <v>30</v>
          </cell>
          <cell r="Q483">
            <v>104</v>
          </cell>
          <cell r="R483">
            <v>24</v>
          </cell>
          <cell r="S483">
            <v>108</v>
          </cell>
          <cell r="T483">
            <v>6</v>
          </cell>
          <cell r="U483">
            <v>-4</v>
          </cell>
          <cell r="V483">
            <v>54</v>
          </cell>
          <cell r="W483">
            <v>224</v>
          </cell>
          <cell r="X483">
            <v>48</v>
          </cell>
          <cell r="Y483">
            <v>204</v>
          </cell>
          <cell r="Z483">
            <v>6</v>
          </cell>
          <cell r="AA483">
            <v>20</v>
          </cell>
          <cell r="AB483">
            <v>134</v>
          </cell>
          <cell r="AC483">
            <v>132</v>
          </cell>
          <cell r="AD483">
            <v>2</v>
          </cell>
          <cell r="AE483">
            <v>278</v>
          </cell>
          <cell r="AF483">
            <v>252</v>
          </cell>
          <cell r="AG483">
            <v>26</v>
          </cell>
        </row>
        <row r="484">
          <cell r="C484">
            <v>234442</v>
          </cell>
          <cell r="D484" t="str">
            <v>SBS ENERGY</v>
          </cell>
          <cell r="E484" t="str">
            <v>BPCL</v>
          </cell>
          <cell r="F484" t="str">
            <v>2022-23</v>
          </cell>
          <cell r="G484" t="str">
            <v>Pune Wagholi RSA</v>
          </cell>
          <cell r="J484" t="str">
            <v>Otur Malshej</v>
          </cell>
          <cell r="K484" t="str">
            <v>Pune</v>
          </cell>
          <cell r="L484" t="str">
            <v>D1</v>
          </cell>
          <cell r="M484" t="str">
            <v>NH-61</v>
          </cell>
          <cell r="O484" t="str">
            <v>A</v>
          </cell>
          <cell r="P484">
            <v>32</v>
          </cell>
          <cell r="Q484">
            <v>68</v>
          </cell>
          <cell r="R484">
            <v>21</v>
          </cell>
          <cell r="S484">
            <v>39</v>
          </cell>
          <cell r="T484">
            <v>11</v>
          </cell>
          <cell r="U484">
            <v>29</v>
          </cell>
          <cell r="V484">
            <v>59</v>
          </cell>
          <cell r="W484">
            <v>137</v>
          </cell>
          <cell r="X484">
            <v>38</v>
          </cell>
          <cell r="Y484">
            <v>94</v>
          </cell>
          <cell r="Z484">
            <v>21</v>
          </cell>
          <cell r="AA484">
            <v>43</v>
          </cell>
          <cell r="AB484">
            <v>100</v>
          </cell>
          <cell r="AC484">
            <v>60</v>
          </cell>
          <cell r="AD484">
            <v>40</v>
          </cell>
          <cell r="AE484">
            <v>196</v>
          </cell>
          <cell r="AF484">
            <v>132</v>
          </cell>
          <cell r="AG484">
            <v>64</v>
          </cell>
        </row>
        <row r="485">
          <cell r="C485">
            <v>234445</v>
          </cell>
          <cell r="D485" t="str">
            <v>PUJA PETROLEUM</v>
          </cell>
          <cell r="E485" t="str">
            <v>BPCL</v>
          </cell>
          <cell r="F485" t="str">
            <v>2021-22</v>
          </cell>
          <cell r="G485" t="str">
            <v>Pune Tathawade RSA</v>
          </cell>
          <cell r="J485" t="str">
            <v>MORGAON-BARAMATI RD</v>
          </cell>
          <cell r="K485" t="str">
            <v>Pune</v>
          </cell>
          <cell r="L485" t="str">
            <v>D2</v>
          </cell>
          <cell r="O485" t="str">
            <v>A</v>
          </cell>
          <cell r="P485">
            <v>5</v>
          </cell>
          <cell r="Q485">
            <v>15</v>
          </cell>
          <cell r="R485">
            <v>5</v>
          </cell>
          <cell r="S485">
            <v>15</v>
          </cell>
          <cell r="T485">
            <v>0</v>
          </cell>
          <cell r="U485">
            <v>0</v>
          </cell>
          <cell r="V485">
            <v>15</v>
          </cell>
          <cell r="W485">
            <v>45</v>
          </cell>
          <cell r="X485">
            <v>15</v>
          </cell>
          <cell r="Y485">
            <v>45</v>
          </cell>
          <cell r="Z485">
            <v>0</v>
          </cell>
          <cell r="AA485">
            <v>0</v>
          </cell>
          <cell r="AB485">
            <v>20</v>
          </cell>
          <cell r="AC485">
            <v>20</v>
          </cell>
          <cell r="AD485">
            <v>0</v>
          </cell>
          <cell r="AE485">
            <v>60</v>
          </cell>
          <cell r="AF485">
            <v>60</v>
          </cell>
          <cell r="AG485">
            <v>0</v>
          </cell>
        </row>
        <row r="486">
          <cell r="C486">
            <v>234483</v>
          </cell>
          <cell r="D486" t="str">
            <v>SHRI VADJAI PETROLEUM</v>
          </cell>
          <cell r="E486" t="str">
            <v>BPCL</v>
          </cell>
          <cell r="F486" t="str">
            <v>2022-23</v>
          </cell>
          <cell r="G486" t="str">
            <v>Satara East RSA</v>
          </cell>
          <cell r="J486" t="str">
            <v>VADJAL</v>
          </cell>
          <cell r="K486" t="str">
            <v>Satara</v>
          </cell>
          <cell r="L486" t="str">
            <v>D2</v>
          </cell>
          <cell r="O486" t="str">
            <v>B</v>
          </cell>
          <cell r="P486">
            <v>36</v>
          </cell>
          <cell r="Q486">
            <v>92</v>
          </cell>
          <cell r="R486">
            <v>30</v>
          </cell>
          <cell r="S486">
            <v>70</v>
          </cell>
          <cell r="T486">
            <v>6</v>
          </cell>
          <cell r="U486">
            <v>22</v>
          </cell>
          <cell r="V486">
            <v>76</v>
          </cell>
          <cell r="W486">
            <v>192</v>
          </cell>
          <cell r="X486">
            <v>64</v>
          </cell>
          <cell r="Y486">
            <v>160</v>
          </cell>
          <cell r="Z486">
            <v>12</v>
          </cell>
          <cell r="AA486">
            <v>32</v>
          </cell>
          <cell r="AB486">
            <v>128</v>
          </cell>
          <cell r="AC486">
            <v>100</v>
          </cell>
          <cell r="AD486">
            <v>28</v>
          </cell>
          <cell r="AE486">
            <v>268</v>
          </cell>
          <cell r="AF486">
            <v>224</v>
          </cell>
          <cell r="AG486">
            <v>44</v>
          </cell>
        </row>
        <row r="487">
          <cell r="C487">
            <v>235268</v>
          </cell>
          <cell r="D487" t="str">
            <v>AVNISH FUELS PRIVATE LIMITED</v>
          </cell>
          <cell r="E487" t="str">
            <v>BPCL</v>
          </cell>
          <cell r="G487" t="str">
            <v>Shirdi RSA</v>
          </cell>
          <cell r="J487" t="str">
            <v>DDD</v>
          </cell>
          <cell r="K487" t="str">
            <v>Ahmednagar</v>
          </cell>
          <cell r="L487" t="str">
            <v>D2</v>
          </cell>
          <cell r="O487" t="str">
            <v>A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</row>
        <row r="488">
          <cell r="C488">
            <v>235439</v>
          </cell>
          <cell r="D488" t="str">
            <v>SHRI SWAMI SAI FUELS</v>
          </cell>
          <cell r="E488" t="str">
            <v>BPCL</v>
          </cell>
          <cell r="F488" t="str">
            <v>2022-23</v>
          </cell>
          <cell r="G488" t="str">
            <v>Shirdi RSA</v>
          </cell>
          <cell r="J488" t="str">
            <v>DAHIGAON BOLKA</v>
          </cell>
          <cell r="K488" t="str">
            <v>Ahmednagar</v>
          </cell>
          <cell r="L488" t="str">
            <v>D1</v>
          </cell>
          <cell r="M488" t="str">
            <v>NH-160</v>
          </cell>
          <cell r="O488" t="str">
            <v>B</v>
          </cell>
          <cell r="P488">
            <v>30</v>
          </cell>
          <cell r="Q488">
            <v>78</v>
          </cell>
          <cell r="R488">
            <v>35</v>
          </cell>
          <cell r="S488">
            <v>81</v>
          </cell>
          <cell r="T488">
            <v>-5</v>
          </cell>
          <cell r="U488">
            <v>-3</v>
          </cell>
          <cell r="V488">
            <v>51</v>
          </cell>
          <cell r="W488">
            <v>141</v>
          </cell>
          <cell r="X488">
            <v>69</v>
          </cell>
          <cell r="Y488">
            <v>151</v>
          </cell>
          <cell r="Z488">
            <v>-18</v>
          </cell>
          <cell r="AA488">
            <v>-10</v>
          </cell>
          <cell r="AB488">
            <v>108</v>
          </cell>
          <cell r="AC488">
            <v>116</v>
          </cell>
          <cell r="AD488">
            <v>-8</v>
          </cell>
          <cell r="AE488">
            <v>192</v>
          </cell>
          <cell r="AF488">
            <v>220</v>
          </cell>
          <cell r="AG488">
            <v>-28</v>
          </cell>
        </row>
        <row r="489">
          <cell r="C489">
            <v>235775</v>
          </cell>
          <cell r="D489" t="str">
            <v>CHANDRAKANT PETROLEUM</v>
          </cell>
          <cell r="E489" t="str">
            <v>BPCL</v>
          </cell>
          <cell r="F489" t="str">
            <v>2022-23</v>
          </cell>
          <cell r="G489" t="str">
            <v>Shirdi RSA</v>
          </cell>
          <cell r="J489" t="str">
            <v>RAJUR</v>
          </cell>
          <cell r="K489" t="str">
            <v>Ahmednagar</v>
          </cell>
          <cell r="L489" t="str">
            <v>D2</v>
          </cell>
          <cell r="O489" t="str">
            <v>B</v>
          </cell>
          <cell r="P489">
            <v>81</v>
          </cell>
          <cell r="Q489">
            <v>75</v>
          </cell>
          <cell r="R489">
            <v>87</v>
          </cell>
          <cell r="S489">
            <v>113</v>
          </cell>
          <cell r="T489">
            <v>-6</v>
          </cell>
          <cell r="U489">
            <v>-38</v>
          </cell>
          <cell r="V489">
            <v>148</v>
          </cell>
          <cell r="W489">
            <v>148</v>
          </cell>
          <cell r="X489">
            <v>152</v>
          </cell>
          <cell r="Y489">
            <v>184</v>
          </cell>
          <cell r="Z489">
            <v>-4</v>
          </cell>
          <cell r="AA489">
            <v>-36</v>
          </cell>
          <cell r="AB489">
            <v>156</v>
          </cell>
          <cell r="AC489">
            <v>200</v>
          </cell>
          <cell r="AD489">
            <v>-44</v>
          </cell>
          <cell r="AE489">
            <v>296</v>
          </cell>
          <cell r="AF489">
            <v>336</v>
          </cell>
          <cell r="AG489">
            <v>-40</v>
          </cell>
        </row>
        <row r="490">
          <cell r="C490">
            <v>235776</v>
          </cell>
          <cell r="D490" t="str">
            <v>DHOKESHWAR SAINIK PUMP</v>
          </cell>
          <cell r="E490" t="str">
            <v>BPCL</v>
          </cell>
          <cell r="F490" t="str">
            <v>2022-23</v>
          </cell>
          <cell r="G490" t="str">
            <v>Ahmednagar West RSA</v>
          </cell>
          <cell r="J490" t="str">
            <v>WASUNDE</v>
          </cell>
          <cell r="K490" t="str">
            <v>Ahmednagar</v>
          </cell>
          <cell r="L490" t="str">
            <v>D2</v>
          </cell>
          <cell r="O490" t="str">
            <v>B</v>
          </cell>
          <cell r="P490">
            <v>31.5</v>
          </cell>
          <cell r="Q490">
            <v>73.5</v>
          </cell>
          <cell r="R490">
            <v>42</v>
          </cell>
          <cell r="S490">
            <v>96</v>
          </cell>
          <cell r="T490">
            <v>-10.5</v>
          </cell>
          <cell r="U490">
            <v>-22.5</v>
          </cell>
          <cell r="V490">
            <v>73.5</v>
          </cell>
          <cell r="W490">
            <v>143.5</v>
          </cell>
          <cell r="X490">
            <v>81</v>
          </cell>
          <cell r="Y490">
            <v>170</v>
          </cell>
          <cell r="Z490">
            <v>-7.5</v>
          </cell>
          <cell r="AA490">
            <v>-26.5</v>
          </cell>
          <cell r="AB490">
            <v>105</v>
          </cell>
          <cell r="AC490">
            <v>138</v>
          </cell>
          <cell r="AD490">
            <v>-33</v>
          </cell>
          <cell r="AE490">
            <v>217</v>
          </cell>
          <cell r="AF490">
            <v>251</v>
          </cell>
          <cell r="AG490">
            <v>-34</v>
          </cell>
        </row>
        <row r="491">
          <cell r="C491">
            <v>235805</v>
          </cell>
          <cell r="D491" t="str">
            <v>VIJAYA PETROLEUM</v>
          </cell>
          <cell r="E491" t="str">
            <v>BPCL</v>
          </cell>
          <cell r="F491" t="str">
            <v>2022-23</v>
          </cell>
          <cell r="G491" t="str">
            <v>Shirdi RSA</v>
          </cell>
          <cell r="J491" t="str">
            <v>GHARGAON Nashik-Pune LHS</v>
          </cell>
          <cell r="K491" t="str">
            <v>Ahmednagar</v>
          </cell>
          <cell r="L491" t="str">
            <v>D1</v>
          </cell>
          <cell r="M491" t="str">
            <v>NH-60</v>
          </cell>
          <cell r="O491" t="str">
            <v>A</v>
          </cell>
          <cell r="P491">
            <v>39</v>
          </cell>
          <cell r="Q491">
            <v>117</v>
          </cell>
          <cell r="R491">
            <v>29</v>
          </cell>
          <cell r="S491">
            <v>87</v>
          </cell>
          <cell r="T491">
            <v>10</v>
          </cell>
          <cell r="U491">
            <v>30</v>
          </cell>
          <cell r="V491">
            <v>84</v>
          </cell>
          <cell r="W491">
            <v>240</v>
          </cell>
          <cell r="X491">
            <v>57</v>
          </cell>
          <cell r="Y491">
            <v>183</v>
          </cell>
          <cell r="Z491">
            <v>27</v>
          </cell>
          <cell r="AA491">
            <v>57</v>
          </cell>
          <cell r="AB491">
            <v>156</v>
          </cell>
          <cell r="AC491">
            <v>116</v>
          </cell>
          <cell r="AD491">
            <v>40</v>
          </cell>
          <cell r="AE491">
            <v>324</v>
          </cell>
          <cell r="AF491">
            <v>240</v>
          </cell>
          <cell r="AG491">
            <v>84</v>
          </cell>
        </row>
        <row r="492">
          <cell r="C492">
            <v>236967</v>
          </cell>
          <cell r="D492" t="str">
            <v>KHUPTE PETROLEUM</v>
          </cell>
          <cell r="E492" t="str">
            <v>BPCL</v>
          </cell>
          <cell r="F492" t="str">
            <v>2022-23</v>
          </cell>
          <cell r="G492" t="str">
            <v>Pune Wagholi RSA</v>
          </cell>
          <cell r="J492" t="str">
            <v>Malthan</v>
          </cell>
          <cell r="K492" t="str">
            <v>Pune</v>
          </cell>
          <cell r="L492" t="str">
            <v>D2</v>
          </cell>
          <cell r="O492" t="str">
            <v>B</v>
          </cell>
          <cell r="P492">
            <v>13</v>
          </cell>
          <cell r="Q492">
            <v>35</v>
          </cell>
          <cell r="R492">
            <v>13</v>
          </cell>
          <cell r="S492">
            <v>35</v>
          </cell>
          <cell r="T492">
            <v>0</v>
          </cell>
          <cell r="U492">
            <v>0</v>
          </cell>
          <cell r="V492">
            <v>23</v>
          </cell>
          <cell r="W492">
            <v>61</v>
          </cell>
          <cell r="X492">
            <v>23</v>
          </cell>
          <cell r="Y492">
            <v>61</v>
          </cell>
          <cell r="Z492">
            <v>0</v>
          </cell>
          <cell r="AA492">
            <v>0</v>
          </cell>
          <cell r="AB492">
            <v>48</v>
          </cell>
          <cell r="AC492">
            <v>48</v>
          </cell>
          <cell r="AD492">
            <v>0</v>
          </cell>
          <cell r="AE492">
            <v>84</v>
          </cell>
          <cell r="AF492">
            <v>84</v>
          </cell>
          <cell r="AG492">
            <v>0</v>
          </cell>
        </row>
        <row r="493">
          <cell r="C493">
            <v>238950</v>
          </cell>
          <cell r="D493" t="str">
            <v>SHREESH ENERGY – Nagthane, Satara on NH-04, D1</v>
          </cell>
          <cell r="E493" t="str">
            <v>BPCL</v>
          </cell>
          <cell r="F493" t="str">
            <v>2022-23</v>
          </cell>
          <cell r="G493" t="str">
            <v>Satara West RSA</v>
          </cell>
          <cell r="J493" t="str">
            <v>KASHIL TO SHENDRE</v>
          </cell>
          <cell r="K493" t="str">
            <v>Satara</v>
          </cell>
          <cell r="L493" t="str">
            <v>D1</v>
          </cell>
          <cell r="M493" t="str">
            <v>NH-48</v>
          </cell>
          <cell r="O493" t="str">
            <v>B</v>
          </cell>
          <cell r="P493">
            <v>52</v>
          </cell>
          <cell r="Q493">
            <v>62</v>
          </cell>
          <cell r="R493">
            <v>54</v>
          </cell>
          <cell r="S493">
            <v>54</v>
          </cell>
          <cell r="T493">
            <v>-2</v>
          </cell>
          <cell r="U493">
            <v>8</v>
          </cell>
          <cell r="V493">
            <v>76</v>
          </cell>
          <cell r="W493">
            <v>122</v>
          </cell>
          <cell r="X493">
            <v>97</v>
          </cell>
          <cell r="Y493">
            <v>95</v>
          </cell>
          <cell r="Z493">
            <v>-21</v>
          </cell>
          <cell r="AA493">
            <v>27</v>
          </cell>
          <cell r="AB493">
            <v>114</v>
          </cell>
          <cell r="AC493">
            <v>108</v>
          </cell>
          <cell r="AD493">
            <v>6</v>
          </cell>
          <cell r="AE493">
            <v>198</v>
          </cell>
          <cell r="AF493">
            <v>192</v>
          </cell>
          <cell r="AG493">
            <v>6</v>
          </cell>
        </row>
        <row r="494">
          <cell r="C494">
            <v>238952</v>
          </cell>
          <cell r="D494" t="str">
            <v>TULJAI PETROLEUM</v>
          </cell>
          <cell r="E494" t="str">
            <v>BPCL</v>
          </cell>
          <cell r="F494" t="str">
            <v>2022-23</v>
          </cell>
          <cell r="G494" t="str">
            <v>Satara West RSA</v>
          </cell>
          <cell r="J494" t="str">
            <v>Asale - Wai Road</v>
          </cell>
          <cell r="K494" t="str">
            <v>Satara</v>
          </cell>
          <cell r="L494" t="str">
            <v>E</v>
          </cell>
          <cell r="O494" t="str">
            <v>B</v>
          </cell>
          <cell r="P494">
            <v>20</v>
          </cell>
          <cell r="Q494">
            <v>26</v>
          </cell>
          <cell r="R494">
            <v>40</v>
          </cell>
          <cell r="S494">
            <v>44</v>
          </cell>
          <cell r="T494">
            <v>-20</v>
          </cell>
          <cell r="U494">
            <v>-18</v>
          </cell>
          <cell r="V494">
            <v>38</v>
          </cell>
          <cell r="W494">
            <v>44</v>
          </cell>
          <cell r="X494">
            <v>68</v>
          </cell>
          <cell r="Y494">
            <v>76</v>
          </cell>
          <cell r="Z494">
            <v>-30</v>
          </cell>
          <cell r="AA494">
            <v>-32</v>
          </cell>
          <cell r="AB494">
            <v>46</v>
          </cell>
          <cell r="AC494">
            <v>84</v>
          </cell>
          <cell r="AD494">
            <v>-38</v>
          </cell>
          <cell r="AE494">
            <v>82</v>
          </cell>
          <cell r="AF494">
            <v>144</v>
          </cell>
          <cell r="AG494">
            <v>-62</v>
          </cell>
        </row>
        <row r="495">
          <cell r="C495">
            <v>238957</v>
          </cell>
          <cell r="D495" t="str">
            <v>BHAGYALAXMI PETROLEUM – Kenjal (Wai Shirur Road, D2, Satara)</v>
          </cell>
          <cell r="E495" t="str">
            <v>BPCL</v>
          </cell>
          <cell r="F495" t="str">
            <v>2022-23</v>
          </cell>
          <cell r="G495" t="str">
            <v>Satara West RSA</v>
          </cell>
          <cell r="J495" t="str">
            <v>Kavthe Wai Surur Road</v>
          </cell>
          <cell r="K495" t="str">
            <v>Satara</v>
          </cell>
          <cell r="L495" t="str">
            <v>D2</v>
          </cell>
          <cell r="O495" t="str">
            <v>B</v>
          </cell>
          <cell r="P495">
            <v>60</v>
          </cell>
          <cell r="Q495">
            <v>140</v>
          </cell>
          <cell r="R495">
            <v>43</v>
          </cell>
          <cell r="S495">
            <v>117</v>
          </cell>
          <cell r="T495">
            <v>17</v>
          </cell>
          <cell r="U495">
            <v>23</v>
          </cell>
          <cell r="V495">
            <v>100</v>
          </cell>
          <cell r="W495">
            <v>292</v>
          </cell>
          <cell r="X495">
            <v>76</v>
          </cell>
          <cell r="Y495">
            <v>216</v>
          </cell>
          <cell r="Z495">
            <v>24</v>
          </cell>
          <cell r="AA495">
            <v>76</v>
          </cell>
          <cell r="AB495">
            <v>200</v>
          </cell>
          <cell r="AC495">
            <v>160</v>
          </cell>
          <cell r="AD495">
            <v>40</v>
          </cell>
          <cell r="AE495">
            <v>392</v>
          </cell>
          <cell r="AF495">
            <v>292</v>
          </cell>
          <cell r="AG495">
            <v>100</v>
          </cell>
        </row>
        <row r="496">
          <cell r="C496">
            <v>239256</v>
          </cell>
          <cell r="D496" t="str">
            <v>FUELZING TECHNOLOGIES PRIVATE LTD</v>
          </cell>
          <cell r="E496" t="str">
            <v>BPCL</v>
          </cell>
          <cell r="G496" t="str">
            <v>Pune City RSA</v>
          </cell>
          <cell r="J496" t="str">
            <v>DDD</v>
          </cell>
          <cell r="K496" t="str">
            <v>Pune</v>
          </cell>
          <cell r="L496" t="str">
            <v>D1</v>
          </cell>
          <cell r="M496" t="str">
            <v>NH-753F</v>
          </cell>
          <cell r="O496" t="str">
            <v>A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</row>
        <row r="497">
          <cell r="C497">
            <v>239865</v>
          </cell>
          <cell r="D497" t="str">
            <v>HENDRE PETROLEUM</v>
          </cell>
          <cell r="E497" t="str">
            <v>BPCL</v>
          </cell>
          <cell r="F497" t="str">
            <v>2022-23</v>
          </cell>
          <cell r="G497" t="str">
            <v>Pune Saswad RSA</v>
          </cell>
          <cell r="J497" t="str">
            <v>SASWAD</v>
          </cell>
          <cell r="K497" t="str">
            <v>Pune</v>
          </cell>
          <cell r="L497" t="str">
            <v>C</v>
          </cell>
          <cell r="O497" t="str">
            <v>B</v>
          </cell>
          <cell r="P497">
            <v>21</v>
          </cell>
          <cell r="Q497">
            <v>63</v>
          </cell>
          <cell r="R497">
            <v>18</v>
          </cell>
          <cell r="S497">
            <v>78</v>
          </cell>
          <cell r="T497">
            <v>3</v>
          </cell>
          <cell r="U497">
            <v>-15</v>
          </cell>
          <cell r="V497">
            <v>36</v>
          </cell>
          <cell r="W497">
            <v>120</v>
          </cell>
          <cell r="X497">
            <v>27</v>
          </cell>
          <cell r="Y497">
            <v>153</v>
          </cell>
          <cell r="Z497">
            <v>9</v>
          </cell>
          <cell r="AA497">
            <v>-33</v>
          </cell>
          <cell r="AB497">
            <v>84</v>
          </cell>
          <cell r="AC497">
            <v>96</v>
          </cell>
          <cell r="AD497">
            <v>-12</v>
          </cell>
          <cell r="AE497">
            <v>156</v>
          </cell>
          <cell r="AF497">
            <v>180</v>
          </cell>
          <cell r="AG497">
            <v>-24</v>
          </cell>
        </row>
        <row r="498">
          <cell r="C498">
            <v>239910</v>
          </cell>
          <cell r="D498" t="str">
            <v>VELOCITY ENERGIES PRIVATE LTD</v>
          </cell>
          <cell r="E498" t="str">
            <v>BPCL</v>
          </cell>
          <cell r="G498" t="str">
            <v>Pimpri Chinchwad RSA</v>
          </cell>
          <cell r="J498" t="str">
            <v>DDD</v>
          </cell>
          <cell r="K498" t="str">
            <v>Pune</v>
          </cell>
          <cell r="L498" t="str">
            <v>D1</v>
          </cell>
          <cell r="M498" t="str">
            <v>NH-548D</v>
          </cell>
          <cell r="O498" t="str">
            <v>A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</row>
        <row r="499">
          <cell r="C499">
            <v>240102</v>
          </cell>
          <cell r="D499" t="str">
            <v>Thange Petroleum</v>
          </cell>
          <cell r="E499" t="str">
            <v>BPCL</v>
          </cell>
          <cell r="F499" t="str">
            <v>2022-23</v>
          </cell>
          <cell r="G499" t="str">
            <v>Ahmednagar East RSA</v>
          </cell>
          <cell r="J499" t="str">
            <v>nalegaon</v>
          </cell>
          <cell r="K499" t="str">
            <v>Ahmednagar</v>
          </cell>
          <cell r="L499" t="str">
            <v>C</v>
          </cell>
          <cell r="O499" t="str">
            <v>A</v>
          </cell>
          <cell r="P499">
            <v>104.5</v>
          </cell>
          <cell r="Q499">
            <v>97.5</v>
          </cell>
          <cell r="R499">
            <v>101</v>
          </cell>
          <cell r="S499">
            <v>72</v>
          </cell>
          <cell r="T499">
            <v>3.5</v>
          </cell>
          <cell r="U499">
            <v>25.5</v>
          </cell>
          <cell r="V499">
            <v>164.5</v>
          </cell>
          <cell r="W499">
            <v>137.5</v>
          </cell>
          <cell r="X499">
            <v>201</v>
          </cell>
          <cell r="Y499">
            <v>145</v>
          </cell>
          <cell r="Z499">
            <v>-36.5</v>
          </cell>
          <cell r="AA499">
            <v>-7.5</v>
          </cell>
          <cell r="AB499">
            <v>202</v>
          </cell>
          <cell r="AC499">
            <v>173</v>
          </cell>
          <cell r="AD499">
            <v>29</v>
          </cell>
          <cell r="AE499">
            <v>302</v>
          </cell>
          <cell r="AF499">
            <v>346</v>
          </cell>
          <cell r="AG499">
            <v>-44</v>
          </cell>
        </row>
        <row r="500">
          <cell r="C500">
            <v>240147</v>
          </cell>
          <cell r="D500" t="str">
            <v>MAHALAXMI PETROLEUM</v>
          </cell>
          <cell r="E500" t="str">
            <v>BPCL</v>
          </cell>
          <cell r="F500" t="str">
            <v>2022-23</v>
          </cell>
          <cell r="G500" t="str">
            <v>Ahmednagar West RSA</v>
          </cell>
          <cell r="J500" t="str">
            <v>LONI VYNKNATH-KASHTI (NH)</v>
          </cell>
          <cell r="K500" t="str">
            <v>Ahmednagar</v>
          </cell>
          <cell r="L500" t="str">
            <v>D1</v>
          </cell>
          <cell r="M500" t="str">
            <v>NH-160</v>
          </cell>
          <cell r="O500" t="str">
            <v>B</v>
          </cell>
          <cell r="P500">
            <v>33</v>
          </cell>
          <cell r="Q500">
            <v>220</v>
          </cell>
          <cell r="R500">
            <v>27</v>
          </cell>
          <cell r="S500">
            <v>229</v>
          </cell>
          <cell r="T500">
            <v>6</v>
          </cell>
          <cell r="U500">
            <v>-9</v>
          </cell>
          <cell r="V500">
            <v>60</v>
          </cell>
          <cell r="W500">
            <v>465</v>
          </cell>
          <cell r="X500">
            <v>49</v>
          </cell>
          <cell r="Y500">
            <v>444</v>
          </cell>
          <cell r="Z500">
            <v>11</v>
          </cell>
          <cell r="AA500">
            <v>21</v>
          </cell>
          <cell r="AB500">
            <v>253</v>
          </cell>
          <cell r="AC500">
            <v>256</v>
          </cell>
          <cell r="AD500">
            <v>-3</v>
          </cell>
          <cell r="AE500">
            <v>525</v>
          </cell>
          <cell r="AF500">
            <v>493</v>
          </cell>
          <cell r="AG500">
            <v>32</v>
          </cell>
        </row>
        <row r="501">
          <cell r="C501">
            <v>240441</v>
          </cell>
          <cell r="D501" t="str">
            <v>DEVENDRA AUTOLINES ADHOC (191804 SHUBAM PETROLEUM ADHOC)</v>
          </cell>
          <cell r="E501" t="str">
            <v>BPCL</v>
          </cell>
          <cell r="G501" t="str">
            <v>Pune Tathawade RSA</v>
          </cell>
          <cell r="J501" t="str">
            <v>Lonavala</v>
          </cell>
          <cell r="K501" t="str">
            <v>Pune</v>
          </cell>
          <cell r="L501" t="str">
            <v>D1</v>
          </cell>
          <cell r="M501" t="str">
            <v>NH-48</v>
          </cell>
          <cell r="O501" t="str">
            <v>A</v>
          </cell>
          <cell r="P501">
            <v>60</v>
          </cell>
          <cell r="Q501">
            <v>60</v>
          </cell>
          <cell r="R501">
            <v>20</v>
          </cell>
          <cell r="S501">
            <v>29</v>
          </cell>
          <cell r="T501">
            <v>40</v>
          </cell>
          <cell r="U501">
            <v>31</v>
          </cell>
          <cell r="V501">
            <v>125</v>
          </cell>
          <cell r="W501">
            <v>135</v>
          </cell>
          <cell r="X501">
            <v>20</v>
          </cell>
          <cell r="Y501">
            <v>29</v>
          </cell>
          <cell r="Z501">
            <v>105</v>
          </cell>
          <cell r="AA501">
            <v>106</v>
          </cell>
          <cell r="AB501">
            <v>120</v>
          </cell>
          <cell r="AC501">
            <v>49</v>
          </cell>
          <cell r="AD501">
            <v>71</v>
          </cell>
          <cell r="AE501">
            <v>260</v>
          </cell>
          <cell r="AF501">
            <v>49</v>
          </cell>
          <cell r="AG501">
            <v>211</v>
          </cell>
        </row>
        <row r="502">
          <cell r="C502">
            <v>240972</v>
          </cell>
          <cell r="D502" t="str">
            <v>Shivshanti Petroleum</v>
          </cell>
          <cell r="E502" t="str">
            <v>BPCL</v>
          </cell>
          <cell r="F502" t="str">
            <v>2022-23</v>
          </cell>
          <cell r="G502" t="str">
            <v>Satara East RSA</v>
          </cell>
          <cell r="J502" t="str">
            <v>GURSALE</v>
          </cell>
          <cell r="K502" t="str">
            <v>Satara</v>
          </cell>
          <cell r="L502" t="str">
            <v>E</v>
          </cell>
          <cell r="O502" t="str">
            <v>B</v>
          </cell>
          <cell r="P502">
            <v>8</v>
          </cell>
          <cell r="Q502">
            <v>16</v>
          </cell>
          <cell r="R502">
            <v>10</v>
          </cell>
          <cell r="S502">
            <v>14</v>
          </cell>
          <cell r="T502">
            <v>-2</v>
          </cell>
          <cell r="U502">
            <v>2</v>
          </cell>
          <cell r="V502">
            <v>17</v>
          </cell>
          <cell r="W502">
            <v>31</v>
          </cell>
          <cell r="X502">
            <v>24</v>
          </cell>
          <cell r="Y502">
            <v>36</v>
          </cell>
          <cell r="Z502">
            <v>-7</v>
          </cell>
          <cell r="AA502">
            <v>-5</v>
          </cell>
          <cell r="AB502">
            <v>24</v>
          </cell>
          <cell r="AC502">
            <v>24</v>
          </cell>
          <cell r="AD502">
            <v>0</v>
          </cell>
          <cell r="AE502">
            <v>48</v>
          </cell>
          <cell r="AF502">
            <v>60</v>
          </cell>
          <cell r="AG502">
            <v>-12</v>
          </cell>
        </row>
        <row r="503">
          <cell r="C503">
            <v>241197</v>
          </cell>
          <cell r="D503" t="str">
            <v>T AND T FUEL SOLUTIONS PRIVATE LTD</v>
          </cell>
          <cell r="E503" t="str">
            <v>BPCL</v>
          </cell>
          <cell r="G503" t="str">
            <v>Pimpri Chinchwad RSA</v>
          </cell>
          <cell r="J503" t="str">
            <v>DDD</v>
          </cell>
          <cell r="K503" t="str">
            <v>Pune</v>
          </cell>
          <cell r="L503" t="str">
            <v>D1</v>
          </cell>
          <cell r="M503" t="str">
            <v>NH-548D</v>
          </cell>
          <cell r="O503" t="str">
            <v>A</v>
          </cell>
          <cell r="P503">
            <v>0</v>
          </cell>
          <cell r="Q503">
            <v>0</v>
          </cell>
          <cell r="R503">
            <v>0</v>
          </cell>
          <cell r="S503">
            <v>96</v>
          </cell>
          <cell r="T503">
            <v>0</v>
          </cell>
          <cell r="U503">
            <v>-96</v>
          </cell>
          <cell r="V503">
            <v>0</v>
          </cell>
          <cell r="W503">
            <v>0</v>
          </cell>
          <cell r="X503">
            <v>0</v>
          </cell>
          <cell r="Y503">
            <v>234</v>
          </cell>
          <cell r="Z503">
            <v>0</v>
          </cell>
          <cell r="AA503">
            <v>-234</v>
          </cell>
          <cell r="AB503">
            <v>0</v>
          </cell>
          <cell r="AC503">
            <v>96</v>
          </cell>
          <cell r="AD503">
            <v>-96</v>
          </cell>
          <cell r="AE503">
            <v>0</v>
          </cell>
          <cell r="AF503">
            <v>234</v>
          </cell>
          <cell r="AG503">
            <v>-234</v>
          </cell>
        </row>
        <row r="504">
          <cell r="C504">
            <v>241432</v>
          </cell>
          <cell r="D504" t="str">
            <v>KAMAL PETROLEUM</v>
          </cell>
          <cell r="E504" t="str">
            <v>BPCL</v>
          </cell>
          <cell r="F504" t="str">
            <v>2022-23</v>
          </cell>
          <cell r="G504" t="str">
            <v>Shirdi RSA</v>
          </cell>
          <cell r="J504" t="str">
            <v>DEVGAON</v>
          </cell>
          <cell r="K504" t="str">
            <v>Ahmednagar</v>
          </cell>
          <cell r="L504" t="str">
            <v>E</v>
          </cell>
          <cell r="O504" t="str">
            <v>B</v>
          </cell>
          <cell r="P504">
            <v>18</v>
          </cell>
          <cell r="Q504">
            <v>42</v>
          </cell>
          <cell r="R504">
            <v>28</v>
          </cell>
          <cell r="S504">
            <v>35</v>
          </cell>
          <cell r="T504">
            <v>-10</v>
          </cell>
          <cell r="U504">
            <v>7</v>
          </cell>
          <cell r="V504">
            <v>27</v>
          </cell>
          <cell r="W504">
            <v>69</v>
          </cell>
          <cell r="X504">
            <v>61</v>
          </cell>
          <cell r="Y504">
            <v>105</v>
          </cell>
          <cell r="Z504">
            <v>-34</v>
          </cell>
          <cell r="AA504">
            <v>-36</v>
          </cell>
          <cell r="AB504">
            <v>60</v>
          </cell>
          <cell r="AC504">
            <v>63</v>
          </cell>
          <cell r="AD504">
            <v>-3</v>
          </cell>
          <cell r="AE504">
            <v>96</v>
          </cell>
          <cell r="AF504">
            <v>166</v>
          </cell>
          <cell r="AG504">
            <v>-70</v>
          </cell>
        </row>
        <row r="505">
          <cell r="C505">
            <v>241434</v>
          </cell>
          <cell r="D505" t="str">
            <v>SAIDEEP PETROLEUM</v>
          </cell>
          <cell r="E505" t="str">
            <v>BPCL</v>
          </cell>
          <cell r="F505" t="str">
            <v>2022-23</v>
          </cell>
          <cell r="G505" t="str">
            <v>Shirdi RSA</v>
          </cell>
          <cell r="J505" t="str">
            <v>KHADAKEWAKE</v>
          </cell>
          <cell r="K505" t="str">
            <v>Ahmednagar</v>
          </cell>
          <cell r="L505" t="str">
            <v>E</v>
          </cell>
          <cell r="O505" t="str">
            <v>B</v>
          </cell>
          <cell r="P505">
            <v>34</v>
          </cell>
          <cell r="Q505">
            <v>92</v>
          </cell>
          <cell r="R505">
            <v>29</v>
          </cell>
          <cell r="S505">
            <v>114</v>
          </cell>
          <cell r="T505">
            <v>5</v>
          </cell>
          <cell r="U505">
            <v>-22</v>
          </cell>
          <cell r="V505">
            <v>58</v>
          </cell>
          <cell r="W505">
            <v>178</v>
          </cell>
          <cell r="X505">
            <v>46</v>
          </cell>
          <cell r="Y505">
            <v>206</v>
          </cell>
          <cell r="Z505">
            <v>12</v>
          </cell>
          <cell r="AA505">
            <v>-28</v>
          </cell>
          <cell r="AB505">
            <v>126</v>
          </cell>
          <cell r="AC505">
            <v>143</v>
          </cell>
          <cell r="AD505">
            <v>-17</v>
          </cell>
          <cell r="AE505">
            <v>236</v>
          </cell>
          <cell r="AF505">
            <v>252</v>
          </cell>
          <cell r="AG505">
            <v>-16</v>
          </cell>
        </row>
        <row r="506">
          <cell r="C506">
            <v>242494</v>
          </cell>
          <cell r="D506" t="str">
            <v>ORANGE PETROLEUM</v>
          </cell>
          <cell r="E506" t="str">
            <v>BPCL</v>
          </cell>
          <cell r="F506" t="str">
            <v>2023-24</v>
          </cell>
          <cell r="G506" t="str">
            <v>Ahmednagar East RSA</v>
          </cell>
          <cell r="J506" t="str">
            <v>Kangoni</v>
          </cell>
          <cell r="K506" t="str">
            <v>Ahmednagar</v>
          </cell>
          <cell r="L506" t="str">
            <v>D1</v>
          </cell>
          <cell r="M506" t="str">
            <v>NH-753F</v>
          </cell>
          <cell r="O506" t="str">
            <v>B</v>
          </cell>
          <cell r="P506">
            <v>37.5</v>
          </cell>
          <cell r="Q506">
            <v>149.5</v>
          </cell>
          <cell r="R506">
            <v>64</v>
          </cell>
          <cell r="S506">
            <v>150</v>
          </cell>
          <cell r="T506">
            <v>-26.5</v>
          </cell>
          <cell r="U506">
            <v>-0.5</v>
          </cell>
          <cell r="V506">
            <v>74</v>
          </cell>
          <cell r="W506">
            <v>245</v>
          </cell>
          <cell r="X506">
            <v>124</v>
          </cell>
          <cell r="Y506">
            <v>268</v>
          </cell>
          <cell r="Z506">
            <v>-50</v>
          </cell>
          <cell r="AA506">
            <v>-23</v>
          </cell>
          <cell r="AB506">
            <v>187</v>
          </cell>
          <cell r="AC506">
            <v>214</v>
          </cell>
          <cell r="AD506">
            <v>-27</v>
          </cell>
          <cell r="AE506">
            <v>319</v>
          </cell>
          <cell r="AF506">
            <v>392</v>
          </cell>
          <cell r="AG506">
            <v>-73</v>
          </cell>
        </row>
        <row r="507">
          <cell r="C507">
            <v>242867</v>
          </cell>
          <cell r="D507" t="str">
            <v>SHIVNERI ENERGY STATION</v>
          </cell>
          <cell r="E507" t="str">
            <v>BPCL</v>
          </cell>
          <cell r="F507" t="str">
            <v>2023-24</v>
          </cell>
          <cell r="G507" t="str">
            <v>Pune Wagholi RSA</v>
          </cell>
          <cell r="J507" t="str">
            <v>Narayangaon to Alephata RHS</v>
          </cell>
          <cell r="K507" t="str">
            <v>Pune</v>
          </cell>
          <cell r="L507" t="str">
            <v>D1</v>
          </cell>
          <cell r="M507" t="str">
            <v>NH-60</v>
          </cell>
          <cell r="O507" t="str">
            <v>B</v>
          </cell>
          <cell r="P507">
            <v>14</v>
          </cell>
          <cell r="Q507">
            <v>34</v>
          </cell>
          <cell r="R507">
            <v>41</v>
          </cell>
          <cell r="S507">
            <v>71</v>
          </cell>
          <cell r="T507">
            <v>-27</v>
          </cell>
          <cell r="U507">
            <v>-37</v>
          </cell>
          <cell r="V507">
            <v>24</v>
          </cell>
          <cell r="W507">
            <v>60</v>
          </cell>
          <cell r="X507">
            <v>81</v>
          </cell>
          <cell r="Y507">
            <v>143</v>
          </cell>
          <cell r="Z507">
            <v>-57</v>
          </cell>
          <cell r="AA507">
            <v>-83</v>
          </cell>
          <cell r="AB507">
            <v>48</v>
          </cell>
          <cell r="AC507">
            <v>112</v>
          </cell>
          <cell r="AD507">
            <v>-64</v>
          </cell>
          <cell r="AE507">
            <v>84</v>
          </cell>
          <cell r="AF507">
            <v>224</v>
          </cell>
          <cell r="AG507">
            <v>-140</v>
          </cell>
        </row>
        <row r="508">
          <cell r="C508">
            <v>243243</v>
          </cell>
          <cell r="D508" t="str">
            <v>SHREE HARI FUELS</v>
          </cell>
          <cell r="E508" t="str">
            <v>BPCL</v>
          </cell>
          <cell r="F508" t="str">
            <v>2023-24</v>
          </cell>
          <cell r="G508" t="str">
            <v>Ahmednagar West RSA</v>
          </cell>
          <cell r="J508" t="str">
            <v>Karanji</v>
          </cell>
          <cell r="K508" t="str">
            <v>Ahmednagar</v>
          </cell>
          <cell r="L508" t="str">
            <v>D1</v>
          </cell>
          <cell r="M508" t="str">
            <v>NH-61</v>
          </cell>
          <cell r="O508" t="str">
            <v>A</v>
          </cell>
          <cell r="P508">
            <v>28</v>
          </cell>
          <cell r="Q508">
            <v>77</v>
          </cell>
          <cell r="R508">
            <v>24</v>
          </cell>
          <cell r="S508">
            <v>44</v>
          </cell>
          <cell r="T508">
            <v>4</v>
          </cell>
          <cell r="U508">
            <v>33</v>
          </cell>
          <cell r="V508">
            <v>50</v>
          </cell>
          <cell r="W508">
            <v>155</v>
          </cell>
          <cell r="X508">
            <v>51</v>
          </cell>
          <cell r="Y508">
            <v>96</v>
          </cell>
          <cell r="Z508">
            <v>-1</v>
          </cell>
          <cell r="AA508">
            <v>59</v>
          </cell>
          <cell r="AB508">
            <v>105</v>
          </cell>
          <cell r="AC508">
            <v>68</v>
          </cell>
          <cell r="AD508">
            <v>37</v>
          </cell>
          <cell r="AE508">
            <v>205</v>
          </cell>
          <cell r="AF508">
            <v>147</v>
          </cell>
          <cell r="AG508">
            <v>58</v>
          </cell>
        </row>
        <row r="509">
          <cell r="C509">
            <v>243261</v>
          </cell>
          <cell r="D509" t="str">
            <v>ANUPAMA PETROLEUM</v>
          </cell>
          <cell r="E509" t="str">
            <v>BPCL</v>
          </cell>
          <cell r="F509" t="str">
            <v>2023-24</v>
          </cell>
          <cell r="G509" t="str">
            <v>Ahmednagar West RSA</v>
          </cell>
          <cell r="J509" t="str">
            <v>Kanhoor (Parner)</v>
          </cell>
          <cell r="K509" t="str">
            <v>Ahmednagar</v>
          </cell>
          <cell r="L509" t="str">
            <v>E</v>
          </cell>
          <cell r="O509" t="str">
            <v>A</v>
          </cell>
          <cell r="P509">
            <v>21</v>
          </cell>
          <cell r="Q509">
            <v>42</v>
          </cell>
          <cell r="R509">
            <v>21</v>
          </cell>
          <cell r="S509">
            <v>39</v>
          </cell>
          <cell r="T509">
            <v>0</v>
          </cell>
          <cell r="U509">
            <v>3</v>
          </cell>
          <cell r="V509">
            <v>38.5</v>
          </cell>
          <cell r="W509">
            <v>78.5</v>
          </cell>
          <cell r="X509">
            <v>34</v>
          </cell>
          <cell r="Y509">
            <v>65</v>
          </cell>
          <cell r="Z509">
            <v>4.5</v>
          </cell>
          <cell r="AA509">
            <v>13.5</v>
          </cell>
          <cell r="AB509">
            <v>63</v>
          </cell>
          <cell r="AC509">
            <v>60</v>
          </cell>
          <cell r="AD509">
            <v>3</v>
          </cell>
          <cell r="AE509">
            <v>117</v>
          </cell>
          <cell r="AF509">
            <v>99</v>
          </cell>
          <cell r="AG509">
            <v>18</v>
          </cell>
        </row>
        <row r="510">
          <cell r="C510">
            <v>243716</v>
          </cell>
          <cell r="D510" t="str">
            <v>SAI ANANAD PETROLUIM</v>
          </cell>
          <cell r="E510" t="str">
            <v>BPCL</v>
          </cell>
          <cell r="F510" t="str">
            <v>2023-24</v>
          </cell>
          <cell r="G510" t="str">
            <v>Pune Tathawade RSA</v>
          </cell>
          <cell r="J510" t="str">
            <v>Bhor-Kapurhol Road</v>
          </cell>
          <cell r="K510" t="str">
            <v>Pune</v>
          </cell>
          <cell r="L510" t="str">
            <v>E</v>
          </cell>
          <cell r="O510" t="str">
            <v>A</v>
          </cell>
          <cell r="P510">
            <v>63</v>
          </cell>
          <cell r="Q510">
            <v>93</v>
          </cell>
          <cell r="R510">
            <v>52</v>
          </cell>
          <cell r="S510">
            <v>72</v>
          </cell>
          <cell r="T510">
            <v>11</v>
          </cell>
          <cell r="U510">
            <v>21</v>
          </cell>
          <cell r="V510">
            <v>114.5</v>
          </cell>
          <cell r="W510">
            <v>163.5</v>
          </cell>
          <cell r="X510">
            <v>98</v>
          </cell>
          <cell r="Y510">
            <v>130</v>
          </cell>
          <cell r="Z510">
            <v>16.5</v>
          </cell>
          <cell r="AA510">
            <v>33.5</v>
          </cell>
          <cell r="AB510">
            <v>156</v>
          </cell>
          <cell r="AC510">
            <v>124</v>
          </cell>
          <cell r="AD510">
            <v>32</v>
          </cell>
          <cell r="AE510">
            <v>278</v>
          </cell>
          <cell r="AF510">
            <v>228</v>
          </cell>
          <cell r="AG510">
            <v>50</v>
          </cell>
        </row>
        <row r="511">
          <cell r="C511">
            <v>244064</v>
          </cell>
          <cell r="D511" t="str">
            <v>CHINTAMANI PETROLEUM</v>
          </cell>
          <cell r="E511" t="str">
            <v>BPCL</v>
          </cell>
          <cell r="F511" t="str">
            <v>2023-24</v>
          </cell>
          <cell r="G511" t="str">
            <v>Pune City RSA</v>
          </cell>
          <cell r="J511" t="str">
            <v>RAVET</v>
          </cell>
          <cell r="K511" t="str">
            <v>Pune</v>
          </cell>
          <cell r="L511" t="str">
            <v>A</v>
          </cell>
          <cell r="O511" t="str">
            <v>A</v>
          </cell>
          <cell r="P511">
            <v>195</v>
          </cell>
          <cell r="Q511">
            <v>375</v>
          </cell>
          <cell r="R511">
            <v>165</v>
          </cell>
          <cell r="S511">
            <v>231</v>
          </cell>
          <cell r="T511">
            <v>30</v>
          </cell>
          <cell r="U511">
            <v>144</v>
          </cell>
          <cell r="V511">
            <v>365</v>
          </cell>
          <cell r="W511">
            <v>667</v>
          </cell>
          <cell r="X511">
            <v>329</v>
          </cell>
          <cell r="Y511">
            <v>419</v>
          </cell>
          <cell r="Z511">
            <v>36</v>
          </cell>
          <cell r="AA511">
            <v>248</v>
          </cell>
          <cell r="AB511">
            <v>570</v>
          </cell>
          <cell r="AC511">
            <v>396</v>
          </cell>
          <cell r="AD511">
            <v>174</v>
          </cell>
          <cell r="AE511">
            <v>1032</v>
          </cell>
          <cell r="AF511">
            <v>748</v>
          </cell>
          <cell r="AG511">
            <v>284</v>
          </cell>
        </row>
        <row r="512">
          <cell r="C512">
            <v>244340</v>
          </cell>
          <cell r="D512" t="str">
            <v>SB DIVEKAR PETROLEUM</v>
          </cell>
          <cell r="E512" t="str">
            <v>BPCL</v>
          </cell>
          <cell r="F512" t="str">
            <v>2023-24</v>
          </cell>
          <cell r="G512" t="str">
            <v>Shirdi RSA</v>
          </cell>
          <cell r="J512" t="str">
            <v>GUNJALWADI</v>
          </cell>
          <cell r="K512" t="str">
            <v>Ahmednagar</v>
          </cell>
          <cell r="L512" t="str">
            <v>D2</v>
          </cell>
          <cell r="O512" t="str">
            <v>A</v>
          </cell>
          <cell r="P512">
            <v>46</v>
          </cell>
          <cell r="Q512">
            <v>78</v>
          </cell>
          <cell r="R512">
            <v>51</v>
          </cell>
          <cell r="S512">
            <v>135</v>
          </cell>
          <cell r="T512">
            <v>-5</v>
          </cell>
          <cell r="U512">
            <v>-57</v>
          </cell>
          <cell r="V512">
            <v>91</v>
          </cell>
          <cell r="W512">
            <v>183</v>
          </cell>
          <cell r="X512">
            <v>99</v>
          </cell>
          <cell r="Y512">
            <v>242</v>
          </cell>
          <cell r="Z512">
            <v>-8</v>
          </cell>
          <cell r="AA512">
            <v>-59</v>
          </cell>
          <cell r="AB512">
            <v>124</v>
          </cell>
          <cell r="AC512">
            <v>186</v>
          </cell>
          <cell r="AD512">
            <v>-62</v>
          </cell>
          <cell r="AE512">
            <v>274</v>
          </cell>
          <cell r="AF512">
            <v>341</v>
          </cell>
          <cell r="AG512">
            <v>-67</v>
          </cell>
        </row>
        <row r="513">
          <cell r="C513">
            <v>244793</v>
          </cell>
          <cell r="D513" t="str">
            <v>AARYA PETROLEUM</v>
          </cell>
          <cell r="E513" t="str">
            <v>BPCL</v>
          </cell>
          <cell r="F513" t="str">
            <v>2023-24</v>
          </cell>
          <cell r="G513" t="str">
            <v>Shirdi RSA</v>
          </cell>
          <cell r="J513" t="str">
            <v>TAKLIBHAN</v>
          </cell>
          <cell r="K513" t="str">
            <v>Ahmednagar</v>
          </cell>
          <cell r="L513" t="str">
            <v>D2</v>
          </cell>
          <cell r="O513" t="str">
            <v>A</v>
          </cell>
          <cell r="P513">
            <v>86</v>
          </cell>
          <cell r="Q513">
            <v>109</v>
          </cell>
          <cell r="R513">
            <v>62</v>
          </cell>
          <cell r="S513">
            <v>136</v>
          </cell>
          <cell r="T513">
            <v>24</v>
          </cell>
          <cell r="U513">
            <v>-27</v>
          </cell>
          <cell r="V513">
            <v>144</v>
          </cell>
          <cell r="W513">
            <v>207</v>
          </cell>
          <cell r="X513">
            <v>109</v>
          </cell>
          <cell r="Y513">
            <v>261</v>
          </cell>
          <cell r="Z513">
            <v>35</v>
          </cell>
          <cell r="AA513">
            <v>-54</v>
          </cell>
          <cell r="AB513">
            <v>195</v>
          </cell>
          <cell r="AC513">
            <v>198</v>
          </cell>
          <cell r="AD513">
            <v>-3</v>
          </cell>
          <cell r="AE513">
            <v>351</v>
          </cell>
          <cell r="AF513">
            <v>370</v>
          </cell>
          <cell r="AG513">
            <v>-19</v>
          </cell>
        </row>
        <row r="514">
          <cell r="C514">
            <v>244807</v>
          </cell>
          <cell r="D514" t="str">
            <v>SITAIKRUPA PETROLEUM</v>
          </cell>
          <cell r="E514" t="str">
            <v>BPCL</v>
          </cell>
          <cell r="F514" t="str">
            <v>2023-24</v>
          </cell>
          <cell r="G514" t="str">
            <v>Pimpri Chinchwad RSA</v>
          </cell>
          <cell r="J514" t="str">
            <v>Rajgurunagar on SH</v>
          </cell>
          <cell r="K514" t="str">
            <v>Pune</v>
          </cell>
          <cell r="L514" t="str">
            <v>D2</v>
          </cell>
          <cell r="O514" t="str">
            <v>B</v>
          </cell>
          <cell r="P514">
            <v>64</v>
          </cell>
          <cell r="Q514">
            <v>56</v>
          </cell>
          <cell r="R514">
            <v>82</v>
          </cell>
          <cell r="S514">
            <v>62</v>
          </cell>
          <cell r="T514">
            <v>-18</v>
          </cell>
          <cell r="U514">
            <v>-6</v>
          </cell>
          <cell r="V514">
            <v>135</v>
          </cell>
          <cell r="W514">
            <v>109</v>
          </cell>
          <cell r="X514">
            <v>154</v>
          </cell>
          <cell r="Y514">
            <v>122</v>
          </cell>
          <cell r="Z514">
            <v>-19</v>
          </cell>
          <cell r="AA514">
            <v>-13</v>
          </cell>
          <cell r="AB514">
            <v>120</v>
          </cell>
          <cell r="AC514">
            <v>144</v>
          </cell>
          <cell r="AD514">
            <v>-24</v>
          </cell>
          <cell r="AE514">
            <v>244</v>
          </cell>
          <cell r="AF514">
            <v>276</v>
          </cell>
          <cell r="AG514">
            <v>-32</v>
          </cell>
        </row>
        <row r="515">
          <cell r="C515">
            <v>244808</v>
          </cell>
          <cell r="D515" t="str">
            <v>GURUKRUPA PETROLEUM</v>
          </cell>
          <cell r="E515" t="str">
            <v>BPCL</v>
          </cell>
          <cell r="F515" t="str">
            <v>2023-24</v>
          </cell>
          <cell r="G515" t="str">
            <v>Satara West RSA</v>
          </cell>
          <cell r="J515" t="str">
            <v>MALHARPETH TO NADE</v>
          </cell>
          <cell r="K515" t="str">
            <v>Satara</v>
          </cell>
          <cell r="L515" t="str">
            <v>D1</v>
          </cell>
          <cell r="M515" t="str">
            <v>NH-166E</v>
          </cell>
          <cell r="O515" t="str">
            <v>A</v>
          </cell>
          <cell r="P515">
            <v>48</v>
          </cell>
          <cell r="Q515">
            <v>48</v>
          </cell>
          <cell r="R515">
            <v>42</v>
          </cell>
          <cell r="S515">
            <v>54</v>
          </cell>
          <cell r="T515">
            <v>6</v>
          </cell>
          <cell r="U515">
            <v>-6</v>
          </cell>
          <cell r="V515">
            <v>77</v>
          </cell>
          <cell r="W515">
            <v>83</v>
          </cell>
          <cell r="X515">
            <v>81</v>
          </cell>
          <cell r="Y515">
            <v>111</v>
          </cell>
          <cell r="Z515">
            <v>-4</v>
          </cell>
          <cell r="AA515">
            <v>-28</v>
          </cell>
          <cell r="AB515">
            <v>96</v>
          </cell>
          <cell r="AC515">
            <v>96</v>
          </cell>
          <cell r="AD515">
            <v>0</v>
          </cell>
          <cell r="AE515">
            <v>160</v>
          </cell>
          <cell r="AF515">
            <v>192</v>
          </cell>
          <cell r="AG515">
            <v>-32</v>
          </cell>
        </row>
        <row r="516">
          <cell r="C516">
            <v>244809</v>
          </cell>
          <cell r="D516" t="str">
            <v>RADHEY PETROLINKS</v>
          </cell>
          <cell r="E516" t="str">
            <v>BPCL</v>
          </cell>
          <cell r="F516" t="str">
            <v>2023-24</v>
          </cell>
          <cell r="G516" t="str">
            <v>Satara West RSA</v>
          </cell>
          <cell r="J516" t="str">
            <v>WAGHERI</v>
          </cell>
          <cell r="K516" t="str">
            <v>Satara</v>
          </cell>
          <cell r="L516" t="str">
            <v>C</v>
          </cell>
          <cell r="O516" t="str">
            <v>A</v>
          </cell>
          <cell r="P516">
            <v>36</v>
          </cell>
          <cell r="Q516">
            <v>60</v>
          </cell>
          <cell r="R516">
            <v>36</v>
          </cell>
          <cell r="S516">
            <v>45</v>
          </cell>
          <cell r="T516">
            <v>0</v>
          </cell>
          <cell r="U516">
            <v>15</v>
          </cell>
          <cell r="V516">
            <v>68</v>
          </cell>
          <cell r="W516">
            <v>108</v>
          </cell>
          <cell r="X516">
            <v>64</v>
          </cell>
          <cell r="Y516">
            <v>89</v>
          </cell>
          <cell r="Z516">
            <v>4</v>
          </cell>
          <cell r="AA516">
            <v>19</v>
          </cell>
          <cell r="AB516">
            <v>96</v>
          </cell>
          <cell r="AC516">
            <v>81</v>
          </cell>
          <cell r="AD516">
            <v>15</v>
          </cell>
          <cell r="AE516">
            <v>176</v>
          </cell>
          <cell r="AF516">
            <v>153</v>
          </cell>
          <cell r="AG516">
            <v>23</v>
          </cell>
        </row>
        <row r="517">
          <cell r="C517">
            <v>245588</v>
          </cell>
          <cell r="D517" t="str">
            <v>TATHE PETROLEUM</v>
          </cell>
          <cell r="E517" t="str">
            <v>BPCL</v>
          </cell>
          <cell r="F517" t="str">
            <v>2023-24</v>
          </cell>
          <cell r="G517" t="str">
            <v>Pimpri Chinchwad RSA</v>
          </cell>
          <cell r="J517" t="str">
            <v>Chakan Bhose</v>
          </cell>
          <cell r="K517" t="str">
            <v>Pune</v>
          </cell>
          <cell r="L517" t="str">
            <v>D1</v>
          </cell>
          <cell r="M517" t="str">
            <v>NH-548D</v>
          </cell>
          <cell r="O517" t="str">
            <v>A</v>
          </cell>
          <cell r="P517">
            <v>50</v>
          </cell>
          <cell r="Q517">
            <v>350</v>
          </cell>
          <cell r="R517">
            <v>44</v>
          </cell>
          <cell r="S517">
            <v>228</v>
          </cell>
          <cell r="T517">
            <v>6</v>
          </cell>
          <cell r="U517">
            <v>122</v>
          </cell>
          <cell r="V517">
            <v>90</v>
          </cell>
          <cell r="W517">
            <v>670</v>
          </cell>
          <cell r="X517">
            <v>85.5</v>
          </cell>
          <cell r="Y517">
            <v>460.5</v>
          </cell>
          <cell r="Z517">
            <v>4.5</v>
          </cell>
          <cell r="AA517">
            <v>209.5</v>
          </cell>
          <cell r="AB517">
            <v>400</v>
          </cell>
          <cell r="AC517">
            <v>272</v>
          </cell>
          <cell r="AD517">
            <v>128</v>
          </cell>
          <cell r="AE517">
            <v>760</v>
          </cell>
          <cell r="AF517">
            <v>546</v>
          </cell>
          <cell r="AG517">
            <v>214</v>
          </cell>
        </row>
        <row r="518">
          <cell r="C518">
            <v>245875</v>
          </cell>
          <cell r="D518" t="str">
            <v xml:space="preserve">Sai Shraddha Fuels </v>
          </cell>
          <cell r="E518" t="str">
            <v>BPCL</v>
          </cell>
          <cell r="F518" t="str">
            <v>2023-24</v>
          </cell>
          <cell r="G518" t="str">
            <v>Ahmednagar West RSA</v>
          </cell>
          <cell r="J518" t="str">
            <v>Walwad (Karjat)</v>
          </cell>
          <cell r="K518" t="str">
            <v>Ahmednagar</v>
          </cell>
          <cell r="L518" t="str">
            <v>D1</v>
          </cell>
          <cell r="M518" t="str">
            <v>NH-548D</v>
          </cell>
          <cell r="O518" t="str">
            <v>B</v>
          </cell>
          <cell r="P518">
            <v>17</v>
          </cell>
          <cell r="Q518">
            <v>76</v>
          </cell>
          <cell r="R518">
            <v>21</v>
          </cell>
          <cell r="S518">
            <v>118</v>
          </cell>
          <cell r="T518">
            <v>-4</v>
          </cell>
          <cell r="U518">
            <v>-42</v>
          </cell>
          <cell r="V518">
            <v>41.5</v>
          </cell>
          <cell r="W518">
            <v>173.5</v>
          </cell>
          <cell r="X518">
            <v>46</v>
          </cell>
          <cell r="Y518">
            <v>234</v>
          </cell>
          <cell r="Z518">
            <v>-4.5</v>
          </cell>
          <cell r="AA518">
            <v>-60.5</v>
          </cell>
          <cell r="AB518">
            <v>93</v>
          </cell>
          <cell r="AC518">
            <v>139</v>
          </cell>
          <cell r="AD518">
            <v>-46</v>
          </cell>
          <cell r="AE518">
            <v>215</v>
          </cell>
          <cell r="AF518">
            <v>280</v>
          </cell>
          <cell r="AG518">
            <v>-65</v>
          </cell>
        </row>
        <row r="519">
          <cell r="C519">
            <v>246165</v>
          </cell>
          <cell r="D519" t="str">
            <v>MAULI PETROLEUM</v>
          </cell>
          <cell r="E519" t="str">
            <v>BPCL</v>
          </cell>
          <cell r="F519" t="str">
            <v>2023-24</v>
          </cell>
          <cell r="G519" t="str">
            <v>Pimpri Chinchwad RSA</v>
          </cell>
          <cell r="J519" t="str">
            <v>ALANDI RURAL</v>
          </cell>
          <cell r="K519" t="str">
            <v>Pune</v>
          </cell>
          <cell r="L519" t="str">
            <v>E</v>
          </cell>
          <cell r="O519" t="str">
            <v>A</v>
          </cell>
          <cell r="P519">
            <v>90</v>
          </cell>
          <cell r="Q519">
            <v>230</v>
          </cell>
          <cell r="R519">
            <v>94</v>
          </cell>
          <cell r="S519">
            <v>152</v>
          </cell>
          <cell r="T519">
            <v>-4</v>
          </cell>
          <cell r="U519">
            <v>78</v>
          </cell>
          <cell r="V519">
            <v>170</v>
          </cell>
          <cell r="W519">
            <v>410</v>
          </cell>
          <cell r="X519">
            <v>190</v>
          </cell>
          <cell r="Y519">
            <v>302</v>
          </cell>
          <cell r="Z519">
            <v>-20</v>
          </cell>
          <cell r="AA519">
            <v>108</v>
          </cell>
          <cell r="AB519">
            <v>320</v>
          </cell>
          <cell r="AC519">
            <v>246</v>
          </cell>
          <cell r="AD519">
            <v>74</v>
          </cell>
          <cell r="AE519">
            <v>580</v>
          </cell>
          <cell r="AF519">
            <v>492</v>
          </cell>
          <cell r="AG519">
            <v>88</v>
          </cell>
        </row>
        <row r="520">
          <cell r="C520">
            <v>246893</v>
          </cell>
          <cell r="D520" t="str">
            <v>SHANTAI PETROLEUM</v>
          </cell>
          <cell r="E520" t="str">
            <v>BPCL</v>
          </cell>
          <cell r="F520" t="str">
            <v>2023-24</v>
          </cell>
          <cell r="G520" t="str">
            <v>Pune Hadapsar RSA</v>
          </cell>
          <cell r="J520" t="str">
            <v>UrliDevachi</v>
          </cell>
          <cell r="K520" t="str">
            <v>Pune</v>
          </cell>
          <cell r="L520" t="str">
            <v>D1</v>
          </cell>
          <cell r="M520" t="str">
            <v>NH-965</v>
          </cell>
          <cell r="O520" t="str">
            <v>A</v>
          </cell>
          <cell r="P520">
            <v>77</v>
          </cell>
          <cell r="Q520">
            <v>135</v>
          </cell>
          <cell r="R520">
            <v>92</v>
          </cell>
          <cell r="S520">
            <v>164</v>
          </cell>
          <cell r="T520">
            <v>-15</v>
          </cell>
          <cell r="U520">
            <v>-29</v>
          </cell>
          <cell r="V520">
            <v>147.5</v>
          </cell>
          <cell r="W520">
            <v>266.5</v>
          </cell>
          <cell r="X520">
            <v>166</v>
          </cell>
          <cell r="Y520">
            <v>314</v>
          </cell>
          <cell r="Z520">
            <v>-18.5</v>
          </cell>
          <cell r="AA520">
            <v>-47.5</v>
          </cell>
          <cell r="AB520">
            <v>212</v>
          </cell>
          <cell r="AC520">
            <v>256</v>
          </cell>
          <cell r="AD520">
            <v>-44</v>
          </cell>
          <cell r="AE520">
            <v>414</v>
          </cell>
          <cell r="AF520">
            <v>480</v>
          </cell>
          <cell r="AG520">
            <v>-66</v>
          </cell>
        </row>
        <row r="521">
          <cell r="C521">
            <v>249138</v>
          </cell>
          <cell r="D521" t="str">
            <v>KALBHOR PETROLEUM</v>
          </cell>
          <cell r="E521" t="str">
            <v>BPCL</v>
          </cell>
          <cell r="F521" t="str">
            <v>2024-25</v>
          </cell>
          <cell r="G521" t="str">
            <v>Pune Hadapsar RSA</v>
          </cell>
          <cell r="J521" t="str">
            <v>Ravangaon RHS</v>
          </cell>
          <cell r="K521" t="str">
            <v>Pune</v>
          </cell>
          <cell r="L521" t="str">
            <v>D1</v>
          </cell>
          <cell r="M521" t="str">
            <v>NH-65</v>
          </cell>
          <cell r="O521" t="str">
            <v>A</v>
          </cell>
          <cell r="P521">
            <v>30</v>
          </cell>
          <cell r="Q521">
            <v>150</v>
          </cell>
          <cell r="R521">
            <v>40</v>
          </cell>
          <cell r="S521">
            <v>120</v>
          </cell>
          <cell r="T521">
            <v>-10</v>
          </cell>
          <cell r="U521">
            <v>30</v>
          </cell>
          <cell r="V521">
            <v>40</v>
          </cell>
          <cell r="W521">
            <v>280</v>
          </cell>
          <cell r="X521">
            <v>65</v>
          </cell>
          <cell r="Y521">
            <v>235</v>
          </cell>
          <cell r="Z521">
            <v>-25</v>
          </cell>
          <cell r="AA521">
            <v>45</v>
          </cell>
          <cell r="AB521">
            <v>180</v>
          </cell>
          <cell r="AC521">
            <v>160</v>
          </cell>
          <cell r="AD521">
            <v>20</v>
          </cell>
          <cell r="AE521">
            <v>320</v>
          </cell>
          <cell r="AF521">
            <v>300</v>
          </cell>
          <cell r="AG521">
            <v>20</v>
          </cell>
        </row>
        <row r="522">
          <cell r="C522">
            <v>249194</v>
          </cell>
          <cell r="D522" t="str">
            <v>SAI BHAGWAN PETROLEUM</v>
          </cell>
          <cell r="E522" t="str">
            <v>BPCL</v>
          </cell>
          <cell r="F522" t="str">
            <v>2024-25</v>
          </cell>
          <cell r="G522" t="str">
            <v>Ahmednagar West RSA</v>
          </cell>
          <cell r="J522" t="str">
            <v>SHEKTE</v>
          </cell>
          <cell r="K522" t="str">
            <v>Ahmednagar</v>
          </cell>
          <cell r="L522" t="str">
            <v>D1</v>
          </cell>
          <cell r="M522" t="str">
            <v>NH-61</v>
          </cell>
          <cell r="O522" t="str">
            <v>B</v>
          </cell>
          <cell r="P522">
            <v>21</v>
          </cell>
          <cell r="Q522">
            <v>93</v>
          </cell>
          <cell r="R522">
            <v>26</v>
          </cell>
          <cell r="S522">
            <v>113</v>
          </cell>
          <cell r="T522">
            <v>-5</v>
          </cell>
          <cell r="U522">
            <v>-20</v>
          </cell>
          <cell r="V522">
            <v>37.5</v>
          </cell>
          <cell r="W522">
            <v>166.5</v>
          </cell>
          <cell r="X522">
            <v>46</v>
          </cell>
          <cell r="Y522">
            <v>233</v>
          </cell>
          <cell r="Z522">
            <v>-8.5</v>
          </cell>
          <cell r="AA522">
            <v>-66.5</v>
          </cell>
          <cell r="AB522">
            <v>114</v>
          </cell>
          <cell r="AC522">
            <v>139</v>
          </cell>
          <cell r="AD522">
            <v>-25</v>
          </cell>
          <cell r="AE522">
            <v>204</v>
          </cell>
          <cell r="AF522">
            <v>279</v>
          </cell>
          <cell r="AG522">
            <v>-75</v>
          </cell>
        </row>
        <row r="523">
          <cell r="C523">
            <v>249666</v>
          </cell>
          <cell r="D523" t="str">
            <v>MAULI PETROLEUM</v>
          </cell>
          <cell r="E523" t="str">
            <v>BPCL</v>
          </cell>
          <cell r="F523" t="str">
            <v>2024-25</v>
          </cell>
          <cell r="G523" t="str">
            <v>Ahmednagar East RSA</v>
          </cell>
          <cell r="J523" t="str">
            <v>Bhenda</v>
          </cell>
          <cell r="K523" t="str">
            <v>Ahmednagar</v>
          </cell>
          <cell r="L523" t="str">
            <v>D2</v>
          </cell>
          <cell r="O523" t="str">
            <v>B</v>
          </cell>
          <cell r="P523">
            <v>43</v>
          </cell>
          <cell r="Q523">
            <v>90</v>
          </cell>
          <cell r="R523">
            <v>39</v>
          </cell>
          <cell r="S523">
            <v>74</v>
          </cell>
          <cell r="T523">
            <v>4</v>
          </cell>
          <cell r="U523">
            <v>16</v>
          </cell>
          <cell r="V523">
            <v>76</v>
          </cell>
          <cell r="W523">
            <v>141</v>
          </cell>
          <cell r="X523">
            <v>74</v>
          </cell>
          <cell r="Y523">
            <v>123</v>
          </cell>
          <cell r="Z523">
            <v>2</v>
          </cell>
          <cell r="AA523">
            <v>18</v>
          </cell>
          <cell r="AB523">
            <v>133</v>
          </cell>
          <cell r="AC523">
            <v>113</v>
          </cell>
          <cell r="AD523">
            <v>20</v>
          </cell>
          <cell r="AE523">
            <v>217</v>
          </cell>
          <cell r="AF523">
            <v>197</v>
          </cell>
          <cell r="AG523">
            <v>20</v>
          </cell>
        </row>
        <row r="524">
          <cell r="C524">
            <v>249819</v>
          </cell>
          <cell r="D524" t="str">
            <v>SHIVGANGA PETROLEUM</v>
          </cell>
          <cell r="E524" t="str">
            <v>BPCL</v>
          </cell>
          <cell r="F524" t="str">
            <v>2024-25</v>
          </cell>
          <cell r="G524" t="str">
            <v>Pune Wagholi RSA</v>
          </cell>
          <cell r="J524" t="str">
            <v>LONIKAND to KOREGAON BHIMA LHS</v>
          </cell>
          <cell r="K524" t="str">
            <v>Pune</v>
          </cell>
          <cell r="L524" t="str">
            <v>D1</v>
          </cell>
          <cell r="M524" t="str">
            <v>NH-753F</v>
          </cell>
          <cell r="O524" t="str">
            <v>A</v>
          </cell>
          <cell r="P524">
            <v>70</v>
          </cell>
          <cell r="Q524">
            <v>115</v>
          </cell>
          <cell r="R524">
            <v>113</v>
          </cell>
          <cell r="S524">
            <v>207</v>
          </cell>
          <cell r="T524">
            <v>-43</v>
          </cell>
          <cell r="U524">
            <v>-92</v>
          </cell>
          <cell r="V524">
            <v>169</v>
          </cell>
          <cell r="W524">
            <v>317</v>
          </cell>
          <cell r="X524">
            <v>218</v>
          </cell>
          <cell r="Y524">
            <v>394</v>
          </cell>
          <cell r="Z524">
            <v>-49</v>
          </cell>
          <cell r="AA524">
            <v>-77</v>
          </cell>
          <cell r="AB524">
            <v>185</v>
          </cell>
          <cell r="AC524">
            <v>320</v>
          </cell>
          <cell r="AD524">
            <v>-135</v>
          </cell>
          <cell r="AE524">
            <v>486</v>
          </cell>
          <cell r="AF524">
            <v>612</v>
          </cell>
          <cell r="AG524">
            <v>-126</v>
          </cell>
        </row>
        <row r="525">
          <cell r="C525">
            <v>249858</v>
          </cell>
          <cell r="D525" t="str">
            <v>NATH PETROLEUM</v>
          </cell>
          <cell r="E525" t="str">
            <v>BPCL</v>
          </cell>
          <cell r="F525" t="str">
            <v>2024-25</v>
          </cell>
          <cell r="G525" t="str">
            <v>Pimpri Chinchwad RSA</v>
          </cell>
          <cell r="J525" t="str">
            <v>Chakan Bhose</v>
          </cell>
          <cell r="K525" t="str">
            <v>Pune</v>
          </cell>
          <cell r="L525" t="str">
            <v>D1</v>
          </cell>
          <cell r="M525" t="str">
            <v>NH-548D</v>
          </cell>
          <cell r="O525" t="str">
            <v>B</v>
          </cell>
          <cell r="P525">
            <v>17</v>
          </cell>
          <cell r="Q525">
            <v>111</v>
          </cell>
          <cell r="R525">
            <v>15</v>
          </cell>
          <cell r="S525">
            <v>109</v>
          </cell>
          <cell r="T525">
            <v>2</v>
          </cell>
          <cell r="U525">
            <v>2</v>
          </cell>
          <cell r="V525">
            <v>27</v>
          </cell>
          <cell r="W525">
            <v>209</v>
          </cell>
          <cell r="X525">
            <v>28</v>
          </cell>
          <cell r="Y525">
            <v>196</v>
          </cell>
          <cell r="Z525">
            <v>-1</v>
          </cell>
          <cell r="AA525">
            <v>13</v>
          </cell>
          <cell r="AB525">
            <v>128</v>
          </cell>
          <cell r="AC525">
            <v>124</v>
          </cell>
          <cell r="AD525">
            <v>4</v>
          </cell>
          <cell r="AE525">
            <v>236</v>
          </cell>
          <cell r="AF525">
            <v>224</v>
          </cell>
          <cell r="AG525">
            <v>12</v>
          </cell>
        </row>
        <row r="526">
          <cell r="C526">
            <v>250392</v>
          </cell>
          <cell r="D526" t="str">
            <v>VIJAYRAJ PETROLEUM</v>
          </cell>
          <cell r="E526" t="str">
            <v>BPCL</v>
          </cell>
          <cell r="F526" t="str">
            <v>2024-25</v>
          </cell>
          <cell r="G526" t="str">
            <v>Ahmednagar West RSA</v>
          </cell>
          <cell r="J526" t="str">
            <v>JAKHANGAON</v>
          </cell>
          <cell r="K526" t="str">
            <v>Ahmednagar</v>
          </cell>
          <cell r="L526" t="str">
            <v>D1</v>
          </cell>
          <cell r="M526" t="str">
            <v>NH-61</v>
          </cell>
          <cell r="O526" t="str">
            <v>A</v>
          </cell>
          <cell r="P526">
            <v>51.5</v>
          </cell>
          <cell r="Q526">
            <v>158.5</v>
          </cell>
          <cell r="R526">
            <v>39</v>
          </cell>
          <cell r="S526">
            <v>81</v>
          </cell>
          <cell r="T526">
            <v>12.5</v>
          </cell>
          <cell r="U526">
            <v>77.5</v>
          </cell>
          <cell r="V526">
            <v>94.5</v>
          </cell>
          <cell r="W526">
            <v>317.5</v>
          </cell>
          <cell r="X526">
            <v>65</v>
          </cell>
          <cell r="Y526">
            <v>168</v>
          </cell>
          <cell r="Z526">
            <v>29.5</v>
          </cell>
          <cell r="AA526">
            <v>149.5</v>
          </cell>
          <cell r="AB526">
            <v>210</v>
          </cell>
          <cell r="AC526">
            <v>120</v>
          </cell>
          <cell r="AD526">
            <v>90</v>
          </cell>
          <cell r="AE526">
            <v>412</v>
          </cell>
          <cell r="AF526">
            <v>233</v>
          </cell>
          <cell r="AG526">
            <v>179</v>
          </cell>
        </row>
        <row r="527">
          <cell r="C527">
            <v>250398</v>
          </cell>
          <cell r="D527" t="str">
            <v>DHUMAL NANA PETROLEUM</v>
          </cell>
          <cell r="E527" t="str">
            <v>BPCL</v>
          </cell>
          <cell r="F527" t="str">
            <v>2024-25</v>
          </cell>
          <cell r="G527" t="str">
            <v>Pune Saswad RSA</v>
          </cell>
          <cell r="J527" t="str">
            <v>SASWAD WAGHAPUR YAVAT ROAD</v>
          </cell>
          <cell r="K527" t="str">
            <v>Pune</v>
          </cell>
          <cell r="L527" t="str">
            <v>D2</v>
          </cell>
          <cell r="O527" t="str">
            <v>B</v>
          </cell>
          <cell r="P527">
            <v>24</v>
          </cell>
          <cell r="Q527">
            <v>36</v>
          </cell>
          <cell r="R527">
            <v>13</v>
          </cell>
          <cell r="S527">
            <v>23</v>
          </cell>
          <cell r="T527">
            <v>11</v>
          </cell>
          <cell r="U527">
            <v>13</v>
          </cell>
          <cell r="V527">
            <v>42</v>
          </cell>
          <cell r="W527">
            <v>66</v>
          </cell>
          <cell r="X527">
            <v>29</v>
          </cell>
          <cell r="Y527">
            <v>55</v>
          </cell>
          <cell r="Z527">
            <v>13</v>
          </cell>
          <cell r="AA527">
            <v>11</v>
          </cell>
          <cell r="AB527">
            <v>60</v>
          </cell>
          <cell r="AC527">
            <v>36</v>
          </cell>
          <cell r="AD527">
            <v>24</v>
          </cell>
          <cell r="AE527">
            <v>108</v>
          </cell>
          <cell r="AF527">
            <v>84</v>
          </cell>
          <cell r="AG527">
            <v>24</v>
          </cell>
        </row>
        <row r="528">
          <cell r="C528">
            <v>250936</v>
          </cell>
          <cell r="D528" t="str">
            <v>KRUSHNAI PETROLEUM</v>
          </cell>
          <cell r="E528" t="str">
            <v>BPCL</v>
          </cell>
          <cell r="F528" t="str">
            <v>2024-25</v>
          </cell>
          <cell r="G528" t="str">
            <v>Pune Tathawade RSA</v>
          </cell>
          <cell r="J528" t="str">
            <v>BARAMATI TOWN ON UNDEWADI ROAD</v>
          </cell>
          <cell r="K528" t="str">
            <v>Pune</v>
          </cell>
          <cell r="L528" t="str">
            <v>D1</v>
          </cell>
          <cell r="M528" t="str">
            <v>NH-160</v>
          </cell>
          <cell r="O528" t="str">
            <v>A</v>
          </cell>
          <cell r="P528">
            <v>90</v>
          </cell>
          <cell r="Q528">
            <v>72</v>
          </cell>
          <cell r="R528">
            <v>78</v>
          </cell>
          <cell r="S528">
            <v>42</v>
          </cell>
          <cell r="T528">
            <v>12</v>
          </cell>
          <cell r="U528">
            <v>30</v>
          </cell>
          <cell r="V528">
            <v>179</v>
          </cell>
          <cell r="W528">
            <v>137</v>
          </cell>
          <cell r="X528">
            <v>141</v>
          </cell>
          <cell r="Y528">
            <v>75</v>
          </cell>
          <cell r="Z528">
            <v>38</v>
          </cell>
          <cell r="AA528">
            <v>62</v>
          </cell>
          <cell r="AB528">
            <v>162</v>
          </cell>
          <cell r="AC528">
            <v>120</v>
          </cell>
          <cell r="AD528">
            <v>42</v>
          </cell>
          <cell r="AE528">
            <v>316</v>
          </cell>
          <cell r="AF528">
            <v>216</v>
          </cell>
          <cell r="AG528">
            <v>100</v>
          </cell>
        </row>
        <row r="529">
          <cell r="C529">
            <v>250943</v>
          </cell>
          <cell r="D529" t="str">
            <v>ROYAL FUELS</v>
          </cell>
          <cell r="E529" t="str">
            <v>BPCL</v>
          </cell>
          <cell r="F529" t="str">
            <v>2024-25</v>
          </cell>
          <cell r="G529" t="str">
            <v>Satara East RSA</v>
          </cell>
          <cell r="J529" t="str">
            <v>Waduj Dahiwadi Road</v>
          </cell>
          <cell r="K529" t="str">
            <v>Satara</v>
          </cell>
          <cell r="L529" t="str">
            <v>D2</v>
          </cell>
          <cell r="O529" t="str">
            <v>B</v>
          </cell>
          <cell r="P529">
            <v>12</v>
          </cell>
          <cell r="Q529">
            <v>12</v>
          </cell>
          <cell r="R529">
            <v>12</v>
          </cell>
          <cell r="S529">
            <v>12</v>
          </cell>
          <cell r="T529">
            <v>0</v>
          </cell>
          <cell r="U529">
            <v>0</v>
          </cell>
          <cell r="V529">
            <v>24</v>
          </cell>
          <cell r="W529">
            <v>24</v>
          </cell>
          <cell r="X529">
            <v>27</v>
          </cell>
          <cell r="Y529">
            <v>45</v>
          </cell>
          <cell r="Z529">
            <v>-3</v>
          </cell>
          <cell r="AA529">
            <v>-21</v>
          </cell>
          <cell r="AB529">
            <v>24</v>
          </cell>
          <cell r="AC529">
            <v>24</v>
          </cell>
          <cell r="AD529">
            <v>0</v>
          </cell>
          <cell r="AE529">
            <v>48</v>
          </cell>
          <cell r="AF529">
            <v>72</v>
          </cell>
          <cell r="AG529">
            <v>-24</v>
          </cell>
        </row>
        <row r="530">
          <cell r="C530">
            <v>250949</v>
          </cell>
          <cell r="D530" t="str">
            <v>RUDRANSH PETROLEUM</v>
          </cell>
          <cell r="E530" t="str">
            <v>BPCL</v>
          </cell>
          <cell r="F530" t="str">
            <v>2024-25</v>
          </cell>
          <cell r="G530" t="str">
            <v>Satara West RSA</v>
          </cell>
          <cell r="J530" t="str">
            <v>Shirwal to Khandala</v>
          </cell>
          <cell r="K530" t="str">
            <v>Satara</v>
          </cell>
          <cell r="L530" t="str">
            <v>D1</v>
          </cell>
          <cell r="M530" t="str">
            <v>NH-48</v>
          </cell>
          <cell r="O530" t="str">
            <v>B</v>
          </cell>
          <cell r="P530">
            <v>110</v>
          </cell>
          <cell r="Q530">
            <v>310</v>
          </cell>
          <cell r="R530">
            <v>92</v>
          </cell>
          <cell r="S530">
            <v>228</v>
          </cell>
          <cell r="T530">
            <v>18</v>
          </cell>
          <cell r="U530">
            <v>82</v>
          </cell>
          <cell r="V530">
            <v>190</v>
          </cell>
          <cell r="W530">
            <v>570</v>
          </cell>
          <cell r="X530">
            <v>163</v>
          </cell>
          <cell r="Y530">
            <v>397</v>
          </cell>
          <cell r="Z530">
            <v>27</v>
          </cell>
          <cell r="AA530">
            <v>173</v>
          </cell>
          <cell r="AB530">
            <v>420</v>
          </cell>
          <cell r="AC530">
            <v>320</v>
          </cell>
          <cell r="AD530">
            <v>100</v>
          </cell>
          <cell r="AE530">
            <v>760</v>
          </cell>
          <cell r="AF530">
            <v>560</v>
          </cell>
          <cell r="AG530">
            <v>200</v>
          </cell>
        </row>
        <row r="531">
          <cell r="C531">
            <v>251823</v>
          </cell>
          <cell r="D531" t="str">
            <v>KANDHARE PETROLEUM</v>
          </cell>
          <cell r="E531" t="str">
            <v>BPCL</v>
          </cell>
          <cell r="F531" t="str">
            <v>2024-25</v>
          </cell>
          <cell r="G531" t="str">
            <v>Pune City RSA</v>
          </cell>
          <cell r="J531" t="str">
            <v>Akole-Mulshi</v>
          </cell>
          <cell r="K531" t="str">
            <v>Pune</v>
          </cell>
          <cell r="L531" t="str">
            <v>D1</v>
          </cell>
          <cell r="M531" t="str">
            <v>NH-753F</v>
          </cell>
          <cell r="O531" t="str">
            <v>A</v>
          </cell>
          <cell r="P531">
            <v>110</v>
          </cell>
          <cell r="Q531">
            <v>236</v>
          </cell>
          <cell r="R531">
            <v>101</v>
          </cell>
          <cell r="S531">
            <v>223</v>
          </cell>
          <cell r="T531">
            <v>9</v>
          </cell>
          <cell r="U531">
            <v>13</v>
          </cell>
          <cell r="V531">
            <v>198</v>
          </cell>
          <cell r="W531">
            <v>454</v>
          </cell>
          <cell r="X531">
            <v>171</v>
          </cell>
          <cell r="Y531">
            <v>401</v>
          </cell>
          <cell r="Z531">
            <v>27</v>
          </cell>
          <cell r="AA531">
            <v>53</v>
          </cell>
          <cell r="AB531">
            <v>346</v>
          </cell>
          <cell r="AC531">
            <v>324</v>
          </cell>
          <cell r="AD531">
            <v>22</v>
          </cell>
          <cell r="AE531">
            <v>652</v>
          </cell>
          <cell r="AF531">
            <v>572</v>
          </cell>
          <cell r="AG531">
            <v>80</v>
          </cell>
        </row>
        <row r="532">
          <cell r="C532">
            <v>252210</v>
          </cell>
          <cell r="D532" t="str">
            <v>SHUBHAM PETROLEUM</v>
          </cell>
          <cell r="E532" t="str">
            <v>BPCL</v>
          </cell>
          <cell r="F532" t="str">
            <v>2024-25</v>
          </cell>
          <cell r="G532" t="str">
            <v>Ahmednagar West RSA</v>
          </cell>
          <cell r="J532" t="str">
            <v>Walki</v>
          </cell>
          <cell r="K532" t="str">
            <v>Ahmednagar</v>
          </cell>
          <cell r="L532" t="str">
            <v>E</v>
          </cell>
          <cell r="O532" t="str">
            <v>B</v>
          </cell>
          <cell r="P532">
            <v>24.5</v>
          </cell>
          <cell r="Q532">
            <v>67.5</v>
          </cell>
          <cell r="R532">
            <v>40</v>
          </cell>
          <cell r="S532">
            <v>107</v>
          </cell>
          <cell r="T532">
            <v>-15.5</v>
          </cell>
          <cell r="U532">
            <v>-39.5</v>
          </cell>
          <cell r="V532">
            <v>51.5</v>
          </cell>
          <cell r="W532">
            <v>172.5</v>
          </cell>
          <cell r="X532">
            <v>72</v>
          </cell>
          <cell r="Y532">
            <v>215</v>
          </cell>
          <cell r="Z532">
            <v>-20.5</v>
          </cell>
          <cell r="AA532">
            <v>-42.5</v>
          </cell>
          <cell r="AB532">
            <v>92</v>
          </cell>
          <cell r="AC532">
            <v>147</v>
          </cell>
          <cell r="AD532">
            <v>-55</v>
          </cell>
          <cell r="AE532">
            <v>224</v>
          </cell>
          <cell r="AF532">
            <v>287</v>
          </cell>
          <cell r="AG532">
            <v>-63</v>
          </cell>
        </row>
        <row r="533">
          <cell r="C533">
            <v>252670</v>
          </cell>
          <cell r="D533" t="str">
            <v>N. M. MANKAR &amp; CO</v>
          </cell>
          <cell r="E533" t="str">
            <v>BPCL</v>
          </cell>
          <cell r="F533" t="str">
            <v>2024-25</v>
          </cell>
          <cell r="G533" t="str">
            <v>Pune Hadapsar RSA</v>
          </cell>
          <cell r="J533" t="str">
            <v>Urlidevachi Undri Road</v>
          </cell>
          <cell r="K533" t="str">
            <v>Pune</v>
          </cell>
          <cell r="L533" t="str">
            <v>A</v>
          </cell>
          <cell r="O533" t="str">
            <v>A</v>
          </cell>
          <cell r="P533">
            <v>180</v>
          </cell>
          <cell r="Q533">
            <v>215</v>
          </cell>
          <cell r="R533">
            <v>165</v>
          </cell>
          <cell r="S533">
            <v>139</v>
          </cell>
          <cell r="T533">
            <v>15</v>
          </cell>
          <cell r="U533">
            <v>76</v>
          </cell>
          <cell r="V533">
            <v>360</v>
          </cell>
          <cell r="W533">
            <v>444</v>
          </cell>
          <cell r="X533">
            <v>318</v>
          </cell>
          <cell r="Y533">
            <v>268</v>
          </cell>
          <cell r="Z533">
            <v>42</v>
          </cell>
          <cell r="AA533">
            <v>176</v>
          </cell>
          <cell r="AB533">
            <v>395</v>
          </cell>
          <cell r="AC533">
            <v>304</v>
          </cell>
          <cell r="AD533">
            <v>91</v>
          </cell>
          <cell r="AE533">
            <v>804</v>
          </cell>
          <cell r="AF533">
            <v>586</v>
          </cell>
          <cell r="AG533">
            <v>218</v>
          </cell>
        </row>
        <row r="534">
          <cell r="C534">
            <v>253035</v>
          </cell>
          <cell r="D534" t="str">
            <v>VIRAJ PETROLEUM</v>
          </cell>
          <cell r="E534" t="str">
            <v>BPCL</v>
          </cell>
          <cell r="F534" t="str">
            <v>2024-25</v>
          </cell>
          <cell r="G534" t="str">
            <v>Ahmednagar East RSA</v>
          </cell>
          <cell r="J534" t="str">
            <v>Savedi</v>
          </cell>
          <cell r="K534" t="str">
            <v>Ahmednagar</v>
          </cell>
          <cell r="L534" t="str">
            <v>C</v>
          </cell>
          <cell r="O534" t="str">
            <v>A</v>
          </cell>
          <cell r="P534">
            <v>74</v>
          </cell>
          <cell r="Q534">
            <v>47</v>
          </cell>
          <cell r="R534">
            <v>55</v>
          </cell>
          <cell r="S534">
            <v>35</v>
          </cell>
          <cell r="T534">
            <v>19</v>
          </cell>
          <cell r="U534">
            <v>12</v>
          </cell>
          <cell r="V534">
            <v>130</v>
          </cell>
          <cell r="W534">
            <v>75</v>
          </cell>
          <cell r="X534">
            <v>103</v>
          </cell>
          <cell r="Y534">
            <v>59</v>
          </cell>
          <cell r="Z534">
            <v>27</v>
          </cell>
          <cell r="AA534">
            <v>16</v>
          </cell>
          <cell r="AB534">
            <v>121</v>
          </cell>
          <cell r="AC534">
            <v>90</v>
          </cell>
          <cell r="AD534">
            <v>31</v>
          </cell>
          <cell r="AE534">
            <v>205</v>
          </cell>
          <cell r="AF534">
            <v>162</v>
          </cell>
          <cell r="AG534">
            <v>43</v>
          </cell>
        </row>
        <row r="535">
          <cell r="C535">
            <v>253036</v>
          </cell>
          <cell r="D535" t="str">
            <v>SUYOG PETROLEUM</v>
          </cell>
          <cell r="E535" t="str">
            <v>BPCL</v>
          </cell>
          <cell r="F535" t="str">
            <v>2024-25</v>
          </cell>
          <cell r="G535" t="str">
            <v>Ahmednagar East RSA</v>
          </cell>
          <cell r="J535" t="str">
            <v>Chanda</v>
          </cell>
          <cell r="K535" t="str">
            <v>Ahmednagar</v>
          </cell>
          <cell r="L535" t="str">
            <v>D2</v>
          </cell>
          <cell r="O535" t="str">
            <v>B</v>
          </cell>
          <cell r="P535">
            <v>41</v>
          </cell>
          <cell r="Q535">
            <v>100</v>
          </cell>
          <cell r="R535">
            <v>37</v>
          </cell>
          <cell r="S535">
            <v>81</v>
          </cell>
          <cell r="T535">
            <v>4</v>
          </cell>
          <cell r="U535">
            <v>19</v>
          </cell>
          <cell r="V535">
            <v>78</v>
          </cell>
          <cell r="W535">
            <v>157</v>
          </cell>
          <cell r="X535">
            <v>66</v>
          </cell>
          <cell r="Y535">
            <v>129</v>
          </cell>
          <cell r="Z535">
            <v>12</v>
          </cell>
          <cell r="AA535">
            <v>28</v>
          </cell>
          <cell r="AB535">
            <v>141</v>
          </cell>
          <cell r="AC535">
            <v>118</v>
          </cell>
          <cell r="AD535">
            <v>23</v>
          </cell>
          <cell r="AE535">
            <v>235</v>
          </cell>
          <cell r="AF535">
            <v>195</v>
          </cell>
          <cell r="AG535">
            <v>40</v>
          </cell>
        </row>
        <row r="536">
          <cell r="C536">
            <v>253195</v>
          </cell>
          <cell r="D536" t="str">
            <v>PETRO PLUS</v>
          </cell>
          <cell r="E536" t="str">
            <v>BPCL</v>
          </cell>
          <cell r="F536" t="str">
            <v>2024-25</v>
          </cell>
          <cell r="G536" t="str">
            <v>Satara West RSA</v>
          </cell>
          <cell r="J536" t="str">
            <v>WATHAR TO KARAD</v>
          </cell>
          <cell r="K536" t="str">
            <v>Satara</v>
          </cell>
          <cell r="L536" t="str">
            <v>D1</v>
          </cell>
          <cell r="M536" t="str">
            <v>NH-48</v>
          </cell>
          <cell r="O536" t="str">
            <v>B</v>
          </cell>
          <cell r="P536">
            <v>49</v>
          </cell>
          <cell r="Q536">
            <v>224</v>
          </cell>
          <cell r="R536">
            <v>32.5</v>
          </cell>
          <cell r="S536">
            <v>57.5</v>
          </cell>
          <cell r="T536">
            <v>16.5</v>
          </cell>
          <cell r="U536">
            <v>166.5</v>
          </cell>
          <cell r="V536">
            <v>80.5</v>
          </cell>
          <cell r="W536">
            <v>402.5</v>
          </cell>
          <cell r="X536">
            <v>51.5</v>
          </cell>
          <cell r="Y536">
            <v>90.5</v>
          </cell>
          <cell r="Z536">
            <v>29</v>
          </cell>
          <cell r="AA536">
            <v>312</v>
          </cell>
          <cell r="AB536">
            <v>273</v>
          </cell>
          <cell r="AC536">
            <v>90</v>
          </cell>
          <cell r="AD536">
            <v>183</v>
          </cell>
          <cell r="AE536">
            <v>483</v>
          </cell>
          <cell r="AF536">
            <v>142</v>
          </cell>
          <cell r="AG536">
            <v>341</v>
          </cell>
        </row>
        <row r="537">
          <cell r="C537">
            <v>253312</v>
          </cell>
          <cell r="D537" t="str">
            <v>SHANKAR MAHARAJ PETROLEUM</v>
          </cell>
          <cell r="E537" t="str">
            <v>BPCL</v>
          </cell>
          <cell r="F537" t="str">
            <v>2024-25</v>
          </cell>
          <cell r="G537" t="str">
            <v>Pune City RSA</v>
          </cell>
          <cell r="J537" t="str">
            <v>Bopkhel</v>
          </cell>
          <cell r="K537" t="str">
            <v>Pune</v>
          </cell>
          <cell r="L537" t="str">
            <v>A</v>
          </cell>
          <cell r="O537" t="str">
            <v>B</v>
          </cell>
          <cell r="P537">
            <v>100</v>
          </cell>
          <cell r="Q537">
            <v>48</v>
          </cell>
          <cell r="R537">
            <v>75</v>
          </cell>
          <cell r="S537">
            <v>21</v>
          </cell>
          <cell r="T537">
            <v>25</v>
          </cell>
          <cell r="U537">
            <v>27</v>
          </cell>
          <cell r="V537">
            <v>188</v>
          </cell>
          <cell r="W537">
            <v>88</v>
          </cell>
          <cell r="X537">
            <v>135</v>
          </cell>
          <cell r="Y537">
            <v>65</v>
          </cell>
          <cell r="Z537">
            <v>53</v>
          </cell>
          <cell r="AA537">
            <v>23</v>
          </cell>
          <cell r="AB537">
            <v>148</v>
          </cell>
          <cell r="AC537">
            <v>96</v>
          </cell>
          <cell r="AD537">
            <v>52</v>
          </cell>
          <cell r="AE537">
            <v>276</v>
          </cell>
          <cell r="AF537">
            <v>200</v>
          </cell>
          <cell r="AG537">
            <v>76</v>
          </cell>
        </row>
        <row r="538">
          <cell r="C538">
            <v>253336</v>
          </cell>
          <cell r="D538" t="str">
            <v>RENUKA PETROLEUM</v>
          </cell>
          <cell r="E538" t="str">
            <v>BPCL</v>
          </cell>
          <cell r="F538" t="str">
            <v>2024-25</v>
          </cell>
          <cell r="G538" t="str">
            <v>Satara West RSA</v>
          </cell>
          <cell r="J538" t="str">
            <v>KARAD TO WATHAR</v>
          </cell>
          <cell r="K538" t="str">
            <v>Satara</v>
          </cell>
          <cell r="L538" t="str">
            <v>D1</v>
          </cell>
          <cell r="M538" t="str">
            <v>NH-48</v>
          </cell>
          <cell r="O538" t="str">
            <v>B</v>
          </cell>
          <cell r="P538">
            <v>39</v>
          </cell>
          <cell r="Q538">
            <v>63</v>
          </cell>
          <cell r="R538">
            <v>22.5</v>
          </cell>
          <cell r="S538">
            <v>51.5</v>
          </cell>
          <cell r="T538">
            <v>16.5</v>
          </cell>
          <cell r="U538">
            <v>11.5</v>
          </cell>
          <cell r="V538">
            <v>73</v>
          </cell>
          <cell r="W538">
            <v>141</v>
          </cell>
          <cell r="X538">
            <v>32.5</v>
          </cell>
          <cell r="Y538">
            <v>61.5</v>
          </cell>
          <cell r="Z538">
            <v>40.5</v>
          </cell>
          <cell r="AA538">
            <v>79.5</v>
          </cell>
          <cell r="AB538">
            <v>102</v>
          </cell>
          <cell r="AC538">
            <v>74</v>
          </cell>
          <cell r="AD538">
            <v>28</v>
          </cell>
          <cell r="AE538">
            <v>214</v>
          </cell>
          <cell r="AF538">
            <v>94</v>
          </cell>
          <cell r="AG538">
            <v>120</v>
          </cell>
        </row>
        <row r="539">
          <cell r="C539">
            <v>253452</v>
          </cell>
          <cell r="D539" t="str">
            <v>KRISHNA PETROLEUM</v>
          </cell>
          <cell r="E539" t="str">
            <v>BPCL</v>
          </cell>
          <cell r="F539" t="str">
            <v>2024-25</v>
          </cell>
          <cell r="G539" t="str">
            <v>Satara West RSA</v>
          </cell>
          <cell r="J539" t="str">
            <v>Bhuinj to Satara</v>
          </cell>
          <cell r="K539" t="str">
            <v>Satara</v>
          </cell>
          <cell r="L539" t="str">
            <v>D1</v>
          </cell>
          <cell r="M539" t="str">
            <v>NH-48</v>
          </cell>
          <cell r="O539" t="str">
            <v>B</v>
          </cell>
          <cell r="P539">
            <v>49</v>
          </cell>
          <cell r="Q539">
            <v>199</v>
          </cell>
          <cell r="R539">
            <v>40</v>
          </cell>
          <cell r="S539">
            <v>42</v>
          </cell>
          <cell r="T539">
            <v>9</v>
          </cell>
          <cell r="U539">
            <v>157</v>
          </cell>
          <cell r="V539">
            <v>86</v>
          </cell>
          <cell r="W539">
            <v>410</v>
          </cell>
          <cell r="X539">
            <v>60</v>
          </cell>
          <cell r="Y539">
            <v>82</v>
          </cell>
          <cell r="Z539">
            <v>26</v>
          </cell>
          <cell r="AA539">
            <v>328</v>
          </cell>
          <cell r="AB539">
            <v>248</v>
          </cell>
          <cell r="AC539">
            <v>82</v>
          </cell>
          <cell r="AD539">
            <v>166</v>
          </cell>
          <cell r="AE539">
            <v>496</v>
          </cell>
          <cell r="AF539">
            <v>142</v>
          </cell>
          <cell r="AG539">
            <v>354</v>
          </cell>
        </row>
        <row r="540">
          <cell r="C540">
            <v>253819</v>
          </cell>
          <cell r="D540" t="str">
            <v>WAGHJAI PETROLEUM</v>
          </cell>
          <cell r="E540" t="str">
            <v>BPCL</v>
          </cell>
          <cell r="F540" t="str">
            <v>2024-25</v>
          </cell>
          <cell r="G540" t="str">
            <v>Pune City RSA</v>
          </cell>
          <cell r="J540" t="str">
            <v>PANSHET ROAD</v>
          </cell>
          <cell r="K540" t="str">
            <v>Pune</v>
          </cell>
          <cell r="L540" t="str">
            <v>E</v>
          </cell>
          <cell r="O540" t="str">
            <v>B</v>
          </cell>
          <cell r="P540">
            <v>79</v>
          </cell>
          <cell r="Q540">
            <v>122</v>
          </cell>
          <cell r="R540">
            <v>60</v>
          </cell>
          <cell r="S540">
            <v>60</v>
          </cell>
          <cell r="T540">
            <v>19</v>
          </cell>
          <cell r="U540">
            <v>62</v>
          </cell>
          <cell r="V540">
            <v>145</v>
          </cell>
          <cell r="W540">
            <v>212</v>
          </cell>
          <cell r="X540">
            <v>90</v>
          </cell>
          <cell r="Y540">
            <v>90</v>
          </cell>
          <cell r="Z540">
            <v>55</v>
          </cell>
          <cell r="AA540">
            <v>122</v>
          </cell>
          <cell r="AB540">
            <v>201</v>
          </cell>
          <cell r="AC540">
            <v>120</v>
          </cell>
          <cell r="AD540">
            <v>81</v>
          </cell>
          <cell r="AE540">
            <v>357</v>
          </cell>
          <cell r="AF540">
            <v>180</v>
          </cell>
          <cell r="AG540">
            <v>177</v>
          </cell>
        </row>
        <row r="541">
          <cell r="C541">
            <v>253982</v>
          </cell>
          <cell r="D541" t="str">
            <v>GAURAV PETROLEUM</v>
          </cell>
          <cell r="E541" t="str">
            <v>BPCL</v>
          </cell>
          <cell r="F541" t="str">
            <v>2024-25</v>
          </cell>
          <cell r="G541" t="str">
            <v>Satara West RSA</v>
          </cell>
          <cell r="J541" t="str">
            <v>Satara to Bhuinj</v>
          </cell>
          <cell r="K541" t="str">
            <v>Satara</v>
          </cell>
          <cell r="L541" t="str">
            <v>D1</v>
          </cell>
          <cell r="M541" t="str">
            <v>NH-48</v>
          </cell>
          <cell r="O541" t="str">
            <v>B</v>
          </cell>
          <cell r="P541">
            <v>115</v>
          </cell>
          <cell r="Q541">
            <v>195</v>
          </cell>
          <cell r="R541">
            <v>101</v>
          </cell>
          <cell r="S541">
            <v>151</v>
          </cell>
          <cell r="T541">
            <v>14</v>
          </cell>
          <cell r="U541">
            <v>44</v>
          </cell>
          <cell r="V541">
            <v>208</v>
          </cell>
          <cell r="W541">
            <v>374</v>
          </cell>
          <cell r="X541">
            <v>182</v>
          </cell>
          <cell r="Y541">
            <v>274</v>
          </cell>
          <cell r="Z541">
            <v>26</v>
          </cell>
          <cell r="AA541">
            <v>100</v>
          </cell>
          <cell r="AB541">
            <v>310</v>
          </cell>
          <cell r="AC541">
            <v>252</v>
          </cell>
          <cell r="AD541">
            <v>58</v>
          </cell>
          <cell r="AE541">
            <v>582</v>
          </cell>
          <cell r="AF541">
            <v>456</v>
          </cell>
          <cell r="AG541">
            <v>126</v>
          </cell>
        </row>
        <row r="542">
          <cell r="C542">
            <v>253990</v>
          </cell>
          <cell r="D542" t="str">
            <v>GAIKWAD PETROLEUM</v>
          </cell>
          <cell r="E542" t="str">
            <v>BPCL</v>
          </cell>
          <cell r="F542" t="str">
            <v>2024-25</v>
          </cell>
          <cell r="G542" t="str">
            <v>Pune City RSA</v>
          </cell>
          <cell r="J542" t="str">
            <v>KASARSAI</v>
          </cell>
          <cell r="K542" t="str">
            <v>Pune</v>
          </cell>
          <cell r="L542" t="str">
            <v>A</v>
          </cell>
          <cell r="O542" t="str">
            <v>B</v>
          </cell>
          <cell r="P542">
            <v>49</v>
          </cell>
          <cell r="Q542">
            <v>111</v>
          </cell>
          <cell r="R542">
            <v>40</v>
          </cell>
          <cell r="S542">
            <v>85</v>
          </cell>
          <cell r="T542">
            <v>9</v>
          </cell>
          <cell r="U542">
            <v>26</v>
          </cell>
          <cell r="V542">
            <v>86</v>
          </cell>
          <cell r="W542">
            <v>202</v>
          </cell>
          <cell r="X542">
            <v>80</v>
          </cell>
          <cell r="Y542">
            <v>150</v>
          </cell>
          <cell r="Z542">
            <v>6</v>
          </cell>
          <cell r="AA542">
            <v>52</v>
          </cell>
          <cell r="AB542">
            <v>160</v>
          </cell>
          <cell r="AC542">
            <v>125</v>
          </cell>
          <cell r="AD542">
            <v>35</v>
          </cell>
          <cell r="AE542">
            <v>288</v>
          </cell>
          <cell r="AF542">
            <v>230</v>
          </cell>
          <cell r="AG542">
            <v>58</v>
          </cell>
        </row>
        <row r="543">
          <cell r="C543">
            <v>254077</v>
          </cell>
          <cell r="D543" t="str">
            <v>SHREE MAHAKAL PETROLEUM</v>
          </cell>
          <cell r="E543" t="str">
            <v>BPCL</v>
          </cell>
          <cell r="F543" t="str">
            <v>2024-25</v>
          </cell>
          <cell r="G543" t="str">
            <v>Pimpri Chinchwad RSA</v>
          </cell>
          <cell r="J543" t="str">
            <v>chakan to rajgurunagar LHS</v>
          </cell>
          <cell r="K543" t="str">
            <v>Pune</v>
          </cell>
          <cell r="L543" t="str">
            <v>D1</v>
          </cell>
          <cell r="M543" t="str">
            <v>NH-60</v>
          </cell>
          <cell r="O543" t="str">
            <v>A</v>
          </cell>
          <cell r="P543">
            <v>50</v>
          </cell>
          <cell r="Q543">
            <v>254</v>
          </cell>
          <cell r="R543">
            <v>32</v>
          </cell>
          <cell r="S543">
            <v>76</v>
          </cell>
          <cell r="T543">
            <v>18</v>
          </cell>
          <cell r="U543">
            <v>178</v>
          </cell>
          <cell r="V543">
            <v>95</v>
          </cell>
          <cell r="W543">
            <v>514</v>
          </cell>
          <cell r="X543">
            <v>32</v>
          </cell>
          <cell r="Y543">
            <v>76</v>
          </cell>
          <cell r="Z543">
            <v>63</v>
          </cell>
          <cell r="AA543">
            <v>438</v>
          </cell>
          <cell r="AB543">
            <v>304</v>
          </cell>
          <cell r="AC543">
            <v>108</v>
          </cell>
          <cell r="AD543">
            <v>196</v>
          </cell>
          <cell r="AE543">
            <v>609</v>
          </cell>
          <cell r="AF543">
            <v>108</v>
          </cell>
          <cell r="AG543">
            <v>501</v>
          </cell>
        </row>
        <row r="544">
          <cell r="C544">
            <v>254087</v>
          </cell>
          <cell r="D544" t="str">
            <v>DAKSON PETROLEUM</v>
          </cell>
          <cell r="E544" t="str">
            <v>BPCL</v>
          </cell>
          <cell r="F544" t="str">
            <v>2024-25</v>
          </cell>
          <cell r="G544" t="str">
            <v>Ahmednagar West RSA</v>
          </cell>
          <cell r="J544" t="str">
            <v>WALUNJ-BYPASS</v>
          </cell>
          <cell r="K544" t="str">
            <v>Ahmednagar</v>
          </cell>
          <cell r="L544" t="str">
            <v>D1</v>
          </cell>
          <cell r="M544" t="str">
            <v>NH-61</v>
          </cell>
          <cell r="O544" t="str">
            <v>B</v>
          </cell>
          <cell r="P544">
            <v>35</v>
          </cell>
          <cell r="Q544">
            <v>136</v>
          </cell>
          <cell r="R544">
            <v>18</v>
          </cell>
          <cell r="S544">
            <v>102</v>
          </cell>
          <cell r="T544">
            <v>17</v>
          </cell>
          <cell r="U544">
            <v>34</v>
          </cell>
          <cell r="V544">
            <v>59</v>
          </cell>
          <cell r="W544">
            <v>232</v>
          </cell>
          <cell r="X544">
            <v>30</v>
          </cell>
          <cell r="Y544">
            <v>150</v>
          </cell>
          <cell r="Z544">
            <v>29</v>
          </cell>
          <cell r="AA544">
            <v>82</v>
          </cell>
          <cell r="AB544">
            <v>171</v>
          </cell>
          <cell r="AC544">
            <v>120</v>
          </cell>
          <cell r="AD544">
            <v>51</v>
          </cell>
          <cell r="AE544">
            <v>291</v>
          </cell>
          <cell r="AF544">
            <v>180</v>
          </cell>
          <cell r="AG544">
            <v>111</v>
          </cell>
        </row>
        <row r="545">
          <cell r="C545">
            <v>254165</v>
          </cell>
          <cell r="D545" t="str">
            <v>TRIMURTI PETROLEUM</v>
          </cell>
          <cell r="E545" t="str">
            <v>BPCL</v>
          </cell>
          <cell r="F545" t="str">
            <v>2024-25</v>
          </cell>
          <cell r="G545" t="str">
            <v>Shirdi RSA</v>
          </cell>
          <cell r="J545" t="str">
            <v>VARVANDI</v>
          </cell>
          <cell r="K545" t="str">
            <v>Ahmednagar</v>
          </cell>
          <cell r="L545" t="str">
            <v>D2</v>
          </cell>
          <cell r="O545" t="str">
            <v>A</v>
          </cell>
          <cell r="P545">
            <v>35.5</v>
          </cell>
          <cell r="Q545">
            <v>96.5</v>
          </cell>
          <cell r="R545">
            <v>32</v>
          </cell>
          <cell r="S545">
            <v>108</v>
          </cell>
          <cell r="T545">
            <v>3.5</v>
          </cell>
          <cell r="U545">
            <v>-11.5</v>
          </cell>
          <cell r="V545">
            <v>66</v>
          </cell>
          <cell r="W545">
            <v>244</v>
          </cell>
          <cell r="X545">
            <v>58</v>
          </cell>
          <cell r="Y545">
            <v>197</v>
          </cell>
          <cell r="Z545">
            <v>8</v>
          </cell>
          <cell r="AA545">
            <v>47</v>
          </cell>
          <cell r="AB545">
            <v>132</v>
          </cell>
          <cell r="AC545">
            <v>140</v>
          </cell>
          <cell r="AD545">
            <v>-8</v>
          </cell>
          <cell r="AE545">
            <v>310</v>
          </cell>
          <cell r="AF545">
            <v>255</v>
          </cell>
          <cell r="AG545">
            <v>55</v>
          </cell>
        </row>
        <row r="546">
          <cell r="C546">
            <v>254866</v>
          </cell>
          <cell r="D546" t="str">
            <v>MUKTAI PETROLEUM</v>
          </cell>
          <cell r="E546" t="str">
            <v>BPCL</v>
          </cell>
          <cell r="F546" t="str">
            <v>2024-25</v>
          </cell>
          <cell r="G546" t="str">
            <v>Ahmednagar East RSA</v>
          </cell>
          <cell r="J546" t="str">
            <v>Sonai</v>
          </cell>
          <cell r="K546" t="str">
            <v>Ahmednagar</v>
          </cell>
          <cell r="L546" t="str">
            <v>E</v>
          </cell>
          <cell r="O546" t="str">
            <v>A</v>
          </cell>
          <cell r="P546">
            <v>50</v>
          </cell>
          <cell r="Q546">
            <v>89</v>
          </cell>
          <cell r="R546">
            <v>46</v>
          </cell>
          <cell r="S546">
            <v>75</v>
          </cell>
          <cell r="T546">
            <v>4</v>
          </cell>
          <cell r="U546">
            <v>14</v>
          </cell>
          <cell r="V546">
            <v>114</v>
          </cell>
          <cell r="W546">
            <v>185</v>
          </cell>
          <cell r="X546">
            <v>87</v>
          </cell>
          <cell r="Y546">
            <v>135</v>
          </cell>
          <cell r="Z546">
            <v>27</v>
          </cell>
          <cell r="AA546">
            <v>50</v>
          </cell>
          <cell r="AB546">
            <v>139</v>
          </cell>
          <cell r="AC546">
            <v>121</v>
          </cell>
          <cell r="AD546">
            <v>18</v>
          </cell>
          <cell r="AE546">
            <v>299</v>
          </cell>
          <cell r="AF546">
            <v>222</v>
          </cell>
          <cell r="AG546">
            <v>77</v>
          </cell>
        </row>
        <row r="547">
          <cell r="C547">
            <v>254999</v>
          </cell>
          <cell r="D547" t="str">
            <v>SHUBHLAXMI PETROLEUM</v>
          </cell>
          <cell r="E547" t="str">
            <v>BPCL</v>
          </cell>
          <cell r="F547" t="str">
            <v>2024-25</v>
          </cell>
          <cell r="G547" t="str">
            <v>Pune Wagholi RSA</v>
          </cell>
          <cell r="J547" t="str">
            <v>Narayangaon Ozar Road</v>
          </cell>
          <cell r="K547" t="str">
            <v>Pune</v>
          </cell>
          <cell r="L547" t="str">
            <v>D2</v>
          </cell>
          <cell r="O547" t="str">
            <v>B</v>
          </cell>
          <cell r="P547">
            <v>39</v>
          </cell>
          <cell r="Q547">
            <v>89</v>
          </cell>
          <cell r="R547">
            <v>15</v>
          </cell>
          <cell r="S547">
            <v>21</v>
          </cell>
          <cell r="T547">
            <v>24</v>
          </cell>
          <cell r="U547">
            <v>68</v>
          </cell>
          <cell r="V547">
            <v>65</v>
          </cell>
          <cell r="W547">
            <v>151</v>
          </cell>
          <cell r="X547">
            <v>21</v>
          </cell>
          <cell r="Y547">
            <v>27</v>
          </cell>
          <cell r="Z547">
            <v>44</v>
          </cell>
          <cell r="AA547">
            <v>124</v>
          </cell>
          <cell r="AB547">
            <v>128</v>
          </cell>
          <cell r="AC547">
            <v>36</v>
          </cell>
          <cell r="AD547">
            <v>92</v>
          </cell>
          <cell r="AE547">
            <v>216</v>
          </cell>
          <cell r="AF547">
            <v>48</v>
          </cell>
          <cell r="AG547">
            <v>168</v>
          </cell>
        </row>
        <row r="548">
          <cell r="C548">
            <v>255181</v>
          </cell>
          <cell r="D548" t="str">
            <v>NIMJAI PETROLEUM SERVICES</v>
          </cell>
          <cell r="E548" t="str">
            <v>BPCL</v>
          </cell>
          <cell r="F548" t="str">
            <v>2024-25</v>
          </cell>
          <cell r="G548" t="str">
            <v>Satara East RSA</v>
          </cell>
          <cell r="J548" t="str">
            <v>Vidani</v>
          </cell>
          <cell r="K548" t="str">
            <v>Satara</v>
          </cell>
          <cell r="L548" t="str">
            <v>D1</v>
          </cell>
          <cell r="M548" t="str">
            <v>NH-965</v>
          </cell>
          <cell r="O548" t="str">
            <v>A</v>
          </cell>
          <cell r="P548">
            <v>21</v>
          </cell>
          <cell r="Q548">
            <v>95</v>
          </cell>
          <cell r="R548">
            <v>4</v>
          </cell>
          <cell r="S548">
            <v>8</v>
          </cell>
          <cell r="T548">
            <v>17</v>
          </cell>
          <cell r="U548">
            <v>87</v>
          </cell>
          <cell r="V548">
            <v>34</v>
          </cell>
          <cell r="W548">
            <v>166</v>
          </cell>
          <cell r="X548">
            <v>4</v>
          </cell>
          <cell r="Y548">
            <v>8</v>
          </cell>
          <cell r="Z548">
            <v>30</v>
          </cell>
          <cell r="AA548">
            <v>158</v>
          </cell>
          <cell r="AB548">
            <v>116</v>
          </cell>
          <cell r="AC548">
            <v>12</v>
          </cell>
          <cell r="AD548">
            <v>104</v>
          </cell>
          <cell r="AE548">
            <v>200</v>
          </cell>
          <cell r="AF548">
            <v>12</v>
          </cell>
          <cell r="AG548">
            <v>188</v>
          </cell>
        </row>
        <row r="549">
          <cell r="C549">
            <v>255672</v>
          </cell>
          <cell r="D549" t="str">
            <v>SADGURUKRUPA PETROLEUM</v>
          </cell>
          <cell r="E549" t="str">
            <v>BPCL</v>
          </cell>
          <cell r="F549" t="str">
            <v>2024-25</v>
          </cell>
          <cell r="G549" t="str">
            <v>Pimpri Chinchwad RSA</v>
          </cell>
          <cell r="J549" t="str">
            <v>Alandi Rural</v>
          </cell>
          <cell r="K549" t="str">
            <v>Pune</v>
          </cell>
          <cell r="L549" t="str">
            <v>E</v>
          </cell>
          <cell r="O549" t="str">
            <v>B</v>
          </cell>
          <cell r="P549">
            <v>42</v>
          </cell>
          <cell r="Q549">
            <v>54</v>
          </cell>
          <cell r="R549">
            <v>34</v>
          </cell>
          <cell r="S549">
            <v>38</v>
          </cell>
          <cell r="T549">
            <v>8</v>
          </cell>
          <cell r="U549">
            <v>16</v>
          </cell>
          <cell r="V549">
            <v>81</v>
          </cell>
          <cell r="W549">
            <v>103</v>
          </cell>
          <cell r="X549">
            <v>58</v>
          </cell>
          <cell r="Y549">
            <v>62</v>
          </cell>
          <cell r="Z549">
            <v>23</v>
          </cell>
          <cell r="AA549">
            <v>41</v>
          </cell>
          <cell r="AB549">
            <v>96</v>
          </cell>
          <cell r="AC549">
            <v>72</v>
          </cell>
          <cell r="AD549">
            <v>24</v>
          </cell>
          <cell r="AE549">
            <v>184</v>
          </cell>
          <cell r="AF549">
            <v>120</v>
          </cell>
          <cell r="AG549">
            <v>64</v>
          </cell>
        </row>
        <row r="550">
          <cell r="C550">
            <v>255682</v>
          </cell>
          <cell r="D550" t="str">
            <v>TANPURE ENERGY STATION</v>
          </cell>
          <cell r="E550" t="str">
            <v>BPCL</v>
          </cell>
          <cell r="F550" t="str">
            <v>2024-25</v>
          </cell>
          <cell r="G550" t="str">
            <v>Ahmednagar West RSA</v>
          </cell>
          <cell r="J550" t="str">
            <v>ARANGAON</v>
          </cell>
          <cell r="K550" t="str">
            <v>Ahmednagar</v>
          </cell>
          <cell r="L550" t="str">
            <v>D1</v>
          </cell>
          <cell r="M550" t="str">
            <v>NH-160</v>
          </cell>
          <cell r="O550" t="str">
            <v>B</v>
          </cell>
          <cell r="P550">
            <v>27.5</v>
          </cell>
          <cell r="Q550">
            <v>183.5</v>
          </cell>
          <cell r="R550">
            <v>0</v>
          </cell>
          <cell r="S550">
            <v>0</v>
          </cell>
          <cell r="T550">
            <v>27.5</v>
          </cell>
          <cell r="U550">
            <v>183.5</v>
          </cell>
          <cell r="V550">
            <v>63.5</v>
          </cell>
          <cell r="W550">
            <v>353.5</v>
          </cell>
          <cell r="X550">
            <v>0</v>
          </cell>
          <cell r="Y550">
            <v>0</v>
          </cell>
          <cell r="Z550">
            <v>63.5</v>
          </cell>
          <cell r="AA550">
            <v>353.5</v>
          </cell>
          <cell r="AB550">
            <v>211</v>
          </cell>
          <cell r="AC550">
            <v>0</v>
          </cell>
          <cell r="AD550">
            <v>211</v>
          </cell>
          <cell r="AE550">
            <v>417</v>
          </cell>
          <cell r="AF550">
            <v>0</v>
          </cell>
          <cell r="AG550">
            <v>417</v>
          </cell>
        </row>
        <row r="551">
          <cell r="C551">
            <v>255683</v>
          </cell>
          <cell r="D551" t="str">
            <v>AMRIT PETROLEUM</v>
          </cell>
          <cell r="E551" t="str">
            <v>BPCL</v>
          </cell>
          <cell r="F551" t="str">
            <v>2024-25</v>
          </cell>
          <cell r="G551" t="str">
            <v>Ahmednagar East RSA</v>
          </cell>
          <cell r="J551" t="str">
            <v>Nagar-Manmad Bypass</v>
          </cell>
          <cell r="K551" t="str">
            <v>Ahmednagar</v>
          </cell>
          <cell r="L551" t="str">
            <v>D1</v>
          </cell>
          <cell r="M551" t="str">
            <v>NH-160</v>
          </cell>
          <cell r="O551" t="str">
            <v>B</v>
          </cell>
          <cell r="P551">
            <v>16</v>
          </cell>
          <cell r="Q551">
            <v>372</v>
          </cell>
          <cell r="R551">
            <v>0</v>
          </cell>
          <cell r="S551">
            <v>0</v>
          </cell>
          <cell r="T551">
            <v>16</v>
          </cell>
          <cell r="U551">
            <v>372</v>
          </cell>
          <cell r="V551">
            <v>34.5</v>
          </cell>
          <cell r="W551">
            <v>681.5</v>
          </cell>
          <cell r="X551">
            <v>0</v>
          </cell>
          <cell r="Y551">
            <v>0</v>
          </cell>
          <cell r="Z551">
            <v>34.5</v>
          </cell>
          <cell r="AA551">
            <v>681.5</v>
          </cell>
          <cell r="AB551">
            <v>388</v>
          </cell>
          <cell r="AC551">
            <v>0</v>
          </cell>
          <cell r="AD551">
            <v>388</v>
          </cell>
          <cell r="AE551">
            <v>716</v>
          </cell>
          <cell r="AF551">
            <v>0</v>
          </cell>
          <cell r="AG551">
            <v>716</v>
          </cell>
        </row>
        <row r="552">
          <cell r="C552">
            <v>255816</v>
          </cell>
          <cell r="D552" t="str">
            <v>SHAU PETRO STATION</v>
          </cell>
          <cell r="E552" t="str">
            <v>BPCL</v>
          </cell>
          <cell r="F552" t="str">
            <v>2024-25</v>
          </cell>
          <cell r="G552" t="str">
            <v>Pune Hadapsar RSA</v>
          </cell>
          <cell r="J552" t="str">
            <v>UrliDevachi</v>
          </cell>
          <cell r="K552" t="str">
            <v>Pune</v>
          </cell>
          <cell r="L552" t="str">
            <v>D1</v>
          </cell>
          <cell r="M552" t="str">
            <v>NH-965</v>
          </cell>
          <cell r="O552" t="str">
            <v>B</v>
          </cell>
          <cell r="P552">
            <v>63</v>
          </cell>
          <cell r="Q552">
            <v>315</v>
          </cell>
          <cell r="R552">
            <v>0</v>
          </cell>
          <cell r="S552">
            <v>0</v>
          </cell>
          <cell r="T552">
            <v>63</v>
          </cell>
          <cell r="U552">
            <v>315</v>
          </cell>
          <cell r="V552">
            <v>136.5</v>
          </cell>
          <cell r="W552">
            <v>619.5</v>
          </cell>
          <cell r="X552">
            <v>0</v>
          </cell>
          <cell r="Y552">
            <v>0</v>
          </cell>
          <cell r="Z552">
            <v>136.5</v>
          </cell>
          <cell r="AA552">
            <v>619.5</v>
          </cell>
          <cell r="AB552">
            <v>378</v>
          </cell>
          <cell r="AC552">
            <v>0</v>
          </cell>
          <cell r="AD552">
            <v>378</v>
          </cell>
          <cell r="AE552">
            <v>756</v>
          </cell>
          <cell r="AF552">
            <v>0</v>
          </cell>
          <cell r="AG552">
            <v>756</v>
          </cell>
        </row>
        <row r="553">
          <cell r="C553">
            <v>255844</v>
          </cell>
          <cell r="D553" t="str">
            <v>ADITYARAJ PETROLEUM</v>
          </cell>
          <cell r="E553" t="str">
            <v>BPCL</v>
          </cell>
          <cell r="F553" t="str">
            <v>2024-25</v>
          </cell>
          <cell r="G553" t="str">
            <v>Pimpri Chinchwad RSA</v>
          </cell>
          <cell r="J553" t="str">
            <v>Takve Budruk</v>
          </cell>
          <cell r="K553" t="str">
            <v>Pune</v>
          </cell>
          <cell r="L553" t="str">
            <v>E</v>
          </cell>
          <cell r="O553" t="str">
            <v>B</v>
          </cell>
          <cell r="P553">
            <v>53</v>
          </cell>
          <cell r="Q553">
            <v>119</v>
          </cell>
          <cell r="R553">
            <v>51</v>
          </cell>
          <cell r="S553">
            <v>97</v>
          </cell>
          <cell r="T553">
            <v>2</v>
          </cell>
          <cell r="U553">
            <v>22</v>
          </cell>
          <cell r="V553">
            <v>110</v>
          </cell>
          <cell r="W553">
            <v>258</v>
          </cell>
          <cell r="X553">
            <v>78</v>
          </cell>
          <cell r="Y553">
            <v>156</v>
          </cell>
          <cell r="Z553">
            <v>32</v>
          </cell>
          <cell r="AA553">
            <v>102</v>
          </cell>
          <cell r="AB553">
            <v>172</v>
          </cell>
          <cell r="AC553">
            <v>148</v>
          </cell>
          <cell r="AD553">
            <v>24</v>
          </cell>
          <cell r="AE553">
            <v>368</v>
          </cell>
          <cell r="AF553">
            <v>234</v>
          </cell>
          <cell r="AG553">
            <v>134</v>
          </cell>
        </row>
        <row r="554">
          <cell r="C554">
            <v>255891</v>
          </cell>
          <cell r="D554" t="str">
            <v>YODHAN PETROLEUM</v>
          </cell>
          <cell r="E554" t="str">
            <v>BPCL</v>
          </cell>
          <cell r="F554" t="str">
            <v>2024-25</v>
          </cell>
          <cell r="G554" t="str">
            <v>Pune Tathawade RSA</v>
          </cell>
          <cell r="J554" t="str">
            <v>Vadgaon Nimbalkar to Pandare</v>
          </cell>
          <cell r="K554" t="str">
            <v>Pune</v>
          </cell>
          <cell r="L554" t="str">
            <v>D2</v>
          </cell>
          <cell r="O554" t="str">
            <v>A</v>
          </cell>
          <cell r="P554">
            <v>27</v>
          </cell>
          <cell r="Q554">
            <v>33</v>
          </cell>
          <cell r="R554">
            <v>0</v>
          </cell>
          <cell r="S554">
            <v>0</v>
          </cell>
          <cell r="T554">
            <v>27</v>
          </cell>
          <cell r="U554">
            <v>33</v>
          </cell>
          <cell r="V554">
            <v>57</v>
          </cell>
          <cell r="W554">
            <v>63</v>
          </cell>
          <cell r="X554">
            <v>0</v>
          </cell>
          <cell r="Y554">
            <v>0</v>
          </cell>
          <cell r="Z554">
            <v>57</v>
          </cell>
          <cell r="AA554">
            <v>63</v>
          </cell>
          <cell r="AB554">
            <v>60</v>
          </cell>
          <cell r="AC554">
            <v>0</v>
          </cell>
          <cell r="AD554">
            <v>60</v>
          </cell>
          <cell r="AE554">
            <v>120</v>
          </cell>
          <cell r="AF554">
            <v>0</v>
          </cell>
          <cell r="AG554">
            <v>120</v>
          </cell>
        </row>
        <row r="555">
          <cell r="C555">
            <v>256456</v>
          </cell>
          <cell r="D555" t="str">
            <v>MATOSHRI PETROLEUM</v>
          </cell>
          <cell r="E555" t="str">
            <v>BPCL</v>
          </cell>
          <cell r="F555" t="str">
            <v>2024-25</v>
          </cell>
          <cell r="G555" t="str">
            <v>Ahmednagar West RSA</v>
          </cell>
          <cell r="J555" t="str">
            <v>Parner</v>
          </cell>
          <cell r="K555" t="str">
            <v>Ahmednagar</v>
          </cell>
          <cell r="L555" t="str">
            <v>C</v>
          </cell>
          <cell r="O555" t="str">
            <v>B</v>
          </cell>
          <cell r="P555">
            <v>32</v>
          </cell>
          <cell r="Q555">
            <v>102</v>
          </cell>
          <cell r="R555">
            <v>6</v>
          </cell>
          <cell r="S555">
            <v>6</v>
          </cell>
          <cell r="T555">
            <v>26</v>
          </cell>
          <cell r="U555">
            <v>96</v>
          </cell>
          <cell r="V555">
            <v>57.5</v>
          </cell>
          <cell r="W555">
            <v>178.5</v>
          </cell>
          <cell r="X555">
            <v>6</v>
          </cell>
          <cell r="Y555">
            <v>6</v>
          </cell>
          <cell r="Z555">
            <v>51.5</v>
          </cell>
          <cell r="AA555">
            <v>172.5</v>
          </cell>
          <cell r="AB555">
            <v>134</v>
          </cell>
          <cell r="AC555">
            <v>12</v>
          </cell>
          <cell r="AD555">
            <v>122</v>
          </cell>
          <cell r="AE555">
            <v>236</v>
          </cell>
          <cell r="AF555">
            <v>12</v>
          </cell>
          <cell r="AG555">
            <v>224</v>
          </cell>
        </row>
        <row r="556">
          <cell r="C556">
            <v>256697</v>
          </cell>
          <cell r="D556" t="str">
            <v>CHAMUNDA PETROLEUM</v>
          </cell>
          <cell r="E556" t="str">
            <v>BPCL</v>
          </cell>
          <cell r="F556" t="str">
            <v>2024-25</v>
          </cell>
          <cell r="G556" t="str">
            <v>Pune Wagholi RSA</v>
          </cell>
          <cell r="J556" t="str">
            <v>Manchar bypass LHS</v>
          </cell>
          <cell r="K556" t="str">
            <v>Pune</v>
          </cell>
          <cell r="L556" t="str">
            <v>D1</v>
          </cell>
          <cell r="M556" t="str">
            <v>NH-60</v>
          </cell>
          <cell r="O556" t="str">
            <v>B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C557">
            <v>256698</v>
          </cell>
          <cell r="D557" t="str">
            <v>BRAHMA PETROLEUM</v>
          </cell>
          <cell r="E557" t="str">
            <v>BPCL</v>
          </cell>
          <cell r="F557" t="str">
            <v>2024-25</v>
          </cell>
          <cell r="G557" t="str">
            <v>Pune City RSA</v>
          </cell>
          <cell r="J557" t="str">
            <v>Satesai</v>
          </cell>
          <cell r="K557" t="str">
            <v>Pune</v>
          </cell>
          <cell r="L557" t="str">
            <v>E</v>
          </cell>
          <cell r="O557" t="str">
            <v>B</v>
          </cell>
          <cell r="P557">
            <v>56</v>
          </cell>
          <cell r="Q557">
            <v>104</v>
          </cell>
          <cell r="R557">
            <v>6</v>
          </cell>
          <cell r="S557">
            <v>6</v>
          </cell>
          <cell r="T557">
            <v>50</v>
          </cell>
          <cell r="U557">
            <v>98</v>
          </cell>
          <cell r="V557">
            <v>97</v>
          </cell>
          <cell r="W557">
            <v>175</v>
          </cell>
          <cell r="X557">
            <v>6</v>
          </cell>
          <cell r="Y557">
            <v>6</v>
          </cell>
          <cell r="Z557">
            <v>91</v>
          </cell>
          <cell r="AA557">
            <v>169</v>
          </cell>
          <cell r="AB557">
            <v>160</v>
          </cell>
          <cell r="AC557">
            <v>12</v>
          </cell>
          <cell r="AD557">
            <v>148</v>
          </cell>
          <cell r="AE557">
            <v>272</v>
          </cell>
          <cell r="AF557">
            <v>12</v>
          </cell>
          <cell r="AG557">
            <v>260</v>
          </cell>
        </row>
        <row r="558">
          <cell r="C558">
            <v>256712</v>
          </cell>
          <cell r="D558" t="str">
            <v>NIRMITI PETROLEUM</v>
          </cell>
          <cell r="E558" t="str">
            <v>BPCL</v>
          </cell>
          <cell r="F558" t="str">
            <v>2024-25</v>
          </cell>
          <cell r="G558" t="str">
            <v>Pune Tathawade RSA</v>
          </cell>
          <cell r="J558" t="str">
            <v>MORGAON</v>
          </cell>
          <cell r="K558" t="str">
            <v>Pune</v>
          </cell>
          <cell r="L558" t="str">
            <v>D1</v>
          </cell>
          <cell r="M558" t="str">
            <v>NH-965D</v>
          </cell>
          <cell r="O558" t="str">
            <v>A</v>
          </cell>
          <cell r="P558">
            <v>18</v>
          </cell>
          <cell r="Q558">
            <v>78</v>
          </cell>
          <cell r="R558">
            <v>0</v>
          </cell>
          <cell r="S558">
            <v>0</v>
          </cell>
          <cell r="T558">
            <v>18</v>
          </cell>
          <cell r="U558">
            <v>78</v>
          </cell>
          <cell r="V558">
            <v>26</v>
          </cell>
          <cell r="W558">
            <v>128</v>
          </cell>
          <cell r="X558">
            <v>0</v>
          </cell>
          <cell r="Y558">
            <v>0</v>
          </cell>
          <cell r="Z558">
            <v>26</v>
          </cell>
          <cell r="AA558">
            <v>128</v>
          </cell>
          <cell r="AB558">
            <v>96</v>
          </cell>
          <cell r="AC558">
            <v>0</v>
          </cell>
          <cell r="AD558">
            <v>96</v>
          </cell>
          <cell r="AE558">
            <v>154</v>
          </cell>
          <cell r="AF558">
            <v>0</v>
          </cell>
          <cell r="AG558">
            <v>154</v>
          </cell>
        </row>
        <row r="559">
          <cell r="C559">
            <v>204479</v>
          </cell>
          <cell r="D559" t="str">
            <v>SAI KRUSHNA PETROLEUM ADHOC (RENUKA PETROLEUM ADHOC -256714(DINESH FUELING ZONE ADHOC-250523 (204479 SAI KRUSHNA PETROLEUM ADHOC (217443 RENUKA PETROLEUM ADHOC (Nirmal Pimpri)))</v>
          </cell>
          <cell r="E559" t="str">
            <v>BPCL</v>
          </cell>
          <cell r="G559" t="str">
            <v>Shirdi RSA</v>
          </cell>
          <cell r="J559" t="str">
            <v>ASTAGAON</v>
          </cell>
          <cell r="K559" t="str">
            <v>Ahmednagar</v>
          </cell>
          <cell r="L559" t="str">
            <v>D2</v>
          </cell>
          <cell r="O559" t="str">
            <v>B</v>
          </cell>
          <cell r="P559">
            <v>24</v>
          </cell>
          <cell r="Q559">
            <v>59</v>
          </cell>
          <cell r="R559">
            <v>17</v>
          </cell>
          <cell r="S559">
            <v>65</v>
          </cell>
          <cell r="T559">
            <v>7</v>
          </cell>
          <cell r="U559">
            <v>-6</v>
          </cell>
          <cell r="V559">
            <v>38</v>
          </cell>
          <cell r="W559">
            <v>101</v>
          </cell>
          <cell r="X559">
            <v>38</v>
          </cell>
          <cell r="Y559">
            <v>113</v>
          </cell>
          <cell r="Z559">
            <v>0</v>
          </cell>
          <cell r="AA559">
            <v>-12</v>
          </cell>
          <cell r="AB559">
            <v>83</v>
          </cell>
          <cell r="AC559">
            <v>82</v>
          </cell>
          <cell r="AD559">
            <v>1</v>
          </cell>
          <cell r="AE559">
            <v>139</v>
          </cell>
          <cell r="AF559">
            <v>151</v>
          </cell>
          <cell r="AG559">
            <v>-12</v>
          </cell>
        </row>
        <row r="560">
          <cell r="C560">
            <v>256862</v>
          </cell>
          <cell r="D560" t="str">
            <v>JADHAV PETROLEUM</v>
          </cell>
          <cell r="E560" t="str">
            <v>BPCL</v>
          </cell>
          <cell r="F560" t="str">
            <v>2025-26</v>
          </cell>
          <cell r="G560" t="str">
            <v>Pune Hadapsar RSA</v>
          </cell>
          <cell r="J560" t="str">
            <v>DAUND</v>
          </cell>
          <cell r="K560" t="str">
            <v>Pune</v>
          </cell>
          <cell r="L560" t="str">
            <v>D1</v>
          </cell>
          <cell r="M560" t="str">
            <v>NH-65</v>
          </cell>
          <cell r="O560" t="str">
            <v>B</v>
          </cell>
          <cell r="P560">
            <v>77</v>
          </cell>
          <cell r="Q560">
            <v>201</v>
          </cell>
          <cell r="R560">
            <v>0</v>
          </cell>
          <cell r="S560">
            <v>0</v>
          </cell>
          <cell r="T560">
            <v>77</v>
          </cell>
          <cell r="U560">
            <v>201</v>
          </cell>
          <cell r="V560">
            <v>128</v>
          </cell>
          <cell r="W560">
            <v>346</v>
          </cell>
          <cell r="X560">
            <v>0</v>
          </cell>
          <cell r="Y560">
            <v>0</v>
          </cell>
          <cell r="Z560">
            <v>128</v>
          </cell>
          <cell r="AA560">
            <v>346</v>
          </cell>
          <cell r="AB560">
            <v>278</v>
          </cell>
          <cell r="AC560">
            <v>0</v>
          </cell>
          <cell r="AD560">
            <v>278</v>
          </cell>
          <cell r="AE560">
            <v>474</v>
          </cell>
          <cell r="AF560">
            <v>0</v>
          </cell>
          <cell r="AG560">
            <v>474</v>
          </cell>
        </row>
        <row r="561">
          <cell r="C561">
            <v>258166</v>
          </cell>
          <cell r="D561" t="str">
            <v>MORESHWAR PETROLEUM CORPORATION</v>
          </cell>
          <cell r="E561" t="str">
            <v>BPCL</v>
          </cell>
          <cell r="F561" t="str">
            <v>2025-26</v>
          </cell>
          <cell r="G561" t="str">
            <v>Pune Hadapsar RSA</v>
          </cell>
          <cell r="J561" t="str">
            <v>Ravangaon LHS</v>
          </cell>
          <cell r="K561" t="str">
            <v>Pune</v>
          </cell>
          <cell r="L561" t="str">
            <v>D1</v>
          </cell>
          <cell r="M561" t="str">
            <v>NH-65</v>
          </cell>
          <cell r="O561" t="str">
            <v>B</v>
          </cell>
          <cell r="P561">
            <v>8</v>
          </cell>
          <cell r="Q561">
            <v>48</v>
          </cell>
          <cell r="R561">
            <v>0</v>
          </cell>
          <cell r="S561">
            <v>3</v>
          </cell>
          <cell r="T561">
            <v>8</v>
          </cell>
          <cell r="U561">
            <v>45</v>
          </cell>
          <cell r="V561">
            <v>21</v>
          </cell>
          <cell r="W561">
            <v>87</v>
          </cell>
          <cell r="X561">
            <v>0</v>
          </cell>
          <cell r="Y561">
            <v>3</v>
          </cell>
          <cell r="Z561">
            <v>21</v>
          </cell>
          <cell r="AA561">
            <v>84</v>
          </cell>
          <cell r="AB561">
            <v>56</v>
          </cell>
          <cell r="AC561">
            <v>3</v>
          </cell>
          <cell r="AD561">
            <v>53</v>
          </cell>
          <cell r="AE561">
            <v>108</v>
          </cell>
          <cell r="AF561">
            <v>3</v>
          </cell>
          <cell r="AG561">
            <v>105</v>
          </cell>
        </row>
        <row r="562">
          <cell r="C562">
            <v>258203</v>
          </cell>
          <cell r="D562" t="str">
            <v>NAMO PETROLEUM SERVICES</v>
          </cell>
          <cell r="E562" t="str">
            <v>BPCL</v>
          </cell>
          <cell r="F562" t="str">
            <v>2025-26</v>
          </cell>
          <cell r="G562" t="str">
            <v>Pimpri Chinchwad RSA</v>
          </cell>
          <cell r="J562" t="str">
            <v>Induri</v>
          </cell>
          <cell r="K562" t="str">
            <v>Pune</v>
          </cell>
          <cell r="L562" t="str">
            <v>D1</v>
          </cell>
          <cell r="M562" t="str">
            <v>NH-548D</v>
          </cell>
          <cell r="O562" t="str">
            <v>B</v>
          </cell>
          <cell r="P562">
            <v>41</v>
          </cell>
          <cell r="Q562">
            <v>179</v>
          </cell>
          <cell r="R562">
            <v>0</v>
          </cell>
          <cell r="S562">
            <v>0</v>
          </cell>
          <cell r="T562">
            <v>41</v>
          </cell>
          <cell r="U562">
            <v>179</v>
          </cell>
          <cell r="V562">
            <v>66</v>
          </cell>
          <cell r="W562">
            <v>334</v>
          </cell>
          <cell r="X562">
            <v>0</v>
          </cell>
          <cell r="Y562">
            <v>0</v>
          </cell>
          <cell r="Z562">
            <v>66</v>
          </cell>
          <cell r="AA562">
            <v>334</v>
          </cell>
          <cell r="AB562">
            <v>220</v>
          </cell>
          <cell r="AC562">
            <v>0</v>
          </cell>
          <cell r="AD562">
            <v>220</v>
          </cell>
          <cell r="AE562">
            <v>400</v>
          </cell>
          <cell r="AF562">
            <v>0</v>
          </cell>
          <cell r="AG562">
            <v>400</v>
          </cell>
        </row>
        <row r="563">
          <cell r="C563">
            <v>258312</v>
          </cell>
          <cell r="D563" t="str">
            <v>DENGALE PETROLEUM</v>
          </cell>
          <cell r="E563" t="str">
            <v>BPCL</v>
          </cell>
          <cell r="F563" t="str">
            <v>2025-26</v>
          </cell>
          <cell r="G563" t="str">
            <v>Pune Tathawade RSA</v>
          </cell>
          <cell r="J563" t="str">
            <v>BARAMATI NIRA ROAD</v>
          </cell>
          <cell r="K563" t="str">
            <v>Pune</v>
          </cell>
          <cell r="L563" t="str">
            <v>D2</v>
          </cell>
          <cell r="O563" t="str">
            <v>B</v>
          </cell>
          <cell r="P563">
            <v>38.5</v>
          </cell>
          <cell r="Q563">
            <v>45.5</v>
          </cell>
          <cell r="R563">
            <v>0</v>
          </cell>
          <cell r="S563">
            <v>0</v>
          </cell>
          <cell r="T563">
            <v>38.5</v>
          </cell>
          <cell r="U563">
            <v>45.5</v>
          </cell>
          <cell r="V563">
            <v>73</v>
          </cell>
          <cell r="W563">
            <v>87</v>
          </cell>
          <cell r="X563">
            <v>0</v>
          </cell>
          <cell r="Y563">
            <v>0</v>
          </cell>
          <cell r="Z563">
            <v>73</v>
          </cell>
          <cell r="AA563">
            <v>87</v>
          </cell>
          <cell r="AB563">
            <v>84</v>
          </cell>
          <cell r="AC563">
            <v>0</v>
          </cell>
          <cell r="AD563">
            <v>84</v>
          </cell>
          <cell r="AE563">
            <v>160</v>
          </cell>
          <cell r="AF563">
            <v>0</v>
          </cell>
          <cell r="AG563">
            <v>160</v>
          </cell>
        </row>
        <row r="564">
          <cell r="C564">
            <v>258494</v>
          </cell>
          <cell r="D564" t="str">
            <v>ANANT PETROLEUM</v>
          </cell>
          <cell r="E564" t="str">
            <v>BPCL</v>
          </cell>
          <cell r="F564" t="str">
            <v>2025-26</v>
          </cell>
          <cell r="G564" t="str">
            <v>Pune Tathawade RSA</v>
          </cell>
          <cell r="J564" t="str">
            <v>KHED SHIVAPUR TO JAMBHULWADI</v>
          </cell>
          <cell r="K564" t="str">
            <v>Pune</v>
          </cell>
          <cell r="L564" t="str">
            <v>D1</v>
          </cell>
          <cell r="M564" t="str">
            <v>NH-48</v>
          </cell>
          <cell r="O564" t="str">
            <v>B</v>
          </cell>
          <cell r="P564">
            <v>61</v>
          </cell>
          <cell r="Q564">
            <v>103</v>
          </cell>
          <cell r="R564">
            <v>0</v>
          </cell>
          <cell r="S564">
            <v>0</v>
          </cell>
          <cell r="T564">
            <v>61</v>
          </cell>
          <cell r="U564">
            <v>103</v>
          </cell>
          <cell r="V564">
            <v>124</v>
          </cell>
          <cell r="W564">
            <v>212</v>
          </cell>
          <cell r="X564">
            <v>0</v>
          </cell>
          <cell r="Y564">
            <v>0</v>
          </cell>
          <cell r="Z564">
            <v>124</v>
          </cell>
          <cell r="AA564">
            <v>212</v>
          </cell>
          <cell r="AB564">
            <v>164</v>
          </cell>
          <cell r="AC564">
            <v>0</v>
          </cell>
          <cell r="AD564">
            <v>164</v>
          </cell>
          <cell r="AE564">
            <v>336</v>
          </cell>
          <cell r="AF564">
            <v>0</v>
          </cell>
          <cell r="AG564">
            <v>336</v>
          </cell>
        </row>
        <row r="565">
          <cell r="C565">
            <v>258593</v>
          </cell>
          <cell r="D565" t="str">
            <v>HIRA PETROLEUM</v>
          </cell>
          <cell r="E565" t="str">
            <v>BPCL</v>
          </cell>
          <cell r="F565" t="str">
            <v>2025-26</v>
          </cell>
          <cell r="G565" t="str">
            <v>Satara East RSA</v>
          </cell>
          <cell r="J565" t="str">
            <v>Mhaswad</v>
          </cell>
          <cell r="K565" t="str">
            <v>Satara</v>
          </cell>
          <cell r="L565" t="str">
            <v>D1</v>
          </cell>
          <cell r="M565" t="str">
            <v>NH-548C</v>
          </cell>
          <cell r="O565" t="str">
            <v>B</v>
          </cell>
          <cell r="P565">
            <v>32</v>
          </cell>
          <cell r="Q565">
            <v>84</v>
          </cell>
          <cell r="R565">
            <v>0</v>
          </cell>
          <cell r="S565">
            <v>0</v>
          </cell>
          <cell r="T565">
            <v>32</v>
          </cell>
          <cell r="U565">
            <v>84</v>
          </cell>
          <cell r="V565">
            <v>64</v>
          </cell>
          <cell r="W565">
            <v>154</v>
          </cell>
          <cell r="X565">
            <v>0</v>
          </cell>
          <cell r="Y565">
            <v>0</v>
          </cell>
          <cell r="Z565">
            <v>64</v>
          </cell>
          <cell r="AA565">
            <v>154</v>
          </cell>
          <cell r="AB565">
            <v>116</v>
          </cell>
          <cell r="AC565">
            <v>0</v>
          </cell>
          <cell r="AD565">
            <v>116</v>
          </cell>
          <cell r="AE565">
            <v>218</v>
          </cell>
          <cell r="AF565">
            <v>0</v>
          </cell>
          <cell r="AG565">
            <v>218</v>
          </cell>
        </row>
        <row r="566">
          <cell r="C566">
            <v>258595</v>
          </cell>
          <cell r="D566" t="str">
            <v>TARAN PETROLEUM</v>
          </cell>
          <cell r="E566" t="str">
            <v>BPCL</v>
          </cell>
          <cell r="F566" t="str">
            <v>2025-26</v>
          </cell>
          <cell r="G566" t="str">
            <v>Pune City RSA</v>
          </cell>
          <cell r="J566" t="str">
            <v>Wagholi</v>
          </cell>
          <cell r="K566" t="str">
            <v>Pune</v>
          </cell>
          <cell r="L566" t="str">
            <v>A</v>
          </cell>
          <cell r="O566" t="str">
            <v>B</v>
          </cell>
          <cell r="P566">
            <v>190</v>
          </cell>
          <cell r="Q566">
            <v>170</v>
          </cell>
          <cell r="R566">
            <v>0</v>
          </cell>
          <cell r="S566">
            <v>0</v>
          </cell>
          <cell r="T566">
            <v>190</v>
          </cell>
          <cell r="U566">
            <v>170</v>
          </cell>
          <cell r="V566">
            <v>378</v>
          </cell>
          <cell r="W566">
            <v>294</v>
          </cell>
          <cell r="X566">
            <v>0</v>
          </cell>
          <cell r="Y566">
            <v>0</v>
          </cell>
          <cell r="Z566">
            <v>378</v>
          </cell>
          <cell r="AA566">
            <v>294</v>
          </cell>
          <cell r="AB566">
            <v>360</v>
          </cell>
          <cell r="AC566">
            <v>0</v>
          </cell>
          <cell r="AD566">
            <v>360</v>
          </cell>
          <cell r="AE566">
            <v>672</v>
          </cell>
          <cell r="AF566">
            <v>0</v>
          </cell>
          <cell r="AG566">
            <v>672</v>
          </cell>
        </row>
        <row r="567">
          <cell r="C567">
            <v>258678</v>
          </cell>
          <cell r="D567" t="str">
            <v>SHIVPARVATI PETROLEUM</v>
          </cell>
          <cell r="E567" t="str">
            <v>BPCL</v>
          </cell>
          <cell r="F567" t="str">
            <v>2025-26</v>
          </cell>
          <cell r="G567" t="str">
            <v>Pune Tathawade RSA</v>
          </cell>
          <cell r="J567" t="str">
            <v>Loni-Bapkar Baramati</v>
          </cell>
          <cell r="K567" t="str">
            <v>Pune</v>
          </cell>
          <cell r="L567" t="str">
            <v>D2</v>
          </cell>
          <cell r="O567" t="str">
            <v>B</v>
          </cell>
          <cell r="P567">
            <v>19</v>
          </cell>
          <cell r="Q567">
            <v>57</v>
          </cell>
          <cell r="R567">
            <v>0</v>
          </cell>
          <cell r="S567">
            <v>0</v>
          </cell>
          <cell r="T567">
            <v>19</v>
          </cell>
          <cell r="U567">
            <v>57</v>
          </cell>
          <cell r="V567">
            <v>37</v>
          </cell>
          <cell r="W567">
            <v>99</v>
          </cell>
          <cell r="X567">
            <v>0</v>
          </cell>
          <cell r="Y567">
            <v>0</v>
          </cell>
          <cell r="Z567">
            <v>37</v>
          </cell>
          <cell r="AA567">
            <v>99</v>
          </cell>
          <cell r="AB567">
            <v>76</v>
          </cell>
          <cell r="AC567">
            <v>0</v>
          </cell>
          <cell r="AD567">
            <v>76</v>
          </cell>
          <cell r="AE567">
            <v>136</v>
          </cell>
          <cell r="AF567">
            <v>0</v>
          </cell>
          <cell r="AG567">
            <v>136</v>
          </cell>
        </row>
        <row r="568">
          <cell r="C568">
            <v>258744</v>
          </cell>
          <cell r="D568" t="str">
            <v>SUSHANT KALUKHE PETROLEUM</v>
          </cell>
          <cell r="E568" t="str">
            <v>BPCL</v>
          </cell>
          <cell r="F568" t="str">
            <v>2025-26</v>
          </cell>
          <cell r="G568" t="str">
            <v>Satara East RSA</v>
          </cell>
          <cell r="J568" t="str">
            <v>Chorade</v>
          </cell>
          <cell r="K568" t="str">
            <v>Satara</v>
          </cell>
          <cell r="L568" t="str">
            <v>D2</v>
          </cell>
          <cell r="O568" t="str">
            <v>A</v>
          </cell>
          <cell r="P568">
            <v>40</v>
          </cell>
          <cell r="Q568">
            <v>64</v>
          </cell>
          <cell r="R568">
            <v>0</v>
          </cell>
          <cell r="S568">
            <v>0</v>
          </cell>
          <cell r="T568">
            <v>40</v>
          </cell>
          <cell r="U568">
            <v>64</v>
          </cell>
          <cell r="V568">
            <v>69</v>
          </cell>
          <cell r="W568">
            <v>107</v>
          </cell>
          <cell r="X568">
            <v>0</v>
          </cell>
          <cell r="Y568">
            <v>0</v>
          </cell>
          <cell r="Z568">
            <v>69</v>
          </cell>
          <cell r="AA568">
            <v>107</v>
          </cell>
          <cell r="AB568">
            <v>104</v>
          </cell>
          <cell r="AC568">
            <v>0</v>
          </cell>
          <cell r="AD568">
            <v>104</v>
          </cell>
          <cell r="AE568">
            <v>176</v>
          </cell>
          <cell r="AF568">
            <v>0</v>
          </cell>
          <cell r="AG568">
            <v>176</v>
          </cell>
        </row>
        <row r="569">
          <cell r="C569">
            <v>259151</v>
          </cell>
          <cell r="D569" t="str">
            <v>GURU PETROLEUM</v>
          </cell>
          <cell r="E569" t="str">
            <v>BPCL</v>
          </cell>
          <cell r="F569" t="str">
            <v>2025-26</v>
          </cell>
          <cell r="G569" t="str">
            <v>Ahmednagar East RSA</v>
          </cell>
          <cell r="J569" t="str">
            <v>WAMBHORI PHATA ON NH160</v>
          </cell>
          <cell r="K569" t="str">
            <v>Ahmednagar</v>
          </cell>
          <cell r="L569" t="str">
            <v>D1</v>
          </cell>
          <cell r="M569" t="str">
            <v>NH-160</v>
          </cell>
          <cell r="O569" t="str">
            <v>A</v>
          </cell>
          <cell r="P569">
            <v>18.5</v>
          </cell>
          <cell r="Q569">
            <v>56.5</v>
          </cell>
          <cell r="R569">
            <v>0</v>
          </cell>
          <cell r="S569">
            <v>0</v>
          </cell>
          <cell r="T569">
            <v>18.5</v>
          </cell>
          <cell r="U569">
            <v>56.5</v>
          </cell>
          <cell r="V569">
            <v>18.5</v>
          </cell>
          <cell r="W569">
            <v>56.5</v>
          </cell>
          <cell r="X569">
            <v>0</v>
          </cell>
          <cell r="Y569">
            <v>0</v>
          </cell>
          <cell r="Z569">
            <v>18.5</v>
          </cell>
          <cell r="AA569">
            <v>56.5</v>
          </cell>
          <cell r="AB569">
            <v>75</v>
          </cell>
          <cell r="AC569">
            <v>0</v>
          </cell>
          <cell r="AD569">
            <v>75</v>
          </cell>
          <cell r="AE569">
            <v>75</v>
          </cell>
          <cell r="AF569">
            <v>0</v>
          </cell>
          <cell r="AG569">
            <v>75</v>
          </cell>
        </row>
        <row r="570">
          <cell r="C570">
            <v>259173</v>
          </cell>
          <cell r="D570" t="str">
            <v>AKSHAY PETROLEUM</v>
          </cell>
          <cell r="E570" t="str">
            <v>BPCL</v>
          </cell>
          <cell r="F570" t="str">
            <v>2025-26</v>
          </cell>
          <cell r="G570" t="str">
            <v>Ahmednagar East RSA</v>
          </cell>
          <cell r="J570" t="str">
            <v>Aurangabad Road</v>
          </cell>
          <cell r="K570" t="str">
            <v>Ahmednagar</v>
          </cell>
          <cell r="L570" t="str">
            <v>D1</v>
          </cell>
          <cell r="M570" t="str">
            <v>NH-753F</v>
          </cell>
          <cell r="O570" t="str">
            <v>B</v>
          </cell>
          <cell r="P570">
            <v>128</v>
          </cell>
          <cell r="Q570">
            <v>250</v>
          </cell>
          <cell r="R570">
            <v>0</v>
          </cell>
          <cell r="S570">
            <v>0</v>
          </cell>
          <cell r="T570">
            <v>128</v>
          </cell>
          <cell r="U570">
            <v>250</v>
          </cell>
          <cell r="V570">
            <v>203</v>
          </cell>
          <cell r="W570">
            <v>393</v>
          </cell>
          <cell r="X570">
            <v>0</v>
          </cell>
          <cell r="Y570">
            <v>0</v>
          </cell>
          <cell r="Z570">
            <v>203</v>
          </cell>
          <cell r="AA570">
            <v>393</v>
          </cell>
          <cell r="AB570">
            <v>378</v>
          </cell>
          <cell r="AC570">
            <v>0</v>
          </cell>
          <cell r="AD570">
            <v>378</v>
          </cell>
          <cell r="AE570">
            <v>596</v>
          </cell>
          <cell r="AF570">
            <v>0</v>
          </cell>
          <cell r="AG570">
            <v>596</v>
          </cell>
        </row>
        <row r="571">
          <cell r="C571">
            <v>258599</v>
          </cell>
          <cell r="D571" t="str">
            <v>SAISHREE FUELS</v>
          </cell>
          <cell r="E571" t="str">
            <v>BPCL</v>
          </cell>
          <cell r="F571" t="str">
            <v>2025-26</v>
          </cell>
          <cell r="G571" t="str">
            <v>Pune Wagholi RSA</v>
          </cell>
          <cell r="J571" t="str">
            <v>Belhe to Loni on belhe jejuri highway</v>
          </cell>
          <cell r="K571" t="str">
            <v>Pune</v>
          </cell>
          <cell r="L571" t="str">
            <v>D2</v>
          </cell>
          <cell r="O571" t="str">
            <v>B</v>
          </cell>
          <cell r="P571">
            <v>3</v>
          </cell>
          <cell r="Q571">
            <v>45</v>
          </cell>
          <cell r="R571">
            <v>0</v>
          </cell>
          <cell r="S571">
            <v>0</v>
          </cell>
          <cell r="T571">
            <v>3</v>
          </cell>
          <cell r="U571">
            <v>45</v>
          </cell>
          <cell r="V571">
            <v>12</v>
          </cell>
          <cell r="W571">
            <v>60</v>
          </cell>
          <cell r="X571">
            <v>0</v>
          </cell>
          <cell r="Y571">
            <v>0</v>
          </cell>
          <cell r="Z571">
            <v>12</v>
          </cell>
          <cell r="AA571">
            <v>60</v>
          </cell>
          <cell r="AB571">
            <v>48</v>
          </cell>
          <cell r="AC571">
            <v>0</v>
          </cell>
          <cell r="AD571">
            <v>48</v>
          </cell>
          <cell r="AE571">
            <v>72</v>
          </cell>
          <cell r="AF571">
            <v>0</v>
          </cell>
          <cell r="AG571">
            <v>72</v>
          </cell>
        </row>
        <row r="572">
          <cell r="C572">
            <v>259804</v>
          </cell>
          <cell r="D572" t="str">
            <v>WANDHEKAR PETRO SERVICES</v>
          </cell>
          <cell r="E572" t="str">
            <v>BPCL</v>
          </cell>
          <cell r="F572" t="str">
            <v>2025-26</v>
          </cell>
          <cell r="G572" t="str">
            <v>Pune Saswad RSA</v>
          </cell>
          <cell r="J572" t="str">
            <v>Jejuri -Belsar-Urulikanchan Road</v>
          </cell>
          <cell r="K572" t="str">
            <v>Pune</v>
          </cell>
          <cell r="L572" t="str">
            <v>D2</v>
          </cell>
          <cell r="O572" t="str">
            <v>B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6</v>
          </cell>
          <cell r="W572">
            <v>6</v>
          </cell>
          <cell r="X572">
            <v>0</v>
          </cell>
          <cell r="Y572">
            <v>0</v>
          </cell>
          <cell r="Z572">
            <v>6</v>
          </cell>
          <cell r="AA572">
            <v>6</v>
          </cell>
          <cell r="AB572">
            <v>0</v>
          </cell>
          <cell r="AC572">
            <v>0</v>
          </cell>
          <cell r="AD572">
            <v>0</v>
          </cell>
          <cell r="AE572">
            <v>12</v>
          </cell>
          <cell r="AF572">
            <v>0</v>
          </cell>
          <cell r="AG572">
            <v>12</v>
          </cell>
        </row>
        <row r="573">
          <cell r="C573">
            <v>259891</v>
          </cell>
          <cell r="D573" t="str">
            <v>SAI GANESHA PETROLEUM</v>
          </cell>
          <cell r="E573" t="str">
            <v>BPCL</v>
          </cell>
          <cell r="F573" t="str">
            <v>2025-26</v>
          </cell>
          <cell r="G573" t="str">
            <v>Pune Wagholi RSA</v>
          </cell>
          <cell r="J573" t="str">
            <v>Belhe to Loni on belhe jejuri highway</v>
          </cell>
          <cell r="K573" t="str">
            <v>Pune</v>
          </cell>
          <cell r="L573" t="str">
            <v>D2</v>
          </cell>
          <cell r="O573" t="str">
            <v>B</v>
          </cell>
          <cell r="P573">
            <v>38</v>
          </cell>
          <cell r="Q573">
            <v>114</v>
          </cell>
          <cell r="R573">
            <v>0</v>
          </cell>
          <cell r="S573">
            <v>0</v>
          </cell>
          <cell r="T573">
            <v>38</v>
          </cell>
          <cell r="U573">
            <v>114</v>
          </cell>
          <cell r="V573">
            <v>79</v>
          </cell>
          <cell r="W573">
            <v>225</v>
          </cell>
          <cell r="X573">
            <v>0</v>
          </cell>
          <cell r="Y573">
            <v>0</v>
          </cell>
          <cell r="Z573">
            <v>79</v>
          </cell>
          <cell r="AA573">
            <v>225</v>
          </cell>
          <cell r="AB573">
            <v>152</v>
          </cell>
          <cell r="AC573">
            <v>0</v>
          </cell>
          <cell r="AD573">
            <v>152</v>
          </cell>
          <cell r="AE573">
            <v>304</v>
          </cell>
          <cell r="AF573">
            <v>0</v>
          </cell>
          <cell r="AG573">
            <v>304</v>
          </cell>
        </row>
        <row r="574">
          <cell r="C574">
            <v>259882</v>
          </cell>
          <cell r="D574" t="str">
            <v>JANKI PETROLEUM</v>
          </cell>
          <cell r="E574" t="str">
            <v>BPCL</v>
          </cell>
          <cell r="F574" t="str">
            <v>2025-26</v>
          </cell>
          <cell r="G574" t="str">
            <v>Ahmednagar East RSA</v>
          </cell>
          <cell r="J574" t="str">
            <v>Newasa Budruk</v>
          </cell>
          <cell r="K574" t="str">
            <v>Ahmednagar</v>
          </cell>
          <cell r="L574" t="str">
            <v>D2</v>
          </cell>
          <cell r="O574" t="str">
            <v>B</v>
          </cell>
          <cell r="P574">
            <v>33</v>
          </cell>
          <cell r="Q574">
            <v>103</v>
          </cell>
          <cell r="R574">
            <v>0</v>
          </cell>
          <cell r="S574">
            <v>0</v>
          </cell>
          <cell r="T574">
            <v>33</v>
          </cell>
          <cell r="U574">
            <v>103</v>
          </cell>
          <cell r="V574">
            <v>55</v>
          </cell>
          <cell r="W574">
            <v>155</v>
          </cell>
          <cell r="X574">
            <v>0</v>
          </cell>
          <cell r="Y574">
            <v>0</v>
          </cell>
          <cell r="Z574">
            <v>55</v>
          </cell>
          <cell r="AA574">
            <v>155</v>
          </cell>
          <cell r="AB574">
            <v>136</v>
          </cell>
          <cell r="AC574">
            <v>0</v>
          </cell>
          <cell r="AD574">
            <v>136</v>
          </cell>
          <cell r="AE574">
            <v>210</v>
          </cell>
          <cell r="AF574">
            <v>0</v>
          </cell>
          <cell r="AG574">
            <v>210</v>
          </cell>
        </row>
        <row r="575">
          <cell r="C575">
            <v>259860</v>
          </cell>
          <cell r="D575" t="str">
            <v>B K GAIKWAD PETROLEUM</v>
          </cell>
          <cell r="E575" t="str">
            <v>BPCL</v>
          </cell>
          <cell r="F575" t="str">
            <v>2025-26</v>
          </cell>
          <cell r="G575" t="str">
            <v>Pune Wagholi RSA</v>
          </cell>
          <cell r="J575" t="str">
            <v>Loni to shikhrapur on belhe jejuri highway</v>
          </cell>
          <cell r="K575" t="str">
            <v>Pune</v>
          </cell>
          <cell r="L575" t="str">
            <v>D2</v>
          </cell>
          <cell r="O575" t="str">
            <v>B</v>
          </cell>
          <cell r="P575">
            <v>6</v>
          </cell>
          <cell r="Q575">
            <v>30</v>
          </cell>
          <cell r="R575">
            <v>0</v>
          </cell>
          <cell r="S575">
            <v>0</v>
          </cell>
          <cell r="T575">
            <v>6</v>
          </cell>
          <cell r="U575">
            <v>30</v>
          </cell>
          <cell r="V575">
            <v>12</v>
          </cell>
          <cell r="W575">
            <v>48</v>
          </cell>
          <cell r="X575">
            <v>0</v>
          </cell>
          <cell r="Y575">
            <v>0</v>
          </cell>
          <cell r="Z575">
            <v>12</v>
          </cell>
          <cell r="AA575">
            <v>48</v>
          </cell>
          <cell r="AB575">
            <v>36</v>
          </cell>
          <cell r="AC575">
            <v>0</v>
          </cell>
          <cell r="AD575">
            <v>36</v>
          </cell>
          <cell r="AE575">
            <v>60</v>
          </cell>
          <cell r="AF575">
            <v>0</v>
          </cell>
          <cell r="AG575">
            <v>60</v>
          </cell>
        </row>
        <row r="576">
          <cell r="C576">
            <v>260565</v>
          </cell>
          <cell r="D576" t="str">
            <v>URJA PETROLEUM</v>
          </cell>
          <cell r="E576" t="str">
            <v>BPCL</v>
          </cell>
          <cell r="F576" t="str">
            <v>2025-26</v>
          </cell>
          <cell r="G576" t="str">
            <v>Satara West RSA</v>
          </cell>
          <cell r="J576" t="str">
            <v>KARAD TO WATHAR</v>
          </cell>
          <cell r="K576" t="str">
            <v>Satara</v>
          </cell>
          <cell r="L576" t="str">
            <v>D1</v>
          </cell>
          <cell r="M576" t="str">
            <v>NH-48</v>
          </cell>
          <cell r="O576" t="str">
            <v>B</v>
          </cell>
          <cell r="P576">
            <v>55</v>
          </cell>
          <cell r="Q576">
            <v>99</v>
          </cell>
          <cell r="R576">
            <v>0</v>
          </cell>
          <cell r="S576">
            <v>0</v>
          </cell>
          <cell r="T576">
            <v>55</v>
          </cell>
          <cell r="U576">
            <v>99</v>
          </cell>
          <cell r="V576">
            <v>87</v>
          </cell>
          <cell r="W576">
            <v>169</v>
          </cell>
          <cell r="X576">
            <v>0</v>
          </cell>
          <cell r="Y576">
            <v>0</v>
          </cell>
          <cell r="Z576">
            <v>87</v>
          </cell>
          <cell r="AA576">
            <v>169</v>
          </cell>
          <cell r="AB576">
            <v>154</v>
          </cell>
          <cell r="AC576">
            <v>0</v>
          </cell>
          <cell r="AD576">
            <v>154</v>
          </cell>
          <cell r="AE576">
            <v>256</v>
          </cell>
          <cell r="AF576">
            <v>0</v>
          </cell>
          <cell r="AG576">
            <v>256</v>
          </cell>
        </row>
        <row r="577">
          <cell r="C577">
            <v>259959</v>
          </cell>
          <cell r="D577" t="str">
            <v>SAI SHRADDHA PETROLEUM</v>
          </cell>
          <cell r="E577" t="str">
            <v>BPCL</v>
          </cell>
          <cell r="F577" t="str">
            <v>2025-26</v>
          </cell>
          <cell r="G577" t="str">
            <v>Shirdi RSA</v>
          </cell>
          <cell r="J577" t="str">
            <v>KOLHAR</v>
          </cell>
          <cell r="K577" t="str">
            <v>Ahmednagar</v>
          </cell>
          <cell r="L577" t="str">
            <v>D1</v>
          </cell>
          <cell r="M577" t="str">
            <v>NH-160</v>
          </cell>
          <cell r="O577" t="str">
            <v>B</v>
          </cell>
          <cell r="P577">
            <v>19</v>
          </cell>
          <cell r="Q577">
            <v>91</v>
          </cell>
          <cell r="R577">
            <v>0</v>
          </cell>
          <cell r="S577">
            <v>0</v>
          </cell>
          <cell r="T577">
            <v>19</v>
          </cell>
          <cell r="U577">
            <v>91</v>
          </cell>
          <cell r="V577">
            <v>24</v>
          </cell>
          <cell r="W577">
            <v>144</v>
          </cell>
          <cell r="X577">
            <v>0</v>
          </cell>
          <cell r="Y577">
            <v>0</v>
          </cell>
          <cell r="Z577">
            <v>24</v>
          </cell>
          <cell r="AA577">
            <v>144</v>
          </cell>
          <cell r="AB577">
            <v>110</v>
          </cell>
          <cell r="AC577">
            <v>0</v>
          </cell>
          <cell r="AD577">
            <v>110</v>
          </cell>
          <cell r="AE577">
            <v>168</v>
          </cell>
          <cell r="AF577">
            <v>0</v>
          </cell>
          <cell r="AG577">
            <v>168</v>
          </cell>
        </row>
        <row r="578">
          <cell r="C578">
            <v>260550</v>
          </cell>
          <cell r="D578" t="str">
            <v>SWAMIRAJ PETROLEUM</v>
          </cell>
          <cell r="E578" t="str">
            <v>BPCL</v>
          </cell>
          <cell r="F578" t="str">
            <v>2025-26</v>
          </cell>
          <cell r="G578" t="str">
            <v>Ahmednagar East RSA</v>
          </cell>
          <cell r="J578" t="str">
            <v>Shendi</v>
          </cell>
          <cell r="K578" t="str">
            <v>Ahmednagar</v>
          </cell>
          <cell r="L578" t="str">
            <v>D1</v>
          </cell>
          <cell r="M578" t="str">
            <v>NH-753F</v>
          </cell>
          <cell r="O578" t="str">
            <v>B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C579">
            <v>258944</v>
          </cell>
          <cell r="D579" t="str">
            <v>JAY PRAKASH PETROLEUM</v>
          </cell>
          <cell r="E579" t="str">
            <v>BPCL</v>
          </cell>
          <cell r="F579" t="str">
            <v>2025-26</v>
          </cell>
          <cell r="G579" t="str">
            <v>Pune Hadapsar RSA</v>
          </cell>
          <cell r="J579" t="str">
            <v>FURSUNGI</v>
          </cell>
          <cell r="K579" t="str">
            <v>Pune</v>
          </cell>
          <cell r="L579" t="str">
            <v>A</v>
          </cell>
          <cell r="O579" t="str">
            <v>B</v>
          </cell>
          <cell r="P579">
            <v>155</v>
          </cell>
          <cell r="Q579">
            <v>85</v>
          </cell>
          <cell r="R579">
            <v>0</v>
          </cell>
          <cell r="S579">
            <v>0</v>
          </cell>
          <cell r="T579">
            <v>155</v>
          </cell>
          <cell r="U579">
            <v>85</v>
          </cell>
          <cell r="V579">
            <v>305</v>
          </cell>
          <cell r="W579">
            <v>155</v>
          </cell>
          <cell r="X579">
            <v>0</v>
          </cell>
          <cell r="Y579">
            <v>0</v>
          </cell>
          <cell r="Z579">
            <v>305</v>
          </cell>
          <cell r="AA579">
            <v>155</v>
          </cell>
          <cell r="AB579">
            <v>240</v>
          </cell>
          <cell r="AC579">
            <v>0</v>
          </cell>
          <cell r="AD579">
            <v>240</v>
          </cell>
          <cell r="AE579">
            <v>460</v>
          </cell>
          <cell r="AF579">
            <v>0</v>
          </cell>
          <cell r="AG579">
            <v>460</v>
          </cell>
        </row>
        <row r="580">
          <cell r="C580">
            <v>260899</v>
          </cell>
          <cell r="D580" t="str">
            <v>USHADEVI PETROLEUM</v>
          </cell>
          <cell r="E580" t="str">
            <v>BPCL</v>
          </cell>
          <cell r="F580" t="str">
            <v>2025-26</v>
          </cell>
          <cell r="G580" t="str">
            <v>Pune Hadapsar RSA</v>
          </cell>
          <cell r="J580" t="str">
            <v>Yawat RHS</v>
          </cell>
          <cell r="K580" t="str">
            <v>Pune</v>
          </cell>
          <cell r="L580" t="str">
            <v>D1</v>
          </cell>
          <cell r="M580" t="str">
            <v>NH-65</v>
          </cell>
          <cell r="O580" t="str">
            <v>B</v>
          </cell>
          <cell r="P580">
            <v>41</v>
          </cell>
          <cell r="Q580">
            <v>287</v>
          </cell>
          <cell r="R580">
            <v>0</v>
          </cell>
          <cell r="S580">
            <v>0</v>
          </cell>
          <cell r="T580">
            <v>41</v>
          </cell>
          <cell r="U580">
            <v>287</v>
          </cell>
          <cell r="V580">
            <v>72</v>
          </cell>
          <cell r="W580">
            <v>508</v>
          </cell>
          <cell r="X580">
            <v>0</v>
          </cell>
          <cell r="Y580">
            <v>0</v>
          </cell>
          <cell r="Z580">
            <v>72</v>
          </cell>
          <cell r="AA580">
            <v>508</v>
          </cell>
          <cell r="AB580">
            <v>328</v>
          </cell>
          <cell r="AC580">
            <v>0</v>
          </cell>
          <cell r="AD580">
            <v>328</v>
          </cell>
          <cell r="AE580">
            <v>580</v>
          </cell>
          <cell r="AF580">
            <v>0</v>
          </cell>
          <cell r="AG580">
            <v>580</v>
          </cell>
        </row>
        <row r="581">
          <cell r="C581">
            <v>261041</v>
          </cell>
          <cell r="D581" t="str">
            <v>ANURANG PETROLEUM</v>
          </cell>
          <cell r="E581" t="str">
            <v>BPCL</v>
          </cell>
          <cell r="F581" t="str">
            <v>2025-26</v>
          </cell>
          <cell r="G581" t="str">
            <v>Pune Wagholi RSA</v>
          </cell>
          <cell r="J581" t="str">
            <v>Shikrapur to Inamgaon</v>
          </cell>
          <cell r="K581" t="str">
            <v>Pune</v>
          </cell>
          <cell r="L581" t="str">
            <v>D1</v>
          </cell>
          <cell r="M581" t="str">
            <v>NH-548D</v>
          </cell>
          <cell r="O581" t="str">
            <v>B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</row>
        <row r="582">
          <cell r="C582">
            <v>261045</v>
          </cell>
          <cell r="D582" t="str">
            <v>GP ENERGY STATION</v>
          </cell>
          <cell r="E582" t="str">
            <v>BPCL</v>
          </cell>
          <cell r="F582" t="str">
            <v>2025-26</v>
          </cell>
          <cell r="G582" t="str">
            <v>Pune Tathawade RSA</v>
          </cell>
          <cell r="J582" t="str">
            <v>KAMSHET TO VADGAON</v>
          </cell>
          <cell r="K582" t="str">
            <v>Pune</v>
          </cell>
          <cell r="L582" t="str">
            <v>D1</v>
          </cell>
          <cell r="M582" t="str">
            <v>NH-48</v>
          </cell>
          <cell r="O582" t="str">
            <v>B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C583">
            <v>260918</v>
          </cell>
          <cell r="D583" t="str">
            <v>SATDARSHAN PETROLEUM SAKUR</v>
          </cell>
          <cell r="E583" t="str">
            <v>BPCL</v>
          </cell>
          <cell r="F583" t="str">
            <v>2025-26</v>
          </cell>
          <cell r="G583" t="str">
            <v>Ahmednagar West RSA</v>
          </cell>
          <cell r="J583" t="str">
            <v>Sakur</v>
          </cell>
          <cell r="K583" t="str">
            <v>Ahmednagar</v>
          </cell>
          <cell r="L583" t="str">
            <v>E</v>
          </cell>
          <cell r="O583" t="str">
            <v>B</v>
          </cell>
          <cell r="P583">
            <v>51.5</v>
          </cell>
          <cell r="Q583">
            <v>78.5</v>
          </cell>
          <cell r="R583">
            <v>0</v>
          </cell>
          <cell r="S583">
            <v>0</v>
          </cell>
          <cell r="T583">
            <v>51.5</v>
          </cell>
          <cell r="U583">
            <v>78.5</v>
          </cell>
          <cell r="V583">
            <v>86.5</v>
          </cell>
          <cell r="W583">
            <v>133.5</v>
          </cell>
          <cell r="X583">
            <v>0</v>
          </cell>
          <cell r="Y583">
            <v>0</v>
          </cell>
          <cell r="Z583">
            <v>86.5</v>
          </cell>
          <cell r="AA583">
            <v>133.5</v>
          </cell>
          <cell r="AB583">
            <v>130</v>
          </cell>
          <cell r="AC583">
            <v>0</v>
          </cell>
          <cell r="AD583">
            <v>130</v>
          </cell>
          <cell r="AE583">
            <v>220</v>
          </cell>
          <cell r="AF583">
            <v>0</v>
          </cell>
          <cell r="AG583">
            <v>220</v>
          </cell>
        </row>
        <row r="584">
          <cell r="C584">
            <v>260928</v>
          </cell>
          <cell r="D584" t="str">
            <v>BHAU BABA PETROLEUM</v>
          </cell>
          <cell r="E584" t="str">
            <v>BPCL</v>
          </cell>
          <cell r="F584" t="str">
            <v>2025-26</v>
          </cell>
          <cell r="G584" t="str">
            <v>Ahmednagar West RSA</v>
          </cell>
          <cell r="J584" t="str">
            <v>Pathardi</v>
          </cell>
          <cell r="K584" t="str">
            <v>Ahmednagar</v>
          </cell>
          <cell r="L584" t="str">
            <v>D2</v>
          </cell>
          <cell r="O584" t="str">
            <v>B</v>
          </cell>
          <cell r="P584">
            <v>26</v>
          </cell>
          <cell r="Q584">
            <v>97</v>
          </cell>
          <cell r="R584">
            <v>0</v>
          </cell>
          <cell r="S584">
            <v>0</v>
          </cell>
          <cell r="T584">
            <v>26</v>
          </cell>
          <cell r="U584">
            <v>97</v>
          </cell>
          <cell r="V584">
            <v>48</v>
          </cell>
          <cell r="W584">
            <v>187</v>
          </cell>
          <cell r="X584">
            <v>0</v>
          </cell>
          <cell r="Y584">
            <v>0</v>
          </cell>
          <cell r="Z584">
            <v>48</v>
          </cell>
          <cell r="AA584">
            <v>187</v>
          </cell>
          <cell r="AB584">
            <v>123</v>
          </cell>
          <cell r="AC584">
            <v>0</v>
          </cell>
          <cell r="AD584">
            <v>123</v>
          </cell>
          <cell r="AE584">
            <v>235</v>
          </cell>
          <cell r="AF584">
            <v>0</v>
          </cell>
          <cell r="AG584">
            <v>235</v>
          </cell>
        </row>
        <row r="585">
          <cell r="C585">
            <v>262061</v>
          </cell>
          <cell r="D585" t="str">
            <v>SADGURU PETROLEUM</v>
          </cell>
          <cell r="E585" t="str">
            <v>BPCL</v>
          </cell>
          <cell r="F585" t="str">
            <v>2025-26</v>
          </cell>
          <cell r="G585" t="str">
            <v>Satara East RSA</v>
          </cell>
          <cell r="J585" t="str">
            <v>Pusegaon</v>
          </cell>
          <cell r="K585" t="str">
            <v>Satara</v>
          </cell>
          <cell r="L585" t="str">
            <v>D1</v>
          </cell>
          <cell r="M585" t="str">
            <v>NH-548C</v>
          </cell>
          <cell r="O585" t="str">
            <v>B</v>
          </cell>
          <cell r="P585">
            <v>80</v>
          </cell>
          <cell r="Q585">
            <v>123</v>
          </cell>
          <cell r="R585">
            <v>0</v>
          </cell>
          <cell r="S585">
            <v>0</v>
          </cell>
          <cell r="T585">
            <v>80</v>
          </cell>
          <cell r="U585">
            <v>123</v>
          </cell>
          <cell r="V585">
            <v>143</v>
          </cell>
          <cell r="W585">
            <v>230</v>
          </cell>
          <cell r="X585">
            <v>0</v>
          </cell>
          <cell r="Y585">
            <v>0</v>
          </cell>
          <cell r="Z585">
            <v>143</v>
          </cell>
          <cell r="AA585">
            <v>230</v>
          </cell>
          <cell r="AB585">
            <v>203</v>
          </cell>
          <cell r="AC585">
            <v>0</v>
          </cell>
          <cell r="AD585">
            <v>203</v>
          </cell>
          <cell r="AE585">
            <v>373</v>
          </cell>
          <cell r="AF585">
            <v>0</v>
          </cell>
          <cell r="AG585">
            <v>373</v>
          </cell>
        </row>
        <row r="586">
          <cell r="C586">
            <v>260900</v>
          </cell>
          <cell r="D586" t="str">
            <v>TALEGAON MIDC PETROLEUM</v>
          </cell>
          <cell r="E586" t="str">
            <v>BPCL</v>
          </cell>
          <cell r="F586" t="str">
            <v>2025-26</v>
          </cell>
          <cell r="G586" t="str">
            <v>Pimpri Chinchwad RSA</v>
          </cell>
          <cell r="J586" t="str">
            <v>Talegaon MIDC</v>
          </cell>
          <cell r="K586" t="str">
            <v>Pune</v>
          </cell>
          <cell r="L586" t="str">
            <v>C</v>
          </cell>
          <cell r="O586" t="str">
            <v>B</v>
          </cell>
          <cell r="P586">
            <v>22</v>
          </cell>
          <cell r="Q586">
            <v>160</v>
          </cell>
          <cell r="R586">
            <v>0</v>
          </cell>
          <cell r="S586">
            <v>0</v>
          </cell>
          <cell r="T586">
            <v>22</v>
          </cell>
          <cell r="U586">
            <v>160</v>
          </cell>
          <cell r="V586">
            <v>38</v>
          </cell>
          <cell r="W586">
            <v>320</v>
          </cell>
          <cell r="X586">
            <v>0</v>
          </cell>
          <cell r="Y586">
            <v>0</v>
          </cell>
          <cell r="Z586">
            <v>38</v>
          </cell>
          <cell r="AA586">
            <v>320</v>
          </cell>
          <cell r="AB586">
            <v>182</v>
          </cell>
          <cell r="AC586">
            <v>0</v>
          </cell>
          <cell r="AD586">
            <v>182</v>
          </cell>
          <cell r="AE586">
            <v>358</v>
          </cell>
          <cell r="AF586">
            <v>0</v>
          </cell>
          <cell r="AG586">
            <v>358</v>
          </cell>
        </row>
        <row r="587">
          <cell r="C587">
            <v>261053</v>
          </cell>
          <cell r="D587" t="str">
            <v>MALHAR PETRO CORP</v>
          </cell>
          <cell r="E587" t="str">
            <v>BPCL</v>
          </cell>
          <cell r="F587" t="str">
            <v>2025-26</v>
          </cell>
          <cell r="G587" t="str">
            <v>Pimpri Chinchwad RSA</v>
          </cell>
          <cell r="J587" t="str">
            <v>Shirgaon</v>
          </cell>
          <cell r="K587" t="str">
            <v>Pune</v>
          </cell>
          <cell r="L587" t="str">
            <v>A</v>
          </cell>
          <cell r="O587" t="str">
            <v>B</v>
          </cell>
          <cell r="P587">
            <v>85</v>
          </cell>
          <cell r="Q587">
            <v>47</v>
          </cell>
          <cell r="R587">
            <v>0</v>
          </cell>
          <cell r="S587">
            <v>0</v>
          </cell>
          <cell r="T587">
            <v>85</v>
          </cell>
          <cell r="U587">
            <v>47</v>
          </cell>
          <cell r="V587">
            <v>158</v>
          </cell>
          <cell r="W587">
            <v>82</v>
          </cell>
          <cell r="X587">
            <v>0</v>
          </cell>
          <cell r="Y587">
            <v>0</v>
          </cell>
          <cell r="Z587">
            <v>158</v>
          </cell>
          <cell r="AA587">
            <v>82</v>
          </cell>
          <cell r="AB587">
            <v>132</v>
          </cell>
          <cell r="AC587">
            <v>0</v>
          </cell>
          <cell r="AD587">
            <v>132</v>
          </cell>
          <cell r="AE587">
            <v>240</v>
          </cell>
          <cell r="AF587">
            <v>0</v>
          </cell>
          <cell r="AG587">
            <v>240</v>
          </cell>
        </row>
        <row r="588">
          <cell r="C588">
            <v>262371</v>
          </cell>
          <cell r="D588" t="str">
            <v>JAY BHAVANI PETROLEUM</v>
          </cell>
          <cell r="E588" t="str">
            <v>BPCL</v>
          </cell>
          <cell r="F588" t="str">
            <v>2025-26</v>
          </cell>
          <cell r="G588" t="str">
            <v>Pune Saswad RSA</v>
          </cell>
          <cell r="J588" t="str">
            <v>BHAVANINAGAR</v>
          </cell>
          <cell r="K588" t="str">
            <v>Pune</v>
          </cell>
          <cell r="L588" t="str">
            <v>D1</v>
          </cell>
          <cell r="M588" t="str">
            <v>NH-965G</v>
          </cell>
          <cell r="O588" t="str">
            <v>B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C589">
            <v>262429</v>
          </cell>
          <cell r="D589" t="str">
            <v>VINOD PETROLEUM</v>
          </cell>
          <cell r="E589" t="str">
            <v>BPCL</v>
          </cell>
          <cell r="F589" t="str">
            <v>2025-26</v>
          </cell>
          <cell r="G589" t="str">
            <v>Pune Hadapsar RSA</v>
          </cell>
          <cell r="J589" t="str">
            <v>CHOUFULLA-KHEDGAON</v>
          </cell>
          <cell r="K589" t="str">
            <v>Pune</v>
          </cell>
          <cell r="L589" t="str">
            <v>D1</v>
          </cell>
          <cell r="M589" t="str">
            <v>NH-548DG</v>
          </cell>
          <cell r="O589" t="str">
            <v>B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</row>
        <row r="590">
          <cell r="C590">
            <v>262574</v>
          </cell>
          <cell r="D590" t="str">
            <v>NIRMITEE PETROLEUM</v>
          </cell>
          <cell r="E590" t="str">
            <v>BPCL</v>
          </cell>
          <cell r="F590" t="str">
            <v>2025-26</v>
          </cell>
          <cell r="G590" t="str">
            <v>Pune Hadapsar RSA</v>
          </cell>
          <cell r="J590" t="str">
            <v>Pimpalgaon</v>
          </cell>
          <cell r="K590" t="str">
            <v>Pune</v>
          </cell>
          <cell r="L590" t="str">
            <v>E</v>
          </cell>
          <cell r="O590" t="str">
            <v>B</v>
          </cell>
          <cell r="P590">
            <v>15</v>
          </cell>
          <cell r="Q590">
            <v>53</v>
          </cell>
          <cell r="R590">
            <v>0</v>
          </cell>
          <cell r="S590">
            <v>0</v>
          </cell>
          <cell r="T590">
            <v>15</v>
          </cell>
          <cell r="U590">
            <v>53</v>
          </cell>
          <cell r="V590">
            <v>21</v>
          </cell>
          <cell r="W590">
            <v>59</v>
          </cell>
          <cell r="X590">
            <v>0</v>
          </cell>
          <cell r="Y590">
            <v>0</v>
          </cell>
          <cell r="Z590">
            <v>21</v>
          </cell>
          <cell r="AA590">
            <v>59</v>
          </cell>
          <cell r="AB590">
            <v>68</v>
          </cell>
          <cell r="AC590">
            <v>0</v>
          </cell>
          <cell r="AD590">
            <v>68</v>
          </cell>
          <cell r="AE590">
            <v>80</v>
          </cell>
          <cell r="AF590">
            <v>0</v>
          </cell>
          <cell r="AG590">
            <v>80</v>
          </cell>
        </row>
        <row r="591">
          <cell r="C591">
            <v>262633</v>
          </cell>
          <cell r="D591" t="str">
            <v>SAIRAJ PETROLEUM</v>
          </cell>
          <cell r="E591" t="str">
            <v>BPCL</v>
          </cell>
          <cell r="F591" t="str">
            <v>2025-26</v>
          </cell>
          <cell r="G591" t="str">
            <v>Pune Wagholi RSA</v>
          </cell>
          <cell r="J591" t="str">
            <v>PIMPALWANDI</v>
          </cell>
          <cell r="K591" t="str">
            <v>Pune</v>
          </cell>
          <cell r="L591" t="str">
            <v>E</v>
          </cell>
          <cell r="O591" t="str">
            <v>B</v>
          </cell>
          <cell r="P591">
            <v>18</v>
          </cell>
          <cell r="Q591">
            <v>42</v>
          </cell>
          <cell r="R591">
            <v>0</v>
          </cell>
          <cell r="S591">
            <v>0</v>
          </cell>
          <cell r="T591">
            <v>18</v>
          </cell>
          <cell r="U591">
            <v>42</v>
          </cell>
          <cell r="V591">
            <v>32</v>
          </cell>
          <cell r="W591">
            <v>72</v>
          </cell>
          <cell r="X591">
            <v>0</v>
          </cell>
          <cell r="Y591">
            <v>0</v>
          </cell>
          <cell r="Z591">
            <v>32</v>
          </cell>
          <cell r="AA591">
            <v>72</v>
          </cell>
          <cell r="AB591">
            <v>60</v>
          </cell>
          <cell r="AC591">
            <v>0</v>
          </cell>
          <cell r="AD591">
            <v>60</v>
          </cell>
          <cell r="AE591">
            <v>104</v>
          </cell>
          <cell r="AF591">
            <v>0</v>
          </cell>
          <cell r="AG591">
            <v>104</v>
          </cell>
        </row>
        <row r="592">
          <cell r="C592">
            <v>262080</v>
          </cell>
          <cell r="D592" t="str">
            <v>SAI GANESH PETROLEUM</v>
          </cell>
          <cell r="E592" t="str">
            <v>BPCL</v>
          </cell>
          <cell r="F592" t="str">
            <v>2025-26</v>
          </cell>
          <cell r="G592" t="str">
            <v>Ahmednagar West RSA</v>
          </cell>
          <cell r="J592" t="str">
            <v>SHEKTE</v>
          </cell>
          <cell r="K592" t="str">
            <v>Ahmednagar</v>
          </cell>
          <cell r="L592" t="str">
            <v>D1</v>
          </cell>
          <cell r="M592" t="str">
            <v>NH-61</v>
          </cell>
          <cell r="O592" t="str">
            <v>B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</row>
        <row r="593">
          <cell r="C593">
            <v>261043</v>
          </cell>
          <cell r="D593" t="str">
            <v>CHANDRAPRABHA PETROLEUM</v>
          </cell>
          <cell r="E593" t="str">
            <v>BPCL</v>
          </cell>
          <cell r="F593" t="str">
            <v>2025-26</v>
          </cell>
          <cell r="G593" t="str">
            <v>Pune City RSA</v>
          </cell>
          <cell r="J593" t="str">
            <v>LOHAGOAN RURAL</v>
          </cell>
          <cell r="K593" t="str">
            <v>Pune</v>
          </cell>
          <cell r="L593" t="str">
            <v>A</v>
          </cell>
          <cell r="O593" t="str">
            <v>B</v>
          </cell>
          <cell r="P593">
            <v>130</v>
          </cell>
          <cell r="Q593">
            <v>50</v>
          </cell>
          <cell r="R593">
            <v>0</v>
          </cell>
          <cell r="S593">
            <v>0</v>
          </cell>
          <cell r="T593">
            <v>130</v>
          </cell>
          <cell r="U593">
            <v>50</v>
          </cell>
          <cell r="V593">
            <v>248</v>
          </cell>
          <cell r="W593">
            <v>108</v>
          </cell>
          <cell r="X593">
            <v>0</v>
          </cell>
          <cell r="Y593">
            <v>0</v>
          </cell>
          <cell r="Z593">
            <v>248</v>
          </cell>
          <cell r="AA593">
            <v>108</v>
          </cell>
          <cell r="AB593">
            <v>180</v>
          </cell>
          <cell r="AC593">
            <v>0</v>
          </cell>
          <cell r="AD593">
            <v>180</v>
          </cell>
          <cell r="AE593">
            <v>356</v>
          </cell>
          <cell r="AF593">
            <v>0</v>
          </cell>
          <cell r="AG593">
            <v>356</v>
          </cell>
        </row>
        <row r="594">
          <cell r="C594">
            <v>262894</v>
          </cell>
          <cell r="D594" t="str">
            <v>VIGHNAHARTA PETROLEUM</v>
          </cell>
          <cell r="E594" t="str">
            <v>BPCL</v>
          </cell>
          <cell r="F594" t="str">
            <v>2025-26</v>
          </cell>
          <cell r="G594" t="str">
            <v>Ahmednagar West RSA</v>
          </cell>
          <cell r="J594" t="str">
            <v>JAWALA</v>
          </cell>
          <cell r="K594" t="str">
            <v>Ahmednagar</v>
          </cell>
          <cell r="L594" t="str">
            <v>D2</v>
          </cell>
          <cell r="O594" t="str">
            <v>B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</row>
        <row r="595">
          <cell r="C595">
            <v>264005</v>
          </cell>
          <cell r="D595" t="str">
            <v>ASHTAVINAYAK ENERGY</v>
          </cell>
          <cell r="E595" t="str">
            <v>BPCL</v>
          </cell>
          <cell r="F595" t="str">
            <v>2025-26</v>
          </cell>
          <cell r="G595" t="str">
            <v>Pune Wagholi RSA</v>
          </cell>
          <cell r="J595" t="str">
            <v>Narayangaon to Alephata LHS</v>
          </cell>
          <cell r="K595" t="str">
            <v>Pune</v>
          </cell>
          <cell r="L595" t="str">
            <v>D1</v>
          </cell>
          <cell r="M595" t="str">
            <v>NH-60</v>
          </cell>
          <cell r="O595" t="str">
            <v>B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C596">
            <v>264052</v>
          </cell>
          <cell r="D596" t="str">
            <v>SHREE MAHAKALESHWAR PETROLEUM</v>
          </cell>
          <cell r="E596" t="str">
            <v>BPCL</v>
          </cell>
          <cell r="F596" t="str">
            <v>2025-26</v>
          </cell>
          <cell r="G596" t="str">
            <v>Pune Tathawade RSA</v>
          </cell>
          <cell r="J596" t="str">
            <v>NARHE TO BAVDHAN</v>
          </cell>
          <cell r="K596" t="str">
            <v>Pune</v>
          </cell>
          <cell r="L596" t="str">
            <v>A</v>
          </cell>
          <cell r="O596" t="str">
            <v>A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C597">
            <v>264659</v>
          </cell>
          <cell r="D597" t="str">
            <v>SP PETROLEUM</v>
          </cell>
          <cell r="E597" t="str">
            <v>BPCL</v>
          </cell>
          <cell r="F597" t="str">
            <v>2025-26</v>
          </cell>
          <cell r="G597" t="str">
            <v>Pune Hadapsar RSA</v>
          </cell>
          <cell r="J597" t="str">
            <v>Kurkumbh RHS</v>
          </cell>
          <cell r="K597" t="str">
            <v>Pune</v>
          </cell>
          <cell r="L597" t="str">
            <v>D1</v>
          </cell>
          <cell r="M597" t="str">
            <v>NH-65</v>
          </cell>
          <cell r="O597" t="str">
            <v>B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C598">
            <v>265000</v>
          </cell>
          <cell r="D598" t="str">
            <v>KRUPA PETROLEUM</v>
          </cell>
          <cell r="E598" t="str">
            <v>BPCL</v>
          </cell>
          <cell r="F598" t="str">
            <v>2025-26</v>
          </cell>
          <cell r="G598" t="str">
            <v>Satara West RSA</v>
          </cell>
          <cell r="J598" t="str">
            <v>Karad to Masur Road</v>
          </cell>
          <cell r="K598" t="str">
            <v>Satara</v>
          </cell>
          <cell r="L598" t="str">
            <v>D2</v>
          </cell>
          <cell r="O598" t="str">
            <v>A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C599">
            <v>265157</v>
          </cell>
          <cell r="D599" t="str">
            <v>SUNANDA PETROLEUM</v>
          </cell>
          <cell r="E599" t="str">
            <v>BPCL</v>
          </cell>
          <cell r="F599" t="str">
            <v>2025-26</v>
          </cell>
          <cell r="G599" t="str">
            <v>Satara West RSA</v>
          </cell>
          <cell r="J599" t="str">
            <v>Satara to Bhuinj</v>
          </cell>
          <cell r="K599" t="str">
            <v>Satara</v>
          </cell>
          <cell r="L599" t="str">
            <v>D1</v>
          </cell>
          <cell r="M599" t="str">
            <v>NH-48</v>
          </cell>
          <cell r="O599" t="str">
            <v>B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</row>
        <row r="600">
          <cell r="C600">
            <v>264813</v>
          </cell>
          <cell r="D600" t="str">
            <v>ABHIJEET FUEL STATION</v>
          </cell>
          <cell r="E600" t="str">
            <v>BPCL</v>
          </cell>
          <cell r="F600" t="str">
            <v>2025-26</v>
          </cell>
          <cell r="G600" t="str">
            <v>Ahmednagar West RSA</v>
          </cell>
          <cell r="J600" t="str">
            <v>GHOGARGAON</v>
          </cell>
          <cell r="K600" t="str">
            <v>Ahmednagar</v>
          </cell>
          <cell r="L600" t="str">
            <v>D1</v>
          </cell>
          <cell r="M600" t="str">
            <v>NH-561A</v>
          </cell>
          <cell r="O600" t="str">
            <v>A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C601">
            <v>265412</v>
          </cell>
          <cell r="D601" t="str">
            <v>WABLE PETROLEUM</v>
          </cell>
          <cell r="E601" t="str">
            <v>BPCL</v>
          </cell>
          <cell r="F601" t="str">
            <v>2025-26</v>
          </cell>
          <cell r="G601" t="str">
            <v>Ahmednagar West RSA</v>
          </cell>
          <cell r="J601" t="str">
            <v>LONI VYNKNATH-KASHTI (NH)</v>
          </cell>
          <cell r="K601" t="str">
            <v>Ahmednagar</v>
          </cell>
          <cell r="L601" t="str">
            <v>D1</v>
          </cell>
          <cell r="M601" t="str">
            <v>NH-160</v>
          </cell>
          <cell r="O601" t="str">
            <v>B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C602">
            <v>0</v>
          </cell>
          <cell r="D602" t="str">
            <v xml:space="preserve">B. P. Jadhav- MS </v>
          </cell>
          <cell r="E602" t="str">
            <v>HPCL</v>
          </cell>
          <cell r="G602" t="str">
            <v>Shirdi RSA</v>
          </cell>
          <cell r="J602" t="str">
            <v>SHIRDI</v>
          </cell>
          <cell r="K602" t="str">
            <v>Ahmednagar</v>
          </cell>
          <cell r="L602" t="str">
            <v>D1</v>
          </cell>
          <cell r="M602" t="str">
            <v>NH-160</v>
          </cell>
          <cell r="O602" t="str">
            <v>B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C603">
            <v>1</v>
          </cell>
          <cell r="D603" t="str">
            <v>S.L. Mhaske (Terminated)</v>
          </cell>
          <cell r="E603" t="str">
            <v>HPCL</v>
          </cell>
          <cell r="G603" t="str">
            <v>Shirdi RSA</v>
          </cell>
          <cell r="J603" t="str">
            <v>BABLESHWAR NH</v>
          </cell>
          <cell r="K603" t="str">
            <v>Ahmednagar</v>
          </cell>
          <cell r="L603" t="str">
            <v>D2</v>
          </cell>
          <cell r="O603" t="str">
            <v>B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C604">
            <v>2</v>
          </cell>
          <cell r="D604" t="str">
            <v>B. V. Vikhe</v>
          </cell>
          <cell r="E604" t="str">
            <v>HPCL</v>
          </cell>
          <cell r="G604" t="str">
            <v>Shirdi RSA</v>
          </cell>
          <cell r="J604" t="str">
            <v>LONI PRAVARA SH</v>
          </cell>
          <cell r="K604" t="str">
            <v>Ahmednagar</v>
          </cell>
          <cell r="L604" t="str">
            <v>D2</v>
          </cell>
          <cell r="O604" t="str">
            <v>B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C605">
            <v>3</v>
          </cell>
          <cell r="D605" t="str">
            <v>SUPREME AUTOMOBILES</v>
          </cell>
          <cell r="E605" t="str">
            <v>HPCL</v>
          </cell>
          <cell r="G605" t="str">
            <v>Pune City RSA</v>
          </cell>
          <cell r="J605" t="str">
            <v>Pimpri</v>
          </cell>
          <cell r="K605" t="str">
            <v>Pune</v>
          </cell>
          <cell r="L605" t="str">
            <v>A</v>
          </cell>
          <cell r="O605" t="str">
            <v>B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C606">
            <v>4</v>
          </cell>
          <cell r="D606" t="str">
            <v>MAHARASHTRA GASOLINE STATION</v>
          </cell>
          <cell r="E606" t="str">
            <v>HPCL</v>
          </cell>
          <cell r="G606" t="str">
            <v>Pune City RSA</v>
          </cell>
          <cell r="J606" t="str">
            <v>DDD</v>
          </cell>
          <cell r="K606" t="str">
            <v>Pune</v>
          </cell>
          <cell r="L606" t="str">
            <v>D2</v>
          </cell>
          <cell r="O606" t="str">
            <v>B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C607">
            <v>5</v>
          </cell>
          <cell r="D607" t="str">
            <v>Kamal Petrol Depot -HSD  SITE</v>
          </cell>
          <cell r="E607" t="str">
            <v>HPCL</v>
          </cell>
          <cell r="G607" t="str">
            <v>Shirdi RSA</v>
          </cell>
          <cell r="J607" t="str">
            <v>DILLI NAKA SANGAMNER</v>
          </cell>
          <cell r="K607" t="str">
            <v>Ahmednagar</v>
          </cell>
          <cell r="L607" t="str">
            <v>C</v>
          </cell>
          <cell r="O607" t="str">
            <v>B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C608">
            <v>6</v>
          </cell>
          <cell r="D608" t="str">
            <v>Shri Shanaishwar KSK (ADHOC AJANI)</v>
          </cell>
          <cell r="E608" t="str">
            <v>HPCL</v>
          </cell>
          <cell r="F608" t="str">
            <v>2017-18</v>
          </cell>
          <cell r="G608" t="str">
            <v>Ahmednagar East RSA</v>
          </cell>
          <cell r="J608" t="str">
            <v>Monopoly</v>
          </cell>
          <cell r="K608" t="str">
            <v>Ahmednagar</v>
          </cell>
          <cell r="L608" t="str">
            <v>D2</v>
          </cell>
          <cell r="O608" t="str">
            <v>A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C609">
            <v>41000002</v>
          </cell>
          <cell r="D609" t="str">
            <v>RAHIM SERVICE STATION, HSD</v>
          </cell>
          <cell r="E609" t="str">
            <v>HPCL</v>
          </cell>
          <cell r="G609" t="str">
            <v>Pune Wagholi RSA</v>
          </cell>
          <cell r="J609" t="str">
            <v>LONIKAND to KOREGAON BHIMA RHS</v>
          </cell>
          <cell r="K609" t="str">
            <v>Pune</v>
          </cell>
          <cell r="L609" t="str">
            <v>D1</v>
          </cell>
          <cell r="M609" t="str">
            <v>NH-753F</v>
          </cell>
          <cell r="O609" t="str">
            <v>A</v>
          </cell>
          <cell r="P609">
            <v>0</v>
          </cell>
          <cell r="Q609">
            <v>0</v>
          </cell>
          <cell r="R609">
            <v>0</v>
          </cell>
          <cell r="S609">
            <v>96</v>
          </cell>
          <cell r="T609">
            <v>0</v>
          </cell>
          <cell r="U609">
            <v>-96</v>
          </cell>
          <cell r="V609">
            <v>0</v>
          </cell>
          <cell r="W609">
            <v>0</v>
          </cell>
          <cell r="X609">
            <v>0</v>
          </cell>
          <cell r="Y609">
            <v>204</v>
          </cell>
          <cell r="Z609">
            <v>0</v>
          </cell>
          <cell r="AA609">
            <v>-204</v>
          </cell>
          <cell r="AB609">
            <v>0</v>
          </cell>
          <cell r="AC609">
            <v>96</v>
          </cell>
          <cell r="AD609">
            <v>-96</v>
          </cell>
          <cell r="AE609">
            <v>0</v>
          </cell>
          <cell r="AF609">
            <v>204</v>
          </cell>
          <cell r="AG609">
            <v>-204</v>
          </cell>
        </row>
        <row r="610">
          <cell r="C610">
            <v>41000022</v>
          </cell>
          <cell r="D610" t="str">
            <v>CHATURSRINGI SERVICE STATION</v>
          </cell>
          <cell r="E610" t="str">
            <v>HPCL</v>
          </cell>
          <cell r="G610" t="str">
            <v>Pune Hadapsar RSA</v>
          </cell>
          <cell r="J610" t="str">
            <v>Loni RHS</v>
          </cell>
          <cell r="K610" t="str">
            <v>Pune</v>
          </cell>
          <cell r="L610" t="str">
            <v>D1</v>
          </cell>
          <cell r="M610" t="str">
            <v>NH-65</v>
          </cell>
          <cell r="O610" t="str">
            <v>A</v>
          </cell>
          <cell r="P610">
            <v>0</v>
          </cell>
          <cell r="Q610">
            <v>0</v>
          </cell>
          <cell r="R610">
            <v>0</v>
          </cell>
          <cell r="S610">
            <v>48</v>
          </cell>
          <cell r="T610">
            <v>0</v>
          </cell>
          <cell r="U610">
            <v>-48</v>
          </cell>
          <cell r="V610">
            <v>0</v>
          </cell>
          <cell r="W610">
            <v>0</v>
          </cell>
          <cell r="X610">
            <v>0</v>
          </cell>
          <cell r="Y610">
            <v>96</v>
          </cell>
          <cell r="Z610">
            <v>0</v>
          </cell>
          <cell r="AA610">
            <v>-96</v>
          </cell>
          <cell r="AB610">
            <v>0</v>
          </cell>
          <cell r="AC610">
            <v>48</v>
          </cell>
          <cell r="AD610">
            <v>-48</v>
          </cell>
          <cell r="AE610">
            <v>0</v>
          </cell>
          <cell r="AF610">
            <v>96</v>
          </cell>
          <cell r="AG610">
            <v>-96</v>
          </cell>
        </row>
        <row r="611">
          <cell r="C611">
            <v>41000026</v>
          </cell>
          <cell r="D611" t="str">
            <v xml:space="preserve">SONAJ &amp; COMPANY </v>
          </cell>
          <cell r="E611" t="str">
            <v>HPCL</v>
          </cell>
          <cell r="G611" t="str">
            <v>Pune Saswad RSA</v>
          </cell>
          <cell r="J611" t="str">
            <v>Indapur Bypass</v>
          </cell>
          <cell r="K611" t="str">
            <v>Pune</v>
          </cell>
          <cell r="L611" t="str">
            <v>D1</v>
          </cell>
          <cell r="M611" t="str">
            <v>NH-65</v>
          </cell>
          <cell r="O611" t="str">
            <v>B</v>
          </cell>
          <cell r="P611">
            <v>0</v>
          </cell>
          <cell r="Q611">
            <v>98</v>
          </cell>
          <cell r="R611">
            <v>0</v>
          </cell>
          <cell r="S611">
            <v>84</v>
          </cell>
          <cell r="T611">
            <v>0</v>
          </cell>
          <cell r="U611">
            <v>14</v>
          </cell>
          <cell r="V611">
            <v>0</v>
          </cell>
          <cell r="W611">
            <v>179</v>
          </cell>
          <cell r="X611">
            <v>0</v>
          </cell>
          <cell r="Y611">
            <v>84</v>
          </cell>
          <cell r="Z611">
            <v>0</v>
          </cell>
          <cell r="AA611">
            <v>95</v>
          </cell>
          <cell r="AB611">
            <v>98</v>
          </cell>
          <cell r="AC611">
            <v>84</v>
          </cell>
          <cell r="AD611">
            <v>14</v>
          </cell>
          <cell r="AE611">
            <v>179</v>
          </cell>
          <cell r="AF611">
            <v>84</v>
          </cell>
          <cell r="AG611">
            <v>95</v>
          </cell>
        </row>
        <row r="612">
          <cell r="C612">
            <v>41024073</v>
          </cell>
          <cell r="D612" t="str">
            <v>SHINDE PETROLEUM</v>
          </cell>
          <cell r="E612" t="str">
            <v>HPCL</v>
          </cell>
          <cell r="G612" t="str">
            <v>Pune City RSA</v>
          </cell>
          <cell r="J612" t="str">
            <v>CHANDANI CHOWK</v>
          </cell>
          <cell r="K612" t="str">
            <v>Pune</v>
          </cell>
          <cell r="L612" t="str">
            <v>A</v>
          </cell>
          <cell r="O612" t="str">
            <v>A</v>
          </cell>
          <cell r="P612">
            <v>695</v>
          </cell>
          <cell r="Q612">
            <v>414</v>
          </cell>
          <cell r="R612">
            <v>621</v>
          </cell>
          <cell r="S612">
            <v>397</v>
          </cell>
          <cell r="T612">
            <v>74</v>
          </cell>
          <cell r="U612">
            <v>17</v>
          </cell>
          <cell r="V612">
            <v>1307</v>
          </cell>
          <cell r="W612">
            <v>802</v>
          </cell>
          <cell r="X612">
            <v>1268</v>
          </cell>
          <cell r="Y612">
            <v>789</v>
          </cell>
          <cell r="Z612">
            <v>39</v>
          </cell>
          <cell r="AA612">
            <v>13</v>
          </cell>
          <cell r="AB612">
            <v>1109</v>
          </cell>
          <cell r="AC612">
            <v>1018</v>
          </cell>
          <cell r="AD612">
            <v>91</v>
          </cell>
          <cell r="AE612">
            <v>2109</v>
          </cell>
          <cell r="AF612">
            <v>2057</v>
          </cell>
          <cell r="AG612">
            <v>52</v>
          </cell>
        </row>
        <row r="613">
          <cell r="C613">
            <v>41024301</v>
          </cell>
          <cell r="D613" t="str">
            <v>ARUNA  AUTOMOBILES(ADHOC TEJAS)</v>
          </cell>
          <cell r="E613" t="str">
            <v>HPCL</v>
          </cell>
          <cell r="G613" t="str">
            <v>Satara West RSA</v>
          </cell>
          <cell r="J613" t="str">
            <v>SATARA ON NH48 LHS</v>
          </cell>
          <cell r="K613" t="str">
            <v>Satara</v>
          </cell>
          <cell r="L613" t="str">
            <v>D1</v>
          </cell>
          <cell r="M613" t="str">
            <v>NH-48</v>
          </cell>
          <cell r="O613" t="str">
            <v>A</v>
          </cell>
          <cell r="P613">
            <v>260</v>
          </cell>
          <cell r="Q613">
            <v>300</v>
          </cell>
          <cell r="R613">
            <v>235</v>
          </cell>
          <cell r="S613">
            <v>245</v>
          </cell>
          <cell r="T613">
            <v>25</v>
          </cell>
          <cell r="U613">
            <v>55</v>
          </cell>
          <cell r="V613">
            <v>485</v>
          </cell>
          <cell r="W613">
            <v>575</v>
          </cell>
          <cell r="X613">
            <v>450</v>
          </cell>
          <cell r="Y613">
            <v>490</v>
          </cell>
          <cell r="Z613">
            <v>35</v>
          </cell>
          <cell r="AA613">
            <v>85</v>
          </cell>
          <cell r="AB613">
            <v>560</v>
          </cell>
          <cell r="AC613">
            <v>480</v>
          </cell>
          <cell r="AD613">
            <v>80</v>
          </cell>
          <cell r="AE613">
            <v>1060</v>
          </cell>
          <cell r="AF613">
            <v>940</v>
          </cell>
          <cell r="AG613">
            <v>120</v>
          </cell>
        </row>
        <row r="614">
          <cell r="C614">
            <v>41034125</v>
          </cell>
          <cell r="D614" t="str">
            <v>Shri Sai Balaji Petroleum</v>
          </cell>
          <cell r="E614" t="str">
            <v>HPCL</v>
          </cell>
          <cell r="F614" t="str">
            <v>2022-23</v>
          </cell>
          <cell r="G614" t="str">
            <v>Shirdi RSA</v>
          </cell>
          <cell r="J614" t="str">
            <v>GHARGAON Nashik-Pune LHS</v>
          </cell>
          <cell r="K614" t="str">
            <v>Ahmednagar</v>
          </cell>
          <cell r="L614" t="str">
            <v>D1</v>
          </cell>
          <cell r="M614" t="str">
            <v>NH-60</v>
          </cell>
          <cell r="O614" t="str">
            <v>B</v>
          </cell>
          <cell r="P614">
            <v>50</v>
          </cell>
          <cell r="Q614">
            <v>58</v>
          </cell>
          <cell r="R614">
            <v>73</v>
          </cell>
          <cell r="S614">
            <v>85</v>
          </cell>
          <cell r="T614">
            <v>-23</v>
          </cell>
          <cell r="U614">
            <v>-27</v>
          </cell>
          <cell r="V614">
            <v>98</v>
          </cell>
          <cell r="W614">
            <v>124</v>
          </cell>
          <cell r="X614">
            <v>155.5</v>
          </cell>
          <cell r="Y614">
            <v>192.5</v>
          </cell>
          <cell r="Z614">
            <v>-57.5</v>
          </cell>
          <cell r="AA614">
            <v>-68.5</v>
          </cell>
          <cell r="AB614">
            <v>108</v>
          </cell>
          <cell r="AC614">
            <v>158</v>
          </cell>
          <cell r="AD614">
            <v>-50</v>
          </cell>
          <cell r="AE614">
            <v>222</v>
          </cell>
          <cell r="AF614">
            <v>348</v>
          </cell>
          <cell r="AG614">
            <v>-126</v>
          </cell>
        </row>
        <row r="615">
          <cell r="C615">
            <v>41034128</v>
          </cell>
          <cell r="D615" t="str">
            <v>APMC Sangamner</v>
          </cell>
          <cell r="E615" t="str">
            <v>HPCL</v>
          </cell>
          <cell r="F615" t="str">
            <v>2022-23</v>
          </cell>
          <cell r="G615" t="str">
            <v>Shirdi RSA</v>
          </cell>
          <cell r="J615" t="str">
            <v>SANGAMNER - GOLIBAR</v>
          </cell>
          <cell r="K615" t="str">
            <v>Ahmednagar</v>
          </cell>
          <cell r="L615" t="str">
            <v>C</v>
          </cell>
          <cell r="O615" t="str">
            <v>B</v>
          </cell>
          <cell r="P615">
            <v>73</v>
          </cell>
          <cell r="Q615">
            <v>107</v>
          </cell>
          <cell r="R615">
            <v>70</v>
          </cell>
          <cell r="S615">
            <v>90</v>
          </cell>
          <cell r="T615">
            <v>3</v>
          </cell>
          <cell r="U615">
            <v>17</v>
          </cell>
          <cell r="V615">
            <v>143</v>
          </cell>
          <cell r="W615">
            <v>211</v>
          </cell>
          <cell r="X615">
            <v>142</v>
          </cell>
          <cell r="Y615">
            <v>150</v>
          </cell>
          <cell r="Z615">
            <v>1</v>
          </cell>
          <cell r="AA615">
            <v>61</v>
          </cell>
          <cell r="AB615">
            <v>180</v>
          </cell>
          <cell r="AC615">
            <v>160</v>
          </cell>
          <cell r="AD615">
            <v>20</v>
          </cell>
          <cell r="AE615">
            <v>354</v>
          </cell>
          <cell r="AF615">
            <v>292</v>
          </cell>
          <cell r="AG615">
            <v>62</v>
          </cell>
        </row>
        <row r="616">
          <cell r="C616">
            <v>41034420</v>
          </cell>
          <cell r="D616" t="str">
            <v>SEETAI PETROLEUM</v>
          </cell>
          <cell r="E616" t="str">
            <v>HPCL</v>
          </cell>
          <cell r="F616" t="str">
            <v>2022-23</v>
          </cell>
          <cell r="G616" t="str">
            <v>Pune City RSA</v>
          </cell>
          <cell r="J616" t="str">
            <v>MUNDHWA/GHORPADI</v>
          </cell>
          <cell r="K616" t="str">
            <v>Pune</v>
          </cell>
          <cell r="L616" t="str">
            <v>A</v>
          </cell>
          <cell r="O616" t="str">
            <v>B</v>
          </cell>
          <cell r="P616">
            <v>220</v>
          </cell>
          <cell r="Q616">
            <v>110</v>
          </cell>
          <cell r="R616">
            <v>169</v>
          </cell>
          <cell r="S616">
            <v>95</v>
          </cell>
          <cell r="T616">
            <v>51</v>
          </cell>
          <cell r="U616">
            <v>15</v>
          </cell>
          <cell r="V616">
            <v>411</v>
          </cell>
          <cell r="W616">
            <v>205</v>
          </cell>
          <cell r="X616">
            <v>370</v>
          </cell>
          <cell r="Y616">
            <v>180</v>
          </cell>
          <cell r="Z616">
            <v>41</v>
          </cell>
          <cell r="AA616">
            <v>25</v>
          </cell>
          <cell r="AB616">
            <v>330</v>
          </cell>
          <cell r="AC616">
            <v>264</v>
          </cell>
          <cell r="AD616">
            <v>66</v>
          </cell>
          <cell r="AE616">
            <v>616</v>
          </cell>
          <cell r="AF616">
            <v>550</v>
          </cell>
          <cell r="AG616">
            <v>66</v>
          </cell>
        </row>
        <row r="617">
          <cell r="C617">
            <v>41034423</v>
          </cell>
          <cell r="D617" t="str">
            <v>ADITYA PETROLEUM</v>
          </cell>
          <cell r="E617" t="str">
            <v>HPCL</v>
          </cell>
          <cell r="F617" t="str">
            <v>2023-24</v>
          </cell>
          <cell r="G617" t="str">
            <v>Pimpri Chinchwad RSA</v>
          </cell>
          <cell r="J617" t="str">
            <v>Talegaon MIDC</v>
          </cell>
          <cell r="K617" t="str">
            <v>Pune</v>
          </cell>
          <cell r="L617" t="str">
            <v>C</v>
          </cell>
          <cell r="O617" t="str">
            <v>A</v>
          </cell>
          <cell r="P617">
            <v>30</v>
          </cell>
          <cell r="Q617">
            <v>118</v>
          </cell>
          <cell r="R617">
            <v>32</v>
          </cell>
          <cell r="S617">
            <v>108</v>
          </cell>
          <cell r="T617">
            <v>-2</v>
          </cell>
          <cell r="U617">
            <v>10</v>
          </cell>
          <cell r="V617">
            <v>61</v>
          </cell>
          <cell r="W617">
            <v>213</v>
          </cell>
          <cell r="X617">
            <v>81</v>
          </cell>
          <cell r="Y617">
            <v>251</v>
          </cell>
          <cell r="Z617">
            <v>-20</v>
          </cell>
          <cell r="AA617">
            <v>-38</v>
          </cell>
          <cell r="AB617">
            <v>148</v>
          </cell>
          <cell r="AC617">
            <v>140</v>
          </cell>
          <cell r="AD617">
            <v>8</v>
          </cell>
          <cell r="AE617">
            <v>274</v>
          </cell>
          <cell r="AF617">
            <v>332</v>
          </cell>
          <cell r="AG617">
            <v>-58</v>
          </cell>
        </row>
        <row r="618">
          <cell r="C618">
            <v>41034426</v>
          </cell>
          <cell r="D618" t="str">
            <v>APMC UNDEWADI</v>
          </cell>
          <cell r="E618" t="str">
            <v>HPCL</v>
          </cell>
          <cell r="F618" t="str">
            <v>2022-23</v>
          </cell>
          <cell r="G618" t="str">
            <v>Pune Tathawade RSA</v>
          </cell>
          <cell r="J618" t="str">
            <v>BARAMATI PATAS ROAD</v>
          </cell>
          <cell r="K618" t="str">
            <v>Pune</v>
          </cell>
          <cell r="L618" t="str">
            <v>D1</v>
          </cell>
          <cell r="M618" t="str">
            <v>NH-160</v>
          </cell>
          <cell r="O618" t="str">
            <v>B</v>
          </cell>
          <cell r="P618">
            <v>38</v>
          </cell>
          <cell r="Q618">
            <v>116</v>
          </cell>
          <cell r="R618">
            <v>34</v>
          </cell>
          <cell r="S618">
            <v>76</v>
          </cell>
          <cell r="T618">
            <v>4</v>
          </cell>
          <cell r="U618">
            <v>40</v>
          </cell>
          <cell r="V618">
            <v>67</v>
          </cell>
          <cell r="W618">
            <v>175</v>
          </cell>
          <cell r="X618">
            <v>60</v>
          </cell>
          <cell r="Y618">
            <v>138</v>
          </cell>
          <cell r="Z618">
            <v>7</v>
          </cell>
          <cell r="AA618">
            <v>37</v>
          </cell>
          <cell r="AB618">
            <v>154</v>
          </cell>
          <cell r="AC618">
            <v>110</v>
          </cell>
          <cell r="AD618">
            <v>44</v>
          </cell>
          <cell r="AE618">
            <v>242</v>
          </cell>
          <cell r="AF618">
            <v>198</v>
          </cell>
          <cell r="AG618">
            <v>44</v>
          </cell>
        </row>
        <row r="619">
          <cell r="C619">
            <v>41034429</v>
          </cell>
          <cell r="D619" t="str">
            <v>DDD KHWAHISH FUELS LLP</v>
          </cell>
          <cell r="E619" t="str">
            <v>HPCL</v>
          </cell>
          <cell r="G619" t="str">
            <v>Pune City RSA</v>
          </cell>
          <cell r="J619" t="str">
            <v>DDD</v>
          </cell>
          <cell r="K619" t="str">
            <v>Pune</v>
          </cell>
          <cell r="L619" t="str">
            <v>D1</v>
          </cell>
          <cell r="M619" t="str">
            <v>NH-753F</v>
          </cell>
          <cell r="O619" t="str">
            <v>B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12</v>
          </cell>
          <cell r="Z619">
            <v>0</v>
          </cell>
          <cell r="AA619">
            <v>-12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12</v>
          </cell>
          <cell r="AG619">
            <v>-12</v>
          </cell>
        </row>
        <row r="620">
          <cell r="C620">
            <v>41034431</v>
          </cell>
          <cell r="D620" t="str">
            <v>PADMANABH PETROLEUM</v>
          </cell>
          <cell r="E620" t="str">
            <v>HPCL</v>
          </cell>
          <cell r="F620" t="str">
            <v>2023-24</v>
          </cell>
          <cell r="G620" t="str">
            <v>Pimpri Chinchwad RSA</v>
          </cell>
          <cell r="J620" t="str">
            <v>Kharabwadi</v>
          </cell>
          <cell r="K620" t="str">
            <v>Pune</v>
          </cell>
          <cell r="L620" t="str">
            <v>D1</v>
          </cell>
          <cell r="M620" t="str">
            <v>NH-548D</v>
          </cell>
          <cell r="O620" t="str">
            <v>B</v>
          </cell>
          <cell r="P620">
            <v>54</v>
          </cell>
          <cell r="Q620">
            <v>176</v>
          </cell>
          <cell r="R620">
            <v>34</v>
          </cell>
          <cell r="S620">
            <v>80</v>
          </cell>
          <cell r="T620">
            <v>20</v>
          </cell>
          <cell r="U620">
            <v>96</v>
          </cell>
          <cell r="V620">
            <v>101</v>
          </cell>
          <cell r="W620">
            <v>333</v>
          </cell>
          <cell r="X620">
            <v>70</v>
          </cell>
          <cell r="Y620">
            <v>162</v>
          </cell>
          <cell r="Z620">
            <v>31</v>
          </cell>
          <cell r="AA620">
            <v>171</v>
          </cell>
          <cell r="AB620">
            <v>230</v>
          </cell>
          <cell r="AC620">
            <v>114</v>
          </cell>
          <cell r="AD620">
            <v>116</v>
          </cell>
          <cell r="AE620">
            <v>434</v>
          </cell>
          <cell r="AF620">
            <v>232</v>
          </cell>
          <cell r="AG620">
            <v>202</v>
          </cell>
        </row>
        <row r="621">
          <cell r="C621">
            <v>41034434</v>
          </cell>
          <cell r="D621" t="str">
            <v>HP AUTO CARE, LONAVLA</v>
          </cell>
          <cell r="E621" t="str">
            <v>HPCL</v>
          </cell>
          <cell r="G621" t="str">
            <v>Pune Tathawade RSA</v>
          </cell>
          <cell r="J621" t="str">
            <v>Lonavala</v>
          </cell>
          <cell r="K621" t="str">
            <v>Pune</v>
          </cell>
          <cell r="L621" t="str">
            <v>D1</v>
          </cell>
          <cell r="M621" t="str">
            <v>NH-48</v>
          </cell>
          <cell r="O621" t="str">
            <v>A</v>
          </cell>
          <cell r="P621">
            <v>188</v>
          </cell>
          <cell r="Q621">
            <v>304</v>
          </cell>
          <cell r="R621">
            <v>247</v>
          </cell>
          <cell r="S621">
            <v>373</v>
          </cell>
          <cell r="T621">
            <v>-59</v>
          </cell>
          <cell r="U621">
            <v>-69</v>
          </cell>
          <cell r="V621">
            <v>371</v>
          </cell>
          <cell r="W621">
            <v>585</v>
          </cell>
          <cell r="X621">
            <v>456</v>
          </cell>
          <cell r="Y621">
            <v>700</v>
          </cell>
          <cell r="Z621">
            <v>-85</v>
          </cell>
          <cell r="AA621">
            <v>-115</v>
          </cell>
          <cell r="AB621">
            <v>492</v>
          </cell>
          <cell r="AC621">
            <v>620</v>
          </cell>
          <cell r="AD621">
            <v>-128</v>
          </cell>
          <cell r="AE621">
            <v>956</v>
          </cell>
          <cell r="AF621">
            <v>1156</v>
          </cell>
          <cell r="AG621">
            <v>-200</v>
          </cell>
        </row>
        <row r="622">
          <cell r="C622">
            <v>41034685</v>
          </cell>
          <cell r="D622" t="str">
            <v>Gururaj Petroleum</v>
          </cell>
          <cell r="E622" t="str">
            <v>HPCL</v>
          </cell>
          <cell r="F622" t="str">
            <v>2022-23</v>
          </cell>
          <cell r="G622" t="str">
            <v>Shirdi RSA</v>
          </cell>
          <cell r="J622" t="str">
            <v>DAHIGAON BOLKA</v>
          </cell>
          <cell r="K622" t="str">
            <v>Ahmednagar</v>
          </cell>
          <cell r="L622" t="str">
            <v>D1</v>
          </cell>
          <cell r="M622" t="str">
            <v>NH-752I</v>
          </cell>
          <cell r="O622" t="str">
            <v>A</v>
          </cell>
          <cell r="P622">
            <v>28</v>
          </cell>
          <cell r="Q622">
            <v>80</v>
          </cell>
          <cell r="R622">
            <v>24</v>
          </cell>
          <cell r="S622">
            <v>72</v>
          </cell>
          <cell r="T622">
            <v>4</v>
          </cell>
          <cell r="U622">
            <v>8</v>
          </cell>
          <cell r="V622">
            <v>45</v>
          </cell>
          <cell r="W622">
            <v>123</v>
          </cell>
          <cell r="X622">
            <v>45</v>
          </cell>
          <cell r="Y622">
            <v>135</v>
          </cell>
          <cell r="Z622">
            <v>0</v>
          </cell>
          <cell r="AA622">
            <v>-12</v>
          </cell>
          <cell r="AB622">
            <v>108</v>
          </cell>
          <cell r="AC622">
            <v>96</v>
          </cell>
          <cell r="AD622">
            <v>12</v>
          </cell>
          <cell r="AE622">
            <v>168</v>
          </cell>
          <cell r="AF622">
            <v>180</v>
          </cell>
          <cell r="AG622">
            <v>-12</v>
          </cell>
        </row>
        <row r="623">
          <cell r="C623">
            <v>41034706</v>
          </cell>
          <cell r="D623" t="str">
            <v>KRISHNAANJAINATH PETROLEUM</v>
          </cell>
          <cell r="E623" t="str">
            <v>HPCL</v>
          </cell>
          <cell r="F623" t="str">
            <v>2022-23</v>
          </cell>
          <cell r="G623" t="str">
            <v>Ahmednagar West RSA</v>
          </cell>
          <cell r="J623" t="str">
            <v>Vadzire</v>
          </cell>
          <cell r="K623" t="str">
            <v>Ahmednagar</v>
          </cell>
          <cell r="L623" t="str">
            <v>D2</v>
          </cell>
          <cell r="O623" t="str">
            <v>A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</row>
        <row r="624">
          <cell r="C624">
            <v>41035612</v>
          </cell>
          <cell r="D624" t="str">
            <v>CHANDRAMOULI PETROLEUM</v>
          </cell>
          <cell r="E624" t="str">
            <v>HPCL</v>
          </cell>
          <cell r="F624" t="str">
            <v>2022-23</v>
          </cell>
          <cell r="G624" t="str">
            <v>Satara West RSA</v>
          </cell>
          <cell r="J624" t="str">
            <v>CHAREGAON</v>
          </cell>
          <cell r="K624" t="str">
            <v>Satara</v>
          </cell>
          <cell r="L624" t="str">
            <v>D2</v>
          </cell>
          <cell r="O624" t="str">
            <v>A</v>
          </cell>
          <cell r="P624">
            <v>0</v>
          </cell>
          <cell r="Q624">
            <v>0</v>
          </cell>
          <cell r="R624">
            <v>31.5</v>
          </cell>
          <cell r="S624">
            <v>38.5</v>
          </cell>
          <cell r="T624">
            <v>-31.5</v>
          </cell>
          <cell r="U624">
            <v>-38.5</v>
          </cell>
          <cell r="V624">
            <v>7</v>
          </cell>
          <cell r="W624">
            <v>7</v>
          </cell>
          <cell r="X624">
            <v>59.5</v>
          </cell>
          <cell r="Y624">
            <v>80.5</v>
          </cell>
          <cell r="Z624">
            <v>-52.5</v>
          </cell>
          <cell r="AA624">
            <v>-73.5</v>
          </cell>
          <cell r="AB624">
            <v>0</v>
          </cell>
          <cell r="AC624">
            <v>70</v>
          </cell>
          <cell r="AD624">
            <v>-70</v>
          </cell>
          <cell r="AE624">
            <v>14</v>
          </cell>
          <cell r="AF624">
            <v>140</v>
          </cell>
          <cell r="AG624">
            <v>-126</v>
          </cell>
        </row>
        <row r="625">
          <cell r="C625">
            <v>41035615</v>
          </cell>
          <cell r="D625" t="str">
            <v>RAJGAD PETROLEUM POWER STATION</v>
          </cell>
          <cell r="E625" t="str">
            <v>HPCL</v>
          </cell>
          <cell r="F625" t="str">
            <v>2022-23</v>
          </cell>
          <cell r="G625" t="str">
            <v>Pune Tathawade RSA</v>
          </cell>
          <cell r="J625" t="str">
            <v>HARISHCHANDRI TO KHED SHIVAPUR</v>
          </cell>
          <cell r="K625" t="str">
            <v>Pune</v>
          </cell>
          <cell r="L625" t="str">
            <v>D1</v>
          </cell>
          <cell r="M625" t="str">
            <v>NH-48</v>
          </cell>
          <cell r="O625" t="str">
            <v>B</v>
          </cell>
          <cell r="P625">
            <v>51</v>
          </cell>
          <cell r="Q625">
            <v>191</v>
          </cell>
          <cell r="R625">
            <v>46</v>
          </cell>
          <cell r="S625">
            <v>174</v>
          </cell>
          <cell r="T625">
            <v>5</v>
          </cell>
          <cell r="U625">
            <v>17</v>
          </cell>
          <cell r="V625">
            <v>92</v>
          </cell>
          <cell r="W625">
            <v>348</v>
          </cell>
          <cell r="X625">
            <v>74</v>
          </cell>
          <cell r="Y625">
            <v>302</v>
          </cell>
          <cell r="Z625">
            <v>18</v>
          </cell>
          <cell r="AA625">
            <v>46</v>
          </cell>
          <cell r="AB625">
            <v>242</v>
          </cell>
          <cell r="AC625">
            <v>220</v>
          </cell>
          <cell r="AD625">
            <v>22</v>
          </cell>
          <cell r="AE625">
            <v>440</v>
          </cell>
          <cell r="AF625">
            <v>376</v>
          </cell>
          <cell r="AG625">
            <v>64</v>
          </cell>
        </row>
        <row r="626">
          <cell r="C626">
            <v>41035776</v>
          </cell>
          <cell r="D626" t="str">
            <v>KM Petroleum</v>
          </cell>
          <cell r="E626" t="str">
            <v>HPCL</v>
          </cell>
          <cell r="F626" t="str">
            <v>2023-24</v>
          </cell>
          <cell r="G626" t="str">
            <v>Satara East RSA</v>
          </cell>
          <cell r="J626" t="str">
            <v>PADAL</v>
          </cell>
          <cell r="K626" t="str">
            <v>Satara</v>
          </cell>
          <cell r="L626" t="str">
            <v>D2</v>
          </cell>
          <cell r="O626" t="str">
            <v>B</v>
          </cell>
          <cell r="P626">
            <v>19</v>
          </cell>
          <cell r="Q626">
            <v>51</v>
          </cell>
          <cell r="R626">
            <v>24</v>
          </cell>
          <cell r="S626">
            <v>32</v>
          </cell>
          <cell r="T626">
            <v>-5</v>
          </cell>
          <cell r="U626">
            <v>19</v>
          </cell>
          <cell r="V626">
            <v>39</v>
          </cell>
          <cell r="W626">
            <v>101</v>
          </cell>
          <cell r="X626">
            <v>36</v>
          </cell>
          <cell r="Y626">
            <v>62</v>
          </cell>
          <cell r="Z626">
            <v>3</v>
          </cell>
          <cell r="AA626">
            <v>39</v>
          </cell>
          <cell r="AB626">
            <v>70</v>
          </cell>
          <cell r="AC626">
            <v>56</v>
          </cell>
          <cell r="AD626">
            <v>14</v>
          </cell>
          <cell r="AE626">
            <v>140</v>
          </cell>
          <cell r="AF626">
            <v>98</v>
          </cell>
          <cell r="AG626">
            <v>42</v>
          </cell>
        </row>
        <row r="627">
          <cell r="C627">
            <v>41035778</v>
          </cell>
          <cell r="D627" t="str">
            <v>SHRI SWAMI SAMARTH PETROLEUM</v>
          </cell>
          <cell r="E627" t="str">
            <v>HPCL</v>
          </cell>
          <cell r="F627" t="str">
            <v>2022-23</v>
          </cell>
          <cell r="G627" t="str">
            <v>Satara West RSA</v>
          </cell>
          <cell r="J627" t="str">
            <v>Bhuinj Rural</v>
          </cell>
          <cell r="K627" t="str">
            <v>Satara</v>
          </cell>
          <cell r="L627" t="str">
            <v>E</v>
          </cell>
          <cell r="O627" t="str">
            <v>B</v>
          </cell>
          <cell r="P627">
            <v>67</v>
          </cell>
          <cell r="Q627">
            <v>121</v>
          </cell>
          <cell r="R627">
            <v>51</v>
          </cell>
          <cell r="S627">
            <v>69</v>
          </cell>
          <cell r="T627">
            <v>16</v>
          </cell>
          <cell r="U627">
            <v>52</v>
          </cell>
          <cell r="V627">
            <v>115</v>
          </cell>
          <cell r="W627">
            <v>233</v>
          </cell>
          <cell r="X627">
            <v>105</v>
          </cell>
          <cell r="Y627">
            <v>175</v>
          </cell>
          <cell r="Z627">
            <v>10</v>
          </cell>
          <cell r="AA627">
            <v>58</v>
          </cell>
          <cell r="AB627">
            <v>188</v>
          </cell>
          <cell r="AC627">
            <v>120</v>
          </cell>
          <cell r="AD627">
            <v>68</v>
          </cell>
          <cell r="AE627">
            <v>348</v>
          </cell>
          <cell r="AF627">
            <v>280</v>
          </cell>
          <cell r="AG627">
            <v>68</v>
          </cell>
        </row>
        <row r="628">
          <cell r="C628">
            <v>41036407</v>
          </cell>
          <cell r="D628" t="str">
            <v>ACIA PETROLEUM</v>
          </cell>
          <cell r="E628" t="str">
            <v>HPCL</v>
          </cell>
          <cell r="F628" t="str">
            <v>2022-23</v>
          </cell>
          <cell r="G628" t="str">
            <v>Pune Tathawade RSA</v>
          </cell>
          <cell r="J628" t="str">
            <v>Gulunche</v>
          </cell>
          <cell r="K628" t="str">
            <v>Pune</v>
          </cell>
          <cell r="L628" t="str">
            <v>D1</v>
          </cell>
          <cell r="M628" t="str">
            <v>NH-965D</v>
          </cell>
          <cell r="O628" t="str">
            <v>B</v>
          </cell>
          <cell r="P628">
            <v>19</v>
          </cell>
          <cell r="Q628">
            <v>117</v>
          </cell>
          <cell r="R628">
            <v>20</v>
          </cell>
          <cell r="S628">
            <v>94</v>
          </cell>
          <cell r="T628">
            <v>-1</v>
          </cell>
          <cell r="U628">
            <v>23</v>
          </cell>
          <cell r="V628">
            <v>36</v>
          </cell>
          <cell r="W628">
            <v>208</v>
          </cell>
          <cell r="X628">
            <v>32</v>
          </cell>
          <cell r="Y628">
            <v>168</v>
          </cell>
          <cell r="Z628">
            <v>4</v>
          </cell>
          <cell r="AA628">
            <v>40</v>
          </cell>
          <cell r="AB628">
            <v>136</v>
          </cell>
          <cell r="AC628">
            <v>114</v>
          </cell>
          <cell r="AD628">
            <v>22</v>
          </cell>
          <cell r="AE628">
            <v>244</v>
          </cell>
          <cell r="AF628">
            <v>200</v>
          </cell>
          <cell r="AG628">
            <v>44</v>
          </cell>
        </row>
        <row r="629">
          <cell r="C629">
            <v>41036715</v>
          </cell>
          <cell r="D629" t="str">
            <v>DESHPANDE'S PETROLEUM</v>
          </cell>
          <cell r="E629" t="str">
            <v>HPCL</v>
          </cell>
          <cell r="F629" t="str">
            <v>2022-23</v>
          </cell>
          <cell r="G629" t="str">
            <v>Satara West RSA</v>
          </cell>
          <cell r="J629" t="str">
            <v>Karad City</v>
          </cell>
          <cell r="K629" t="str">
            <v>Satara</v>
          </cell>
          <cell r="L629" t="str">
            <v>C</v>
          </cell>
          <cell r="O629" t="str">
            <v>B</v>
          </cell>
          <cell r="P629">
            <v>69</v>
          </cell>
          <cell r="Q629">
            <v>57</v>
          </cell>
          <cell r="R629">
            <v>75</v>
          </cell>
          <cell r="S629">
            <v>65</v>
          </cell>
          <cell r="T629">
            <v>-6</v>
          </cell>
          <cell r="U629">
            <v>-8</v>
          </cell>
          <cell r="V629">
            <v>143</v>
          </cell>
          <cell r="W629">
            <v>109</v>
          </cell>
          <cell r="X629">
            <v>149</v>
          </cell>
          <cell r="Y629">
            <v>131</v>
          </cell>
          <cell r="Z629">
            <v>-6</v>
          </cell>
          <cell r="AA629">
            <v>-22</v>
          </cell>
          <cell r="AB629">
            <v>126</v>
          </cell>
          <cell r="AC629">
            <v>140</v>
          </cell>
          <cell r="AD629">
            <v>-14</v>
          </cell>
          <cell r="AE629">
            <v>252</v>
          </cell>
          <cell r="AF629">
            <v>280</v>
          </cell>
          <cell r="AG629">
            <v>-28</v>
          </cell>
        </row>
        <row r="630">
          <cell r="C630">
            <v>41036720</v>
          </cell>
          <cell r="D630" t="str">
            <v>KRISHDEV PETROLEUM BHADLI</v>
          </cell>
          <cell r="E630" t="str">
            <v>HPCL</v>
          </cell>
          <cell r="F630" t="str">
            <v>2022-23</v>
          </cell>
          <cell r="G630" t="str">
            <v>Satara East RSA</v>
          </cell>
          <cell r="J630" t="str">
            <v>Phalton Dahiwadi road</v>
          </cell>
          <cell r="K630" t="str">
            <v>Satara</v>
          </cell>
          <cell r="L630" t="str">
            <v>D1</v>
          </cell>
          <cell r="M630" t="str">
            <v>NH-160</v>
          </cell>
          <cell r="O630" t="str">
            <v>B</v>
          </cell>
          <cell r="P630">
            <v>16</v>
          </cell>
          <cell r="Q630">
            <v>20</v>
          </cell>
          <cell r="R630">
            <v>23</v>
          </cell>
          <cell r="S630">
            <v>27</v>
          </cell>
          <cell r="T630">
            <v>-7</v>
          </cell>
          <cell r="U630">
            <v>-7</v>
          </cell>
          <cell r="V630">
            <v>22</v>
          </cell>
          <cell r="W630">
            <v>26</v>
          </cell>
          <cell r="X630">
            <v>41</v>
          </cell>
          <cell r="Y630">
            <v>47</v>
          </cell>
          <cell r="Z630">
            <v>-19</v>
          </cell>
          <cell r="AA630">
            <v>-21</v>
          </cell>
          <cell r="AB630">
            <v>36</v>
          </cell>
          <cell r="AC630">
            <v>50</v>
          </cell>
          <cell r="AD630">
            <v>-14</v>
          </cell>
          <cell r="AE630">
            <v>48</v>
          </cell>
          <cell r="AF630">
            <v>88</v>
          </cell>
          <cell r="AG630">
            <v>-40</v>
          </cell>
        </row>
        <row r="631">
          <cell r="C631">
            <v>41049469</v>
          </cell>
          <cell r="D631" t="str">
            <v>ADHOC BALAJI AUTOMOBILES (ADHOC SARAI PETROLEUM-41036728)</v>
          </cell>
          <cell r="E631" t="str">
            <v>HPCL</v>
          </cell>
          <cell r="F631" t="str">
            <v>2013-14</v>
          </cell>
          <cell r="G631" t="str">
            <v>Satara East RSA</v>
          </cell>
          <cell r="J631" t="str">
            <v>MAYANI</v>
          </cell>
          <cell r="K631" t="str">
            <v>Satara</v>
          </cell>
          <cell r="L631" t="str">
            <v>D1</v>
          </cell>
          <cell r="M631" t="str">
            <v>NH-160</v>
          </cell>
          <cell r="O631" t="str">
            <v>A</v>
          </cell>
          <cell r="P631">
            <v>37</v>
          </cell>
          <cell r="Q631">
            <v>53</v>
          </cell>
          <cell r="R631">
            <v>45</v>
          </cell>
          <cell r="S631">
            <v>55</v>
          </cell>
          <cell r="T631">
            <v>-8</v>
          </cell>
          <cell r="U631">
            <v>-2</v>
          </cell>
          <cell r="V631">
            <v>73</v>
          </cell>
          <cell r="W631">
            <v>101</v>
          </cell>
          <cell r="X631">
            <v>80</v>
          </cell>
          <cell r="Y631">
            <v>100</v>
          </cell>
          <cell r="Z631">
            <v>-7</v>
          </cell>
          <cell r="AA631">
            <v>1</v>
          </cell>
          <cell r="AB631">
            <v>90</v>
          </cell>
          <cell r="AC631">
            <v>100</v>
          </cell>
          <cell r="AD631">
            <v>-10</v>
          </cell>
          <cell r="AE631">
            <v>174</v>
          </cell>
          <cell r="AF631">
            <v>180</v>
          </cell>
          <cell r="AG631">
            <v>-6</v>
          </cell>
        </row>
        <row r="632">
          <cell r="C632">
            <v>41036732</v>
          </cell>
          <cell r="D632" t="str">
            <v>SHAKUNTALA PETROLEUM</v>
          </cell>
          <cell r="E632" t="str">
            <v>HPCL</v>
          </cell>
          <cell r="F632" t="str">
            <v>2022-23</v>
          </cell>
          <cell r="G632" t="str">
            <v>Satara East RSA</v>
          </cell>
          <cell r="J632" t="str">
            <v>Lonand Shirval Road</v>
          </cell>
          <cell r="K632" t="str">
            <v>Satara</v>
          </cell>
          <cell r="L632" t="str">
            <v>D1</v>
          </cell>
          <cell r="M632" t="str">
            <v>NH-965DD</v>
          </cell>
          <cell r="O632" t="str">
            <v>B</v>
          </cell>
          <cell r="P632">
            <v>27</v>
          </cell>
          <cell r="Q632">
            <v>177</v>
          </cell>
          <cell r="R632">
            <v>24</v>
          </cell>
          <cell r="S632">
            <v>60</v>
          </cell>
          <cell r="T632">
            <v>3</v>
          </cell>
          <cell r="U632">
            <v>117</v>
          </cell>
          <cell r="V632">
            <v>50</v>
          </cell>
          <cell r="W632">
            <v>334</v>
          </cell>
          <cell r="X632">
            <v>51</v>
          </cell>
          <cell r="Y632">
            <v>117</v>
          </cell>
          <cell r="Z632">
            <v>-1</v>
          </cell>
          <cell r="AA632">
            <v>217</v>
          </cell>
          <cell r="AB632">
            <v>204</v>
          </cell>
          <cell r="AC632">
            <v>84</v>
          </cell>
          <cell r="AD632">
            <v>120</v>
          </cell>
          <cell r="AE632">
            <v>384</v>
          </cell>
          <cell r="AF632">
            <v>168</v>
          </cell>
          <cell r="AG632">
            <v>216</v>
          </cell>
        </row>
        <row r="633">
          <cell r="C633">
            <v>41036785</v>
          </cell>
          <cell r="D633" t="str">
            <v xml:space="preserve">Gendalal &amp; Sons Petroleum   </v>
          </cell>
          <cell r="E633" t="str">
            <v>HPCL</v>
          </cell>
          <cell r="F633" t="str">
            <v>2022-23</v>
          </cell>
          <cell r="G633" t="str">
            <v>Ahmednagar West RSA</v>
          </cell>
          <cell r="J633" t="str">
            <v>Bhalawani</v>
          </cell>
          <cell r="K633" t="str">
            <v>Ahmednagar</v>
          </cell>
          <cell r="L633" t="str">
            <v>D1</v>
          </cell>
          <cell r="M633" t="str">
            <v>NH-61</v>
          </cell>
          <cell r="O633" t="str">
            <v>B</v>
          </cell>
          <cell r="P633">
            <v>44</v>
          </cell>
          <cell r="Q633">
            <v>194</v>
          </cell>
          <cell r="R633">
            <v>69</v>
          </cell>
          <cell r="S633">
            <v>169</v>
          </cell>
          <cell r="T633">
            <v>-25</v>
          </cell>
          <cell r="U633">
            <v>25</v>
          </cell>
          <cell r="V633">
            <v>82</v>
          </cell>
          <cell r="W633">
            <v>310</v>
          </cell>
          <cell r="X633">
            <v>125</v>
          </cell>
          <cell r="Y633">
            <v>309</v>
          </cell>
          <cell r="Z633">
            <v>-43</v>
          </cell>
          <cell r="AA633">
            <v>1</v>
          </cell>
          <cell r="AB633">
            <v>238</v>
          </cell>
          <cell r="AC633">
            <v>238</v>
          </cell>
          <cell r="AD633">
            <v>0</v>
          </cell>
          <cell r="AE633">
            <v>392</v>
          </cell>
          <cell r="AF633">
            <v>434</v>
          </cell>
          <cell r="AG633">
            <v>-42</v>
          </cell>
        </row>
        <row r="634">
          <cell r="C634">
            <v>41036792</v>
          </cell>
          <cell r="D634" t="str">
            <v xml:space="preserve"> SHRIRAM &amp; SONS PETROLEUM          </v>
          </cell>
          <cell r="E634" t="str">
            <v>HPCL</v>
          </cell>
          <cell r="F634" t="str">
            <v>2022-23</v>
          </cell>
          <cell r="G634" t="str">
            <v>Ahmednagar West RSA</v>
          </cell>
          <cell r="J634" t="str">
            <v>WALUNJ-BYPASS</v>
          </cell>
          <cell r="K634" t="str">
            <v>Ahmednagar</v>
          </cell>
          <cell r="L634" t="str">
            <v>D1</v>
          </cell>
          <cell r="M634" t="str">
            <v>NH-61</v>
          </cell>
          <cell r="O634" t="str">
            <v>B</v>
          </cell>
          <cell r="P634">
            <v>34</v>
          </cell>
          <cell r="Q634">
            <v>242</v>
          </cell>
          <cell r="R634">
            <v>29</v>
          </cell>
          <cell r="S634">
            <v>159</v>
          </cell>
          <cell r="T634">
            <v>5</v>
          </cell>
          <cell r="U634">
            <v>83</v>
          </cell>
          <cell r="V634">
            <v>64</v>
          </cell>
          <cell r="W634">
            <v>446</v>
          </cell>
          <cell r="X634">
            <v>52</v>
          </cell>
          <cell r="Y634">
            <v>280</v>
          </cell>
          <cell r="Z634">
            <v>12</v>
          </cell>
          <cell r="AA634">
            <v>166</v>
          </cell>
          <cell r="AB634">
            <v>276</v>
          </cell>
          <cell r="AC634">
            <v>188</v>
          </cell>
          <cell r="AD634">
            <v>88</v>
          </cell>
          <cell r="AE634">
            <v>510</v>
          </cell>
          <cell r="AF634">
            <v>332</v>
          </cell>
          <cell r="AG634">
            <v>178</v>
          </cell>
        </row>
        <row r="635">
          <cell r="C635">
            <v>41037559</v>
          </cell>
          <cell r="D635" t="str">
            <v>Phulkar Namdeo Petroleum</v>
          </cell>
          <cell r="E635" t="str">
            <v>HPCL</v>
          </cell>
          <cell r="F635" t="str">
            <v>2021-22</v>
          </cell>
          <cell r="G635" t="str">
            <v>Ahmednagar East RSA</v>
          </cell>
          <cell r="J635" t="str">
            <v>Newasa Budruk</v>
          </cell>
          <cell r="K635" t="str">
            <v>Ahmednagar</v>
          </cell>
          <cell r="L635" t="str">
            <v>D2</v>
          </cell>
          <cell r="O635" t="str">
            <v>A</v>
          </cell>
          <cell r="P635">
            <v>58</v>
          </cell>
          <cell r="Q635">
            <v>126</v>
          </cell>
          <cell r="R635">
            <v>65</v>
          </cell>
          <cell r="S635">
            <v>99</v>
          </cell>
          <cell r="T635">
            <v>-7</v>
          </cell>
          <cell r="U635">
            <v>27</v>
          </cell>
          <cell r="V635">
            <v>118</v>
          </cell>
          <cell r="W635">
            <v>242</v>
          </cell>
          <cell r="X635">
            <v>125</v>
          </cell>
          <cell r="Y635">
            <v>195</v>
          </cell>
          <cell r="Z635">
            <v>-7</v>
          </cell>
          <cell r="AA635">
            <v>47</v>
          </cell>
          <cell r="AB635">
            <v>184</v>
          </cell>
          <cell r="AC635">
            <v>164</v>
          </cell>
          <cell r="AD635">
            <v>20</v>
          </cell>
          <cell r="AE635">
            <v>360</v>
          </cell>
          <cell r="AF635">
            <v>320</v>
          </cell>
          <cell r="AG635">
            <v>40</v>
          </cell>
        </row>
        <row r="636">
          <cell r="C636">
            <v>41037560</v>
          </cell>
          <cell r="D636" t="str">
            <v>Shivmudra Petroleum</v>
          </cell>
          <cell r="E636" t="str">
            <v>HPCL</v>
          </cell>
          <cell r="F636" t="str">
            <v>2021-22</v>
          </cell>
          <cell r="G636" t="str">
            <v>Ahmednagar West RSA</v>
          </cell>
          <cell r="J636" t="str">
            <v>CHIKHALI</v>
          </cell>
          <cell r="K636" t="str">
            <v>Ahmednagar</v>
          </cell>
          <cell r="L636" t="str">
            <v>D1</v>
          </cell>
          <cell r="M636" t="str">
            <v>NH-160</v>
          </cell>
          <cell r="O636" t="str">
            <v>A</v>
          </cell>
          <cell r="P636">
            <v>45</v>
          </cell>
          <cell r="Q636">
            <v>315</v>
          </cell>
          <cell r="R636">
            <v>34</v>
          </cell>
          <cell r="S636">
            <v>190</v>
          </cell>
          <cell r="T636">
            <v>11</v>
          </cell>
          <cell r="U636">
            <v>125</v>
          </cell>
          <cell r="V636">
            <v>85</v>
          </cell>
          <cell r="W636">
            <v>523</v>
          </cell>
          <cell r="X636">
            <v>74</v>
          </cell>
          <cell r="Y636">
            <v>430</v>
          </cell>
          <cell r="Z636">
            <v>11</v>
          </cell>
          <cell r="AA636">
            <v>93</v>
          </cell>
          <cell r="AB636">
            <v>360</v>
          </cell>
          <cell r="AC636">
            <v>224</v>
          </cell>
          <cell r="AD636">
            <v>136</v>
          </cell>
          <cell r="AE636">
            <v>608</v>
          </cell>
          <cell r="AF636">
            <v>504</v>
          </cell>
          <cell r="AG636">
            <v>104</v>
          </cell>
        </row>
        <row r="637">
          <cell r="C637">
            <v>41037861</v>
          </cell>
          <cell r="D637" t="str">
            <v>Aakash Petroleum</v>
          </cell>
          <cell r="E637" t="str">
            <v>HPCL</v>
          </cell>
          <cell r="F637" t="str">
            <v>2022-23</v>
          </cell>
          <cell r="G637" t="str">
            <v>Shirdi RSA</v>
          </cell>
          <cell r="J637" t="str">
            <v>TANDULNER</v>
          </cell>
          <cell r="K637" t="str">
            <v>Ahmednagar</v>
          </cell>
          <cell r="L637" t="str">
            <v>E</v>
          </cell>
          <cell r="O637" t="str">
            <v>B</v>
          </cell>
          <cell r="P637">
            <v>13</v>
          </cell>
          <cell r="Q637">
            <v>23</v>
          </cell>
          <cell r="R637">
            <v>42</v>
          </cell>
          <cell r="S637">
            <v>66</v>
          </cell>
          <cell r="T637">
            <v>-29</v>
          </cell>
          <cell r="U637">
            <v>-43</v>
          </cell>
          <cell r="V637">
            <v>13</v>
          </cell>
          <cell r="W637">
            <v>23</v>
          </cell>
          <cell r="X637">
            <v>80</v>
          </cell>
          <cell r="Y637">
            <v>144</v>
          </cell>
          <cell r="Z637">
            <v>-67</v>
          </cell>
          <cell r="AA637">
            <v>-121</v>
          </cell>
          <cell r="AB637">
            <v>36</v>
          </cell>
          <cell r="AC637">
            <v>108</v>
          </cell>
          <cell r="AD637">
            <v>-72</v>
          </cell>
          <cell r="AE637">
            <v>36</v>
          </cell>
          <cell r="AF637">
            <v>224</v>
          </cell>
          <cell r="AG637">
            <v>-188</v>
          </cell>
        </row>
        <row r="638">
          <cell r="C638">
            <v>41038479</v>
          </cell>
          <cell r="D638" t="str">
            <v xml:space="preserve">SAIPOOJA PETROLEUM                </v>
          </cell>
          <cell r="E638" t="str">
            <v>HPCL</v>
          </cell>
          <cell r="F638" t="str">
            <v>2022-23</v>
          </cell>
          <cell r="G638" t="str">
            <v>Pune Wagholi RSA</v>
          </cell>
          <cell r="J638" t="str">
            <v>DHAYGUDEWADI</v>
          </cell>
          <cell r="K638" t="str">
            <v>Pune</v>
          </cell>
          <cell r="L638" t="str">
            <v>E</v>
          </cell>
          <cell r="O638" t="str">
            <v>B</v>
          </cell>
          <cell r="P638">
            <v>30</v>
          </cell>
          <cell r="Q638">
            <v>80</v>
          </cell>
          <cell r="R638">
            <v>26</v>
          </cell>
          <cell r="S638">
            <v>62</v>
          </cell>
          <cell r="T638">
            <v>4</v>
          </cell>
          <cell r="U638">
            <v>18</v>
          </cell>
          <cell r="V638">
            <v>48</v>
          </cell>
          <cell r="W638">
            <v>128</v>
          </cell>
          <cell r="X638">
            <v>48</v>
          </cell>
          <cell r="Y638">
            <v>128</v>
          </cell>
          <cell r="Z638">
            <v>0</v>
          </cell>
          <cell r="AA638">
            <v>0</v>
          </cell>
          <cell r="AB638">
            <v>110</v>
          </cell>
          <cell r="AC638">
            <v>88</v>
          </cell>
          <cell r="AD638">
            <v>22</v>
          </cell>
          <cell r="AE638">
            <v>176</v>
          </cell>
          <cell r="AF638">
            <v>176</v>
          </cell>
          <cell r="AG638">
            <v>0</v>
          </cell>
        </row>
        <row r="639">
          <cell r="C639">
            <v>41038487</v>
          </cell>
          <cell r="D639" t="str">
            <v>SARSHI PETROLEUM</v>
          </cell>
          <cell r="E639" t="str">
            <v>HPCL</v>
          </cell>
          <cell r="F639" t="str">
            <v>2022-23</v>
          </cell>
          <cell r="G639" t="str">
            <v>Pune City RSA</v>
          </cell>
          <cell r="J639" t="str">
            <v>BHUKUM</v>
          </cell>
          <cell r="K639" t="str">
            <v>Pune</v>
          </cell>
          <cell r="L639" t="str">
            <v>D1</v>
          </cell>
          <cell r="M639" t="str">
            <v>NH-753F</v>
          </cell>
          <cell r="O639" t="str">
            <v>B</v>
          </cell>
          <cell r="P639">
            <v>148</v>
          </cell>
          <cell r="Q639">
            <v>105</v>
          </cell>
          <cell r="R639">
            <v>140</v>
          </cell>
          <cell r="S639">
            <v>84</v>
          </cell>
          <cell r="T639">
            <v>8</v>
          </cell>
          <cell r="U639">
            <v>21</v>
          </cell>
          <cell r="V639">
            <v>211</v>
          </cell>
          <cell r="W639">
            <v>144</v>
          </cell>
          <cell r="X639">
            <v>274</v>
          </cell>
          <cell r="Y639">
            <v>162</v>
          </cell>
          <cell r="Z639">
            <v>-63</v>
          </cell>
          <cell r="AA639">
            <v>-18</v>
          </cell>
          <cell r="AB639">
            <v>253</v>
          </cell>
          <cell r="AC639">
            <v>224</v>
          </cell>
          <cell r="AD639">
            <v>29</v>
          </cell>
          <cell r="AE639">
            <v>355</v>
          </cell>
          <cell r="AF639">
            <v>436</v>
          </cell>
          <cell r="AG639">
            <v>-81</v>
          </cell>
        </row>
        <row r="640">
          <cell r="C640">
            <v>41038492</v>
          </cell>
          <cell r="D640" t="str">
            <v>SHREE GURUDATTA PETROLEUM</v>
          </cell>
          <cell r="E640" t="str">
            <v>HPCL</v>
          </cell>
          <cell r="F640" t="str">
            <v>2022-23</v>
          </cell>
          <cell r="G640" t="str">
            <v>Pune Saswad RSA</v>
          </cell>
          <cell r="J640" t="str">
            <v>Saswad-Narayanpur Road</v>
          </cell>
          <cell r="K640" t="str">
            <v>Pune</v>
          </cell>
          <cell r="L640" t="str">
            <v>D2</v>
          </cell>
          <cell r="O640" t="str">
            <v>B</v>
          </cell>
          <cell r="P640">
            <v>16</v>
          </cell>
          <cell r="Q640">
            <v>40</v>
          </cell>
          <cell r="R640">
            <v>21</v>
          </cell>
          <cell r="S640">
            <v>39</v>
          </cell>
          <cell r="T640">
            <v>-5</v>
          </cell>
          <cell r="U640">
            <v>1</v>
          </cell>
          <cell r="V640">
            <v>28</v>
          </cell>
          <cell r="W640">
            <v>80</v>
          </cell>
          <cell r="X640">
            <v>29</v>
          </cell>
          <cell r="Y640">
            <v>59</v>
          </cell>
          <cell r="Z640">
            <v>-1</v>
          </cell>
          <cell r="AA640">
            <v>21</v>
          </cell>
          <cell r="AB640">
            <v>56</v>
          </cell>
          <cell r="AC640">
            <v>60</v>
          </cell>
          <cell r="AD640">
            <v>-4</v>
          </cell>
          <cell r="AE640">
            <v>108</v>
          </cell>
          <cell r="AF640">
            <v>88</v>
          </cell>
          <cell r="AG640">
            <v>20</v>
          </cell>
        </row>
        <row r="641">
          <cell r="C641">
            <v>41038498</v>
          </cell>
          <cell r="D641" t="str">
            <v>SHARAYU PETROLEUM</v>
          </cell>
          <cell r="E641" t="str">
            <v>HPCL</v>
          </cell>
          <cell r="F641" t="str">
            <v>2022-23</v>
          </cell>
          <cell r="G641" t="str">
            <v>Pimpri Chinchwad RSA</v>
          </cell>
          <cell r="J641" t="str">
            <v>Talegaon MIDC</v>
          </cell>
          <cell r="K641" t="str">
            <v>Pune</v>
          </cell>
          <cell r="L641" t="str">
            <v>C</v>
          </cell>
          <cell r="O641" t="str">
            <v>A</v>
          </cell>
          <cell r="P641">
            <v>20</v>
          </cell>
          <cell r="Q641">
            <v>90</v>
          </cell>
          <cell r="R641">
            <v>12</v>
          </cell>
          <cell r="S641">
            <v>164</v>
          </cell>
          <cell r="T641">
            <v>8</v>
          </cell>
          <cell r="U641">
            <v>-74</v>
          </cell>
          <cell r="V641">
            <v>28</v>
          </cell>
          <cell r="W641">
            <v>126</v>
          </cell>
          <cell r="X641">
            <v>24</v>
          </cell>
          <cell r="Y641">
            <v>306</v>
          </cell>
          <cell r="Z641">
            <v>4</v>
          </cell>
          <cell r="AA641">
            <v>-180</v>
          </cell>
          <cell r="AB641">
            <v>110</v>
          </cell>
          <cell r="AC641">
            <v>176</v>
          </cell>
          <cell r="AD641">
            <v>-66</v>
          </cell>
          <cell r="AE641">
            <v>154</v>
          </cell>
          <cell r="AF641">
            <v>330</v>
          </cell>
          <cell r="AG641">
            <v>-176</v>
          </cell>
        </row>
        <row r="642">
          <cell r="C642">
            <v>41038618</v>
          </cell>
          <cell r="D642" t="str">
            <v>KRISHIDEV PETROLEUM SASKAL</v>
          </cell>
          <cell r="E642" t="str">
            <v>HPCL</v>
          </cell>
          <cell r="F642" t="str">
            <v>2022-23</v>
          </cell>
          <cell r="G642" t="str">
            <v>Satara East RSA</v>
          </cell>
          <cell r="J642" t="str">
            <v>SASKAL</v>
          </cell>
          <cell r="K642" t="str">
            <v>Satara</v>
          </cell>
          <cell r="L642" t="str">
            <v>E</v>
          </cell>
          <cell r="O642" t="str">
            <v>B</v>
          </cell>
          <cell r="P642">
            <v>18</v>
          </cell>
          <cell r="Q642">
            <v>18</v>
          </cell>
          <cell r="R642">
            <v>29</v>
          </cell>
          <cell r="S642">
            <v>23</v>
          </cell>
          <cell r="T642">
            <v>-11</v>
          </cell>
          <cell r="U642">
            <v>-5</v>
          </cell>
          <cell r="V642">
            <v>33</v>
          </cell>
          <cell r="W642">
            <v>27</v>
          </cell>
          <cell r="X642">
            <v>51</v>
          </cell>
          <cell r="Y642">
            <v>45</v>
          </cell>
          <cell r="Z642">
            <v>-18</v>
          </cell>
          <cell r="AA642">
            <v>-18</v>
          </cell>
          <cell r="AB642">
            <v>36</v>
          </cell>
          <cell r="AC642">
            <v>52</v>
          </cell>
          <cell r="AD642">
            <v>-16</v>
          </cell>
          <cell r="AE642">
            <v>60</v>
          </cell>
          <cell r="AF642">
            <v>96</v>
          </cell>
          <cell r="AG642">
            <v>-36</v>
          </cell>
        </row>
        <row r="643">
          <cell r="C643">
            <v>41038621</v>
          </cell>
          <cell r="D643" t="str">
            <v>SEVA PETROLEUM</v>
          </cell>
          <cell r="E643" t="str">
            <v>HPCL</v>
          </cell>
          <cell r="F643" t="str">
            <v>2022-23</v>
          </cell>
          <cell r="G643" t="str">
            <v>Pune Tathawade RSA</v>
          </cell>
          <cell r="J643" t="str">
            <v>Lonavala Jalvayu Marg</v>
          </cell>
          <cell r="K643" t="str">
            <v>Pune</v>
          </cell>
          <cell r="L643" t="str">
            <v>E</v>
          </cell>
          <cell r="O643" t="str">
            <v>B</v>
          </cell>
          <cell r="P643">
            <v>144</v>
          </cell>
          <cell r="Q643">
            <v>164</v>
          </cell>
          <cell r="R643">
            <v>154</v>
          </cell>
          <cell r="S643">
            <v>188</v>
          </cell>
          <cell r="T643">
            <v>-10</v>
          </cell>
          <cell r="U643">
            <v>-24</v>
          </cell>
          <cell r="V643">
            <v>294</v>
          </cell>
          <cell r="W643">
            <v>290</v>
          </cell>
          <cell r="X643">
            <v>294</v>
          </cell>
          <cell r="Y643">
            <v>352</v>
          </cell>
          <cell r="Z643">
            <v>0</v>
          </cell>
          <cell r="AA643">
            <v>-62</v>
          </cell>
          <cell r="AB643">
            <v>308</v>
          </cell>
          <cell r="AC643">
            <v>342</v>
          </cell>
          <cell r="AD643">
            <v>-34</v>
          </cell>
          <cell r="AE643">
            <v>584</v>
          </cell>
          <cell r="AF643">
            <v>646</v>
          </cell>
          <cell r="AG643">
            <v>-62</v>
          </cell>
        </row>
        <row r="644">
          <cell r="C644">
            <v>41038624</v>
          </cell>
          <cell r="D644" t="str">
            <v>MURHE PETROLEUM</v>
          </cell>
          <cell r="E644" t="str">
            <v>HPCL</v>
          </cell>
          <cell r="F644" t="str">
            <v>2023-24</v>
          </cell>
          <cell r="G644" t="str">
            <v>Pimpri Chinchwad RSA</v>
          </cell>
          <cell r="J644" t="str">
            <v>CHAKAN NH-60 LHS</v>
          </cell>
          <cell r="K644" t="str">
            <v>Pune</v>
          </cell>
          <cell r="L644" t="str">
            <v>D1</v>
          </cell>
          <cell r="M644" t="str">
            <v>NH-60</v>
          </cell>
          <cell r="O644" t="str">
            <v>A</v>
          </cell>
          <cell r="P644">
            <v>157</v>
          </cell>
          <cell r="Q644">
            <v>701</v>
          </cell>
          <cell r="R644">
            <v>125</v>
          </cell>
          <cell r="S644">
            <v>489</v>
          </cell>
          <cell r="T644">
            <v>32</v>
          </cell>
          <cell r="U644">
            <v>212</v>
          </cell>
          <cell r="V644">
            <v>266</v>
          </cell>
          <cell r="W644">
            <v>1310</v>
          </cell>
          <cell r="X644">
            <v>250</v>
          </cell>
          <cell r="Y644">
            <v>934</v>
          </cell>
          <cell r="Z644">
            <v>16</v>
          </cell>
          <cell r="AA644">
            <v>376</v>
          </cell>
          <cell r="AB644">
            <v>858</v>
          </cell>
          <cell r="AC644">
            <v>614</v>
          </cell>
          <cell r="AD644">
            <v>244</v>
          </cell>
          <cell r="AE644">
            <v>1576</v>
          </cell>
          <cell r="AF644">
            <v>1184</v>
          </cell>
          <cell r="AG644">
            <v>392</v>
          </cell>
        </row>
        <row r="645">
          <cell r="C645">
            <v>41038820</v>
          </cell>
          <cell r="D645" t="str">
            <v>Ovikiran Petroleum</v>
          </cell>
          <cell r="E645" t="str">
            <v>HPCL</v>
          </cell>
          <cell r="F645" t="str">
            <v>2021-22</v>
          </cell>
          <cell r="G645" t="str">
            <v>Ahmednagar East RSA</v>
          </cell>
          <cell r="J645" t="str">
            <v>Ghotan</v>
          </cell>
          <cell r="K645" t="str">
            <v>Ahmednagar</v>
          </cell>
          <cell r="L645" t="str">
            <v>D2</v>
          </cell>
          <cell r="O645" t="str">
            <v>A</v>
          </cell>
          <cell r="P645">
            <v>15</v>
          </cell>
          <cell r="Q645">
            <v>45</v>
          </cell>
          <cell r="R645">
            <v>15</v>
          </cell>
          <cell r="S645">
            <v>65</v>
          </cell>
          <cell r="T645">
            <v>0</v>
          </cell>
          <cell r="U645">
            <v>-20</v>
          </cell>
          <cell r="V645">
            <v>23</v>
          </cell>
          <cell r="W645">
            <v>69</v>
          </cell>
          <cell r="X645">
            <v>21</v>
          </cell>
          <cell r="Y645">
            <v>139</v>
          </cell>
          <cell r="Z645">
            <v>2</v>
          </cell>
          <cell r="AA645">
            <v>-70</v>
          </cell>
          <cell r="AB645">
            <v>60</v>
          </cell>
          <cell r="AC645">
            <v>80</v>
          </cell>
          <cell r="AD645">
            <v>-20</v>
          </cell>
          <cell r="AE645">
            <v>92</v>
          </cell>
          <cell r="AF645">
            <v>160</v>
          </cell>
          <cell r="AG645">
            <v>-68</v>
          </cell>
        </row>
        <row r="646">
          <cell r="C646">
            <v>41038822</v>
          </cell>
          <cell r="D646" t="str">
            <v>SAI SAHEBA PETROLEUM</v>
          </cell>
          <cell r="E646" t="str">
            <v>HPCL</v>
          </cell>
          <cell r="F646" t="str">
            <v>2021-22</v>
          </cell>
          <cell r="G646" t="str">
            <v>Shirdi RSA</v>
          </cell>
          <cell r="J646" t="str">
            <v>CHAS NALI</v>
          </cell>
          <cell r="K646" t="str">
            <v>Ahmednagar</v>
          </cell>
          <cell r="L646" t="str">
            <v>D2</v>
          </cell>
          <cell r="O646" t="str">
            <v>A</v>
          </cell>
          <cell r="P646">
            <v>25</v>
          </cell>
          <cell r="Q646">
            <v>59</v>
          </cell>
          <cell r="R646">
            <v>29</v>
          </cell>
          <cell r="S646">
            <v>43</v>
          </cell>
          <cell r="T646">
            <v>-4</v>
          </cell>
          <cell r="U646">
            <v>16</v>
          </cell>
          <cell r="V646">
            <v>44</v>
          </cell>
          <cell r="W646">
            <v>112</v>
          </cell>
          <cell r="X646">
            <v>57</v>
          </cell>
          <cell r="Y646">
            <v>99</v>
          </cell>
          <cell r="Z646">
            <v>-13</v>
          </cell>
          <cell r="AA646">
            <v>13</v>
          </cell>
          <cell r="AB646">
            <v>84</v>
          </cell>
          <cell r="AC646">
            <v>72</v>
          </cell>
          <cell r="AD646">
            <v>12</v>
          </cell>
          <cell r="AE646">
            <v>156</v>
          </cell>
          <cell r="AF646">
            <v>156</v>
          </cell>
          <cell r="AG646">
            <v>0</v>
          </cell>
        </row>
        <row r="647">
          <cell r="C647">
            <v>41038826</v>
          </cell>
          <cell r="D647" t="str">
            <v>ShivShree Petroleum</v>
          </cell>
          <cell r="E647" t="str">
            <v>HPCL</v>
          </cell>
          <cell r="F647" t="str">
            <v>2021-22</v>
          </cell>
          <cell r="G647" t="str">
            <v>Ahmednagar East RSA</v>
          </cell>
          <cell r="J647" t="str">
            <v>Supe toll</v>
          </cell>
          <cell r="K647" t="str">
            <v>Ahmednagar</v>
          </cell>
          <cell r="L647" t="str">
            <v>D1</v>
          </cell>
          <cell r="M647" t="str">
            <v>NH-753F</v>
          </cell>
          <cell r="O647" t="str">
            <v>A</v>
          </cell>
          <cell r="P647">
            <v>30</v>
          </cell>
          <cell r="Q647">
            <v>144</v>
          </cell>
          <cell r="R647">
            <v>23</v>
          </cell>
          <cell r="S647">
            <v>155</v>
          </cell>
          <cell r="T647">
            <v>7</v>
          </cell>
          <cell r="U647">
            <v>-11</v>
          </cell>
          <cell r="V647">
            <v>55</v>
          </cell>
          <cell r="W647">
            <v>313</v>
          </cell>
          <cell r="X647">
            <v>43</v>
          </cell>
          <cell r="Y647">
            <v>287</v>
          </cell>
          <cell r="Z647">
            <v>12</v>
          </cell>
          <cell r="AA647">
            <v>26</v>
          </cell>
          <cell r="AB647">
            <v>174</v>
          </cell>
          <cell r="AC647">
            <v>178</v>
          </cell>
          <cell r="AD647">
            <v>-4</v>
          </cell>
          <cell r="AE647">
            <v>368</v>
          </cell>
          <cell r="AF647">
            <v>330</v>
          </cell>
          <cell r="AG647">
            <v>38</v>
          </cell>
        </row>
        <row r="648">
          <cell r="C648">
            <v>41039037</v>
          </cell>
          <cell r="D648" t="str">
            <v>Palve Petroleum</v>
          </cell>
          <cell r="E648" t="str">
            <v>HPCL</v>
          </cell>
          <cell r="F648" t="str">
            <v>2021-22</v>
          </cell>
          <cell r="G648" t="str">
            <v>Shirdi RSA</v>
          </cell>
          <cell r="J648" t="str">
            <v>GADADHE AKHADA</v>
          </cell>
          <cell r="K648" t="str">
            <v>Ahmednagar</v>
          </cell>
          <cell r="L648" t="str">
            <v>E</v>
          </cell>
          <cell r="O648" t="str">
            <v>A</v>
          </cell>
          <cell r="P648">
            <v>35</v>
          </cell>
          <cell r="Q648">
            <v>73</v>
          </cell>
          <cell r="R648">
            <v>24</v>
          </cell>
          <cell r="S648">
            <v>72</v>
          </cell>
          <cell r="T648">
            <v>11</v>
          </cell>
          <cell r="U648">
            <v>1</v>
          </cell>
          <cell r="V648">
            <v>56</v>
          </cell>
          <cell r="W648">
            <v>124</v>
          </cell>
          <cell r="X648">
            <v>59</v>
          </cell>
          <cell r="Y648">
            <v>149</v>
          </cell>
          <cell r="Z648">
            <v>-3</v>
          </cell>
          <cell r="AA648">
            <v>-25</v>
          </cell>
          <cell r="AB648">
            <v>108</v>
          </cell>
          <cell r="AC648">
            <v>96</v>
          </cell>
          <cell r="AD648">
            <v>12</v>
          </cell>
          <cell r="AE648">
            <v>180</v>
          </cell>
          <cell r="AF648">
            <v>208</v>
          </cell>
          <cell r="AG648">
            <v>-28</v>
          </cell>
        </row>
        <row r="649">
          <cell r="C649">
            <v>41039321</v>
          </cell>
          <cell r="D649" t="str">
            <v>DNYANRAJ PETROLEUM</v>
          </cell>
          <cell r="E649" t="str">
            <v>HPCL</v>
          </cell>
          <cell r="F649" t="str">
            <v>2021-22</v>
          </cell>
          <cell r="G649" t="str">
            <v>Pune Tathawade RSA</v>
          </cell>
          <cell r="J649" t="str">
            <v>Gunawadi</v>
          </cell>
          <cell r="K649" t="str">
            <v>Pune</v>
          </cell>
          <cell r="L649" t="str">
            <v>D2</v>
          </cell>
          <cell r="O649" t="str">
            <v>A</v>
          </cell>
          <cell r="P649">
            <v>29</v>
          </cell>
          <cell r="Q649">
            <v>41</v>
          </cell>
          <cell r="R649">
            <v>29</v>
          </cell>
          <cell r="S649">
            <v>41</v>
          </cell>
          <cell r="T649">
            <v>0</v>
          </cell>
          <cell r="U649">
            <v>0</v>
          </cell>
          <cell r="V649">
            <v>66</v>
          </cell>
          <cell r="W649">
            <v>74</v>
          </cell>
          <cell r="X649">
            <v>76</v>
          </cell>
          <cell r="Y649">
            <v>92</v>
          </cell>
          <cell r="Z649">
            <v>-10</v>
          </cell>
          <cell r="AA649">
            <v>-18</v>
          </cell>
          <cell r="AB649">
            <v>70</v>
          </cell>
          <cell r="AC649">
            <v>70</v>
          </cell>
          <cell r="AD649">
            <v>0</v>
          </cell>
          <cell r="AE649">
            <v>140</v>
          </cell>
          <cell r="AF649">
            <v>168</v>
          </cell>
          <cell r="AG649">
            <v>-28</v>
          </cell>
        </row>
        <row r="650">
          <cell r="C650">
            <v>41039594</v>
          </cell>
          <cell r="D650" t="str">
            <v>ASHTAVINAYAK FUEL CENTRE</v>
          </cell>
          <cell r="E650" t="str">
            <v>HPCL</v>
          </cell>
          <cell r="F650" t="str">
            <v>2021-22</v>
          </cell>
          <cell r="G650" t="str">
            <v>Satara West RSA</v>
          </cell>
          <cell r="J650" t="str">
            <v>Karad Shenoli Road</v>
          </cell>
          <cell r="K650" t="str">
            <v>Satara</v>
          </cell>
          <cell r="L650" t="str">
            <v>D1</v>
          </cell>
          <cell r="M650" t="str">
            <v>NH-266</v>
          </cell>
          <cell r="O650" t="str">
            <v>A</v>
          </cell>
          <cell r="P650">
            <v>48</v>
          </cell>
          <cell r="Q650">
            <v>120</v>
          </cell>
          <cell r="R650">
            <v>31.5</v>
          </cell>
          <cell r="S650">
            <v>68.5</v>
          </cell>
          <cell r="T650">
            <v>16.5</v>
          </cell>
          <cell r="U650">
            <v>51.5</v>
          </cell>
          <cell r="V650">
            <v>75</v>
          </cell>
          <cell r="W650">
            <v>189</v>
          </cell>
          <cell r="X650">
            <v>67.5</v>
          </cell>
          <cell r="Y650">
            <v>144.5</v>
          </cell>
          <cell r="Z650">
            <v>7.5</v>
          </cell>
          <cell r="AA650">
            <v>44.5</v>
          </cell>
          <cell r="AB650">
            <v>168</v>
          </cell>
          <cell r="AC650">
            <v>100</v>
          </cell>
          <cell r="AD650">
            <v>68</v>
          </cell>
          <cell r="AE650">
            <v>264</v>
          </cell>
          <cell r="AF650">
            <v>212</v>
          </cell>
          <cell r="AG650">
            <v>52</v>
          </cell>
        </row>
        <row r="651">
          <cell r="C651">
            <v>41039596</v>
          </cell>
          <cell r="D651" t="str">
            <v>SHIVAM PETROLEUM</v>
          </cell>
          <cell r="E651" t="str">
            <v>HPCL</v>
          </cell>
          <cell r="F651" t="str">
            <v>2021-22</v>
          </cell>
          <cell r="G651" t="str">
            <v>Satara West RSA</v>
          </cell>
          <cell r="J651" t="str">
            <v>Shamgaon</v>
          </cell>
          <cell r="K651" t="str">
            <v>Satara</v>
          </cell>
          <cell r="L651" t="str">
            <v>D2</v>
          </cell>
          <cell r="O651" t="str">
            <v>A</v>
          </cell>
          <cell r="P651">
            <v>42</v>
          </cell>
          <cell r="Q651">
            <v>66</v>
          </cell>
          <cell r="R651">
            <v>39</v>
          </cell>
          <cell r="S651">
            <v>57</v>
          </cell>
          <cell r="T651">
            <v>3</v>
          </cell>
          <cell r="U651">
            <v>9</v>
          </cell>
          <cell r="V651">
            <v>62</v>
          </cell>
          <cell r="W651">
            <v>96</v>
          </cell>
          <cell r="X651">
            <v>73</v>
          </cell>
          <cell r="Y651">
            <v>115</v>
          </cell>
          <cell r="Z651">
            <v>-11</v>
          </cell>
          <cell r="AA651">
            <v>-19</v>
          </cell>
          <cell r="AB651">
            <v>108</v>
          </cell>
          <cell r="AC651">
            <v>96</v>
          </cell>
          <cell r="AD651">
            <v>12</v>
          </cell>
          <cell r="AE651">
            <v>158</v>
          </cell>
          <cell r="AF651">
            <v>188</v>
          </cell>
          <cell r="AG651">
            <v>-30</v>
          </cell>
        </row>
        <row r="652">
          <cell r="C652">
            <v>41039598</v>
          </cell>
          <cell r="D652" t="str">
            <v>SHRI DUTTA PETROLEUM</v>
          </cell>
          <cell r="E652" t="str">
            <v>HPCL</v>
          </cell>
          <cell r="F652" t="str">
            <v>2021-22</v>
          </cell>
          <cell r="G652" t="str">
            <v>Pune Hadapsar RSA</v>
          </cell>
          <cell r="J652" t="str">
            <v>Kedgaon-Supe</v>
          </cell>
          <cell r="K652" t="str">
            <v>Pune</v>
          </cell>
          <cell r="L652" t="str">
            <v>D1</v>
          </cell>
          <cell r="M652" t="str">
            <v>NH-965D</v>
          </cell>
          <cell r="O652" t="str">
            <v>A</v>
          </cell>
          <cell r="P652">
            <v>12</v>
          </cell>
          <cell r="Q652">
            <v>48</v>
          </cell>
          <cell r="R652">
            <v>13</v>
          </cell>
          <cell r="S652">
            <v>75</v>
          </cell>
          <cell r="T652">
            <v>-1</v>
          </cell>
          <cell r="U652">
            <v>-27</v>
          </cell>
          <cell r="V652">
            <v>23</v>
          </cell>
          <cell r="W652">
            <v>87</v>
          </cell>
          <cell r="X652">
            <v>29</v>
          </cell>
          <cell r="Y652">
            <v>145</v>
          </cell>
          <cell r="Z652">
            <v>-6</v>
          </cell>
          <cell r="AA652">
            <v>-58</v>
          </cell>
          <cell r="AB652">
            <v>60</v>
          </cell>
          <cell r="AC652">
            <v>88</v>
          </cell>
          <cell r="AD652">
            <v>-28</v>
          </cell>
          <cell r="AE652">
            <v>110</v>
          </cell>
          <cell r="AF652">
            <v>174</v>
          </cell>
          <cell r="AG652">
            <v>-64</v>
          </cell>
        </row>
        <row r="653">
          <cell r="C653">
            <v>41039600</v>
          </cell>
          <cell r="D653" t="str">
            <v>SHREE DATTA PETROLEUM</v>
          </cell>
          <cell r="E653" t="str">
            <v>HPCL</v>
          </cell>
          <cell r="F653" t="str">
            <v>2021-22</v>
          </cell>
          <cell r="G653" t="str">
            <v>Pune Wagholi RSA</v>
          </cell>
          <cell r="J653" t="str">
            <v>Narayangaon junnar SH</v>
          </cell>
          <cell r="K653" t="str">
            <v>Pune</v>
          </cell>
          <cell r="L653" t="str">
            <v>D2</v>
          </cell>
          <cell r="O653" t="str">
            <v>B</v>
          </cell>
          <cell r="P653">
            <v>21</v>
          </cell>
          <cell r="Q653">
            <v>47</v>
          </cell>
          <cell r="R653">
            <v>18</v>
          </cell>
          <cell r="S653">
            <v>58</v>
          </cell>
          <cell r="T653">
            <v>3</v>
          </cell>
          <cell r="U653">
            <v>-11</v>
          </cell>
          <cell r="V653">
            <v>36</v>
          </cell>
          <cell r="W653">
            <v>84</v>
          </cell>
          <cell r="X653">
            <v>32</v>
          </cell>
          <cell r="Y653">
            <v>106</v>
          </cell>
          <cell r="Z653">
            <v>4</v>
          </cell>
          <cell r="AA653">
            <v>-22</v>
          </cell>
          <cell r="AB653">
            <v>68</v>
          </cell>
          <cell r="AC653">
            <v>76</v>
          </cell>
          <cell r="AD653">
            <v>-8</v>
          </cell>
          <cell r="AE653">
            <v>120</v>
          </cell>
          <cell r="AF653">
            <v>138</v>
          </cell>
          <cell r="AG653">
            <v>-18</v>
          </cell>
        </row>
        <row r="654">
          <cell r="C654">
            <v>41039602</v>
          </cell>
          <cell r="D654" t="str">
            <v>SHREE SOMNATH PETROLEUM</v>
          </cell>
          <cell r="E654" t="str">
            <v>HPCL</v>
          </cell>
          <cell r="F654" t="str">
            <v>2022-23</v>
          </cell>
          <cell r="G654" t="str">
            <v>Pune Tathawade RSA</v>
          </cell>
          <cell r="J654" t="str">
            <v>Sastewadi</v>
          </cell>
          <cell r="K654" t="str">
            <v>Pune</v>
          </cell>
          <cell r="L654" t="str">
            <v>E</v>
          </cell>
          <cell r="O654" t="str">
            <v>B</v>
          </cell>
          <cell r="P654">
            <v>30</v>
          </cell>
          <cell r="Q654">
            <v>54</v>
          </cell>
          <cell r="R654">
            <v>28</v>
          </cell>
          <cell r="S654">
            <v>46</v>
          </cell>
          <cell r="T654">
            <v>2</v>
          </cell>
          <cell r="U654">
            <v>8</v>
          </cell>
          <cell r="V654">
            <v>54</v>
          </cell>
          <cell r="W654">
            <v>90</v>
          </cell>
          <cell r="X654">
            <v>64</v>
          </cell>
          <cell r="Y654">
            <v>100</v>
          </cell>
          <cell r="Z654">
            <v>-10</v>
          </cell>
          <cell r="AA654">
            <v>-10</v>
          </cell>
          <cell r="AB654">
            <v>84</v>
          </cell>
          <cell r="AC654">
            <v>74</v>
          </cell>
          <cell r="AD654">
            <v>10</v>
          </cell>
          <cell r="AE654">
            <v>144</v>
          </cell>
          <cell r="AF654">
            <v>164</v>
          </cell>
          <cell r="AG654">
            <v>-20</v>
          </cell>
        </row>
        <row r="655">
          <cell r="C655">
            <v>41039604</v>
          </cell>
          <cell r="D655" t="str">
            <v>M K PETROLEUM</v>
          </cell>
          <cell r="E655" t="str">
            <v>HPCL</v>
          </cell>
          <cell r="F655" t="str">
            <v>2022-23</v>
          </cell>
          <cell r="G655" t="str">
            <v>Pune Tathawade RSA</v>
          </cell>
          <cell r="J655" t="str">
            <v>MALEGAON</v>
          </cell>
          <cell r="K655" t="str">
            <v>Pune</v>
          </cell>
          <cell r="L655" t="str">
            <v>D2</v>
          </cell>
          <cell r="O655" t="str">
            <v>B</v>
          </cell>
          <cell r="P655">
            <v>0</v>
          </cell>
          <cell r="Q655">
            <v>0</v>
          </cell>
          <cell r="R655">
            <v>12</v>
          </cell>
          <cell r="S655">
            <v>12</v>
          </cell>
          <cell r="T655">
            <v>-12</v>
          </cell>
          <cell r="U655">
            <v>-12</v>
          </cell>
          <cell r="V655">
            <v>0</v>
          </cell>
          <cell r="W655">
            <v>0</v>
          </cell>
          <cell r="X655">
            <v>30</v>
          </cell>
          <cell r="Y655">
            <v>30</v>
          </cell>
          <cell r="Z655">
            <v>-30</v>
          </cell>
          <cell r="AA655">
            <v>-30</v>
          </cell>
          <cell r="AB655">
            <v>0</v>
          </cell>
          <cell r="AC655">
            <v>24</v>
          </cell>
          <cell r="AD655">
            <v>-24</v>
          </cell>
          <cell r="AE655">
            <v>0</v>
          </cell>
          <cell r="AF655">
            <v>60</v>
          </cell>
          <cell r="AG655">
            <v>-60</v>
          </cell>
        </row>
        <row r="656">
          <cell r="C656">
            <v>41039607</v>
          </cell>
          <cell r="D656" t="str">
            <v>BHOSLE PETROLEUM COMPANY</v>
          </cell>
          <cell r="E656" t="str">
            <v>HPCL</v>
          </cell>
          <cell r="F656" t="str">
            <v>2021-22</v>
          </cell>
          <cell r="G656" t="str">
            <v>Pimpri Chinchwad RSA</v>
          </cell>
          <cell r="J656" t="str">
            <v>Urse</v>
          </cell>
          <cell r="K656" t="str">
            <v>Pune</v>
          </cell>
          <cell r="L656" t="str">
            <v>E</v>
          </cell>
          <cell r="O656" t="str">
            <v>A</v>
          </cell>
          <cell r="P656">
            <v>50</v>
          </cell>
          <cell r="Q656">
            <v>132</v>
          </cell>
          <cell r="R656">
            <v>31</v>
          </cell>
          <cell r="S656">
            <v>73</v>
          </cell>
          <cell r="T656">
            <v>19</v>
          </cell>
          <cell r="U656">
            <v>59</v>
          </cell>
          <cell r="V656">
            <v>90</v>
          </cell>
          <cell r="W656">
            <v>218</v>
          </cell>
          <cell r="X656">
            <v>70</v>
          </cell>
          <cell r="Y656">
            <v>156</v>
          </cell>
          <cell r="Z656">
            <v>20</v>
          </cell>
          <cell r="AA656">
            <v>62</v>
          </cell>
          <cell r="AB656">
            <v>182</v>
          </cell>
          <cell r="AC656">
            <v>104</v>
          </cell>
          <cell r="AD656">
            <v>78</v>
          </cell>
          <cell r="AE656">
            <v>308</v>
          </cell>
          <cell r="AF656">
            <v>226</v>
          </cell>
          <cell r="AG656">
            <v>82</v>
          </cell>
        </row>
        <row r="657">
          <cell r="C657">
            <v>41039614</v>
          </cell>
          <cell r="D657" t="str">
            <v>DDD FUELOCITY TECH PRIVATE LIMITED</v>
          </cell>
          <cell r="E657" t="str">
            <v>HPCL</v>
          </cell>
          <cell r="G657" t="str">
            <v>Pune City RSA</v>
          </cell>
          <cell r="J657" t="str">
            <v>DDD</v>
          </cell>
          <cell r="K657" t="str">
            <v>Pune</v>
          </cell>
          <cell r="L657" t="str">
            <v>C</v>
          </cell>
          <cell r="O657" t="str">
            <v>B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C658">
            <v>41039621</v>
          </cell>
          <cell r="D658" t="str">
            <v>M/S POKALE PATIL PETROLEUM</v>
          </cell>
          <cell r="E658" t="str">
            <v>HPCL</v>
          </cell>
          <cell r="F658" t="str">
            <v>2023-24</v>
          </cell>
          <cell r="G658" t="str">
            <v>Pune City RSA</v>
          </cell>
          <cell r="J658" t="str">
            <v>DHAYARI</v>
          </cell>
          <cell r="K658" t="str">
            <v>Pune</v>
          </cell>
          <cell r="L658" t="str">
            <v>A</v>
          </cell>
          <cell r="O658" t="str">
            <v>A</v>
          </cell>
          <cell r="P658">
            <v>300</v>
          </cell>
          <cell r="Q658">
            <v>200</v>
          </cell>
          <cell r="R658">
            <v>281</v>
          </cell>
          <cell r="S658">
            <v>175</v>
          </cell>
          <cell r="T658">
            <v>19</v>
          </cell>
          <cell r="U658">
            <v>25</v>
          </cell>
          <cell r="V658">
            <v>570</v>
          </cell>
          <cell r="W658">
            <v>390</v>
          </cell>
          <cell r="X658">
            <v>551</v>
          </cell>
          <cell r="Y658">
            <v>345</v>
          </cell>
          <cell r="Z658">
            <v>19</v>
          </cell>
          <cell r="AA658">
            <v>45</v>
          </cell>
          <cell r="AB658">
            <v>500</v>
          </cell>
          <cell r="AC658">
            <v>456</v>
          </cell>
          <cell r="AD658">
            <v>44</v>
          </cell>
          <cell r="AE658">
            <v>960</v>
          </cell>
          <cell r="AF658">
            <v>896</v>
          </cell>
          <cell r="AG658">
            <v>64</v>
          </cell>
        </row>
        <row r="659">
          <cell r="C659">
            <v>41039727</v>
          </cell>
          <cell r="D659" t="str">
            <v>Nandanvan Petroleum</v>
          </cell>
          <cell r="E659" t="str">
            <v>HPCL</v>
          </cell>
          <cell r="F659" t="str">
            <v>2021-22</v>
          </cell>
          <cell r="G659" t="str">
            <v>Ahmednagar East RSA</v>
          </cell>
          <cell r="J659" t="str">
            <v>MIRI</v>
          </cell>
          <cell r="K659" t="str">
            <v>Ahmednagar</v>
          </cell>
          <cell r="L659" t="str">
            <v>D2</v>
          </cell>
          <cell r="O659" t="str">
            <v>A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</row>
        <row r="660">
          <cell r="C660">
            <v>41039731</v>
          </cell>
          <cell r="D660" t="str">
            <v>Prathmesh Mhaske HP Petrol Pump</v>
          </cell>
          <cell r="E660" t="str">
            <v>HPCL</v>
          </cell>
          <cell r="F660" t="str">
            <v>2022-23</v>
          </cell>
          <cell r="G660" t="str">
            <v>Ahmednagar West RSA</v>
          </cell>
          <cell r="J660" t="str">
            <v>Takli Dhokeshwar</v>
          </cell>
          <cell r="K660" t="str">
            <v>Ahmednagar</v>
          </cell>
          <cell r="L660" t="str">
            <v>D1</v>
          </cell>
          <cell r="M660" t="str">
            <v>NH-61</v>
          </cell>
          <cell r="O660" t="str">
            <v>B</v>
          </cell>
          <cell r="P660">
            <v>9</v>
          </cell>
          <cell r="Q660">
            <v>27</v>
          </cell>
          <cell r="R660">
            <v>12</v>
          </cell>
          <cell r="S660">
            <v>28</v>
          </cell>
          <cell r="T660">
            <v>-3</v>
          </cell>
          <cell r="U660">
            <v>-1</v>
          </cell>
          <cell r="V660">
            <v>16</v>
          </cell>
          <cell r="W660">
            <v>44</v>
          </cell>
          <cell r="X660">
            <v>25</v>
          </cell>
          <cell r="Y660">
            <v>71</v>
          </cell>
          <cell r="Z660">
            <v>-9</v>
          </cell>
          <cell r="AA660">
            <v>-27</v>
          </cell>
          <cell r="AB660">
            <v>36</v>
          </cell>
          <cell r="AC660">
            <v>40</v>
          </cell>
          <cell r="AD660">
            <v>-4</v>
          </cell>
          <cell r="AE660">
            <v>60</v>
          </cell>
          <cell r="AF660">
            <v>96</v>
          </cell>
          <cell r="AG660">
            <v>-36</v>
          </cell>
        </row>
        <row r="661">
          <cell r="C661">
            <v>41040638</v>
          </cell>
          <cell r="D661" t="str">
            <v>S R Navalepatil Petroleum</v>
          </cell>
          <cell r="E661" t="str">
            <v>HPCL</v>
          </cell>
          <cell r="F661" t="str">
            <v>2021-22</v>
          </cell>
          <cell r="G661" t="str">
            <v>Shirdi RSA</v>
          </cell>
          <cell r="J661" t="str">
            <v>NIMGAON JALI</v>
          </cell>
          <cell r="K661" t="str">
            <v>Ahmednagar</v>
          </cell>
          <cell r="L661" t="str">
            <v>D2</v>
          </cell>
          <cell r="O661" t="str">
            <v>A</v>
          </cell>
          <cell r="P661">
            <v>53</v>
          </cell>
          <cell r="Q661">
            <v>93</v>
          </cell>
          <cell r="R661">
            <v>58</v>
          </cell>
          <cell r="S661">
            <v>94</v>
          </cell>
          <cell r="T661">
            <v>-5</v>
          </cell>
          <cell r="U661">
            <v>-1</v>
          </cell>
          <cell r="V661">
            <v>108</v>
          </cell>
          <cell r="W661">
            <v>198</v>
          </cell>
          <cell r="X661">
            <v>108</v>
          </cell>
          <cell r="Y661">
            <v>164</v>
          </cell>
          <cell r="Z661">
            <v>0</v>
          </cell>
          <cell r="AA661">
            <v>34</v>
          </cell>
          <cell r="AB661">
            <v>146</v>
          </cell>
          <cell r="AC661">
            <v>152</v>
          </cell>
          <cell r="AD661">
            <v>-6</v>
          </cell>
          <cell r="AE661">
            <v>306</v>
          </cell>
          <cell r="AF661">
            <v>272</v>
          </cell>
          <cell r="AG661">
            <v>34</v>
          </cell>
        </row>
        <row r="662">
          <cell r="C662">
            <v>41040641</v>
          </cell>
          <cell r="D662" t="str">
            <v>SAI AMRUT PETROLEUM</v>
          </cell>
          <cell r="E662" t="str">
            <v>HPCL</v>
          </cell>
          <cell r="F662" t="str">
            <v>2021-22</v>
          </cell>
          <cell r="G662" t="str">
            <v>Shirdi RSA</v>
          </cell>
          <cell r="J662" t="str">
            <v>SANGAMNER KHURD ON NH</v>
          </cell>
          <cell r="K662" t="str">
            <v>Ahmednagar</v>
          </cell>
          <cell r="L662" t="str">
            <v>D1</v>
          </cell>
          <cell r="M662" t="str">
            <v>NH-60</v>
          </cell>
          <cell r="O662" t="str">
            <v>A</v>
          </cell>
          <cell r="P662">
            <v>34</v>
          </cell>
          <cell r="Q662">
            <v>68</v>
          </cell>
          <cell r="R662">
            <v>52</v>
          </cell>
          <cell r="S662">
            <v>80</v>
          </cell>
          <cell r="T662">
            <v>-18</v>
          </cell>
          <cell r="U662">
            <v>-12</v>
          </cell>
          <cell r="V662">
            <v>76</v>
          </cell>
          <cell r="W662">
            <v>110</v>
          </cell>
          <cell r="X662">
            <v>89</v>
          </cell>
          <cell r="Y662">
            <v>151</v>
          </cell>
          <cell r="Z662">
            <v>-13</v>
          </cell>
          <cell r="AA662">
            <v>-41</v>
          </cell>
          <cell r="AB662">
            <v>102</v>
          </cell>
          <cell r="AC662">
            <v>132</v>
          </cell>
          <cell r="AD662">
            <v>-30</v>
          </cell>
          <cell r="AE662">
            <v>186</v>
          </cell>
          <cell r="AF662">
            <v>240</v>
          </cell>
          <cell r="AG662">
            <v>-54</v>
          </cell>
        </row>
        <row r="663">
          <cell r="C663">
            <v>41040809</v>
          </cell>
          <cell r="D663" t="str">
            <v>DDD BATCO ENERGY PRIVATE LIMITED</v>
          </cell>
          <cell r="E663" t="str">
            <v>HPCL</v>
          </cell>
          <cell r="G663" t="str">
            <v>Pune Saswad RSA</v>
          </cell>
          <cell r="J663" t="str">
            <v>DDD</v>
          </cell>
          <cell r="K663" t="str">
            <v>Pune</v>
          </cell>
          <cell r="L663" t="str">
            <v>D1</v>
          </cell>
          <cell r="M663" t="str">
            <v>NH-65</v>
          </cell>
          <cell r="O663" t="str">
            <v>A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</row>
        <row r="664">
          <cell r="C664">
            <v>41040816</v>
          </cell>
          <cell r="D664" t="str">
            <v>RAJE AND DESHMUKH BROTHER'S</v>
          </cell>
          <cell r="E664" t="str">
            <v>HPCL</v>
          </cell>
          <cell r="F664" t="str">
            <v>2021-22</v>
          </cell>
          <cell r="G664" t="str">
            <v>Satara West RSA</v>
          </cell>
          <cell r="J664" t="str">
            <v>ATIT TO KASHIL</v>
          </cell>
          <cell r="K664" t="str">
            <v>Satara</v>
          </cell>
          <cell r="L664" t="str">
            <v>D1</v>
          </cell>
          <cell r="M664" t="str">
            <v>NH-48</v>
          </cell>
          <cell r="O664" t="str">
            <v>A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</row>
        <row r="665">
          <cell r="C665">
            <v>41040819</v>
          </cell>
          <cell r="D665" t="str">
            <v>SANVI PETROLEUM</v>
          </cell>
          <cell r="E665" t="str">
            <v>HPCL</v>
          </cell>
          <cell r="F665" t="str">
            <v>2022-23</v>
          </cell>
          <cell r="G665" t="str">
            <v>Satara West RSA</v>
          </cell>
          <cell r="J665" t="str">
            <v>KARAD TO WATHAR</v>
          </cell>
          <cell r="K665" t="str">
            <v>Satara</v>
          </cell>
          <cell r="L665" t="str">
            <v>D1</v>
          </cell>
          <cell r="M665" t="str">
            <v>NH-48</v>
          </cell>
          <cell r="O665" t="str">
            <v>B</v>
          </cell>
          <cell r="P665">
            <v>39</v>
          </cell>
          <cell r="Q665">
            <v>81</v>
          </cell>
          <cell r="R665">
            <v>3</v>
          </cell>
          <cell r="S665">
            <v>9</v>
          </cell>
          <cell r="T665">
            <v>36</v>
          </cell>
          <cell r="U665">
            <v>72</v>
          </cell>
          <cell r="V665">
            <v>69.5</v>
          </cell>
          <cell r="W665">
            <v>136.5</v>
          </cell>
          <cell r="X665">
            <v>3</v>
          </cell>
          <cell r="Y665">
            <v>9</v>
          </cell>
          <cell r="Z665">
            <v>66.5</v>
          </cell>
          <cell r="AA665">
            <v>127.5</v>
          </cell>
          <cell r="AB665">
            <v>120</v>
          </cell>
          <cell r="AC665">
            <v>12</v>
          </cell>
          <cell r="AD665">
            <v>108</v>
          </cell>
          <cell r="AE665">
            <v>206</v>
          </cell>
          <cell r="AF665">
            <v>12</v>
          </cell>
          <cell r="AG665">
            <v>194</v>
          </cell>
        </row>
        <row r="666">
          <cell r="C666">
            <v>41040822</v>
          </cell>
          <cell r="D666" t="str">
            <v>PTC KHANDALA WELFARE FUND</v>
          </cell>
          <cell r="E666" t="str">
            <v>HPCL</v>
          </cell>
          <cell r="F666" t="str">
            <v>2022-23</v>
          </cell>
          <cell r="G666" t="str">
            <v>Pune Tathawade RSA</v>
          </cell>
          <cell r="J666" t="str">
            <v>Lonavala</v>
          </cell>
          <cell r="K666" t="str">
            <v>Pune</v>
          </cell>
          <cell r="L666" t="str">
            <v>D1</v>
          </cell>
          <cell r="M666" t="str">
            <v>NH-48</v>
          </cell>
          <cell r="O666" t="str">
            <v>B</v>
          </cell>
          <cell r="P666">
            <v>186</v>
          </cell>
          <cell r="Q666">
            <v>226</v>
          </cell>
          <cell r="R666">
            <v>191</v>
          </cell>
          <cell r="S666">
            <v>213</v>
          </cell>
          <cell r="T666">
            <v>-5</v>
          </cell>
          <cell r="U666">
            <v>13</v>
          </cell>
          <cell r="V666">
            <v>348</v>
          </cell>
          <cell r="W666">
            <v>436</v>
          </cell>
          <cell r="X666">
            <v>365</v>
          </cell>
          <cell r="Y666">
            <v>429</v>
          </cell>
          <cell r="Z666">
            <v>-17</v>
          </cell>
          <cell r="AA666">
            <v>7</v>
          </cell>
          <cell r="AB666">
            <v>412</v>
          </cell>
          <cell r="AC666">
            <v>404</v>
          </cell>
          <cell r="AD666">
            <v>8</v>
          </cell>
          <cell r="AE666">
            <v>784</v>
          </cell>
          <cell r="AF666">
            <v>794</v>
          </cell>
          <cell r="AG666">
            <v>-10</v>
          </cell>
        </row>
        <row r="667">
          <cell r="C667">
            <v>41040825</v>
          </cell>
          <cell r="D667" t="str">
            <v>DIAL FUEL EXPRESS PRIVATE LIMITED</v>
          </cell>
          <cell r="E667" t="str">
            <v>HPCL</v>
          </cell>
          <cell r="G667" t="str">
            <v>Satara East RSA</v>
          </cell>
          <cell r="J667" t="str">
            <v>Dudhebavi</v>
          </cell>
          <cell r="K667" t="str">
            <v>Satara</v>
          </cell>
          <cell r="L667" t="str">
            <v>C</v>
          </cell>
          <cell r="O667" t="str">
            <v>B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</row>
        <row r="668">
          <cell r="C668">
            <v>41040827</v>
          </cell>
          <cell r="D668" t="str">
            <v>KRISHIDEV PETROLEUM ANDRUD</v>
          </cell>
          <cell r="E668" t="str">
            <v>HPCL</v>
          </cell>
          <cell r="F668" t="str">
            <v>2021-22</v>
          </cell>
          <cell r="G668" t="str">
            <v>Satara East RSA</v>
          </cell>
          <cell r="J668" t="str">
            <v>ANDRUD</v>
          </cell>
          <cell r="K668" t="str">
            <v>Satara</v>
          </cell>
          <cell r="L668" t="str">
            <v>E</v>
          </cell>
          <cell r="O668" t="str">
            <v>A</v>
          </cell>
          <cell r="P668">
            <v>0</v>
          </cell>
          <cell r="Q668">
            <v>0</v>
          </cell>
          <cell r="R668">
            <v>17</v>
          </cell>
          <cell r="S668">
            <v>33</v>
          </cell>
          <cell r="T668">
            <v>-17</v>
          </cell>
          <cell r="U668">
            <v>-33</v>
          </cell>
          <cell r="V668">
            <v>6</v>
          </cell>
          <cell r="W668">
            <v>6</v>
          </cell>
          <cell r="X668">
            <v>44</v>
          </cell>
          <cell r="Y668">
            <v>72</v>
          </cell>
          <cell r="Z668">
            <v>-38</v>
          </cell>
          <cell r="AA668">
            <v>-66</v>
          </cell>
          <cell r="AB668">
            <v>0</v>
          </cell>
          <cell r="AC668">
            <v>50</v>
          </cell>
          <cell r="AD668">
            <v>-50</v>
          </cell>
          <cell r="AE668">
            <v>12</v>
          </cell>
          <cell r="AF668">
            <v>116</v>
          </cell>
          <cell r="AG668">
            <v>-104</v>
          </cell>
        </row>
        <row r="669">
          <cell r="C669">
            <v>41040830</v>
          </cell>
          <cell r="D669" t="str">
            <v>ADHOC SAVITA PETROLEUM</v>
          </cell>
          <cell r="E669" t="str">
            <v>HPCL</v>
          </cell>
          <cell r="F669" t="str">
            <v>2021-22</v>
          </cell>
          <cell r="G669" t="str">
            <v>Pune Wagholi RSA</v>
          </cell>
          <cell r="J669" t="str">
            <v>Chandoli Khurd</v>
          </cell>
          <cell r="K669" t="str">
            <v>Pune</v>
          </cell>
          <cell r="L669" t="str">
            <v>E</v>
          </cell>
          <cell r="O669" t="str">
            <v>A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</row>
        <row r="670">
          <cell r="C670">
            <v>41095195</v>
          </cell>
          <cell r="D670" t="str">
            <v>ADHOC TEJAS PETROLEUM (41040833 ADHOC SHREE GURUDUTT PETROLEUM 41036724 ADHOC MANIK SONA PETRO HUB)</v>
          </cell>
          <cell r="E670" t="str">
            <v>HPCL</v>
          </cell>
          <cell r="F670" t="str">
            <v>2017-18</v>
          </cell>
          <cell r="G670" t="str">
            <v>Satara East RSA</v>
          </cell>
          <cell r="J670" t="str">
            <v>Lonand Shirval Road</v>
          </cell>
          <cell r="K670" t="str">
            <v>Satara</v>
          </cell>
          <cell r="L670" t="str">
            <v>D1</v>
          </cell>
          <cell r="M670" t="str">
            <v>NH-965DD</v>
          </cell>
          <cell r="O670" t="str">
            <v>B</v>
          </cell>
          <cell r="P670">
            <v>50</v>
          </cell>
          <cell r="Q670">
            <v>164</v>
          </cell>
          <cell r="R670">
            <v>25.5</v>
          </cell>
          <cell r="S670">
            <v>42.5</v>
          </cell>
          <cell r="T670">
            <v>24.5</v>
          </cell>
          <cell r="U670">
            <v>121.5</v>
          </cell>
          <cell r="V670">
            <v>93</v>
          </cell>
          <cell r="W670">
            <v>229</v>
          </cell>
          <cell r="X670">
            <v>65.5</v>
          </cell>
          <cell r="Y670">
            <v>82.5</v>
          </cell>
          <cell r="Z670">
            <v>27.5</v>
          </cell>
          <cell r="AA670">
            <v>146.5</v>
          </cell>
          <cell r="AB670">
            <v>214</v>
          </cell>
          <cell r="AC670">
            <v>68</v>
          </cell>
          <cell r="AD670">
            <v>146</v>
          </cell>
          <cell r="AE670">
            <v>322</v>
          </cell>
          <cell r="AF670">
            <v>148</v>
          </cell>
          <cell r="AG670">
            <v>174</v>
          </cell>
        </row>
        <row r="671">
          <cell r="C671">
            <v>41040836</v>
          </cell>
          <cell r="D671" t="str">
            <v>VYANKATESHWARA PETROLEUM</v>
          </cell>
          <cell r="E671" t="str">
            <v>HPCL</v>
          </cell>
          <cell r="F671" t="str">
            <v>2022-23</v>
          </cell>
          <cell r="G671" t="str">
            <v>Pune Tathawade RSA</v>
          </cell>
          <cell r="J671" t="str">
            <v>NARHE TO BAVDHAN</v>
          </cell>
          <cell r="K671" t="str">
            <v>Pune</v>
          </cell>
          <cell r="L671" t="str">
            <v>A</v>
          </cell>
          <cell r="M671" t="str">
            <v>NH-48</v>
          </cell>
          <cell r="O671" t="str">
            <v>B</v>
          </cell>
          <cell r="P671">
            <v>255</v>
          </cell>
          <cell r="Q671">
            <v>245</v>
          </cell>
          <cell r="R671">
            <v>238</v>
          </cell>
          <cell r="S671">
            <v>206</v>
          </cell>
          <cell r="T671">
            <v>17</v>
          </cell>
          <cell r="U671">
            <v>39</v>
          </cell>
          <cell r="V671">
            <v>495</v>
          </cell>
          <cell r="W671">
            <v>485</v>
          </cell>
          <cell r="X671">
            <v>482</v>
          </cell>
          <cell r="Y671">
            <v>436</v>
          </cell>
          <cell r="Z671">
            <v>13</v>
          </cell>
          <cell r="AA671">
            <v>49</v>
          </cell>
          <cell r="AB671">
            <v>500</v>
          </cell>
          <cell r="AC671">
            <v>444</v>
          </cell>
          <cell r="AD671">
            <v>56</v>
          </cell>
          <cell r="AE671">
            <v>980</v>
          </cell>
          <cell r="AF671">
            <v>918</v>
          </cell>
          <cell r="AG671">
            <v>62</v>
          </cell>
        </row>
        <row r="672">
          <cell r="C672">
            <v>41041848</v>
          </cell>
          <cell r="D672" t="str">
            <v>SHRIRAM PETROLEUM</v>
          </cell>
          <cell r="E672" t="str">
            <v>HPCL</v>
          </cell>
          <cell r="F672" t="str">
            <v>2021-22</v>
          </cell>
          <cell r="G672" t="str">
            <v>Ahmednagar West RSA</v>
          </cell>
          <cell r="J672" t="str">
            <v>Belwandi</v>
          </cell>
          <cell r="K672" t="str">
            <v>Ahmednagar</v>
          </cell>
          <cell r="L672" t="str">
            <v>D2</v>
          </cell>
          <cell r="O672" t="str">
            <v>A</v>
          </cell>
          <cell r="P672">
            <v>50</v>
          </cell>
          <cell r="Q672">
            <v>130</v>
          </cell>
          <cell r="R672">
            <v>50</v>
          </cell>
          <cell r="S672">
            <v>90</v>
          </cell>
          <cell r="T672">
            <v>0</v>
          </cell>
          <cell r="U672">
            <v>40</v>
          </cell>
          <cell r="V672">
            <v>95</v>
          </cell>
          <cell r="W672">
            <v>185</v>
          </cell>
          <cell r="X672">
            <v>105</v>
          </cell>
          <cell r="Y672">
            <v>173</v>
          </cell>
          <cell r="Z672">
            <v>-10</v>
          </cell>
          <cell r="AA672">
            <v>12</v>
          </cell>
          <cell r="AB672">
            <v>180</v>
          </cell>
          <cell r="AC672">
            <v>140</v>
          </cell>
          <cell r="AD672">
            <v>40</v>
          </cell>
          <cell r="AE672">
            <v>280</v>
          </cell>
          <cell r="AF672">
            <v>278</v>
          </cell>
          <cell r="AG672">
            <v>2</v>
          </cell>
        </row>
        <row r="673">
          <cell r="C673">
            <v>41041851</v>
          </cell>
          <cell r="D673" t="str">
            <v>Haribaba Petroleum</v>
          </cell>
          <cell r="E673" t="str">
            <v>HPCL</v>
          </cell>
          <cell r="F673" t="str">
            <v>2021-22</v>
          </cell>
          <cell r="G673" t="str">
            <v>Shirdi RSA</v>
          </cell>
          <cell r="J673" t="str">
            <v>MIDC SANGAMNER</v>
          </cell>
          <cell r="K673" t="str">
            <v>Ahmednagar</v>
          </cell>
          <cell r="L673" t="str">
            <v>D1</v>
          </cell>
          <cell r="M673" t="str">
            <v>NH-60</v>
          </cell>
          <cell r="O673" t="str">
            <v>A</v>
          </cell>
          <cell r="P673">
            <v>34</v>
          </cell>
          <cell r="Q673">
            <v>78</v>
          </cell>
          <cell r="R673">
            <v>40</v>
          </cell>
          <cell r="S673">
            <v>56</v>
          </cell>
          <cell r="T673">
            <v>-6</v>
          </cell>
          <cell r="U673">
            <v>22</v>
          </cell>
          <cell r="V673">
            <v>64</v>
          </cell>
          <cell r="W673">
            <v>146</v>
          </cell>
          <cell r="X673">
            <v>76</v>
          </cell>
          <cell r="Y673">
            <v>116</v>
          </cell>
          <cell r="Z673">
            <v>-12</v>
          </cell>
          <cell r="AA673">
            <v>30</v>
          </cell>
          <cell r="AB673">
            <v>112</v>
          </cell>
          <cell r="AC673">
            <v>96</v>
          </cell>
          <cell r="AD673">
            <v>16</v>
          </cell>
          <cell r="AE673">
            <v>210</v>
          </cell>
          <cell r="AF673">
            <v>192</v>
          </cell>
          <cell r="AG673">
            <v>18</v>
          </cell>
        </row>
        <row r="674">
          <cell r="C674">
            <v>41041854</v>
          </cell>
          <cell r="D674" t="str">
            <v>Sneh Petroleum</v>
          </cell>
          <cell r="E674" t="str">
            <v>HPCL</v>
          </cell>
          <cell r="F674" t="str">
            <v>2021-22</v>
          </cell>
          <cell r="G674" t="str">
            <v>Shirdi RSA</v>
          </cell>
          <cell r="J674" t="str">
            <v>SANGAMNER KHURD ON NH</v>
          </cell>
          <cell r="K674" t="str">
            <v>Ahmednagar</v>
          </cell>
          <cell r="L674" t="str">
            <v>D1</v>
          </cell>
          <cell r="M674" t="str">
            <v>NH-60</v>
          </cell>
          <cell r="O674" t="str">
            <v>B</v>
          </cell>
          <cell r="P674">
            <v>36</v>
          </cell>
          <cell r="Q674">
            <v>74</v>
          </cell>
          <cell r="R674">
            <v>96</v>
          </cell>
          <cell r="S674">
            <v>158</v>
          </cell>
          <cell r="T674">
            <v>-60</v>
          </cell>
          <cell r="U674">
            <v>-84</v>
          </cell>
          <cell r="V674">
            <v>39</v>
          </cell>
          <cell r="W674">
            <v>83</v>
          </cell>
          <cell r="X674">
            <v>180</v>
          </cell>
          <cell r="Y674">
            <v>290</v>
          </cell>
          <cell r="Z674">
            <v>-141</v>
          </cell>
          <cell r="AA674">
            <v>-207</v>
          </cell>
          <cell r="AB674">
            <v>110</v>
          </cell>
          <cell r="AC674">
            <v>254</v>
          </cell>
          <cell r="AD674">
            <v>-144</v>
          </cell>
          <cell r="AE674">
            <v>122</v>
          </cell>
          <cell r="AF674">
            <v>470</v>
          </cell>
          <cell r="AG674">
            <v>-348</v>
          </cell>
        </row>
        <row r="675">
          <cell r="C675">
            <v>41041959</v>
          </cell>
          <cell r="D675" t="str">
            <v>SURYABHAN PATIL TAMBE &amp; SONS</v>
          </cell>
          <cell r="E675" t="str">
            <v>HPCL</v>
          </cell>
          <cell r="F675" t="str">
            <v>2021-22</v>
          </cell>
          <cell r="G675" t="str">
            <v>Shirdi RSA</v>
          </cell>
          <cell r="J675" t="str">
            <v>LONI PRAVARA SH</v>
          </cell>
          <cell r="K675" t="str">
            <v>Ahmednagar</v>
          </cell>
          <cell r="L675" t="str">
            <v>D2</v>
          </cell>
          <cell r="O675" t="str">
            <v>B</v>
          </cell>
          <cell r="P675">
            <v>45</v>
          </cell>
          <cell r="Q675">
            <v>87</v>
          </cell>
          <cell r="R675">
            <v>51</v>
          </cell>
          <cell r="S675">
            <v>73</v>
          </cell>
          <cell r="T675">
            <v>-6</v>
          </cell>
          <cell r="U675">
            <v>14</v>
          </cell>
          <cell r="V675">
            <v>73</v>
          </cell>
          <cell r="W675">
            <v>151</v>
          </cell>
          <cell r="X675">
            <v>96</v>
          </cell>
          <cell r="Y675">
            <v>124</v>
          </cell>
          <cell r="Z675">
            <v>-23</v>
          </cell>
          <cell r="AA675">
            <v>27</v>
          </cell>
          <cell r="AB675">
            <v>132</v>
          </cell>
          <cell r="AC675">
            <v>124</v>
          </cell>
          <cell r="AD675">
            <v>8</v>
          </cell>
          <cell r="AE675">
            <v>224</v>
          </cell>
          <cell r="AF675">
            <v>220</v>
          </cell>
          <cell r="AG675">
            <v>4</v>
          </cell>
        </row>
        <row r="676">
          <cell r="C676">
            <v>41042417</v>
          </cell>
          <cell r="D676" t="str">
            <v>VIJAY PETROLEUM ADHOC SURAJ PETROLEUM RAJESH FUEL CENTRE(12528730) (RAMLING PETROLEUM12175760)</v>
          </cell>
          <cell r="E676" t="str">
            <v>HPCL</v>
          </cell>
          <cell r="G676" t="str">
            <v>Pune Wagholi RSA</v>
          </cell>
          <cell r="J676" t="str">
            <v>Shikrapur to Ranjangaon RHS</v>
          </cell>
          <cell r="K676" t="str">
            <v>Pune</v>
          </cell>
          <cell r="L676" t="str">
            <v>D1</v>
          </cell>
          <cell r="M676" t="str">
            <v>NH-753F</v>
          </cell>
          <cell r="O676" t="str">
            <v>A</v>
          </cell>
          <cell r="P676">
            <v>37</v>
          </cell>
          <cell r="Q676">
            <v>65</v>
          </cell>
          <cell r="R676">
            <v>21</v>
          </cell>
          <cell r="S676">
            <v>39</v>
          </cell>
          <cell r="T676">
            <v>16</v>
          </cell>
          <cell r="U676">
            <v>26</v>
          </cell>
          <cell r="V676">
            <v>57</v>
          </cell>
          <cell r="W676">
            <v>101</v>
          </cell>
          <cell r="X676">
            <v>45</v>
          </cell>
          <cell r="Y676">
            <v>75</v>
          </cell>
          <cell r="Z676">
            <v>12</v>
          </cell>
          <cell r="AA676">
            <v>26</v>
          </cell>
          <cell r="AB676">
            <v>102</v>
          </cell>
          <cell r="AC676">
            <v>60</v>
          </cell>
          <cell r="AD676">
            <v>42</v>
          </cell>
          <cell r="AE676">
            <v>158</v>
          </cell>
          <cell r="AF676">
            <v>120</v>
          </cell>
          <cell r="AG676">
            <v>38</v>
          </cell>
        </row>
        <row r="677">
          <cell r="C677">
            <v>41042419</v>
          </cell>
          <cell r="D677" t="str">
            <v>JAYPRADNYA PETROLEUM</v>
          </cell>
          <cell r="E677" t="str">
            <v>HPCL</v>
          </cell>
          <cell r="F677" t="str">
            <v>2020-21</v>
          </cell>
          <cell r="G677" t="str">
            <v>Pimpri Chinchwad RSA</v>
          </cell>
          <cell r="J677" t="str">
            <v>Moshi</v>
          </cell>
          <cell r="K677" t="str">
            <v>Pune</v>
          </cell>
          <cell r="L677" t="str">
            <v>A</v>
          </cell>
          <cell r="O677" t="str">
            <v>A</v>
          </cell>
          <cell r="P677">
            <v>83</v>
          </cell>
          <cell r="Q677">
            <v>117</v>
          </cell>
          <cell r="R677">
            <v>61</v>
          </cell>
          <cell r="S677">
            <v>89</v>
          </cell>
          <cell r="T677">
            <v>22</v>
          </cell>
          <cell r="U677">
            <v>28</v>
          </cell>
          <cell r="V677">
            <v>158</v>
          </cell>
          <cell r="W677">
            <v>248</v>
          </cell>
          <cell r="X677">
            <v>132</v>
          </cell>
          <cell r="Y677">
            <v>202</v>
          </cell>
          <cell r="Z677">
            <v>26</v>
          </cell>
          <cell r="AA677">
            <v>46</v>
          </cell>
          <cell r="AB677">
            <v>200</v>
          </cell>
          <cell r="AC677">
            <v>150</v>
          </cell>
          <cell r="AD677">
            <v>50</v>
          </cell>
          <cell r="AE677">
            <v>406</v>
          </cell>
          <cell r="AF677">
            <v>334</v>
          </cell>
          <cell r="AG677">
            <v>72</v>
          </cell>
        </row>
        <row r="678">
          <cell r="C678">
            <v>41042424</v>
          </cell>
          <cell r="D678" t="str">
            <v xml:space="preserve">Krishna Petroleum </v>
          </cell>
          <cell r="E678" t="str">
            <v>HPCL</v>
          </cell>
          <cell r="F678" t="str">
            <v>2020-21</v>
          </cell>
          <cell r="G678" t="str">
            <v>Pune Wagholi RSA</v>
          </cell>
          <cell r="J678" t="str">
            <v>Alephata on Kalyan highway</v>
          </cell>
          <cell r="K678" t="str">
            <v>Pune</v>
          </cell>
          <cell r="L678" t="str">
            <v>D1</v>
          </cell>
          <cell r="M678" t="str">
            <v>NH-61</v>
          </cell>
          <cell r="O678" t="str">
            <v>A</v>
          </cell>
          <cell r="P678">
            <v>51</v>
          </cell>
          <cell r="Q678">
            <v>235</v>
          </cell>
          <cell r="R678">
            <v>30</v>
          </cell>
          <cell r="S678">
            <v>102</v>
          </cell>
          <cell r="T678">
            <v>21</v>
          </cell>
          <cell r="U678">
            <v>133</v>
          </cell>
          <cell r="V678">
            <v>83</v>
          </cell>
          <cell r="W678">
            <v>415</v>
          </cell>
          <cell r="X678">
            <v>66</v>
          </cell>
          <cell r="Y678">
            <v>220</v>
          </cell>
          <cell r="Z678">
            <v>17</v>
          </cell>
          <cell r="AA678">
            <v>195</v>
          </cell>
          <cell r="AB678">
            <v>286</v>
          </cell>
          <cell r="AC678">
            <v>132</v>
          </cell>
          <cell r="AD678">
            <v>154</v>
          </cell>
          <cell r="AE678">
            <v>498</v>
          </cell>
          <cell r="AF678">
            <v>286</v>
          </cell>
          <cell r="AG678">
            <v>212</v>
          </cell>
        </row>
        <row r="679">
          <cell r="C679">
            <v>41042444</v>
          </cell>
          <cell r="D679" t="str">
            <v>Auto Care Centre HL-3</v>
          </cell>
          <cell r="E679" t="str">
            <v>HPCL</v>
          </cell>
          <cell r="F679" t="str">
            <v>2020-21</v>
          </cell>
          <cell r="G679" t="str">
            <v>Pune City RSA</v>
          </cell>
          <cell r="J679" t="str">
            <v>Pimpri</v>
          </cell>
          <cell r="K679" t="str">
            <v>Pune</v>
          </cell>
          <cell r="L679" t="str">
            <v>A</v>
          </cell>
          <cell r="O679" t="str">
            <v>B</v>
          </cell>
          <cell r="P679">
            <v>294.77924999999999</v>
          </cell>
          <cell r="Q679">
            <v>108.33581999999998</v>
          </cell>
          <cell r="R679">
            <v>224.06418999999994</v>
          </cell>
          <cell r="S679">
            <v>90.466429999999974</v>
          </cell>
          <cell r="T679">
            <v>70.715060000000051</v>
          </cell>
          <cell r="U679">
            <v>17.86939000000001</v>
          </cell>
          <cell r="V679">
            <v>553.15807999999993</v>
          </cell>
          <cell r="W679">
            <v>216.17584999999997</v>
          </cell>
          <cell r="X679">
            <v>475.29881999999992</v>
          </cell>
          <cell r="Y679">
            <v>183.51680999999996</v>
          </cell>
          <cell r="Z679">
            <v>77.859260000000006</v>
          </cell>
          <cell r="AA679">
            <v>32.659040000000005</v>
          </cell>
          <cell r="AB679">
            <v>403.11506999999995</v>
          </cell>
          <cell r="AC679">
            <v>314.53061999999989</v>
          </cell>
          <cell r="AD679">
            <v>88.584450000000061</v>
          </cell>
          <cell r="AE679">
            <v>769.3339299999999</v>
          </cell>
          <cell r="AF679">
            <v>658.81562999999983</v>
          </cell>
          <cell r="AG679">
            <v>110.51830000000007</v>
          </cell>
        </row>
        <row r="680">
          <cell r="C680">
            <v>41042590</v>
          </cell>
          <cell r="D680" t="str">
            <v>Yadav Petroleum</v>
          </cell>
          <cell r="E680" t="str">
            <v>HPCL</v>
          </cell>
          <cell r="F680" t="str">
            <v>2020-21</v>
          </cell>
          <cell r="G680" t="str">
            <v>Ahmednagar West RSA</v>
          </cell>
          <cell r="J680" t="str">
            <v>Rehkuri</v>
          </cell>
          <cell r="K680" t="str">
            <v>Ahmednagar</v>
          </cell>
          <cell r="L680" t="str">
            <v>E</v>
          </cell>
          <cell r="O680" t="str">
            <v>B</v>
          </cell>
          <cell r="P680">
            <v>54</v>
          </cell>
          <cell r="Q680">
            <v>258</v>
          </cell>
          <cell r="R680">
            <v>39</v>
          </cell>
          <cell r="S680">
            <v>129</v>
          </cell>
          <cell r="T680">
            <v>15</v>
          </cell>
          <cell r="U680">
            <v>129</v>
          </cell>
          <cell r="V680">
            <v>87</v>
          </cell>
          <cell r="W680">
            <v>393</v>
          </cell>
          <cell r="X680">
            <v>69</v>
          </cell>
          <cell r="Y680">
            <v>243</v>
          </cell>
          <cell r="Z680">
            <v>18</v>
          </cell>
          <cell r="AA680">
            <v>150</v>
          </cell>
          <cell r="AB680">
            <v>312</v>
          </cell>
          <cell r="AC680">
            <v>168</v>
          </cell>
          <cell r="AD680">
            <v>144</v>
          </cell>
          <cell r="AE680">
            <v>480</v>
          </cell>
          <cell r="AF680">
            <v>312</v>
          </cell>
          <cell r="AG680">
            <v>168</v>
          </cell>
        </row>
        <row r="681">
          <cell r="C681">
            <v>41042673</v>
          </cell>
          <cell r="D681" t="str">
            <v>Vithai Petroleum</v>
          </cell>
          <cell r="E681" t="str">
            <v>HPCL</v>
          </cell>
          <cell r="F681" t="str">
            <v>2021-22</v>
          </cell>
          <cell r="G681" t="str">
            <v>Ahmednagar West RSA</v>
          </cell>
          <cell r="J681" t="str">
            <v>SHEKTE</v>
          </cell>
          <cell r="K681" t="str">
            <v>Ahmednagar</v>
          </cell>
          <cell r="L681" t="str">
            <v>D1</v>
          </cell>
          <cell r="M681" t="str">
            <v>NH-61</v>
          </cell>
          <cell r="O681" t="str">
            <v>A</v>
          </cell>
          <cell r="P681">
            <v>36</v>
          </cell>
          <cell r="Q681">
            <v>216</v>
          </cell>
          <cell r="R681">
            <v>32</v>
          </cell>
          <cell r="S681">
            <v>150</v>
          </cell>
          <cell r="T681">
            <v>4</v>
          </cell>
          <cell r="U681">
            <v>66</v>
          </cell>
          <cell r="V681">
            <v>60</v>
          </cell>
          <cell r="W681">
            <v>318</v>
          </cell>
          <cell r="X681">
            <v>53</v>
          </cell>
          <cell r="Y681">
            <v>283</v>
          </cell>
          <cell r="Z681">
            <v>7</v>
          </cell>
          <cell r="AA681">
            <v>35</v>
          </cell>
          <cell r="AB681">
            <v>252</v>
          </cell>
          <cell r="AC681">
            <v>182</v>
          </cell>
          <cell r="AD681">
            <v>70</v>
          </cell>
          <cell r="AE681">
            <v>378</v>
          </cell>
          <cell r="AF681">
            <v>336</v>
          </cell>
          <cell r="AG681">
            <v>42</v>
          </cell>
        </row>
        <row r="682">
          <cell r="C682">
            <v>41043307</v>
          </cell>
          <cell r="D682" t="str">
            <v xml:space="preserve">Date Petroleum                </v>
          </cell>
          <cell r="E682" t="str">
            <v>HPCL</v>
          </cell>
          <cell r="F682" t="str">
            <v>2020-21</v>
          </cell>
          <cell r="G682" t="str">
            <v>Ahmednagar West RSA</v>
          </cell>
          <cell r="J682" t="str">
            <v>KHADAKWADI</v>
          </cell>
          <cell r="K682" t="str">
            <v>Ahmednagar</v>
          </cell>
          <cell r="L682" t="str">
            <v>D2</v>
          </cell>
          <cell r="O682" t="str">
            <v>A</v>
          </cell>
          <cell r="P682">
            <v>55</v>
          </cell>
          <cell r="Q682">
            <v>125</v>
          </cell>
          <cell r="R682">
            <v>50</v>
          </cell>
          <cell r="S682">
            <v>124</v>
          </cell>
          <cell r="T682">
            <v>5</v>
          </cell>
          <cell r="U682">
            <v>1</v>
          </cell>
          <cell r="V682">
            <v>100</v>
          </cell>
          <cell r="W682">
            <v>220</v>
          </cell>
          <cell r="X682">
            <v>103</v>
          </cell>
          <cell r="Y682">
            <v>203</v>
          </cell>
          <cell r="Z682">
            <v>-3</v>
          </cell>
          <cell r="AA682">
            <v>17</v>
          </cell>
          <cell r="AB682">
            <v>180</v>
          </cell>
          <cell r="AC682">
            <v>174</v>
          </cell>
          <cell r="AD682">
            <v>6</v>
          </cell>
          <cell r="AE682">
            <v>320</v>
          </cell>
          <cell r="AF682">
            <v>306</v>
          </cell>
          <cell r="AG682">
            <v>14</v>
          </cell>
        </row>
        <row r="683">
          <cell r="C683">
            <v>41043312</v>
          </cell>
          <cell r="D683" t="str">
            <v>Rajendra Petroleum</v>
          </cell>
          <cell r="E683" t="str">
            <v>HPCL</v>
          </cell>
          <cell r="F683" t="str">
            <v>2020-21</v>
          </cell>
          <cell r="G683" t="str">
            <v>Ahmednagar East RSA</v>
          </cell>
          <cell r="J683" t="str">
            <v>Chanda</v>
          </cell>
          <cell r="K683" t="str">
            <v>Ahmednagar</v>
          </cell>
          <cell r="L683" t="str">
            <v>D2</v>
          </cell>
          <cell r="O683" t="str">
            <v>B</v>
          </cell>
          <cell r="P683">
            <v>44</v>
          </cell>
          <cell r="Q683">
            <v>100</v>
          </cell>
          <cell r="R683">
            <v>45</v>
          </cell>
          <cell r="S683">
            <v>95</v>
          </cell>
          <cell r="T683">
            <v>-1</v>
          </cell>
          <cell r="U683">
            <v>5</v>
          </cell>
          <cell r="V683">
            <v>83</v>
          </cell>
          <cell r="W683">
            <v>161</v>
          </cell>
          <cell r="X683">
            <v>90</v>
          </cell>
          <cell r="Y683">
            <v>170</v>
          </cell>
          <cell r="Z683">
            <v>-7</v>
          </cell>
          <cell r="AA683">
            <v>-9</v>
          </cell>
          <cell r="AB683">
            <v>144</v>
          </cell>
          <cell r="AC683">
            <v>140</v>
          </cell>
          <cell r="AD683">
            <v>4</v>
          </cell>
          <cell r="AE683">
            <v>244</v>
          </cell>
          <cell r="AF683">
            <v>260</v>
          </cell>
          <cell r="AG683">
            <v>-16</v>
          </cell>
        </row>
        <row r="684">
          <cell r="C684">
            <v>41043446</v>
          </cell>
          <cell r="D684" t="str">
            <v xml:space="preserve"> SAMBHAJIRAO BHISE PETROLEUM</v>
          </cell>
          <cell r="E684" t="str">
            <v>HPCL</v>
          </cell>
          <cell r="F684" t="str">
            <v>2020-21</v>
          </cell>
          <cell r="G684" t="str">
            <v>Pune Tathawade RSA</v>
          </cell>
          <cell r="J684" t="str">
            <v>Songaon</v>
          </cell>
          <cell r="K684" t="str">
            <v>Pune</v>
          </cell>
          <cell r="L684" t="str">
            <v>D2</v>
          </cell>
          <cell r="O684" t="str">
            <v>B</v>
          </cell>
          <cell r="P684">
            <v>93</v>
          </cell>
          <cell r="Q684">
            <v>135</v>
          </cell>
          <cell r="R684">
            <v>81</v>
          </cell>
          <cell r="S684">
            <v>111</v>
          </cell>
          <cell r="T684">
            <v>12</v>
          </cell>
          <cell r="U684">
            <v>24</v>
          </cell>
          <cell r="V684">
            <v>177</v>
          </cell>
          <cell r="W684">
            <v>243</v>
          </cell>
          <cell r="X684">
            <v>159</v>
          </cell>
          <cell r="Y684">
            <v>225</v>
          </cell>
          <cell r="Z684">
            <v>18</v>
          </cell>
          <cell r="AA684">
            <v>18</v>
          </cell>
          <cell r="AB684">
            <v>228</v>
          </cell>
          <cell r="AC684">
            <v>192</v>
          </cell>
          <cell r="AD684">
            <v>36</v>
          </cell>
          <cell r="AE684">
            <v>420</v>
          </cell>
          <cell r="AF684">
            <v>384</v>
          </cell>
          <cell r="AG684">
            <v>36</v>
          </cell>
        </row>
        <row r="685">
          <cell r="C685">
            <v>41043449</v>
          </cell>
          <cell r="D685" t="str">
            <v>SIDDHARTH PETROLEUM</v>
          </cell>
          <cell r="E685" t="str">
            <v>HPCL</v>
          </cell>
          <cell r="F685" t="str">
            <v>2020-21</v>
          </cell>
          <cell r="G685" t="str">
            <v>Pune City RSA</v>
          </cell>
          <cell r="J685" t="str">
            <v>MUNDHWA/GHORPADI</v>
          </cell>
          <cell r="K685" t="str">
            <v>Pune</v>
          </cell>
          <cell r="L685" t="str">
            <v>A</v>
          </cell>
          <cell r="O685" t="str">
            <v>A</v>
          </cell>
          <cell r="P685">
            <v>295</v>
          </cell>
          <cell r="Q685">
            <v>165</v>
          </cell>
          <cell r="R685">
            <v>290</v>
          </cell>
          <cell r="S685">
            <v>150</v>
          </cell>
          <cell r="T685">
            <v>5</v>
          </cell>
          <cell r="U685">
            <v>15</v>
          </cell>
          <cell r="V685">
            <v>580</v>
          </cell>
          <cell r="W685">
            <v>320</v>
          </cell>
          <cell r="X685">
            <v>590</v>
          </cell>
          <cell r="Y685">
            <v>310</v>
          </cell>
          <cell r="Z685">
            <v>-10</v>
          </cell>
          <cell r="AA685">
            <v>10</v>
          </cell>
          <cell r="AB685">
            <v>460</v>
          </cell>
          <cell r="AC685">
            <v>440</v>
          </cell>
          <cell r="AD685">
            <v>20</v>
          </cell>
          <cell r="AE685">
            <v>900</v>
          </cell>
          <cell r="AF685">
            <v>900</v>
          </cell>
          <cell r="AG685">
            <v>0</v>
          </cell>
        </row>
        <row r="686">
          <cell r="C686">
            <v>41043453</v>
          </cell>
          <cell r="D686" t="str">
            <v>SWAMI RAJ PETROLEUM</v>
          </cell>
          <cell r="E686" t="str">
            <v>HPCL</v>
          </cell>
          <cell r="F686" t="str">
            <v>2020-21</v>
          </cell>
          <cell r="G686" t="str">
            <v>Pune Wagholi RSA</v>
          </cell>
          <cell r="J686" t="str">
            <v>Manchar Bypass RHS</v>
          </cell>
          <cell r="K686" t="str">
            <v>Pune</v>
          </cell>
          <cell r="L686" t="str">
            <v>D1</v>
          </cell>
          <cell r="M686" t="str">
            <v>NH-60</v>
          </cell>
          <cell r="O686" t="str">
            <v>A</v>
          </cell>
          <cell r="P686">
            <v>64</v>
          </cell>
          <cell r="Q686">
            <v>128</v>
          </cell>
          <cell r="R686">
            <v>56</v>
          </cell>
          <cell r="S686">
            <v>92</v>
          </cell>
          <cell r="T686">
            <v>8</v>
          </cell>
          <cell r="U686">
            <v>36</v>
          </cell>
          <cell r="V686">
            <v>127</v>
          </cell>
          <cell r="W686">
            <v>223</v>
          </cell>
          <cell r="X686">
            <v>106</v>
          </cell>
          <cell r="Y686">
            <v>162</v>
          </cell>
          <cell r="Z686">
            <v>21</v>
          </cell>
          <cell r="AA686">
            <v>61</v>
          </cell>
          <cell r="AB686">
            <v>192</v>
          </cell>
          <cell r="AC686">
            <v>148</v>
          </cell>
          <cell r="AD686">
            <v>44</v>
          </cell>
          <cell r="AE686">
            <v>350</v>
          </cell>
          <cell r="AF686">
            <v>268</v>
          </cell>
          <cell r="AG686">
            <v>82</v>
          </cell>
        </row>
        <row r="687">
          <cell r="C687">
            <v>41043457</v>
          </cell>
          <cell r="D687" t="str">
            <v>CHAKRESHWAR PETROLEUM</v>
          </cell>
          <cell r="E687" t="str">
            <v>HPCL</v>
          </cell>
          <cell r="F687" t="str">
            <v>2020-21</v>
          </cell>
          <cell r="G687" t="str">
            <v>Pimpri Chinchwad RSA</v>
          </cell>
          <cell r="J687" t="str">
            <v>Chakan Bhose</v>
          </cell>
          <cell r="K687" t="str">
            <v>Pune</v>
          </cell>
          <cell r="L687" t="str">
            <v>D1</v>
          </cell>
          <cell r="M687" t="str">
            <v>NH-548D</v>
          </cell>
          <cell r="O687" t="str">
            <v>A</v>
          </cell>
          <cell r="P687">
            <v>88</v>
          </cell>
          <cell r="Q687">
            <v>676</v>
          </cell>
          <cell r="R687">
            <v>84</v>
          </cell>
          <cell r="S687">
            <v>532</v>
          </cell>
          <cell r="T687">
            <v>4</v>
          </cell>
          <cell r="U687">
            <v>144</v>
          </cell>
          <cell r="V687">
            <v>171</v>
          </cell>
          <cell r="W687">
            <v>1269</v>
          </cell>
          <cell r="X687">
            <v>172</v>
          </cell>
          <cell r="Y687">
            <v>1042</v>
          </cell>
          <cell r="Z687">
            <v>-1</v>
          </cell>
          <cell r="AA687">
            <v>227</v>
          </cell>
          <cell r="AB687">
            <v>764</v>
          </cell>
          <cell r="AC687">
            <v>616</v>
          </cell>
          <cell r="AD687">
            <v>148</v>
          </cell>
          <cell r="AE687">
            <v>1440</v>
          </cell>
          <cell r="AF687">
            <v>1214</v>
          </cell>
          <cell r="AG687">
            <v>226</v>
          </cell>
        </row>
        <row r="688">
          <cell r="C688">
            <v>41043460</v>
          </cell>
          <cell r="D688" t="str">
            <v>RAJNANDANI PETROLEUM</v>
          </cell>
          <cell r="E688" t="str">
            <v>HPCL</v>
          </cell>
          <cell r="F688" t="str">
            <v>2020-21</v>
          </cell>
          <cell r="G688" t="str">
            <v>Pimpri Chinchwad RSA</v>
          </cell>
          <cell r="J688" t="str">
            <v>Rajgurunagar to Ghodegaon</v>
          </cell>
          <cell r="K688" t="str">
            <v>Pune</v>
          </cell>
          <cell r="L688" t="str">
            <v>D2</v>
          </cell>
          <cell r="O688" t="str">
            <v>A</v>
          </cell>
          <cell r="P688">
            <v>43</v>
          </cell>
          <cell r="Q688">
            <v>79</v>
          </cell>
          <cell r="R688">
            <v>47</v>
          </cell>
          <cell r="S688">
            <v>51</v>
          </cell>
          <cell r="T688">
            <v>-4</v>
          </cell>
          <cell r="U688">
            <v>28</v>
          </cell>
          <cell r="V688">
            <v>73</v>
          </cell>
          <cell r="W688">
            <v>109</v>
          </cell>
          <cell r="X688">
            <v>81</v>
          </cell>
          <cell r="Y688">
            <v>97</v>
          </cell>
          <cell r="Z688">
            <v>-8</v>
          </cell>
          <cell r="AA688">
            <v>12</v>
          </cell>
          <cell r="AB688">
            <v>122</v>
          </cell>
          <cell r="AC688">
            <v>98</v>
          </cell>
          <cell r="AD688">
            <v>24</v>
          </cell>
          <cell r="AE688">
            <v>182</v>
          </cell>
          <cell r="AF688">
            <v>178</v>
          </cell>
          <cell r="AG688">
            <v>4</v>
          </cell>
        </row>
        <row r="689">
          <cell r="C689">
            <v>41043463</v>
          </cell>
          <cell r="D689" t="str">
            <v>GAIKWAD PETROLEUM</v>
          </cell>
          <cell r="E689" t="str">
            <v>HPCL</v>
          </cell>
          <cell r="F689" t="str">
            <v>2020-21</v>
          </cell>
          <cell r="G689" t="str">
            <v>Pune City RSA</v>
          </cell>
          <cell r="J689" t="str">
            <v>RASIKWADI</v>
          </cell>
          <cell r="K689" t="str">
            <v>Pune</v>
          </cell>
          <cell r="L689" t="str">
            <v>A</v>
          </cell>
          <cell r="O689" t="str">
            <v>A</v>
          </cell>
          <cell r="P689">
            <v>76</v>
          </cell>
          <cell r="Q689">
            <v>152</v>
          </cell>
          <cell r="R689">
            <v>75</v>
          </cell>
          <cell r="S689">
            <v>147</v>
          </cell>
          <cell r="T689">
            <v>1</v>
          </cell>
          <cell r="U689">
            <v>5</v>
          </cell>
          <cell r="V689">
            <v>135</v>
          </cell>
          <cell r="W689">
            <v>283</v>
          </cell>
          <cell r="X689">
            <v>136</v>
          </cell>
          <cell r="Y689">
            <v>288</v>
          </cell>
          <cell r="Z689">
            <v>-1</v>
          </cell>
          <cell r="AA689">
            <v>-5</v>
          </cell>
          <cell r="AB689">
            <v>228</v>
          </cell>
          <cell r="AC689">
            <v>222</v>
          </cell>
          <cell r="AD689">
            <v>6</v>
          </cell>
          <cell r="AE689">
            <v>418</v>
          </cell>
          <cell r="AF689">
            <v>424</v>
          </cell>
          <cell r="AG689">
            <v>-6</v>
          </cell>
        </row>
        <row r="690">
          <cell r="C690">
            <v>41043467</v>
          </cell>
          <cell r="D690" t="str">
            <v>SHRI MANE PETROLEUM</v>
          </cell>
          <cell r="E690" t="str">
            <v>HPCL</v>
          </cell>
          <cell r="F690" t="str">
            <v>2020-21</v>
          </cell>
          <cell r="G690" t="str">
            <v>Pune Saswad RSA</v>
          </cell>
          <cell r="J690" t="str">
            <v>Junction-Nimgaon Ketki Raod</v>
          </cell>
          <cell r="K690" t="str">
            <v>Pune</v>
          </cell>
          <cell r="L690" t="str">
            <v>D1</v>
          </cell>
          <cell r="M690" t="str">
            <v>NH-965G</v>
          </cell>
          <cell r="O690" t="str">
            <v>A</v>
          </cell>
          <cell r="P690">
            <v>48</v>
          </cell>
          <cell r="Q690">
            <v>326</v>
          </cell>
          <cell r="R690">
            <v>35</v>
          </cell>
          <cell r="S690">
            <v>141</v>
          </cell>
          <cell r="T690">
            <v>13</v>
          </cell>
          <cell r="U690">
            <v>185</v>
          </cell>
          <cell r="V690">
            <v>90</v>
          </cell>
          <cell r="W690">
            <v>592</v>
          </cell>
          <cell r="X690">
            <v>79</v>
          </cell>
          <cell r="Y690">
            <v>251</v>
          </cell>
          <cell r="Z690">
            <v>11</v>
          </cell>
          <cell r="AA690">
            <v>341</v>
          </cell>
          <cell r="AB690">
            <v>374</v>
          </cell>
          <cell r="AC690">
            <v>176</v>
          </cell>
          <cell r="AD690">
            <v>198</v>
          </cell>
          <cell r="AE690">
            <v>682</v>
          </cell>
          <cell r="AF690">
            <v>330</v>
          </cell>
          <cell r="AG690">
            <v>352</v>
          </cell>
        </row>
        <row r="691">
          <cell r="C691">
            <v>41043471</v>
          </cell>
          <cell r="D691" t="str">
            <v>HP AUTO CARE CENTRE HAL 2</v>
          </cell>
          <cell r="E691" t="str">
            <v>HPCL</v>
          </cell>
          <cell r="F691" t="str">
            <v>2020-21</v>
          </cell>
          <cell r="G691" t="str">
            <v>Pimpri Chinchwad RSA</v>
          </cell>
          <cell r="J691" t="str">
            <v>Nehru Nagar</v>
          </cell>
          <cell r="K691" t="str">
            <v>Pune</v>
          </cell>
          <cell r="L691" t="str">
            <v>A</v>
          </cell>
          <cell r="O691" t="str">
            <v>A</v>
          </cell>
          <cell r="P691">
            <v>397.48394000000008</v>
          </cell>
          <cell r="Q691">
            <v>207.06732300000002</v>
          </cell>
          <cell r="R691">
            <v>342.05919999999992</v>
          </cell>
          <cell r="S691">
            <v>158.07494000000003</v>
          </cell>
          <cell r="T691">
            <v>55.424740000000156</v>
          </cell>
          <cell r="U691">
            <v>48.99238299999999</v>
          </cell>
          <cell r="V691">
            <v>754.81898000000001</v>
          </cell>
          <cell r="W691">
            <v>380.56641300000001</v>
          </cell>
          <cell r="X691">
            <v>703.03468999999996</v>
          </cell>
          <cell r="Y691">
            <v>310.86679000000004</v>
          </cell>
          <cell r="Z691">
            <v>51.784290000000055</v>
          </cell>
          <cell r="AA691">
            <v>69.699622999999974</v>
          </cell>
          <cell r="AB691">
            <v>604.55126300000006</v>
          </cell>
          <cell r="AC691">
            <v>500.13413999999995</v>
          </cell>
          <cell r="AD691">
            <v>104.41712300000012</v>
          </cell>
          <cell r="AE691">
            <v>1135.385393</v>
          </cell>
          <cell r="AF691">
            <v>1013.90148</v>
          </cell>
          <cell r="AG691">
            <v>121.48391300000003</v>
          </cell>
        </row>
        <row r="692">
          <cell r="C692">
            <v>41043474</v>
          </cell>
          <cell r="D692" t="str">
            <v>TRK WALKE PETROLEUM</v>
          </cell>
          <cell r="E692" t="str">
            <v>HPCL</v>
          </cell>
          <cell r="F692" t="str">
            <v>2021-22</v>
          </cell>
          <cell r="G692" t="str">
            <v>Pimpri Chinchwad RSA</v>
          </cell>
          <cell r="J692" t="str">
            <v>Alandi</v>
          </cell>
          <cell r="K692" t="str">
            <v>Pune</v>
          </cell>
          <cell r="L692" t="str">
            <v>A</v>
          </cell>
          <cell r="O692" t="str">
            <v>B</v>
          </cell>
          <cell r="P692">
            <v>186</v>
          </cell>
          <cell r="Q692">
            <v>94</v>
          </cell>
          <cell r="R692">
            <v>167</v>
          </cell>
          <cell r="S692">
            <v>55</v>
          </cell>
          <cell r="T692">
            <v>19</v>
          </cell>
          <cell r="U692">
            <v>39</v>
          </cell>
          <cell r="V692">
            <v>367</v>
          </cell>
          <cell r="W692">
            <v>163</v>
          </cell>
          <cell r="X692">
            <v>351</v>
          </cell>
          <cell r="Y692">
            <v>109</v>
          </cell>
          <cell r="Z692">
            <v>16</v>
          </cell>
          <cell r="AA692">
            <v>54</v>
          </cell>
          <cell r="AB692">
            <v>280</v>
          </cell>
          <cell r="AC692">
            <v>222</v>
          </cell>
          <cell r="AD692">
            <v>58</v>
          </cell>
          <cell r="AE692">
            <v>530</v>
          </cell>
          <cell r="AF692">
            <v>460</v>
          </cell>
          <cell r="AG692">
            <v>70</v>
          </cell>
        </row>
        <row r="693">
          <cell r="C693">
            <v>41043481</v>
          </cell>
          <cell r="D693" t="str">
            <v>SHRI PADMAVATI PETROLEUM</v>
          </cell>
          <cell r="E693" t="str">
            <v>HPCL</v>
          </cell>
          <cell r="F693" t="str">
            <v>2020-21</v>
          </cell>
          <cell r="G693" t="str">
            <v>Pune Saswad RSA</v>
          </cell>
          <cell r="J693" t="str">
            <v>Bhigwan - Baramati Road</v>
          </cell>
          <cell r="K693" t="str">
            <v>Pune</v>
          </cell>
          <cell r="L693" t="str">
            <v>D2</v>
          </cell>
          <cell r="O693" t="str">
            <v>A</v>
          </cell>
          <cell r="P693">
            <v>18</v>
          </cell>
          <cell r="Q693">
            <v>52</v>
          </cell>
          <cell r="R693">
            <v>18</v>
          </cell>
          <cell r="S693">
            <v>38</v>
          </cell>
          <cell r="T693">
            <v>0</v>
          </cell>
          <cell r="U693">
            <v>14</v>
          </cell>
          <cell r="V693">
            <v>27</v>
          </cell>
          <cell r="W693">
            <v>79</v>
          </cell>
          <cell r="X693">
            <v>37</v>
          </cell>
          <cell r="Y693">
            <v>69</v>
          </cell>
          <cell r="Z693">
            <v>-10</v>
          </cell>
          <cell r="AA693">
            <v>10</v>
          </cell>
          <cell r="AB693">
            <v>70</v>
          </cell>
          <cell r="AC693">
            <v>56</v>
          </cell>
          <cell r="AD693">
            <v>14</v>
          </cell>
          <cell r="AE693">
            <v>106</v>
          </cell>
          <cell r="AF693">
            <v>106</v>
          </cell>
          <cell r="AG693">
            <v>0</v>
          </cell>
        </row>
        <row r="694">
          <cell r="C694">
            <v>41043484</v>
          </cell>
          <cell r="D694" t="str">
            <v>RAMKRISHNA PETROLEUM</v>
          </cell>
          <cell r="E694" t="str">
            <v>HPCL</v>
          </cell>
          <cell r="F694" t="str">
            <v>2020-21</v>
          </cell>
          <cell r="G694" t="str">
            <v>Pune Hadapsar RSA</v>
          </cell>
          <cell r="J694" t="str">
            <v>DAUND</v>
          </cell>
          <cell r="K694" t="str">
            <v>Pune</v>
          </cell>
          <cell r="L694" t="str">
            <v>D2</v>
          </cell>
          <cell r="O694" t="str">
            <v>B</v>
          </cell>
          <cell r="P694">
            <v>114</v>
          </cell>
          <cell r="Q694">
            <v>185</v>
          </cell>
          <cell r="R694">
            <v>92</v>
          </cell>
          <cell r="S694">
            <v>132</v>
          </cell>
          <cell r="T694">
            <v>22</v>
          </cell>
          <cell r="U694">
            <v>53</v>
          </cell>
          <cell r="V694">
            <v>203</v>
          </cell>
          <cell r="W694">
            <v>303</v>
          </cell>
          <cell r="X694">
            <v>191</v>
          </cell>
          <cell r="Y694">
            <v>263</v>
          </cell>
          <cell r="Z694">
            <v>12</v>
          </cell>
          <cell r="AA694">
            <v>40</v>
          </cell>
          <cell r="AB694">
            <v>299</v>
          </cell>
          <cell r="AC694">
            <v>224</v>
          </cell>
          <cell r="AD694">
            <v>75</v>
          </cell>
          <cell r="AE694">
            <v>506</v>
          </cell>
          <cell r="AF694">
            <v>454</v>
          </cell>
          <cell r="AG694">
            <v>52</v>
          </cell>
        </row>
        <row r="695">
          <cell r="C695">
            <v>41043487</v>
          </cell>
          <cell r="D695" t="str">
            <v xml:space="preserve">SHREENATH PETROLEUM </v>
          </cell>
          <cell r="E695" t="str">
            <v>HPCL</v>
          </cell>
          <cell r="F695" t="str">
            <v>2020-21</v>
          </cell>
          <cell r="G695" t="str">
            <v>Pune Wagholi RSA</v>
          </cell>
          <cell r="J695" t="str">
            <v>Manjrewadi</v>
          </cell>
          <cell r="K695" t="str">
            <v>Pune</v>
          </cell>
          <cell r="L695" t="str">
            <v>D2</v>
          </cell>
          <cell r="O695" t="str">
            <v>B</v>
          </cell>
          <cell r="P695">
            <v>44</v>
          </cell>
          <cell r="Q695">
            <v>86</v>
          </cell>
          <cell r="R695">
            <v>27</v>
          </cell>
          <cell r="S695">
            <v>39</v>
          </cell>
          <cell r="T695">
            <v>17</v>
          </cell>
          <cell r="U695">
            <v>47</v>
          </cell>
          <cell r="V695">
            <v>74</v>
          </cell>
          <cell r="W695">
            <v>134</v>
          </cell>
          <cell r="X695">
            <v>59</v>
          </cell>
          <cell r="Y695">
            <v>87</v>
          </cell>
          <cell r="Z695">
            <v>15</v>
          </cell>
          <cell r="AA695">
            <v>47</v>
          </cell>
          <cell r="AB695">
            <v>130</v>
          </cell>
          <cell r="AC695">
            <v>66</v>
          </cell>
          <cell r="AD695">
            <v>64</v>
          </cell>
          <cell r="AE695">
            <v>208</v>
          </cell>
          <cell r="AF695">
            <v>146</v>
          </cell>
          <cell r="AG695">
            <v>62</v>
          </cell>
        </row>
        <row r="696">
          <cell r="C696">
            <v>41043490</v>
          </cell>
          <cell r="D696" t="str">
            <v>DEWAASHEESH PETROLEUM</v>
          </cell>
          <cell r="E696" t="str">
            <v>HPCL</v>
          </cell>
          <cell r="F696" t="str">
            <v>2021-22</v>
          </cell>
          <cell r="G696" t="str">
            <v>Satara West RSA</v>
          </cell>
          <cell r="J696" t="str">
            <v>Bhuinj to Satara</v>
          </cell>
          <cell r="K696" t="str">
            <v>Satara</v>
          </cell>
          <cell r="L696" t="str">
            <v>D1</v>
          </cell>
          <cell r="M696" t="str">
            <v>NH-48</v>
          </cell>
          <cell r="O696" t="str">
            <v>A</v>
          </cell>
          <cell r="P696">
            <v>24.5</v>
          </cell>
          <cell r="Q696">
            <v>87.5</v>
          </cell>
          <cell r="R696">
            <v>21</v>
          </cell>
          <cell r="S696">
            <v>77</v>
          </cell>
          <cell r="T696">
            <v>3.5</v>
          </cell>
          <cell r="U696">
            <v>10.5</v>
          </cell>
          <cell r="V696">
            <v>45</v>
          </cell>
          <cell r="W696">
            <v>135</v>
          </cell>
          <cell r="X696">
            <v>42</v>
          </cell>
          <cell r="Y696">
            <v>168</v>
          </cell>
          <cell r="Z696">
            <v>3</v>
          </cell>
          <cell r="AA696">
            <v>-33</v>
          </cell>
          <cell r="AB696">
            <v>112</v>
          </cell>
          <cell r="AC696">
            <v>98</v>
          </cell>
          <cell r="AD696">
            <v>14</v>
          </cell>
          <cell r="AE696">
            <v>180</v>
          </cell>
          <cell r="AF696">
            <v>210</v>
          </cell>
          <cell r="AG696">
            <v>-30</v>
          </cell>
        </row>
        <row r="697">
          <cell r="C697">
            <v>41043494</v>
          </cell>
          <cell r="D697" t="str">
            <v>J B PETROLEUM</v>
          </cell>
          <cell r="E697" t="str">
            <v>HPCL</v>
          </cell>
          <cell r="F697" t="str">
            <v>2021-22</v>
          </cell>
          <cell r="G697" t="str">
            <v>Satara West RSA</v>
          </cell>
          <cell r="J697" t="str">
            <v>KARAD ON NH 48 RHS</v>
          </cell>
          <cell r="K697" t="str">
            <v>Satara</v>
          </cell>
          <cell r="L697" t="str">
            <v>D1</v>
          </cell>
          <cell r="M697" t="str">
            <v>NH-48</v>
          </cell>
          <cell r="O697" t="str">
            <v>A</v>
          </cell>
          <cell r="P697">
            <v>84</v>
          </cell>
          <cell r="Q697">
            <v>266</v>
          </cell>
          <cell r="R697">
            <v>70</v>
          </cell>
          <cell r="S697">
            <v>168</v>
          </cell>
          <cell r="T697">
            <v>14</v>
          </cell>
          <cell r="U697">
            <v>98</v>
          </cell>
          <cell r="V697">
            <v>143.5</v>
          </cell>
          <cell r="W697">
            <v>472.5</v>
          </cell>
          <cell r="X697">
            <v>129.5</v>
          </cell>
          <cell r="Y697">
            <v>332.5</v>
          </cell>
          <cell r="Z697">
            <v>14</v>
          </cell>
          <cell r="AA697">
            <v>140</v>
          </cell>
          <cell r="AB697">
            <v>350</v>
          </cell>
          <cell r="AC697">
            <v>238</v>
          </cell>
          <cell r="AD697">
            <v>112</v>
          </cell>
          <cell r="AE697">
            <v>616</v>
          </cell>
          <cell r="AF697">
            <v>462</v>
          </cell>
          <cell r="AG697">
            <v>154</v>
          </cell>
        </row>
        <row r="698">
          <cell r="C698">
            <v>41043498</v>
          </cell>
          <cell r="D698" t="str">
            <v>JAGDAMB PETROLEUM</v>
          </cell>
          <cell r="E698" t="str">
            <v>HPCL</v>
          </cell>
          <cell r="F698" t="str">
            <v>2020-21</v>
          </cell>
          <cell r="G698" t="str">
            <v>Satara East RSA</v>
          </cell>
          <cell r="J698" t="str">
            <v>RANAND</v>
          </cell>
          <cell r="K698" t="str">
            <v>Satara</v>
          </cell>
          <cell r="L698" t="str">
            <v>E</v>
          </cell>
          <cell r="O698" t="str">
            <v>B</v>
          </cell>
          <cell r="P698">
            <v>35</v>
          </cell>
          <cell r="Q698">
            <v>77</v>
          </cell>
          <cell r="R698">
            <v>22</v>
          </cell>
          <cell r="S698">
            <v>46</v>
          </cell>
          <cell r="T698">
            <v>13</v>
          </cell>
          <cell r="U698">
            <v>31</v>
          </cell>
          <cell r="V698">
            <v>65.5</v>
          </cell>
          <cell r="W698">
            <v>144.5</v>
          </cell>
          <cell r="X698">
            <v>49</v>
          </cell>
          <cell r="Y698">
            <v>115</v>
          </cell>
          <cell r="Z698">
            <v>16.5</v>
          </cell>
          <cell r="AA698">
            <v>29.5</v>
          </cell>
          <cell r="AB698">
            <v>112</v>
          </cell>
          <cell r="AC698">
            <v>68</v>
          </cell>
          <cell r="AD698">
            <v>44</v>
          </cell>
          <cell r="AE698">
            <v>210</v>
          </cell>
          <cell r="AF698">
            <v>164</v>
          </cell>
          <cell r="AG698">
            <v>46</v>
          </cell>
        </row>
        <row r="699">
          <cell r="C699">
            <v>41043501</v>
          </cell>
          <cell r="D699" t="str">
            <v>SARITA SERVICES</v>
          </cell>
          <cell r="E699" t="str">
            <v>HPCL</v>
          </cell>
          <cell r="F699" t="str">
            <v>2020-21</v>
          </cell>
          <cell r="G699" t="str">
            <v>Pune City RSA</v>
          </cell>
          <cell r="J699" t="str">
            <v>Thergaon</v>
          </cell>
          <cell r="K699" t="str">
            <v>Pune</v>
          </cell>
          <cell r="L699" t="str">
            <v>A</v>
          </cell>
          <cell r="O699" t="str">
            <v>A</v>
          </cell>
          <cell r="P699">
            <v>320</v>
          </cell>
          <cell r="Q699">
            <v>260</v>
          </cell>
          <cell r="R699">
            <v>345</v>
          </cell>
          <cell r="S699">
            <v>195</v>
          </cell>
          <cell r="T699">
            <v>-25</v>
          </cell>
          <cell r="U699">
            <v>65</v>
          </cell>
          <cell r="V699">
            <v>633</v>
          </cell>
          <cell r="W699">
            <v>533</v>
          </cell>
          <cell r="X699">
            <v>720</v>
          </cell>
          <cell r="Y699">
            <v>420</v>
          </cell>
          <cell r="Z699">
            <v>-87</v>
          </cell>
          <cell r="AA699">
            <v>113</v>
          </cell>
          <cell r="AB699">
            <v>580</v>
          </cell>
          <cell r="AC699">
            <v>540</v>
          </cell>
          <cell r="AD699">
            <v>40</v>
          </cell>
          <cell r="AE699">
            <v>1166</v>
          </cell>
          <cell r="AF699">
            <v>1140</v>
          </cell>
          <cell r="AG699">
            <v>26</v>
          </cell>
        </row>
        <row r="700">
          <cell r="C700">
            <v>41043505</v>
          </cell>
          <cell r="D700" t="str">
            <v>CHOUDHARIS PETROLIEUM</v>
          </cell>
          <cell r="E700" t="str">
            <v>HPCL</v>
          </cell>
          <cell r="F700" t="str">
            <v>2021-22</v>
          </cell>
          <cell r="G700" t="str">
            <v>Pune Tathawade RSA</v>
          </cell>
          <cell r="J700" t="str">
            <v>BAVDHAN TO NARHE</v>
          </cell>
          <cell r="K700" t="str">
            <v>Pune</v>
          </cell>
          <cell r="L700" t="str">
            <v>A</v>
          </cell>
          <cell r="M700" t="str">
            <v>NH-48</v>
          </cell>
          <cell r="O700" t="str">
            <v>B</v>
          </cell>
          <cell r="P700">
            <v>339</v>
          </cell>
          <cell r="Q700">
            <v>213</v>
          </cell>
          <cell r="R700">
            <v>280</v>
          </cell>
          <cell r="S700">
            <v>160</v>
          </cell>
          <cell r="T700">
            <v>59</v>
          </cell>
          <cell r="U700">
            <v>53</v>
          </cell>
          <cell r="V700">
            <v>639</v>
          </cell>
          <cell r="W700">
            <v>413</v>
          </cell>
          <cell r="X700">
            <v>570</v>
          </cell>
          <cell r="Y700">
            <v>350</v>
          </cell>
          <cell r="Z700">
            <v>69</v>
          </cell>
          <cell r="AA700">
            <v>63</v>
          </cell>
          <cell r="AB700">
            <v>552</v>
          </cell>
          <cell r="AC700">
            <v>440</v>
          </cell>
          <cell r="AD700">
            <v>112</v>
          </cell>
          <cell r="AE700">
            <v>1052</v>
          </cell>
          <cell r="AF700">
            <v>920</v>
          </cell>
          <cell r="AG700">
            <v>132</v>
          </cell>
        </row>
        <row r="701">
          <cell r="C701">
            <v>41043508</v>
          </cell>
          <cell r="D701" t="str">
            <v>PARVATI PETROLEUM</v>
          </cell>
          <cell r="E701" t="str">
            <v>HPCL</v>
          </cell>
          <cell r="F701" t="str">
            <v>2021-22</v>
          </cell>
          <cell r="G701" t="str">
            <v>Pune Hadapsar RSA</v>
          </cell>
          <cell r="J701" t="str">
            <v>Pimpri Sandaz</v>
          </cell>
          <cell r="K701" t="str">
            <v>Pune</v>
          </cell>
          <cell r="L701" t="str">
            <v>D2</v>
          </cell>
          <cell r="O701" t="str">
            <v>A</v>
          </cell>
          <cell r="P701">
            <v>42</v>
          </cell>
          <cell r="Q701">
            <v>210</v>
          </cell>
          <cell r="R701">
            <v>35</v>
          </cell>
          <cell r="S701">
            <v>77</v>
          </cell>
          <cell r="T701">
            <v>7</v>
          </cell>
          <cell r="U701">
            <v>133</v>
          </cell>
          <cell r="V701">
            <v>84</v>
          </cell>
          <cell r="W701">
            <v>434</v>
          </cell>
          <cell r="X701">
            <v>70</v>
          </cell>
          <cell r="Y701">
            <v>154</v>
          </cell>
          <cell r="Z701">
            <v>14</v>
          </cell>
          <cell r="AA701">
            <v>280</v>
          </cell>
          <cell r="AB701">
            <v>252</v>
          </cell>
          <cell r="AC701">
            <v>112</v>
          </cell>
          <cell r="AD701">
            <v>140</v>
          </cell>
          <cell r="AE701">
            <v>518</v>
          </cell>
          <cell r="AF701">
            <v>224</v>
          </cell>
          <cell r="AG701">
            <v>294</v>
          </cell>
        </row>
        <row r="702">
          <cell r="C702">
            <v>41043514</v>
          </cell>
          <cell r="D702" t="str">
            <v>BANGANGA PETROLEUM</v>
          </cell>
          <cell r="E702" t="str">
            <v>HPCL</v>
          </cell>
          <cell r="F702" t="str">
            <v>2020-21</v>
          </cell>
          <cell r="G702" t="str">
            <v>Satara East RSA</v>
          </cell>
          <cell r="J702" t="str">
            <v>PHALTAN UPLAVE ROAD</v>
          </cell>
          <cell r="K702" t="str">
            <v>Satara</v>
          </cell>
          <cell r="L702" t="str">
            <v>E</v>
          </cell>
          <cell r="O702" t="str">
            <v>B</v>
          </cell>
          <cell r="P702">
            <v>17.5</v>
          </cell>
          <cell r="Q702">
            <v>80.5</v>
          </cell>
          <cell r="R702">
            <v>12</v>
          </cell>
          <cell r="S702">
            <v>30</v>
          </cell>
          <cell r="T702">
            <v>5.5</v>
          </cell>
          <cell r="U702">
            <v>50.5</v>
          </cell>
          <cell r="V702">
            <v>40</v>
          </cell>
          <cell r="W702">
            <v>198</v>
          </cell>
          <cell r="X702">
            <v>26</v>
          </cell>
          <cell r="Y702">
            <v>72</v>
          </cell>
          <cell r="Z702">
            <v>14</v>
          </cell>
          <cell r="AA702">
            <v>126</v>
          </cell>
          <cell r="AB702">
            <v>98</v>
          </cell>
          <cell r="AC702">
            <v>42</v>
          </cell>
          <cell r="AD702">
            <v>56</v>
          </cell>
          <cell r="AE702">
            <v>238</v>
          </cell>
          <cell r="AF702">
            <v>98</v>
          </cell>
          <cell r="AG702">
            <v>140</v>
          </cell>
        </row>
        <row r="703">
          <cell r="C703">
            <v>41043517</v>
          </cell>
          <cell r="D703" t="str">
            <v>Om Shivshambhu Petroleum</v>
          </cell>
          <cell r="E703" t="str">
            <v>HPCL</v>
          </cell>
          <cell r="F703" t="str">
            <v>2021-22</v>
          </cell>
          <cell r="G703" t="str">
            <v>Pimpri Chinchwad RSA</v>
          </cell>
          <cell r="J703" t="str">
            <v>CHIKHLI</v>
          </cell>
          <cell r="K703" t="str">
            <v>Pune</v>
          </cell>
          <cell r="L703" t="str">
            <v>A</v>
          </cell>
          <cell r="O703" t="str">
            <v>A</v>
          </cell>
          <cell r="P703">
            <v>243</v>
          </cell>
          <cell r="Q703">
            <v>223</v>
          </cell>
          <cell r="R703">
            <v>181</v>
          </cell>
          <cell r="S703">
            <v>121</v>
          </cell>
          <cell r="T703">
            <v>62</v>
          </cell>
          <cell r="U703">
            <v>102</v>
          </cell>
          <cell r="V703">
            <v>432</v>
          </cell>
          <cell r="W703">
            <v>420</v>
          </cell>
          <cell r="X703">
            <v>376</v>
          </cell>
          <cell r="Y703">
            <v>254</v>
          </cell>
          <cell r="Z703">
            <v>56</v>
          </cell>
          <cell r="AA703">
            <v>166</v>
          </cell>
          <cell r="AB703">
            <v>466</v>
          </cell>
          <cell r="AC703">
            <v>302</v>
          </cell>
          <cell r="AD703">
            <v>164</v>
          </cell>
          <cell r="AE703">
            <v>852</v>
          </cell>
          <cell r="AF703">
            <v>630</v>
          </cell>
          <cell r="AG703">
            <v>222</v>
          </cell>
        </row>
        <row r="704">
          <cell r="C704">
            <v>41043521</v>
          </cell>
          <cell r="D704" t="str">
            <v>SAMARTH PETROLEUM</v>
          </cell>
          <cell r="E704" t="str">
            <v>HPCL</v>
          </cell>
          <cell r="F704" t="str">
            <v>2021-22</v>
          </cell>
          <cell r="G704" t="str">
            <v>Pune Hadapsar RSA</v>
          </cell>
          <cell r="J704" t="str">
            <v>Manjari</v>
          </cell>
          <cell r="K704" t="str">
            <v>Pune</v>
          </cell>
          <cell r="L704" t="str">
            <v>A</v>
          </cell>
          <cell r="O704" t="str">
            <v>A</v>
          </cell>
          <cell r="P704">
            <v>136</v>
          </cell>
          <cell r="Q704">
            <v>176</v>
          </cell>
          <cell r="R704">
            <v>112</v>
          </cell>
          <cell r="S704">
            <v>124</v>
          </cell>
          <cell r="T704">
            <v>24</v>
          </cell>
          <cell r="U704">
            <v>52</v>
          </cell>
          <cell r="V704">
            <v>264</v>
          </cell>
          <cell r="W704">
            <v>336</v>
          </cell>
          <cell r="X704">
            <v>236</v>
          </cell>
          <cell r="Y704">
            <v>264</v>
          </cell>
          <cell r="Z704">
            <v>28</v>
          </cell>
          <cell r="AA704">
            <v>72</v>
          </cell>
          <cell r="AB704">
            <v>312</v>
          </cell>
          <cell r="AC704">
            <v>236</v>
          </cell>
          <cell r="AD704">
            <v>76</v>
          </cell>
          <cell r="AE704">
            <v>600</v>
          </cell>
          <cell r="AF704">
            <v>500</v>
          </cell>
          <cell r="AG704">
            <v>100</v>
          </cell>
        </row>
        <row r="705">
          <cell r="C705">
            <v>41043524</v>
          </cell>
          <cell r="D705" t="str">
            <v>MSHSD C K PETROLEUM</v>
          </cell>
          <cell r="E705" t="str">
            <v>HPCL</v>
          </cell>
          <cell r="F705" t="str">
            <v>2021-22</v>
          </cell>
          <cell r="G705" t="str">
            <v>Pune Hadapsar RSA</v>
          </cell>
          <cell r="J705" t="str">
            <v>Manjari</v>
          </cell>
          <cell r="K705" t="str">
            <v>Pune</v>
          </cell>
          <cell r="L705" t="str">
            <v>A</v>
          </cell>
          <cell r="O705" t="str">
            <v>A</v>
          </cell>
          <cell r="P705">
            <v>143</v>
          </cell>
          <cell r="Q705">
            <v>146</v>
          </cell>
          <cell r="R705">
            <v>124</v>
          </cell>
          <cell r="S705">
            <v>128</v>
          </cell>
          <cell r="T705">
            <v>19</v>
          </cell>
          <cell r="U705">
            <v>18</v>
          </cell>
          <cell r="V705">
            <v>264</v>
          </cell>
          <cell r="W705">
            <v>249</v>
          </cell>
          <cell r="X705">
            <v>241</v>
          </cell>
          <cell r="Y705">
            <v>249</v>
          </cell>
          <cell r="Z705">
            <v>23</v>
          </cell>
          <cell r="AA705">
            <v>0</v>
          </cell>
          <cell r="AB705">
            <v>289</v>
          </cell>
          <cell r="AC705">
            <v>252</v>
          </cell>
          <cell r="AD705">
            <v>37</v>
          </cell>
          <cell r="AE705">
            <v>513</v>
          </cell>
          <cell r="AF705">
            <v>490</v>
          </cell>
          <cell r="AG705">
            <v>23</v>
          </cell>
        </row>
        <row r="706">
          <cell r="C706">
            <v>41043527</v>
          </cell>
          <cell r="D706" t="str">
            <v>SUTAR PETROLEUM</v>
          </cell>
          <cell r="E706" t="str">
            <v>HPCL</v>
          </cell>
          <cell r="F706" t="str">
            <v>2021-22</v>
          </cell>
          <cell r="G706" t="str">
            <v>Pune City RSA</v>
          </cell>
          <cell r="J706" t="str">
            <v>HINJEWADI MANN ROAD</v>
          </cell>
          <cell r="K706" t="str">
            <v>Pune</v>
          </cell>
          <cell r="L706" t="str">
            <v>A</v>
          </cell>
          <cell r="O706" t="str">
            <v>A</v>
          </cell>
          <cell r="P706">
            <v>228</v>
          </cell>
          <cell r="Q706">
            <v>272</v>
          </cell>
          <cell r="R706">
            <v>184</v>
          </cell>
          <cell r="S706">
            <v>176</v>
          </cell>
          <cell r="T706">
            <v>44</v>
          </cell>
          <cell r="U706">
            <v>96</v>
          </cell>
          <cell r="V706">
            <v>426</v>
          </cell>
          <cell r="W706">
            <v>518</v>
          </cell>
          <cell r="X706">
            <v>357</v>
          </cell>
          <cell r="Y706">
            <v>345</v>
          </cell>
          <cell r="Z706">
            <v>69</v>
          </cell>
          <cell r="AA706">
            <v>173</v>
          </cell>
          <cell r="AB706">
            <v>500</v>
          </cell>
          <cell r="AC706">
            <v>360</v>
          </cell>
          <cell r="AD706">
            <v>140</v>
          </cell>
          <cell r="AE706">
            <v>944</v>
          </cell>
          <cell r="AF706">
            <v>702</v>
          </cell>
          <cell r="AG706">
            <v>242</v>
          </cell>
        </row>
        <row r="707">
          <cell r="C707">
            <v>41043529</v>
          </cell>
          <cell r="D707" t="str">
            <v>DATTAGURU PETROLEUM</v>
          </cell>
          <cell r="E707" t="str">
            <v>HPCL</v>
          </cell>
          <cell r="F707" t="str">
            <v>2021-22</v>
          </cell>
          <cell r="G707" t="str">
            <v>Pimpri Chinchwad RSA</v>
          </cell>
          <cell r="J707" t="str">
            <v>CHIKHLI</v>
          </cell>
          <cell r="K707" t="str">
            <v>Pune</v>
          </cell>
          <cell r="L707" t="str">
            <v>A</v>
          </cell>
          <cell r="O707" t="str">
            <v>A</v>
          </cell>
          <cell r="P707">
            <v>189</v>
          </cell>
          <cell r="Q707">
            <v>345</v>
          </cell>
          <cell r="R707">
            <v>180</v>
          </cell>
          <cell r="S707">
            <v>331</v>
          </cell>
          <cell r="T707">
            <v>9</v>
          </cell>
          <cell r="U707">
            <v>14</v>
          </cell>
          <cell r="V707">
            <v>373</v>
          </cell>
          <cell r="W707">
            <v>744</v>
          </cell>
          <cell r="X707">
            <v>372</v>
          </cell>
          <cell r="Y707">
            <v>638</v>
          </cell>
          <cell r="Z707">
            <v>1</v>
          </cell>
          <cell r="AA707">
            <v>106</v>
          </cell>
          <cell r="AB707">
            <v>534</v>
          </cell>
          <cell r="AC707">
            <v>511</v>
          </cell>
          <cell r="AD707">
            <v>23</v>
          </cell>
          <cell r="AE707">
            <v>1117</v>
          </cell>
          <cell r="AF707">
            <v>1010</v>
          </cell>
          <cell r="AG707">
            <v>107</v>
          </cell>
        </row>
        <row r="708">
          <cell r="C708">
            <v>41043531</v>
          </cell>
          <cell r="D708" t="str">
            <v>Mahalaxmi Energy</v>
          </cell>
          <cell r="E708" t="str">
            <v>HPCL</v>
          </cell>
          <cell r="F708" t="str">
            <v>2021-22</v>
          </cell>
          <cell r="G708" t="str">
            <v>Pune Tathawade RSA</v>
          </cell>
          <cell r="J708" t="str">
            <v>DEHU ROAD TO BALEWADI</v>
          </cell>
          <cell r="K708" t="str">
            <v>Pune</v>
          </cell>
          <cell r="L708" t="str">
            <v>A</v>
          </cell>
          <cell r="M708" t="str">
            <v>NH-48</v>
          </cell>
          <cell r="O708" t="str">
            <v>A</v>
          </cell>
          <cell r="P708">
            <v>293</v>
          </cell>
          <cell r="Q708">
            <v>355</v>
          </cell>
          <cell r="R708">
            <v>274</v>
          </cell>
          <cell r="S708">
            <v>254</v>
          </cell>
          <cell r="T708">
            <v>19</v>
          </cell>
          <cell r="U708">
            <v>101</v>
          </cell>
          <cell r="V708">
            <v>518</v>
          </cell>
          <cell r="W708">
            <v>636</v>
          </cell>
          <cell r="X708">
            <v>532</v>
          </cell>
          <cell r="Y708">
            <v>490</v>
          </cell>
          <cell r="Z708">
            <v>-14</v>
          </cell>
          <cell r="AA708">
            <v>146</v>
          </cell>
          <cell r="AB708">
            <v>648</v>
          </cell>
          <cell r="AC708">
            <v>528</v>
          </cell>
          <cell r="AD708">
            <v>120</v>
          </cell>
          <cell r="AE708">
            <v>1154</v>
          </cell>
          <cell r="AF708">
            <v>1022</v>
          </cell>
          <cell r="AG708">
            <v>132</v>
          </cell>
        </row>
        <row r="709">
          <cell r="C709">
            <v>41043534</v>
          </cell>
          <cell r="D709" t="str">
            <v>Indrayani Petroleum</v>
          </cell>
          <cell r="E709" t="str">
            <v>HPCL</v>
          </cell>
          <cell r="F709" t="str">
            <v>2021-22</v>
          </cell>
          <cell r="G709" t="str">
            <v>Pimpri Chinchwad RSA</v>
          </cell>
          <cell r="J709" t="str">
            <v>Tulapur</v>
          </cell>
          <cell r="K709" t="str">
            <v>Pune</v>
          </cell>
          <cell r="L709" t="str">
            <v>D2</v>
          </cell>
          <cell r="O709" t="str">
            <v>B</v>
          </cell>
          <cell r="P709">
            <v>34</v>
          </cell>
          <cell r="Q709">
            <v>88</v>
          </cell>
          <cell r="R709">
            <v>30</v>
          </cell>
          <cell r="S709">
            <v>90</v>
          </cell>
          <cell r="T709">
            <v>4</v>
          </cell>
          <cell r="U709">
            <v>-2</v>
          </cell>
          <cell r="V709">
            <v>66</v>
          </cell>
          <cell r="W709">
            <v>168</v>
          </cell>
          <cell r="X709">
            <v>62</v>
          </cell>
          <cell r="Y709">
            <v>176</v>
          </cell>
          <cell r="Z709">
            <v>4</v>
          </cell>
          <cell r="AA709">
            <v>-8</v>
          </cell>
          <cell r="AB709">
            <v>122</v>
          </cell>
          <cell r="AC709">
            <v>120</v>
          </cell>
          <cell r="AD709">
            <v>2</v>
          </cell>
          <cell r="AE709">
            <v>234</v>
          </cell>
          <cell r="AF709">
            <v>238</v>
          </cell>
          <cell r="AG709">
            <v>-4</v>
          </cell>
        </row>
        <row r="710">
          <cell r="C710">
            <v>41043536</v>
          </cell>
          <cell r="D710" t="str">
            <v>PRASHANT PETROLEUM</v>
          </cell>
          <cell r="E710" t="str">
            <v>HPCL</v>
          </cell>
          <cell r="F710" t="str">
            <v>2021-22</v>
          </cell>
          <cell r="G710" t="str">
            <v>Pimpri Chinchwad RSA</v>
          </cell>
          <cell r="J710" t="str">
            <v>Induri</v>
          </cell>
          <cell r="K710" t="str">
            <v>Pune</v>
          </cell>
          <cell r="L710" t="str">
            <v>D1</v>
          </cell>
          <cell r="M710" t="str">
            <v>NH-548D</v>
          </cell>
          <cell r="O710" t="str">
            <v>B</v>
          </cell>
          <cell r="P710">
            <v>114</v>
          </cell>
          <cell r="Q710">
            <v>316</v>
          </cell>
          <cell r="R710">
            <v>123</v>
          </cell>
          <cell r="S710">
            <v>287</v>
          </cell>
          <cell r="T710">
            <v>-9</v>
          </cell>
          <cell r="U710">
            <v>29</v>
          </cell>
          <cell r="V710">
            <v>205</v>
          </cell>
          <cell r="W710">
            <v>510</v>
          </cell>
          <cell r="X710">
            <v>243</v>
          </cell>
          <cell r="Y710">
            <v>542</v>
          </cell>
          <cell r="Z710">
            <v>-38</v>
          </cell>
          <cell r="AA710">
            <v>-32</v>
          </cell>
          <cell r="AB710">
            <v>430</v>
          </cell>
          <cell r="AC710">
            <v>410</v>
          </cell>
          <cell r="AD710">
            <v>20</v>
          </cell>
          <cell r="AE710">
            <v>715</v>
          </cell>
          <cell r="AF710">
            <v>785</v>
          </cell>
          <cell r="AG710">
            <v>-70</v>
          </cell>
        </row>
        <row r="711">
          <cell r="C711">
            <v>41043708</v>
          </cell>
          <cell r="D711" t="str">
            <v>SHRI BHULESHWAR PETROLEUM</v>
          </cell>
          <cell r="E711" t="str">
            <v>HPCL</v>
          </cell>
          <cell r="F711" t="str">
            <v>2021-22</v>
          </cell>
          <cell r="G711" t="str">
            <v>Pune Hadapsar RSA</v>
          </cell>
          <cell r="J711" t="str">
            <v>Malshiras</v>
          </cell>
          <cell r="K711" t="str">
            <v>Pune</v>
          </cell>
          <cell r="L711" t="str">
            <v>D2</v>
          </cell>
          <cell r="O711" t="str">
            <v>A</v>
          </cell>
          <cell r="P711">
            <v>27</v>
          </cell>
          <cell r="Q711">
            <v>109</v>
          </cell>
          <cell r="R711">
            <v>26</v>
          </cell>
          <cell r="S711">
            <v>58</v>
          </cell>
          <cell r="T711">
            <v>1</v>
          </cell>
          <cell r="U711">
            <v>51</v>
          </cell>
          <cell r="V711">
            <v>51</v>
          </cell>
          <cell r="W711">
            <v>205</v>
          </cell>
          <cell r="X711">
            <v>50</v>
          </cell>
          <cell r="Y711">
            <v>138</v>
          </cell>
          <cell r="Z711">
            <v>1</v>
          </cell>
          <cell r="AA711">
            <v>67</v>
          </cell>
          <cell r="AB711">
            <v>136</v>
          </cell>
          <cell r="AC711">
            <v>84</v>
          </cell>
          <cell r="AD711">
            <v>52</v>
          </cell>
          <cell r="AE711">
            <v>256</v>
          </cell>
          <cell r="AF711">
            <v>188</v>
          </cell>
          <cell r="AG711">
            <v>68</v>
          </cell>
        </row>
        <row r="712">
          <cell r="C712">
            <v>41043711</v>
          </cell>
          <cell r="D712" t="str">
            <v>OM SAI SIDDHI PETROLEUM</v>
          </cell>
          <cell r="E712" t="str">
            <v>HPCL</v>
          </cell>
          <cell r="F712" t="str">
            <v>2021-22</v>
          </cell>
          <cell r="G712" t="str">
            <v>Pune Wagholi RSA</v>
          </cell>
          <cell r="J712" t="str">
            <v>Nhawra Village SH</v>
          </cell>
          <cell r="K712" t="str">
            <v>Pune</v>
          </cell>
          <cell r="L712" t="str">
            <v>D2</v>
          </cell>
          <cell r="O712" t="str">
            <v>A</v>
          </cell>
          <cell r="P712">
            <v>26</v>
          </cell>
          <cell r="Q712">
            <v>48</v>
          </cell>
          <cell r="R712">
            <v>22</v>
          </cell>
          <cell r="S712">
            <v>30</v>
          </cell>
          <cell r="T712">
            <v>4</v>
          </cell>
          <cell r="U712">
            <v>18</v>
          </cell>
          <cell r="V712">
            <v>45</v>
          </cell>
          <cell r="W712">
            <v>77</v>
          </cell>
          <cell r="X712">
            <v>46</v>
          </cell>
          <cell r="Y712">
            <v>68</v>
          </cell>
          <cell r="Z712">
            <v>-1</v>
          </cell>
          <cell r="AA712">
            <v>9</v>
          </cell>
          <cell r="AB712">
            <v>74</v>
          </cell>
          <cell r="AC712">
            <v>52</v>
          </cell>
          <cell r="AD712">
            <v>22</v>
          </cell>
          <cell r="AE712">
            <v>122</v>
          </cell>
          <cell r="AF712">
            <v>114</v>
          </cell>
          <cell r="AG712">
            <v>8</v>
          </cell>
        </row>
        <row r="713">
          <cell r="C713">
            <v>41043713</v>
          </cell>
          <cell r="D713" t="str">
            <v>SHRI MAHALAKSHMI PETROLEUM</v>
          </cell>
          <cell r="E713" t="str">
            <v>HPCL</v>
          </cell>
          <cell r="F713" t="str">
            <v>2021-22</v>
          </cell>
          <cell r="G713" t="str">
            <v>Pune Wagholi RSA</v>
          </cell>
          <cell r="J713" t="str">
            <v>Gunjalwadi P4</v>
          </cell>
          <cell r="K713" t="str">
            <v>Pune</v>
          </cell>
          <cell r="L713" t="str">
            <v>E</v>
          </cell>
          <cell r="O713" t="str">
            <v>A</v>
          </cell>
          <cell r="P713">
            <v>44</v>
          </cell>
          <cell r="Q713">
            <v>54</v>
          </cell>
          <cell r="R713">
            <v>39</v>
          </cell>
          <cell r="S713">
            <v>45</v>
          </cell>
          <cell r="T713">
            <v>5</v>
          </cell>
          <cell r="U713">
            <v>9</v>
          </cell>
          <cell r="V713">
            <v>76</v>
          </cell>
          <cell r="W713">
            <v>82</v>
          </cell>
          <cell r="X713">
            <v>74</v>
          </cell>
          <cell r="Y713">
            <v>88</v>
          </cell>
          <cell r="Z713">
            <v>2</v>
          </cell>
          <cell r="AA713">
            <v>-6</v>
          </cell>
          <cell r="AB713">
            <v>98</v>
          </cell>
          <cell r="AC713">
            <v>84</v>
          </cell>
          <cell r="AD713">
            <v>14</v>
          </cell>
          <cell r="AE713">
            <v>158</v>
          </cell>
          <cell r="AF713">
            <v>162</v>
          </cell>
          <cell r="AG713">
            <v>-4</v>
          </cell>
        </row>
        <row r="714">
          <cell r="C714">
            <v>41043715</v>
          </cell>
          <cell r="D714" t="str">
            <v>BHAIRAVNATH FUEL STATION</v>
          </cell>
          <cell r="E714" t="str">
            <v>HPCL</v>
          </cell>
          <cell r="F714" t="str">
            <v>2021-22</v>
          </cell>
          <cell r="G714" t="str">
            <v>Pune Hadapsar RSA</v>
          </cell>
          <cell r="J714" t="str">
            <v>Vasunde</v>
          </cell>
          <cell r="K714" t="str">
            <v>Pune</v>
          </cell>
          <cell r="L714" t="str">
            <v>D1</v>
          </cell>
          <cell r="M714" t="str">
            <v>NH-965G</v>
          </cell>
          <cell r="O714" t="str">
            <v>A</v>
          </cell>
          <cell r="P714">
            <v>16</v>
          </cell>
          <cell r="Q714">
            <v>82</v>
          </cell>
          <cell r="R714">
            <v>17</v>
          </cell>
          <cell r="S714">
            <v>69</v>
          </cell>
          <cell r="T714">
            <v>-1</v>
          </cell>
          <cell r="U714">
            <v>13</v>
          </cell>
          <cell r="V714">
            <v>29</v>
          </cell>
          <cell r="W714">
            <v>147</v>
          </cell>
          <cell r="X714">
            <v>27</v>
          </cell>
          <cell r="Y714">
            <v>139</v>
          </cell>
          <cell r="Z714">
            <v>2</v>
          </cell>
          <cell r="AA714">
            <v>8</v>
          </cell>
          <cell r="AB714">
            <v>98</v>
          </cell>
          <cell r="AC714">
            <v>86</v>
          </cell>
          <cell r="AD714">
            <v>12</v>
          </cell>
          <cell r="AE714">
            <v>176</v>
          </cell>
          <cell r="AF714">
            <v>166</v>
          </cell>
          <cell r="AG714">
            <v>10</v>
          </cell>
        </row>
        <row r="715">
          <cell r="C715">
            <v>41043717</v>
          </cell>
          <cell r="D715" t="str">
            <v>VENKATESHA PETROLEUM</v>
          </cell>
          <cell r="E715" t="str">
            <v>HPCL</v>
          </cell>
          <cell r="F715" t="str">
            <v>2021-22</v>
          </cell>
          <cell r="G715" t="str">
            <v>Satara East RSA</v>
          </cell>
          <cell r="J715" t="str">
            <v>VIKHALE</v>
          </cell>
          <cell r="K715" t="str">
            <v>Satara</v>
          </cell>
          <cell r="L715" t="str">
            <v>D2</v>
          </cell>
          <cell r="O715" t="str">
            <v>A</v>
          </cell>
          <cell r="P715">
            <v>47</v>
          </cell>
          <cell r="Q715">
            <v>107</v>
          </cell>
          <cell r="R715">
            <v>37</v>
          </cell>
          <cell r="S715">
            <v>61</v>
          </cell>
          <cell r="T715">
            <v>10</v>
          </cell>
          <cell r="U715">
            <v>46</v>
          </cell>
          <cell r="V715">
            <v>91.5</v>
          </cell>
          <cell r="W715">
            <v>202.5</v>
          </cell>
          <cell r="X715">
            <v>73</v>
          </cell>
          <cell r="Y715">
            <v>133</v>
          </cell>
          <cell r="Z715">
            <v>18.5</v>
          </cell>
          <cell r="AA715">
            <v>69.5</v>
          </cell>
          <cell r="AB715">
            <v>154</v>
          </cell>
          <cell r="AC715">
            <v>98</v>
          </cell>
          <cell r="AD715">
            <v>56</v>
          </cell>
          <cell r="AE715">
            <v>294</v>
          </cell>
          <cell r="AF715">
            <v>206</v>
          </cell>
          <cell r="AG715">
            <v>88</v>
          </cell>
        </row>
        <row r="716">
          <cell r="C716">
            <v>41043720</v>
          </cell>
          <cell r="D716" t="str">
            <v>GAWADE PETROLEUM</v>
          </cell>
          <cell r="E716" t="str">
            <v>HPCL</v>
          </cell>
          <cell r="F716" t="str">
            <v>2021-22</v>
          </cell>
          <cell r="G716" t="str">
            <v>Pune Wagholi RSA</v>
          </cell>
          <cell r="J716" t="str">
            <v>Khed Pabal Road</v>
          </cell>
          <cell r="K716" t="str">
            <v>Pune</v>
          </cell>
          <cell r="L716" t="str">
            <v>D2</v>
          </cell>
          <cell r="O716" t="str">
            <v>B</v>
          </cell>
          <cell r="P716">
            <v>40</v>
          </cell>
          <cell r="Q716">
            <v>162</v>
          </cell>
          <cell r="R716">
            <v>40</v>
          </cell>
          <cell r="S716">
            <v>104</v>
          </cell>
          <cell r="T716">
            <v>0</v>
          </cell>
          <cell r="U716">
            <v>58</v>
          </cell>
          <cell r="V716">
            <v>70</v>
          </cell>
          <cell r="W716">
            <v>264</v>
          </cell>
          <cell r="X716">
            <v>76</v>
          </cell>
          <cell r="Y716">
            <v>200</v>
          </cell>
          <cell r="Z716">
            <v>-6</v>
          </cell>
          <cell r="AA716">
            <v>64</v>
          </cell>
          <cell r="AB716">
            <v>202</v>
          </cell>
          <cell r="AC716">
            <v>144</v>
          </cell>
          <cell r="AD716">
            <v>58</v>
          </cell>
          <cell r="AE716">
            <v>334</v>
          </cell>
          <cell r="AF716">
            <v>276</v>
          </cell>
          <cell r="AG716">
            <v>58</v>
          </cell>
        </row>
        <row r="717">
          <cell r="C717">
            <v>41043723</v>
          </cell>
          <cell r="D717" t="str">
            <v>Shri Vighnahar SSL Ltd</v>
          </cell>
          <cell r="E717" t="str">
            <v>HPCL</v>
          </cell>
          <cell r="F717" t="str">
            <v>2021-22</v>
          </cell>
          <cell r="G717" t="str">
            <v>Pune Wagholi RSA</v>
          </cell>
          <cell r="J717" t="str">
            <v>Wafgaon</v>
          </cell>
          <cell r="K717" t="str">
            <v>Pune</v>
          </cell>
          <cell r="L717" t="str">
            <v>E</v>
          </cell>
          <cell r="O717" t="str">
            <v>A</v>
          </cell>
          <cell r="P717">
            <v>36</v>
          </cell>
          <cell r="Q717">
            <v>52</v>
          </cell>
          <cell r="R717">
            <v>38</v>
          </cell>
          <cell r="S717">
            <v>138</v>
          </cell>
          <cell r="T717">
            <v>-2</v>
          </cell>
          <cell r="U717">
            <v>-86</v>
          </cell>
          <cell r="V717">
            <v>58</v>
          </cell>
          <cell r="W717">
            <v>74</v>
          </cell>
          <cell r="X717">
            <v>78</v>
          </cell>
          <cell r="Y717">
            <v>516</v>
          </cell>
          <cell r="Z717">
            <v>-20</v>
          </cell>
          <cell r="AA717">
            <v>-442</v>
          </cell>
          <cell r="AB717">
            <v>88</v>
          </cell>
          <cell r="AC717">
            <v>176</v>
          </cell>
          <cell r="AD717">
            <v>-88</v>
          </cell>
          <cell r="AE717">
            <v>132</v>
          </cell>
          <cell r="AF717">
            <v>594</v>
          </cell>
          <cell r="AG717">
            <v>-462</v>
          </cell>
        </row>
        <row r="718">
          <cell r="C718">
            <v>41043726</v>
          </cell>
          <cell r="D718" t="str">
            <v>JK PETROLEUM</v>
          </cell>
          <cell r="E718" t="str">
            <v>HPCL</v>
          </cell>
          <cell r="F718" t="str">
            <v>2021-22</v>
          </cell>
          <cell r="G718" t="str">
            <v>Satara East RSA</v>
          </cell>
          <cell r="J718" t="str">
            <v>MALAVADI</v>
          </cell>
          <cell r="K718" t="str">
            <v>Satara</v>
          </cell>
          <cell r="L718" t="str">
            <v>E</v>
          </cell>
          <cell r="O718" t="str">
            <v>A</v>
          </cell>
          <cell r="P718">
            <v>42</v>
          </cell>
          <cell r="Q718">
            <v>70</v>
          </cell>
          <cell r="R718">
            <v>17.5</v>
          </cell>
          <cell r="S718">
            <v>24.5</v>
          </cell>
          <cell r="T718">
            <v>24.5</v>
          </cell>
          <cell r="U718">
            <v>45.5</v>
          </cell>
          <cell r="V718">
            <v>59.5</v>
          </cell>
          <cell r="W718">
            <v>108.5</v>
          </cell>
          <cell r="X718">
            <v>38.5</v>
          </cell>
          <cell r="Y718">
            <v>45.5</v>
          </cell>
          <cell r="Z718">
            <v>21</v>
          </cell>
          <cell r="AA718">
            <v>63</v>
          </cell>
          <cell r="AB718">
            <v>112</v>
          </cell>
          <cell r="AC718">
            <v>42</v>
          </cell>
          <cell r="AD718">
            <v>70</v>
          </cell>
          <cell r="AE718">
            <v>168</v>
          </cell>
          <cell r="AF718">
            <v>84</v>
          </cell>
          <cell r="AG718">
            <v>84</v>
          </cell>
        </row>
        <row r="719">
          <cell r="C719">
            <v>41043729</v>
          </cell>
          <cell r="D719" t="str">
            <v>Siddhivinayak Service Station</v>
          </cell>
          <cell r="E719" t="str">
            <v>HPCL</v>
          </cell>
          <cell r="F719" t="str">
            <v>2021-22</v>
          </cell>
          <cell r="G719" t="str">
            <v>Pune Hadapsar RSA</v>
          </cell>
          <cell r="J719" t="str">
            <v>Virobawadi</v>
          </cell>
          <cell r="K719" t="str">
            <v>Pune</v>
          </cell>
          <cell r="L719" t="str">
            <v>D2</v>
          </cell>
          <cell r="O719" t="str">
            <v>A</v>
          </cell>
          <cell r="P719">
            <v>46</v>
          </cell>
          <cell r="Q719">
            <v>228</v>
          </cell>
          <cell r="R719">
            <v>46</v>
          </cell>
          <cell r="S719">
            <v>228</v>
          </cell>
          <cell r="T719">
            <v>0</v>
          </cell>
          <cell r="U719">
            <v>0</v>
          </cell>
          <cell r="V719">
            <v>88</v>
          </cell>
          <cell r="W719">
            <v>424</v>
          </cell>
          <cell r="X719">
            <v>80</v>
          </cell>
          <cell r="Y719">
            <v>428</v>
          </cell>
          <cell r="Z719">
            <v>8</v>
          </cell>
          <cell r="AA719">
            <v>-4</v>
          </cell>
          <cell r="AB719">
            <v>274</v>
          </cell>
          <cell r="AC719">
            <v>274</v>
          </cell>
          <cell r="AD719">
            <v>0</v>
          </cell>
          <cell r="AE719">
            <v>512</v>
          </cell>
          <cell r="AF719">
            <v>508</v>
          </cell>
          <cell r="AG719">
            <v>4</v>
          </cell>
        </row>
        <row r="720">
          <cell r="C720">
            <v>41043732</v>
          </cell>
          <cell r="D720" t="str">
            <v>SHRIRAM PETROLEUM</v>
          </cell>
          <cell r="E720" t="str">
            <v>HPCL</v>
          </cell>
          <cell r="F720" t="str">
            <v>2022-23</v>
          </cell>
          <cell r="G720" t="str">
            <v>Satara West RSA</v>
          </cell>
          <cell r="J720" t="str">
            <v>Shendre to Borgaon</v>
          </cell>
          <cell r="K720" t="str">
            <v>Satara</v>
          </cell>
          <cell r="L720" t="str">
            <v>D1</v>
          </cell>
          <cell r="M720" t="str">
            <v>NH-48</v>
          </cell>
          <cell r="O720" t="str">
            <v>B</v>
          </cell>
          <cell r="P720">
            <v>93</v>
          </cell>
          <cell r="Q720">
            <v>159</v>
          </cell>
          <cell r="R720">
            <v>92</v>
          </cell>
          <cell r="S720">
            <v>146</v>
          </cell>
          <cell r="T720">
            <v>1</v>
          </cell>
          <cell r="U720">
            <v>13</v>
          </cell>
          <cell r="V720">
            <v>171</v>
          </cell>
          <cell r="W720">
            <v>291</v>
          </cell>
          <cell r="X720">
            <v>191</v>
          </cell>
          <cell r="Y720">
            <v>285</v>
          </cell>
          <cell r="Z720">
            <v>-20</v>
          </cell>
          <cell r="AA720">
            <v>6</v>
          </cell>
          <cell r="AB720">
            <v>252</v>
          </cell>
          <cell r="AC720">
            <v>238</v>
          </cell>
          <cell r="AD720">
            <v>14</v>
          </cell>
          <cell r="AE720">
            <v>462</v>
          </cell>
          <cell r="AF720">
            <v>476</v>
          </cell>
          <cell r="AG720">
            <v>-14</v>
          </cell>
        </row>
        <row r="721">
          <cell r="C721">
            <v>41043735</v>
          </cell>
          <cell r="D721" t="str">
            <v>KRUPASINDHU PETROLEUM</v>
          </cell>
          <cell r="E721" t="str">
            <v>HPCL</v>
          </cell>
          <cell r="F721" t="str">
            <v>2021-22</v>
          </cell>
          <cell r="G721" t="str">
            <v>Satara East RSA</v>
          </cell>
          <cell r="J721" t="str">
            <v>Kumthe</v>
          </cell>
          <cell r="K721" t="str">
            <v>Satara</v>
          </cell>
          <cell r="L721" t="str">
            <v>E</v>
          </cell>
          <cell r="O721" t="str">
            <v>A</v>
          </cell>
          <cell r="P721">
            <v>0</v>
          </cell>
          <cell r="Q721">
            <v>0</v>
          </cell>
          <cell r="R721">
            <v>5</v>
          </cell>
          <cell r="S721">
            <v>9</v>
          </cell>
          <cell r="T721">
            <v>-5</v>
          </cell>
          <cell r="U721">
            <v>-9</v>
          </cell>
          <cell r="V721">
            <v>0</v>
          </cell>
          <cell r="W721">
            <v>0</v>
          </cell>
          <cell r="X721">
            <v>34</v>
          </cell>
          <cell r="Y721">
            <v>44</v>
          </cell>
          <cell r="Z721">
            <v>-34</v>
          </cell>
          <cell r="AA721">
            <v>-44</v>
          </cell>
          <cell r="AB721">
            <v>0</v>
          </cell>
          <cell r="AC721">
            <v>14</v>
          </cell>
          <cell r="AD721">
            <v>-14</v>
          </cell>
          <cell r="AE721">
            <v>0</v>
          </cell>
          <cell r="AF721">
            <v>78</v>
          </cell>
          <cell r="AG721">
            <v>-78</v>
          </cell>
        </row>
        <row r="722">
          <cell r="C722">
            <v>41043737</v>
          </cell>
          <cell r="D722" t="str">
            <v>MSHSD MANDEKAR PETROLEUM</v>
          </cell>
          <cell r="E722" t="str">
            <v>HPCL</v>
          </cell>
          <cell r="F722" t="str">
            <v>2021-22</v>
          </cell>
          <cell r="G722" t="str">
            <v>Pune City RSA</v>
          </cell>
          <cell r="J722" t="str">
            <v>J M ROAD</v>
          </cell>
          <cell r="K722" t="str">
            <v>Pune</v>
          </cell>
          <cell r="L722" t="str">
            <v>A</v>
          </cell>
          <cell r="O722" t="str">
            <v>A</v>
          </cell>
          <cell r="P722">
            <v>96</v>
          </cell>
          <cell r="Q722">
            <v>254</v>
          </cell>
          <cell r="R722">
            <v>94</v>
          </cell>
          <cell r="S722">
            <v>136</v>
          </cell>
          <cell r="T722">
            <v>2</v>
          </cell>
          <cell r="U722">
            <v>118</v>
          </cell>
          <cell r="V722">
            <v>178</v>
          </cell>
          <cell r="W722">
            <v>466</v>
          </cell>
          <cell r="X722">
            <v>186</v>
          </cell>
          <cell r="Y722">
            <v>284</v>
          </cell>
          <cell r="Z722">
            <v>-8</v>
          </cell>
          <cell r="AA722">
            <v>182</v>
          </cell>
          <cell r="AB722">
            <v>350</v>
          </cell>
          <cell r="AC722">
            <v>230</v>
          </cell>
          <cell r="AD722">
            <v>120</v>
          </cell>
          <cell r="AE722">
            <v>644</v>
          </cell>
          <cell r="AF722">
            <v>470</v>
          </cell>
          <cell r="AG722">
            <v>174</v>
          </cell>
        </row>
        <row r="723">
          <cell r="C723">
            <v>41043746</v>
          </cell>
          <cell r="D723" t="str">
            <v>OJASVI PETROLEUM</v>
          </cell>
          <cell r="E723" t="str">
            <v>HPCL</v>
          </cell>
          <cell r="F723" t="str">
            <v>2021-22</v>
          </cell>
          <cell r="G723" t="str">
            <v>Pune Saswad RSA</v>
          </cell>
          <cell r="J723" t="str">
            <v>KALAS INDAPUR</v>
          </cell>
          <cell r="K723" t="str">
            <v>Pune</v>
          </cell>
          <cell r="L723" t="str">
            <v>D2</v>
          </cell>
          <cell r="O723" t="str">
            <v>A</v>
          </cell>
          <cell r="P723">
            <v>20</v>
          </cell>
          <cell r="Q723">
            <v>36</v>
          </cell>
          <cell r="R723">
            <v>15</v>
          </cell>
          <cell r="S723">
            <v>37</v>
          </cell>
          <cell r="T723">
            <v>5</v>
          </cell>
          <cell r="U723">
            <v>-1</v>
          </cell>
          <cell r="V723">
            <v>36</v>
          </cell>
          <cell r="W723">
            <v>90</v>
          </cell>
          <cell r="X723">
            <v>28</v>
          </cell>
          <cell r="Y723">
            <v>78</v>
          </cell>
          <cell r="Z723">
            <v>8</v>
          </cell>
          <cell r="AA723">
            <v>12</v>
          </cell>
          <cell r="AB723">
            <v>56</v>
          </cell>
          <cell r="AC723">
            <v>52</v>
          </cell>
          <cell r="AD723">
            <v>4</v>
          </cell>
          <cell r="AE723">
            <v>126</v>
          </cell>
          <cell r="AF723">
            <v>106</v>
          </cell>
          <cell r="AG723">
            <v>20</v>
          </cell>
        </row>
        <row r="724">
          <cell r="C724">
            <v>41043748</v>
          </cell>
          <cell r="D724" t="str">
            <v>SHREE GANESH PETROLEUM</v>
          </cell>
          <cell r="E724" t="str">
            <v>HPCL</v>
          </cell>
          <cell r="F724" t="str">
            <v>2021-22</v>
          </cell>
          <cell r="G724" t="str">
            <v>Satara West RSA</v>
          </cell>
          <cell r="J724" t="str">
            <v>WATHAR TO KARAD</v>
          </cell>
          <cell r="K724" t="str">
            <v>Satara</v>
          </cell>
          <cell r="L724" t="str">
            <v>D1</v>
          </cell>
          <cell r="M724" t="str">
            <v>NH-48</v>
          </cell>
          <cell r="O724" t="str">
            <v>B</v>
          </cell>
          <cell r="P724">
            <v>66.5</v>
          </cell>
          <cell r="Q724">
            <v>157.5</v>
          </cell>
          <cell r="R724">
            <v>46.5</v>
          </cell>
          <cell r="S724">
            <v>65.5</v>
          </cell>
          <cell r="T724">
            <v>20</v>
          </cell>
          <cell r="U724">
            <v>92</v>
          </cell>
          <cell r="V724">
            <v>108.5</v>
          </cell>
          <cell r="W724">
            <v>255.5</v>
          </cell>
          <cell r="X724">
            <v>97</v>
          </cell>
          <cell r="Y724">
            <v>141</v>
          </cell>
          <cell r="Z724">
            <v>11.5</v>
          </cell>
          <cell r="AA724">
            <v>114.5</v>
          </cell>
          <cell r="AB724">
            <v>224</v>
          </cell>
          <cell r="AC724">
            <v>112</v>
          </cell>
          <cell r="AD724">
            <v>112</v>
          </cell>
          <cell r="AE724">
            <v>364</v>
          </cell>
          <cell r="AF724">
            <v>238</v>
          </cell>
          <cell r="AG724">
            <v>126</v>
          </cell>
        </row>
        <row r="725">
          <cell r="C725">
            <v>41043754</v>
          </cell>
          <cell r="D725" t="str">
            <v>MEENAKSHI PETROLEUM</v>
          </cell>
          <cell r="E725" t="str">
            <v>HPCL</v>
          </cell>
          <cell r="F725" t="str">
            <v>2021-22</v>
          </cell>
          <cell r="G725" t="str">
            <v>Pune Saswad RSA</v>
          </cell>
          <cell r="J725" t="str">
            <v>BHIGWAN</v>
          </cell>
          <cell r="K725" t="str">
            <v>Pune</v>
          </cell>
          <cell r="L725" t="str">
            <v>D1</v>
          </cell>
          <cell r="M725" t="str">
            <v>NH-65</v>
          </cell>
          <cell r="O725" t="str">
            <v>A</v>
          </cell>
          <cell r="P725">
            <v>62</v>
          </cell>
          <cell r="Q725">
            <v>142</v>
          </cell>
          <cell r="R725">
            <v>60</v>
          </cell>
          <cell r="S725">
            <v>150</v>
          </cell>
          <cell r="T725">
            <v>2</v>
          </cell>
          <cell r="U725">
            <v>-8</v>
          </cell>
          <cell r="V725">
            <v>120</v>
          </cell>
          <cell r="W725">
            <v>272</v>
          </cell>
          <cell r="X725">
            <v>116</v>
          </cell>
          <cell r="Y725">
            <v>282</v>
          </cell>
          <cell r="Z725">
            <v>4</v>
          </cell>
          <cell r="AA725">
            <v>-10</v>
          </cell>
          <cell r="AB725">
            <v>204</v>
          </cell>
          <cell r="AC725">
            <v>210</v>
          </cell>
          <cell r="AD725">
            <v>-6</v>
          </cell>
          <cell r="AE725">
            <v>392</v>
          </cell>
          <cell r="AF725">
            <v>398</v>
          </cell>
          <cell r="AG725">
            <v>-6</v>
          </cell>
        </row>
        <row r="726">
          <cell r="C726">
            <v>41043868</v>
          </cell>
          <cell r="D726" t="str">
            <v>SHIVRAJ PETROLEUM(Jan'09)</v>
          </cell>
          <cell r="E726" t="str">
            <v>HPCL</v>
          </cell>
          <cell r="G726" t="str">
            <v>Satara East RSA</v>
          </cell>
          <cell r="J726" t="str">
            <v>Waduj</v>
          </cell>
          <cell r="K726" t="str">
            <v>Satara</v>
          </cell>
          <cell r="L726" t="str">
            <v>D2</v>
          </cell>
          <cell r="O726" t="str">
            <v>B</v>
          </cell>
          <cell r="P726">
            <v>57</v>
          </cell>
          <cell r="Q726">
            <v>125</v>
          </cell>
          <cell r="R726">
            <v>44</v>
          </cell>
          <cell r="S726">
            <v>96</v>
          </cell>
          <cell r="T726">
            <v>13</v>
          </cell>
          <cell r="U726">
            <v>29</v>
          </cell>
          <cell r="V726">
            <v>98</v>
          </cell>
          <cell r="W726">
            <v>210</v>
          </cell>
          <cell r="X726">
            <v>83</v>
          </cell>
          <cell r="Y726">
            <v>197</v>
          </cell>
          <cell r="Z726">
            <v>15</v>
          </cell>
          <cell r="AA726">
            <v>13</v>
          </cell>
          <cell r="AB726">
            <v>182</v>
          </cell>
          <cell r="AC726">
            <v>140</v>
          </cell>
          <cell r="AD726">
            <v>42</v>
          </cell>
          <cell r="AE726">
            <v>308</v>
          </cell>
          <cell r="AF726">
            <v>280</v>
          </cell>
          <cell r="AG726">
            <v>28</v>
          </cell>
        </row>
        <row r="727">
          <cell r="C727">
            <v>41043879</v>
          </cell>
          <cell r="D727" t="str">
            <v>SAI PETROL PUMP(HP AUTO CARE)</v>
          </cell>
          <cell r="E727" t="str">
            <v>HPCL</v>
          </cell>
          <cell r="G727" t="str">
            <v>Satara West RSA</v>
          </cell>
          <cell r="J727" t="str">
            <v>Satara City</v>
          </cell>
          <cell r="K727" t="str">
            <v>Satara</v>
          </cell>
          <cell r="L727" t="str">
            <v>C</v>
          </cell>
          <cell r="O727" t="str">
            <v>A</v>
          </cell>
          <cell r="P727">
            <v>45</v>
          </cell>
          <cell r="Q727">
            <v>15</v>
          </cell>
          <cell r="R727">
            <v>36</v>
          </cell>
          <cell r="S727">
            <v>12</v>
          </cell>
          <cell r="T727">
            <v>9</v>
          </cell>
          <cell r="U727">
            <v>3</v>
          </cell>
          <cell r="V727">
            <v>83</v>
          </cell>
          <cell r="W727">
            <v>29</v>
          </cell>
          <cell r="X727">
            <v>72</v>
          </cell>
          <cell r="Y727">
            <v>24</v>
          </cell>
          <cell r="Z727">
            <v>11</v>
          </cell>
          <cell r="AA727">
            <v>5</v>
          </cell>
          <cell r="AB727">
            <v>60</v>
          </cell>
          <cell r="AC727">
            <v>48</v>
          </cell>
          <cell r="AD727">
            <v>12</v>
          </cell>
          <cell r="AE727">
            <v>112</v>
          </cell>
          <cell r="AF727">
            <v>96</v>
          </cell>
          <cell r="AG727">
            <v>16</v>
          </cell>
        </row>
        <row r="728">
          <cell r="C728">
            <v>41043894</v>
          </cell>
          <cell r="D728" t="str">
            <v>D.P. KADAM &amp; SONS(Mar'10)</v>
          </cell>
          <cell r="E728" t="str">
            <v>HPCL</v>
          </cell>
          <cell r="G728" t="str">
            <v>Satara East RSA</v>
          </cell>
          <cell r="J728" t="str">
            <v>Pusesavali Kadepur Road</v>
          </cell>
          <cell r="K728" t="str">
            <v>Satara</v>
          </cell>
          <cell r="L728" t="str">
            <v>D2</v>
          </cell>
          <cell r="O728" t="str">
            <v>B</v>
          </cell>
          <cell r="P728">
            <v>48</v>
          </cell>
          <cell r="Q728">
            <v>60</v>
          </cell>
          <cell r="R728">
            <v>66</v>
          </cell>
          <cell r="S728">
            <v>78</v>
          </cell>
          <cell r="T728">
            <v>-18</v>
          </cell>
          <cell r="U728">
            <v>-18</v>
          </cell>
          <cell r="V728">
            <v>90</v>
          </cell>
          <cell r="W728">
            <v>118</v>
          </cell>
          <cell r="X728">
            <v>151</v>
          </cell>
          <cell r="Y728">
            <v>189</v>
          </cell>
          <cell r="Z728">
            <v>-61</v>
          </cell>
          <cell r="AA728">
            <v>-71</v>
          </cell>
          <cell r="AB728">
            <v>108</v>
          </cell>
          <cell r="AC728">
            <v>144</v>
          </cell>
          <cell r="AD728">
            <v>-36</v>
          </cell>
          <cell r="AE728">
            <v>208</v>
          </cell>
          <cell r="AF728">
            <v>340</v>
          </cell>
          <cell r="AG728">
            <v>-132</v>
          </cell>
        </row>
        <row r="729">
          <cell r="C729">
            <v>41044059</v>
          </cell>
          <cell r="D729" t="str">
            <v>Ananya Petroleum</v>
          </cell>
          <cell r="E729" t="str">
            <v>HPCL</v>
          </cell>
          <cell r="F729" t="str">
            <v>2020-21</v>
          </cell>
          <cell r="G729" t="str">
            <v>Shirdi RSA</v>
          </cell>
          <cell r="J729" t="str">
            <v>BHAIRAVNATH NAGAR</v>
          </cell>
          <cell r="K729" t="str">
            <v>Ahmednagar</v>
          </cell>
          <cell r="L729" t="str">
            <v>D2</v>
          </cell>
          <cell r="O729" t="str">
            <v>B</v>
          </cell>
          <cell r="P729">
            <v>39</v>
          </cell>
          <cell r="Q729">
            <v>81</v>
          </cell>
          <cell r="R729">
            <v>50</v>
          </cell>
          <cell r="S729">
            <v>88</v>
          </cell>
          <cell r="T729">
            <v>-11</v>
          </cell>
          <cell r="U729">
            <v>-7</v>
          </cell>
          <cell r="V729">
            <v>82</v>
          </cell>
          <cell r="W729">
            <v>146</v>
          </cell>
          <cell r="X729">
            <v>90</v>
          </cell>
          <cell r="Y729">
            <v>138</v>
          </cell>
          <cell r="Z729">
            <v>-8</v>
          </cell>
          <cell r="AA729">
            <v>8</v>
          </cell>
          <cell r="AB729">
            <v>120</v>
          </cell>
          <cell r="AC729">
            <v>138</v>
          </cell>
          <cell r="AD729">
            <v>-18</v>
          </cell>
          <cell r="AE729">
            <v>228</v>
          </cell>
          <cell r="AF729">
            <v>228</v>
          </cell>
          <cell r="AG729">
            <v>0</v>
          </cell>
        </row>
        <row r="730">
          <cell r="C730">
            <v>41044074</v>
          </cell>
          <cell r="D730" t="str">
            <v>Vaishnavimata Petroleum</v>
          </cell>
          <cell r="E730" t="str">
            <v>HPCL</v>
          </cell>
          <cell r="F730" t="str">
            <v>2020-21</v>
          </cell>
          <cell r="G730" t="str">
            <v>Ahmednagar East RSA</v>
          </cell>
          <cell r="J730" t="str">
            <v>Supe toll</v>
          </cell>
          <cell r="K730" t="str">
            <v>Ahmednagar</v>
          </cell>
          <cell r="L730" t="str">
            <v>D1</v>
          </cell>
          <cell r="M730" t="str">
            <v>NH-753F</v>
          </cell>
          <cell r="O730" t="str">
            <v>B</v>
          </cell>
          <cell r="P730">
            <v>35</v>
          </cell>
          <cell r="Q730">
            <v>125</v>
          </cell>
          <cell r="R730">
            <v>30</v>
          </cell>
          <cell r="S730">
            <v>147</v>
          </cell>
          <cell r="T730">
            <v>5</v>
          </cell>
          <cell r="U730">
            <v>-22</v>
          </cell>
          <cell r="V730">
            <v>60</v>
          </cell>
          <cell r="W730">
            <v>240</v>
          </cell>
          <cell r="X730">
            <v>59</v>
          </cell>
          <cell r="Y730">
            <v>302</v>
          </cell>
          <cell r="Z730">
            <v>1</v>
          </cell>
          <cell r="AA730">
            <v>-62</v>
          </cell>
          <cell r="AB730">
            <v>160</v>
          </cell>
          <cell r="AC730">
            <v>177</v>
          </cell>
          <cell r="AD730">
            <v>-17</v>
          </cell>
          <cell r="AE730">
            <v>300</v>
          </cell>
          <cell r="AF730">
            <v>361</v>
          </cell>
          <cell r="AG730">
            <v>-61</v>
          </cell>
        </row>
        <row r="731">
          <cell r="C731">
            <v>41044077</v>
          </cell>
          <cell r="D731" t="str">
            <v>Chandrama Petroleum</v>
          </cell>
          <cell r="E731" t="str">
            <v>HPCL</v>
          </cell>
          <cell r="F731" t="str">
            <v>2020-21</v>
          </cell>
          <cell r="G731" t="str">
            <v>Shirdi RSA</v>
          </cell>
          <cell r="J731" t="str">
            <v>RAHATA</v>
          </cell>
          <cell r="K731" t="str">
            <v>Ahmednagar</v>
          </cell>
          <cell r="L731" t="str">
            <v>D1</v>
          </cell>
          <cell r="M731" t="str">
            <v>NH-160</v>
          </cell>
          <cell r="O731" t="str">
            <v>B</v>
          </cell>
          <cell r="P731">
            <v>42</v>
          </cell>
          <cell r="Q731">
            <v>102</v>
          </cell>
          <cell r="R731">
            <v>42</v>
          </cell>
          <cell r="S731">
            <v>86</v>
          </cell>
          <cell r="T731">
            <v>0</v>
          </cell>
          <cell r="U731">
            <v>16</v>
          </cell>
          <cell r="V731">
            <v>81</v>
          </cell>
          <cell r="W731">
            <v>183</v>
          </cell>
          <cell r="X731">
            <v>89</v>
          </cell>
          <cell r="Y731">
            <v>171</v>
          </cell>
          <cell r="Z731">
            <v>-8</v>
          </cell>
          <cell r="AA731">
            <v>12</v>
          </cell>
          <cell r="AB731">
            <v>144</v>
          </cell>
          <cell r="AC731">
            <v>128</v>
          </cell>
          <cell r="AD731">
            <v>16</v>
          </cell>
          <cell r="AE731">
            <v>264</v>
          </cell>
          <cell r="AF731">
            <v>260</v>
          </cell>
          <cell r="AG731">
            <v>4</v>
          </cell>
        </row>
        <row r="732">
          <cell r="C732">
            <v>41044084</v>
          </cell>
          <cell r="D732" t="str">
            <v>Sarang Petroleum</v>
          </cell>
          <cell r="E732" t="str">
            <v>HPCL</v>
          </cell>
          <cell r="F732" t="str">
            <v>2020-21</v>
          </cell>
          <cell r="G732" t="str">
            <v>Ahmednagar East RSA</v>
          </cell>
          <cell r="J732" t="str">
            <v>Ghotan</v>
          </cell>
          <cell r="K732" t="str">
            <v>Ahmednagar</v>
          </cell>
          <cell r="L732" t="str">
            <v>D2</v>
          </cell>
          <cell r="O732" t="str">
            <v>B</v>
          </cell>
          <cell r="P732">
            <v>47</v>
          </cell>
          <cell r="Q732">
            <v>99</v>
          </cell>
          <cell r="R732">
            <v>49</v>
          </cell>
          <cell r="S732">
            <v>99</v>
          </cell>
          <cell r="T732">
            <v>-2</v>
          </cell>
          <cell r="U732">
            <v>0</v>
          </cell>
          <cell r="V732">
            <v>86</v>
          </cell>
          <cell r="W732">
            <v>168</v>
          </cell>
          <cell r="X732">
            <v>83</v>
          </cell>
          <cell r="Y732">
            <v>161</v>
          </cell>
          <cell r="Z732">
            <v>3</v>
          </cell>
          <cell r="AA732">
            <v>7</v>
          </cell>
          <cell r="AB732">
            <v>146</v>
          </cell>
          <cell r="AC732">
            <v>148</v>
          </cell>
          <cell r="AD732">
            <v>-2</v>
          </cell>
          <cell r="AE732">
            <v>254</v>
          </cell>
          <cell r="AF732">
            <v>244</v>
          </cell>
          <cell r="AG732">
            <v>10</v>
          </cell>
        </row>
        <row r="733">
          <cell r="C733">
            <v>41044087</v>
          </cell>
          <cell r="D733" t="str">
            <v>Gayatri Petroleum</v>
          </cell>
          <cell r="E733" t="str">
            <v>HPCL</v>
          </cell>
          <cell r="F733" t="str">
            <v>2020-21</v>
          </cell>
          <cell r="G733" t="str">
            <v>Ahmednagar West RSA</v>
          </cell>
          <cell r="J733" t="str">
            <v>Ralegan Siddhi</v>
          </cell>
          <cell r="K733" t="str">
            <v>Ahmednagar</v>
          </cell>
          <cell r="L733" t="str">
            <v>D2</v>
          </cell>
          <cell r="O733" t="str">
            <v>B</v>
          </cell>
          <cell r="P733">
            <v>15</v>
          </cell>
          <cell r="Q733">
            <v>99</v>
          </cell>
          <cell r="R733">
            <v>21</v>
          </cell>
          <cell r="S733">
            <v>89</v>
          </cell>
          <cell r="T733">
            <v>-6</v>
          </cell>
          <cell r="U733">
            <v>10</v>
          </cell>
          <cell r="V733">
            <v>34</v>
          </cell>
          <cell r="W733">
            <v>172</v>
          </cell>
          <cell r="X733">
            <v>44</v>
          </cell>
          <cell r="Y733">
            <v>178</v>
          </cell>
          <cell r="Z733">
            <v>-10</v>
          </cell>
          <cell r="AA733">
            <v>-6</v>
          </cell>
          <cell r="AB733">
            <v>114</v>
          </cell>
          <cell r="AC733">
            <v>110</v>
          </cell>
          <cell r="AD733">
            <v>4</v>
          </cell>
          <cell r="AE733">
            <v>206</v>
          </cell>
          <cell r="AF733">
            <v>222</v>
          </cell>
          <cell r="AG733">
            <v>-16</v>
          </cell>
        </row>
        <row r="734">
          <cell r="C734">
            <v>41044108</v>
          </cell>
          <cell r="D734" t="str">
            <v>Saluke Fuel</v>
          </cell>
          <cell r="E734" t="str">
            <v>HPCL</v>
          </cell>
          <cell r="F734" t="str">
            <v>2020-21</v>
          </cell>
          <cell r="G734" t="str">
            <v>Shirdi RSA</v>
          </cell>
          <cell r="J734" t="str">
            <v>BELAPUR</v>
          </cell>
          <cell r="K734" t="str">
            <v>Ahmednagar</v>
          </cell>
          <cell r="L734" t="str">
            <v>D2</v>
          </cell>
          <cell r="O734" t="str">
            <v>B</v>
          </cell>
          <cell r="P734">
            <v>59</v>
          </cell>
          <cell r="Q734">
            <v>77</v>
          </cell>
          <cell r="R734">
            <v>64</v>
          </cell>
          <cell r="S734">
            <v>100</v>
          </cell>
          <cell r="T734">
            <v>-5</v>
          </cell>
          <cell r="U734">
            <v>-23</v>
          </cell>
          <cell r="V734">
            <v>112</v>
          </cell>
          <cell r="W734">
            <v>172</v>
          </cell>
          <cell r="X734">
            <v>129</v>
          </cell>
          <cell r="Y734">
            <v>195</v>
          </cell>
          <cell r="Z734">
            <v>-17</v>
          </cell>
          <cell r="AA734">
            <v>-23</v>
          </cell>
          <cell r="AB734">
            <v>136</v>
          </cell>
          <cell r="AC734">
            <v>164</v>
          </cell>
          <cell r="AD734">
            <v>-28</v>
          </cell>
          <cell r="AE734">
            <v>284</v>
          </cell>
          <cell r="AF734">
            <v>324</v>
          </cell>
          <cell r="AG734">
            <v>-40</v>
          </cell>
        </row>
        <row r="735">
          <cell r="C735">
            <v>41044130</v>
          </cell>
          <cell r="D735" t="str">
            <v>SHREE GURUDUTT PETRO</v>
          </cell>
          <cell r="E735" t="str">
            <v>HPCL</v>
          </cell>
          <cell r="G735" t="str">
            <v>Satara East RSA</v>
          </cell>
          <cell r="J735" t="str">
            <v>Khandala</v>
          </cell>
          <cell r="K735" t="str">
            <v>Satara</v>
          </cell>
          <cell r="L735" t="str">
            <v>E</v>
          </cell>
          <cell r="O735" t="str">
            <v>A</v>
          </cell>
          <cell r="P735">
            <v>100.5</v>
          </cell>
          <cell r="Q735">
            <v>293.5</v>
          </cell>
          <cell r="R735">
            <v>85</v>
          </cell>
          <cell r="S735">
            <v>215</v>
          </cell>
          <cell r="T735">
            <v>15.5</v>
          </cell>
          <cell r="U735">
            <v>78.5</v>
          </cell>
          <cell r="V735">
            <v>185.5</v>
          </cell>
          <cell r="W735">
            <v>688.5</v>
          </cell>
          <cell r="X735">
            <v>165</v>
          </cell>
          <cell r="Y735">
            <v>355</v>
          </cell>
          <cell r="Z735">
            <v>20.5</v>
          </cell>
          <cell r="AA735">
            <v>333.5</v>
          </cell>
          <cell r="AB735">
            <v>394</v>
          </cell>
          <cell r="AC735">
            <v>300</v>
          </cell>
          <cell r="AD735">
            <v>94</v>
          </cell>
          <cell r="AE735">
            <v>874</v>
          </cell>
          <cell r="AF735">
            <v>520</v>
          </cell>
          <cell r="AG735">
            <v>354</v>
          </cell>
        </row>
        <row r="736">
          <cell r="C736">
            <v>41044134</v>
          </cell>
          <cell r="D736" t="str">
            <v>BHUMIKA PETROLEIM (Dec'10)</v>
          </cell>
          <cell r="E736" t="str">
            <v>HPCL</v>
          </cell>
          <cell r="G736" t="str">
            <v>Satara West RSA</v>
          </cell>
          <cell r="J736" t="str">
            <v>Wadhe to Shivthar</v>
          </cell>
          <cell r="K736" t="str">
            <v>Satara</v>
          </cell>
          <cell r="L736" t="str">
            <v>D1</v>
          </cell>
          <cell r="M736" t="str">
            <v>NH-965D</v>
          </cell>
          <cell r="O736" t="str">
            <v>A</v>
          </cell>
          <cell r="P736">
            <v>54</v>
          </cell>
          <cell r="Q736">
            <v>114</v>
          </cell>
          <cell r="R736">
            <v>54</v>
          </cell>
          <cell r="S736">
            <v>66</v>
          </cell>
          <cell r="T736">
            <v>0</v>
          </cell>
          <cell r="U736">
            <v>48</v>
          </cell>
          <cell r="V736">
            <v>90</v>
          </cell>
          <cell r="W736">
            <v>174</v>
          </cell>
          <cell r="X736">
            <v>99</v>
          </cell>
          <cell r="Y736">
            <v>165</v>
          </cell>
          <cell r="Z736">
            <v>-9</v>
          </cell>
          <cell r="AA736">
            <v>9</v>
          </cell>
          <cell r="AB736">
            <v>168</v>
          </cell>
          <cell r="AC736">
            <v>120</v>
          </cell>
          <cell r="AD736">
            <v>48</v>
          </cell>
          <cell r="AE736">
            <v>264</v>
          </cell>
          <cell r="AF736">
            <v>264</v>
          </cell>
          <cell r="AG736">
            <v>0</v>
          </cell>
        </row>
        <row r="737">
          <cell r="C737">
            <v>41044138</v>
          </cell>
          <cell r="D737" t="str">
            <v xml:space="preserve">TEJ PETROLEUM </v>
          </cell>
          <cell r="E737" t="str">
            <v>HPCL</v>
          </cell>
          <cell r="G737" t="str">
            <v>Satara East RSA</v>
          </cell>
          <cell r="J737" t="str">
            <v>Nimbhore RHS</v>
          </cell>
          <cell r="K737" t="str">
            <v>Satara</v>
          </cell>
          <cell r="L737" t="str">
            <v>D1</v>
          </cell>
          <cell r="M737" t="str">
            <v>NH-965</v>
          </cell>
          <cell r="O737" t="str">
            <v>B</v>
          </cell>
          <cell r="P737">
            <v>95</v>
          </cell>
          <cell r="Q737">
            <v>445</v>
          </cell>
          <cell r="R737">
            <v>90</v>
          </cell>
          <cell r="S737">
            <v>330</v>
          </cell>
          <cell r="T737">
            <v>5</v>
          </cell>
          <cell r="U737">
            <v>115</v>
          </cell>
          <cell r="V737">
            <v>175</v>
          </cell>
          <cell r="W737">
            <v>845</v>
          </cell>
          <cell r="X737">
            <v>185</v>
          </cell>
          <cell r="Y737">
            <v>647</v>
          </cell>
          <cell r="Z737">
            <v>-10</v>
          </cell>
          <cell r="AA737">
            <v>198</v>
          </cell>
          <cell r="AB737">
            <v>540</v>
          </cell>
          <cell r="AC737">
            <v>420</v>
          </cell>
          <cell r="AD737">
            <v>120</v>
          </cell>
          <cell r="AE737">
            <v>1020</v>
          </cell>
          <cell r="AF737">
            <v>832</v>
          </cell>
          <cell r="AG737">
            <v>188</v>
          </cell>
        </row>
        <row r="738">
          <cell r="C738">
            <v>41044156</v>
          </cell>
          <cell r="D738" t="str">
            <v>APPULKI PETROLEUM (Dec'10)</v>
          </cell>
          <cell r="E738" t="str">
            <v>HPCL</v>
          </cell>
          <cell r="G738" t="str">
            <v>Satara West RSA</v>
          </cell>
          <cell r="J738" t="str">
            <v>Kudal</v>
          </cell>
          <cell r="K738" t="str">
            <v>Satara</v>
          </cell>
          <cell r="L738" t="str">
            <v>E</v>
          </cell>
          <cell r="O738" t="str">
            <v>B</v>
          </cell>
          <cell r="P738">
            <v>71</v>
          </cell>
          <cell r="Q738">
            <v>203</v>
          </cell>
          <cell r="R738">
            <v>65</v>
          </cell>
          <cell r="S738">
            <v>155</v>
          </cell>
          <cell r="T738">
            <v>6</v>
          </cell>
          <cell r="U738">
            <v>48</v>
          </cell>
          <cell r="V738">
            <v>127</v>
          </cell>
          <cell r="W738">
            <v>423</v>
          </cell>
          <cell r="X738">
            <v>116</v>
          </cell>
          <cell r="Y738">
            <v>308</v>
          </cell>
          <cell r="Z738">
            <v>11</v>
          </cell>
          <cell r="AA738">
            <v>115</v>
          </cell>
          <cell r="AB738">
            <v>274</v>
          </cell>
          <cell r="AC738">
            <v>220</v>
          </cell>
          <cell r="AD738">
            <v>54</v>
          </cell>
          <cell r="AE738">
            <v>550</v>
          </cell>
          <cell r="AF738">
            <v>424</v>
          </cell>
          <cell r="AG738">
            <v>126</v>
          </cell>
        </row>
        <row r="739">
          <cell r="C739">
            <v>41044161</v>
          </cell>
          <cell r="D739" t="str">
            <v>TEJAS PETROLEUM(Nov'10)</v>
          </cell>
          <cell r="E739" t="str">
            <v>HPCL</v>
          </cell>
          <cell r="G739" t="str">
            <v>Satara West RSA</v>
          </cell>
          <cell r="J739" t="str">
            <v>Kodoli to Ghojegaon</v>
          </cell>
          <cell r="K739" t="str">
            <v>Satara</v>
          </cell>
          <cell r="L739" t="str">
            <v>D2</v>
          </cell>
          <cell r="O739" t="str">
            <v>A</v>
          </cell>
          <cell r="P739">
            <v>84</v>
          </cell>
          <cell r="Q739">
            <v>204</v>
          </cell>
          <cell r="R739">
            <v>90</v>
          </cell>
          <cell r="S739">
            <v>198</v>
          </cell>
          <cell r="T739">
            <v>-6</v>
          </cell>
          <cell r="U739">
            <v>6</v>
          </cell>
          <cell r="V739">
            <v>159</v>
          </cell>
          <cell r="W739">
            <v>393</v>
          </cell>
          <cell r="X739">
            <v>168</v>
          </cell>
          <cell r="Y739">
            <v>408</v>
          </cell>
          <cell r="Z739">
            <v>-9</v>
          </cell>
          <cell r="AA739">
            <v>-15</v>
          </cell>
          <cell r="AB739">
            <v>288</v>
          </cell>
          <cell r="AC739">
            <v>288</v>
          </cell>
          <cell r="AD739">
            <v>0</v>
          </cell>
          <cell r="AE739">
            <v>552</v>
          </cell>
          <cell r="AF739">
            <v>576</v>
          </cell>
          <cell r="AG739">
            <v>-24</v>
          </cell>
        </row>
        <row r="740">
          <cell r="C740">
            <v>41044169</v>
          </cell>
          <cell r="D740" t="str">
            <v>JADHAV PETRO (Nov'10)</v>
          </cell>
          <cell r="E740" t="str">
            <v>HPCL</v>
          </cell>
          <cell r="G740" t="str">
            <v>Satara West RSA</v>
          </cell>
          <cell r="J740" t="str">
            <v>Karad On NH-166E</v>
          </cell>
          <cell r="K740" t="str">
            <v>Satara</v>
          </cell>
          <cell r="L740" t="str">
            <v>D1</v>
          </cell>
          <cell r="M740" t="str">
            <v>NH-166E</v>
          </cell>
          <cell r="O740" t="str">
            <v>A</v>
          </cell>
          <cell r="P740">
            <v>33</v>
          </cell>
          <cell r="Q740">
            <v>39</v>
          </cell>
          <cell r="R740">
            <v>69</v>
          </cell>
          <cell r="S740">
            <v>111</v>
          </cell>
          <cell r="T740">
            <v>-36</v>
          </cell>
          <cell r="U740">
            <v>-72</v>
          </cell>
          <cell r="V740">
            <v>77</v>
          </cell>
          <cell r="W740">
            <v>83</v>
          </cell>
          <cell r="X740">
            <v>138</v>
          </cell>
          <cell r="Y740">
            <v>222</v>
          </cell>
          <cell r="Z740">
            <v>-61</v>
          </cell>
          <cell r="AA740">
            <v>-139</v>
          </cell>
          <cell r="AB740">
            <v>72</v>
          </cell>
          <cell r="AC740">
            <v>180</v>
          </cell>
          <cell r="AD740">
            <v>-108</v>
          </cell>
          <cell r="AE740">
            <v>160</v>
          </cell>
          <cell r="AF740">
            <v>360</v>
          </cell>
          <cell r="AG740">
            <v>-200</v>
          </cell>
        </row>
        <row r="741">
          <cell r="C741">
            <v>41044176</v>
          </cell>
          <cell r="D741" t="str">
            <v>POL PETROLEUM(Feb'11)</v>
          </cell>
          <cell r="E741" t="str">
            <v>HPCL</v>
          </cell>
          <cell r="G741" t="str">
            <v>Satara East RSA</v>
          </cell>
          <cell r="J741" t="str">
            <v>Mhaswad</v>
          </cell>
          <cell r="K741" t="str">
            <v>Satara</v>
          </cell>
          <cell r="L741" t="str">
            <v>D1</v>
          </cell>
          <cell r="M741" t="str">
            <v>NH-548C</v>
          </cell>
          <cell r="O741" t="str">
            <v>B</v>
          </cell>
          <cell r="P741">
            <v>21</v>
          </cell>
          <cell r="Q741">
            <v>47</v>
          </cell>
          <cell r="R741">
            <v>10</v>
          </cell>
          <cell r="S741">
            <v>10</v>
          </cell>
          <cell r="T741">
            <v>11</v>
          </cell>
          <cell r="U741">
            <v>37</v>
          </cell>
          <cell r="V741">
            <v>21</v>
          </cell>
          <cell r="W741">
            <v>47</v>
          </cell>
          <cell r="X741">
            <v>10</v>
          </cell>
          <cell r="Y741">
            <v>10</v>
          </cell>
          <cell r="Z741">
            <v>11</v>
          </cell>
          <cell r="AA741">
            <v>37</v>
          </cell>
          <cell r="AB741">
            <v>68</v>
          </cell>
          <cell r="AC741">
            <v>20</v>
          </cell>
          <cell r="AD741">
            <v>48</v>
          </cell>
          <cell r="AE741">
            <v>68</v>
          </cell>
          <cell r="AF741">
            <v>20</v>
          </cell>
          <cell r="AG741">
            <v>48</v>
          </cell>
        </row>
        <row r="742">
          <cell r="C742">
            <v>41044194</v>
          </cell>
          <cell r="D742" t="str">
            <v>KATERESHWAR P/P (Mar'11)</v>
          </cell>
          <cell r="E742" t="str">
            <v>HPCL</v>
          </cell>
          <cell r="G742" t="str">
            <v>Satara East RSA</v>
          </cell>
          <cell r="J742" t="str">
            <v>Katar Khatav</v>
          </cell>
          <cell r="K742" t="str">
            <v>Satara</v>
          </cell>
          <cell r="L742" t="str">
            <v>D1</v>
          </cell>
          <cell r="M742" t="str">
            <v>NH-160</v>
          </cell>
          <cell r="O742" t="str">
            <v>B</v>
          </cell>
          <cell r="P742">
            <v>67</v>
          </cell>
          <cell r="Q742">
            <v>143</v>
          </cell>
          <cell r="R742">
            <v>66</v>
          </cell>
          <cell r="S742">
            <v>116</v>
          </cell>
          <cell r="T742">
            <v>1</v>
          </cell>
          <cell r="U742">
            <v>27</v>
          </cell>
          <cell r="V742">
            <v>120</v>
          </cell>
          <cell r="W742">
            <v>328</v>
          </cell>
          <cell r="X742">
            <v>123</v>
          </cell>
          <cell r="Y742">
            <v>227</v>
          </cell>
          <cell r="Z742">
            <v>-3</v>
          </cell>
          <cell r="AA742">
            <v>101</v>
          </cell>
          <cell r="AB742">
            <v>210</v>
          </cell>
          <cell r="AC742">
            <v>182</v>
          </cell>
          <cell r="AD742">
            <v>28</v>
          </cell>
          <cell r="AE742">
            <v>448</v>
          </cell>
          <cell r="AF742">
            <v>350</v>
          </cell>
          <cell r="AG742">
            <v>98</v>
          </cell>
        </row>
        <row r="743">
          <cell r="C743">
            <v>41044209</v>
          </cell>
          <cell r="D743" t="str">
            <v>MANIK SONA PETRO HUM (July'11)</v>
          </cell>
          <cell r="E743" t="str">
            <v>HPCL</v>
          </cell>
          <cell r="G743" t="str">
            <v>Satara East RSA</v>
          </cell>
          <cell r="J743" t="str">
            <v>Lonand</v>
          </cell>
          <cell r="K743" t="str">
            <v>Satara</v>
          </cell>
          <cell r="L743" t="str">
            <v>D1</v>
          </cell>
          <cell r="M743" t="str">
            <v>NH-965D</v>
          </cell>
          <cell r="O743" t="str">
            <v>A</v>
          </cell>
          <cell r="P743">
            <v>45</v>
          </cell>
          <cell r="Q743">
            <v>135</v>
          </cell>
          <cell r="R743">
            <v>50</v>
          </cell>
          <cell r="S743">
            <v>110</v>
          </cell>
          <cell r="T743">
            <v>-5</v>
          </cell>
          <cell r="U743">
            <v>25</v>
          </cell>
          <cell r="V743">
            <v>85</v>
          </cell>
          <cell r="W743">
            <v>235</v>
          </cell>
          <cell r="X743">
            <v>105</v>
          </cell>
          <cell r="Y743">
            <v>195</v>
          </cell>
          <cell r="Z743">
            <v>-20</v>
          </cell>
          <cell r="AA743">
            <v>40</v>
          </cell>
          <cell r="AB743">
            <v>180</v>
          </cell>
          <cell r="AC743">
            <v>160</v>
          </cell>
          <cell r="AD743">
            <v>20</v>
          </cell>
          <cell r="AE743">
            <v>320</v>
          </cell>
          <cell r="AF743">
            <v>300</v>
          </cell>
          <cell r="AG743">
            <v>20</v>
          </cell>
        </row>
        <row r="744">
          <cell r="C744">
            <v>41044214</v>
          </cell>
          <cell r="D744" t="str">
            <v>SH. SIDDHIVINAYAK/ADHOC SATARA PETROL DEPOT/MASWADKAR  PETROLEUM</v>
          </cell>
          <cell r="E744" t="str">
            <v>HPCL</v>
          </cell>
          <cell r="G744" t="str">
            <v>Satara West RSA</v>
          </cell>
          <cell r="J744" t="str">
            <v>Variye</v>
          </cell>
          <cell r="K744" t="str">
            <v>Satara</v>
          </cell>
          <cell r="L744" t="str">
            <v>E</v>
          </cell>
          <cell r="O744" t="str">
            <v>A</v>
          </cell>
          <cell r="P744">
            <v>30</v>
          </cell>
          <cell r="Q744">
            <v>38</v>
          </cell>
          <cell r="R744">
            <v>27</v>
          </cell>
          <cell r="S744">
            <v>21</v>
          </cell>
          <cell r="T744">
            <v>3</v>
          </cell>
          <cell r="U744">
            <v>17</v>
          </cell>
          <cell r="V744">
            <v>60</v>
          </cell>
          <cell r="W744">
            <v>68</v>
          </cell>
          <cell r="X744">
            <v>43</v>
          </cell>
          <cell r="Y744">
            <v>31</v>
          </cell>
          <cell r="Z744">
            <v>17</v>
          </cell>
          <cell r="AA744">
            <v>37</v>
          </cell>
          <cell r="AB744">
            <v>68</v>
          </cell>
          <cell r="AC744">
            <v>48</v>
          </cell>
          <cell r="AD744">
            <v>20</v>
          </cell>
          <cell r="AE744">
            <v>128</v>
          </cell>
          <cell r="AF744">
            <v>74</v>
          </cell>
          <cell r="AG744">
            <v>54</v>
          </cell>
        </row>
        <row r="745">
          <cell r="C745">
            <v>41044219</v>
          </cell>
          <cell r="D745" t="str">
            <v>BOBADE PETROLEUM</v>
          </cell>
          <cell r="E745" t="str">
            <v>HPCL</v>
          </cell>
          <cell r="G745" t="str">
            <v>Satara East RSA</v>
          </cell>
          <cell r="J745" t="str">
            <v>Nimbhore</v>
          </cell>
          <cell r="K745" t="str">
            <v>Satara</v>
          </cell>
          <cell r="L745" t="str">
            <v>D1</v>
          </cell>
          <cell r="M745" t="str">
            <v>NH-965</v>
          </cell>
          <cell r="O745" t="str">
            <v>A</v>
          </cell>
          <cell r="P745">
            <v>11</v>
          </cell>
          <cell r="Q745">
            <v>17</v>
          </cell>
          <cell r="R745">
            <v>3</v>
          </cell>
          <cell r="S745">
            <v>9</v>
          </cell>
          <cell r="T745">
            <v>8</v>
          </cell>
          <cell r="U745">
            <v>8</v>
          </cell>
          <cell r="V745">
            <v>15</v>
          </cell>
          <cell r="W745">
            <v>27</v>
          </cell>
          <cell r="X745">
            <v>9</v>
          </cell>
          <cell r="Y745">
            <v>15</v>
          </cell>
          <cell r="Z745">
            <v>6</v>
          </cell>
          <cell r="AA745">
            <v>12</v>
          </cell>
          <cell r="AB745">
            <v>28</v>
          </cell>
          <cell r="AC745">
            <v>12</v>
          </cell>
          <cell r="AD745">
            <v>16</v>
          </cell>
          <cell r="AE745">
            <v>42</v>
          </cell>
          <cell r="AF745">
            <v>24</v>
          </cell>
          <cell r="AG745">
            <v>18</v>
          </cell>
        </row>
        <row r="746">
          <cell r="C746">
            <v>41044222</v>
          </cell>
          <cell r="D746" t="str">
            <v>M/s. SARASWATI PETROLEIUM (Sept'12)</v>
          </cell>
          <cell r="E746" t="str">
            <v>HPCL</v>
          </cell>
          <cell r="F746" t="str">
            <v>2012-13</v>
          </cell>
          <cell r="G746" t="str">
            <v>Satara West RSA</v>
          </cell>
          <cell r="J746" t="str">
            <v>Karad Oglewadi Road</v>
          </cell>
          <cell r="K746" t="str">
            <v>Satara</v>
          </cell>
          <cell r="L746" t="str">
            <v>D1</v>
          </cell>
          <cell r="M746" t="str">
            <v>NH-166E</v>
          </cell>
          <cell r="O746" t="str">
            <v>A</v>
          </cell>
          <cell r="P746">
            <v>120</v>
          </cell>
          <cell r="Q746">
            <v>220</v>
          </cell>
          <cell r="R746">
            <v>125</v>
          </cell>
          <cell r="S746">
            <v>175</v>
          </cell>
          <cell r="T746">
            <v>-5</v>
          </cell>
          <cell r="U746">
            <v>45</v>
          </cell>
          <cell r="V746">
            <v>225</v>
          </cell>
          <cell r="W746">
            <v>395</v>
          </cell>
          <cell r="X746">
            <v>250</v>
          </cell>
          <cell r="Y746">
            <v>390</v>
          </cell>
          <cell r="Z746">
            <v>-25</v>
          </cell>
          <cell r="AA746">
            <v>5</v>
          </cell>
          <cell r="AB746">
            <v>340</v>
          </cell>
          <cell r="AC746">
            <v>300</v>
          </cell>
          <cell r="AD746">
            <v>40</v>
          </cell>
          <cell r="AE746">
            <v>620</v>
          </cell>
          <cell r="AF746">
            <v>640</v>
          </cell>
          <cell r="AG746">
            <v>-20</v>
          </cell>
        </row>
        <row r="747">
          <cell r="C747">
            <v>41044233</v>
          </cell>
          <cell r="D747" t="str">
            <v>SHIVSHAMBHU PET (MAR'13)</v>
          </cell>
          <cell r="E747" t="str">
            <v>HPCL</v>
          </cell>
          <cell r="G747" t="str">
            <v>Satara East RSA</v>
          </cell>
          <cell r="J747" t="str">
            <v>Koregaon</v>
          </cell>
          <cell r="K747" t="str">
            <v>Satara</v>
          </cell>
          <cell r="L747" t="str">
            <v>D1</v>
          </cell>
          <cell r="M747" t="str">
            <v>NH-548C</v>
          </cell>
          <cell r="O747" t="str">
            <v>A</v>
          </cell>
          <cell r="P747">
            <v>0</v>
          </cell>
          <cell r="Q747">
            <v>0</v>
          </cell>
          <cell r="R747">
            <v>12</v>
          </cell>
          <cell r="S747">
            <v>12</v>
          </cell>
          <cell r="T747">
            <v>-12</v>
          </cell>
          <cell r="U747">
            <v>-12</v>
          </cell>
          <cell r="V747">
            <v>6</v>
          </cell>
          <cell r="W747">
            <v>6</v>
          </cell>
          <cell r="X747">
            <v>24</v>
          </cell>
          <cell r="Y747">
            <v>24</v>
          </cell>
          <cell r="Z747">
            <v>-18</v>
          </cell>
          <cell r="AA747">
            <v>-18</v>
          </cell>
          <cell r="AB747">
            <v>0</v>
          </cell>
          <cell r="AC747">
            <v>24</v>
          </cell>
          <cell r="AD747">
            <v>-24</v>
          </cell>
          <cell r="AE747">
            <v>12</v>
          </cell>
          <cell r="AF747">
            <v>48</v>
          </cell>
          <cell r="AG747">
            <v>-36</v>
          </cell>
        </row>
        <row r="748">
          <cell r="C748">
            <v>41044234</v>
          </cell>
          <cell r="D748" t="str">
            <v>KAUSTUBH PET (MAR'13)</v>
          </cell>
          <cell r="E748" t="str">
            <v>HPCL</v>
          </cell>
          <cell r="F748" t="str">
            <v>2013-14</v>
          </cell>
          <cell r="G748" t="str">
            <v>Satara West RSA</v>
          </cell>
          <cell r="J748" t="str">
            <v>Medha</v>
          </cell>
          <cell r="K748" t="str">
            <v>Satara</v>
          </cell>
          <cell r="L748" t="str">
            <v>D2</v>
          </cell>
          <cell r="O748" t="str">
            <v>B</v>
          </cell>
          <cell r="P748">
            <v>154</v>
          </cell>
          <cell r="Q748">
            <v>170</v>
          </cell>
          <cell r="R748">
            <v>132</v>
          </cell>
          <cell r="S748">
            <v>120</v>
          </cell>
          <cell r="T748">
            <v>22</v>
          </cell>
          <cell r="U748">
            <v>50</v>
          </cell>
          <cell r="V748">
            <v>264</v>
          </cell>
          <cell r="W748">
            <v>300</v>
          </cell>
          <cell r="X748">
            <v>231</v>
          </cell>
          <cell r="Y748">
            <v>237</v>
          </cell>
          <cell r="Z748">
            <v>33</v>
          </cell>
          <cell r="AA748">
            <v>63</v>
          </cell>
          <cell r="AB748">
            <v>324</v>
          </cell>
          <cell r="AC748">
            <v>252</v>
          </cell>
          <cell r="AD748">
            <v>72</v>
          </cell>
          <cell r="AE748">
            <v>564</v>
          </cell>
          <cell r="AF748">
            <v>468</v>
          </cell>
          <cell r="AG748">
            <v>96</v>
          </cell>
        </row>
        <row r="749">
          <cell r="C749">
            <v>41044436</v>
          </cell>
          <cell r="D749" t="str">
            <v>Palkar Petroleum</v>
          </cell>
          <cell r="E749" t="str">
            <v>HPCL</v>
          </cell>
          <cell r="G749" t="str">
            <v>Satara West RSA</v>
          </cell>
          <cell r="J749" t="str">
            <v>KASHIL TO KARAD</v>
          </cell>
          <cell r="K749" t="str">
            <v>Satara</v>
          </cell>
          <cell r="L749" t="str">
            <v>D1</v>
          </cell>
          <cell r="M749" t="str">
            <v>NH-48</v>
          </cell>
          <cell r="O749" t="str">
            <v>A</v>
          </cell>
          <cell r="P749">
            <v>10</v>
          </cell>
          <cell r="Q749">
            <v>10</v>
          </cell>
          <cell r="R749">
            <v>10</v>
          </cell>
          <cell r="S749">
            <v>10</v>
          </cell>
          <cell r="T749">
            <v>0</v>
          </cell>
          <cell r="U749">
            <v>0</v>
          </cell>
          <cell r="V749">
            <v>20</v>
          </cell>
          <cell r="W749">
            <v>20</v>
          </cell>
          <cell r="X749">
            <v>20</v>
          </cell>
          <cell r="Y749">
            <v>20</v>
          </cell>
          <cell r="Z749">
            <v>0</v>
          </cell>
          <cell r="AA749">
            <v>0</v>
          </cell>
          <cell r="AB749">
            <v>20</v>
          </cell>
          <cell r="AC749">
            <v>20</v>
          </cell>
          <cell r="AD749">
            <v>0</v>
          </cell>
          <cell r="AE749">
            <v>40</v>
          </cell>
          <cell r="AF749">
            <v>40</v>
          </cell>
          <cell r="AG749">
            <v>0</v>
          </cell>
        </row>
        <row r="750">
          <cell r="C750">
            <v>41044446</v>
          </cell>
          <cell r="D750" t="str">
            <v>DIGVIJAY PET (SEPT'13)</v>
          </cell>
          <cell r="E750" t="str">
            <v>HPCL</v>
          </cell>
          <cell r="F750" t="str">
            <v>2013-14</v>
          </cell>
          <cell r="G750" t="str">
            <v>Satara West RSA</v>
          </cell>
          <cell r="J750" t="str">
            <v>Umbraj on Patan SH</v>
          </cell>
          <cell r="K750" t="str">
            <v>Satara</v>
          </cell>
          <cell r="L750" t="str">
            <v>D2</v>
          </cell>
          <cell r="O750" t="str">
            <v>A</v>
          </cell>
          <cell r="P750">
            <v>79.5</v>
          </cell>
          <cell r="Q750">
            <v>1024.5</v>
          </cell>
          <cell r="R750">
            <v>70</v>
          </cell>
          <cell r="S750">
            <v>492</v>
          </cell>
          <cell r="T750">
            <v>9.5</v>
          </cell>
          <cell r="U750">
            <v>532.5</v>
          </cell>
          <cell r="V750">
            <v>123</v>
          </cell>
          <cell r="W750">
            <v>1953</v>
          </cell>
          <cell r="X750">
            <v>122</v>
          </cell>
          <cell r="Y750">
            <v>1064</v>
          </cell>
          <cell r="Z750">
            <v>1</v>
          </cell>
          <cell r="AA750">
            <v>889</v>
          </cell>
          <cell r="AB750">
            <v>1104</v>
          </cell>
          <cell r="AC750">
            <v>562</v>
          </cell>
          <cell r="AD750">
            <v>542</v>
          </cell>
          <cell r="AE750">
            <v>2076</v>
          </cell>
          <cell r="AF750">
            <v>1186</v>
          </cell>
          <cell r="AG750">
            <v>890</v>
          </cell>
        </row>
        <row r="751">
          <cell r="C751">
            <v>41044456</v>
          </cell>
          <cell r="D751" t="str">
            <v>Sahyadri sakhar</v>
          </cell>
          <cell r="E751" t="str">
            <v>HPCL</v>
          </cell>
          <cell r="G751" t="str">
            <v>Satara West RSA</v>
          </cell>
          <cell r="J751" t="str">
            <v>Masur</v>
          </cell>
          <cell r="K751" t="str">
            <v>Satara</v>
          </cell>
          <cell r="L751" t="str">
            <v>D2</v>
          </cell>
          <cell r="O751" t="str">
            <v>A</v>
          </cell>
          <cell r="P751">
            <v>49</v>
          </cell>
          <cell r="Q751">
            <v>91</v>
          </cell>
          <cell r="R751">
            <v>59.5</v>
          </cell>
          <cell r="S751">
            <v>94.5</v>
          </cell>
          <cell r="T751">
            <v>-10.5</v>
          </cell>
          <cell r="U751">
            <v>-3.5</v>
          </cell>
          <cell r="V751">
            <v>87</v>
          </cell>
          <cell r="W751">
            <v>163</v>
          </cell>
          <cell r="X751">
            <v>115.5</v>
          </cell>
          <cell r="Y751">
            <v>206.5</v>
          </cell>
          <cell r="Z751">
            <v>-28.5</v>
          </cell>
          <cell r="AA751">
            <v>-43.5</v>
          </cell>
          <cell r="AB751">
            <v>140</v>
          </cell>
          <cell r="AC751">
            <v>154</v>
          </cell>
          <cell r="AD751">
            <v>-14</v>
          </cell>
          <cell r="AE751">
            <v>250</v>
          </cell>
          <cell r="AF751">
            <v>322</v>
          </cell>
          <cell r="AG751">
            <v>-72</v>
          </cell>
        </row>
        <row r="752">
          <cell r="C752">
            <v>41044468</v>
          </cell>
          <cell r="D752" t="str">
            <v>JANAKI PETROLEUM</v>
          </cell>
          <cell r="E752" t="str">
            <v>HPCL</v>
          </cell>
          <cell r="F752" t="str">
            <v>2013-14</v>
          </cell>
          <cell r="G752" t="str">
            <v>Satara West RSA</v>
          </cell>
          <cell r="J752" t="str">
            <v>Kavthe Wai Surur Road</v>
          </cell>
          <cell r="K752" t="str">
            <v>Satara</v>
          </cell>
          <cell r="L752" t="str">
            <v>D2</v>
          </cell>
          <cell r="O752" t="str">
            <v>A</v>
          </cell>
          <cell r="P752">
            <v>48</v>
          </cell>
          <cell r="Q752">
            <v>72</v>
          </cell>
          <cell r="R752">
            <v>30</v>
          </cell>
          <cell r="S752">
            <v>54</v>
          </cell>
          <cell r="T752">
            <v>18</v>
          </cell>
          <cell r="U752">
            <v>18</v>
          </cell>
          <cell r="V752">
            <v>84</v>
          </cell>
          <cell r="W752">
            <v>120</v>
          </cell>
          <cell r="X752">
            <v>54</v>
          </cell>
          <cell r="Y752">
            <v>102</v>
          </cell>
          <cell r="Z752">
            <v>30</v>
          </cell>
          <cell r="AA752">
            <v>18</v>
          </cell>
          <cell r="AB752">
            <v>120</v>
          </cell>
          <cell r="AC752">
            <v>84</v>
          </cell>
          <cell r="AD752">
            <v>36</v>
          </cell>
          <cell r="AE752">
            <v>204</v>
          </cell>
          <cell r="AF752">
            <v>156</v>
          </cell>
          <cell r="AG752">
            <v>48</v>
          </cell>
        </row>
        <row r="753">
          <cell r="C753">
            <v>41044679</v>
          </cell>
          <cell r="D753" t="str">
            <v>Swatantrasenani P W Pawar Fuels</v>
          </cell>
          <cell r="E753" t="str">
            <v>HPCL</v>
          </cell>
          <cell r="F753" t="str">
            <v>2019-20</v>
          </cell>
          <cell r="G753" t="str">
            <v>Ahmednagar East RSA</v>
          </cell>
          <cell r="J753" t="str">
            <v>WAMBHORI PHATA ON NH160</v>
          </cell>
          <cell r="K753" t="str">
            <v>Ahmednagar</v>
          </cell>
          <cell r="L753" t="str">
            <v>D1</v>
          </cell>
          <cell r="M753" t="str">
            <v>NH-160</v>
          </cell>
          <cell r="O753" t="str">
            <v>A</v>
          </cell>
          <cell r="P753">
            <v>51</v>
          </cell>
          <cell r="Q753">
            <v>141</v>
          </cell>
          <cell r="R753">
            <v>48</v>
          </cell>
          <cell r="S753">
            <v>120</v>
          </cell>
          <cell r="T753">
            <v>3</v>
          </cell>
          <cell r="U753">
            <v>21</v>
          </cell>
          <cell r="V753">
            <v>99</v>
          </cell>
          <cell r="W753">
            <v>261</v>
          </cell>
          <cell r="X753">
            <v>93</v>
          </cell>
          <cell r="Y753">
            <v>231</v>
          </cell>
          <cell r="Z753">
            <v>6</v>
          </cell>
          <cell r="AA753">
            <v>30</v>
          </cell>
          <cell r="AB753">
            <v>192</v>
          </cell>
          <cell r="AC753">
            <v>168</v>
          </cell>
          <cell r="AD753">
            <v>24</v>
          </cell>
          <cell r="AE753">
            <v>360</v>
          </cell>
          <cell r="AF753">
            <v>324</v>
          </cell>
          <cell r="AG753">
            <v>36</v>
          </cell>
        </row>
        <row r="754">
          <cell r="C754">
            <v>41044684</v>
          </cell>
          <cell r="D754" t="str">
            <v xml:space="preserve">APMC Akole Kotul </v>
          </cell>
          <cell r="E754" t="str">
            <v>HPCL</v>
          </cell>
          <cell r="F754" t="str">
            <v>2019-20</v>
          </cell>
          <cell r="G754" t="str">
            <v>Shirdi RSA</v>
          </cell>
          <cell r="J754" t="str">
            <v>KOTUL</v>
          </cell>
          <cell r="K754" t="str">
            <v>Ahmednagar</v>
          </cell>
          <cell r="L754" t="str">
            <v>D2</v>
          </cell>
          <cell r="O754" t="str">
            <v>A</v>
          </cell>
          <cell r="P754">
            <v>43</v>
          </cell>
          <cell r="Q754">
            <v>55</v>
          </cell>
          <cell r="R754">
            <v>41</v>
          </cell>
          <cell r="S754">
            <v>35</v>
          </cell>
          <cell r="T754">
            <v>2</v>
          </cell>
          <cell r="U754">
            <v>20</v>
          </cell>
          <cell r="V754">
            <v>74</v>
          </cell>
          <cell r="W754">
            <v>94</v>
          </cell>
          <cell r="X754">
            <v>83</v>
          </cell>
          <cell r="Y754">
            <v>77</v>
          </cell>
          <cell r="Z754">
            <v>-9</v>
          </cell>
          <cell r="AA754">
            <v>17</v>
          </cell>
          <cell r="AB754">
            <v>98</v>
          </cell>
          <cell r="AC754">
            <v>76</v>
          </cell>
          <cell r="AD754">
            <v>22</v>
          </cell>
          <cell r="AE754">
            <v>168</v>
          </cell>
          <cell r="AF754">
            <v>160</v>
          </cell>
          <cell r="AG754">
            <v>8</v>
          </cell>
        </row>
        <row r="755">
          <cell r="C755">
            <v>41044688</v>
          </cell>
          <cell r="D755" t="str">
            <v>SAURABH PETROLEUM</v>
          </cell>
          <cell r="E755" t="str">
            <v>HPCL</v>
          </cell>
          <cell r="F755" t="str">
            <v>2019-20</v>
          </cell>
          <cell r="G755" t="str">
            <v>Ahmednagar West RSA</v>
          </cell>
          <cell r="J755" t="str">
            <v>Takli Dhokeshwar</v>
          </cell>
          <cell r="K755" t="str">
            <v>Ahmednagar</v>
          </cell>
          <cell r="L755" t="str">
            <v>D1</v>
          </cell>
          <cell r="M755" t="str">
            <v>NH-61</v>
          </cell>
          <cell r="O755" t="str">
            <v>A</v>
          </cell>
          <cell r="P755">
            <v>20</v>
          </cell>
          <cell r="Q755">
            <v>56</v>
          </cell>
          <cell r="R755">
            <v>22</v>
          </cell>
          <cell r="S755">
            <v>58</v>
          </cell>
          <cell r="T755">
            <v>-2</v>
          </cell>
          <cell r="U755">
            <v>-2</v>
          </cell>
          <cell r="V755">
            <v>46</v>
          </cell>
          <cell r="W755">
            <v>116</v>
          </cell>
          <cell r="X755">
            <v>44</v>
          </cell>
          <cell r="Y755">
            <v>114</v>
          </cell>
          <cell r="Z755">
            <v>2</v>
          </cell>
          <cell r="AA755">
            <v>2</v>
          </cell>
          <cell r="AB755">
            <v>76</v>
          </cell>
          <cell r="AC755">
            <v>80</v>
          </cell>
          <cell r="AD755">
            <v>-4</v>
          </cell>
          <cell r="AE755">
            <v>162</v>
          </cell>
          <cell r="AF755">
            <v>158</v>
          </cell>
          <cell r="AG755">
            <v>4</v>
          </cell>
        </row>
        <row r="756">
          <cell r="C756">
            <v>41044934</v>
          </cell>
          <cell r="D756" t="str">
            <v>APMC RAHURI</v>
          </cell>
          <cell r="E756" t="str">
            <v>HPCL</v>
          </cell>
          <cell r="F756" t="str">
            <v>2020-21</v>
          </cell>
          <cell r="G756" t="str">
            <v>Shirdi RSA</v>
          </cell>
          <cell r="J756" t="str">
            <v>RAHURI FACTORY RHS</v>
          </cell>
          <cell r="K756" t="str">
            <v>Ahmednagar</v>
          </cell>
          <cell r="L756" t="str">
            <v>D1</v>
          </cell>
          <cell r="M756" t="str">
            <v>NH-160</v>
          </cell>
          <cell r="O756" t="str">
            <v>A</v>
          </cell>
          <cell r="P756">
            <v>18</v>
          </cell>
          <cell r="Q756">
            <v>42</v>
          </cell>
          <cell r="R756">
            <v>36</v>
          </cell>
          <cell r="S756">
            <v>84</v>
          </cell>
          <cell r="T756">
            <v>-18</v>
          </cell>
          <cell r="U756">
            <v>-42</v>
          </cell>
          <cell r="V756">
            <v>33</v>
          </cell>
          <cell r="W756">
            <v>75</v>
          </cell>
          <cell r="X756">
            <v>69</v>
          </cell>
          <cell r="Y756">
            <v>159</v>
          </cell>
          <cell r="Z756">
            <v>-36</v>
          </cell>
          <cell r="AA756">
            <v>-84</v>
          </cell>
          <cell r="AB756">
            <v>60</v>
          </cell>
          <cell r="AC756">
            <v>120</v>
          </cell>
          <cell r="AD756">
            <v>-60</v>
          </cell>
          <cell r="AE756">
            <v>108</v>
          </cell>
          <cell r="AF756">
            <v>228</v>
          </cell>
          <cell r="AG756">
            <v>-120</v>
          </cell>
        </row>
        <row r="757">
          <cell r="C757">
            <v>41045027</v>
          </cell>
          <cell r="D757" t="str">
            <v>NAITIK PETROLEUM</v>
          </cell>
          <cell r="E757" t="str">
            <v>HPCL</v>
          </cell>
          <cell r="F757" t="str">
            <v>2019-20</v>
          </cell>
          <cell r="G757" t="str">
            <v>Pimpri Chinchwad RSA</v>
          </cell>
          <cell r="J757" t="str">
            <v>Dudhalgaon</v>
          </cell>
          <cell r="K757" t="str">
            <v>Pune</v>
          </cell>
          <cell r="L757" t="str">
            <v>A</v>
          </cell>
          <cell r="O757" t="str">
            <v>A</v>
          </cell>
          <cell r="P757">
            <v>240</v>
          </cell>
          <cell r="Q757">
            <v>280</v>
          </cell>
          <cell r="R757">
            <v>200</v>
          </cell>
          <cell r="S757">
            <v>200</v>
          </cell>
          <cell r="T757">
            <v>40</v>
          </cell>
          <cell r="U757">
            <v>80</v>
          </cell>
          <cell r="V757">
            <v>410</v>
          </cell>
          <cell r="W757">
            <v>490</v>
          </cell>
          <cell r="X757">
            <v>395</v>
          </cell>
          <cell r="Y757">
            <v>405</v>
          </cell>
          <cell r="Z757">
            <v>15</v>
          </cell>
          <cell r="AA757">
            <v>85</v>
          </cell>
          <cell r="AB757">
            <v>520</v>
          </cell>
          <cell r="AC757">
            <v>400</v>
          </cell>
          <cell r="AD757">
            <v>120</v>
          </cell>
          <cell r="AE757">
            <v>900</v>
          </cell>
          <cell r="AF757">
            <v>800</v>
          </cell>
          <cell r="AG757">
            <v>100</v>
          </cell>
        </row>
        <row r="758">
          <cell r="C758">
            <v>41045029</v>
          </cell>
          <cell r="D758" t="str">
            <v>Babar Petroleum</v>
          </cell>
          <cell r="E758" t="str">
            <v>HPCL</v>
          </cell>
          <cell r="F758" t="str">
            <v>2019-20</v>
          </cell>
          <cell r="G758" t="str">
            <v>Pimpri Chinchwad RSA</v>
          </cell>
          <cell r="J758" t="str">
            <v>Bhosari</v>
          </cell>
          <cell r="K758" t="str">
            <v>Pune</v>
          </cell>
          <cell r="L758" t="str">
            <v>A</v>
          </cell>
          <cell r="O758" t="str">
            <v>B</v>
          </cell>
          <cell r="P758">
            <v>160</v>
          </cell>
          <cell r="Q758">
            <v>190</v>
          </cell>
          <cell r="R758">
            <v>140</v>
          </cell>
          <cell r="S758">
            <v>160</v>
          </cell>
          <cell r="T758">
            <v>20</v>
          </cell>
          <cell r="U758">
            <v>30</v>
          </cell>
          <cell r="V758">
            <v>275</v>
          </cell>
          <cell r="W758">
            <v>325</v>
          </cell>
          <cell r="X758">
            <v>260</v>
          </cell>
          <cell r="Y758">
            <v>290</v>
          </cell>
          <cell r="Z758">
            <v>15</v>
          </cell>
          <cell r="AA758">
            <v>35</v>
          </cell>
          <cell r="AB758">
            <v>350</v>
          </cell>
          <cell r="AC758">
            <v>300</v>
          </cell>
          <cell r="AD758">
            <v>50</v>
          </cell>
          <cell r="AE758">
            <v>600</v>
          </cell>
          <cell r="AF758">
            <v>550</v>
          </cell>
          <cell r="AG758">
            <v>50</v>
          </cell>
        </row>
        <row r="759">
          <cell r="C759">
            <v>41045033</v>
          </cell>
          <cell r="D759" t="str">
            <v>Shaurya Petroleum</v>
          </cell>
          <cell r="E759" t="str">
            <v>HPCL</v>
          </cell>
          <cell r="F759" t="str">
            <v>2019-20</v>
          </cell>
          <cell r="G759" t="str">
            <v>Pune Tathawade RSA</v>
          </cell>
          <cell r="J759" t="str">
            <v>BARAMATI TOWN ON BHIGWAN ROAD</v>
          </cell>
          <cell r="K759" t="str">
            <v>Pune</v>
          </cell>
          <cell r="L759" t="str">
            <v>D1</v>
          </cell>
          <cell r="M759" t="str">
            <v>NH-965G</v>
          </cell>
          <cell r="O759" t="str">
            <v>A</v>
          </cell>
          <cell r="P759">
            <v>91</v>
          </cell>
          <cell r="Q759">
            <v>41</v>
          </cell>
          <cell r="R759">
            <v>68</v>
          </cell>
          <cell r="S759">
            <v>42</v>
          </cell>
          <cell r="T759">
            <v>23</v>
          </cell>
          <cell r="U759">
            <v>-1</v>
          </cell>
          <cell r="V759">
            <v>164</v>
          </cell>
          <cell r="W759">
            <v>78</v>
          </cell>
          <cell r="X759">
            <v>140</v>
          </cell>
          <cell r="Y759">
            <v>72</v>
          </cell>
          <cell r="Z759">
            <v>24</v>
          </cell>
          <cell r="AA759">
            <v>6</v>
          </cell>
          <cell r="AB759">
            <v>132</v>
          </cell>
          <cell r="AC759">
            <v>110</v>
          </cell>
          <cell r="AD759">
            <v>22</v>
          </cell>
          <cell r="AE759">
            <v>242</v>
          </cell>
          <cell r="AF759">
            <v>212</v>
          </cell>
          <cell r="AG759">
            <v>30</v>
          </cell>
        </row>
        <row r="760">
          <cell r="C760">
            <v>41045035</v>
          </cell>
          <cell r="D760" t="str">
            <v>Jai Adesh Petroleum Services</v>
          </cell>
          <cell r="E760" t="str">
            <v>HPCL</v>
          </cell>
          <cell r="F760" t="str">
            <v>2019-20</v>
          </cell>
          <cell r="G760" t="str">
            <v>Pimpri Chinchwad RSA</v>
          </cell>
          <cell r="J760" t="str">
            <v>CHIKHLI</v>
          </cell>
          <cell r="K760" t="str">
            <v>Pune</v>
          </cell>
          <cell r="L760" t="str">
            <v>A</v>
          </cell>
          <cell r="O760" t="str">
            <v>A</v>
          </cell>
          <cell r="P760">
            <v>71</v>
          </cell>
          <cell r="Q760">
            <v>131</v>
          </cell>
          <cell r="R760">
            <v>78</v>
          </cell>
          <cell r="S760">
            <v>134</v>
          </cell>
          <cell r="T760">
            <v>-7</v>
          </cell>
          <cell r="U760">
            <v>-3</v>
          </cell>
          <cell r="V760">
            <v>151</v>
          </cell>
          <cell r="W760">
            <v>281</v>
          </cell>
          <cell r="X760">
            <v>161</v>
          </cell>
          <cell r="Y760">
            <v>287</v>
          </cell>
          <cell r="Z760">
            <v>-10</v>
          </cell>
          <cell r="AA760">
            <v>-6</v>
          </cell>
          <cell r="AB760">
            <v>202</v>
          </cell>
          <cell r="AC760">
            <v>212</v>
          </cell>
          <cell r="AD760">
            <v>-10</v>
          </cell>
          <cell r="AE760">
            <v>432</v>
          </cell>
          <cell r="AF760">
            <v>448</v>
          </cell>
          <cell r="AG760">
            <v>-16</v>
          </cell>
        </row>
        <row r="761">
          <cell r="C761">
            <v>41045037</v>
          </cell>
          <cell r="D761" t="str">
            <v>SARTAK PETROLEUM</v>
          </cell>
          <cell r="E761" t="str">
            <v>HPCL</v>
          </cell>
          <cell r="F761" t="str">
            <v>2019-20</v>
          </cell>
          <cell r="G761" t="str">
            <v>Satara West RSA</v>
          </cell>
          <cell r="J761" t="str">
            <v>Kolewadi to Dhebewadi</v>
          </cell>
          <cell r="K761" t="str">
            <v>Satara</v>
          </cell>
          <cell r="L761" t="str">
            <v>E</v>
          </cell>
          <cell r="O761" t="str">
            <v>A</v>
          </cell>
          <cell r="P761">
            <v>73.5</v>
          </cell>
          <cell r="Q761">
            <v>94.5</v>
          </cell>
          <cell r="R761">
            <v>56</v>
          </cell>
          <cell r="S761">
            <v>84</v>
          </cell>
          <cell r="T761">
            <v>17.5</v>
          </cell>
          <cell r="U761">
            <v>10.5</v>
          </cell>
          <cell r="V761">
            <v>119</v>
          </cell>
          <cell r="W761">
            <v>161</v>
          </cell>
          <cell r="X761">
            <v>101.5</v>
          </cell>
          <cell r="Y761">
            <v>150.5</v>
          </cell>
          <cell r="Z761">
            <v>17.5</v>
          </cell>
          <cell r="AA761">
            <v>10.5</v>
          </cell>
          <cell r="AB761">
            <v>168</v>
          </cell>
          <cell r="AC761">
            <v>140</v>
          </cell>
          <cell r="AD761">
            <v>28</v>
          </cell>
          <cell r="AE761">
            <v>280</v>
          </cell>
          <cell r="AF761">
            <v>252</v>
          </cell>
          <cell r="AG761">
            <v>28</v>
          </cell>
        </row>
        <row r="762">
          <cell r="C762">
            <v>41045053</v>
          </cell>
          <cell r="D762" t="str">
            <v>BARAMATI TALUKA SAH DOODH SANGH</v>
          </cell>
          <cell r="E762" t="str">
            <v>HPCL</v>
          </cell>
          <cell r="F762" t="str">
            <v>2019-20</v>
          </cell>
          <cell r="G762" t="str">
            <v>Pune Tathawade RSA</v>
          </cell>
          <cell r="J762" t="str">
            <v>BARAMATI TOWN ON MORGAON RD</v>
          </cell>
          <cell r="K762" t="str">
            <v>Pune</v>
          </cell>
          <cell r="L762" t="str">
            <v>D2</v>
          </cell>
          <cell r="O762" t="str">
            <v>B</v>
          </cell>
          <cell r="P762">
            <v>108.5</v>
          </cell>
          <cell r="Q762">
            <v>143.5</v>
          </cell>
          <cell r="R762">
            <v>101.5</v>
          </cell>
          <cell r="S762">
            <v>122.5</v>
          </cell>
          <cell r="T762">
            <v>7</v>
          </cell>
          <cell r="U762">
            <v>21</v>
          </cell>
          <cell r="V762">
            <v>210</v>
          </cell>
          <cell r="W762">
            <v>266</v>
          </cell>
          <cell r="X762">
            <v>189</v>
          </cell>
          <cell r="Y762">
            <v>217</v>
          </cell>
          <cell r="Z762">
            <v>21</v>
          </cell>
          <cell r="AA762">
            <v>49</v>
          </cell>
          <cell r="AB762">
            <v>252</v>
          </cell>
          <cell r="AC762">
            <v>224</v>
          </cell>
          <cell r="AD762">
            <v>28</v>
          </cell>
          <cell r="AE762">
            <v>476</v>
          </cell>
          <cell r="AF762">
            <v>406</v>
          </cell>
          <cell r="AG762">
            <v>70</v>
          </cell>
        </row>
        <row r="763">
          <cell r="C763">
            <v>41045054</v>
          </cell>
          <cell r="D763" t="str">
            <v>SAI BABA PETROLEUM</v>
          </cell>
          <cell r="E763" t="str">
            <v>HPCL</v>
          </cell>
          <cell r="F763" t="str">
            <v>2019-20</v>
          </cell>
          <cell r="G763" t="str">
            <v>Pimpri Chinchwad RSA</v>
          </cell>
          <cell r="J763" t="str">
            <v>CHAKAN NH-60 RHS</v>
          </cell>
          <cell r="K763" t="str">
            <v>Pune</v>
          </cell>
          <cell r="L763" t="str">
            <v>D1</v>
          </cell>
          <cell r="M763" t="str">
            <v>NH-60</v>
          </cell>
          <cell r="O763" t="str">
            <v>A</v>
          </cell>
          <cell r="P763">
            <v>104</v>
          </cell>
          <cell r="Q763">
            <v>776</v>
          </cell>
          <cell r="R763">
            <v>72</v>
          </cell>
          <cell r="S763">
            <v>434</v>
          </cell>
          <cell r="T763">
            <v>32</v>
          </cell>
          <cell r="U763">
            <v>342</v>
          </cell>
          <cell r="V763">
            <v>196</v>
          </cell>
          <cell r="W763">
            <v>1520</v>
          </cell>
          <cell r="X763">
            <v>144</v>
          </cell>
          <cell r="Y763">
            <v>912</v>
          </cell>
          <cell r="Z763">
            <v>52</v>
          </cell>
          <cell r="AA763">
            <v>608</v>
          </cell>
          <cell r="AB763">
            <v>880</v>
          </cell>
          <cell r="AC763">
            <v>506</v>
          </cell>
          <cell r="AD763">
            <v>374</v>
          </cell>
          <cell r="AE763">
            <v>1716</v>
          </cell>
          <cell r="AF763">
            <v>1056</v>
          </cell>
          <cell r="AG763">
            <v>660</v>
          </cell>
        </row>
        <row r="764">
          <cell r="C764">
            <v>41045055</v>
          </cell>
          <cell r="D764" t="str">
            <v>SAMRUDDHI PETROLEUM</v>
          </cell>
          <cell r="E764" t="str">
            <v>HPCL</v>
          </cell>
          <cell r="F764" t="str">
            <v>2019-20</v>
          </cell>
          <cell r="G764" t="str">
            <v>Pimpri Chinchwad RSA</v>
          </cell>
          <cell r="J764" t="str">
            <v>Ambethan</v>
          </cell>
          <cell r="K764" t="str">
            <v>Pune</v>
          </cell>
          <cell r="L764" t="str">
            <v>E</v>
          </cell>
          <cell r="O764" t="str">
            <v>B</v>
          </cell>
          <cell r="P764">
            <v>95</v>
          </cell>
          <cell r="Q764">
            <v>1793</v>
          </cell>
          <cell r="R764">
            <v>115</v>
          </cell>
          <cell r="S764">
            <v>1805</v>
          </cell>
          <cell r="T764">
            <v>-20</v>
          </cell>
          <cell r="U764">
            <v>-12</v>
          </cell>
          <cell r="V764">
            <v>187</v>
          </cell>
          <cell r="W764">
            <v>3887</v>
          </cell>
          <cell r="X764">
            <v>225</v>
          </cell>
          <cell r="Y764">
            <v>3299</v>
          </cell>
          <cell r="Z764">
            <v>-38</v>
          </cell>
          <cell r="AA764">
            <v>588</v>
          </cell>
          <cell r="AB764">
            <v>1888</v>
          </cell>
          <cell r="AC764">
            <v>1920</v>
          </cell>
          <cell r="AD764">
            <v>-32</v>
          </cell>
          <cell r="AE764">
            <v>4074</v>
          </cell>
          <cell r="AF764">
            <v>3524</v>
          </cell>
          <cell r="AG764">
            <v>550</v>
          </cell>
        </row>
        <row r="765">
          <cell r="C765">
            <v>41045056</v>
          </cell>
          <cell r="D765" t="str">
            <v>Shree Chaitanya Petroleum</v>
          </cell>
          <cell r="E765" t="str">
            <v>HPCL</v>
          </cell>
          <cell r="F765" t="str">
            <v>2019-20</v>
          </cell>
          <cell r="G765" t="str">
            <v>Satara East RSA</v>
          </cell>
          <cell r="J765" t="str">
            <v>Kadam Vasti</v>
          </cell>
          <cell r="K765" t="str">
            <v>Satara</v>
          </cell>
          <cell r="L765" t="str">
            <v>E</v>
          </cell>
          <cell r="O765" t="str">
            <v>A</v>
          </cell>
          <cell r="P765">
            <v>59.5</v>
          </cell>
          <cell r="Q765">
            <v>38.5</v>
          </cell>
          <cell r="R765">
            <v>56</v>
          </cell>
          <cell r="S765">
            <v>42</v>
          </cell>
          <cell r="T765">
            <v>3.5</v>
          </cell>
          <cell r="U765">
            <v>-3.5</v>
          </cell>
          <cell r="V765">
            <v>119</v>
          </cell>
          <cell r="W765">
            <v>77</v>
          </cell>
          <cell r="X765">
            <v>98</v>
          </cell>
          <cell r="Y765">
            <v>84</v>
          </cell>
          <cell r="Z765">
            <v>21</v>
          </cell>
          <cell r="AA765">
            <v>-7</v>
          </cell>
          <cell r="AB765">
            <v>98</v>
          </cell>
          <cell r="AC765">
            <v>98</v>
          </cell>
          <cell r="AD765">
            <v>0</v>
          </cell>
          <cell r="AE765">
            <v>196</v>
          </cell>
          <cell r="AF765">
            <v>182</v>
          </cell>
          <cell r="AG765">
            <v>14</v>
          </cell>
        </row>
        <row r="766">
          <cell r="C766">
            <v>41045057</v>
          </cell>
          <cell r="D766" t="str">
            <v>NAYANA PETROLEUM</v>
          </cell>
          <cell r="E766" t="str">
            <v>HPCL</v>
          </cell>
          <cell r="F766" t="str">
            <v>2020-21</v>
          </cell>
          <cell r="G766" t="str">
            <v>Satara West RSA</v>
          </cell>
          <cell r="J766" t="str">
            <v>Shendre to Borgaon</v>
          </cell>
          <cell r="K766" t="str">
            <v>Satara</v>
          </cell>
          <cell r="L766" t="str">
            <v>D1</v>
          </cell>
          <cell r="M766" t="str">
            <v>NH-48</v>
          </cell>
          <cell r="O766" t="str">
            <v>A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</row>
        <row r="767">
          <cell r="C767">
            <v>41045058</v>
          </cell>
          <cell r="D767" t="str">
            <v>RAJ PETROLEUM</v>
          </cell>
          <cell r="E767" t="str">
            <v>HPCL</v>
          </cell>
          <cell r="F767" t="str">
            <v>2020-21</v>
          </cell>
          <cell r="G767" t="str">
            <v>Satara West RSA</v>
          </cell>
          <cell r="J767" t="str">
            <v>Satara to Mahagaon</v>
          </cell>
          <cell r="K767" t="str">
            <v>Satara</v>
          </cell>
          <cell r="L767" t="str">
            <v>D1</v>
          </cell>
          <cell r="M767" t="str">
            <v>NH-548C</v>
          </cell>
          <cell r="O767" t="str">
            <v>B</v>
          </cell>
          <cell r="P767">
            <v>82</v>
          </cell>
          <cell r="Q767">
            <v>86</v>
          </cell>
          <cell r="R767">
            <v>105</v>
          </cell>
          <cell r="S767">
            <v>109</v>
          </cell>
          <cell r="T767">
            <v>-23</v>
          </cell>
          <cell r="U767">
            <v>-23</v>
          </cell>
          <cell r="V767">
            <v>187</v>
          </cell>
          <cell r="W767">
            <v>195</v>
          </cell>
          <cell r="X767">
            <v>192</v>
          </cell>
          <cell r="Y767">
            <v>202</v>
          </cell>
          <cell r="Z767">
            <v>-5</v>
          </cell>
          <cell r="AA767">
            <v>-7</v>
          </cell>
          <cell r="AB767">
            <v>168</v>
          </cell>
          <cell r="AC767">
            <v>214</v>
          </cell>
          <cell r="AD767">
            <v>-46</v>
          </cell>
          <cell r="AE767">
            <v>382</v>
          </cell>
          <cell r="AF767">
            <v>394</v>
          </cell>
          <cell r="AG767">
            <v>-12</v>
          </cell>
        </row>
        <row r="768">
          <cell r="C768">
            <v>41045059</v>
          </cell>
          <cell r="D768" t="str">
            <v>IJGUDE PETROLEUM</v>
          </cell>
          <cell r="E768" t="str">
            <v>HPCL</v>
          </cell>
          <cell r="F768" t="str">
            <v>2019-20</v>
          </cell>
          <cell r="G768" t="str">
            <v>Pune Saswad RSA</v>
          </cell>
          <cell r="J768" t="str">
            <v>INDAPUR</v>
          </cell>
          <cell r="K768" t="str">
            <v>Pune</v>
          </cell>
          <cell r="L768" t="str">
            <v>C</v>
          </cell>
          <cell r="O768" t="str">
            <v>A</v>
          </cell>
          <cell r="P768">
            <v>135</v>
          </cell>
          <cell r="Q768">
            <v>145</v>
          </cell>
          <cell r="R768">
            <v>130</v>
          </cell>
          <cell r="S768">
            <v>150</v>
          </cell>
          <cell r="T768">
            <v>5</v>
          </cell>
          <cell r="U768">
            <v>-5</v>
          </cell>
          <cell r="V768">
            <v>260</v>
          </cell>
          <cell r="W768">
            <v>280</v>
          </cell>
          <cell r="X768">
            <v>245</v>
          </cell>
          <cell r="Y768">
            <v>275</v>
          </cell>
          <cell r="Z768">
            <v>15</v>
          </cell>
          <cell r="AA768">
            <v>5</v>
          </cell>
          <cell r="AB768">
            <v>280</v>
          </cell>
          <cell r="AC768">
            <v>280</v>
          </cell>
          <cell r="AD768">
            <v>0</v>
          </cell>
          <cell r="AE768">
            <v>540</v>
          </cell>
          <cell r="AF768">
            <v>520</v>
          </cell>
          <cell r="AG768">
            <v>20</v>
          </cell>
        </row>
        <row r="769">
          <cell r="C769">
            <v>41045060</v>
          </cell>
          <cell r="D769" t="str">
            <v>APMC Suple</v>
          </cell>
          <cell r="E769" t="str">
            <v>HPCL</v>
          </cell>
          <cell r="F769" t="str">
            <v>2019-20</v>
          </cell>
          <cell r="G769" t="str">
            <v>Pune Tathawade RSA</v>
          </cell>
          <cell r="J769" t="str">
            <v>SUPE BARAMATI</v>
          </cell>
          <cell r="K769" t="str">
            <v>Pune</v>
          </cell>
          <cell r="L769" t="str">
            <v>D1</v>
          </cell>
          <cell r="M769" t="str">
            <v>NH-965D</v>
          </cell>
          <cell r="O769" t="str">
            <v>A</v>
          </cell>
          <cell r="P769">
            <v>80</v>
          </cell>
          <cell r="Q769">
            <v>228</v>
          </cell>
          <cell r="R769">
            <v>77</v>
          </cell>
          <cell r="S769">
            <v>209</v>
          </cell>
          <cell r="T769">
            <v>3</v>
          </cell>
          <cell r="U769">
            <v>19</v>
          </cell>
          <cell r="V769">
            <v>147</v>
          </cell>
          <cell r="W769">
            <v>403</v>
          </cell>
          <cell r="X769">
            <v>154</v>
          </cell>
          <cell r="Y769">
            <v>462</v>
          </cell>
          <cell r="Z769">
            <v>-7</v>
          </cell>
          <cell r="AA769">
            <v>-59</v>
          </cell>
          <cell r="AB769">
            <v>308</v>
          </cell>
          <cell r="AC769">
            <v>286</v>
          </cell>
          <cell r="AD769">
            <v>22</v>
          </cell>
          <cell r="AE769">
            <v>550</v>
          </cell>
          <cell r="AF769">
            <v>616</v>
          </cell>
          <cell r="AG769">
            <v>-66</v>
          </cell>
        </row>
        <row r="770">
          <cell r="C770">
            <v>41045062</v>
          </cell>
          <cell r="D770" t="str">
            <v>SHREE VISHWA PETROLEUM</v>
          </cell>
          <cell r="E770" t="str">
            <v>HPCL</v>
          </cell>
          <cell r="F770" t="str">
            <v>2020-21</v>
          </cell>
          <cell r="G770" t="str">
            <v>Pune Hadapsar RSA</v>
          </cell>
          <cell r="J770" t="str">
            <v>Urlikanchan LHS</v>
          </cell>
          <cell r="K770" t="str">
            <v>Pune</v>
          </cell>
          <cell r="L770" t="str">
            <v>D1</v>
          </cell>
          <cell r="M770" t="str">
            <v>NH-65</v>
          </cell>
          <cell r="O770" t="str">
            <v>B</v>
          </cell>
          <cell r="P770">
            <v>143</v>
          </cell>
          <cell r="Q770">
            <v>245</v>
          </cell>
          <cell r="R770">
            <v>108</v>
          </cell>
          <cell r="S770">
            <v>168</v>
          </cell>
          <cell r="T770">
            <v>35</v>
          </cell>
          <cell r="U770">
            <v>77</v>
          </cell>
          <cell r="V770">
            <v>261</v>
          </cell>
          <cell r="W770">
            <v>449</v>
          </cell>
          <cell r="X770">
            <v>225</v>
          </cell>
          <cell r="Y770">
            <v>350</v>
          </cell>
          <cell r="Z770">
            <v>36</v>
          </cell>
          <cell r="AA770">
            <v>99</v>
          </cell>
          <cell r="AB770">
            <v>388</v>
          </cell>
          <cell r="AC770">
            <v>276</v>
          </cell>
          <cell r="AD770">
            <v>112</v>
          </cell>
          <cell r="AE770">
            <v>710</v>
          </cell>
          <cell r="AF770">
            <v>575</v>
          </cell>
          <cell r="AG770">
            <v>135</v>
          </cell>
        </row>
        <row r="771">
          <cell r="C771">
            <v>41045064</v>
          </cell>
          <cell r="D771" t="str">
            <v>KRISHNAI PETROLEUM</v>
          </cell>
          <cell r="E771" t="str">
            <v>HPCL</v>
          </cell>
          <cell r="F771" t="str">
            <v>2020-21</v>
          </cell>
          <cell r="G771" t="str">
            <v>Satara West RSA</v>
          </cell>
          <cell r="J771" t="str">
            <v>Satara to Bhuinj</v>
          </cell>
          <cell r="K771" t="str">
            <v>Satara</v>
          </cell>
          <cell r="L771" t="str">
            <v>D1</v>
          </cell>
          <cell r="M771" t="str">
            <v>NH-48</v>
          </cell>
          <cell r="O771" t="str">
            <v>A</v>
          </cell>
          <cell r="P771">
            <v>85</v>
          </cell>
          <cell r="Q771">
            <v>113</v>
          </cell>
          <cell r="R771">
            <v>64</v>
          </cell>
          <cell r="S771">
            <v>110</v>
          </cell>
          <cell r="T771">
            <v>21</v>
          </cell>
          <cell r="U771">
            <v>3</v>
          </cell>
          <cell r="V771">
            <v>154</v>
          </cell>
          <cell r="W771">
            <v>198</v>
          </cell>
          <cell r="X771">
            <v>121</v>
          </cell>
          <cell r="Y771">
            <v>251</v>
          </cell>
          <cell r="Z771">
            <v>33</v>
          </cell>
          <cell r="AA771">
            <v>-53</v>
          </cell>
          <cell r="AB771">
            <v>198</v>
          </cell>
          <cell r="AC771">
            <v>174</v>
          </cell>
          <cell r="AD771">
            <v>24</v>
          </cell>
          <cell r="AE771">
            <v>352</v>
          </cell>
          <cell r="AF771">
            <v>372</v>
          </cell>
          <cell r="AG771">
            <v>-20</v>
          </cell>
        </row>
        <row r="772">
          <cell r="C772">
            <v>41045204</v>
          </cell>
          <cell r="D772" t="str">
            <v>HEERKANI REAL ESTATE PVT LTD</v>
          </cell>
          <cell r="E772" t="str">
            <v>HPCL</v>
          </cell>
          <cell r="F772" t="str">
            <v>2020-21</v>
          </cell>
          <cell r="G772" t="str">
            <v>Pune Tathawade RSA</v>
          </cell>
          <cell r="J772" t="str">
            <v>BARAMATI MIDC</v>
          </cell>
          <cell r="K772" t="str">
            <v>Pune</v>
          </cell>
          <cell r="L772" t="str">
            <v>D1</v>
          </cell>
          <cell r="M772" t="str">
            <v>NH-965G</v>
          </cell>
          <cell r="O772" t="str">
            <v>B</v>
          </cell>
          <cell r="P772">
            <v>57</v>
          </cell>
          <cell r="Q772">
            <v>263</v>
          </cell>
          <cell r="R772">
            <v>59</v>
          </cell>
          <cell r="S772">
            <v>263</v>
          </cell>
          <cell r="T772">
            <v>-2</v>
          </cell>
          <cell r="U772">
            <v>0</v>
          </cell>
          <cell r="V772">
            <v>119</v>
          </cell>
          <cell r="W772">
            <v>531</v>
          </cell>
          <cell r="X772">
            <v>122</v>
          </cell>
          <cell r="Y772">
            <v>554</v>
          </cell>
          <cell r="Z772">
            <v>-3</v>
          </cell>
          <cell r="AA772">
            <v>-23</v>
          </cell>
          <cell r="AB772">
            <v>320</v>
          </cell>
          <cell r="AC772">
            <v>322</v>
          </cell>
          <cell r="AD772">
            <v>-2</v>
          </cell>
          <cell r="AE772">
            <v>650</v>
          </cell>
          <cell r="AF772">
            <v>676</v>
          </cell>
          <cell r="AG772">
            <v>-26</v>
          </cell>
        </row>
        <row r="773">
          <cell r="C773">
            <v>41045210</v>
          </cell>
          <cell r="D773" t="str">
            <v>JANHAVI PETROLEUM</v>
          </cell>
          <cell r="E773" t="str">
            <v>HPCL</v>
          </cell>
          <cell r="F773" t="str">
            <v>2019-20</v>
          </cell>
          <cell r="G773" t="str">
            <v>Pimpri Chinchwad RSA</v>
          </cell>
          <cell r="J773" t="str">
            <v xml:space="preserve">Sablewadi to shikhrapur </v>
          </cell>
          <cell r="K773" t="str">
            <v>Pune</v>
          </cell>
          <cell r="L773" t="str">
            <v>D1</v>
          </cell>
          <cell r="M773" t="str">
            <v>NH-548D</v>
          </cell>
          <cell r="O773" t="str">
            <v>B</v>
          </cell>
          <cell r="P773">
            <v>14</v>
          </cell>
          <cell r="Q773">
            <v>42</v>
          </cell>
          <cell r="R773">
            <v>7</v>
          </cell>
          <cell r="S773">
            <v>35</v>
          </cell>
          <cell r="T773">
            <v>7</v>
          </cell>
          <cell r="U773">
            <v>7</v>
          </cell>
          <cell r="V773">
            <v>24.5</v>
          </cell>
          <cell r="W773">
            <v>73.5</v>
          </cell>
          <cell r="X773">
            <v>17.5</v>
          </cell>
          <cell r="Y773">
            <v>66.5</v>
          </cell>
          <cell r="Z773">
            <v>7</v>
          </cell>
          <cell r="AA773">
            <v>7</v>
          </cell>
          <cell r="AB773">
            <v>56</v>
          </cell>
          <cell r="AC773">
            <v>42</v>
          </cell>
          <cell r="AD773">
            <v>14</v>
          </cell>
          <cell r="AE773">
            <v>98</v>
          </cell>
          <cell r="AF773">
            <v>84</v>
          </cell>
          <cell r="AG773">
            <v>14</v>
          </cell>
        </row>
        <row r="774">
          <cell r="C774">
            <v>41045215</v>
          </cell>
          <cell r="D774" t="str">
            <v>KAKDE PATIL PETROLEUM</v>
          </cell>
          <cell r="E774" t="str">
            <v>HPCL</v>
          </cell>
          <cell r="F774" t="str">
            <v>2020-21</v>
          </cell>
          <cell r="G774" t="str">
            <v>Pune Wagholi RSA</v>
          </cell>
          <cell r="J774" t="str">
            <v>AMBLE SHIRUR</v>
          </cell>
          <cell r="K774" t="str">
            <v>Pune</v>
          </cell>
          <cell r="L774" t="str">
            <v>D2</v>
          </cell>
          <cell r="O774" t="str">
            <v>B</v>
          </cell>
          <cell r="P774">
            <v>54</v>
          </cell>
          <cell r="Q774">
            <v>250</v>
          </cell>
          <cell r="R774">
            <v>40</v>
          </cell>
          <cell r="S774">
            <v>158</v>
          </cell>
          <cell r="T774">
            <v>14</v>
          </cell>
          <cell r="U774">
            <v>92</v>
          </cell>
          <cell r="V774">
            <v>91</v>
          </cell>
          <cell r="W774">
            <v>463</v>
          </cell>
          <cell r="X774">
            <v>84</v>
          </cell>
          <cell r="Y774">
            <v>338</v>
          </cell>
          <cell r="Z774">
            <v>7</v>
          </cell>
          <cell r="AA774">
            <v>125</v>
          </cell>
          <cell r="AB774">
            <v>304</v>
          </cell>
          <cell r="AC774">
            <v>198</v>
          </cell>
          <cell r="AD774">
            <v>106</v>
          </cell>
          <cell r="AE774">
            <v>554</v>
          </cell>
          <cell r="AF774">
            <v>422</v>
          </cell>
          <cell r="AG774">
            <v>132</v>
          </cell>
        </row>
        <row r="775">
          <cell r="C775">
            <v>41045219</v>
          </cell>
          <cell r="D775" t="str">
            <v>DESHMUKH PETROLEUM</v>
          </cell>
          <cell r="E775" t="str">
            <v>HPCL</v>
          </cell>
          <cell r="F775" t="str">
            <v>2020-21</v>
          </cell>
          <cell r="G775" t="str">
            <v>Pimpri Chinchwad RSA</v>
          </cell>
          <cell r="J775" t="str">
            <v>Tulapur</v>
          </cell>
          <cell r="K775" t="str">
            <v>Pune</v>
          </cell>
          <cell r="L775" t="str">
            <v>D2</v>
          </cell>
          <cell r="O775" t="str">
            <v>B</v>
          </cell>
          <cell r="P775">
            <v>34</v>
          </cell>
          <cell r="Q775">
            <v>248</v>
          </cell>
          <cell r="R775">
            <v>33</v>
          </cell>
          <cell r="S775">
            <v>205</v>
          </cell>
          <cell r="T775">
            <v>1</v>
          </cell>
          <cell r="U775">
            <v>43</v>
          </cell>
          <cell r="V775">
            <v>57</v>
          </cell>
          <cell r="W775">
            <v>453</v>
          </cell>
          <cell r="X775">
            <v>58</v>
          </cell>
          <cell r="Y775">
            <v>428</v>
          </cell>
          <cell r="Z775">
            <v>-1</v>
          </cell>
          <cell r="AA775">
            <v>25</v>
          </cell>
          <cell r="AB775">
            <v>282</v>
          </cell>
          <cell r="AC775">
            <v>238</v>
          </cell>
          <cell r="AD775">
            <v>44</v>
          </cell>
          <cell r="AE775">
            <v>510</v>
          </cell>
          <cell r="AF775">
            <v>486</v>
          </cell>
          <cell r="AG775">
            <v>24</v>
          </cell>
        </row>
        <row r="776">
          <cell r="C776">
            <v>41045223</v>
          </cell>
          <cell r="D776" t="str">
            <v>FAUJI PETROLEUM</v>
          </cell>
          <cell r="E776" t="str">
            <v>HPCL</v>
          </cell>
          <cell r="F776" t="str">
            <v>2020-21</v>
          </cell>
          <cell r="G776" t="str">
            <v>Satara West RSA</v>
          </cell>
          <cell r="J776" t="str">
            <v>Asale - Wai Road</v>
          </cell>
          <cell r="K776" t="str">
            <v>Satara</v>
          </cell>
          <cell r="L776" t="str">
            <v>E</v>
          </cell>
          <cell r="O776" t="str">
            <v>A</v>
          </cell>
          <cell r="P776">
            <v>85</v>
          </cell>
          <cell r="Q776">
            <v>95</v>
          </cell>
          <cell r="R776">
            <v>70</v>
          </cell>
          <cell r="S776">
            <v>90</v>
          </cell>
          <cell r="T776">
            <v>15</v>
          </cell>
          <cell r="U776">
            <v>5</v>
          </cell>
          <cell r="V776">
            <v>145</v>
          </cell>
          <cell r="W776">
            <v>155</v>
          </cell>
          <cell r="X776">
            <v>136</v>
          </cell>
          <cell r="Y776">
            <v>158</v>
          </cell>
          <cell r="Z776">
            <v>9</v>
          </cell>
          <cell r="AA776">
            <v>-3</v>
          </cell>
          <cell r="AB776">
            <v>180</v>
          </cell>
          <cell r="AC776">
            <v>160</v>
          </cell>
          <cell r="AD776">
            <v>20</v>
          </cell>
          <cell r="AE776">
            <v>300</v>
          </cell>
          <cell r="AF776">
            <v>294</v>
          </cell>
          <cell r="AG776">
            <v>6</v>
          </cell>
        </row>
        <row r="777">
          <cell r="C777">
            <v>41045227</v>
          </cell>
          <cell r="D777" t="str">
            <v>Shiv Petroleum</v>
          </cell>
          <cell r="E777" t="str">
            <v>HPCL</v>
          </cell>
          <cell r="F777" t="str">
            <v>2020-21</v>
          </cell>
          <cell r="G777" t="str">
            <v>Satara East RSA</v>
          </cell>
          <cell r="J777" t="str">
            <v>ANDRUD</v>
          </cell>
          <cell r="K777" t="str">
            <v>Satara</v>
          </cell>
          <cell r="L777" t="str">
            <v>E</v>
          </cell>
          <cell r="O777" t="str">
            <v>B</v>
          </cell>
          <cell r="P777">
            <v>40</v>
          </cell>
          <cell r="Q777">
            <v>40</v>
          </cell>
          <cell r="R777">
            <v>25</v>
          </cell>
          <cell r="S777">
            <v>35</v>
          </cell>
          <cell r="T777">
            <v>15</v>
          </cell>
          <cell r="U777">
            <v>5</v>
          </cell>
          <cell r="V777">
            <v>71</v>
          </cell>
          <cell r="W777">
            <v>65</v>
          </cell>
          <cell r="X777">
            <v>55</v>
          </cell>
          <cell r="Y777">
            <v>65</v>
          </cell>
          <cell r="Z777">
            <v>16</v>
          </cell>
          <cell r="AA777">
            <v>0</v>
          </cell>
          <cell r="AB777">
            <v>80</v>
          </cell>
          <cell r="AC777">
            <v>60</v>
          </cell>
          <cell r="AD777">
            <v>20</v>
          </cell>
          <cell r="AE777">
            <v>136</v>
          </cell>
          <cell r="AF777">
            <v>120</v>
          </cell>
          <cell r="AG777">
            <v>16</v>
          </cell>
        </row>
        <row r="778">
          <cell r="C778">
            <v>41045231</v>
          </cell>
          <cell r="D778" t="str">
            <v xml:space="preserve">APMC Phalthan </v>
          </cell>
          <cell r="E778" t="str">
            <v>HPCL</v>
          </cell>
          <cell r="F778" t="str">
            <v>2020-21</v>
          </cell>
          <cell r="G778" t="str">
            <v>Satara East RSA</v>
          </cell>
          <cell r="J778" t="str">
            <v>pusegaon phaltan road</v>
          </cell>
          <cell r="K778" t="str">
            <v>Satara</v>
          </cell>
          <cell r="L778" t="str">
            <v>D2</v>
          </cell>
          <cell r="O778" t="str">
            <v>A</v>
          </cell>
          <cell r="P778">
            <v>55</v>
          </cell>
          <cell r="Q778">
            <v>95</v>
          </cell>
          <cell r="R778">
            <v>49</v>
          </cell>
          <cell r="S778">
            <v>55</v>
          </cell>
          <cell r="T778">
            <v>6</v>
          </cell>
          <cell r="U778">
            <v>40</v>
          </cell>
          <cell r="V778">
            <v>121</v>
          </cell>
          <cell r="W778">
            <v>173</v>
          </cell>
          <cell r="X778">
            <v>97</v>
          </cell>
          <cell r="Y778">
            <v>121</v>
          </cell>
          <cell r="Z778">
            <v>24</v>
          </cell>
          <cell r="AA778">
            <v>52</v>
          </cell>
          <cell r="AB778">
            <v>150</v>
          </cell>
          <cell r="AC778">
            <v>104</v>
          </cell>
          <cell r="AD778">
            <v>46</v>
          </cell>
          <cell r="AE778">
            <v>294</v>
          </cell>
          <cell r="AF778">
            <v>218</v>
          </cell>
          <cell r="AG778">
            <v>76</v>
          </cell>
        </row>
        <row r="779">
          <cell r="C779">
            <v>41045236</v>
          </cell>
          <cell r="D779" t="str">
            <v>MSHSD JD PETROLEUM</v>
          </cell>
          <cell r="E779" t="str">
            <v>HPCL</v>
          </cell>
          <cell r="F779" t="str">
            <v>2020-21</v>
          </cell>
          <cell r="G779" t="str">
            <v>Satara West RSA</v>
          </cell>
          <cell r="J779" t="str">
            <v>Rajmachi to Kadegaon</v>
          </cell>
          <cell r="K779" t="str">
            <v>Satara</v>
          </cell>
          <cell r="L779" t="str">
            <v>D1</v>
          </cell>
          <cell r="M779" t="str">
            <v>NH-166E</v>
          </cell>
          <cell r="O779" t="str">
            <v>A</v>
          </cell>
          <cell r="P779">
            <v>44</v>
          </cell>
          <cell r="Q779">
            <v>138</v>
          </cell>
          <cell r="R779">
            <v>39</v>
          </cell>
          <cell r="S779">
            <v>105</v>
          </cell>
          <cell r="T779">
            <v>5</v>
          </cell>
          <cell r="U779">
            <v>33</v>
          </cell>
          <cell r="V779">
            <v>73</v>
          </cell>
          <cell r="W779">
            <v>253</v>
          </cell>
          <cell r="X779">
            <v>75</v>
          </cell>
          <cell r="Y779">
            <v>211</v>
          </cell>
          <cell r="Z779">
            <v>-2</v>
          </cell>
          <cell r="AA779">
            <v>42</v>
          </cell>
          <cell r="AB779">
            <v>182</v>
          </cell>
          <cell r="AC779">
            <v>144</v>
          </cell>
          <cell r="AD779">
            <v>38</v>
          </cell>
          <cell r="AE779">
            <v>326</v>
          </cell>
          <cell r="AF779">
            <v>286</v>
          </cell>
          <cell r="AG779">
            <v>40</v>
          </cell>
        </row>
        <row r="780">
          <cell r="C780">
            <v>41045240</v>
          </cell>
          <cell r="D780" t="str">
            <v>GAYATRI PETROLEUM</v>
          </cell>
          <cell r="E780" t="str">
            <v>HPCL</v>
          </cell>
          <cell r="F780" t="str">
            <v>2020-21</v>
          </cell>
          <cell r="G780" t="str">
            <v>Pimpri Chinchwad RSA</v>
          </cell>
          <cell r="J780" t="str">
            <v>Rajgurunagar to Ghodegaon</v>
          </cell>
          <cell r="K780" t="str">
            <v>Pune</v>
          </cell>
          <cell r="L780" t="str">
            <v>D2</v>
          </cell>
          <cell r="O780" t="str">
            <v>A</v>
          </cell>
          <cell r="P780">
            <v>58</v>
          </cell>
          <cell r="Q780">
            <v>82</v>
          </cell>
          <cell r="R780">
            <v>51</v>
          </cell>
          <cell r="S780">
            <v>47</v>
          </cell>
          <cell r="T780">
            <v>7</v>
          </cell>
          <cell r="U780">
            <v>35</v>
          </cell>
          <cell r="V780">
            <v>106</v>
          </cell>
          <cell r="W780">
            <v>146</v>
          </cell>
          <cell r="X780">
            <v>94</v>
          </cell>
          <cell r="Y780">
            <v>102</v>
          </cell>
          <cell r="Z780">
            <v>12</v>
          </cell>
          <cell r="AA780">
            <v>44</v>
          </cell>
          <cell r="AB780">
            <v>140</v>
          </cell>
          <cell r="AC780">
            <v>98</v>
          </cell>
          <cell r="AD780">
            <v>42</v>
          </cell>
          <cell r="AE780">
            <v>252</v>
          </cell>
          <cell r="AF780">
            <v>196</v>
          </cell>
          <cell r="AG780">
            <v>56</v>
          </cell>
        </row>
        <row r="781">
          <cell r="C781">
            <v>41045244</v>
          </cell>
          <cell r="D781" t="str">
            <v>INGAWALE PETROLEUM</v>
          </cell>
          <cell r="E781" t="str">
            <v>HPCL</v>
          </cell>
          <cell r="F781" t="str">
            <v>2020-21</v>
          </cell>
          <cell r="G781" t="str">
            <v>Pune City RSA</v>
          </cell>
          <cell r="J781" t="str">
            <v>BHUKUM</v>
          </cell>
          <cell r="K781" t="str">
            <v>Pune</v>
          </cell>
          <cell r="L781" t="str">
            <v>D1</v>
          </cell>
          <cell r="M781" t="str">
            <v>NH-753F</v>
          </cell>
          <cell r="O781" t="str">
            <v>A</v>
          </cell>
          <cell r="P781">
            <v>400</v>
          </cell>
          <cell r="Q781">
            <v>375</v>
          </cell>
          <cell r="R781">
            <v>385</v>
          </cell>
          <cell r="S781">
            <v>290</v>
          </cell>
          <cell r="T781">
            <v>15</v>
          </cell>
          <cell r="U781">
            <v>85</v>
          </cell>
          <cell r="V781">
            <v>745</v>
          </cell>
          <cell r="W781">
            <v>705</v>
          </cell>
          <cell r="X781">
            <v>735</v>
          </cell>
          <cell r="Y781">
            <v>589</v>
          </cell>
          <cell r="Z781">
            <v>10</v>
          </cell>
          <cell r="AA781">
            <v>116</v>
          </cell>
          <cell r="AB781">
            <v>775</v>
          </cell>
          <cell r="AC781">
            <v>675</v>
          </cell>
          <cell r="AD781">
            <v>100</v>
          </cell>
          <cell r="AE781">
            <v>1450</v>
          </cell>
          <cell r="AF781">
            <v>1324</v>
          </cell>
          <cell r="AG781">
            <v>126</v>
          </cell>
        </row>
        <row r="782">
          <cell r="C782">
            <v>41045250</v>
          </cell>
          <cell r="D782" t="str">
            <v>DHORE PETROLEUM</v>
          </cell>
          <cell r="E782" t="str">
            <v>HPCL</v>
          </cell>
          <cell r="F782" t="str">
            <v>2020-21</v>
          </cell>
          <cell r="G782" t="str">
            <v>Pune Hadapsar RSA</v>
          </cell>
          <cell r="J782" t="str">
            <v>FURSUNGI</v>
          </cell>
          <cell r="K782" t="str">
            <v>Pune</v>
          </cell>
          <cell r="L782" t="str">
            <v>A</v>
          </cell>
          <cell r="O782" t="str">
            <v>B</v>
          </cell>
          <cell r="P782">
            <v>100</v>
          </cell>
          <cell r="Q782">
            <v>68</v>
          </cell>
          <cell r="R782">
            <v>144</v>
          </cell>
          <cell r="S782">
            <v>94</v>
          </cell>
          <cell r="T782">
            <v>-44</v>
          </cell>
          <cell r="U782">
            <v>-26</v>
          </cell>
          <cell r="V782">
            <v>192</v>
          </cell>
          <cell r="W782">
            <v>124</v>
          </cell>
          <cell r="X782">
            <v>282</v>
          </cell>
          <cell r="Y782">
            <v>178</v>
          </cell>
          <cell r="Z782">
            <v>-90</v>
          </cell>
          <cell r="AA782">
            <v>-54</v>
          </cell>
          <cell r="AB782">
            <v>168</v>
          </cell>
          <cell r="AC782">
            <v>238</v>
          </cell>
          <cell r="AD782">
            <v>-70</v>
          </cell>
          <cell r="AE782">
            <v>316</v>
          </cell>
          <cell r="AF782">
            <v>460</v>
          </cell>
          <cell r="AG782">
            <v>-144</v>
          </cell>
        </row>
        <row r="783">
          <cell r="C783">
            <v>41045255</v>
          </cell>
          <cell r="D783" t="str">
            <v>NAKHATE PETROLEUM</v>
          </cell>
          <cell r="E783" t="str">
            <v>HPCL</v>
          </cell>
          <cell r="F783" t="str">
            <v>2020-21</v>
          </cell>
          <cell r="G783" t="str">
            <v>Pune City RSA</v>
          </cell>
          <cell r="J783" t="str">
            <v>Pimple Saudagar</v>
          </cell>
          <cell r="K783" t="str">
            <v>Pune</v>
          </cell>
          <cell r="L783" t="str">
            <v>A</v>
          </cell>
          <cell r="O783" t="str">
            <v>B</v>
          </cell>
          <cell r="P783">
            <v>369</v>
          </cell>
          <cell r="Q783">
            <v>195</v>
          </cell>
          <cell r="R783">
            <v>325</v>
          </cell>
          <cell r="S783">
            <v>155</v>
          </cell>
          <cell r="T783">
            <v>44</v>
          </cell>
          <cell r="U783">
            <v>40</v>
          </cell>
          <cell r="V783">
            <v>693</v>
          </cell>
          <cell r="W783">
            <v>387</v>
          </cell>
          <cell r="X783">
            <v>649</v>
          </cell>
          <cell r="Y783">
            <v>331</v>
          </cell>
          <cell r="Z783">
            <v>44</v>
          </cell>
          <cell r="AA783">
            <v>56</v>
          </cell>
          <cell r="AB783">
            <v>564</v>
          </cell>
          <cell r="AC783">
            <v>480</v>
          </cell>
          <cell r="AD783">
            <v>84</v>
          </cell>
          <cell r="AE783">
            <v>1080</v>
          </cell>
          <cell r="AF783">
            <v>980</v>
          </cell>
          <cell r="AG783">
            <v>100</v>
          </cell>
        </row>
        <row r="784">
          <cell r="C784">
            <v>41045260</v>
          </cell>
          <cell r="D784" t="str">
            <v>KIYAANSHH PETROLEUM</v>
          </cell>
          <cell r="E784" t="str">
            <v>HPCL</v>
          </cell>
          <cell r="F784" t="str">
            <v>2022-23</v>
          </cell>
          <cell r="G784" t="str">
            <v>Pune Hadapsar RSA</v>
          </cell>
          <cell r="J784" t="str">
            <v>Urlidevachi Undri Road</v>
          </cell>
          <cell r="K784" t="str">
            <v>Pune</v>
          </cell>
          <cell r="L784" t="str">
            <v>A</v>
          </cell>
          <cell r="O784" t="str">
            <v>B</v>
          </cell>
          <cell r="P784">
            <v>0</v>
          </cell>
          <cell r="Q784">
            <v>0</v>
          </cell>
          <cell r="R784">
            <v>15</v>
          </cell>
          <cell r="S784">
            <v>11</v>
          </cell>
          <cell r="T784">
            <v>-15</v>
          </cell>
          <cell r="U784">
            <v>-11</v>
          </cell>
          <cell r="V784">
            <v>6</v>
          </cell>
          <cell r="W784">
            <v>6</v>
          </cell>
          <cell r="X784">
            <v>24</v>
          </cell>
          <cell r="Y784">
            <v>16</v>
          </cell>
          <cell r="Z784">
            <v>-18</v>
          </cell>
          <cell r="AA784">
            <v>-10</v>
          </cell>
          <cell r="AB784">
            <v>0</v>
          </cell>
          <cell r="AC784">
            <v>26</v>
          </cell>
          <cell r="AD784">
            <v>-26</v>
          </cell>
          <cell r="AE784">
            <v>12</v>
          </cell>
          <cell r="AF784">
            <v>40</v>
          </cell>
          <cell r="AG784">
            <v>-28</v>
          </cell>
        </row>
        <row r="785">
          <cell r="C785">
            <v>41045265</v>
          </cell>
          <cell r="D785" t="str">
            <v>ISHWARI PETROLEUM</v>
          </cell>
          <cell r="E785" t="str">
            <v>HPCL</v>
          </cell>
          <cell r="F785" t="str">
            <v>2020-21</v>
          </cell>
          <cell r="G785" t="str">
            <v>Pune Hadapsar RSA</v>
          </cell>
          <cell r="J785" t="str">
            <v>UrliDevachi</v>
          </cell>
          <cell r="K785" t="str">
            <v>Pune</v>
          </cell>
          <cell r="L785" t="str">
            <v>D1</v>
          </cell>
          <cell r="M785" t="str">
            <v>NH-965</v>
          </cell>
          <cell r="O785" t="str">
            <v>B</v>
          </cell>
          <cell r="P785">
            <v>85</v>
          </cell>
          <cell r="Q785">
            <v>495</v>
          </cell>
          <cell r="R785">
            <v>134</v>
          </cell>
          <cell r="S785">
            <v>630</v>
          </cell>
          <cell r="T785">
            <v>-49</v>
          </cell>
          <cell r="U785">
            <v>-135</v>
          </cell>
          <cell r="V785">
            <v>170</v>
          </cell>
          <cell r="W785">
            <v>990</v>
          </cell>
          <cell r="X785">
            <v>274</v>
          </cell>
          <cell r="Y785">
            <v>1270</v>
          </cell>
          <cell r="Z785">
            <v>-104</v>
          </cell>
          <cell r="AA785">
            <v>-280</v>
          </cell>
          <cell r="AB785">
            <v>580</v>
          </cell>
          <cell r="AC785">
            <v>764</v>
          </cell>
          <cell r="AD785">
            <v>-184</v>
          </cell>
          <cell r="AE785">
            <v>1160</v>
          </cell>
          <cell r="AF785">
            <v>1544</v>
          </cell>
          <cell r="AG785">
            <v>-384</v>
          </cell>
        </row>
        <row r="786">
          <cell r="C786">
            <v>41046467</v>
          </cell>
          <cell r="D786" t="str">
            <v>Star Petroleum</v>
          </cell>
          <cell r="E786" t="str">
            <v>HPCL</v>
          </cell>
          <cell r="F786" t="str">
            <v>2017-18</v>
          </cell>
          <cell r="G786" t="str">
            <v>Ahmednagar West RSA</v>
          </cell>
          <cell r="J786" t="str">
            <v>Arangaon (Jamkhed)</v>
          </cell>
          <cell r="K786" t="str">
            <v>Ahmednagar</v>
          </cell>
          <cell r="L786" t="str">
            <v>D1</v>
          </cell>
          <cell r="M786" t="str">
            <v>NH-548D</v>
          </cell>
          <cell r="O786" t="str">
            <v>A</v>
          </cell>
          <cell r="P786">
            <v>61</v>
          </cell>
          <cell r="Q786">
            <v>251</v>
          </cell>
          <cell r="R786">
            <v>60</v>
          </cell>
          <cell r="S786">
            <v>180</v>
          </cell>
          <cell r="T786">
            <v>1</v>
          </cell>
          <cell r="U786">
            <v>71</v>
          </cell>
          <cell r="V786">
            <v>105</v>
          </cell>
          <cell r="W786">
            <v>485</v>
          </cell>
          <cell r="X786">
            <v>125</v>
          </cell>
          <cell r="Y786">
            <v>355</v>
          </cell>
          <cell r="Z786">
            <v>-20</v>
          </cell>
          <cell r="AA786">
            <v>130</v>
          </cell>
          <cell r="AB786">
            <v>312</v>
          </cell>
          <cell r="AC786">
            <v>240</v>
          </cell>
          <cell r="AD786">
            <v>72</v>
          </cell>
          <cell r="AE786">
            <v>590</v>
          </cell>
          <cell r="AF786">
            <v>480</v>
          </cell>
          <cell r="AG786">
            <v>110</v>
          </cell>
        </row>
        <row r="787">
          <cell r="C787">
            <v>41047699</v>
          </cell>
          <cell r="D787" t="str">
            <v>Hi-Tech Fuel Station</v>
          </cell>
          <cell r="E787" t="str">
            <v>HPCL</v>
          </cell>
          <cell r="G787" t="str">
            <v>Ahmednagar East RSA</v>
          </cell>
          <cell r="J787" t="str">
            <v>Aurangabad Road</v>
          </cell>
          <cell r="K787" t="str">
            <v>Ahmednagar</v>
          </cell>
          <cell r="L787" t="str">
            <v>D1</v>
          </cell>
          <cell r="M787" t="str">
            <v>NH-753F</v>
          </cell>
          <cell r="O787" t="str">
            <v>A</v>
          </cell>
          <cell r="P787">
            <v>78</v>
          </cell>
          <cell r="Q787">
            <v>126</v>
          </cell>
          <cell r="R787">
            <v>69</v>
          </cell>
          <cell r="S787">
            <v>99</v>
          </cell>
          <cell r="T787">
            <v>9</v>
          </cell>
          <cell r="U787">
            <v>27</v>
          </cell>
          <cell r="V787">
            <v>141</v>
          </cell>
          <cell r="W787">
            <v>231</v>
          </cell>
          <cell r="X787">
            <v>132</v>
          </cell>
          <cell r="Y787">
            <v>192</v>
          </cell>
          <cell r="Z787">
            <v>9</v>
          </cell>
          <cell r="AA787">
            <v>39</v>
          </cell>
          <cell r="AB787">
            <v>204</v>
          </cell>
          <cell r="AC787">
            <v>168</v>
          </cell>
          <cell r="AD787">
            <v>36</v>
          </cell>
          <cell r="AE787">
            <v>372</v>
          </cell>
          <cell r="AF787">
            <v>324</v>
          </cell>
          <cell r="AG787">
            <v>48</v>
          </cell>
        </row>
        <row r="788">
          <cell r="C788">
            <v>41047705</v>
          </cell>
          <cell r="D788" t="str">
            <v>Sai Kisan Vikas Kendra</v>
          </cell>
          <cell r="E788" t="str">
            <v>HPCL</v>
          </cell>
          <cell r="G788" t="str">
            <v>Shirdi RSA</v>
          </cell>
          <cell r="J788" t="str">
            <v>POHEGAON</v>
          </cell>
          <cell r="K788" t="str">
            <v>Ahmednagar</v>
          </cell>
          <cell r="L788" t="str">
            <v>D1</v>
          </cell>
          <cell r="M788" t="str">
            <v>NH-160B</v>
          </cell>
          <cell r="O788" t="str">
            <v>B</v>
          </cell>
          <cell r="P788">
            <v>33</v>
          </cell>
          <cell r="Q788">
            <v>75</v>
          </cell>
          <cell r="R788">
            <v>39</v>
          </cell>
          <cell r="S788">
            <v>57</v>
          </cell>
          <cell r="T788">
            <v>-6</v>
          </cell>
          <cell r="U788">
            <v>18</v>
          </cell>
          <cell r="V788">
            <v>66</v>
          </cell>
          <cell r="W788">
            <v>126</v>
          </cell>
          <cell r="X788">
            <v>77</v>
          </cell>
          <cell r="Y788">
            <v>115</v>
          </cell>
          <cell r="Z788">
            <v>-11</v>
          </cell>
          <cell r="AA788">
            <v>11</v>
          </cell>
          <cell r="AB788">
            <v>108</v>
          </cell>
          <cell r="AC788">
            <v>96</v>
          </cell>
          <cell r="AD788">
            <v>12</v>
          </cell>
          <cell r="AE788">
            <v>192</v>
          </cell>
          <cell r="AF788">
            <v>192</v>
          </cell>
          <cell r="AG788">
            <v>0</v>
          </cell>
        </row>
        <row r="789">
          <cell r="C789">
            <v>41047909</v>
          </cell>
          <cell r="D789" t="str">
            <v>APMC SHRIRAMPUR</v>
          </cell>
          <cell r="E789" t="str">
            <v>HPCL</v>
          </cell>
          <cell r="G789" t="str">
            <v>Shirdi RSA</v>
          </cell>
          <cell r="J789" t="str">
            <v>SHIRASGAON</v>
          </cell>
          <cell r="K789" t="str">
            <v>Ahmednagar</v>
          </cell>
          <cell r="L789" t="str">
            <v>D2</v>
          </cell>
          <cell r="O789" t="str">
            <v>A</v>
          </cell>
          <cell r="P789">
            <v>109</v>
          </cell>
          <cell r="Q789">
            <v>135</v>
          </cell>
          <cell r="R789">
            <v>129</v>
          </cell>
          <cell r="S789">
            <v>139</v>
          </cell>
          <cell r="T789">
            <v>-20</v>
          </cell>
          <cell r="U789">
            <v>-4</v>
          </cell>
          <cell r="V789">
            <v>237</v>
          </cell>
          <cell r="W789">
            <v>311</v>
          </cell>
          <cell r="X789">
            <v>265</v>
          </cell>
          <cell r="Y789">
            <v>275</v>
          </cell>
          <cell r="Z789">
            <v>-28</v>
          </cell>
          <cell r="AA789">
            <v>36</v>
          </cell>
          <cell r="AB789">
            <v>244</v>
          </cell>
          <cell r="AC789">
            <v>268</v>
          </cell>
          <cell r="AD789">
            <v>-24</v>
          </cell>
          <cell r="AE789">
            <v>548</v>
          </cell>
          <cell r="AF789">
            <v>540</v>
          </cell>
          <cell r="AG789">
            <v>8</v>
          </cell>
        </row>
        <row r="790">
          <cell r="C790">
            <v>41047911</v>
          </cell>
          <cell r="D790" t="str">
            <v>Shivsai Petroleum</v>
          </cell>
          <cell r="E790" t="str">
            <v>HPCL</v>
          </cell>
          <cell r="F790" t="str">
            <v>2018-19</v>
          </cell>
          <cell r="G790" t="str">
            <v>Shirdi RSA</v>
          </cell>
          <cell r="J790" t="str">
            <v>PUNTAMBA PHATA</v>
          </cell>
          <cell r="K790" t="str">
            <v>Ahmednagar</v>
          </cell>
          <cell r="L790" t="str">
            <v>D1</v>
          </cell>
          <cell r="M790" t="str">
            <v>NH-752G</v>
          </cell>
          <cell r="O790" t="str">
            <v>A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C791">
            <v>41047912</v>
          </cell>
          <cell r="D791" t="str">
            <v>Dosti Petroleum</v>
          </cell>
          <cell r="E791" t="str">
            <v>HPCL</v>
          </cell>
          <cell r="F791" t="str">
            <v>2018-19</v>
          </cell>
          <cell r="G791" t="str">
            <v>Shirdi RSA</v>
          </cell>
          <cell r="J791" t="str">
            <v>GHARGAON Nashik-Pune RHS</v>
          </cell>
          <cell r="K791" t="str">
            <v>Ahmednagar</v>
          </cell>
          <cell r="L791" t="str">
            <v>D1</v>
          </cell>
          <cell r="M791" t="str">
            <v>NH-60</v>
          </cell>
          <cell r="O791" t="str">
            <v>A</v>
          </cell>
          <cell r="P791">
            <v>64</v>
          </cell>
          <cell r="Q791">
            <v>174</v>
          </cell>
          <cell r="R791">
            <v>46</v>
          </cell>
          <cell r="S791">
            <v>150</v>
          </cell>
          <cell r="T791">
            <v>18</v>
          </cell>
          <cell r="U791">
            <v>24</v>
          </cell>
          <cell r="V791">
            <v>120</v>
          </cell>
          <cell r="W791">
            <v>356</v>
          </cell>
          <cell r="X791">
            <v>94</v>
          </cell>
          <cell r="Y791">
            <v>298</v>
          </cell>
          <cell r="Z791">
            <v>26</v>
          </cell>
          <cell r="AA791">
            <v>58</v>
          </cell>
          <cell r="AB791">
            <v>238</v>
          </cell>
          <cell r="AC791">
            <v>196</v>
          </cell>
          <cell r="AD791">
            <v>42</v>
          </cell>
          <cell r="AE791">
            <v>476</v>
          </cell>
          <cell r="AF791">
            <v>392</v>
          </cell>
          <cell r="AG791">
            <v>84</v>
          </cell>
        </row>
        <row r="792">
          <cell r="C792">
            <v>41048003</v>
          </cell>
          <cell r="D792" t="str">
            <v>Apurva Petroleum</v>
          </cell>
          <cell r="E792" t="str">
            <v>HPCL</v>
          </cell>
          <cell r="F792" t="str">
            <v>2017-18</v>
          </cell>
          <cell r="G792" t="str">
            <v>Ahmednagar West RSA</v>
          </cell>
          <cell r="J792" t="str">
            <v>Karanji</v>
          </cell>
          <cell r="K792" t="str">
            <v>Ahmednagar</v>
          </cell>
          <cell r="L792" t="str">
            <v>D1</v>
          </cell>
          <cell r="M792" t="str">
            <v>NH-61</v>
          </cell>
          <cell r="O792" t="str">
            <v>A</v>
          </cell>
          <cell r="P792">
            <v>64</v>
          </cell>
          <cell r="Q792">
            <v>188</v>
          </cell>
          <cell r="R792">
            <v>80</v>
          </cell>
          <cell r="S792">
            <v>148</v>
          </cell>
          <cell r="T792">
            <v>-16</v>
          </cell>
          <cell r="U792">
            <v>40</v>
          </cell>
          <cell r="V792">
            <v>124</v>
          </cell>
          <cell r="W792">
            <v>332</v>
          </cell>
          <cell r="X792">
            <v>154</v>
          </cell>
          <cell r="Y792">
            <v>278</v>
          </cell>
          <cell r="Z792">
            <v>-30</v>
          </cell>
          <cell r="AA792">
            <v>54</v>
          </cell>
          <cell r="AB792">
            <v>252</v>
          </cell>
          <cell r="AC792">
            <v>228</v>
          </cell>
          <cell r="AD792">
            <v>24</v>
          </cell>
          <cell r="AE792">
            <v>456</v>
          </cell>
          <cell r="AF792">
            <v>432</v>
          </cell>
          <cell r="AG792">
            <v>24</v>
          </cell>
        </row>
        <row r="793">
          <cell r="C793">
            <v>41048006</v>
          </cell>
          <cell r="D793" t="str">
            <v>R.K.Petroleum</v>
          </cell>
          <cell r="E793" t="str">
            <v>HPCL</v>
          </cell>
          <cell r="F793" t="str">
            <v>2017-18</v>
          </cell>
          <cell r="G793" t="str">
            <v>Ahmednagar West RSA</v>
          </cell>
          <cell r="J793" t="str">
            <v>Chichondi Patil</v>
          </cell>
          <cell r="K793" t="str">
            <v>Ahmednagar</v>
          </cell>
          <cell r="L793" t="str">
            <v>D2</v>
          </cell>
          <cell r="O793" t="str">
            <v>A</v>
          </cell>
          <cell r="P793">
            <v>40</v>
          </cell>
          <cell r="Q793">
            <v>100</v>
          </cell>
          <cell r="R793">
            <v>43</v>
          </cell>
          <cell r="S793">
            <v>97</v>
          </cell>
          <cell r="T793">
            <v>-3</v>
          </cell>
          <cell r="U793">
            <v>3</v>
          </cell>
          <cell r="V793">
            <v>86</v>
          </cell>
          <cell r="W793">
            <v>202</v>
          </cell>
          <cell r="X793">
            <v>88</v>
          </cell>
          <cell r="Y793">
            <v>192</v>
          </cell>
          <cell r="Z793">
            <v>-2</v>
          </cell>
          <cell r="AA793">
            <v>10</v>
          </cell>
          <cell r="AB793">
            <v>140</v>
          </cell>
          <cell r="AC793">
            <v>140</v>
          </cell>
          <cell r="AD793">
            <v>0</v>
          </cell>
          <cell r="AE793">
            <v>288</v>
          </cell>
          <cell r="AF793">
            <v>280</v>
          </cell>
          <cell r="AG793">
            <v>8</v>
          </cell>
        </row>
        <row r="794">
          <cell r="C794">
            <v>41048330</v>
          </cell>
          <cell r="D794" t="str">
            <v>Mauli Fuel Station</v>
          </cell>
          <cell r="E794" t="str">
            <v>HPCL</v>
          </cell>
          <cell r="F794" t="str">
            <v>2017-18</v>
          </cell>
          <cell r="G794" t="str">
            <v>Ahmednagar East RSA</v>
          </cell>
          <cell r="J794" t="str">
            <v>Dhangarwadi</v>
          </cell>
          <cell r="K794" t="str">
            <v>Ahmednagar</v>
          </cell>
          <cell r="L794" t="str">
            <v>D1</v>
          </cell>
          <cell r="M794" t="str">
            <v>NH-753F</v>
          </cell>
          <cell r="O794" t="str">
            <v>B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</row>
        <row r="795">
          <cell r="C795">
            <v>41048430</v>
          </cell>
          <cell r="D795" t="str">
            <v>ATHARVA HINGE PETROLEUM</v>
          </cell>
          <cell r="E795" t="str">
            <v>HPCL</v>
          </cell>
          <cell r="G795" t="str">
            <v>Ahmednagar West RSA</v>
          </cell>
          <cell r="J795" t="str">
            <v>SHEKTE</v>
          </cell>
          <cell r="K795" t="str">
            <v>Ahmednagar</v>
          </cell>
          <cell r="L795" t="str">
            <v>D1</v>
          </cell>
          <cell r="M795" t="str">
            <v>NH-61</v>
          </cell>
          <cell r="O795" t="str">
            <v>A</v>
          </cell>
          <cell r="P795">
            <v>45</v>
          </cell>
          <cell r="Q795">
            <v>147</v>
          </cell>
          <cell r="R795">
            <v>60</v>
          </cell>
          <cell r="S795">
            <v>144</v>
          </cell>
          <cell r="T795">
            <v>-15</v>
          </cell>
          <cell r="U795">
            <v>3</v>
          </cell>
          <cell r="V795">
            <v>81</v>
          </cell>
          <cell r="W795">
            <v>219</v>
          </cell>
          <cell r="X795">
            <v>98</v>
          </cell>
          <cell r="Y795">
            <v>258</v>
          </cell>
          <cell r="Z795">
            <v>-17</v>
          </cell>
          <cell r="AA795">
            <v>-39</v>
          </cell>
          <cell r="AB795">
            <v>192</v>
          </cell>
          <cell r="AC795">
            <v>204</v>
          </cell>
          <cell r="AD795">
            <v>-12</v>
          </cell>
          <cell r="AE795">
            <v>300</v>
          </cell>
          <cell r="AF795">
            <v>356</v>
          </cell>
          <cell r="AG795">
            <v>-56</v>
          </cell>
        </row>
        <row r="796">
          <cell r="C796">
            <v>41048431</v>
          </cell>
          <cell r="D796" t="str">
            <v>Shri Mallikarjun Petroleum</v>
          </cell>
          <cell r="E796" t="str">
            <v>HPCL</v>
          </cell>
          <cell r="G796" t="str">
            <v>Ahmednagar East RSA</v>
          </cell>
          <cell r="J796" t="str">
            <v>Bodhegaon</v>
          </cell>
          <cell r="K796" t="str">
            <v>Ahmednagar</v>
          </cell>
          <cell r="L796" t="str">
            <v>D2</v>
          </cell>
          <cell r="O796" t="str">
            <v>B</v>
          </cell>
          <cell r="P796">
            <v>85</v>
          </cell>
          <cell r="Q796">
            <v>255</v>
          </cell>
          <cell r="R796">
            <v>65</v>
          </cell>
          <cell r="S796">
            <v>175</v>
          </cell>
          <cell r="T796">
            <v>20</v>
          </cell>
          <cell r="U796">
            <v>80</v>
          </cell>
          <cell r="V796">
            <v>150</v>
          </cell>
          <cell r="W796">
            <v>410</v>
          </cell>
          <cell r="X796">
            <v>120</v>
          </cell>
          <cell r="Y796">
            <v>300</v>
          </cell>
          <cell r="Z796">
            <v>30</v>
          </cell>
          <cell r="AA796">
            <v>110</v>
          </cell>
          <cell r="AB796">
            <v>340</v>
          </cell>
          <cell r="AC796">
            <v>240</v>
          </cell>
          <cell r="AD796">
            <v>100</v>
          </cell>
          <cell r="AE796">
            <v>560</v>
          </cell>
          <cell r="AF796">
            <v>420</v>
          </cell>
          <cell r="AG796">
            <v>140</v>
          </cell>
        </row>
        <row r="797">
          <cell r="C797">
            <v>41048432</v>
          </cell>
          <cell r="D797" t="str">
            <v>Om Sai Krishi Seva Kendra</v>
          </cell>
          <cell r="E797" t="str">
            <v>HPCL</v>
          </cell>
          <cell r="G797" t="str">
            <v>Ahmednagar West RSA</v>
          </cell>
          <cell r="J797" t="str">
            <v>ALKUTI</v>
          </cell>
          <cell r="K797" t="str">
            <v>Ahmednagar</v>
          </cell>
          <cell r="L797" t="str">
            <v>D2</v>
          </cell>
          <cell r="O797" t="str">
            <v>A</v>
          </cell>
          <cell r="P797">
            <v>40</v>
          </cell>
          <cell r="Q797">
            <v>80</v>
          </cell>
          <cell r="R797">
            <v>40</v>
          </cell>
          <cell r="S797">
            <v>80</v>
          </cell>
          <cell r="T797">
            <v>0</v>
          </cell>
          <cell r="U797">
            <v>0</v>
          </cell>
          <cell r="V797">
            <v>75</v>
          </cell>
          <cell r="W797">
            <v>145</v>
          </cell>
          <cell r="X797">
            <v>70</v>
          </cell>
          <cell r="Y797">
            <v>130</v>
          </cell>
          <cell r="Z797">
            <v>5</v>
          </cell>
          <cell r="AA797">
            <v>15</v>
          </cell>
          <cell r="AB797">
            <v>120</v>
          </cell>
          <cell r="AC797">
            <v>120</v>
          </cell>
          <cell r="AD797">
            <v>0</v>
          </cell>
          <cell r="AE797">
            <v>220</v>
          </cell>
          <cell r="AF797">
            <v>200</v>
          </cell>
          <cell r="AG797">
            <v>20</v>
          </cell>
        </row>
        <row r="798">
          <cell r="C798">
            <v>41048437</v>
          </cell>
          <cell r="D798" t="str">
            <v>J S &amp; Sons</v>
          </cell>
          <cell r="E798" t="str">
            <v>HPCL</v>
          </cell>
          <cell r="F798" t="str">
            <v>2017-18</v>
          </cell>
          <cell r="G798" t="str">
            <v>Ahmednagar East RSA</v>
          </cell>
          <cell r="J798" t="str">
            <v>Bodhegaon</v>
          </cell>
          <cell r="K798" t="str">
            <v>Ahmednagar</v>
          </cell>
          <cell r="L798" t="str">
            <v>D2</v>
          </cell>
          <cell r="O798" t="str">
            <v>A</v>
          </cell>
          <cell r="P798">
            <v>31</v>
          </cell>
          <cell r="Q798">
            <v>85</v>
          </cell>
          <cell r="R798">
            <v>51</v>
          </cell>
          <cell r="S798">
            <v>133</v>
          </cell>
          <cell r="T798">
            <v>-20</v>
          </cell>
          <cell r="U798">
            <v>-48</v>
          </cell>
          <cell r="V798">
            <v>69</v>
          </cell>
          <cell r="W798">
            <v>179</v>
          </cell>
          <cell r="X798">
            <v>78.5</v>
          </cell>
          <cell r="Y798">
            <v>203.5</v>
          </cell>
          <cell r="Z798">
            <v>-9.5</v>
          </cell>
          <cell r="AA798">
            <v>-24.5</v>
          </cell>
          <cell r="AB798">
            <v>116</v>
          </cell>
          <cell r="AC798">
            <v>184</v>
          </cell>
          <cell r="AD798">
            <v>-68</v>
          </cell>
          <cell r="AE798">
            <v>248</v>
          </cell>
          <cell r="AF798">
            <v>282</v>
          </cell>
          <cell r="AG798">
            <v>-34</v>
          </cell>
        </row>
        <row r="799">
          <cell r="C799">
            <v>41048442</v>
          </cell>
          <cell r="D799" t="str">
            <v>SAISH Petroleum</v>
          </cell>
          <cell r="E799" t="str">
            <v>HPCL</v>
          </cell>
          <cell r="G799" t="str">
            <v>Shirdi RSA</v>
          </cell>
          <cell r="J799" t="str">
            <v>JEUR KUMBHARI</v>
          </cell>
          <cell r="K799" t="str">
            <v>Ahmednagar</v>
          </cell>
          <cell r="L799" t="str">
            <v>D1</v>
          </cell>
          <cell r="M799" t="str">
            <v>NH-752G</v>
          </cell>
          <cell r="O799" t="str">
            <v>B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</row>
        <row r="800">
          <cell r="C800">
            <v>41048444</v>
          </cell>
          <cell r="D800" t="str">
            <v>H K &amp; Sons Petroleum</v>
          </cell>
          <cell r="E800" t="str">
            <v>HPCL</v>
          </cell>
          <cell r="F800" t="str">
            <v>2017-18</v>
          </cell>
          <cell r="G800" t="str">
            <v>Ahmednagar East RSA</v>
          </cell>
          <cell r="J800" t="str">
            <v>Shevgaon-Geori Road</v>
          </cell>
          <cell r="K800" t="str">
            <v>Ahmednagar</v>
          </cell>
          <cell r="L800" t="str">
            <v>D2</v>
          </cell>
          <cell r="O800" t="str">
            <v>A</v>
          </cell>
          <cell r="P800">
            <v>72</v>
          </cell>
          <cell r="Q800">
            <v>144</v>
          </cell>
          <cell r="R800">
            <v>59</v>
          </cell>
          <cell r="S800">
            <v>181</v>
          </cell>
          <cell r="T800">
            <v>13</v>
          </cell>
          <cell r="U800">
            <v>-37</v>
          </cell>
          <cell r="V800">
            <v>132</v>
          </cell>
          <cell r="W800">
            <v>254</v>
          </cell>
          <cell r="X800">
            <v>113</v>
          </cell>
          <cell r="Y800">
            <v>303</v>
          </cell>
          <cell r="Z800">
            <v>19</v>
          </cell>
          <cell r="AA800">
            <v>-49</v>
          </cell>
          <cell r="AB800">
            <v>216</v>
          </cell>
          <cell r="AC800">
            <v>240</v>
          </cell>
          <cell r="AD800">
            <v>-24</v>
          </cell>
          <cell r="AE800">
            <v>386</v>
          </cell>
          <cell r="AF800">
            <v>416</v>
          </cell>
          <cell r="AG800">
            <v>-30</v>
          </cell>
        </row>
        <row r="801">
          <cell r="C801">
            <v>41048557</v>
          </cell>
          <cell r="D801" t="str">
            <v>Aishwarya Filling Station</v>
          </cell>
          <cell r="E801" t="str">
            <v>HPCL</v>
          </cell>
          <cell r="G801" t="str">
            <v>Shirdi RSA</v>
          </cell>
          <cell r="J801" t="str">
            <v>SANGAMNER - GOLIBAR</v>
          </cell>
          <cell r="K801" t="str">
            <v>Ahmednagar</v>
          </cell>
          <cell r="L801" t="str">
            <v>C</v>
          </cell>
          <cell r="O801" t="str">
            <v>B</v>
          </cell>
          <cell r="P801">
            <v>50</v>
          </cell>
          <cell r="Q801">
            <v>52</v>
          </cell>
          <cell r="R801">
            <v>49</v>
          </cell>
          <cell r="S801">
            <v>29</v>
          </cell>
          <cell r="T801">
            <v>1</v>
          </cell>
          <cell r="U801">
            <v>23</v>
          </cell>
          <cell r="V801">
            <v>109</v>
          </cell>
          <cell r="W801">
            <v>93</v>
          </cell>
          <cell r="X801">
            <v>107</v>
          </cell>
          <cell r="Y801">
            <v>63</v>
          </cell>
          <cell r="Z801">
            <v>2</v>
          </cell>
          <cell r="AA801">
            <v>30</v>
          </cell>
          <cell r="AB801">
            <v>102</v>
          </cell>
          <cell r="AC801">
            <v>78</v>
          </cell>
          <cell r="AD801">
            <v>24</v>
          </cell>
          <cell r="AE801">
            <v>202</v>
          </cell>
          <cell r="AF801">
            <v>170</v>
          </cell>
          <cell r="AG801">
            <v>32</v>
          </cell>
        </row>
        <row r="802">
          <cell r="C802">
            <v>41094026</v>
          </cell>
          <cell r="D802" t="str">
            <v>ADHOC NIRMALA AUTO CARE CENTRE (41048945 Surya Petroleum)</v>
          </cell>
          <cell r="E802" t="str">
            <v>HPCL</v>
          </cell>
          <cell r="F802" t="str">
            <v>2016-17</v>
          </cell>
          <cell r="G802" t="str">
            <v>Ahmednagar West RSA</v>
          </cell>
          <cell r="J802" t="str">
            <v>Ruichattisi</v>
          </cell>
          <cell r="K802" t="str">
            <v>Ahmednagar</v>
          </cell>
          <cell r="L802" t="str">
            <v>D1</v>
          </cell>
          <cell r="M802" t="str">
            <v>NH-561A</v>
          </cell>
          <cell r="O802" t="str">
            <v>A</v>
          </cell>
          <cell r="P802">
            <v>36</v>
          </cell>
          <cell r="Q802">
            <v>126.015</v>
          </cell>
          <cell r="R802">
            <v>38</v>
          </cell>
          <cell r="S802">
            <v>114</v>
          </cell>
          <cell r="T802">
            <v>-2</v>
          </cell>
          <cell r="U802">
            <v>12.015000000000001</v>
          </cell>
          <cell r="V802">
            <v>72</v>
          </cell>
          <cell r="W802">
            <v>248.01499999999999</v>
          </cell>
          <cell r="X802">
            <v>81</v>
          </cell>
          <cell r="Y802">
            <v>249</v>
          </cell>
          <cell r="Z802">
            <v>-9</v>
          </cell>
          <cell r="AA802">
            <v>-0.98500000000001364</v>
          </cell>
          <cell r="AB802">
            <v>162.01499999999999</v>
          </cell>
          <cell r="AC802">
            <v>152</v>
          </cell>
          <cell r="AD802">
            <v>10.014999999999986</v>
          </cell>
          <cell r="AE802">
            <v>320.01499999999999</v>
          </cell>
          <cell r="AF802">
            <v>330</v>
          </cell>
          <cell r="AG802">
            <v>-9.9850000000000136</v>
          </cell>
        </row>
        <row r="803">
          <cell r="C803">
            <v>41048948</v>
          </cell>
          <cell r="D803" t="str">
            <v>DARSHAN PETROLEUM</v>
          </cell>
          <cell r="E803" t="str">
            <v>HPCL</v>
          </cell>
          <cell r="F803" t="str">
            <v>2016-17</v>
          </cell>
          <cell r="G803" t="str">
            <v>Ahmednagar East RSA</v>
          </cell>
          <cell r="J803" t="str">
            <v>Shevgaon-Geori Road</v>
          </cell>
          <cell r="K803" t="str">
            <v>Ahmednagar</v>
          </cell>
          <cell r="L803" t="str">
            <v>D2</v>
          </cell>
          <cell r="O803" t="str">
            <v>B</v>
          </cell>
          <cell r="P803">
            <v>41</v>
          </cell>
          <cell r="Q803">
            <v>59</v>
          </cell>
          <cell r="R803">
            <v>40</v>
          </cell>
          <cell r="S803">
            <v>52</v>
          </cell>
          <cell r="T803">
            <v>1</v>
          </cell>
          <cell r="U803">
            <v>7</v>
          </cell>
          <cell r="V803">
            <v>84</v>
          </cell>
          <cell r="W803">
            <v>132</v>
          </cell>
          <cell r="X803">
            <v>74</v>
          </cell>
          <cell r="Y803">
            <v>102</v>
          </cell>
          <cell r="Z803">
            <v>10</v>
          </cell>
          <cell r="AA803">
            <v>30</v>
          </cell>
          <cell r="AB803">
            <v>100</v>
          </cell>
          <cell r="AC803">
            <v>92</v>
          </cell>
          <cell r="AD803">
            <v>8</v>
          </cell>
          <cell r="AE803">
            <v>216</v>
          </cell>
          <cell r="AF803">
            <v>176</v>
          </cell>
          <cell r="AG803">
            <v>40</v>
          </cell>
        </row>
        <row r="804">
          <cell r="C804">
            <v>41049048</v>
          </cell>
          <cell r="D804" t="str">
            <v>SHINDE AUTOMOBILES</v>
          </cell>
          <cell r="E804" t="str">
            <v>HPCL</v>
          </cell>
          <cell r="G804" t="str">
            <v>Pune Tathawade RSA</v>
          </cell>
          <cell r="J804" t="str">
            <v>DEHU ROAD TO BALEWADI</v>
          </cell>
          <cell r="K804" t="str">
            <v>Pune</v>
          </cell>
          <cell r="L804" t="str">
            <v>A</v>
          </cell>
          <cell r="M804" t="str">
            <v>NH-48</v>
          </cell>
          <cell r="O804" t="str">
            <v>A</v>
          </cell>
          <cell r="P804">
            <v>128</v>
          </cell>
          <cell r="Q804">
            <v>109</v>
          </cell>
          <cell r="R804">
            <v>144</v>
          </cell>
          <cell r="S804">
            <v>127</v>
          </cell>
          <cell r="T804">
            <v>-16</v>
          </cell>
          <cell r="U804">
            <v>-18</v>
          </cell>
          <cell r="V804">
            <v>244</v>
          </cell>
          <cell r="W804">
            <v>223</v>
          </cell>
          <cell r="X804">
            <v>291</v>
          </cell>
          <cell r="Y804">
            <v>245</v>
          </cell>
          <cell r="Z804">
            <v>-47</v>
          </cell>
          <cell r="AA804">
            <v>-22</v>
          </cell>
          <cell r="AB804">
            <v>237</v>
          </cell>
          <cell r="AC804">
            <v>271</v>
          </cell>
          <cell r="AD804">
            <v>-34</v>
          </cell>
          <cell r="AE804">
            <v>467</v>
          </cell>
          <cell r="AF804">
            <v>536</v>
          </cell>
          <cell r="AG804">
            <v>-69</v>
          </cell>
        </row>
        <row r="805">
          <cell r="C805">
            <v>41049162</v>
          </cell>
          <cell r="D805" t="str">
            <v>GAJANAN PETROLEUM</v>
          </cell>
          <cell r="E805" t="str">
            <v>HPCL</v>
          </cell>
          <cell r="F805" t="str">
            <v>2015-16</v>
          </cell>
          <cell r="G805" t="str">
            <v>Ahmednagar West RSA</v>
          </cell>
          <cell r="J805" t="str">
            <v>Chichondi Patil</v>
          </cell>
          <cell r="K805" t="str">
            <v>Ahmednagar</v>
          </cell>
          <cell r="L805" t="str">
            <v>D2</v>
          </cell>
          <cell r="O805" t="str">
            <v>B</v>
          </cell>
          <cell r="P805">
            <v>0</v>
          </cell>
          <cell r="Q805">
            <v>0</v>
          </cell>
          <cell r="R805">
            <v>32</v>
          </cell>
          <cell r="S805">
            <v>52</v>
          </cell>
          <cell r="T805">
            <v>-32</v>
          </cell>
          <cell r="U805">
            <v>-52</v>
          </cell>
          <cell r="V805">
            <v>0</v>
          </cell>
          <cell r="W805">
            <v>0</v>
          </cell>
          <cell r="X805">
            <v>57</v>
          </cell>
          <cell r="Y805">
            <v>111</v>
          </cell>
          <cell r="Z805">
            <v>-57</v>
          </cell>
          <cell r="AA805">
            <v>-111</v>
          </cell>
          <cell r="AB805">
            <v>0</v>
          </cell>
          <cell r="AC805">
            <v>84</v>
          </cell>
          <cell r="AD805">
            <v>-84</v>
          </cell>
          <cell r="AE805">
            <v>0</v>
          </cell>
          <cell r="AF805">
            <v>168</v>
          </cell>
          <cell r="AG805">
            <v>-168</v>
          </cell>
        </row>
        <row r="806">
          <cell r="C806">
            <v>41049167</v>
          </cell>
          <cell r="D806" t="str">
            <v>ARNAV PETROLEUM</v>
          </cell>
          <cell r="E806" t="str">
            <v>HPCL</v>
          </cell>
          <cell r="F806" t="str">
            <v>2015-16</v>
          </cell>
          <cell r="G806" t="str">
            <v>Ahmednagar East RSA</v>
          </cell>
          <cell r="J806" t="str">
            <v>Sultanpur</v>
          </cell>
          <cell r="K806" t="str">
            <v>Ahmednagar</v>
          </cell>
          <cell r="L806" t="str">
            <v>E</v>
          </cell>
          <cell r="O806" t="str">
            <v>B</v>
          </cell>
          <cell r="P806">
            <v>42</v>
          </cell>
          <cell r="Q806">
            <v>126</v>
          </cell>
          <cell r="R806">
            <v>39</v>
          </cell>
          <cell r="S806">
            <v>93</v>
          </cell>
          <cell r="T806">
            <v>3</v>
          </cell>
          <cell r="U806">
            <v>33</v>
          </cell>
          <cell r="V806">
            <v>83</v>
          </cell>
          <cell r="W806">
            <v>183</v>
          </cell>
          <cell r="X806">
            <v>71</v>
          </cell>
          <cell r="Y806">
            <v>157</v>
          </cell>
          <cell r="Z806">
            <v>12</v>
          </cell>
          <cell r="AA806">
            <v>26</v>
          </cell>
          <cell r="AB806">
            <v>168</v>
          </cell>
          <cell r="AC806">
            <v>132</v>
          </cell>
          <cell r="AD806">
            <v>36</v>
          </cell>
          <cell r="AE806">
            <v>266</v>
          </cell>
          <cell r="AF806">
            <v>228</v>
          </cell>
          <cell r="AG806">
            <v>38</v>
          </cell>
        </row>
        <row r="807">
          <cell r="C807">
            <v>41049170</v>
          </cell>
          <cell r="D807" t="str">
            <v>SHRI VITTHAL PETROLEUM</v>
          </cell>
          <cell r="E807" t="str">
            <v>HPCL</v>
          </cell>
          <cell r="G807" t="str">
            <v>Pune Hadapsar RSA</v>
          </cell>
          <cell r="J807" t="str">
            <v>FURSUNGI</v>
          </cell>
          <cell r="K807" t="str">
            <v>Pune</v>
          </cell>
          <cell r="L807" t="str">
            <v>A</v>
          </cell>
          <cell r="O807" t="str">
            <v>A</v>
          </cell>
          <cell r="P807">
            <v>90</v>
          </cell>
          <cell r="Q807">
            <v>30</v>
          </cell>
          <cell r="R807">
            <v>44</v>
          </cell>
          <cell r="S807">
            <v>50</v>
          </cell>
          <cell r="T807">
            <v>46</v>
          </cell>
          <cell r="U807">
            <v>-20</v>
          </cell>
          <cell r="V807">
            <v>170</v>
          </cell>
          <cell r="W807">
            <v>58</v>
          </cell>
          <cell r="X807">
            <v>122</v>
          </cell>
          <cell r="Y807">
            <v>100</v>
          </cell>
          <cell r="Z807">
            <v>48</v>
          </cell>
          <cell r="AA807">
            <v>-42</v>
          </cell>
          <cell r="AB807">
            <v>120</v>
          </cell>
          <cell r="AC807">
            <v>94</v>
          </cell>
          <cell r="AD807">
            <v>26</v>
          </cell>
          <cell r="AE807">
            <v>228</v>
          </cell>
          <cell r="AF807">
            <v>222</v>
          </cell>
          <cell r="AG807">
            <v>6</v>
          </cell>
        </row>
        <row r="808">
          <cell r="C808">
            <v>41049324</v>
          </cell>
          <cell r="D808" t="str">
            <v>Sai Balaji</v>
          </cell>
          <cell r="E808" t="str">
            <v>HPCL</v>
          </cell>
          <cell r="F808" t="str">
            <v>2015-16</v>
          </cell>
          <cell r="G808" t="str">
            <v>Shirdi RSA</v>
          </cell>
          <cell r="J808" t="str">
            <v>TALEGAON SANGAMNER NH</v>
          </cell>
          <cell r="K808" t="str">
            <v>Ahmednagar</v>
          </cell>
          <cell r="L808" t="str">
            <v>D2</v>
          </cell>
          <cell r="O808" t="str">
            <v>B</v>
          </cell>
          <cell r="P808">
            <v>0</v>
          </cell>
          <cell r="Q808">
            <v>0</v>
          </cell>
          <cell r="R808">
            <v>10</v>
          </cell>
          <cell r="S808">
            <v>26</v>
          </cell>
          <cell r="T808">
            <v>-10</v>
          </cell>
          <cell r="U808">
            <v>-26</v>
          </cell>
          <cell r="V808">
            <v>3</v>
          </cell>
          <cell r="W808">
            <v>9</v>
          </cell>
          <cell r="X808">
            <v>19</v>
          </cell>
          <cell r="Y808">
            <v>41</v>
          </cell>
          <cell r="Z808">
            <v>-16</v>
          </cell>
          <cell r="AA808">
            <v>-32</v>
          </cell>
          <cell r="AB808">
            <v>0</v>
          </cell>
          <cell r="AC808">
            <v>36</v>
          </cell>
          <cell r="AD808">
            <v>-36</v>
          </cell>
          <cell r="AE808">
            <v>12</v>
          </cell>
          <cell r="AF808">
            <v>60</v>
          </cell>
          <cell r="AG808">
            <v>-48</v>
          </cell>
        </row>
        <row r="809">
          <cell r="C809">
            <v>41049326</v>
          </cell>
          <cell r="D809" t="str">
            <v>KANAN PETROLEUM</v>
          </cell>
          <cell r="E809" t="str">
            <v>HPCL</v>
          </cell>
          <cell r="F809" t="str">
            <v>2016-17</v>
          </cell>
          <cell r="G809" t="str">
            <v>Ahmednagar West RSA</v>
          </cell>
          <cell r="J809" t="str">
            <v>SHRIGONDA-MDR</v>
          </cell>
          <cell r="K809" t="str">
            <v>Ahmednagar</v>
          </cell>
          <cell r="L809" t="str">
            <v>E</v>
          </cell>
          <cell r="O809" t="str">
            <v>A</v>
          </cell>
          <cell r="P809">
            <v>75</v>
          </cell>
          <cell r="Q809">
            <v>289</v>
          </cell>
          <cell r="R809">
            <v>63</v>
          </cell>
          <cell r="S809">
            <v>147</v>
          </cell>
          <cell r="T809">
            <v>12</v>
          </cell>
          <cell r="U809">
            <v>142</v>
          </cell>
          <cell r="V809">
            <v>140</v>
          </cell>
          <cell r="W809">
            <v>434</v>
          </cell>
          <cell r="X809">
            <v>128</v>
          </cell>
          <cell r="Y809">
            <v>292</v>
          </cell>
          <cell r="Z809">
            <v>12</v>
          </cell>
          <cell r="AA809">
            <v>142</v>
          </cell>
          <cell r="AB809">
            <v>364</v>
          </cell>
          <cell r="AC809">
            <v>210</v>
          </cell>
          <cell r="AD809">
            <v>154</v>
          </cell>
          <cell r="AE809">
            <v>574</v>
          </cell>
          <cell r="AF809">
            <v>420</v>
          </cell>
          <cell r="AG809">
            <v>154</v>
          </cell>
        </row>
        <row r="810">
          <cell r="C810">
            <v>41049328</v>
          </cell>
          <cell r="D810" t="str">
            <v>ANAND PETROLEUM</v>
          </cell>
          <cell r="E810" t="str">
            <v>HPCL</v>
          </cell>
          <cell r="F810" t="str">
            <v>2016-17</v>
          </cell>
          <cell r="G810" t="str">
            <v>Ahmednagar West RSA</v>
          </cell>
          <cell r="J810" t="str">
            <v>Shahapur</v>
          </cell>
          <cell r="K810" t="str">
            <v>Ahmednagar</v>
          </cell>
          <cell r="L810" t="str">
            <v>D1</v>
          </cell>
          <cell r="M810" t="str">
            <v>NH-61</v>
          </cell>
          <cell r="O810" t="str">
            <v>A</v>
          </cell>
          <cell r="P810">
            <v>93</v>
          </cell>
          <cell r="Q810">
            <v>143</v>
          </cell>
          <cell r="R810">
            <v>114</v>
          </cell>
          <cell r="S810">
            <v>138</v>
          </cell>
          <cell r="T810">
            <v>-21</v>
          </cell>
          <cell r="U810">
            <v>5</v>
          </cell>
          <cell r="V810">
            <v>199</v>
          </cell>
          <cell r="W810">
            <v>281</v>
          </cell>
          <cell r="X810">
            <v>221</v>
          </cell>
          <cell r="Y810">
            <v>289</v>
          </cell>
          <cell r="Z810">
            <v>-22</v>
          </cell>
          <cell r="AA810">
            <v>-8</v>
          </cell>
          <cell r="AB810">
            <v>236</v>
          </cell>
          <cell r="AC810">
            <v>252</v>
          </cell>
          <cell r="AD810">
            <v>-16</v>
          </cell>
          <cell r="AE810">
            <v>480</v>
          </cell>
          <cell r="AF810">
            <v>510</v>
          </cell>
          <cell r="AG810">
            <v>-30</v>
          </cell>
        </row>
        <row r="811">
          <cell r="C811">
            <v>41049332</v>
          </cell>
          <cell r="D811" t="str">
            <v>URJA STROT PETROLEUM</v>
          </cell>
          <cell r="E811" t="str">
            <v>HPCL</v>
          </cell>
          <cell r="F811" t="str">
            <v>2016-17</v>
          </cell>
          <cell r="G811" t="str">
            <v>Ahmednagar West RSA</v>
          </cell>
          <cell r="J811" t="str">
            <v>Pathardi</v>
          </cell>
          <cell r="K811" t="str">
            <v>Ahmednagar</v>
          </cell>
          <cell r="L811" t="str">
            <v>D2</v>
          </cell>
          <cell r="O811" t="str">
            <v>A</v>
          </cell>
          <cell r="P811">
            <v>89</v>
          </cell>
          <cell r="Q811">
            <v>158</v>
          </cell>
          <cell r="R811">
            <v>108</v>
          </cell>
          <cell r="S811">
            <v>126</v>
          </cell>
          <cell r="T811">
            <v>-19</v>
          </cell>
          <cell r="U811">
            <v>32</v>
          </cell>
          <cell r="V811">
            <v>143</v>
          </cell>
          <cell r="W811">
            <v>237</v>
          </cell>
          <cell r="X811">
            <v>177</v>
          </cell>
          <cell r="Y811">
            <v>202</v>
          </cell>
          <cell r="Z811">
            <v>-34</v>
          </cell>
          <cell r="AA811">
            <v>35</v>
          </cell>
          <cell r="AB811">
            <v>247</v>
          </cell>
          <cell r="AC811">
            <v>234</v>
          </cell>
          <cell r="AD811">
            <v>13</v>
          </cell>
          <cell r="AE811">
            <v>380</v>
          </cell>
          <cell r="AF811">
            <v>379</v>
          </cell>
          <cell r="AG811">
            <v>1</v>
          </cell>
        </row>
        <row r="812">
          <cell r="C812">
            <v>41049386</v>
          </cell>
          <cell r="D812" t="str">
            <v>Rajmundra Fuel Centre</v>
          </cell>
          <cell r="E812" t="str">
            <v>HPCL</v>
          </cell>
          <cell r="F812" t="str">
            <v>2015-16</v>
          </cell>
          <cell r="G812" t="str">
            <v>Pune Wagholi RSA</v>
          </cell>
          <cell r="J812" t="str">
            <v>Ranjangaon LHS</v>
          </cell>
          <cell r="K812" t="str">
            <v>Pune</v>
          </cell>
          <cell r="L812" t="str">
            <v>D1</v>
          </cell>
          <cell r="M812" t="str">
            <v>NH-753F</v>
          </cell>
          <cell r="O812" t="str">
            <v>A</v>
          </cell>
          <cell r="P812">
            <v>35</v>
          </cell>
          <cell r="Q812">
            <v>799</v>
          </cell>
          <cell r="R812">
            <v>35</v>
          </cell>
          <cell r="S812">
            <v>537</v>
          </cell>
          <cell r="T812">
            <v>0</v>
          </cell>
          <cell r="U812">
            <v>262</v>
          </cell>
          <cell r="V812">
            <v>75</v>
          </cell>
          <cell r="W812">
            <v>1299</v>
          </cell>
          <cell r="X812">
            <v>70</v>
          </cell>
          <cell r="Y812">
            <v>1054</v>
          </cell>
          <cell r="Z812">
            <v>5</v>
          </cell>
          <cell r="AA812">
            <v>245</v>
          </cell>
          <cell r="AB812">
            <v>834</v>
          </cell>
          <cell r="AC812">
            <v>572</v>
          </cell>
          <cell r="AD812">
            <v>262</v>
          </cell>
          <cell r="AE812">
            <v>1374</v>
          </cell>
          <cell r="AF812">
            <v>1124</v>
          </cell>
          <cell r="AG812">
            <v>250</v>
          </cell>
        </row>
        <row r="813">
          <cell r="C813">
            <v>41049388</v>
          </cell>
          <cell r="D813" t="str">
            <v>Shree Jagadguru Petroleum</v>
          </cell>
          <cell r="E813" t="str">
            <v>HPCL</v>
          </cell>
          <cell r="F813" t="str">
            <v>2016-17</v>
          </cell>
          <cell r="G813" t="str">
            <v>Pune City RSA</v>
          </cell>
          <cell r="J813" t="str">
            <v>LOHAGAON URBAN</v>
          </cell>
          <cell r="K813" t="str">
            <v>Pune</v>
          </cell>
          <cell r="L813" t="str">
            <v>A</v>
          </cell>
          <cell r="O813" t="str">
            <v>A</v>
          </cell>
          <cell r="P813">
            <v>415</v>
          </cell>
          <cell r="Q813">
            <v>205</v>
          </cell>
          <cell r="R813">
            <v>420</v>
          </cell>
          <cell r="S813">
            <v>180</v>
          </cell>
          <cell r="T813">
            <v>-5</v>
          </cell>
          <cell r="U813">
            <v>25</v>
          </cell>
          <cell r="V813">
            <v>805</v>
          </cell>
          <cell r="W813">
            <v>375</v>
          </cell>
          <cell r="X813">
            <v>810</v>
          </cell>
          <cell r="Y813">
            <v>350</v>
          </cell>
          <cell r="Z813">
            <v>-5</v>
          </cell>
          <cell r="AA813">
            <v>25</v>
          </cell>
          <cell r="AB813">
            <v>620</v>
          </cell>
          <cell r="AC813">
            <v>600</v>
          </cell>
          <cell r="AD813">
            <v>20</v>
          </cell>
          <cell r="AE813">
            <v>1180</v>
          </cell>
          <cell r="AF813">
            <v>1160</v>
          </cell>
          <cell r="AG813">
            <v>20</v>
          </cell>
        </row>
        <row r="814">
          <cell r="C814">
            <v>41049392</v>
          </cell>
          <cell r="D814" t="str">
            <v>Sangram Petroleum</v>
          </cell>
          <cell r="E814" t="str">
            <v>HPCL</v>
          </cell>
          <cell r="F814" t="str">
            <v>2017-18</v>
          </cell>
          <cell r="G814" t="str">
            <v>Pune Saswad RSA</v>
          </cell>
          <cell r="J814" t="str">
            <v>Jejuri Morgaon Road</v>
          </cell>
          <cell r="K814" t="str">
            <v>Pune</v>
          </cell>
          <cell r="L814" t="str">
            <v>D2</v>
          </cell>
          <cell r="O814" t="str">
            <v>B</v>
          </cell>
          <cell r="P814">
            <v>23</v>
          </cell>
          <cell r="Q814">
            <v>51</v>
          </cell>
          <cell r="R814">
            <v>19</v>
          </cell>
          <cell r="S814">
            <v>69</v>
          </cell>
          <cell r="T814">
            <v>4</v>
          </cell>
          <cell r="U814">
            <v>-18</v>
          </cell>
          <cell r="V814">
            <v>31</v>
          </cell>
          <cell r="W814">
            <v>93</v>
          </cell>
          <cell r="X814">
            <v>28</v>
          </cell>
          <cell r="Y814">
            <v>118</v>
          </cell>
          <cell r="Z814">
            <v>3</v>
          </cell>
          <cell r="AA814">
            <v>-25</v>
          </cell>
          <cell r="AB814">
            <v>74</v>
          </cell>
          <cell r="AC814">
            <v>88</v>
          </cell>
          <cell r="AD814">
            <v>-14</v>
          </cell>
          <cell r="AE814">
            <v>124</v>
          </cell>
          <cell r="AF814">
            <v>146</v>
          </cell>
          <cell r="AG814">
            <v>-22</v>
          </cell>
        </row>
        <row r="815">
          <cell r="C815">
            <v>41049394</v>
          </cell>
          <cell r="D815" t="str">
            <v xml:space="preserve">CHIKATE PETROLEUM </v>
          </cell>
          <cell r="E815" t="str">
            <v>HPCL</v>
          </cell>
          <cell r="F815" t="str">
            <v>2016-17</v>
          </cell>
          <cell r="G815" t="str">
            <v>Satara West RSA</v>
          </cell>
          <cell r="J815" t="str">
            <v>Bhuinj to Satara</v>
          </cell>
          <cell r="K815" t="str">
            <v>Satara</v>
          </cell>
          <cell r="L815" t="str">
            <v>D1</v>
          </cell>
          <cell r="M815" t="str">
            <v>NH-48</v>
          </cell>
          <cell r="O815" t="str">
            <v>A</v>
          </cell>
          <cell r="P815">
            <v>0</v>
          </cell>
          <cell r="Q815">
            <v>0</v>
          </cell>
          <cell r="R815">
            <v>35</v>
          </cell>
          <cell r="S815">
            <v>45</v>
          </cell>
          <cell r="T815">
            <v>-35</v>
          </cell>
          <cell r="U815">
            <v>-45</v>
          </cell>
          <cell r="V815">
            <v>15</v>
          </cell>
          <cell r="W815">
            <v>27</v>
          </cell>
          <cell r="X815">
            <v>75</v>
          </cell>
          <cell r="Y815">
            <v>105</v>
          </cell>
          <cell r="Z815">
            <v>-60</v>
          </cell>
          <cell r="AA815">
            <v>-78</v>
          </cell>
          <cell r="AB815">
            <v>0</v>
          </cell>
          <cell r="AC815">
            <v>80</v>
          </cell>
          <cell r="AD815">
            <v>-80</v>
          </cell>
          <cell r="AE815">
            <v>42</v>
          </cell>
          <cell r="AF815">
            <v>180</v>
          </cell>
          <cell r="AG815">
            <v>-138</v>
          </cell>
        </row>
        <row r="816">
          <cell r="C816">
            <v>41049396</v>
          </cell>
          <cell r="D816" t="str">
            <v>MAHESH PETROLEUM</v>
          </cell>
          <cell r="E816" t="str">
            <v>HPCL</v>
          </cell>
          <cell r="F816" t="str">
            <v>2016-17</v>
          </cell>
          <cell r="G816" t="str">
            <v>Pune Hadapsar RSA</v>
          </cell>
          <cell r="J816" t="str">
            <v>Kurkumbh RHS</v>
          </cell>
          <cell r="K816" t="str">
            <v>Pune</v>
          </cell>
          <cell r="L816" t="str">
            <v>D1</v>
          </cell>
          <cell r="M816" t="str">
            <v>NH-65</v>
          </cell>
          <cell r="O816" t="str">
            <v>A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</row>
        <row r="817">
          <cell r="C817">
            <v>41049400</v>
          </cell>
          <cell r="D817" t="str">
            <v>RAUT PETROLEUM</v>
          </cell>
          <cell r="E817" t="str">
            <v>HPCL</v>
          </cell>
          <cell r="F817" t="str">
            <v>2017-18</v>
          </cell>
          <cell r="G817" t="str">
            <v>Satara West RSA</v>
          </cell>
          <cell r="J817" t="str">
            <v>Bhuinj to Khandala</v>
          </cell>
          <cell r="K817" t="str">
            <v>Satara</v>
          </cell>
          <cell r="L817" t="str">
            <v>D1</v>
          </cell>
          <cell r="M817" t="str">
            <v>NH-48</v>
          </cell>
          <cell r="O817" t="str">
            <v>A</v>
          </cell>
          <cell r="P817">
            <v>78</v>
          </cell>
          <cell r="Q817">
            <v>138</v>
          </cell>
          <cell r="R817">
            <v>67</v>
          </cell>
          <cell r="S817">
            <v>123</v>
          </cell>
          <cell r="T817">
            <v>11</v>
          </cell>
          <cell r="U817">
            <v>15</v>
          </cell>
          <cell r="V817">
            <v>132</v>
          </cell>
          <cell r="W817">
            <v>252</v>
          </cell>
          <cell r="X817">
            <v>122</v>
          </cell>
          <cell r="Y817">
            <v>238</v>
          </cell>
          <cell r="Z817">
            <v>10</v>
          </cell>
          <cell r="AA817">
            <v>14</v>
          </cell>
          <cell r="AB817">
            <v>216</v>
          </cell>
          <cell r="AC817">
            <v>190</v>
          </cell>
          <cell r="AD817">
            <v>26</v>
          </cell>
          <cell r="AE817">
            <v>384</v>
          </cell>
          <cell r="AF817">
            <v>360</v>
          </cell>
          <cell r="AG817">
            <v>24</v>
          </cell>
        </row>
        <row r="818">
          <cell r="C818">
            <v>41049402</v>
          </cell>
          <cell r="D818" t="str">
            <v>Siddhakala Petroleum</v>
          </cell>
          <cell r="E818" t="str">
            <v>HPCL</v>
          </cell>
          <cell r="F818" t="str">
            <v>2017-18</v>
          </cell>
          <cell r="G818" t="str">
            <v>Satara East RSA</v>
          </cell>
          <cell r="J818" t="str">
            <v>Nhavi Budruk</v>
          </cell>
          <cell r="K818" t="str">
            <v>Satara</v>
          </cell>
          <cell r="L818" t="str">
            <v>D2</v>
          </cell>
          <cell r="O818" t="str">
            <v>A</v>
          </cell>
          <cell r="P818">
            <v>49</v>
          </cell>
          <cell r="Q818">
            <v>73</v>
          </cell>
          <cell r="R818">
            <v>0</v>
          </cell>
          <cell r="S818">
            <v>0</v>
          </cell>
          <cell r="T818">
            <v>49</v>
          </cell>
          <cell r="U818">
            <v>73</v>
          </cell>
          <cell r="V818">
            <v>92</v>
          </cell>
          <cell r="W818">
            <v>122</v>
          </cell>
          <cell r="X818">
            <v>0</v>
          </cell>
          <cell r="Y818">
            <v>0</v>
          </cell>
          <cell r="Z818">
            <v>92</v>
          </cell>
          <cell r="AA818">
            <v>122</v>
          </cell>
          <cell r="AB818">
            <v>122</v>
          </cell>
          <cell r="AC818">
            <v>0</v>
          </cell>
          <cell r="AD818">
            <v>122</v>
          </cell>
          <cell r="AE818">
            <v>214</v>
          </cell>
          <cell r="AF818">
            <v>0</v>
          </cell>
          <cell r="AG818">
            <v>214</v>
          </cell>
        </row>
        <row r="819">
          <cell r="C819">
            <v>41049404</v>
          </cell>
          <cell r="D819" t="str">
            <v>Kiran Petroleum</v>
          </cell>
          <cell r="E819" t="str">
            <v>HPCL</v>
          </cell>
          <cell r="F819" t="str">
            <v>2016-17</v>
          </cell>
          <cell r="G819" t="str">
            <v>Pune Hadapsar RSA</v>
          </cell>
          <cell r="J819" t="str">
            <v>Theur</v>
          </cell>
          <cell r="K819" t="str">
            <v>Pune</v>
          </cell>
          <cell r="L819" t="str">
            <v>D1</v>
          </cell>
          <cell r="M819" t="str">
            <v>NH-548DD</v>
          </cell>
          <cell r="O819" t="str">
            <v>A</v>
          </cell>
          <cell r="P819">
            <v>21</v>
          </cell>
          <cell r="Q819">
            <v>27</v>
          </cell>
          <cell r="R819">
            <v>22</v>
          </cell>
          <cell r="S819">
            <v>44</v>
          </cell>
          <cell r="T819">
            <v>-1</v>
          </cell>
          <cell r="U819">
            <v>-17</v>
          </cell>
          <cell r="V819">
            <v>21</v>
          </cell>
          <cell r="W819">
            <v>27</v>
          </cell>
          <cell r="X819">
            <v>46</v>
          </cell>
          <cell r="Y819">
            <v>88</v>
          </cell>
          <cell r="Z819">
            <v>-25</v>
          </cell>
          <cell r="AA819">
            <v>-61</v>
          </cell>
          <cell r="AB819">
            <v>48</v>
          </cell>
          <cell r="AC819">
            <v>66</v>
          </cell>
          <cell r="AD819">
            <v>-18</v>
          </cell>
          <cell r="AE819">
            <v>48</v>
          </cell>
          <cell r="AF819">
            <v>134</v>
          </cell>
          <cell r="AG819">
            <v>-86</v>
          </cell>
        </row>
        <row r="820">
          <cell r="C820">
            <v>41049406</v>
          </cell>
          <cell r="D820" t="str">
            <v>MSHSD CHANDRASEN PETROLEUM</v>
          </cell>
          <cell r="E820" t="str">
            <v>HPCL</v>
          </cell>
          <cell r="F820" t="str">
            <v>2016-17</v>
          </cell>
          <cell r="G820" t="str">
            <v>Satara West RSA</v>
          </cell>
          <cell r="J820" t="str">
            <v>Sakurdi</v>
          </cell>
          <cell r="K820" t="str">
            <v>Satara</v>
          </cell>
          <cell r="L820" t="str">
            <v>D1</v>
          </cell>
          <cell r="M820" t="str">
            <v>NH-166E</v>
          </cell>
          <cell r="O820" t="str">
            <v>A</v>
          </cell>
          <cell r="P820">
            <v>101.5</v>
          </cell>
          <cell r="Q820">
            <v>122.5</v>
          </cell>
          <cell r="R820">
            <v>90.5</v>
          </cell>
          <cell r="S820">
            <v>99.5</v>
          </cell>
          <cell r="T820">
            <v>11</v>
          </cell>
          <cell r="U820">
            <v>23</v>
          </cell>
          <cell r="V820">
            <v>182</v>
          </cell>
          <cell r="W820">
            <v>224</v>
          </cell>
          <cell r="X820">
            <v>184</v>
          </cell>
          <cell r="Y820">
            <v>204</v>
          </cell>
          <cell r="Z820">
            <v>-2</v>
          </cell>
          <cell r="AA820">
            <v>20</v>
          </cell>
          <cell r="AB820">
            <v>224</v>
          </cell>
          <cell r="AC820">
            <v>190</v>
          </cell>
          <cell r="AD820">
            <v>34</v>
          </cell>
          <cell r="AE820">
            <v>406</v>
          </cell>
          <cell r="AF820">
            <v>388</v>
          </cell>
          <cell r="AG820">
            <v>18</v>
          </cell>
        </row>
        <row r="821">
          <cell r="C821">
            <v>41049410</v>
          </cell>
          <cell r="D821" t="str">
            <v>MSHSD SHRI BHAIRAVNATH PETROLE</v>
          </cell>
          <cell r="E821" t="str">
            <v>HPCL</v>
          </cell>
          <cell r="F821" t="str">
            <v>2016-17</v>
          </cell>
          <cell r="G821" t="str">
            <v>Satara East RSA</v>
          </cell>
          <cell r="J821" t="str">
            <v>Gunaware</v>
          </cell>
          <cell r="K821" t="str">
            <v>Satara</v>
          </cell>
          <cell r="L821" t="str">
            <v>E</v>
          </cell>
          <cell r="O821" t="str">
            <v>B</v>
          </cell>
          <cell r="P821">
            <v>60</v>
          </cell>
          <cell r="Q821">
            <v>116</v>
          </cell>
          <cell r="R821">
            <v>45</v>
          </cell>
          <cell r="S821">
            <v>61</v>
          </cell>
          <cell r="T821">
            <v>15</v>
          </cell>
          <cell r="U821">
            <v>55</v>
          </cell>
          <cell r="V821">
            <v>116</v>
          </cell>
          <cell r="W821">
            <v>180</v>
          </cell>
          <cell r="X821">
            <v>94</v>
          </cell>
          <cell r="Y821">
            <v>116</v>
          </cell>
          <cell r="Z821">
            <v>22</v>
          </cell>
          <cell r="AA821">
            <v>64</v>
          </cell>
          <cell r="AB821">
            <v>176</v>
          </cell>
          <cell r="AC821">
            <v>106</v>
          </cell>
          <cell r="AD821">
            <v>70</v>
          </cell>
          <cell r="AE821">
            <v>296</v>
          </cell>
          <cell r="AF821">
            <v>210</v>
          </cell>
          <cell r="AG821">
            <v>86</v>
          </cell>
        </row>
        <row r="822">
          <cell r="C822">
            <v>41049412</v>
          </cell>
          <cell r="D822" t="str">
            <v>ATLANTA PETROLEUM</v>
          </cell>
          <cell r="E822" t="str">
            <v>HPCL</v>
          </cell>
          <cell r="F822" t="str">
            <v>2017-18</v>
          </cell>
          <cell r="G822" t="str">
            <v>Satara West RSA</v>
          </cell>
          <cell r="J822" t="str">
            <v>KHOJEWADI</v>
          </cell>
          <cell r="K822" t="str">
            <v>Satara</v>
          </cell>
          <cell r="L822" t="str">
            <v>E</v>
          </cell>
          <cell r="O822" t="str">
            <v>A</v>
          </cell>
          <cell r="P822">
            <v>28</v>
          </cell>
          <cell r="Q822">
            <v>56</v>
          </cell>
          <cell r="R822">
            <v>21</v>
          </cell>
          <cell r="S822">
            <v>21</v>
          </cell>
          <cell r="T822">
            <v>7</v>
          </cell>
          <cell r="U822">
            <v>35</v>
          </cell>
          <cell r="V822">
            <v>56</v>
          </cell>
          <cell r="W822">
            <v>98</v>
          </cell>
          <cell r="X822">
            <v>21</v>
          </cell>
          <cell r="Y822">
            <v>21</v>
          </cell>
          <cell r="Z822">
            <v>35</v>
          </cell>
          <cell r="AA822">
            <v>77</v>
          </cell>
          <cell r="AB822">
            <v>84</v>
          </cell>
          <cell r="AC822">
            <v>42</v>
          </cell>
          <cell r="AD822">
            <v>42</v>
          </cell>
          <cell r="AE822">
            <v>154</v>
          </cell>
          <cell r="AF822">
            <v>42</v>
          </cell>
          <cell r="AG822">
            <v>112</v>
          </cell>
        </row>
        <row r="823">
          <cell r="C823">
            <v>41049414</v>
          </cell>
          <cell r="D823" t="str">
            <v>MAHALAXMI PETROLEUM</v>
          </cell>
          <cell r="E823" t="str">
            <v>HPCL</v>
          </cell>
          <cell r="F823" t="str">
            <v>2017-18</v>
          </cell>
          <cell r="G823" t="str">
            <v>Pune Tathawade RSA</v>
          </cell>
          <cell r="J823" t="str">
            <v>BARAMATI NIRA ROAD</v>
          </cell>
          <cell r="K823" t="str">
            <v>Pune</v>
          </cell>
          <cell r="L823" t="str">
            <v>D2</v>
          </cell>
          <cell r="O823" t="str">
            <v>B</v>
          </cell>
          <cell r="P823">
            <v>63</v>
          </cell>
          <cell r="Q823">
            <v>93</v>
          </cell>
          <cell r="R823">
            <v>95</v>
          </cell>
          <cell r="S823">
            <v>117</v>
          </cell>
          <cell r="T823">
            <v>-32</v>
          </cell>
          <cell r="U823">
            <v>-24</v>
          </cell>
          <cell r="V823">
            <v>141</v>
          </cell>
          <cell r="W823">
            <v>183</v>
          </cell>
          <cell r="X823">
            <v>179</v>
          </cell>
          <cell r="Y823">
            <v>225</v>
          </cell>
          <cell r="Z823">
            <v>-38</v>
          </cell>
          <cell r="AA823">
            <v>-42</v>
          </cell>
          <cell r="AB823">
            <v>156</v>
          </cell>
          <cell r="AC823">
            <v>212</v>
          </cell>
          <cell r="AD823">
            <v>-56</v>
          </cell>
          <cell r="AE823">
            <v>324</v>
          </cell>
          <cell r="AF823">
            <v>404</v>
          </cell>
          <cell r="AG823">
            <v>-80</v>
          </cell>
        </row>
        <row r="824">
          <cell r="C824">
            <v>41049416</v>
          </cell>
          <cell r="D824" t="str">
            <v>SADDGURU FUELS</v>
          </cell>
          <cell r="E824" t="str">
            <v>HPCL</v>
          </cell>
          <cell r="F824" t="str">
            <v>2017-18</v>
          </cell>
          <cell r="G824" t="str">
            <v>Pune Hadapsar RSA</v>
          </cell>
          <cell r="J824" t="str">
            <v>kesnand</v>
          </cell>
          <cell r="K824" t="str">
            <v>Pune</v>
          </cell>
          <cell r="L824" t="str">
            <v>D1</v>
          </cell>
          <cell r="M824" t="str">
            <v>NH-548DD</v>
          </cell>
          <cell r="O824" t="str">
            <v>A</v>
          </cell>
          <cell r="P824">
            <v>55</v>
          </cell>
          <cell r="Q824">
            <v>179</v>
          </cell>
          <cell r="R824">
            <v>39</v>
          </cell>
          <cell r="S824">
            <v>129</v>
          </cell>
          <cell r="T824">
            <v>16</v>
          </cell>
          <cell r="U824">
            <v>50</v>
          </cell>
          <cell r="V824">
            <v>99</v>
          </cell>
          <cell r="W824">
            <v>309</v>
          </cell>
          <cell r="X824">
            <v>87</v>
          </cell>
          <cell r="Y824">
            <v>261</v>
          </cell>
          <cell r="Z824">
            <v>12</v>
          </cell>
          <cell r="AA824">
            <v>48</v>
          </cell>
          <cell r="AB824">
            <v>234</v>
          </cell>
          <cell r="AC824">
            <v>168</v>
          </cell>
          <cell r="AD824">
            <v>66</v>
          </cell>
          <cell r="AE824">
            <v>408</v>
          </cell>
          <cell r="AF824">
            <v>348</v>
          </cell>
          <cell r="AG824">
            <v>60</v>
          </cell>
        </row>
        <row r="825">
          <cell r="C825">
            <v>41049418</v>
          </cell>
          <cell r="D825" t="str">
            <v>Swami Samarth Service Station</v>
          </cell>
          <cell r="E825" t="str">
            <v>HPCL</v>
          </cell>
          <cell r="F825" t="str">
            <v>2017-18</v>
          </cell>
          <cell r="G825" t="str">
            <v>Pune City RSA</v>
          </cell>
          <cell r="J825" t="str">
            <v>MAGARPATTA CITY</v>
          </cell>
          <cell r="K825" t="str">
            <v>Pune</v>
          </cell>
          <cell r="L825" t="str">
            <v>A</v>
          </cell>
          <cell r="O825" t="str">
            <v>A</v>
          </cell>
          <cell r="P825">
            <v>81</v>
          </cell>
          <cell r="Q825">
            <v>111</v>
          </cell>
          <cell r="R825">
            <v>75</v>
          </cell>
          <cell r="S825">
            <v>109</v>
          </cell>
          <cell r="T825">
            <v>6</v>
          </cell>
          <cell r="U825">
            <v>2</v>
          </cell>
          <cell r="V825">
            <v>157</v>
          </cell>
          <cell r="W825">
            <v>219</v>
          </cell>
          <cell r="X825">
            <v>147</v>
          </cell>
          <cell r="Y825">
            <v>205</v>
          </cell>
          <cell r="Z825">
            <v>10</v>
          </cell>
          <cell r="AA825">
            <v>14</v>
          </cell>
          <cell r="AB825">
            <v>192</v>
          </cell>
          <cell r="AC825">
            <v>184</v>
          </cell>
          <cell r="AD825">
            <v>8</v>
          </cell>
          <cell r="AE825">
            <v>376</v>
          </cell>
          <cell r="AF825">
            <v>352</v>
          </cell>
          <cell r="AG825">
            <v>24</v>
          </cell>
        </row>
        <row r="826">
          <cell r="C826">
            <v>41049453</v>
          </cell>
          <cell r="D826" t="str">
            <v>Magar Fuel Station</v>
          </cell>
          <cell r="E826" t="str">
            <v>HPCL</v>
          </cell>
          <cell r="F826" t="str">
            <v>2017-18</v>
          </cell>
          <cell r="G826" t="str">
            <v>Pune City RSA</v>
          </cell>
          <cell r="J826" t="str">
            <v>MAGARPATTA CITY</v>
          </cell>
          <cell r="K826" t="str">
            <v>Pune</v>
          </cell>
          <cell r="L826" t="str">
            <v>A</v>
          </cell>
          <cell r="O826" t="str">
            <v>A</v>
          </cell>
          <cell r="P826">
            <v>255</v>
          </cell>
          <cell r="Q826">
            <v>105</v>
          </cell>
          <cell r="R826">
            <v>230</v>
          </cell>
          <cell r="S826">
            <v>150</v>
          </cell>
          <cell r="T826">
            <v>25</v>
          </cell>
          <cell r="U826">
            <v>-45</v>
          </cell>
          <cell r="V826">
            <v>505</v>
          </cell>
          <cell r="W826">
            <v>215</v>
          </cell>
          <cell r="X826">
            <v>455</v>
          </cell>
          <cell r="Y826">
            <v>285</v>
          </cell>
          <cell r="Z826">
            <v>50</v>
          </cell>
          <cell r="AA826">
            <v>-70</v>
          </cell>
          <cell r="AB826">
            <v>360</v>
          </cell>
          <cell r="AC826">
            <v>380</v>
          </cell>
          <cell r="AD826">
            <v>-20</v>
          </cell>
          <cell r="AE826">
            <v>720</v>
          </cell>
          <cell r="AF826">
            <v>740</v>
          </cell>
          <cell r="AG826">
            <v>-20</v>
          </cell>
        </row>
        <row r="827">
          <cell r="C827">
            <v>41049454</v>
          </cell>
          <cell r="D827" t="str">
            <v>Ranwara Petroluem</v>
          </cell>
          <cell r="E827" t="str">
            <v>HPCL</v>
          </cell>
          <cell r="F827" t="str">
            <v>2017-18</v>
          </cell>
          <cell r="G827" t="str">
            <v>Pune Wagholi RSA</v>
          </cell>
          <cell r="J827" t="str">
            <v>Ane</v>
          </cell>
          <cell r="K827" t="str">
            <v>Pune</v>
          </cell>
          <cell r="L827" t="str">
            <v>D1</v>
          </cell>
          <cell r="M827" t="str">
            <v>NH-61</v>
          </cell>
          <cell r="O827" t="str">
            <v>A</v>
          </cell>
          <cell r="P827">
            <v>19</v>
          </cell>
          <cell r="Q827">
            <v>75</v>
          </cell>
          <cell r="R827">
            <v>18</v>
          </cell>
          <cell r="S827">
            <v>48</v>
          </cell>
          <cell r="T827">
            <v>1</v>
          </cell>
          <cell r="U827">
            <v>27</v>
          </cell>
          <cell r="V827">
            <v>19</v>
          </cell>
          <cell r="W827">
            <v>75</v>
          </cell>
          <cell r="X827">
            <v>37</v>
          </cell>
          <cell r="Y827">
            <v>109</v>
          </cell>
          <cell r="Z827">
            <v>-18</v>
          </cell>
          <cell r="AA827">
            <v>-34</v>
          </cell>
          <cell r="AB827">
            <v>94</v>
          </cell>
          <cell r="AC827">
            <v>66</v>
          </cell>
          <cell r="AD827">
            <v>28</v>
          </cell>
          <cell r="AE827">
            <v>94</v>
          </cell>
          <cell r="AF827">
            <v>146</v>
          </cell>
          <cell r="AG827">
            <v>-52</v>
          </cell>
        </row>
        <row r="828">
          <cell r="C828">
            <v>41049455</v>
          </cell>
          <cell r="D828" t="str">
            <v>SAVITA PETROLEUM</v>
          </cell>
          <cell r="E828" t="str">
            <v>HPCL</v>
          </cell>
          <cell r="F828" t="str">
            <v>2017-18</v>
          </cell>
          <cell r="G828" t="str">
            <v>Pune Wagholi RSA</v>
          </cell>
          <cell r="J828" t="str">
            <v>Alephata on Kalyan highway</v>
          </cell>
          <cell r="K828" t="str">
            <v>Pune</v>
          </cell>
          <cell r="L828" t="str">
            <v>D1</v>
          </cell>
          <cell r="M828" t="str">
            <v>NH-61</v>
          </cell>
          <cell r="O828" t="str">
            <v>A</v>
          </cell>
          <cell r="P828">
            <v>65</v>
          </cell>
          <cell r="Q828">
            <v>195</v>
          </cell>
          <cell r="R828">
            <v>60</v>
          </cell>
          <cell r="S828">
            <v>120</v>
          </cell>
          <cell r="T828">
            <v>5</v>
          </cell>
          <cell r="U828">
            <v>75</v>
          </cell>
          <cell r="V828">
            <v>110</v>
          </cell>
          <cell r="W828">
            <v>310</v>
          </cell>
          <cell r="X828">
            <v>105</v>
          </cell>
          <cell r="Y828">
            <v>215</v>
          </cell>
          <cell r="Z828">
            <v>5</v>
          </cell>
          <cell r="AA828">
            <v>95</v>
          </cell>
          <cell r="AB828">
            <v>260</v>
          </cell>
          <cell r="AC828">
            <v>180</v>
          </cell>
          <cell r="AD828">
            <v>80</v>
          </cell>
          <cell r="AE828">
            <v>420</v>
          </cell>
          <cell r="AF828">
            <v>320</v>
          </cell>
          <cell r="AG828">
            <v>100</v>
          </cell>
        </row>
        <row r="829">
          <cell r="C829">
            <v>41049457</v>
          </cell>
          <cell r="D829" t="str">
            <v>SHRI MALHAR PETROLEUM</v>
          </cell>
          <cell r="E829" t="str">
            <v>HPCL</v>
          </cell>
          <cell r="F829" t="str">
            <v>2017-18</v>
          </cell>
          <cell r="G829" t="str">
            <v>Pune Hadapsar RSA</v>
          </cell>
          <cell r="J829" t="str">
            <v>Yawat LHS</v>
          </cell>
          <cell r="K829" t="str">
            <v>Pune</v>
          </cell>
          <cell r="L829" t="str">
            <v>D1</v>
          </cell>
          <cell r="M829" t="str">
            <v>NH-65</v>
          </cell>
          <cell r="O829" t="str">
            <v>A</v>
          </cell>
          <cell r="P829">
            <v>12</v>
          </cell>
          <cell r="Q829">
            <v>24</v>
          </cell>
          <cell r="R829">
            <v>33</v>
          </cell>
          <cell r="S829">
            <v>79</v>
          </cell>
          <cell r="T829">
            <v>-21</v>
          </cell>
          <cell r="U829">
            <v>-55</v>
          </cell>
          <cell r="V829">
            <v>22</v>
          </cell>
          <cell r="W829">
            <v>52</v>
          </cell>
          <cell r="X829">
            <v>70</v>
          </cell>
          <cell r="Y829">
            <v>178</v>
          </cell>
          <cell r="Z829">
            <v>-48</v>
          </cell>
          <cell r="AA829">
            <v>-126</v>
          </cell>
          <cell r="AB829">
            <v>36</v>
          </cell>
          <cell r="AC829">
            <v>112</v>
          </cell>
          <cell r="AD829">
            <v>-76</v>
          </cell>
          <cell r="AE829">
            <v>74</v>
          </cell>
          <cell r="AF829">
            <v>248</v>
          </cell>
          <cell r="AG829">
            <v>-174</v>
          </cell>
        </row>
        <row r="830">
          <cell r="C830">
            <v>41049459</v>
          </cell>
          <cell r="D830" t="str">
            <v>MORE PETROLEUM</v>
          </cell>
          <cell r="E830" t="str">
            <v>HPCL</v>
          </cell>
          <cell r="F830" t="str">
            <v>2017-18</v>
          </cell>
          <cell r="G830" t="str">
            <v>Pune Hadapsar RSA</v>
          </cell>
          <cell r="J830" t="str">
            <v>Yawat RHS</v>
          </cell>
          <cell r="K830" t="str">
            <v>Pune</v>
          </cell>
          <cell r="L830" t="str">
            <v>D1</v>
          </cell>
          <cell r="M830" t="str">
            <v>NH-65</v>
          </cell>
          <cell r="O830" t="str">
            <v>A</v>
          </cell>
          <cell r="P830">
            <v>85</v>
          </cell>
          <cell r="Q830">
            <v>475</v>
          </cell>
          <cell r="R830">
            <v>75</v>
          </cell>
          <cell r="S830">
            <v>345</v>
          </cell>
          <cell r="T830">
            <v>10</v>
          </cell>
          <cell r="U830">
            <v>130</v>
          </cell>
          <cell r="V830">
            <v>140</v>
          </cell>
          <cell r="W830">
            <v>880</v>
          </cell>
          <cell r="X830">
            <v>140</v>
          </cell>
          <cell r="Y830">
            <v>660</v>
          </cell>
          <cell r="Z830">
            <v>0</v>
          </cell>
          <cell r="AA830">
            <v>220</v>
          </cell>
          <cell r="AB830">
            <v>560</v>
          </cell>
          <cell r="AC830">
            <v>420</v>
          </cell>
          <cell r="AD830">
            <v>140</v>
          </cell>
          <cell r="AE830">
            <v>1020</v>
          </cell>
          <cell r="AF830">
            <v>800</v>
          </cell>
          <cell r="AG830">
            <v>220</v>
          </cell>
        </row>
        <row r="831">
          <cell r="C831">
            <v>41049460</v>
          </cell>
          <cell r="D831" t="str">
            <v>Shri Tatyashri Petroleum</v>
          </cell>
          <cell r="E831" t="str">
            <v>HPCL</v>
          </cell>
          <cell r="F831" t="str">
            <v>2017-18</v>
          </cell>
          <cell r="G831" t="str">
            <v>Pimpri Chinchwad RSA</v>
          </cell>
          <cell r="J831" t="str">
            <v>Moi</v>
          </cell>
          <cell r="K831" t="str">
            <v>Pune</v>
          </cell>
          <cell r="L831" t="str">
            <v>E</v>
          </cell>
          <cell r="O831" t="str">
            <v>B</v>
          </cell>
          <cell r="P831">
            <v>45</v>
          </cell>
          <cell r="Q831">
            <v>451</v>
          </cell>
          <cell r="R831">
            <v>40</v>
          </cell>
          <cell r="S831">
            <v>392</v>
          </cell>
          <cell r="T831">
            <v>5</v>
          </cell>
          <cell r="U831">
            <v>59</v>
          </cell>
          <cell r="V831">
            <v>95</v>
          </cell>
          <cell r="W831">
            <v>875</v>
          </cell>
          <cell r="X831">
            <v>89</v>
          </cell>
          <cell r="Y831">
            <v>815</v>
          </cell>
          <cell r="Z831">
            <v>6</v>
          </cell>
          <cell r="AA831">
            <v>60</v>
          </cell>
          <cell r="AB831">
            <v>496</v>
          </cell>
          <cell r="AC831">
            <v>432</v>
          </cell>
          <cell r="AD831">
            <v>64</v>
          </cell>
          <cell r="AE831">
            <v>970</v>
          </cell>
          <cell r="AF831">
            <v>904</v>
          </cell>
          <cell r="AG831">
            <v>66</v>
          </cell>
        </row>
        <row r="832">
          <cell r="C832">
            <v>41049461</v>
          </cell>
          <cell r="D832" t="str">
            <v>Prasanna Petroleum</v>
          </cell>
          <cell r="E832" t="str">
            <v>HPCL</v>
          </cell>
          <cell r="F832" t="str">
            <v>2017-18</v>
          </cell>
          <cell r="G832" t="str">
            <v>Satara East RSA</v>
          </cell>
          <cell r="J832" t="str">
            <v>Phalton Dahiwadi road</v>
          </cell>
          <cell r="K832" t="str">
            <v>Satara</v>
          </cell>
          <cell r="L832" t="str">
            <v>D1</v>
          </cell>
          <cell r="M832" t="str">
            <v>NH-160</v>
          </cell>
          <cell r="O832" t="str">
            <v>B</v>
          </cell>
          <cell r="P832">
            <v>29</v>
          </cell>
          <cell r="Q832">
            <v>41</v>
          </cell>
          <cell r="R832">
            <v>36</v>
          </cell>
          <cell r="S832">
            <v>48</v>
          </cell>
          <cell r="T832">
            <v>-7</v>
          </cell>
          <cell r="U832">
            <v>-7</v>
          </cell>
          <cell r="V832">
            <v>57</v>
          </cell>
          <cell r="W832">
            <v>69</v>
          </cell>
          <cell r="X832">
            <v>63</v>
          </cell>
          <cell r="Y832">
            <v>91</v>
          </cell>
          <cell r="Z832">
            <v>-6</v>
          </cell>
          <cell r="AA832">
            <v>-22</v>
          </cell>
          <cell r="AB832">
            <v>70</v>
          </cell>
          <cell r="AC832">
            <v>84</v>
          </cell>
          <cell r="AD832">
            <v>-14</v>
          </cell>
          <cell r="AE832">
            <v>126</v>
          </cell>
          <cell r="AF832">
            <v>154</v>
          </cell>
          <cell r="AG832">
            <v>-28</v>
          </cell>
        </row>
        <row r="833">
          <cell r="C833">
            <v>41049462</v>
          </cell>
          <cell r="D833" t="str">
            <v>Jijai Petroleum</v>
          </cell>
          <cell r="E833" t="str">
            <v>HPCL</v>
          </cell>
          <cell r="G833" t="str">
            <v>Satara West RSA</v>
          </cell>
          <cell r="J833" t="str">
            <v>Khandala to Bhuinj</v>
          </cell>
          <cell r="K833" t="str">
            <v>Satara</v>
          </cell>
          <cell r="L833" t="str">
            <v>D1</v>
          </cell>
          <cell r="M833" t="str">
            <v>NH-48</v>
          </cell>
          <cell r="O833" t="str">
            <v>A</v>
          </cell>
          <cell r="P833">
            <v>65</v>
          </cell>
          <cell r="Q833">
            <v>115</v>
          </cell>
          <cell r="R833">
            <v>70</v>
          </cell>
          <cell r="S833">
            <v>110</v>
          </cell>
          <cell r="T833">
            <v>-5</v>
          </cell>
          <cell r="U833">
            <v>5</v>
          </cell>
          <cell r="V833">
            <v>120</v>
          </cell>
          <cell r="W833">
            <v>200</v>
          </cell>
          <cell r="X833">
            <v>110</v>
          </cell>
          <cell r="Y833">
            <v>190</v>
          </cell>
          <cell r="Z833">
            <v>10</v>
          </cell>
          <cell r="AA833">
            <v>10</v>
          </cell>
          <cell r="AB833">
            <v>180</v>
          </cell>
          <cell r="AC833">
            <v>180</v>
          </cell>
          <cell r="AD833">
            <v>0</v>
          </cell>
          <cell r="AE833">
            <v>320</v>
          </cell>
          <cell r="AF833">
            <v>300</v>
          </cell>
          <cell r="AG833">
            <v>20</v>
          </cell>
        </row>
        <row r="834">
          <cell r="C834">
            <v>41049463</v>
          </cell>
          <cell r="D834" t="str">
            <v>Anusaya Petrolem</v>
          </cell>
          <cell r="E834" t="str">
            <v>HPCL</v>
          </cell>
          <cell r="F834" t="str">
            <v>2017-18</v>
          </cell>
          <cell r="G834" t="str">
            <v>Pune Wagholi RSA</v>
          </cell>
          <cell r="J834" t="str">
            <v>Narayangaon to Alephata LHS</v>
          </cell>
          <cell r="K834" t="str">
            <v>Pune</v>
          </cell>
          <cell r="L834" t="str">
            <v>D1</v>
          </cell>
          <cell r="M834" t="str">
            <v>NH-60</v>
          </cell>
          <cell r="O834" t="str">
            <v>A</v>
          </cell>
          <cell r="P834">
            <v>112</v>
          </cell>
          <cell r="Q834">
            <v>284</v>
          </cell>
          <cell r="R834">
            <v>113</v>
          </cell>
          <cell r="S834">
            <v>195</v>
          </cell>
          <cell r="T834">
            <v>-1</v>
          </cell>
          <cell r="U834">
            <v>89</v>
          </cell>
          <cell r="V834">
            <v>223</v>
          </cell>
          <cell r="W834">
            <v>635</v>
          </cell>
          <cell r="X834">
            <v>217</v>
          </cell>
          <cell r="Y834">
            <v>399</v>
          </cell>
          <cell r="Z834">
            <v>6</v>
          </cell>
          <cell r="AA834">
            <v>236</v>
          </cell>
          <cell r="AB834">
            <v>396</v>
          </cell>
          <cell r="AC834">
            <v>308</v>
          </cell>
          <cell r="AD834">
            <v>88</v>
          </cell>
          <cell r="AE834">
            <v>858</v>
          </cell>
          <cell r="AF834">
            <v>616</v>
          </cell>
          <cell r="AG834">
            <v>242</v>
          </cell>
        </row>
        <row r="835">
          <cell r="C835">
            <v>41049464</v>
          </cell>
          <cell r="D835" t="str">
            <v>Khairmode &amp; Sons Petroleum</v>
          </cell>
          <cell r="E835" t="str">
            <v>HPCL</v>
          </cell>
          <cell r="F835" t="str">
            <v>2017-18</v>
          </cell>
          <cell r="G835" t="str">
            <v>Pune Saswad RSA</v>
          </cell>
          <cell r="J835" t="str">
            <v>walhe</v>
          </cell>
          <cell r="K835" t="str">
            <v>Pune</v>
          </cell>
          <cell r="L835" t="str">
            <v>D1</v>
          </cell>
          <cell r="M835" t="str">
            <v>NH-965</v>
          </cell>
          <cell r="O835" t="str">
            <v>B</v>
          </cell>
          <cell r="P835">
            <v>14</v>
          </cell>
          <cell r="Q835">
            <v>34</v>
          </cell>
          <cell r="R835">
            <v>29</v>
          </cell>
          <cell r="S835">
            <v>51</v>
          </cell>
          <cell r="T835">
            <v>-15</v>
          </cell>
          <cell r="U835">
            <v>-17</v>
          </cell>
          <cell r="V835">
            <v>39</v>
          </cell>
          <cell r="W835">
            <v>81</v>
          </cell>
          <cell r="X835">
            <v>52</v>
          </cell>
          <cell r="Y835">
            <v>96</v>
          </cell>
          <cell r="Z835">
            <v>-13</v>
          </cell>
          <cell r="AA835">
            <v>-15</v>
          </cell>
          <cell r="AB835">
            <v>48</v>
          </cell>
          <cell r="AC835">
            <v>80</v>
          </cell>
          <cell r="AD835">
            <v>-32</v>
          </cell>
          <cell r="AE835">
            <v>120</v>
          </cell>
          <cell r="AF835">
            <v>148</v>
          </cell>
          <cell r="AG835">
            <v>-28</v>
          </cell>
        </row>
        <row r="836">
          <cell r="C836">
            <v>41049465</v>
          </cell>
          <cell r="D836" t="str">
            <v>ARUN KATHWATE &amp; SONS STATION</v>
          </cell>
          <cell r="E836" t="str">
            <v>HPCL</v>
          </cell>
          <cell r="F836" t="str">
            <v>2023-24</v>
          </cell>
          <cell r="G836" t="str">
            <v>Pune City RSA</v>
          </cell>
          <cell r="J836" t="str">
            <v>HINJEWADI</v>
          </cell>
          <cell r="K836" t="str">
            <v>Pune</v>
          </cell>
          <cell r="L836" t="str">
            <v>A</v>
          </cell>
          <cell r="O836" t="str">
            <v>A</v>
          </cell>
          <cell r="P836">
            <v>224</v>
          </cell>
          <cell r="Q836">
            <v>56</v>
          </cell>
          <cell r="R836">
            <v>175</v>
          </cell>
          <cell r="S836">
            <v>61</v>
          </cell>
          <cell r="T836">
            <v>49</v>
          </cell>
          <cell r="U836">
            <v>-5</v>
          </cell>
          <cell r="V836">
            <v>400</v>
          </cell>
          <cell r="W836">
            <v>98</v>
          </cell>
          <cell r="X836">
            <v>384</v>
          </cell>
          <cell r="Y836">
            <v>116</v>
          </cell>
          <cell r="Z836">
            <v>16</v>
          </cell>
          <cell r="AA836">
            <v>-18</v>
          </cell>
          <cell r="AB836">
            <v>280</v>
          </cell>
          <cell r="AC836">
            <v>236</v>
          </cell>
          <cell r="AD836">
            <v>44</v>
          </cell>
          <cell r="AE836">
            <v>498</v>
          </cell>
          <cell r="AF836">
            <v>500</v>
          </cell>
          <cell r="AG836">
            <v>-2</v>
          </cell>
        </row>
        <row r="837">
          <cell r="C837">
            <v>41049466</v>
          </cell>
          <cell r="D837" t="str">
            <v>Bhosale Petroleum</v>
          </cell>
          <cell r="E837" t="str">
            <v>HPCL</v>
          </cell>
          <cell r="F837" t="str">
            <v>2018-19</v>
          </cell>
          <cell r="G837" t="str">
            <v>Pimpri Chinchwad RSA</v>
          </cell>
          <cell r="J837" t="str">
            <v>Chakan MIDC</v>
          </cell>
          <cell r="K837" t="str">
            <v>Pune</v>
          </cell>
          <cell r="L837" t="str">
            <v>C</v>
          </cell>
          <cell r="O837" t="str">
            <v>A</v>
          </cell>
          <cell r="P837">
            <v>93</v>
          </cell>
          <cell r="Q837">
            <v>339</v>
          </cell>
          <cell r="R837">
            <v>73</v>
          </cell>
          <cell r="S837">
            <v>263</v>
          </cell>
          <cell r="T837">
            <v>20</v>
          </cell>
          <cell r="U837">
            <v>76</v>
          </cell>
          <cell r="V837">
            <v>175</v>
          </cell>
          <cell r="W837">
            <v>649</v>
          </cell>
          <cell r="X837">
            <v>158</v>
          </cell>
          <cell r="Y837">
            <v>558</v>
          </cell>
          <cell r="Z837">
            <v>17</v>
          </cell>
          <cell r="AA837">
            <v>91</v>
          </cell>
          <cell r="AB837">
            <v>432</v>
          </cell>
          <cell r="AC837">
            <v>336</v>
          </cell>
          <cell r="AD837">
            <v>96</v>
          </cell>
          <cell r="AE837">
            <v>824</v>
          </cell>
          <cell r="AF837">
            <v>716</v>
          </cell>
          <cell r="AG837">
            <v>108</v>
          </cell>
        </row>
        <row r="838">
          <cell r="C838">
            <v>41049467</v>
          </cell>
          <cell r="D838" t="str">
            <v>ROYAL PETROLEUM</v>
          </cell>
          <cell r="E838" t="str">
            <v>HPCL</v>
          </cell>
          <cell r="F838" t="str">
            <v>2018-19</v>
          </cell>
          <cell r="G838" t="str">
            <v>Satara East RSA</v>
          </cell>
          <cell r="J838" t="str">
            <v>Koregaon Rahimatpur Road</v>
          </cell>
          <cell r="K838" t="str">
            <v>Satara</v>
          </cell>
          <cell r="L838" t="str">
            <v>E</v>
          </cell>
          <cell r="O838" t="str">
            <v>A</v>
          </cell>
          <cell r="P838">
            <v>129</v>
          </cell>
          <cell r="Q838">
            <v>207</v>
          </cell>
          <cell r="R838">
            <v>92</v>
          </cell>
          <cell r="S838">
            <v>102</v>
          </cell>
          <cell r="T838">
            <v>37</v>
          </cell>
          <cell r="U838">
            <v>105</v>
          </cell>
          <cell r="V838">
            <v>225</v>
          </cell>
          <cell r="W838">
            <v>437</v>
          </cell>
          <cell r="X838">
            <v>186</v>
          </cell>
          <cell r="Y838">
            <v>220</v>
          </cell>
          <cell r="Z838">
            <v>39</v>
          </cell>
          <cell r="AA838">
            <v>217</v>
          </cell>
          <cell r="AB838">
            <v>336</v>
          </cell>
          <cell r="AC838">
            <v>194</v>
          </cell>
          <cell r="AD838">
            <v>142</v>
          </cell>
          <cell r="AE838">
            <v>662</v>
          </cell>
          <cell r="AF838">
            <v>406</v>
          </cell>
          <cell r="AG838">
            <v>256</v>
          </cell>
        </row>
        <row r="839">
          <cell r="C839">
            <v>41049468</v>
          </cell>
          <cell r="D839" t="str">
            <v>POLIC WELFARE PETROL PUMP</v>
          </cell>
          <cell r="E839" t="str">
            <v>HPCL</v>
          </cell>
          <cell r="F839" t="str">
            <v>2018-19</v>
          </cell>
          <cell r="G839" t="str">
            <v>Pune City RSA</v>
          </cell>
          <cell r="J839" t="str">
            <v>SANGAVI</v>
          </cell>
          <cell r="K839" t="str">
            <v>Pune</v>
          </cell>
          <cell r="L839" t="str">
            <v>A</v>
          </cell>
          <cell r="O839" t="str">
            <v>B</v>
          </cell>
          <cell r="P839">
            <v>248</v>
          </cell>
          <cell r="Q839">
            <v>74</v>
          </cell>
          <cell r="R839">
            <v>278</v>
          </cell>
          <cell r="S839">
            <v>84</v>
          </cell>
          <cell r="T839">
            <v>-30</v>
          </cell>
          <cell r="U839">
            <v>-10</v>
          </cell>
          <cell r="V839">
            <v>504</v>
          </cell>
          <cell r="W839">
            <v>134</v>
          </cell>
          <cell r="X839">
            <v>567</v>
          </cell>
          <cell r="Y839">
            <v>163</v>
          </cell>
          <cell r="Z839">
            <v>-63</v>
          </cell>
          <cell r="AA839">
            <v>-29</v>
          </cell>
          <cell r="AB839">
            <v>322</v>
          </cell>
          <cell r="AC839">
            <v>362</v>
          </cell>
          <cell r="AD839">
            <v>-40</v>
          </cell>
          <cell r="AE839">
            <v>638</v>
          </cell>
          <cell r="AF839">
            <v>730</v>
          </cell>
          <cell r="AG839">
            <v>-92</v>
          </cell>
        </row>
        <row r="840">
          <cell r="C840">
            <v>41049470</v>
          </cell>
          <cell r="D840" t="str">
            <v>KRUSHNAI PETROLEUM</v>
          </cell>
          <cell r="E840" t="str">
            <v>HPCL</v>
          </cell>
          <cell r="F840" t="str">
            <v>2018-19</v>
          </cell>
          <cell r="G840" t="str">
            <v>Satara West RSA</v>
          </cell>
          <cell r="J840" t="str">
            <v>Joshi Vihir to Wai</v>
          </cell>
          <cell r="K840" t="str">
            <v>Satara</v>
          </cell>
          <cell r="L840" t="str">
            <v>D2</v>
          </cell>
          <cell r="O840" t="str">
            <v>A</v>
          </cell>
          <cell r="P840">
            <v>53</v>
          </cell>
          <cell r="Q840">
            <v>79</v>
          </cell>
          <cell r="R840">
            <v>48</v>
          </cell>
          <cell r="S840">
            <v>84</v>
          </cell>
          <cell r="T840">
            <v>5</v>
          </cell>
          <cell r="U840">
            <v>-5</v>
          </cell>
          <cell r="V840">
            <v>100</v>
          </cell>
          <cell r="W840">
            <v>142</v>
          </cell>
          <cell r="X840">
            <v>90</v>
          </cell>
          <cell r="Y840">
            <v>152</v>
          </cell>
          <cell r="Z840">
            <v>10</v>
          </cell>
          <cell r="AA840">
            <v>-10</v>
          </cell>
          <cell r="AB840">
            <v>132</v>
          </cell>
          <cell r="AC840">
            <v>132</v>
          </cell>
          <cell r="AD840">
            <v>0</v>
          </cell>
          <cell r="AE840">
            <v>242</v>
          </cell>
          <cell r="AF840">
            <v>242</v>
          </cell>
          <cell r="AG840">
            <v>0</v>
          </cell>
        </row>
        <row r="841">
          <cell r="C841">
            <v>41049471</v>
          </cell>
          <cell r="D841" t="str">
            <v>ABHIJEET PETROLEUM</v>
          </cell>
          <cell r="E841" t="str">
            <v>HPCL</v>
          </cell>
          <cell r="F841" t="str">
            <v>2018-19</v>
          </cell>
          <cell r="G841" t="str">
            <v>Pune Saswad RSA</v>
          </cell>
          <cell r="J841" t="str">
            <v>BAVDA</v>
          </cell>
          <cell r="K841" t="str">
            <v>Pune</v>
          </cell>
          <cell r="L841" t="str">
            <v>D1</v>
          </cell>
          <cell r="M841" t="str">
            <v>NH-965G</v>
          </cell>
          <cell r="O841" t="str">
            <v>B</v>
          </cell>
          <cell r="P841">
            <v>0</v>
          </cell>
          <cell r="Q841">
            <v>0</v>
          </cell>
          <cell r="R841">
            <v>9</v>
          </cell>
          <cell r="S841">
            <v>3</v>
          </cell>
          <cell r="T841">
            <v>-9</v>
          </cell>
          <cell r="U841">
            <v>-3</v>
          </cell>
          <cell r="V841">
            <v>6</v>
          </cell>
          <cell r="W841">
            <v>6</v>
          </cell>
          <cell r="X841">
            <v>15</v>
          </cell>
          <cell r="Y841">
            <v>9</v>
          </cell>
          <cell r="Z841">
            <v>-9</v>
          </cell>
          <cell r="AA841">
            <v>-3</v>
          </cell>
          <cell r="AB841">
            <v>0</v>
          </cell>
          <cell r="AC841">
            <v>12</v>
          </cell>
          <cell r="AD841">
            <v>-12</v>
          </cell>
          <cell r="AE841">
            <v>12</v>
          </cell>
          <cell r="AF841">
            <v>24</v>
          </cell>
          <cell r="AG841">
            <v>-12</v>
          </cell>
        </row>
        <row r="842">
          <cell r="C842">
            <v>41049473</v>
          </cell>
          <cell r="D842" t="str">
            <v>SARAI PETROLEUM</v>
          </cell>
          <cell r="E842" t="str">
            <v>HPCL</v>
          </cell>
          <cell r="F842" t="str">
            <v>2018-19</v>
          </cell>
          <cell r="G842" t="str">
            <v>Satara East RSA</v>
          </cell>
          <cell r="J842" t="str">
            <v>VADJAL</v>
          </cell>
          <cell r="K842" t="str">
            <v>Satara</v>
          </cell>
          <cell r="L842" t="str">
            <v>D2</v>
          </cell>
          <cell r="O842" t="str">
            <v>A</v>
          </cell>
          <cell r="P842">
            <v>20</v>
          </cell>
          <cell r="Q842">
            <v>36</v>
          </cell>
          <cell r="R842">
            <v>9</v>
          </cell>
          <cell r="S842">
            <v>25</v>
          </cell>
          <cell r="T842">
            <v>11</v>
          </cell>
          <cell r="U842">
            <v>11</v>
          </cell>
          <cell r="V842">
            <v>25</v>
          </cell>
          <cell r="W842">
            <v>45</v>
          </cell>
          <cell r="X842">
            <v>15</v>
          </cell>
          <cell r="Y842">
            <v>45</v>
          </cell>
          <cell r="Z842">
            <v>10</v>
          </cell>
          <cell r="AA842">
            <v>0</v>
          </cell>
          <cell r="AB842">
            <v>56</v>
          </cell>
          <cell r="AC842">
            <v>34</v>
          </cell>
          <cell r="AD842">
            <v>22</v>
          </cell>
          <cell r="AE842">
            <v>70</v>
          </cell>
          <cell r="AF842">
            <v>60</v>
          </cell>
          <cell r="AG842">
            <v>10</v>
          </cell>
        </row>
        <row r="843">
          <cell r="C843">
            <v>41049474</v>
          </cell>
          <cell r="D843" t="str">
            <v>KALOKHE PETROLEUM</v>
          </cell>
          <cell r="E843" t="str">
            <v>HPCL</v>
          </cell>
          <cell r="F843" t="str">
            <v>2018-19</v>
          </cell>
          <cell r="G843" t="str">
            <v>Pune Tathawade RSA</v>
          </cell>
          <cell r="J843" t="str">
            <v>DEHU ROAD TO TALEGAON DABHADE</v>
          </cell>
          <cell r="K843" t="str">
            <v>Pune</v>
          </cell>
          <cell r="L843" t="str">
            <v>D1</v>
          </cell>
          <cell r="M843" t="str">
            <v>NH-48</v>
          </cell>
          <cell r="O843" t="str">
            <v>A</v>
          </cell>
          <cell r="P843">
            <v>190</v>
          </cell>
          <cell r="Q843">
            <v>470</v>
          </cell>
          <cell r="R843">
            <v>265</v>
          </cell>
          <cell r="S843">
            <v>439</v>
          </cell>
          <cell r="T843">
            <v>-75</v>
          </cell>
          <cell r="U843">
            <v>31</v>
          </cell>
          <cell r="V843">
            <v>365</v>
          </cell>
          <cell r="W843">
            <v>911</v>
          </cell>
          <cell r="X843">
            <v>512</v>
          </cell>
          <cell r="Y843">
            <v>852</v>
          </cell>
          <cell r="Z843">
            <v>-147</v>
          </cell>
          <cell r="AA843">
            <v>59</v>
          </cell>
          <cell r="AB843">
            <v>660</v>
          </cell>
          <cell r="AC843">
            <v>704</v>
          </cell>
          <cell r="AD843">
            <v>-44</v>
          </cell>
          <cell r="AE843">
            <v>1276</v>
          </cell>
          <cell r="AF843">
            <v>1364</v>
          </cell>
          <cell r="AG843">
            <v>-88</v>
          </cell>
        </row>
        <row r="844">
          <cell r="C844">
            <v>41049476</v>
          </cell>
          <cell r="D844" t="str">
            <v>APMC INDAPUR</v>
          </cell>
          <cell r="E844" t="str">
            <v>HPCL</v>
          </cell>
          <cell r="F844" t="str">
            <v>2018-19</v>
          </cell>
          <cell r="G844" t="str">
            <v>Pune Saswad RSA</v>
          </cell>
          <cell r="J844" t="str">
            <v>Vadapuri</v>
          </cell>
          <cell r="K844" t="str">
            <v>Pune</v>
          </cell>
          <cell r="L844" t="str">
            <v>D1</v>
          </cell>
          <cell r="M844" t="str">
            <v>NH-965G</v>
          </cell>
          <cell r="O844" t="str">
            <v>B</v>
          </cell>
          <cell r="P844">
            <v>105</v>
          </cell>
          <cell r="Q844">
            <v>159</v>
          </cell>
          <cell r="R844">
            <v>75</v>
          </cell>
          <cell r="S844">
            <v>101</v>
          </cell>
          <cell r="T844">
            <v>30</v>
          </cell>
          <cell r="U844">
            <v>58</v>
          </cell>
          <cell r="V844">
            <v>175</v>
          </cell>
          <cell r="W844">
            <v>265</v>
          </cell>
          <cell r="X844">
            <v>155</v>
          </cell>
          <cell r="Y844">
            <v>199</v>
          </cell>
          <cell r="Z844">
            <v>20</v>
          </cell>
          <cell r="AA844">
            <v>66</v>
          </cell>
          <cell r="AB844">
            <v>264</v>
          </cell>
          <cell r="AC844">
            <v>176</v>
          </cell>
          <cell r="AD844">
            <v>88</v>
          </cell>
          <cell r="AE844">
            <v>440</v>
          </cell>
          <cell r="AF844">
            <v>354</v>
          </cell>
          <cell r="AG844">
            <v>86</v>
          </cell>
        </row>
        <row r="845">
          <cell r="C845">
            <v>41049477</v>
          </cell>
          <cell r="D845" t="str">
            <v>APMC JALOCHI PETROLEUM</v>
          </cell>
          <cell r="E845" t="str">
            <v>HPCL</v>
          </cell>
          <cell r="F845" t="str">
            <v>2018-19</v>
          </cell>
          <cell r="G845" t="str">
            <v>Pune Tathawade RSA</v>
          </cell>
          <cell r="J845" t="str">
            <v>Jalochi</v>
          </cell>
          <cell r="K845" t="str">
            <v>Pune</v>
          </cell>
          <cell r="L845" t="str">
            <v>C</v>
          </cell>
          <cell r="O845" t="str">
            <v>B</v>
          </cell>
          <cell r="P845">
            <v>86</v>
          </cell>
          <cell r="Q845">
            <v>134</v>
          </cell>
          <cell r="R845">
            <v>86</v>
          </cell>
          <cell r="S845">
            <v>134</v>
          </cell>
          <cell r="T845">
            <v>0</v>
          </cell>
          <cell r="U845">
            <v>0</v>
          </cell>
          <cell r="V845">
            <v>160</v>
          </cell>
          <cell r="W845">
            <v>258</v>
          </cell>
          <cell r="X845">
            <v>169</v>
          </cell>
          <cell r="Y845">
            <v>271</v>
          </cell>
          <cell r="Z845">
            <v>-9</v>
          </cell>
          <cell r="AA845">
            <v>-13</v>
          </cell>
          <cell r="AB845">
            <v>220</v>
          </cell>
          <cell r="AC845">
            <v>220</v>
          </cell>
          <cell r="AD845">
            <v>0</v>
          </cell>
          <cell r="AE845">
            <v>418</v>
          </cell>
          <cell r="AF845">
            <v>440</v>
          </cell>
          <cell r="AG845">
            <v>-22</v>
          </cell>
        </row>
        <row r="846">
          <cell r="C846">
            <v>41049478</v>
          </cell>
          <cell r="D846" t="str">
            <v>APMC KARAD</v>
          </cell>
          <cell r="E846" t="str">
            <v>HPCL</v>
          </cell>
          <cell r="F846" t="str">
            <v>2018-19</v>
          </cell>
          <cell r="G846" t="str">
            <v>Satara West RSA</v>
          </cell>
          <cell r="J846" t="str">
            <v>Karad City</v>
          </cell>
          <cell r="K846" t="str">
            <v>Satara</v>
          </cell>
          <cell r="L846" t="str">
            <v>C</v>
          </cell>
          <cell r="O846" t="str">
            <v>A</v>
          </cell>
          <cell r="P846">
            <v>33.5</v>
          </cell>
          <cell r="Q846">
            <v>90.5</v>
          </cell>
          <cell r="R846">
            <v>32</v>
          </cell>
          <cell r="S846">
            <v>62</v>
          </cell>
          <cell r="T846">
            <v>1.5</v>
          </cell>
          <cell r="U846">
            <v>28.5</v>
          </cell>
          <cell r="V846">
            <v>57</v>
          </cell>
          <cell r="W846">
            <v>146</v>
          </cell>
          <cell r="X846">
            <v>52</v>
          </cell>
          <cell r="Y846">
            <v>122</v>
          </cell>
          <cell r="Z846">
            <v>5</v>
          </cell>
          <cell r="AA846">
            <v>24</v>
          </cell>
          <cell r="AB846">
            <v>124</v>
          </cell>
          <cell r="AC846">
            <v>94</v>
          </cell>
          <cell r="AD846">
            <v>30</v>
          </cell>
          <cell r="AE846">
            <v>203</v>
          </cell>
          <cell r="AF846">
            <v>174</v>
          </cell>
          <cell r="AG846">
            <v>29</v>
          </cell>
        </row>
        <row r="847">
          <cell r="C847">
            <v>41049480</v>
          </cell>
          <cell r="D847" t="str">
            <v>Deokar Petroleum</v>
          </cell>
          <cell r="E847" t="str">
            <v>HPCL</v>
          </cell>
          <cell r="F847" t="str">
            <v>2019-20</v>
          </cell>
          <cell r="G847" t="str">
            <v>Pune Hadapsar RSA</v>
          </cell>
          <cell r="J847" t="str">
            <v>Sortapwadi RHS</v>
          </cell>
          <cell r="K847" t="str">
            <v>Pune</v>
          </cell>
          <cell r="L847" t="str">
            <v>D1</v>
          </cell>
          <cell r="M847" t="str">
            <v>NH-65</v>
          </cell>
          <cell r="O847" t="str">
            <v>A</v>
          </cell>
          <cell r="P847">
            <v>134</v>
          </cell>
          <cell r="Q847">
            <v>311</v>
          </cell>
          <cell r="R847">
            <v>106</v>
          </cell>
          <cell r="S847">
            <v>227</v>
          </cell>
          <cell r="T847">
            <v>28</v>
          </cell>
          <cell r="U847">
            <v>84</v>
          </cell>
          <cell r="V847">
            <v>242</v>
          </cell>
          <cell r="W847">
            <v>617</v>
          </cell>
          <cell r="X847">
            <v>211</v>
          </cell>
          <cell r="Y847">
            <v>481</v>
          </cell>
          <cell r="Z847">
            <v>31</v>
          </cell>
          <cell r="AA847">
            <v>136</v>
          </cell>
          <cell r="AB847">
            <v>445</v>
          </cell>
          <cell r="AC847">
            <v>333</v>
          </cell>
          <cell r="AD847">
            <v>112</v>
          </cell>
          <cell r="AE847">
            <v>859</v>
          </cell>
          <cell r="AF847">
            <v>692</v>
          </cell>
          <cell r="AG847">
            <v>167</v>
          </cell>
        </row>
        <row r="848">
          <cell r="C848">
            <v>41049520</v>
          </cell>
          <cell r="D848" t="str">
            <v>BARAMATI TALUKA K.V.S. LTD</v>
          </cell>
          <cell r="E848" t="str">
            <v>HPCL</v>
          </cell>
          <cell r="G848" t="str">
            <v>Pune Tathawade RSA</v>
          </cell>
          <cell r="J848" t="str">
            <v>BARAMATI BHIGWAN ROAD</v>
          </cell>
          <cell r="K848" t="str">
            <v>Pune</v>
          </cell>
          <cell r="L848" t="str">
            <v>D2</v>
          </cell>
          <cell r="O848" t="str">
            <v>A</v>
          </cell>
          <cell r="P848">
            <v>250</v>
          </cell>
          <cell r="Q848">
            <v>417</v>
          </cell>
          <cell r="R848">
            <v>220</v>
          </cell>
          <cell r="S848">
            <v>355</v>
          </cell>
          <cell r="T848">
            <v>30</v>
          </cell>
          <cell r="U848">
            <v>62</v>
          </cell>
          <cell r="V848">
            <v>460</v>
          </cell>
          <cell r="W848">
            <v>759</v>
          </cell>
          <cell r="X848">
            <v>445</v>
          </cell>
          <cell r="Y848">
            <v>705</v>
          </cell>
          <cell r="Z848">
            <v>15</v>
          </cell>
          <cell r="AA848">
            <v>54</v>
          </cell>
          <cell r="AB848">
            <v>667</v>
          </cell>
          <cell r="AC848">
            <v>575</v>
          </cell>
          <cell r="AD848">
            <v>92</v>
          </cell>
          <cell r="AE848">
            <v>1219</v>
          </cell>
          <cell r="AF848">
            <v>1150</v>
          </cell>
          <cell r="AG848">
            <v>69</v>
          </cell>
        </row>
        <row r="849">
          <cell r="C849">
            <v>41049557</v>
          </cell>
          <cell r="D849" t="str">
            <v>JOSHI PETROLEUM</v>
          </cell>
          <cell r="E849" t="str">
            <v>HPCL</v>
          </cell>
          <cell r="F849" t="str">
            <v>2015-16</v>
          </cell>
          <cell r="G849" t="str">
            <v>Shirdi RSA</v>
          </cell>
          <cell r="J849" t="str">
            <v>MIDC SANGAMNER</v>
          </cell>
          <cell r="K849" t="str">
            <v>Ahmednagar</v>
          </cell>
          <cell r="L849" t="str">
            <v>D1</v>
          </cell>
          <cell r="M849" t="str">
            <v>NH-60</v>
          </cell>
          <cell r="O849" t="str">
            <v>B</v>
          </cell>
          <cell r="P849">
            <v>12</v>
          </cell>
          <cell r="Q849">
            <v>36</v>
          </cell>
          <cell r="R849">
            <v>19</v>
          </cell>
          <cell r="S849">
            <v>31</v>
          </cell>
          <cell r="T849">
            <v>-7</v>
          </cell>
          <cell r="U849">
            <v>5</v>
          </cell>
          <cell r="V849">
            <v>15</v>
          </cell>
          <cell r="W849">
            <v>45</v>
          </cell>
          <cell r="X849">
            <v>37</v>
          </cell>
          <cell r="Y849">
            <v>61</v>
          </cell>
          <cell r="Z849">
            <v>-22</v>
          </cell>
          <cell r="AA849">
            <v>-16</v>
          </cell>
          <cell r="AB849">
            <v>48</v>
          </cell>
          <cell r="AC849">
            <v>50</v>
          </cell>
          <cell r="AD849">
            <v>-2</v>
          </cell>
          <cell r="AE849">
            <v>60</v>
          </cell>
          <cell r="AF849">
            <v>98</v>
          </cell>
          <cell r="AG849">
            <v>-38</v>
          </cell>
        </row>
        <row r="850">
          <cell r="C850">
            <v>41049558</v>
          </cell>
          <cell r="D850" t="str">
            <v>AYUSH LAMKHADE PETROLEUM</v>
          </cell>
          <cell r="E850" t="str">
            <v>HPCL</v>
          </cell>
          <cell r="F850" t="str">
            <v>2015-16</v>
          </cell>
          <cell r="G850" t="str">
            <v>Ahmednagar East RSA</v>
          </cell>
          <cell r="J850" t="str">
            <v>Nagar-Manmad Bypass</v>
          </cell>
          <cell r="K850" t="str">
            <v>Ahmednagar</v>
          </cell>
          <cell r="L850" t="str">
            <v>D1</v>
          </cell>
          <cell r="M850" t="str">
            <v>NH-160</v>
          </cell>
          <cell r="O850" t="str">
            <v>A</v>
          </cell>
          <cell r="P850">
            <v>35</v>
          </cell>
          <cell r="Q850">
            <v>125</v>
          </cell>
          <cell r="R850">
            <v>40</v>
          </cell>
          <cell r="S850">
            <v>160</v>
          </cell>
          <cell r="T850">
            <v>-5</v>
          </cell>
          <cell r="U850">
            <v>-35</v>
          </cell>
          <cell r="V850">
            <v>60</v>
          </cell>
          <cell r="W850">
            <v>220</v>
          </cell>
          <cell r="X850">
            <v>75</v>
          </cell>
          <cell r="Y850">
            <v>305</v>
          </cell>
          <cell r="Z850">
            <v>-15</v>
          </cell>
          <cell r="AA850">
            <v>-85</v>
          </cell>
          <cell r="AB850">
            <v>160</v>
          </cell>
          <cell r="AC850">
            <v>200</v>
          </cell>
          <cell r="AD850">
            <v>-40</v>
          </cell>
          <cell r="AE850">
            <v>280</v>
          </cell>
          <cell r="AF850">
            <v>380</v>
          </cell>
          <cell r="AG850">
            <v>-100</v>
          </cell>
        </row>
        <row r="851">
          <cell r="C851">
            <v>41049653</v>
          </cell>
          <cell r="D851" t="str">
            <v>SAI PETROLEUM</v>
          </cell>
          <cell r="E851" t="str">
            <v>HPCL</v>
          </cell>
          <cell r="G851" t="str">
            <v>Pune Tathawade RSA</v>
          </cell>
          <cell r="J851" t="str">
            <v>BARAMATI PHALTAN ROAD</v>
          </cell>
          <cell r="K851" t="str">
            <v>Pune</v>
          </cell>
          <cell r="L851" t="str">
            <v>D1</v>
          </cell>
          <cell r="M851" t="str">
            <v>NH-160</v>
          </cell>
          <cell r="O851" t="str">
            <v>B</v>
          </cell>
          <cell r="P851">
            <v>69</v>
          </cell>
          <cell r="Q851">
            <v>99</v>
          </cell>
          <cell r="R851">
            <v>63</v>
          </cell>
          <cell r="S851">
            <v>81</v>
          </cell>
          <cell r="T851">
            <v>6</v>
          </cell>
          <cell r="U851">
            <v>18</v>
          </cell>
          <cell r="V851">
            <v>135</v>
          </cell>
          <cell r="W851">
            <v>177</v>
          </cell>
          <cell r="X851">
            <v>120</v>
          </cell>
          <cell r="Y851">
            <v>156</v>
          </cell>
          <cell r="Z851">
            <v>15</v>
          </cell>
          <cell r="AA851">
            <v>21</v>
          </cell>
          <cell r="AB851">
            <v>168</v>
          </cell>
          <cell r="AC851">
            <v>144</v>
          </cell>
          <cell r="AD851">
            <v>24</v>
          </cell>
          <cell r="AE851">
            <v>312</v>
          </cell>
          <cell r="AF851">
            <v>276</v>
          </cell>
          <cell r="AG851">
            <v>36</v>
          </cell>
        </row>
        <row r="852">
          <cell r="C852">
            <v>41049665</v>
          </cell>
          <cell r="D852" t="str">
            <v>SAI OM PETROLEUM</v>
          </cell>
          <cell r="E852" t="str">
            <v>HPCL</v>
          </cell>
          <cell r="G852" t="str">
            <v>Pune Hadapsar RSA</v>
          </cell>
          <cell r="J852" t="str">
            <v>UrliDevachi</v>
          </cell>
          <cell r="K852" t="str">
            <v>Pune</v>
          </cell>
          <cell r="L852" t="str">
            <v>D1</v>
          </cell>
          <cell r="M852" t="str">
            <v>NH-965</v>
          </cell>
          <cell r="O852" t="str">
            <v>A</v>
          </cell>
          <cell r="P852">
            <v>95</v>
          </cell>
          <cell r="Q852">
            <v>505</v>
          </cell>
          <cell r="R852">
            <v>100</v>
          </cell>
          <cell r="S852">
            <v>620</v>
          </cell>
          <cell r="T852">
            <v>-5</v>
          </cell>
          <cell r="U852">
            <v>-115</v>
          </cell>
          <cell r="V852">
            <v>190</v>
          </cell>
          <cell r="W852">
            <v>1010</v>
          </cell>
          <cell r="X852">
            <v>195</v>
          </cell>
          <cell r="Y852">
            <v>1245</v>
          </cell>
          <cell r="Z852">
            <v>-5</v>
          </cell>
          <cell r="AA852">
            <v>-235</v>
          </cell>
          <cell r="AB852">
            <v>600</v>
          </cell>
          <cell r="AC852">
            <v>720</v>
          </cell>
          <cell r="AD852">
            <v>-120</v>
          </cell>
          <cell r="AE852">
            <v>1200</v>
          </cell>
          <cell r="AF852">
            <v>1440</v>
          </cell>
          <cell r="AG852">
            <v>-240</v>
          </cell>
        </row>
        <row r="853">
          <cell r="C853">
            <v>41049667</v>
          </cell>
          <cell r="D853" t="str">
            <v>SHREE SWAMI SAMARTH ENTERPRISES</v>
          </cell>
          <cell r="E853" t="str">
            <v>HPCL</v>
          </cell>
          <cell r="G853" t="str">
            <v>Pimpri Chinchwad RSA</v>
          </cell>
          <cell r="J853" t="str">
            <v>Bhosari</v>
          </cell>
          <cell r="K853" t="str">
            <v>Pune</v>
          </cell>
          <cell r="L853" t="str">
            <v>A</v>
          </cell>
          <cell r="M853" t="str">
            <v>NH-60</v>
          </cell>
          <cell r="O853" t="str">
            <v>B</v>
          </cell>
          <cell r="P853">
            <v>242</v>
          </cell>
          <cell r="Q853">
            <v>405</v>
          </cell>
          <cell r="R853">
            <v>245</v>
          </cell>
          <cell r="S853">
            <v>280</v>
          </cell>
          <cell r="T853">
            <v>-3</v>
          </cell>
          <cell r="U853">
            <v>125</v>
          </cell>
          <cell r="V853">
            <v>472</v>
          </cell>
          <cell r="W853">
            <v>725</v>
          </cell>
          <cell r="X853">
            <v>500</v>
          </cell>
          <cell r="Y853">
            <v>550</v>
          </cell>
          <cell r="Z853">
            <v>-28</v>
          </cell>
          <cell r="AA853">
            <v>175</v>
          </cell>
          <cell r="AB853">
            <v>647</v>
          </cell>
          <cell r="AC853">
            <v>525</v>
          </cell>
          <cell r="AD853">
            <v>122</v>
          </cell>
          <cell r="AE853">
            <v>1197</v>
          </cell>
          <cell r="AF853">
            <v>1050</v>
          </cell>
          <cell r="AG853">
            <v>147</v>
          </cell>
        </row>
        <row r="854">
          <cell r="C854">
            <v>41049678</v>
          </cell>
          <cell r="D854" t="str">
            <v>Padmavati Petroleum</v>
          </cell>
          <cell r="E854" t="str">
            <v>HPCL</v>
          </cell>
          <cell r="G854" t="str">
            <v>Ahmednagar East RSA</v>
          </cell>
          <cell r="J854" t="str">
            <v>Savedi</v>
          </cell>
          <cell r="K854" t="str">
            <v>Ahmednagar</v>
          </cell>
          <cell r="L854" t="str">
            <v>C</v>
          </cell>
          <cell r="O854" t="str">
            <v>A</v>
          </cell>
          <cell r="P854">
            <v>120</v>
          </cell>
          <cell r="Q854">
            <v>108</v>
          </cell>
          <cell r="R854">
            <v>114</v>
          </cell>
          <cell r="S854">
            <v>114</v>
          </cell>
          <cell r="T854">
            <v>6</v>
          </cell>
          <cell r="U854">
            <v>-6</v>
          </cell>
          <cell r="V854">
            <v>225</v>
          </cell>
          <cell r="W854">
            <v>207</v>
          </cell>
          <cell r="X854">
            <v>216</v>
          </cell>
          <cell r="Y854">
            <v>204</v>
          </cell>
          <cell r="Z854">
            <v>9</v>
          </cell>
          <cell r="AA854">
            <v>3</v>
          </cell>
          <cell r="AB854">
            <v>228</v>
          </cell>
          <cell r="AC854">
            <v>228</v>
          </cell>
          <cell r="AD854">
            <v>0</v>
          </cell>
          <cell r="AE854">
            <v>432</v>
          </cell>
          <cell r="AF854">
            <v>420</v>
          </cell>
          <cell r="AG854">
            <v>12</v>
          </cell>
        </row>
        <row r="855">
          <cell r="C855">
            <v>41049844</v>
          </cell>
          <cell r="D855" t="str">
            <v>AUGASTI PETROLEUM</v>
          </cell>
          <cell r="E855" t="str">
            <v>HPCL</v>
          </cell>
          <cell r="F855" t="str">
            <v>2015-16</v>
          </cell>
          <cell r="G855" t="str">
            <v>Shirdi RSA</v>
          </cell>
          <cell r="J855" t="str">
            <v>VIRGAON</v>
          </cell>
          <cell r="K855" t="str">
            <v>Ahmednagar</v>
          </cell>
          <cell r="L855" t="str">
            <v>D2</v>
          </cell>
          <cell r="O855" t="str">
            <v>B</v>
          </cell>
          <cell r="P855">
            <v>0</v>
          </cell>
          <cell r="Q855">
            <v>0</v>
          </cell>
          <cell r="R855">
            <v>30</v>
          </cell>
          <cell r="S855">
            <v>30</v>
          </cell>
          <cell r="T855">
            <v>-30</v>
          </cell>
          <cell r="U855">
            <v>-30</v>
          </cell>
          <cell r="V855">
            <v>0</v>
          </cell>
          <cell r="W855">
            <v>0</v>
          </cell>
          <cell r="X855">
            <v>48</v>
          </cell>
          <cell r="Y855">
            <v>60</v>
          </cell>
          <cell r="Z855">
            <v>-48</v>
          </cell>
          <cell r="AA855">
            <v>-60</v>
          </cell>
          <cell r="AB855">
            <v>0</v>
          </cell>
          <cell r="AC855">
            <v>60</v>
          </cell>
          <cell r="AD855">
            <v>-60</v>
          </cell>
          <cell r="AE855">
            <v>0</v>
          </cell>
          <cell r="AF855">
            <v>108</v>
          </cell>
          <cell r="AG855">
            <v>-108</v>
          </cell>
        </row>
        <row r="856">
          <cell r="C856">
            <v>41049845</v>
          </cell>
          <cell r="D856" t="str">
            <v>SHRI GURUDATTA</v>
          </cell>
          <cell r="E856" t="str">
            <v>HPCL</v>
          </cell>
          <cell r="F856" t="str">
            <v>2015-16</v>
          </cell>
          <cell r="G856" t="str">
            <v>Shirdi RSA</v>
          </cell>
          <cell r="J856" t="str">
            <v>AURANGPUR</v>
          </cell>
          <cell r="K856" t="str">
            <v>Ahmednagar</v>
          </cell>
          <cell r="L856" t="str">
            <v>D2</v>
          </cell>
          <cell r="O856" t="str">
            <v>B</v>
          </cell>
          <cell r="P856">
            <v>63</v>
          </cell>
          <cell r="Q856">
            <v>165</v>
          </cell>
          <cell r="R856">
            <v>63</v>
          </cell>
          <cell r="S856">
            <v>153</v>
          </cell>
          <cell r="T856">
            <v>0</v>
          </cell>
          <cell r="U856">
            <v>12</v>
          </cell>
          <cell r="V856">
            <v>129</v>
          </cell>
          <cell r="W856">
            <v>339</v>
          </cell>
          <cell r="X856">
            <v>123</v>
          </cell>
          <cell r="Y856">
            <v>309</v>
          </cell>
          <cell r="Z856">
            <v>6</v>
          </cell>
          <cell r="AA856">
            <v>30</v>
          </cell>
          <cell r="AB856">
            <v>228</v>
          </cell>
          <cell r="AC856">
            <v>216</v>
          </cell>
          <cell r="AD856">
            <v>12</v>
          </cell>
          <cell r="AE856">
            <v>468</v>
          </cell>
          <cell r="AF856">
            <v>432</v>
          </cell>
          <cell r="AG856">
            <v>36</v>
          </cell>
        </row>
        <row r="857">
          <cell r="C857">
            <v>41049847</v>
          </cell>
          <cell r="D857" t="str">
            <v>Atharva Petroleum</v>
          </cell>
          <cell r="E857" t="str">
            <v>HPCL</v>
          </cell>
          <cell r="F857" t="str">
            <v>2015-16</v>
          </cell>
          <cell r="G857" t="str">
            <v>Ahmednagar East RSA</v>
          </cell>
          <cell r="J857" t="str">
            <v>Shevgaon</v>
          </cell>
          <cell r="K857" t="str">
            <v>Ahmednagar</v>
          </cell>
          <cell r="L857" t="str">
            <v>D2</v>
          </cell>
          <cell r="O857" t="str">
            <v>A</v>
          </cell>
          <cell r="P857">
            <v>36</v>
          </cell>
          <cell r="Q857">
            <v>104</v>
          </cell>
          <cell r="R857">
            <v>33</v>
          </cell>
          <cell r="S857">
            <v>75</v>
          </cell>
          <cell r="T857">
            <v>3</v>
          </cell>
          <cell r="U857">
            <v>29</v>
          </cell>
          <cell r="V857">
            <v>58</v>
          </cell>
          <cell r="W857">
            <v>142</v>
          </cell>
          <cell r="X857">
            <v>58</v>
          </cell>
          <cell r="Y857">
            <v>118</v>
          </cell>
          <cell r="Z857">
            <v>0</v>
          </cell>
          <cell r="AA857">
            <v>24</v>
          </cell>
          <cell r="AB857">
            <v>140</v>
          </cell>
          <cell r="AC857">
            <v>108</v>
          </cell>
          <cell r="AD857">
            <v>32</v>
          </cell>
          <cell r="AE857">
            <v>200</v>
          </cell>
          <cell r="AF857">
            <v>176</v>
          </cell>
          <cell r="AG857">
            <v>24</v>
          </cell>
        </row>
        <row r="858">
          <cell r="C858">
            <v>41049848</v>
          </cell>
          <cell r="D858" t="str">
            <v>Shri Datta Petroleum</v>
          </cell>
          <cell r="E858" t="str">
            <v>HPCL</v>
          </cell>
          <cell r="F858" t="str">
            <v>2015-16</v>
          </cell>
          <cell r="G858" t="str">
            <v>Ahmednagar East RSA</v>
          </cell>
          <cell r="J858" t="str">
            <v>Miri</v>
          </cell>
          <cell r="K858" t="str">
            <v>Ahmednagar</v>
          </cell>
          <cell r="L858" t="str">
            <v>D2</v>
          </cell>
          <cell r="O858" t="str">
            <v>B</v>
          </cell>
          <cell r="P858">
            <v>24</v>
          </cell>
          <cell r="Q858">
            <v>36</v>
          </cell>
          <cell r="R858">
            <v>33</v>
          </cell>
          <cell r="S858">
            <v>55</v>
          </cell>
          <cell r="T858">
            <v>-9</v>
          </cell>
          <cell r="U858">
            <v>-19</v>
          </cell>
          <cell r="V858">
            <v>57</v>
          </cell>
          <cell r="W858">
            <v>75</v>
          </cell>
          <cell r="X858">
            <v>62</v>
          </cell>
          <cell r="Y858">
            <v>94</v>
          </cell>
          <cell r="Z858">
            <v>-5</v>
          </cell>
          <cell r="AA858">
            <v>-19</v>
          </cell>
          <cell r="AB858">
            <v>60</v>
          </cell>
          <cell r="AC858">
            <v>88</v>
          </cell>
          <cell r="AD858">
            <v>-28</v>
          </cell>
          <cell r="AE858">
            <v>132</v>
          </cell>
          <cell r="AF858">
            <v>156</v>
          </cell>
          <cell r="AG858">
            <v>-24</v>
          </cell>
        </row>
        <row r="859">
          <cell r="C859">
            <v>41049949</v>
          </cell>
          <cell r="D859" t="str">
            <v>LAXMI BALAJI PETROLEUM</v>
          </cell>
          <cell r="E859" t="str">
            <v>HPCL</v>
          </cell>
          <cell r="F859" t="str">
            <v>2014-15</v>
          </cell>
          <cell r="G859" t="str">
            <v>Shirdi RSA</v>
          </cell>
          <cell r="J859" t="str">
            <v>VADGAONPAN</v>
          </cell>
          <cell r="K859" t="str">
            <v>Ahmednagar</v>
          </cell>
          <cell r="L859" t="str">
            <v>D2</v>
          </cell>
          <cell r="O859" t="str">
            <v>B</v>
          </cell>
          <cell r="P859">
            <v>24</v>
          </cell>
          <cell r="Q859">
            <v>36</v>
          </cell>
          <cell r="R859">
            <v>30</v>
          </cell>
          <cell r="S859">
            <v>42</v>
          </cell>
          <cell r="T859">
            <v>-6</v>
          </cell>
          <cell r="U859">
            <v>-6</v>
          </cell>
          <cell r="V859">
            <v>57</v>
          </cell>
          <cell r="W859">
            <v>77</v>
          </cell>
          <cell r="X859">
            <v>57</v>
          </cell>
          <cell r="Y859">
            <v>75</v>
          </cell>
          <cell r="Z859">
            <v>0</v>
          </cell>
          <cell r="AA859">
            <v>2</v>
          </cell>
          <cell r="AB859">
            <v>60</v>
          </cell>
          <cell r="AC859">
            <v>72</v>
          </cell>
          <cell r="AD859">
            <v>-12</v>
          </cell>
          <cell r="AE859">
            <v>134</v>
          </cell>
          <cell r="AF859">
            <v>132</v>
          </cell>
          <cell r="AG859">
            <v>2</v>
          </cell>
        </row>
        <row r="860">
          <cell r="C860">
            <v>41050100</v>
          </cell>
          <cell r="D860" t="str">
            <v>BADHE SERVICE STATION</v>
          </cell>
          <cell r="E860" t="str">
            <v>HPCL</v>
          </cell>
          <cell r="G860" t="str">
            <v>Pune Wagholi RSA</v>
          </cell>
          <cell r="J860" t="str">
            <v>Narayangaon to Alephata LHS</v>
          </cell>
          <cell r="K860" t="str">
            <v>Pune</v>
          </cell>
          <cell r="L860" t="str">
            <v>D1</v>
          </cell>
          <cell r="M860" t="str">
            <v>NH-60</v>
          </cell>
          <cell r="O860" t="str">
            <v>A</v>
          </cell>
          <cell r="P860">
            <v>20</v>
          </cell>
          <cell r="Q860">
            <v>46</v>
          </cell>
          <cell r="R860">
            <v>25</v>
          </cell>
          <cell r="S860">
            <v>73</v>
          </cell>
          <cell r="T860">
            <v>-5</v>
          </cell>
          <cell r="U860">
            <v>-27</v>
          </cell>
          <cell r="V860">
            <v>41</v>
          </cell>
          <cell r="W860">
            <v>125</v>
          </cell>
          <cell r="X860">
            <v>42</v>
          </cell>
          <cell r="Y860">
            <v>148</v>
          </cell>
          <cell r="Z860">
            <v>-1</v>
          </cell>
          <cell r="AA860">
            <v>-23</v>
          </cell>
          <cell r="AB860">
            <v>66</v>
          </cell>
          <cell r="AC860">
            <v>98</v>
          </cell>
          <cell r="AD860">
            <v>-32</v>
          </cell>
          <cell r="AE860">
            <v>166</v>
          </cell>
          <cell r="AF860">
            <v>190</v>
          </cell>
          <cell r="AG860">
            <v>-24</v>
          </cell>
        </row>
        <row r="861">
          <cell r="C861">
            <v>41050290</v>
          </cell>
          <cell r="D861" t="str">
            <v>HP FUEL CENTRE TAJE</v>
          </cell>
          <cell r="E861" t="str">
            <v>HPCL</v>
          </cell>
          <cell r="G861" t="str">
            <v>Pune Tathawade RSA</v>
          </cell>
          <cell r="J861" t="str">
            <v>YCEW RAVET TO LONAVALA</v>
          </cell>
          <cell r="K861" t="str">
            <v>Pune</v>
          </cell>
          <cell r="L861" t="str">
            <v>D1</v>
          </cell>
          <cell r="M861" t="str">
            <v>NH-48</v>
          </cell>
          <cell r="O861" t="str">
            <v>A</v>
          </cell>
          <cell r="P861">
            <v>373.91069999999985</v>
          </cell>
          <cell r="Q861">
            <v>1214.5519900000002</v>
          </cell>
          <cell r="R861">
            <v>336.58079999999995</v>
          </cell>
          <cell r="S861">
            <v>1047.97893</v>
          </cell>
          <cell r="T861">
            <v>37.329899999999895</v>
          </cell>
          <cell r="U861">
            <v>166.57306000000017</v>
          </cell>
          <cell r="V861">
            <v>645.25137999999993</v>
          </cell>
          <cell r="W861">
            <v>2236.2761600000003</v>
          </cell>
          <cell r="X861">
            <v>627.59516999999983</v>
          </cell>
          <cell r="Y861">
            <v>2012.6053800000002</v>
          </cell>
          <cell r="Z861">
            <v>17.656210000000101</v>
          </cell>
          <cell r="AA861">
            <v>223.67078000000015</v>
          </cell>
          <cell r="AB861">
            <v>1588.4626900000001</v>
          </cell>
          <cell r="AC861">
            <v>1384.5597299999999</v>
          </cell>
          <cell r="AD861">
            <v>203.90296000000012</v>
          </cell>
          <cell r="AE861">
            <v>2881.52754</v>
          </cell>
          <cell r="AF861">
            <v>2640.20055</v>
          </cell>
          <cell r="AG861">
            <v>241.32699000000002</v>
          </cell>
        </row>
        <row r="862">
          <cell r="C862">
            <v>41050296</v>
          </cell>
          <cell r="D862" t="str">
            <v>GAIKWAD SERVICE STATION</v>
          </cell>
          <cell r="E862" t="str">
            <v>HPCL</v>
          </cell>
          <cell r="G862" t="str">
            <v>Pune City RSA</v>
          </cell>
          <cell r="J862" t="str">
            <v>BANER</v>
          </cell>
          <cell r="K862" t="str">
            <v>Pune</v>
          </cell>
          <cell r="L862" t="str">
            <v>A</v>
          </cell>
          <cell r="O862" t="str">
            <v>A</v>
          </cell>
          <cell r="P862">
            <v>355</v>
          </cell>
          <cell r="Q862">
            <v>85</v>
          </cell>
          <cell r="R862">
            <v>336</v>
          </cell>
          <cell r="S862">
            <v>102</v>
          </cell>
          <cell r="T862">
            <v>19</v>
          </cell>
          <cell r="U862">
            <v>-17</v>
          </cell>
          <cell r="V862">
            <v>658</v>
          </cell>
          <cell r="W862">
            <v>176</v>
          </cell>
          <cell r="X862">
            <v>726</v>
          </cell>
          <cell r="Y862">
            <v>220</v>
          </cell>
          <cell r="Z862">
            <v>-68</v>
          </cell>
          <cell r="AA862">
            <v>-44</v>
          </cell>
          <cell r="AB862">
            <v>440</v>
          </cell>
          <cell r="AC862">
            <v>438</v>
          </cell>
          <cell r="AD862">
            <v>2</v>
          </cell>
          <cell r="AE862">
            <v>834</v>
          </cell>
          <cell r="AF862">
            <v>946</v>
          </cell>
          <cell r="AG862">
            <v>-112</v>
          </cell>
        </row>
        <row r="863">
          <cell r="C863">
            <v>41050297</v>
          </cell>
          <cell r="D863" t="str">
            <v>OMKAR PETROLEUM</v>
          </cell>
          <cell r="E863" t="str">
            <v>HPCL</v>
          </cell>
          <cell r="G863" t="str">
            <v>Pune Wagholi RSA</v>
          </cell>
          <cell r="J863" t="str">
            <v>Koregaon Bhima to Shikrapur LHS</v>
          </cell>
          <cell r="K863" t="str">
            <v>Pune</v>
          </cell>
          <cell r="L863" t="str">
            <v>D1</v>
          </cell>
          <cell r="M863" t="str">
            <v>NH-753F</v>
          </cell>
          <cell r="O863" t="str">
            <v>A</v>
          </cell>
          <cell r="P863">
            <v>49</v>
          </cell>
          <cell r="Q863">
            <v>199</v>
          </cell>
          <cell r="R863">
            <v>38</v>
          </cell>
          <cell r="S863">
            <v>168</v>
          </cell>
          <cell r="T863">
            <v>11</v>
          </cell>
          <cell r="U863">
            <v>31</v>
          </cell>
          <cell r="V863">
            <v>81</v>
          </cell>
          <cell r="W863">
            <v>355</v>
          </cell>
          <cell r="X863">
            <v>68</v>
          </cell>
          <cell r="Y863">
            <v>338</v>
          </cell>
          <cell r="Z863">
            <v>13</v>
          </cell>
          <cell r="AA863">
            <v>17</v>
          </cell>
          <cell r="AB863">
            <v>248</v>
          </cell>
          <cell r="AC863">
            <v>206</v>
          </cell>
          <cell r="AD863">
            <v>42</v>
          </cell>
          <cell r="AE863">
            <v>436</v>
          </cell>
          <cell r="AF863">
            <v>406</v>
          </cell>
          <cell r="AG863">
            <v>30</v>
          </cell>
        </row>
        <row r="864">
          <cell r="C864">
            <v>41050299</v>
          </cell>
          <cell r="D864" t="str">
            <v>SHRI SADGURU TRANSPORT PETROLEUM</v>
          </cell>
          <cell r="E864" t="str">
            <v>HPCL</v>
          </cell>
          <cell r="G864" t="str">
            <v>Pimpri Chinchwad RSA</v>
          </cell>
          <cell r="J864" t="str">
            <v>Chakan MIDC</v>
          </cell>
          <cell r="K864" t="str">
            <v>Pune</v>
          </cell>
          <cell r="L864" t="str">
            <v>C</v>
          </cell>
          <cell r="O864" t="str">
            <v>B</v>
          </cell>
          <cell r="P864">
            <v>90</v>
          </cell>
          <cell r="Q864">
            <v>559</v>
          </cell>
          <cell r="R864">
            <v>90</v>
          </cell>
          <cell r="S864">
            <v>582</v>
          </cell>
          <cell r="T864">
            <v>0</v>
          </cell>
          <cell r="U864">
            <v>-23</v>
          </cell>
          <cell r="V864">
            <v>180</v>
          </cell>
          <cell r="W864">
            <v>1129</v>
          </cell>
          <cell r="X864">
            <v>180</v>
          </cell>
          <cell r="Y864">
            <v>1065</v>
          </cell>
          <cell r="Z864">
            <v>0</v>
          </cell>
          <cell r="AA864">
            <v>64</v>
          </cell>
          <cell r="AB864">
            <v>649</v>
          </cell>
          <cell r="AC864">
            <v>672</v>
          </cell>
          <cell r="AD864">
            <v>-23</v>
          </cell>
          <cell r="AE864">
            <v>1309</v>
          </cell>
          <cell r="AF864">
            <v>1245</v>
          </cell>
          <cell r="AG864">
            <v>64</v>
          </cell>
        </row>
        <row r="865">
          <cell r="C865">
            <v>41050303</v>
          </cell>
          <cell r="D865" t="str">
            <v>SHIVAJI SERVICE STATION</v>
          </cell>
          <cell r="E865" t="str">
            <v>HPCL</v>
          </cell>
          <cell r="G865" t="str">
            <v>Pune Hadapsar RSA</v>
          </cell>
          <cell r="J865" t="str">
            <v>Hadapsar RHS</v>
          </cell>
          <cell r="K865" t="str">
            <v>Pune</v>
          </cell>
          <cell r="L865" t="str">
            <v>A</v>
          </cell>
          <cell r="O865" t="str">
            <v>A</v>
          </cell>
          <cell r="P865">
            <v>200</v>
          </cell>
          <cell r="Q865">
            <v>400</v>
          </cell>
          <cell r="R865">
            <v>125</v>
          </cell>
          <cell r="S865">
            <v>235</v>
          </cell>
          <cell r="T865">
            <v>75</v>
          </cell>
          <cell r="U865">
            <v>165</v>
          </cell>
          <cell r="V865">
            <v>360</v>
          </cell>
          <cell r="W865">
            <v>720</v>
          </cell>
          <cell r="X865">
            <v>265</v>
          </cell>
          <cell r="Y865">
            <v>495</v>
          </cell>
          <cell r="Z865">
            <v>95</v>
          </cell>
          <cell r="AA865">
            <v>225</v>
          </cell>
          <cell r="AB865">
            <v>600</v>
          </cell>
          <cell r="AC865">
            <v>360</v>
          </cell>
          <cell r="AD865">
            <v>240</v>
          </cell>
          <cell r="AE865">
            <v>1080</v>
          </cell>
          <cell r="AF865">
            <v>760</v>
          </cell>
          <cell r="AG865">
            <v>320</v>
          </cell>
        </row>
        <row r="866">
          <cell r="C866">
            <v>41050346</v>
          </cell>
          <cell r="D866" t="str">
            <v>POOJA PETROLEUM</v>
          </cell>
          <cell r="E866" t="str">
            <v>HPCL</v>
          </cell>
          <cell r="G866" t="str">
            <v>Satara West RSA</v>
          </cell>
          <cell r="J866" t="str">
            <v>Satara to Bhuinj</v>
          </cell>
          <cell r="K866" t="str">
            <v>Satara</v>
          </cell>
          <cell r="L866" t="str">
            <v>D1</v>
          </cell>
          <cell r="M866" t="str">
            <v>NH-48</v>
          </cell>
          <cell r="O866" t="str">
            <v>B</v>
          </cell>
          <cell r="P866">
            <v>154</v>
          </cell>
          <cell r="Q866">
            <v>566</v>
          </cell>
          <cell r="R866">
            <v>150</v>
          </cell>
          <cell r="S866">
            <v>402</v>
          </cell>
          <cell r="T866">
            <v>4</v>
          </cell>
          <cell r="U866">
            <v>164</v>
          </cell>
          <cell r="V866">
            <v>273</v>
          </cell>
          <cell r="W866">
            <v>1071</v>
          </cell>
          <cell r="X866">
            <v>279</v>
          </cell>
          <cell r="Y866">
            <v>801</v>
          </cell>
          <cell r="Z866">
            <v>-6</v>
          </cell>
          <cell r="AA866">
            <v>270</v>
          </cell>
          <cell r="AB866">
            <v>720</v>
          </cell>
          <cell r="AC866">
            <v>552</v>
          </cell>
          <cell r="AD866">
            <v>168</v>
          </cell>
          <cell r="AE866">
            <v>1344</v>
          </cell>
          <cell r="AF866">
            <v>1080</v>
          </cell>
          <cell r="AG866">
            <v>264</v>
          </cell>
        </row>
        <row r="867">
          <cell r="C867">
            <v>41050354</v>
          </cell>
          <cell r="D867" t="str">
            <v>SHRI BALAJI PETROLEUM</v>
          </cell>
          <cell r="E867" t="str">
            <v>HPCL</v>
          </cell>
          <cell r="G867" t="str">
            <v>Pune Saswad RSA</v>
          </cell>
          <cell r="J867" t="str">
            <v>Kapurhol-Ketkawale Road</v>
          </cell>
          <cell r="K867" t="str">
            <v>Pune</v>
          </cell>
          <cell r="L867" t="str">
            <v>D2</v>
          </cell>
          <cell r="O867" t="str">
            <v>A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</row>
        <row r="868">
          <cell r="C868">
            <v>41050358</v>
          </cell>
          <cell r="D868" t="str">
            <v>ADHOC L KUDALE NEW GOLDEN SERVICE STATION (11459440)</v>
          </cell>
          <cell r="E868" t="str">
            <v>HPCL</v>
          </cell>
          <cell r="G868" t="str">
            <v>Pune Tathawade RSA</v>
          </cell>
          <cell r="J868" t="str">
            <v>KHEDSHIVAPUR TO HARISHCHANDRI</v>
          </cell>
          <cell r="K868" t="str">
            <v>Pune</v>
          </cell>
          <cell r="L868" t="str">
            <v>D1</v>
          </cell>
          <cell r="M868" t="str">
            <v>NH-48</v>
          </cell>
          <cell r="O868" t="str">
            <v>A</v>
          </cell>
          <cell r="P868">
            <v>46</v>
          </cell>
          <cell r="Q868">
            <v>234</v>
          </cell>
          <cell r="R868">
            <v>35</v>
          </cell>
          <cell r="S868">
            <v>119</v>
          </cell>
          <cell r="T868">
            <v>11</v>
          </cell>
          <cell r="U868">
            <v>115</v>
          </cell>
          <cell r="V868">
            <v>75</v>
          </cell>
          <cell r="W868">
            <v>405</v>
          </cell>
          <cell r="X868">
            <v>63</v>
          </cell>
          <cell r="Y868">
            <v>241</v>
          </cell>
          <cell r="Z868">
            <v>12</v>
          </cell>
          <cell r="AA868">
            <v>164</v>
          </cell>
          <cell r="AB868">
            <v>280</v>
          </cell>
          <cell r="AC868">
            <v>154</v>
          </cell>
          <cell r="AD868">
            <v>126</v>
          </cell>
          <cell r="AE868">
            <v>480</v>
          </cell>
          <cell r="AF868">
            <v>304</v>
          </cell>
          <cell r="AG868">
            <v>176</v>
          </cell>
        </row>
        <row r="869">
          <cell r="C869">
            <v>41050359</v>
          </cell>
          <cell r="D869" t="str">
            <v>SUDESH TRANSPORT SERVICE STATION</v>
          </cell>
          <cell r="E869" t="str">
            <v>HPCL</v>
          </cell>
          <cell r="G869" t="str">
            <v>Pune Wagholi RSA</v>
          </cell>
          <cell r="J869" t="str">
            <v>Manchar</v>
          </cell>
          <cell r="K869" t="str">
            <v>Pune</v>
          </cell>
          <cell r="L869" t="str">
            <v>C</v>
          </cell>
          <cell r="O869" t="str">
            <v>A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</row>
        <row r="870">
          <cell r="C870">
            <v>41050367</v>
          </cell>
          <cell r="D870" t="str">
            <v>DEEP PETROLEUM</v>
          </cell>
          <cell r="E870" t="str">
            <v>HPCL</v>
          </cell>
          <cell r="G870" t="str">
            <v>Pune Wagholi RSA</v>
          </cell>
          <cell r="J870" t="str">
            <v>Pabal to rajgurunagar</v>
          </cell>
          <cell r="K870" t="str">
            <v>Pune</v>
          </cell>
          <cell r="L870" t="str">
            <v>D2</v>
          </cell>
          <cell r="O870" t="str">
            <v>A</v>
          </cell>
          <cell r="P870">
            <v>75</v>
          </cell>
          <cell r="Q870">
            <v>373</v>
          </cell>
          <cell r="R870">
            <v>84</v>
          </cell>
          <cell r="S870">
            <v>266</v>
          </cell>
          <cell r="T870">
            <v>-9</v>
          </cell>
          <cell r="U870">
            <v>107</v>
          </cell>
          <cell r="V870">
            <v>133</v>
          </cell>
          <cell r="W870">
            <v>721</v>
          </cell>
          <cell r="X870">
            <v>164</v>
          </cell>
          <cell r="Y870">
            <v>536</v>
          </cell>
          <cell r="Z870">
            <v>-31</v>
          </cell>
          <cell r="AA870">
            <v>185</v>
          </cell>
          <cell r="AB870">
            <v>448</v>
          </cell>
          <cell r="AC870">
            <v>350</v>
          </cell>
          <cell r="AD870">
            <v>98</v>
          </cell>
          <cell r="AE870">
            <v>854</v>
          </cell>
          <cell r="AF870">
            <v>700</v>
          </cell>
          <cell r="AG870">
            <v>154</v>
          </cell>
        </row>
        <row r="871">
          <cell r="C871">
            <v>41050373</v>
          </cell>
          <cell r="D871" t="str">
            <v>RAJESH PETROLEUM</v>
          </cell>
          <cell r="E871" t="str">
            <v>HPCL</v>
          </cell>
          <cell r="G871" t="str">
            <v>Pune Wagholi RSA</v>
          </cell>
          <cell r="J871" t="str">
            <v>Shikrapur to Ranjangaon RHS</v>
          </cell>
          <cell r="K871" t="str">
            <v>Pune</v>
          </cell>
          <cell r="L871" t="str">
            <v>D1</v>
          </cell>
          <cell r="M871" t="str">
            <v>NH-753F</v>
          </cell>
          <cell r="O871" t="str">
            <v>A</v>
          </cell>
          <cell r="P871">
            <v>109</v>
          </cell>
          <cell r="Q871">
            <v>337</v>
          </cell>
          <cell r="R871">
            <v>83</v>
          </cell>
          <cell r="S871">
            <v>235.005</v>
          </cell>
          <cell r="T871">
            <v>26</v>
          </cell>
          <cell r="U871">
            <v>101.995</v>
          </cell>
          <cell r="V871">
            <v>208</v>
          </cell>
          <cell r="W871">
            <v>640</v>
          </cell>
          <cell r="X871">
            <v>178</v>
          </cell>
          <cell r="Y871">
            <v>464.005</v>
          </cell>
          <cell r="Z871">
            <v>30</v>
          </cell>
          <cell r="AA871">
            <v>175.995</v>
          </cell>
          <cell r="AB871">
            <v>446</v>
          </cell>
          <cell r="AC871">
            <v>318.005</v>
          </cell>
          <cell r="AD871">
            <v>127.995</v>
          </cell>
          <cell r="AE871">
            <v>848</v>
          </cell>
          <cell r="AF871">
            <v>642.005</v>
          </cell>
          <cell r="AG871">
            <v>205.995</v>
          </cell>
        </row>
        <row r="872">
          <cell r="C872">
            <v>41050374</v>
          </cell>
          <cell r="D872" t="str">
            <v>SHRI VIGHNAHAR AUTOMOBILES SERVIC</v>
          </cell>
          <cell r="E872" t="str">
            <v>HPCL</v>
          </cell>
          <cell r="G872" t="str">
            <v>Pune Wagholi RSA</v>
          </cell>
          <cell r="J872" t="str">
            <v>Junnar</v>
          </cell>
          <cell r="K872" t="str">
            <v>Pune</v>
          </cell>
          <cell r="L872" t="str">
            <v>D2</v>
          </cell>
          <cell r="O872" t="str">
            <v>A</v>
          </cell>
          <cell r="P872">
            <v>148</v>
          </cell>
          <cell r="Q872">
            <v>182</v>
          </cell>
          <cell r="R872">
            <v>129</v>
          </cell>
          <cell r="S872">
            <v>129</v>
          </cell>
          <cell r="T872">
            <v>19</v>
          </cell>
          <cell r="U872">
            <v>53</v>
          </cell>
          <cell r="V872">
            <v>260</v>
          </cell>
          <cell r="W872">
            <v>317</v>
          </cell>
          <cell r="X872">
            <v>243</v>
          </cell>
          <cell r="Y872">
            <v>270</v>
          </cell>
          <cell r="Z872">
            <v>17</v>
          </cell>
          <cell r="AA872">
            <v>47</v>
          </cell>
          <cell r="AB872">
            <v>330</v>
          </cell>
          <cell r="AC872">
            <v>258</v>
          </cell>
          <cell r="AD872">
            <v>72</v>
          </cell>
          <cell r="AE872">
            <v>577</v>
          </cell>
          <cell r="AF872">
            <v>513</v>
          </cell>
          <cell r="AG872">
            <v>64</v>
          </cell>
        </row>
        <row r="873">
          <cell r="C873">
            <v>41050375</v>
          </cell>
          <cell r="D873" t="str">
            <v>RADESHYAM PETROLEUM</v>
          </cell>
          <cell r="E873" t="str">
            <v>HPCL</v>
          </cell>
          <cell r="G873" t="str">
            <v>Pune City RSA</v>
          </cell>
          <cell r="J873" t="str">
            <v>PAUD ROAD</v>
          </cell>
          <cell r="K873" t="str">
            <v>Pune</v>
          </cell>
          <cell r="L873" t="str">
            <v>D1</v>
          </cell>
          <cell r="M873" t="str">
            <v>NH-753F</v>
          </cell>
          <cell r="O873" t="str">
            <v>A</v>
          </cell>
          <cell r="P873">
            <v>74</v>
          </cell>
          <cell r="Q873">
            <v>140</v>
          </cell>
          <cell r="R873">
            <v>33</v>
          </cell>
          <cell r="S873">
            <v>91</v>
          </cell>
          <cell r="T873">
            <v>41</v>
          </cell>
          <cell r="U873">
            <v>49</v>
          </cell>
          <cell r="V873">
            <v>136</v>
          </cell>
          <cell r="W873">
            <v>250</v>
          </cell>
          <cell r="X873">
            <v>75</v>
          </cell>
          <cell r="Y873">
            <v>189</v>
          </cell>
          <cell r="Z873">
            <v>61</v>
          </cell>
          <cell r="AA873">
            <v>61</v>
          </cell>
          <cell r="AB873">
            <v>214</v>
          </cell>
          <cell r="AC873">
            <v>124</v>
          </cell>
          <cell r="AD873">
            <v>90</v>
          </cell>
          <cell r="AE873">
            <v>386</v>
          </cell>
          <cell r="AF873">
            <v>264</v>
          </cell>
          <cell r="AG873">
            <v>122</v>
          </cell>
        </row>
        <row r="874">
          <cell r="C874">
            <v>41050376</v>
          </cell>
          <cell r="D874" t="str">
            <v>WAGISHWARI AUTOMOBILES</v>
          </cell>
          <cell r="E874" t="str">
            <v>HPCL</v>
          </cell>
          <cell r="G874" t="str">
            <v>Pune Hadapsar RSA</v>
          </cell>
          <cell r="J874" t="str">
            <v>CHOUFULLA-KHEDGAON</v>
          </cell>
          <cell r="K874" t="str">
            <v>Pune</v>
          </cell>
          <cell r="L874" t="str">
            <v>D2</v>
          </cell>
          <cell r="O874" t="str">
            <v>A</v>
          </cell>
          <cell r="P874">
            <v>63</v>
          </cell>
          <cell r="Q874">
            <v>101</v>
          </cell>
          <cell r="R874">
            <v>62</v>
          </cell>
          <cell r="S874">
            <v>94</v>
          </cell>
          <cell r="T874">
            <v>1</v>
          </cell>
          <cell r="U874">
            <v>7</v>
          </cell>
          <cell r="V874">
            <v>132</v>
          </cell>
          <cell r="W874">
            <v>204</v>
          </cell>
          <cell r="X874">
            <v>121</v>
          </cell>
          <cell r="Y874">
            <v>195</v>
          </cell>
          <cell r="Z874">
            <v>11</v>
          </cell>
          <cell r="AA874">
            <v>9</v>
          </cell>
          <cell r="AB874">
            <v>164</v>
          </cell>
          <cell r="AC874">
            <v>156</v>
          </cell>
          <cell r="AD874">
            <v>8</v>
          </cell>
          <cell r="AE874">
            <v>336</v>
          </cell>
          <cell r="AF874">
            <v>316</v>
          </cell>
          <cell r="AG874">
            <v>20</v>
          </cell>
        </row>
        <row r="875">
          <cell r="C875">
            <v>41050377</v>
          </cell>
          <cell r="D875" t="str">
            <v>BALAJI AUTOMOBILES</v>
          </cell>
          <cell r="E875" t="str">
            <v>HPCL</v>
          </cell>
          <cell r="G875" t="str">
            <v>Satara East RSA</v>
          </cell>
          <cell r="J875" t="str">
            <v>Dahiwadi on NH</v>
          </cell>
          <cell r="K875" t="str">
            <v>Satara</v>
          </cell>
          <cell r="L875" t="str">
            <v>D1</v>
          </cell>
          <cell r="M875" t="str">
            <v>NH-160</v>
          </cell>
          <cell r="O875" t="str">
            <v>B</v>
          </cell>
          <cell r="P875">
            <v>50</v>
          </cell>
          <cell r="Q875">
            <v>190</v>
          </cell>
          <cell r="R875">
            <v>55</v>
          </cell>
          <cell r="S875">
            <v>105</v>
          </cell>
          <cell r="T875">
            <v>-5</v>
          </cell>
          <cell r="U875">
            <v>85</v>
          </cell>
          <cell r="V875">
            <v>80</v>
          </cell>
          <cell r="W875">
            <v>380</v>
          </cell>
          <cell r="X875">
            <v>90</v>
          </cell>
          <cell r="Y875">
            <v>230</v>
          </cell>
          <cell r="Z875">
            <v>-10</v>
          </cell>
          <cell r="AA875">
            <v>150</v>
          </cell>
          <cell r="AB875">
            <v>240</v>
          </cell>
          <cell r="AC875">
            <v>160</v>
          </cell>
          <cell r="AD875">
            <v>80</v>
          </cell>
          <cell r="AE875">
            <v>460</v>
          </cell>
          <cell r="AF875">
            <v>320</v>
          </cell>
          <cell r="AG875">
            <v>140</v>
          </cell>
        </row>
        <row r="876">
          <cell r="C876">
            <v>41050380</v>
          </cell>
          <cell r="D876" t="str">
            <v>BALWADKAR AUTO SERVICE</v>
          </cell>
          <cell r="E876" t="str">
            <v>HPCL</v>
          </cell>
          <cell r="G876" t="str">
            <v>Pune Tathawade RSA</v>
          </cell>
          <cell r="J876" t="str">
            <v>DEHU ROAD TO BALEWADI</v>
          </cell>
          <cell r="K876" t="str">
            <v>Pune</v>
          </cell>
          <cell r="L876" t="str">
            <v>A</v>
          </cell>
          <cell r="M876" t="str">
            <v>NH-48</v>
          </cell>
          <cell r="O876" t="str">
            <v>A</v>
          </cell>
          <cell r="P876">
            <v>400</v>
          </cell>
          <cell r="Q876">
            <v>275</v>
          </cell>
          <cell r="R876">
            <v>349</v>
          </cell>
          <cell r="S876">
            <v>207</v>
          </cell>
          <cell r="T876">
            <v>51</v>
          </cell>
          <cell r="U876">
            <v>68</v>
          </cell>
          <cell r="V876">
            <v>740</v>
          </cell>
          <cell r="W876">
            <v>485</v>
          </cell>
          <cell r="X876">
            <v>719</v>
          </cell>
          <cell r="Y876">
            <v>412</v>
          </cell>
          <cell r="Z876">
            <v>21</v>
          </cell>
          <cell r="AA876">
            <v>73</v>
          </cell>
          <cell r="AB876">
            <v>675</v>
          </cell>
          <cell r="AC876">
            <v>556</v>
          </cell>
          <cell r="AD876">
            <v>119</v>
          </cell>
          <cell r="AE876">
            <v>1225</v>
          </cell>
          <cell r="AF876">
            <v>1131</v>
          </cell>
          <cell r="AG876">
            <v>94</v>
          </cell>
        </row>
        <row r="877">
          <cell r="C877">
            <v>41050381</v>
          </cell>
          <cell r="D877" t="str">
            <v>DEO KRIPA SERVICE STATION</v>
          </cell>
          <cell r="E877" t="str">
            <v>HPCL</v>
          </cell>
          <cell r="G877" t="str">
            <v>Pimpri Chinchwad RSA</v>
          </cell>
          <cell r="J877" t="str">
            <v>Alandi</v>
          </cell>
          <cell r="K877" t="str">
            <v>Pune</v>
          </cell>
          <cell r="L877" t="str">
            <v>A</v>
          </cell>
          <cell r="O877" t="str">
            <v>B</v>
          </cell>
          <cell r="P877">
            <v>155</v>
          </cell>
          <cell r="Q877">
            <v>365</v>
          </cell>
          <cell r="R877">
            <v>140</v>
          </cell>
          <cell r="S877">
            <v>400</v>
          </cell>
          <cell r="T877">
            <v>15</v>
          </cell>
          <cell r="U877">
            <v>-35</v>
          </cell>
          <cell r="V877">
            <v>285</v>
          </cell>
          <cell r="W877">
            <v>715</v>
          </cell>
          <cell r="X877">
            <v>280</v>
          </cell>
          <cell r="Y877">
            <v>820</v>
          </cell>
          <cell r="Z877">
            <v>5</v>
          </cell>
          <cell r="AA877">
            <v>-105</v>
          </cell>
          <cell r="AB877">
            <v>520</v>
          </cell>
          <cell r="AC877">
            <v>540</v>
          </cell>
          <cell r="AD877">
            <v>-20</v>
          </cell>
          <cell r="AE877">
            <v>1000</v>
          </cell>
          <cell r="AF877">
            <v>1100</v>
          </cell>
          <cell r="AG877">
            <v>-100</v>
          </cell>
        </row>
        <row r="878">
          <cell r="C878">
            <v>41050383</v>
          </cell>
          <cell r="D878" t="str">
            <v>PRITHVIRAJ PETROLEUM</v>
          </cell>
          <cell r="E878" t="str">
            <v>HPCL</v>
          </cell>
          <cell r="G878" t="str">
            <v>Pune Tathawade RSA</v>
          </cell>
          <cell r="J878" t="str">
            <v>BHOR Town</v>
          </cell>
          <cell r="K878" t="str">
            <v>Pune</v>
          </cell>
          <cell r="L878" t="str">
            <v>C</v>
          </cell>
          <cell r="O878" t="str">
            <v>A</v>
          </cell>
          <cell r="P878">
            <v>91</v>
          </cell>
          <cell r="Q878">
            <v>113</v>
          </cell>
          <cell r="R878">
            <v>95</v>
          </cell>
          <cell r="S878">
            <v>101</v>
          </cell>
          <cell r="T878">
            <v>-4</v>
          </cell>
          <cell r="U878">
            <v>12</v>
          </cell>
          <cell r="V878">
            <v>169</v>
          </cell>
          <cell r="W878">
            <v>207</v>
          </cell>
          <cell r="X878">
            <v>187</v>
          </cell>
          <cell r="Y878">
            <v>227</v>
          </cell>
          <cell r="Z878">
            <v>-18</v>
          </cell>
          <cell r="AA878">
            <v>-20</v>
          </cell>
          <cell r="AB878">
            <v>204</v>
          </cell>
          <cell r="AC878">
            <v>196</v>
          </cell>
          <cell r="AD878">
            <v>8</v>
          </cell>
          <cell r="AE878">
            <v>376</v>
          </cell>
          <cell r="AF878">
            <v>414</v>
          </cell>
          <cell r="AG878">
            <v>-38</v>
          </cell>
        </row>
        <row r="879">
          <cell r="C879">
            <v>41050384</v>
          </cell>
          <cell r="D879" t="str">
            <v>MAYURESHWAR SERVICE STATION</v>
          </cell>
          <cell r="E879" t="str">
            <v>HPCL</v>
          </cell>
          <cell r="G879" t="str">
            <v>Pune Tathawade RSA</v>
          </cell>
          <cell r="J879" t="str">
            <v>SUPE BARAMATI</v>
          </cell>
          <cell r="K879" t="str">
            <v>Pune</v>
          </cell>
          <cell r="L879" t="str">
            <v>D1</v>
          </cell>
          <cell r="M879" t="str">
            <v>NH-965D</v>
          </cell>
          <cell r="O879" t="str">
            <v>B</v>
          </cell>
          <cell r="P879">
            <v>27</v>
          </cell>
          <cell r="Q879">
            <v>75</v>
          </cell>
          <cell r="R879">
            <v>25</v>
          </cell>
          <cell r="S879">
            <v>59</v>
          </cell>
          <cell r="T879">
            <v>2</v>
          </cell>
          <cell r="U879">
            <v>16</v>
          </cell>
          <cell r="V879">
            <v>45</v>
          </cell>
          <cell r="W879">
            <v>129</v>
          </cell>
          <cell r="X879">
            <v>46</v>
          </cell>
          <cell r="Y879">
            <v>110</v>
          </cell>
          <cell r="Z879">
            <v>-1</v>
          </cell>
          <cell r="AA879">
            <v>19</v>
          </cell>
          <cell r="AB879">
            <v>102</v>
          </cell>
          <cell r="AC879">
            <v>84</v>
          </cell>
          <cell r="AD879">
            <v>18</v>
          </cell>
          <cell r="AE879">
            <v>174</v>
          </cell>
          <cell r="AF879">
            <v>156</v>
          </cell>
          <cell r="AG879">
            <v>18</v>
          </cell>
        </row>
        <row r="880">
          <cell r="C880">
            <v>41050385</v>
          </cell>
          <cell r="D880" t="str">
            <v>OMSHIV PETROLEUM</v>
          </cell>
          <cell r="E880" t="str">
            <v>HPCL</v>
          </cell>
          <cell r="G880" t="str">
            <v>Pune Hadapsar RSA</v>
          </cell>
          <cell r="J880" t="str">
            <v>Varvand LHS</v>
          </cell>
          <cell r="K880" t="str">
            <v>Pune</v>
          </cell>
          <cell r="L880" t="str">
            <v>D1</v>
          </cell>
          <cell r="M880" t="str">
            <v>NH-65</v>
          </cell>
          <cell r="O880" t="str">
            <v>A</v>
          </cell>
          <cell r="P880">
            <v>27</v>
          </cell>
          <cell r="Q880">
            <v>141</v>
          </cell>
          <cell r="R880">
            <v>26</v>
          </cell>
          <cell r="S880">
            <v>116</v>
          </cell>
          <cell r="T880">
            <v>1</v>
          </cell>
          <cell r="U880">
            <v>25</v>
          </cell>
          <cell r="V880">
            <v>54</v>
          </cell>
          <cell r="W880">
            <v>266</v>
          </cell>
          <cell r="X880">
            <v>52</v>
          </cell>
          <cell r="Y880">
            <v>230</v>
          </cell>
          <cell r="Z880">
            <v>2</v>
          </cell>
          <cell r="AA880">
            <v>36</v>
          </cell>
          <cell r="AB880">
            <v>168</v>
          </cell>
          <cell r="AC880">
            <v>142</v>
          </cell>
          <cell r="AD880">
            <v>26</v>
          </cell>
          <cell r="AE880">
            <v>320</v>
          </cell>
          <cell r="AF880">
            <v>282</v>
          </cell>
          <cell r="AG880">
            <v>38</v>
          </cell>
        </row>
        <row r="881">
          <cell r="C881">
            <v>41050386</v>
          </cell>
          <cell r="D881" t="str">
            <v>SAMARTH SERVICE STATION</v>
          </cell>
          <cell r="E881" t="str">
            <v>HPCL</v>
          </cell>
          <cell r="G881" t="str">
            <v>Pune City RSA</v>
          </cell>
          <cell r="J881" t="str">
            <v>HINJEWADI</v>
          </cell>
          <cell r="K881" t="str">
            <v>Pune</v>
          </cell>
          <cell r="L881" t="str">
            <v>A</v>
          </cell>
          <cell r="O881" t="str">
            <v>B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</row>
        <row r="882">
          <cell r="C882">
            <v>41050390</v>
          </cell>
          <cell r="D882" t="str">
            <v>SAI EXPRESSWAY SERVICE</v>
          </cell>
          <cell r="E882" t="str">
            <v>HPCL</v>
          </cell>
          <cell r="G882" t="str">
            <v>Pune Tathawade RSA</v>
          </cell>
          <cell r="J882" t="str">
            <v>BALEWADI TO DEHU ROAD</v>
          </cell>
          <cell r="K882" t="str">
            <v>Pune</v>
          </cell>
          <cell r="L882" t="str">
            <v>A</v>
          </cell>
          <cell r="M882" t="str">
            <v>NH-48</v>
          </cell>
          <cell r="O882" t="str">
            <v>A</v>
          </cell>
          <cell r="P882">
            <v>370</v>
          </cell>
          <cell r="Q882">
            <v>494</v>
          </cell>
          <cell r="R882">
            <v>405</v>
          </cell>
          <cell r="S882">
            <v>358</v>
          </cell>
          <cell r="T882">
            <v>-35</v>
          </cell>
          <cell r="U882">
            <v>136</v>
          </cell>
          <cell r="V882">
            <v>670</v>
          </cell>
          <cell r="W882">
            <v>932</v>
          </cell>
          <cell r="X882">
            <v>813</v>
          </cell>
          <cell r="Y882">
            <v>778</v>
          </cell>
          <cell r="Z882">
            <v>-143</v>
          </cell>
          <cell r="AA882">
            <v>154</v>
          </cell>
          <cell r="AB882">
            <v>864</v>
          </cell>
          <cell r="AC882">
            <v>763</v>
          </cell>
          <cell r="AD882">
            <v>101</v>
          </cell>
          <cell r="AE882">
            <v>1602</v>
          </cell>
          <cell r="AF882">
            <v>1591</v>
          </cell>
          <cell r="AG882">
            <v>11</v>
          </cell>
        </row>
        <row r="883">
          <cell r="C883">
            <v>41050391</v>
          </cell>
          <cell r="D883" t="str">
            <v>SHRI JAGDAMBA PETROLEUM</v>
          </cell>
          <cell r="E883" t="str">
            <v>HPCL</v>
          </cell>
          <cell r="G883" t="str">
            <v>Satara West RSA</v>
          </cell>
          <cell r="J883" t="str">
            <v>Nandgaon to Ghogaon</v>
          </cell>
          <cell r="K883" t="str">
            <v>Satara</v>
          </cell>
          <cell r="L883" t="str">
            <v>D2</v>
          </cell>
          <cell r="O883" t="str">
            <v>A</v>
          </cell>
          <cell r="P883">
            <v>115.5</v>
          </cell>
          <cell r="Q883">
            <v>262.5</v>
          </cell>
          <cell r="R883">
            <v>49</v>
          </cell>
          <cell r="S883">
            <v>105</v>
          </cell>
          <cell r="T883">
            <v>66.5</v>
          </cell>
          <cell r="U883">
            <v>157.5</v>
          </cell>
          <cell r="V883">
            <v>196</v>
          </cell>
          <cell r="W883">
            <v>434</v>
          </cell>
          <cell r="X883">
            <v>98</v>
          </cell>
          <cell r="Y883">
            <v>224</v>
          </cell>
          <cell r="Z883">
            <v>98</v>
          </cell>
          <cell r="AA883">
            <v>210</v>
          </cell>
          <cell r="AB883">
            <v>378</v>
          </cell>
          <cell r="AC883">
            <v>154</v>
          </cell>
          <cell r="AD883">
            <v>224</v>
          </cell>
          <cell r="AE883">
            <v>630</v>
          </cell>
          <cell r="AF883">
            <v>322</v>
          </cell>
          <cell r="AG883">
            <v>308</v>
          </cell>
        </row>
        <row r="884">
          <cell r="C884">
            <v>41050393</v>
          </cell>
          <cell r="D884" t="str">
            <v>SHRI. SAPTASHRUNGI PETROLEUM</v>
          </cell>
          <cell r="E884" t="str">
            <v>HPCL</v>
          </cell>
          <cell r="G884" t="str">
            <v>Pune Wagholi RSA</v>
          </cell>
          <cell r="J884" t="str">
            <v>Sitewadi</v>
          </cell>
          <cell r="K884" t="str">
            <v>Pune</v>
          </cell>
          <cell r="L884" t="str">
            <v>D1</v>
          </cell>
          <cell r="M884" t="str">
            <v>NH-61</v>
          </cell>
          <cell r="O884" t="str">
            <v>A</v>
          </cell>
          <cell r="P884">
            <v>0</v>
          </cell>
          <cell r="Q884">
            <v>0</v>
          </cell>
          <cell r="R884">
            <v>18</v>
          </cell>
          <cell r="S884">
            <v>18</v>
          </cell>
          <cell r="T884">
            <v>-18</v>
          </cell>
          <cell r="U884">
            <v>-18</v>
          </cell>
          <cell r="V884">
            <v>0</v>
          </cell>
          <cell r="W884">
            <v>0</v>
          </cell>
          <cell r="X884">
            <v>18</v>
          </cell>
          <cell r="Y884">
            <v>18</v>
          </cell>
          <cell r="Z884">
            <v>-18</v>
          </cell>
          <cell r="AA884">
            <v>-18</v>
          </cell>
          <cell r="AB884">
            <v>0</v>
          </cell>
          <cell r="AC884">
            <v>36</v>
          </cell>
          <cell r="AD884">
            <v>-36</v>
          </cell>
          <cell r="AE884">
            <v>0</v>
          </cell>
          <cell r="AF884">
            <v>36</v>
          </cell>
          <cell r="AG884">
            <v>-36</v>
          </cell>
        </row>
        <row r="885">
          <cell r="C885">
            <v>41050395</v>
          </cell>
          <cell r="D885" t="str">
            <v>JAGTAP PETROLEUM</v>
          </cell>
          <cell r="E885" t="str">
            <v>HPCL</v>
          </cell>
          <cell r="F885" t="str">
            <v>2013-14</v>
          </cell>
          <cell r="G885" t="str">
            <v>Pimpri Chinchwad RSA</v>
          </cell>
          <cell r="J885" t="str">
            <v xml:space="preserve">Sablewadi to shikhrapur </v>
          </cell>
          <cell r="K885" t="str">
            <v>Pune</v>
          </cell>
          <cell r="L885" t="str">
            <v>D1</v>
          </cell>
          <cell r="M885" t="str">
            <v>NH-548D</v>
          </cell>
          <cell r="O885" t="str">
            <v>A</v>
          </cell>
          <cell r="P885">
            <v>33</v>
          </cell>
          <cell r="Q885">
            <v>99</v>
          </cell>
          <cell r="R885">
            <v>22</v>
          </cell>
          <cell r="S885">
            <v>76</v>
          </cell>
          <cell r="T885">
            <v>11</v>
          </cell>
          <cell r="U885">
            <v>23</v>
          </cell>
          <cell r="V885">
            <v>57</v>
          </cell>
          <cell r="W885">
            <v>165</v>
          </cell>
          <cell r="X885">
            <v>48</v>
          </cell>
          <cell r="Y885">
            <v>172</v>
          </cell>
          <cell r="Z885">
            <v>9</v>
          </cell>
          <cell r="AA885">
            <v>-7</v>
          </cell>
          <cell r="AB885">
            <v>132</v>
          </cell>
          <cell r="AC885">
            <v>98</v>
          </cell>
          <cell r="AD885">
            <v>34</v>
          </cell>
          <cell r="AE885">
            <v>222</v>
          </cell>
          <cell r="AF885">
            <v>220</v>
          </cell>
          <cell r="AG885">
            <v>2</v>
          </cell>
        </row>
        <row r="886">
          <cell r="C886">
            <v>41050399</v>
          </cell>
          <cell r="D886" t="str">
            <v>S R ZAGADE PETROLEUM</v>
          </cell>
          <cell r="E886" t="str">
            <v>HPCL</v>
          </cell>
          <cell r="F886" t="str">
            <v>2014-15</v>
          </cell>
          <cell r="G886" t="str">
            <v>Pune Tathawade RSA</v>
          </cell>
          <cell r="J886" t="str">
            <v>BARAMATI TOWN ON UNDEWADI ROAD</v>
          </cell>
          <cell r="K886" t="str">
            <v>Pune</v>
          </cell>
          <cell r="L886" t="str">
            <v>D1</v>
          </cell>
          <cell r="M886" t="str">
            <v>NH-160</v>
          </cell>
          <cell r="O886" t="str">
            <v>A</v>
          </cell>
          <cell r="P886">
            <v>45</v>
          </cell>
          <cell r="Q886">
            <v>63</v>
          </cell>
          <cell r="R886">
            <v>42</v>
          </cell>
          <cell r="S886">
            <v>66</v>
          </cell>
          <cell r="T886">
            <v>3</v>
          </cell>
          <cell r="U886">
            <v>-3</v>
          </cell>
          <cell r="V886">
            <v>84</v>
          </cell>
          <cell r="W886">
            <v>120</v>
          </cell>
          <cell r="X886">
            <v>87</v>
          </cell>
          <cell r="Y886">
            <v>129</v>
          </cell>
          <cell r="Z886">
            <v>-3</v>
          </cell>
          <cell r="AA886">
            <v>-9</v>
          </cell>
          <cell r="AB886">
            <v>108</v>
          </cell>
          <cell r="AC886">
            <v>108</v>
          </cell>
          <cell r="AD886">
            <v>0</v>
          </cell>
          <cell r="AE886">
            <v>204</v>
          </cell>
          <cell r="AF886">
            <v>216</v>
          </cell>
          <cell r="AG886">
            <v>-12</v>
          </cell>
        </row>
        <row r="887">
          <cell r="C887">
            <v>41050401</v>
          </cell>
          <cell r="D887" t="str">
            <v>NRUSINHA PETROLEUM</v>
          </cell>
          <cell r="E887" t="str">
            <v>HPCL</v>
          </cell>
          <cell r="F887" t="str">
            <v>2015-16</v>
          </cell>
          <cell r="G887" t="str">
            <v>Pune City RSA</v>
          </cell>
          <cell r="J887" t="str">
            <v>RAVET</v>
          </cell>
          <cell r="K887" t="str">
            <v>Pune</v>
          </cell>
          <cell r="L887" t="str">
            <v>A</v>
          </cell>
          <cell r="O887" t="str">
            <v>B</v>
          </cell>
          <cell r="P887">
            <v>115</v>
          </cell>
          <cell r="Q887">
            <v>125</v>
          </cell>
          <cell r="R887">
            <v>165</v>
          </cell>
          <cell r="S887">
            <v>155</v>
          </cell>
          <cell r="T887">
            <v>-50</v>
          </cell>
          <cell r="U887">
            <v>-30</v>
          </cell>
          <cell r="V887">
            <v>240</v>
          </cell>
          <cell r="W887">
            <v>260</v>
          </cell>
          <cell r="X887">
            <v>335</v>
          </cell>
          <cell r="Y887">
            <v>305</v>
          </cell>
          <cell r="Z887">
            <v>-95</v>
          </cell>
          <cell r="AA887">
            <v>-45</v>
          </cell>
          <cell r="AB887">
            <v>240</v>
          </cell>
          <cell r="AC887">
            <v>320</v>
          </cell>
          <cell r="AD887">
            <v>-80</v>
          </cell>
          <cell r="AE887">
            <v>500</v>
          </cell>
          <cell r="AF887">
            <v>640</v>
          </cell>
          <cell r="AG887">
            <v>-140</v>
          </cell>
        </row>
        <row r="888">
          <cell r="C888">
            <v>41050402</v>
          </cell>
          <cell r="D888" t="str">
            <v>RAHUL PETROLEUM</v>
          </cell>
          <cell r="E888" t="str">
            <v>HPCL</v>
          </cell>
          <cell r="F888" t="str">
            <v>2015-16</v>
          </cell>
          <cell r="G888" t="str">
            <v>Pimpri Chinchwad RSA</v>
          </cell>
          <cell r="J888" t="str">
            <v>Rajgurunagar Town</v>
          </cell>
          <cell r="K888" t="str">
            <v>Pune</v>
          </cell>
          <cell r="L888" t="str">
            <v>C</v>
          </cell>
          <cell r="O888" t="str">
            <v>A</v>
          </cell>
          <cell r="P888">
            <v>45</v>
          </cell>
          <cell r="Q888">
            <v>155</v>
          </cell>
          <cell r="R888">
            <v>40</v>
          </cell>
          <cell r="S888">
            <v>180</v>
          </cell>
          <cell r="T888">
            <v>5</v>
          </cell>
          <cell r="U888">
            <v>-25</v>
          </cell>
          <cell r="V888">
            <v>90</v>
          </cell>
          <cell r="W888">
            <v>270</v>
          </cell>
          <cell r="X888">
            <v>85</v>
          </cell>
          <cell r="Y888">
            <v>295</v>
          </cell>
          <cell r="Z888">
            <v>5</v>
          </cell>
          <cell r="AA888">
            <v>-25</v>
          </cell>
          <cell r="AB888">
            <v>200</v>
          </cell>
          <cell r="AC888">
            <v>220</v>
          </cell>
          <cell r="AD888">
            <v>-20</v>
          </cell>
          <cell r="AE888">
            <v>360</v>
          </cell>
          <cell r="AF888">
            <v>380</v>
          </cell>
          <cell r="AG888">
            <v>-20</v>
          </cell>
        </row>
        <row r="889">
          <cell r="C889">
            <v>41050410</v>
          </cell>
          <cell r="D889" t="str">
            <v>Pareira Auto Centre</v>
          </cell>
          <cell r="E889" t="str">
            <v>HPCL</v>
          </cell>
          <cell r="F889" t="str">
            <v>2015-16</v>
          </cell>
          <cell r="G889" t="str">
            <v>Pimpri Chinchwad RSA</v>
          </cell>
          <cell r="J889" t="str">
            <v>Chakan MIDC</v>
          </cell>
          <cell r="K889" t="str">
            <v>Pune</v>
          </cell>
          <cell r="L889" t="str">
            <v>C</v>
          </cell>
          <cell r="O889" t="str">
            <v>B</v>
          </cell>
          <cell r="P889">
            <v>69</v>
          </cell>
          <cell r="Q889">
            <v>415</v>
          </cell>
          <cell r="R889">
            <v>73</v>
          </cell>
          <cell r="S889">
            <v>361</v>
          </cell>
          <cell r="T889">
            <v>-4</v>
          </cell>
          <cell r="U889">
            <v>54</v>
          </cell>
          <cell r="V889">
            <v>129</v>
          </cell>
          <cell r="W889">
            <v>815</v>
          </cell>
          <cell r="X889">
            <v>143</v>
          </cell>
          <cell r="Y889">
            <v>685</v>
          </cell>
          <cell r="Z889">
            <v>-14</v>
          </cell>
          <cell r="AA889">
            <v>130</v>
          </cell>
          <cell r="AB889">
            <v>484</v>
          </cell>
          <cell r="AC889">
            <v>434</v>
          </cell>
          <cell r="AD889">
            <v>50</v>
          </cell>
          <cell r="AE889">
            <v>944</v>
          </cell>
          <cell r="AF889">
            <v>828</v>
          </cell>
          <cell r="AG889">
            <v>116</v>
          </cell>
        </row>
        <row r="890">
          <cell r="C890">
            <v>41050411</v>
          </cell>
          <cell r="D890" t="str">
            <v>Jai Tulajabhavani Petroleum</v>
          </cell>
          <cell r="E890" t="str">
            <v>HPCL</v>
          </cell>
          <cell r="F890" t="str">
            <v>2015-16</v>
          </cell>
          <cell r="G890" t="str">
            <v>Pimpri Chinchwad RSA</v>
          </cell>
          <cell r="J890" t="str">
            <v>Karanjvihire</v>
          </cell>
          <cell r="K890" t="str">
            <v>Pune</v>
          </cell>
          <cell r="L890" t="str">
            <v>E</v>
          </cell>
          <cell r="O890" t="str">
            <v>B</v>
          </cell>
          <cell r="P890">
            <v>24</v>
          </cell>
          <cell r="Q890">
            <v>190</v>
          </cell>
          <cell r="R890">
            <v>24</v>
          </cell>
          <cell r="S890">
            <v>144</v>
          </cell>
          <cell r="T890">
            <v>0</v>
          </cell>
          <cell r="U890">
            <v>46</v>
          </cell>
          <cell r="V890">
            <v>48</v>
          </cell>
          <cell r="W890">
            <v>356</v>
          </cell>
          <cell r="X890">
            <v>44</v>
          </cell>
          <cell r="Y890">
            <v>254</v>
          </cell>
          <cell r="Z890">
            <v>4</v>
          </cell>
          <cell r="AA890">
            <v>102</v>
          </cell>
          <cell r="AB890">
            <v>214</v>
          </cell>
          <cell r="AC890">
            <v>168</v>
          </cell>
          <cell r="AD890">
            <v>46</v>
          </cell>
          <cell r="AE890">
            <v>404</v>
          </cell>
          <cell r="AF890">
            <v>298</v>
          </cell>
          <cell r="AG890">
            <v>106</v>
          </cell>
        </row>
        <row r="891">
          <cell r="C891">
            <v>41050412</v>
          </cell>
          <cell r="D891" t="str">
            <v>PALANGE PETROLEUM</v>
          </cell>
          <cell r="E891" t="str">
            <v>HPCL</v>
          </cell>
          <cell r="F891" t="str">
            <v>2015-16</v>
          </cell>
          <cell r="G891" t="str">
            <v>Pune Tathawade RSA</v>
          </cell>
          <cell r="J891" t="str">
            <v>BARAMATI MIDC</v>
          </cell>
          <cell r="K891" t="str">
            <v>Pune</v>
          </cell>
          <cell r="L891" t="str">
            <v>D1</v>
          </cell>
          <cell r="M891" t="str">
            <v>NH-965G</v>
          </cell>
          <cell r="O891" t="str">
            <v>A</v>
          </cell>
          <cell r="P891">
            <v>26</v>
          </cell>
          <cell r="Q891">
            <v>110</v>
          </cell>
          <cell r="R891">
            <v>30</v>
          </cell>
          <cell r="S891">
            <v>96</v>
          </cell>
          <cell r="T891">
            <v>-4</v>
          </cell>
          <cell r="U891">
            <v>14</v>
          </cell>
          <cell r="V891">
            <v>57</v>
          </cell>
          <cell r="W891">
            <v>211</v>
          </cell>
          <cell r="X891">
            <v>65</v>
          </cell>
          <cell r="Y891">
            <v>201</v>
          </cell>
          <cell r="Z891">
            <v>-8</v>
          </cell>
          <cell r="AA891">
            <v>10</v>
          </cell>
          <cell r="AB891">
            <v>136</v>
          </cell>
          <cell r="AC891">
            <v>126</v>
          </cell>
          <cell r="AD891">
            <v>10</v>
          </cell>
          <cell r="AE891">
            <v>268</v>
          </cell>
          <cell r="AF891">
            <v>266</v>
          </cell>
          <cell r="AG891">
            <v>2</v>
          </cell>
        </row>
        <row r="892">
          <cell r="C892">
            <v>41050415</v>
          </cell>
          <cell r="D892" t="str">
            <v>Sujata Petroleum</v>
          </cell>
          <cell r="E892" t="str">
            <v>HPCL</v>
          </cell>
          <cell r="F892" t="str">
            <v>2015-16</v>
          </cell>
          <cell r="G892" t="str">
            <v>Pune Saswad RSA</v>
          </cell>
          <cell r="J892" t="str">
            <v>badalwadi</v>
          </cell>
          <cell r="K892" t="str">
            <v>Pune</v>
          </cell>
          <cell r="L892" t="str">
            <v>D1</v>
          </cell>
          <cell r="M892" t="str">
            <v>NH-65</v>
          </cell>
          <cell r="O892" t="str">
            <v>B</v>
          </cell>
          <cell r="P892">
            <v>0</v>
          </cell>
          <cell r="Q892">
            <v>0</v>
          </cell>
          <cell r="R892">
            <v>45</v>
          </cell>
          <cell r="S892">
            <v>99</v>
          </cell>
          <cell r="T892">
            <v>-45</v>
          </cell>
          <cell r="U892">
            <v>-99</v>
          </cell>
          <cell r="V892">
            <v>0</v>
          </cell>
          <cell r="W892">
            <v>0</v>
          </cell>
          <cell r="X892">
            <v>90</v>
          </cell>
          <cell r="Y892">
            <v>218</v>
          </cell>
          <cell r="Z892">
            <v>-90</v>
          </cell>
          <cell r="AA892">
            <v>-218</v>
          </cell>
          <cell r="AB892">
            <v>0</v>
          </cell>
          <cell r="AC892">
            <v>144</v>
          </cell>
          <cell r="AD892">
            <v>-144</v>
          </cell>
          <cell r="AE892">
            <v>0</v>
          </cell>
          <cell r="AF892">
            <v>308</v>
          </cell>
          <cell r="AG892">
            <v>-308</v>
          </cell>
        </row>
        <row r="893">
          <cell r="C893">
            <v>41050416</v>
          </cell>
          <cell r="D893" t="str">
            <v>New Panchali Petroleum</v>
          </cell>
          <cell r="E893" t="str">
            <v>HPCL</v>
          </cell>
          <cell r="F893" t="str">
            <v>2015-16</v>
          </cell>
          <cell r="G893" t="str">
            <v>Satara West RSA</v>
          </cell>
          <cell r="J893" t="str">
            <v>KARAD TO KASHIL</v>
          </cell>
          <cell r="K893" t="str">
            <v>Satara</v>
          </cell>
          <cell r="L893" t="str">
            <v>D1</v>
          </cell>
          <cell r="M893" t="str">
            <v>NH-48</v>
          </cell>
          <cell r="O893" t="str">
            <v>A</v>
          </cell>
          <cell r="P893">
            <v>32</v>
          </cell>
          <cell r="Q893">
            <v>52</v>
          </cell>
          <cell r="R893">
            <v>21</v>
          </cell>
          <cell r="S893">
            <v>51</v>
          </cell>
          <cell r="T893">
            <v>11</v>
          </cell>
          <cell r="U893">
            <v>1</v>
          </cell>
          <cell r="V893">
            <v>48</v>
          </cell>
          <cell r="W893">
            <v>92</v>
          </cell>
          <cell r="X893">
            <v>42</v>
          </cell>
          <cell r="Y893">
            <v>102</v>
          </cell>
          <cell r="Z893">
            <v>6</v>
          </cell>
          <cell r="AA893">
            <v>-10</v>
          </cell>
          <cell r="AB893">
            <v>84</v>
          </cell>
          <cell r="AC893">
            <v>72</v>
          </cell>
          <cell r="AD893">
            <v>12</v>
          </cell>
          <cell r="AE893">
            <v>140</v>
          </cell>
          <cell r="AF893">
            <v>144</v>
          </cell>
          <cell r="AG893">
            <v>-4</v>
          </cell>
        </row>
        <row r="894">
          <cell r="C894">
            <v>41050417</v>
          </cell>
          <cell r="D894" t="str">
            <v>SSB Petroleum</v>
          </cell>
          <cell r="E894" t="str">
            <v>HPCL</v>
          </cell>
          <cell r="F894" t="str">
            <v>2015-16</v>
          </cell>
          <cell r="G894" t="str">
            <v>Satara West RSA</v>
          </cell>
          <cell r="J894" t="str">
            <v>Bhuinj to Khandala</v>
          </cell>
          <cell r="K894" t="str">
            <v>Satara</v>
          </cell>
          <cell r="L894" t="str">
            <v>D1</v>
          </cell>
          <cell r="M894" t="str">
            <v>NH-48</v>
          </cell>
          <cell r="O894" t="str">
            <v>A</v>
          </cell>
          <cell r="P894">
            <v>28</v>
          </cell>
          <cell r="Q894">
            <v>40</v>
          </cell>
          <cell r="R894">
            <v>25</v>
          </cell>
          <cell r="S894">
            <v>35</v>
          </cell>
          <cell r="T894">
            <v>3</v>
          </cell>
          <cell r="U894">
            <v>5</v>
          </cell>
          <cell r="V894">
            <v>43</v>
          </cell>
          <cell r="W894">
            <v>65</v>
          </cell>
          <cell r="X894">
            <v>31</v>
          </cell>
          <cell r="Y894">
            <v>53</v>
          </cell>
          <cell r="Z894">
            <v>12</v>
          </cell>
          <cell r="AA894">
            <v>12</v>
          </cell>
          <cell r="AB894">
            <v>68</v>
          </cell>
          <cell r="AC894">
            <v>60</v>
          </cell>
          <cell r="AD894">
            <v>8</v>
          </cell>
          <cell r="AE894">
            <v>108</v>
          </cell>
          <cell r="AF894">
            <v>84</v>
          </cell>
          <cell r="AG894">
            <v>24</v>
          </cell>
        </row>
        <row r="895">
          <cell r="C895">
            <v>41050419</v>
          </cell>
          <cell r="D895" t="str">
            <v>Siddhivinayak Petroleum</v>
          </cell>
          <cell r="E895" t="str">
            <v>HPCL</v>
          </cell>
          <cell r="F895" t="str">
            <v>2015-16</v>
          </cell>
          <cell r="G895" t="str">
            <v>Pune Wagholi RSA</v>
          </cell>
          <cell r="J895" t="str">
            <v>Nhawra Village SH</v>
          </cell>
          <cell r="K895" t="str">
            <v>Pune</v>
          </cell>
          <cell r="L895" t="str">
            <v>D2</v>
          </cell>
          <cell r="O895" t="str">
            <v>A</v>
          </cell>
          <cell r="P895">
            <v>39</v>
          </cell>
          <cell r="Q895">
            <v>291</v>
          </cell>
          <cell r="R895">
            <v>23</v>
          </cell>
          <cell r="S895">
            <v>197</v>
          </cell>
          <cell r="T895">
            <v>16</v>
          </cell>
          <cell r="U895">
            <v>94</v>
          </cell>
          <cell r="V895">
            <v>71</v>
          </cell>
          <cell r="W895">
            <v>517</v>
          </cell>
          <cell r="X895">
            <v>43</v>
          </cell>
          <cell r="Y895">
            <v>367</v>
          </cell>
          <cell r="Z895">
            <v>28</v>
          </cell>
          <cell r="AA895">
            <v>150</v>
          </cell>
          <cell r="AB895">
            <v>330</v>
          </cell>
          <cell r="AC895">
            <v>220</v>
          </cell>
          <cell r="AD895">
            <v>110</v>
          </cell>
          <cell r="AE895">
            <v>588</v>
          </cell>
          <cell r="AF895">
            <v>410</v>
          </cell>
          <cell r="AG895">
            <v>178</v>
          </cell>
        </row>
        <row r="896">
          <cell r="C896">
            <v>41050421</v>
          </cell>
          <cell r="D896" t="str">
            <v>BHAIRAVNATH PETROLEUM</v>
          </cell>
          <cell r="E896" t="str">
            <v>HPCL</v>
          </cell>
          <cell r="F896" t="str">
            <v>2015-16</v>
          </cell>
          <cell r="G896" t="str">
            <v>Pune Tathawade RSA</v>
          </cell>
          <cell r="J896" t="str">
            <v>MORGAON-BARAMATI RD</v>
          </cell>
          <cell r="K896" t="str">
            <v>Pune</v>
          </cell>
          <cell r="L896" t="str">
            <v>D2</v>
          </cell>
          <cell r="O896" t="str">
            <v>A</v>
          </cell>
          <cell r="P896">
            <v>15</v>
          </cell>
          <cell r="Q896">
            <v>21</v>
          </cell>
          <cell r="R896">
            <v>12</v>
          </cell>
          <cell r="S896">
            <v>12</v>
          </cell>
          <cell r="T896">
            <v>3</v>
          </cell>
          <cell r="U896">
            <v>9</v>
          </cell>
          <cell r="V896">
            <v>27</v>
          </cell>
          <cell r="W896">
            <v>33</v>
          </cell>
          <cell r="X896">
            <v>21</v>
          </cell>
          <cell r="Y896">
            <v>27</v>
          </cell>
          <cell r="Z896">
            <v>6</v>
          </cell>
          <cell r="AA896">
            <v>6</v>
          </cell>
          <cell r="AB896">
            <v>36</v>
          </cell>
          <cell r="AC896">
            <v>24</v>
          </cell>
          <cell r="AD896">
            <v>12</v>
          </cell>
          <cell r="AE896">
            <v>60</v>
          </cell>
          <cell r="AF896">
            <v>48</v>
          </cell>
          <cell r="AG896">
            <v>12</v>
          </cell>
        </row>
        <row r="897">
          <cell r="C897">
            <v>41050422</v>
          </cell>
          <cell r="D897" t="str">
            <v>SHIVSHANKAR PETROLEUM</v>
          </cell>
          <cell r="E897" t="str">
            <v>HPCL</v>
          </cell>
          <cell r="F897" t="str">
            <v>2016-17</v>
          </cell>
          <cell r="G897" t="str">
            <v>Satara East RSA</v>
          </cell>
          <cell r="J897" t="str">
            <v>Lonand</v>
          </cell>
          <cell r="K897" t="str">
            <v>Satara</v>
          </cell>
          <cell r="L897" t="str">
            <v>D1</v>
          </cell>
          <cell r="M897" t="str">
            <v>NH-965D</v>
          </cell>
          <cell r="O897" t="str">
            <v>A</v>
          </cell>
          <cell r="P897">
            <v>77</v>
          </cell>
          <cell r="Q897">
            <v>291</v>
          </cell>
          <cell r="R897">
            <v>63</v>
          </cell>
          <cell r="S897">
            <v>177</v>
          </cell>
          <cell r="T897">
            <v>14</v>
          </cell>
          <cell r="U897">
            <v>114</v>
          </cell>
          <cell r="V897">
            <v>136</v>
          </cell>
          <cell r="W897">
            <v>568</v>
          </cell>
          <cell r="X897">
            <v>129</v>
          </cell>
          <cell r="Y897">
            <v>411</v>
          </cell>
          <cell r="Z897">
            <v>7</v>
          </cell>
          <cell r="AA897">
            <v>157</v>
          </cell>
          <cell r="AB897">
            <v>368</v>
          </cell>
          <cell r="AC897">
            <v>240</v>
          </cell>
          <cell r="AD897">
            <v>128</v>
          </cell>
          <cell r="AE897">
            <v>704</v>
          </cell>
          <cell r="AF897">
            <v>540</v>
          </cell>
          <cell r="AG897">
            <v>164</v>
          </cell>
        </row>
        <row r="898">
          <cell r="C898">
            <v>41050424</v>
          </cell>
          <cell r="D898" t="str">
            <v>Jogeshwari Kalbhairavnath Petroleum</v>
          </cell>
          <cell r="E898" t="str">
            <v>HPCL</v>
          </cell>
          <cell r="F898" t="str">
            <v>2015-16</v>
          </cell>
          <cell r="G898" t="str">
            <v>Pune Tathawade RSA</v>
          </cell>
          <cell r="J898" t="str">
            <v>MORGAON-BARAMATI RD</v>
          </cell>
          <cell r="K898" t="str">
            <v>Pune</v>
          </cell>
          <cell r="L898" t="str">
            <v>D2</v>
          </cell>
          <cell r="O898" t="str">
            <v>B</v>
          </cell>
          <cell r="P898">
            <v>32</v>
          </cell>
          <cell r="Q898">
            <v>94</v>
          </cell>
          <cell r="R898">
            <v>26</v>
          </cell>
          <cell r="S898">
            <v>58</v>
          </cell>
          <cell r="T898">
            <v>6</v>
          </cell>
          <cell r="U898">
            <v>36</v>
          </cell>
          <cell r="V898">
            <v>64</v>
          </cell>
          <cell r="W898">
            <v>160</v>
          </cell>
          <cell r="X898">
            <v>55</v>
          </cell>
          <cell r="Y898">
            <v>127</v>
          </cell>
          <cell r="Z898">
            <v>9</v>
          </cell>
          <cell r="AA898">
            <v>33</v>
          </cell>
          <cell r="AB898">
            <v>126</v>
          </cell>
          <cell r="AC898">
            <v>84</v>
          </cell>
          <cell r="AD898">
            <v>42</v>
          </cell>
          <cell r="AE898">
            <v>224</v>
          </cell>
          <cell r="AF898">
            <v>182</v>
          </cell>
          <cell r="AG898">
            <v>42</v>
          </cell>
        </row>
        <row r="899">
          <cell r="C899">
            <v>41050439</v>
          </cell>
          <cell r="D899" t="str">
            <v xml:space="preserve">SUBHADRA PETROLEUM </v>
          </cell>
          <cell r="E899" t="str">
            <v>HPCL</v>
          </cell>
          <cell r="G899" t="str">
            <v>Satara West RSA</v>
          </cell>
          <cell r="J899" t="str">
            <v>Wele to Bhuinj</v>
          </cell>
          <cell r="K899" t="str">
            <v>Satara</v>
          </cell>
          <cell r="L899" t="str">
            <v>D1</v>
          </cell>
          <cell r="M899" t="str">
            <v>NH-48</v>
          </cell>
          <cell r="O899" t="str">
            <v>B</v>
          </cell>
          <cell r="P899">
            <v>150</v>
          </cell>
          <cell r="Q899">
            <v>310</v>
          </cell>
          <cell r="R899">
            <v>125</v>
          </cell>
          <cell r="S899">
            <v>255</v>
          </cell>
          <cell r="T899">
            <v>25</v>
          </cell>
          <cell r="U899">
            <v>55</v>
          </cell>
          <cell r="V899">
            <v>275</v>
          </cell>
          <cell r="W899">
            <v>585</v>
          </cell>
          <cell r="X899">
            <v>235</v>
          </cell>
          <cell r="Y899">
            <v>485</v>
          </cell>
          <cell r="Z899">
            <v>40</v>
          </cell>
          <cell r="AA899">
            <v>100</v>
          </cell>
          <cell r="AB899">
            <v>460</v>
          </cell>
          <cell r="AC899">
            <v>380</v>
          </cell>
          <cell r="AD899">
            <v>80</v>
          </cell>
          <cell r="AE899">
            <v>860</v>
          </cell>
          <cell r="AF899">
            <v>720</v>
          </cell>
          <cell r="AG899">
            <v>140</v>
          </cell>
        </row>
        <row r="900">
          <cell r="C900">
            <v>41050450</v>
          </cell>
          <cell r="D900" t="str">
            <v xml:space="preserve">Saikrishna </v>
          </cell>
          <cell r="E900" t="str">
            <v>HPCL</v>
          </cell>
          <cell r="G900" t="str">
            <v>Shirdi RSA</v>
          </cell>
          <cell r="J900" t="str">
            <v>ASTAGAON</v>
          </cell>
          <cell r="K900" t="str">
            <v>Ahmednagar</v>
          </cell>
          <cell r="L900" t="str">
            <v>D1</v>
          </cell>
          <cell r="M900" t="str">
            <v>NH-160</v>
          </cell>
          <cell r="O900" t="str">
            <v>A</v>
          </cell>
          <cell r="P900">
            <v>23</v>
          </cell>
          <cell r="Q900">
            <v>49</v>
          </cell>
          <cell r="R900">
            <v>21</v>
          </cell>
          <cell r="S900">
            <v>39</v>
          </cell>
          <cell r="T900">
            <v>2</v>
          </cell>
          <cell r="U900">
            <v>10</v>
          </cell>
          <cell r="V900">
            <v>33</v>
          </cell>
          <cell r="W900">
            <v>63</v>
          </cell>
          <cell r="X900">
            <v>34</v>
          </cell>
          <cell r="Y900">
            <v>62</v>
          </cell>
          <cell r="Z900">
            <v>-1</v>
          </cell>
          <cell r="AA900">
            <v>1</v>
          </cell>
          <cell r="AB900">
            <v>72</v>
          </cell>
          <cell r="AC900">
            <v>60</v>
          </cell>
          <cell r="AD900">
            <v>12</v>
          </cell>
          <cell r="AE900">
            <v>96</v>
          </cell>
          <cell r="AF900">
            <v>96</v>
          </cell>
          <cell r="AG900">
            <v>0</v>
          </cell>
        </row>
        <row r="901">
          <cell r="C901">
            <v>41050484</v>
          </cell>
          <cell r="D901" t="str">
            <v>S K AUTO CARE</v>
          </cell>
          <cell r="E901" t="str">
            <v>HPCL</v>
          </cell>
          <cell r="G901" t="str">
            <v>Pune City RSA</v>
          </cell>
          <cell r="J901" t="str">
            <v>KATRAJ KONDHWA ROAD</v>
          </cell>
          <cell r="K901" t="str">
            <v>Pune</v>
          </cell>
          <cell r="L901" t="str">
            <v>A</v>
          </cell>
          <cell r="O901" t="str">
            <v>A</v>
          </cell>
          <cell r="P901">
            <v>189</v>
          </cell>
          <cell r="Q901">
            <v>63</v>
          </cell>
          <cell r="R901">
            <v>160</v>
          </cell>
          <cell r="S901">
            <v>40</v>
          </cell>
          <cell r="T901">
            <v>29</v>
          </cell>
          <cell r="U901">
            <v>23</v>
          </cell>
          <cell r="V901">
            <v>383</v>
          </cell>
          <cell r="W901">
            <v>121</v>
          </cell>
          <cell r="X901">
            <v>293</v>
          </cell>
          <cell r="Y901">
            <v>75</v>
          </cell>
          <cell r="Z901">
            <v>90</v>
          </cell>
          <cell r="AA901">
            <v>46</v>
          </cell>
          <cell r="AB901">
            <v>252</v>
          </cell>
          <cell r="AC901">
            <v>200</v>
          </cell>
          <cell r="AD901">
            <v>52</v>
          </cell>
          <cell r="AE901">
            <v>504</v>
          </cell>
          <cell r="AF901">
            <v>368</v>
          </cell>
          <cell r="AG901">
            <v>136</v>
          </cell>
        </row>
        <row r="902">
          <cell r="C902">
            <v>41050501</v>
          </cell>
          <cell r="D902" t="str">
            <v>S.B.DHASAL PETROLEUM</v>
          </cell>
          <cell r="E902" t="str">
            <v>HPCL</v>
          </cell>
          <cell r="F902" t="str">
            <v>2014-15</v>
          </cell>
          <cell r="G902" t="str">
            <v>Shirdi RSA</v>
          </cell>
          <cell r="J902" t="str">
            <v>RAHURI NH</v>
          </cell>
          <cell r="K902" t="str">
            <v>Ahmednagar</v>
          </cell>
          <cell r="L902" t="str">
            <v>D1</v>
          </cell>
          <cell r="M902" t="str">
            <v>NH-160</v>
          </cell>
          <cell r="O902" t="str">
            <v>B</v>
          </cell>
          <cell r="P902">
            <v>36</v>
          </cell>
          <cell r="Q902">
            <v>60</v>
          </cell>
          <cell r="R902">
            <v>50</v>
          </cell>
          <cell r="S902">
            <v>58</v>
          </cell>
          <cell r="T902">
            <v>-14</v>
          </cell>
          <cell r="U902">
            <v>2</v>
          </cell>
          <cell r="V902">
            <v>69</v>
          </cell>
          <cell r="W902">
            <v>99</v>
          </cell>
          <cell r="X902">
            <v>86</v>
          </cell>
          <cell r="Y902">
            <v>106</v>
          </cell>
          <cell r="Z902">
            <v>-17</v>
          </cell>
          <cell r="AA902">
            <v>-7</v>
          </cell>
          <cell r="AB902">
            <v>96</v>
          </cell>
          <cell r="AC902">
            <v>108</v>
          </cell>
          <cell r="AD902">
            <v>-12</v>
          </cell>
          <cell r="AE902">
            <v>168</v>
          </cell>
          <cell r="AF902">
            <v>192</v>
          </cell>
          <cell r="AG902">
            <v>-24</v>
          </cell>
        </row>
        <row r="903">
          <cell r="C903">
            <v>41050503</v>
          </cell>
          <cell r="D903" t="str">
            <v>Siddhivinayak Petroleum</v>
          </cell>
          <cell r="E903" t="str">
            <v>HPCL</v>
          </cell>
          <cell r="F903" t="str">
            <v>2014-15</v>
          </cell>
          <cell r="G903" t="str">
            <v>Ahmednagar West RSA</v>
          </cell>
          <cell r="J903" t="str">
            <v>SIDDHITEK</v>
          </cell>
          <cell r="K903" t="str">
            <v>Ahmednagar</v>
          </cell>
          <cell r="L903" t="str">
            <v>E</v>
          </cell>
          <cell r="O903" t="str">
            <v>A</v>
          </cell>
          <cell r="P903">
            <v>22</v>
          </cell>
          <cell r="Q903">
            <v>64</v>
          </cell>
          <cell r="R903">
            <v>36</v>
          </cell>
          <cell r="S903">
            <v>72</v>
          </cell>
          <cell r="T903">
            <v>-14</v>
          </cell>
          <cell r="U903">
            <v>-8</v>
          </cell>
          <cell r="V903">
            <v>43</v>
          </cell>
          <cell r="W903">
            <v>115</v>
          </cell>
          <cell r="X903">
            <v>73</v>
          </cell>
          <cell r="Y903">
            <v>135</v>
          </cell>
          <cell r="Z903">
            <v>-30</v>
          </cell>
          <cell r="AA903">
            <v>-20</v>
          </cell>
          <cell r="AB903">
            <v>86</v>
          </cell>
          <cell r="AC903">
            <v>108</v>
          </cell>
          <cell r="AD903">
            <v>-22</v>
          </cell>
          <cell r="AE903">
            <v>158</v>
          </cell>
          <cell r="AF903">
            <v>208</v>
          </cell>
          <cell r="AG903">
            <v>-50</v>
          </cell>
        </row>
        <row r="904">
          <cell r="C904">
            <v>41050559</v>
          </cell>
          <cell r="D904" t="str">
            <v>Shri  Nageshwar High.Services</v>
          </cell>
          <cell r="E904" t="str">
            <v>HPCL</v>
          </cell>
          <cell r="G904" t="str">
            <v>Ahmednagar West RSA</v>
          </cell>
          <cell r="J904" t="str">
            <v>Bhalawani</v>
          </cell>
          <cell r="K904" t="str">
            <v>Ahmednagar</v>
          </cell>
          <cell r="L904" t="str">
            <v>D1</v>
          </cell>
          <cell r="M904" t="str">
            <v>NH-61</v>
          </cell>
          <cell r="O904" t="str">
            <v>A</v>
          </cell>
          <cell r="P904">
            <v>49</v>
          </cell>
          <cell r="Q904">
            <v>158</v>
          </cell>
          <cell r="R904">
            <v>47</v>
          </cell>
          <cell r="S904">
            <v>183</v>
          </cell>
          <cell r="T904">
            <v>2</v>
          </cell>
          <cell r="U904">
            <v>-25</v>
          </cell>
          <cell r="V904">
            <v>81</v>
          </cell>
          <cell r="W904">
            <v>264</v>
          </cell>
          <cell r="X904">
            <v>83</v>
          </cell>
          <cell r="Y904">
            <v>377</v>
          </cell>
          <cell r="Z904">
            <v>-2</v>
          </cell>
          <cell r="AA904">
            <v>-113</v>
          </cell>
          <cell r="AB904">
            <v>207</v>
          </cell>
          <cell r="AC904">
            <v>230</v>
          </cell>
          <cell r="AD904">
            <v>-23</v>
          </cell>
          <cell r="AE904">
            <v>345</v>
          </cell>
          <cell r="AF904">
            <v>460</v>
          </cell>
          <cell r="AG904">
            <v>-115</v>
          </cell>
        </row>
        <row r="905">
          <cell r="C905">
            <v>41050709</v>
          </cell>
          <cell r="D905" t="str">
            <v>Shivneri Petroleum</v>
          </cell>
          <cell r="E905" t="str">
            <v>HPCL</v>
          </cell>
          <cell r="F905" t="str">
            <v>2013-14</v>
          </cell>
          <cell r="G905" t="str">
            <v>Ahmednagar West RSA</v>
          </cell>
          <cell r="J905" t="str">
            <v>LONI VYNKNATH-KASHTI (NH)</v>
          </cell>
          <cell r="K905" t="str">
            <v>Ahmednagar</v>
          </cell>
          <cell r="L905" t="str">
            <v>D1</v>
          </cell>
          <cell r="M905" t="str">
            <v>NH-160</v>
          </cell>
          <cell r="O905" t="str">
            <v>A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</row>
        <row r="906">
          <cell r="C906">
            <v>41050878</v>
          </cell>
          <cell r="D906" t="str">
            <v>SHEETAL PETROLEUM</v>
          </cell>
          <cell r="E906" t="str">
            <v>HPCL</v>
          </cell>
          <cell r="G906" t="str">
            <v>Pune City RSA</v>
          </cell>
          <cell r="J906" t="str">
            <v>KONDHWA</v>
          </cell>
          <cell r="K906" t="str">
            <v>Pune</v>
          </cell>
          <cell r="L906" t="str">
            <v>A</v>
          </cell>
          <cell r="O906" t="str">
            <v>A</v>
          </cell>
          <cell r="P906">
            <v>320</v>
          </cell>
          <cell r="Q906">
            <v>120</v>
          </cell>
          <cell r="R906">
            <v>309</v>
          </cell>
          <cell r="S906">
            <v>125</v>
          </cell>
          <cell r="T906">
            <v>11</v>
          </cell>
          <cell r="U906">
            <v>-5</v>
          </cell>
          <cell r="V906">
            <v>670</v>
          </cell>
          <cell r="W906">
            <v>250</v>
          </cell>
          <cell r="X906">
            <v>639</v>
          </cell>
          <cell r="Y906">
            <v>255</v>
          </cell>
          <cell r="Z906">
            <v>31</v>
          </cell>
          <cell r="AA906">
            <v>-5</v>
          </cell>
          <cell r="AB906">
            <v>440</v>
          </cell>
          <cell r="AC906">
            <v>434</v>
          </cell>
          <cell r="AD906">
            <v>6</v>
          </cell>
          <cell r="AE906">
            <v>920</v>
          </cell>
          <cell r="AF906">
            <v>894</v>
          </cell>
          <cell r="AG906">
            <v>26</v>
          </cell>
        </row>
        <row r="907">
          <cell r="C907">
            <v>41050901</v>
          </cell>
          <cell r="D907" t="str">
            <v xml:space="preserve">Yash Petroleum </v>
          </cell>
          <cell r="E907" t="str">
            <v>HPCL</v>
          </cell>
          <cell r="F907" t="str">
            <v>2013-14</v>
          </cell>
          <cell r="G907" t="str">
            <v>Ahmednagar East RSA</v>
          </cell>
          <cell r="J907" t="str">
            <v>Sonai</v>
          </cell>
          <cell r="K907" t="str">
            <v>Ahmednagar</v>
          </cell>
          <cell r="L907" t="str">
            <v>D1</v>
          </cell>
          <cell r="M907" t="str">
            <v>NH-160C</v>
          </cell>
          <cell r="O907" t="str">
            <v>A</v>
          </cell>
          <cell r="P907">
            <v>49</v>
          </cell>
          <cell r="Q907">
            <v>91</v>
          </cell>
          <cell r="R907">
            <v>45</v>
          </cell>
          <cell r="S907">
            <v>81</v>
          </cell>
          <cell r="T907">
            <v>4</v>
          </cell>
          <cell r="U907">
            <v>10</v>
          </cell>
          <cell r="V907">
            <v>81</v>
          </cell>
          <cell r="W907">
            <v>157</v>
          </cell>
          <cell r="X907">
            <v>80</v>
          </cell>
          <cell r="Y907">
            <v>144</v>
          </cell>
          <cell r="Z907">
            <v>1</v>
          </cell>
          <cell r="AA907">
            <v>13</v>
          </cell>
          <cell r="AB907">
            <v>140</v>
          </cell>
          <cell r="AC907">
            <v>126</v>
          </cell>
          <cell r="AD907">
            <v>14</v>
          </cell>
          <cell r="AE907">
            <v>238</v>
          </cell>
          <cell r="AF907">
            <v>224</v>
          </cell>
          <cell r="AG907">
            <v>14</v>
          </cell>
        </row>
        <row r="908">
          <cell r="C908">
            <v>41051147</v>
          </cell>
          <cell r="D908" t="str">
            <v>Shri Sai  Auto Service</v>
          </cell>
          <cell r="E908" t="str">
            <v>HPCL</v>
          </cell>
          <cell r="G908" t="str">
            <v>Ahmednagar West RSA</v>
          </cell>
          <cell r="J908" t="str">
            <v>JAMKHED-NAGAR RD</v>
          </cell>
          <cell r="K908" t="str">
            <v>Ahmednagar</v>
          </cell>
          <cell r="L908" t="str">
            <v>D2</v>
          </cell>
          <cell r="O908" t="str">
            <v>A</v>
          </cell>
          <cell r="P908">
            <v>9</v>
          </cell>
          <cell r="Q908">
            <v>27</v>
          </cell>
          <cell r="R908">
            <v>15</v>
          </cell>
          <cell r="S908">
            <v>57</v>
          </cell>
          <cell r="T908">
            <v>-6</v>
          </cell>
          <cell r="U908">
            <v>-30</v>
          </cell>
          <cell r="V908">
            <v>21</v>
          </cell>
          <cell r="W908">
            <v>63</v>
          </cell>
          <cell r="X908">
            <v>27</v>
          </cell>
          <cell r="Y908">
            <v>105</v>
          </cell>
          <cell r="Z908">
            <v>-6</v>
          </cell>
          <cell r="AA908">
            <v>-42</v>
          </cell>
          <cell r="AB908">
            <v>36</v>
          </cell>
          <cell r="AC908">
            <v>72</v>
          </cell>
          <cell r="AD908">
            <v>-36</v>
          </cell>
          <cell r="AE908">
            <v>84</v>
          </cell>
          <cell r="AF908">
            <v>132</v>
          </cell>
          <cell r="AG908">
            <v>-48</v>
          </cell>
        </row>
        <row r="909">
          <cell r="C909">
            <v>41051173</v>
          </cell>
          <cell r="D909" t="str">
            <v>Vaibhav Petroleum(12579040)</v>
          </cell>
          <cell r="E909" t="str">
            <v>HPCL</v>
          </cell>
          <cell r="F909" t="str">
            <v>2012-13</v>
          </cell>
          <cell r="G909" t="str">
            <v>Ahmednagar West RSA</v>
          </cell>
          <cell r="J909" t="str">
            <v>Pargaon Sudrik</v>
          </cell>
          <cell r="K909" t="str">
            <v>Ahmednagar</v>
          </cell>
          <cell r="L909" t="str">
            <v>D2</v>
          </cell>
          <cell r="O909" t="str">
            <v>A</v>
          </cell>
          <cell r="P909">
            <v>8</v>
          </cell>
          <cell r="Q909">
            <v>118</v>
          </cell>
          <cell r="R909">
            <v>20</v>
          </cell>
          <cell r="S909">
            <v>78</v>
          </cell>
          <cell r="T909">
            <v>-12</v>
          </cell>
          <cell r="U909">
            <v>40</v>
          </cell>
          <cell r="V909">
            <v>28</v>
          </cell>
          <cell r="W909">
            <v>224</v>
          </cell>
          <cell r="X909">
            <v>33</v>
          </cell>
          <cell r="Y909">
            <v>149</v>
          </cell>
          <cell r="Z909">
            <v>-5</v>
          </cell>
          <cell r="AA909">
            <v>75</v>
          </cell>
          <cell r="AB909">
            <v>126</v>
          </cell>
          <cell r="AC909">
            <v>98</v>
          </cell>
          <cell r="AD909">
            <v>28</v>
          </cell>
          <cell r="AE909">
            <v>252</v>
          </cell>
          <cell r="AF909">
            <v>182</v>
          </cell>
          <cell r="AG909">
            <v>70</v>
          </cell>
        </row>
        <row r="910">
          <cell r="C910">
            <v>41051197</v>
          </cell>
          <cell r="D910" t="str">
            <v>S.D.YELURE &amp; CO.</v>
          </cell>
          <cell r="E910" t="str">
            <v>HPCL</v>
          </cell>
          <cell r="G910" t="str">
            <v>Pune Hadapsar RSA</v>
          </cell>
          <cell r="J910" t="str">
            <v>Patas RHS</v>
          </cell>
          <cell r="K910" t="str">
            <v>Pune</v>
          </cell>
          <cell r="L910" t="str">
            <v>D1</v>
          </cell>
          <cell r="M910" t="str">
            <v>NH-65</v>
          </cell>
          <cell r="O910" t="str">
            <v>A</v>
          </cell>
          <cell r="P910">
            <v>76</v>
          </cell>
          <cell r="Q910">
            <v>162</v>
          </cell>
          <cell r="R910">
            <v>70</v>
          </cell>
          <cell r="S910">
            <v>140</v>
          </cell>
          <cell r="T910">
            <v>6</v>
          </cell>
          <cell r="U910">
            <v>22</v>
          </cell>
          <cell r="V910">
            <v>145</v>
          </cell>
          <cell r="W910">
            <v>289</v>
          </cell>
          <cell r="X910">
            <v>145</v>
          </cell>
          <cell r="Y910">
            <v>289</v>
          </cell>
          <cell r="Z910">
            <v>0</v>
          </cell>
          <cell r="AA910">
            <v>0</v>
          </cell>
          <cell r="AB910">
            <v>238</v>
          </cell>
          <cell r="AC910">
            <v>210</v>
          </cell>
          <cell r="AD910">
            <v>28</v>
          </cell>
          <cell r="AE910">
            <v>434</v>
          </cell>
          <cell r="AF910">
            <v>434</v>
          </cell>
          <cell r="AG910">
            <v>0</v>
          </cell>
        </row>
        <row r="911">
          <cell r="C911">
            <v>41051209</v>
          </cell>
          <cell r="D911" t="str">
            <v>RAJESH AUTOMOBILES</v>
          </cell>
          <cell r="E911" t="str">
            <v>HPCL</v>
          </cell>
          <cell r="G911" t="str">
            <v>Pune Tathawade RSA</v>
          </cell>
          <cell r="J911" t="str">
            <v>KAPURHOL TO SAROLA</v>
          </cell>
          <cell r="K911" t="str">
            <v>Pune</v>
          </cell>
          <cell r="L911" t="str">
            <v>D1</v>
          </cell>
          <cell r="M911" t="str">
            <v>NH-48</v>
          </cell>
          <cell r="O911" t="str">
            <v>B</v>
          </cell>
          <cell r="P911">
            <v>100</v>
          </cell>
          <cell r="Q911">
            <v>160</v>
          </cell>
          <cell r="R911">
            <v>75</v>
          </cell>
          <cell r="S911">
            <v>125</v>
          </cell>
          <cell r="T911">
            <v>25</v>
          </cell>
          <cell r="U911">
            <v>35</v>
          </cell>
          <cell r="V911">
            <v>160</v>
          </cell>
          <cell r="W911">
            <v>280</v>
          </cell>
          <cell r="X911">
            <v>140</v>
          </cell>
          <cell r="Y911">
            <v>260</v>
          </cell>
          <cell r="Z911">
            <v>20</v>
          </cell>
          <cell r="AA911">
            <v>20</v>
          </cell>
          <cell r="AB911">
            <v>260</v>
          </cell>
          <cell r="AC911">
            <v>200</v>
          </cell>
          <cell r="AD911">
            <v>60</v>
          </cell>
          <cell r="AE911">
            <v>440</v>
          </cell>
          <cell r="AF911">
            <v>400</v>
          </cell>
          <cell r="AG911">
            <v>40</v>
          </cell>
        </row>
        <row r="912">
          <cell r="C912">
            <v>41051212</v>
          </cell>
          <cell r="D912" t="str">
            <v>SHREE GANESH AUTO CENTRE</v>
          </cell>
          <cell r="E912" t="str">
            <v>HPCL</v>
          </cell>
          <cell r="G912" t="str">
            <v>Pune Hadapsar RSA</v>
          </cell>
          <cell r="J912" t="str">
            <v>P5_Kesnand</v>
          </cell>
          <cell r="K912" t="str">
            <v>Pune</v>
          </cell>
          <cell r="L912" t="str">
            <v>C</v>
          </cell>
          <cell r="O912" t="str">
            <v>B</v>
          </cell>
          <cell r="P912">
            <v>99</v>
          </cell>
          <cell r="Q912">
            <v>570</v>
          </cell>
          <cell r="R912">
            <v>80</v>
          </cell>
          <cell r="S912">
            <v>437</v>
          </cell>
          <cell r="T912">
            <v>19</v>
          </cell>
          <cell r="U912">
            <v>133</v>
          </cell>
          <cell r="V912">
            <v>189</v>
          </cell>
          <cell r="W912">
            <v>940</v>
          </cell>
          <cell r="X912">
            <v>159</v>
          </cell>
          <cell r="Y912">
            <v>890</v>
          </cell>
          <cell r="Z912">
            <v>30</v>
          </cell>
          <cell r="AA912">
            <v>50</v>
          </cell>
          <cell r="AB912">
            <v>669</v>
          </cell>
          <cell r="AC912">
            <v>517</v>
          </cell>
          <cell r="AD912">
            <v>152</v>
          </cell>
          <cell r="AE912">
            <v>1129</v>
          </cell>
          <cell r="AF912">
            <v>1049</v>
          </cell>
          <cell r="AG912">
            <v>80</v>
          </cell>
        </row>
        <row r="913">
          <cell r="C913">
            <v>41051252</v>
          </cell>
          <cell r="D913" t="str">
            <v>AUTOMOTIVE  SERVICES(11310020)</v>
          </cell>
          <cell r="E913" t="str">
            <v>HPCL</v>
          </cell>
          <cell r="G913" t="str">
            <v>Satara West RSA</v>
          </cell>
          <cell r="J913" t="str">
            <v>Satara to Mahagaon</v>
          </cell>
          <cell r="K913" t="str">
            <v>Satara</v>
          </cell>
          <cell r="L913" t="str">
            <v>D1</v>
          </cell>
          <cell r="M913" t="str">
            <v>NH-548C</v>
          </cell>
          <cell r="O913" t="str">
            <v>B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C914">
            <v>41051262</v>
          </cell>
          <cell r="D914" t="str">
            <v>Dnyaneshwar K S K</v>
          </cell>
          <cell r="E914" t="str">
            <v>HPCL</v>
          </cell>
          <cell r="G914" t="str">
            <v>Ahmednagar East RSA</v>
          </cell>
          <cell r="J914" t="str">
            <v>Khadka Phata</v>
          </cell>
          <cell r="K914" t="str">
            <v>Ahmednagar</v>
          </cell>
          <cell r="L914" t="str">
            <v>D1</v>
          </cell>
          <cell r="M914" t="str">
            <v>NH-753F</v>
          </cell>
          <cell r="O914" t="str">
            <v>A</v>
          </cell>
          <cell r="P914">
            <v>87</v>
          </cell>
          <cell r="Q914">
            <v>117</v>
          </cell>
          <cell r="R914">
            <v>112</v>
          </cell>
          <cell r="S914">
            <v>172</v>
          </cell>
          <cell r="T914">
            <v>-25</v>
          </cell>
          <cell r="U914">
            <v>-55</v>
          </cell>
          <cell r="V914">
            <v>177</v>
          </cell>
          <cell r="W914">
            <v>255</v>
          </cell>
          <cell r="X914">
            <v>189</v>
          </cell>
          <cell r="Y914">
            <v>279</v>
          </cell>
          <cell r="Z914">
            <v>-12</v>
          </cell>
          <cell r="AA914">
            <v>-24</v>
          </cell>
          <cell r="AB914">
            <v>204</v>
          </cell>
          <cell r="AC914">
            <v>284</v>
          </cell>
          <cell r="AD914">
            <v>-80</v>
          </cell>
          <cell r="AE914">
            <v>432</v>
          </cell>
          <cell r="AF914">
            <v>468</v>
          </cell>
          <cell r="AG914">
            <v>-36</v>
          </cell>
        </row>
        <row r="915">
          <cell r="C915">
            <v>41051290</v>
          </cell>
          <cell r="D915" t="str">
            <v>RENUKA PETROLEUM</v>
          </cell>
          <cell r="E915" t="str">
            <v>HPCL</v>
          </cell>
          <cell r="G915" t="str">
            <v>Ahmednagar West RSA</v>
          </cell>
          <cell r="J915" t="str">
            <v>KHARDA</v>
          </cell>
          <cell r="K915" t="str">
            <v>Ahmednagar</v>
          </cell>
          <cell r="L915" t="str">
            <v>D2</v>
          </cell>
          <cell r="O915" t="str">
            <v>A</v>
          </cell>
          <cell r="P915">
            <v>54</v>
          </cell>
          <cell r="Q915">
            <v>138</v>
          </cell>
          <cell r="R915">
            <v>57</v>
          </cell>
          <cell r="S915">
            <v>159</v>
          </cell>
          <cell r="T915">
            <v>-3</v>
          </cell>
          <cell r="U915">
            <v>-21</v>
          </cell>
          <cell r="V915">
            <v>111</v>
          </cell>
          <cell r="W915">
            <v>297</v>
          </cell>
          <cell r="X915">
            <v>111</v>
          </cell>
          <cell r="Y915">
            <v>333</v>
          </cell>
          <cell r="Z915">
            <v>0</v>
          </cell>
          <cell r="AA915">
            <v>-36</v>
          </cell>
          <cell r="AB915">
            <v>192</v>
          </cell>
          <cell r="AC915">
            <v>216</v>
          </cell>
          <cell r="AD915">
            <v>-24</v>
          </cell>
          <cell r="AE915">
            <v>408</v>
          </cell>
          <cell r="AF915">
            <v>444</v>
          </cell>
          <cell r="AG915">
            <v>-36</v>
          </cell>
        </row>
        <row r="916">
          <cell r="C916">
            <v>41051516</v>
          </cell>
          <cell r="D916" t="str">
            <v>Panchratna Petroleum</v>
          </cell>
          <cell r="E916" t="str">
            <v>HPCL</v>
          </cell>
          <cell r="F916" t="str">
            <v>2012-13</v>
          </cell>
          <cell r="G916" t="str">
            <v>Ahmednagar West RSA</v>
          </cell>
          <cell r="J916" t="str">
            <v>Khed</v>
          </cell>
          <cell r="K916" t="str">
            <v>Ahmednagar</v>
          </cell>
          <cell r="L916" t="str">
            <v>D2</v>
          </cell>
          <cell r="O916" t="str">
            <v>A</v>
          </cell>
          <cell r="P916">
            <v>27</v>
          </cell>
          <cell r="Q916">
            <v>89</v>
          </cell>
          <cell r="R916">
            <v>25</v>
          </cell>
          <cell r="S916">
            <v>75</v>
          </cell>
          <cell r="T916">
            <v>2</v>
          </cell>
          <cell r="U916">
            <v>14</v>
          </cell>
          <cell r="V916">
            <v>50</v>
          </cell>
          <cell r="W916">
            <v>178</v>
          </cell>
          <cell r="X916">
            <v>50</v>
          </cell>
          <cell r="Y916">
            <v>172</v>
          </cell>
          <cell r="Z916">
            <v>0</v>
          </cell>
          <cell r="AA916">
            <v>6</v>
          </cell>
          <cell r="AB916">
            <v>116</v>
          </cell>
          <cell r="AC916">
            <v>100</v>
          </cell>
          <cell r="AD916">
            <v>16</v>
          </cell>
          <cell r="AE916">
            <v>228</v>
          </cell>
          <cell r="AF916">
            <v>222</v>
          </cell>
          <cell r="AG916">
            <v>6</v>
          </cell>
        </row>
        <row r="917">
          <cell r="C917">
            <v>41051605</v>
          </cell>
          <cell r="D917" t="str">
            <v>SONAJ PETROLEUM</v>
          </cell>
          <cell r="E917" t="str">
            <v>HPCL</v>
          </cell>
          <cell r="G917" t="str">
            <v>Pune Saswad RSA</v>
          </cell>
          <cell r="J917" t="str">
            <v>BHIGWAN</v>
          </cell>
          <cell r="K917" t="str">
            <v>Pune</v>
          </cell>
          <cell r="L917" t="str">
            <v>D1</v>
          </cell>
          <cell r="M917" t="str">
            <v>NH-65</v>
          </cell>
          <cell r="O917" t="str">
            <v>B</v>
          </cell>
          <cell r="P917">
            <v>38.5</v>
          </cell>
          <cell r="Q917">
            <v>199.5</v>
          </cell>
          <cell r="R917">
            <v>35</v>
          </cell>
          <cell r="S917">
            <v>175</v>
          </cell>
          <cell r="T917">
            <v>3.5</v>
          </cell>
          <cell r="U917">
            <v>24.5</v>
          </cell>
          <cell r="V917">
            <v>70</v>
          </cell>
          <cell r="W917">
            <v>378</v>
          </cell>
          <cell r="X917">
            <v>63</v>
          </cell>
          <cell r="Y917">
            <v>329</v>
          </cell>
          <cell r="Z917">
            <v>7</v>
          </cell>
          <cell r="AA917">
            <v>49</v>
          </cell>
          <cell r="AB917">
            <v>238</v>
          </cell>
          <cell r="AC917">
            <v>210</v>
          </cell>
          <cell r="AD917">
            <v>28</v>
          </cell>
          <cell r="AE917">
            <v>448</v>
          </cell>
          <cell r="AF917">
            <v>392</v>
          </cell>
          <cell r="AG917">
            <v>56</v>
          </cell>
        </row>
        <row r="918">
          <cell r="C918">
            <v>41051654</v>
          </cell>
          <cell r="D918" t="str">
            <v>VIKAS PETROLEUM</v>
          </cell>
          <cell r="E918" t="str">
            <v>HPCL</v>
          </cell>
          <cell r="G918" t="str">
            <v>Pune Hadapsar RSA</v>
          </cell>
          <cell r="J918" t="str">
            <v>Hadapsar RHS</v>
          </cell>
          <cell r="K918" t="str">
            <v>Pune</v>
          </cell>
          <cell r="L918" t="str">
            <v>A</v>
          </cell>
          <cell r="O918" t="str">
            <v>A</v>
          </cell>
          <cell r="P918">
            <v>148</v>
          </cell>
          <cell r="Q918">
            <v>32</v>
          </cell>
          <cell r="R918">
            <v>44</v>
          </cell>
          <cell r="S918">
            <v>16</v>
          </cell>
          <cell r="T918">
            <v>104</v>
          </cell>
          <cell r="U918">
            <v>16</v>
          </cell>
          <cell r="V918">
            <v>316</v>
          </cell>
          <cell r="W918">
            <v>100</v>
          </cell>
          <cell r="X918">
            <v>133</v>
          </cell>
          <cell r="Y918">
            <v>79</v>
          </cell>
          <cell r="Z918">
            <v>183</v>
          </cell>
          <cell r="AA918">
            <v>21</v>
          </cell>
          <cell r="AB918">
            <v>180</v>
          </cell>
          <cell r="AC918">
            <v>60</v>
          </cell>
          <cell r="AD918">
            <v>120</v>
          </cell>
          <cell r="AE918">
            <v>416</v>
          </cell>
          <cell r="AF918">
            <v>212</v>
          </cell>
          <cell r="AG918">
            <v>204</v>
          </cell>
        </row>
        <row r="919">
          <cell r="C919">
            <v>41051674</v>
          </cell>
          <cell r="D919" t="str">
            <v>SARAJA PETROLEUM</v>
          </cell>
          <cell r="E919" t="str">
            <v>HPCL</v>
          </cell>
          <cell r="F919" t="str">
            <v>2012-13</v>
          </cell>
          <cell r="G919" t="str">
            <v>Shirdi RSA</v>
          </cell>
          <cell r="J919" t="str">
            <v>MAMDAPUR</v>
          </cell>
          <cell r="K919" t="str">
            <v>Ahmednagar</v>
          </cell>
          <cell r="L919" t="str">
            <v>D2</v>
          </cell>
          <cell r="O919" t="str">
            <v>B</v>
          </cell>
          <cell r="P919">
            <v>0</v>
          </cell>
          <cell r="Q919">
            <v>0</v>
          </cell>
          <cell r="R919">
            <v>12</v>
          </cell>
          <cell r="S919">
            <v>12</v>
          </cell>
          <cell r="T919">
            <v>-12</v>
          </cell>
          <cell r="U919">
            <v>-12</v>
          </cell>
          <cell r="V919">
            <v>6</v>
          </cell>
          <cell r="W919">
            <v>6</v>
          </cell>
          <cell r="X919">
            <v>32</v>
          </cell>
          <cell r="Y919">
            <v>40</v>
          </cell>
          <cell r="Z919">
            <v>-26</v>
          </cell>
          <cell r="AA919">
            <v>-34</v>
          </cell>
          <cell r="AB919">
            <v>0</v>
          </cell>
          <cell r="AC919">
            <v>24</v>
          </cell>
          <cell r="AD919">
            <v>-24</v>
          </cell>
          <cell r="AE919">
            <v>12</v>
          </cell>
          <cell r="AF919">
            <v>72</v>
          </cell>
          <cell r="AG919">
            <v>-60</v>
          </cell>
        </row>
        <row r="920">
          <cell r="C920">
            <v>41051676</v>
          </cell>
          <cell r="D920" t="str">
            <v>OM SAI FUELS</v>
          </cell>
          <cell r="E920" t="str">
            <v>HPCL</v>
          </cell>
          <cell r="F920" t="str">
            <v>2012-13</v>
          </cell>
          <cell r="G920" t="str">
            <v>Shirdi RSA</v>
          </cell>
          <cell r="J920" t="str">
            <v>AKOLE</v>
          </cell>
          <cell r="K920" t="str">
            <v>Ahmednagar</v>
          </cell>
          <cell r="L920" t="str">
            <v>D2</v>
          </cell>
          <cell r="O920" t="str">
            <v>B</v>
          </cell>
          <cell r="P920">
            <v>45</v>
          </cell>
          <cell r="Q920">
            <v>63</v>
          </cell>
          <cell r="R920">
            <v>57</v>
          </cell>
          <cell r="S920">
            <v>75</v>
          </cell>
          <cell r="T920">
            <v>-12</v>
          </cell>
          <cell r="U920">
            <v>-12</v>
          </cell>
          <cell r="V920">
            <v>96</v>
          </cell>
          <cell r="W920">
            <v>144</v>
          </cell>
          <cell r="X920">
            <v>108</v>
          </cell>
          <cell r="Y920">
            <v>156</v>
          </cell>
          <cell r="Z920">
            <v>-12</v>
          </cell>
          <cell r="AA920">
            <v>-12</v>
          </cell>
          <cell r="AB920">
            <v>108</v>
          </cell>
          <cell r="AC920">
            <v>132</v>
          </cell>
          <cell r="AD920">
            <v>-24</v>
          </cell>
          <cell r="AE920">
            <v>240</v>
          </cell>
          <cell r="AF920">
            <v>264</v>
          </cell>
          <cell r="AG920">
            <v>-24</v>
          </cell>
        </row>
        <row r="921">
          <cell r="C921">
            <v>41051679</v>
          </cell>
          <cell r="D921" t="str">
            <v>D. P. Kale</v>
          </cell>
          <cell r="E921" t="str">
            <v>HPCL</v>
          </cell>
          <cell r="G921" t="str">
            <v>Shirdi RSA</v>
          </cell>
          <cell r="J921" t="str">
            <v>YESGAON</v>
          </cell>
          <cell r="K921" t="str">
            <v>Ahmednagar</v>
          </cell>
          <cell r="L921" t="str">
            <v>D1</v>
          </cell>
          <cell r="M921" t="str">
            <v>NH-752G</v>
          </cell>
          <cell r="O921" t="str">
            <v>A</v>
          </cell>
          <cell r="P921">
            <v>21</v>
          </cell>
          <cell r="Q921">
            <v>51</v>
          </cell>
          <cell r="R921">
            <v>3</v>
          </cell>
          <cell r="S921">
            <v>33</v>
          </cell>
          <cell r="T921">
            <v>18</v>
          </cell>
          <cell r="U921">
            <v>18</v>
          </cell>
          <cell r="V921">
            <v>36</v>
          </cell>
          <cell r="W921">
            <v>108</v>
          </cell>
          <cell r="X921">
            <v>12</v>
          </cell>
          <cell r="Y921">
            <v>60</v>
          </cell>
          <cell r="Z921">
            <v>24</v>
          </cell>
          <cell r="AA921">
            <v>48</v>
          </cell>
          <cell r="AB921">
            <v>72</v>
          </cell>
          <cell r="AC921">
            <v>36</v>
          </cell>
          <cell r="AD921">
            <v>36</v>
          </cell>
          <cell r="AE921">
            <v>144</v>
          </cell>
          <cell r="AF921">
            <v>72</v>
          </cell>
          <cell r="AG921">
            <v>72</v>
          </cell>
        </row>
        <row r="922">
          <cell r="C922">
            <v>41051682</v>
          </cell>
          <cell r="D922" t="str">
            <v>KM-DATE-SONAWANE</v>
          </cell>
          <cell r="E922" t="str">
            <v>HPCL</v>
          </cell>
          <cell r="F922" t="str">
            <v>2012-13</v>
          </cell>
          <cell r="G922" t="str">
            <v>Ahmednagar West RSA</v>
          </cell>
          <cell r="J922" t="str">
            <v>JAKHANGAON</v>
          </cell>
          <cell r="K922" t="str">
            <v>Ahmednagar</v>
          </cell>
          <cell r="L922" t="str">
            <v>D1</v>
          </cell>
          <cell r="M922" t="str">
            <v>NH-61</v>
          </cell>
          <cell r="O922" t="str">
            <v>A</v>
          </cell>
          <cell r="P922">
            <v>30</v>
          </cell>
          <cell r="Q922">
            <v>130</v>
          </cell>
          <cell r="R922">
            <v>15</v>
          </cell>
          <cell r="S922">
            <v>105</v>
          </cell>
          <cell r="T922">
            <v>15</v>
          </cell>
          <cell r="U922">
            <v>25</v>
          </cell>
          <cell r="V922">
            <v>55</v>
          </cell>
          <cell r="W922">
            <v>239</v>
          </cell>
          <cell r="X922">
            <v>43</v>
          </cell>
          <cell r="Y922">
            <v>229</v>
          </cell>
          <cell r="Z922">
            <v>12</v>
          </cell>
          <cell r="AA922">
            <v>10</v>
          </cell>
          <cell r="AB922">
            <v>160</v>
          </cell>
          <cell r="AC922">
            <v>120</v>
          </cell>
          <cell r="AD922">
            <v>40</v>
          </cell>
          <cell r="AE922">
            <v>294</v>
          </cell>
          <cell r="AF922">
            <v>272</v>
          </cell>
          <cell r="AG922">
            <v>22</v>
          </cell>
        </row>
        <row r="923">
          <cell r="C923">
            <v>41051859</v>
          </cell>
          <cell r="D923" t="str">
            <v>GANGABABA PETROLEUM</v>
          </cell>
          <cell r="E923" t="str">
            <v>HPCL</v>
          </cell>
          <cell r="G923" t="str">
            <v>Ahmednagar West RSA</v>
          </cell>
          <cell r="J923" t="str">
            <v>SHEKTE</v>
          </cell>
          <cell r="K923" t="str">
            <v>Ahmednagar</v>
          </cell>
          <cell r="L923" t="str">
            <v>D1</v>
          </cell>
          <cell r="M923" t="str">
            <v>NH-61</v>
          </cell>
          <cell r="O923" t="str">
            <v>A</v>
          </cell>
          <cell r="P923">
            <v>70</v>
          </cell>
          <cell r="Q923">
            <v>230</v>
          </cell>
          <cell r="R923">
            <v>70</v>
          </cell>
          <cell r="S923">
            <v>190</v>
          </cell>
          <cell r="T923">
            <v>0</v>
          </cell>
          <cell r="U923">
            <v>40</v>
          </cell>
          <cell r="V923">
            <v>140</v>
          </cell>
          <cell r="W923">
            <v>360</v>
          </cell>
          <cell r="X923">
            <v>135</v>
          </cell>
          <cell r="Y923">
            <v>365</v>
          </cell>
          <cell r="Z923">
            <v>5</v>
          </cell>
          <cell r="AA923">
            <v>-5</v>
          </cell>
          <cell r="AB923">
            <v>300</v>
          </cell>
          <cell r="AC923">
            <v>260</v>
          </cell>
          <cell r="AD923">
            <v>40</v>
          </cell>
          <cell r="AE923">
            <v>500</v>
          </cell>
          <cell r="AF923">
            <v>500</v>
          </cell>
          <cell r="AG923">
            <v>0</v>
          </cell>
        </row>
        <row r="924">
          <cell r="C924">
            <v>41051874</v>
          </cell>
          <cell r="D924" t="str">
            <v>Shri Sai Samarth Petroleum</v>
          </cell>
          <cell r="E924" t="str">
            <v>HPCL</v>
          </cell>
          <cell r="F924" t="str">
            <v>2012-13</v>
          </cell>
          <cell r="G924" t="str">
            <v>Shirdi RSA</v>
          </cell>
          <cell r="J924" t="str">
            <v>KOPARGAON NH</v>
          </cell>
          <cell r="K924" t="str">
            <v>Ahmednagar</v>
          </cell>
          <cell r="L924" t="str">
            <v>D1</v>
          </cell>
          <cell r="M924" t="str">
            <v>NH-752G</v>
          </cell>
          <cell r="O924" t="str">
            <v>B</v>
          </cell>
          <cell r="P924">
            <v>30</v>
          </cell>
          <cell r="Q924">
            <v>78</v>
          </cell>
          <cell r="R924">
            <v>40</v>
          </cell>
          <cell r="S924">
            <v>74</v>
          </cell>
          <cell r="T924">
            <v>-10</v>
          </cell>
          <cell r="U924">
            <v>4</v>
          </cell>
          <cell r="V924">
            <v>66</v>
          </cell>
          <cell r="W924">
            <v>162</v>
          </cell>
          <cell r="X924">
            <v>76</v>
          </cell>
          <cell r="Y924">
            <v>146</v>
          </cell>
          <cell r="Z924">
            <v>-10</v>
          </cell>
          <cell r="AA924">
            <v>16</v>
          </cell>
          <cell r="AB924">
            <v>108</v>
          </cell>
          <cell r="AC924">
            <v>114</v>
          </cell>
          <cell r="AD924">
            <v>-6</v>
          </cell>
          <cell r="AE924">
            <v>228</v>
          </cell>
          <cell r="AF924">
            <v>222</v>
          </cell>
          <cell r="AG924">
            <v>6</v>
          </cell>
        </row>
        <row r="925">
          <cell r="C925">
            <v>41051877</v>
          </cell>
          <cell r="D925" t="str">
            <v>Shri Shiv Parvati Petroleum</v>
          </cell>
          <cell r="E925" t="str">
            <v>HPCL</v>
          </cell>
          <cell r="G925" t="str">
            <v>Ahmednagar East RSA</v>
          </cell>
          <cell r="J925" t="str">
            <v>Amrapur</v>
          </cell>
          <cell r="K925" t="str">
            <v>Ahmednagar</v>
          </cell>
          <cell r="L925" t="str">
            <v>D2</v>
          </cell>
          <cell r="O925" t="str">
            <v>B</v>
          </cell>
          <cell r="P925">
            <v>37</v>
          </cell>
          <cell r="Q925">
            <v>111</v>
          </cell>
          <cell r="R925">
            <v>47</v>
          </cell>
          <cell r="S925">
            <v>111</v>
          </cell>
          <cell r="T925">
            <v>-10</v>
          </cell>
          <cell r="U925">
            <v>0</v>
          </cell>
          <cell r="V925">
            <v>86</v>
          </cell>
          <cell r="W925">
            <v>234</v>
          </cell>
          <cell r="X925">
            <v>94</v>
          </cell>
          <cell r="Y925">
            <v>216</v>
          </cell>
          <cell r="Z925">
            <v>-8</v>
          </cell>
          <cell r="AA925">
            <v>18</v>
          </cell>
          <cell r="AB925">
            <v>148</v>
          </cell>
          <cell r="AC925">
            <v>158</v>
          </cell>
          <cell r="AD925">
            <v>-10</v>
          </cell>
          <cell r="AE925">
            <v>320</v>
          </cell>
          <cell r="AF925">
            <v>310</v>
          </cell>
          <cell r="AG925">
            <v>10</v>
          </cell>
        </row>
        <row r="926">
          <cell r="C926">
            <v>41051934</v>
          </cell>
          <cell r="D926" t="str">
            <v>SKGS Sai Siddhi Pet</v>
          </cell>
          <cell r="E926" t="str">
            <v>HPCL</v>
          </cell>
          <cell r="F926" t="str">
            <v>2012-13</v>
          </cell>
          <cell r="G926" t="str">
            <v>Shirdi RSA</v>
          </cell>
          <cell r="J926" t="str">
            <v xml:space="preserve">SHIRDI </v>
          </cell>
          <cell r="K926" t="str">
            <v>Ahmednagar</v>
          </cell>
          <cell r="L926" t="str">
            <v>D1</v>
          </cell>
          <cell r="M926" t="str">
            <v>NH-160</v>
          </cell>
          <cell r="O926" t="str">
            <v>A</v>
          </cell>
          <cell r="P926">
            <v>149</v>
          </cell>
          <cell r="Q926">
            <v>213</v>
          </cell>
          <cell r="R926">
            <v>103.5</v>
          </cell>
          <cell r="S926">
            <v>238.5</v>
          </cell>
          <cell r="T926">
            <v>45.5</v>
          </cell>
          <cell r="U926">
            <v>-25.5</v>
          </cell>
          <cell r="V926">
            <v>293</v>
          </cell>
          <cell r="W926">
            <v>465</v>
          </cell>
          <cell r="X926">
            <v>222</v>
          </cell>
          <cell r="Y926">
            <v>474</v>
          </cell>
          <cell r="Z926">
            <v>71</v>
          </cell>
          <cell r="AA926">
            <v>-9</v>
          </cell>
          <cell r="AB926">
            <v>362</v>
          </cell>
          <cell r="AC926">
            <v>342</v>
          </cell>
          <cell r="AD926">
            <v>20</v>
          </cell>
          <cell r="AE926">
            <v>758</v>
          </cell>
          <cell r="AF926">
            <v>696</v>
          </cell>
          <cell r="AG926">
            <v>62</v>
          </cell>
        </row>
        <row r="927">
          <cell r="C927">
            <v>41051939</v>
          </cell>
          <cell r="D927" t="str">
            <v>HIRA PETROLEUM</v>
          </cell>
          <cell r="E927" t="str">
            <v>HPCL</v>
          </cell>
          <cell r="F927" t="str">
            <v>2012-13</v>
          </cell>
          <cell r="G927" t="str">
            <v>Ahmednagar East RSA</v>
          </cell>
          <cell r="J927" t="str">
            <v>Khadka Phata</v>
          </cell>
          <cell r="K927" t="str">
            <v>Ahmednagar</v>
          </cell>
          <cell r="L927" t="str">
            <v>D1</v>
          </cell>
          <cell r="M927" t="str">
            <v>NH-753F</v>
          </cell>
          <cell r="O927" t="str">
            <v>A</v>
          </cell>
          <cell r="P927">
            <v>60</v>
          </cell>
          <cell r="Q927">
            <v>180</v>
          </cell>
          <cell r="R927">
            <v>66.5</v>
          </cell>
          <cell r="S927">
            <v>198.5</v>
          </cell>
          <cell r="T927">
            <v>-6.5</v>
          </cell>
          <cell r="U927">
            <v>-18.5</v>
          </cell>
          <cell r="V927">
            <v>110</v>
          </cell>
          <cell r="W927">
            <v>350</v>
          </cell>
          <cell r="X927">
            <v>120</v>
          </cell>
          <cell r="Y927">
            <v>371</v>
          </cell>
          <cell r="Z927">
            <v>-10</v>
          </cell>
          <cell r="AA927">
            <v>-21</v>
          </cell>
          <cell r="AB927">
            <v>240</v>
          </cell>
          <cell r="AC927">
            <v>265</v>
          </cell>
          <cell r="AD927">
            <v>-25</v>
          </cell>
          <cell r="AE927">
            <v>460</v>
          </cell>
          <cell r="AF927">
            <v>491</v>
          </cell>
          <cell r="AG927">
            <v>-31</v>
          </cell>
        </row>
        <row r="928">
          <cell r="C928">
            <v>41051949</v>
          </cell>
          <cell r="D928" t="str">
            <v>OM SAI PETROLEUM</v>
          </cell>
          <cell r="E928" t="str">
            <v>HPCL</v>
          </cell>
          <cell r="F928" t="str">
            <v>2012-13</v>
          </cell>
          <cell r="G928" t="str">
            <v>Pune City RSA</v>
          </cell>
          <cell r="J928" t="str">
            <v>GHOTAWADE</v>
          </cell>
          <cell r="K928" t="str">
            <v>Pune</v>
          </cell>
          <cell r="L928" t="str">
            <v>D2</v>
          </cell>
          <cell r="O928" t="str">
            <v>A</v>
          </cell>
          <cell r="P928">
            <v>57</v>
          </cell>
          <cell r="Q928">
            <v>129</v>
          </cell>
          <cell r="R928">
            <v>70</v>
          </cell>
          <cell r="S928">
            <v>142</v>
          </cell>
          <cell r="T928">
            <v>-13</v>
          </cell>
          <cell r="U928">
            <v>-13</v>
          </cell>
          <cell r="V928">
            <v>111</v>
          </cell>
          <cell r="W928">
            <v>237</v>
          </cell>
          <cell r="X928">
            <v>119</v>
          </cell>
          <cell r="Y928">
            <v>263</v>
          </cell>
          <cell r="Z928">
            <v>-8</v>
          </cell>
          <cell r="AA928">
            <v>-26</v>
          </cell>
          <cell r="AB928">
            <v>186</v>
          </cell>
          <cell r="AC928">
            <v>212</v>
          </cell>
          <cell r="AD928">
            <v>-26</v>
          </cell>
          <cell r="AE928">
            <v>348</v>
          </cell>
          <cell r="AF928">
            <v>382</v>
          </cell>
          <cell r="AG928">
            <v>-34</v>
          </cell>
        </row>
        <row r="929">
          <cell r="C929">
            <v>41051951</v>
          </cell>
          <cell r="D929" t="str">
            <v>KRUSHNAMAI PETROLEUM</v>
          </cell>
          <cell r="E929" t="str">
            <v>HPCL</v>
          </cell>
          <cell r="F929" t="str">
            <v>2012-13</v>
          </cell>
          <cell r="G929" t="str">
            <v>Pune Hadapsar RSA</v>
          </cell>
          <cell r="J929" t="str">
            <v>Pimpri Sandaz</v>
          </cell>
          <cell r="K929" t="str">
            <v>Pune</v>
          </cell>
          <cell r="L929" t="str">
            <v>D2</v>
          </cell>
          <cell r="O929" t="str">
            <v>A</v>
          </cell>
          <cell r="P929">
            <v>72</v>
          </cell>
          <cell r="Q929">
            <v>194</v>
          </cell>
          <cell r="R929">
            <v>51</v>
          </cell>
          <cell r="S929">
            <v>145</v>
          </cell>
          <cell r="T929">
            <v>21</v>
          </cell>
          <cell r="U929">
            <v>49</v>
          </cell>
          <cell r="V929">
            <v>137</v>
          </cell>
          <cell r="W929">
            <v>367</v>
          </cell>
          <cell r="X929">
            <v>95</v>
          </cell>
          <cell r="Y929">
            <v>283</v>
          </cell>
          <cell r="Z929">
            <v>42</v>
          </cell>
          <cell r="AA929">
            <v>84</v>
          </cell>
          <cell r="AB929">
            <v>266</v>
          </cell>
          <cell r="AC929">
            <v>196</v>
          </cell>
          <cell r="AD929">
            <v>70</v>
          </cell>
          <cell r="AE929">
            <v>504</v>
          </cell>
          <cell r="AF929">
            <v>378</v>
          </cell>
          <cell r="AG929">
            <v>126</v>
          </cell>
        </row>
        <row r="930">
          <cell r="C930">
            <v>41051954</v>
          </cell>
          <cell r="D930" t="str">
            <v>BARGE PETROLEUM</v>
          </cell>
          <cell r="E930" t="str">
            <v>HPCL</v>
          </cell>
          <cell r="F930" t="str">
            <v>2012-13</v>
          </cell>
          <cell r="G930" t="str">
            <v>Pune Tathawade RSA</v>
          </cell>
          <cell r="J930" t="str">
            <v>BARAMATI ON PHALTAN ROAD</v>
          </cell>
          <cell r="K930" t="str">
            <v>Pune</v>
          </cell>
          <cell r="L930" t="str">
            <v>D1</v>
          </cell>
          <cell r="M930" t="str">
            <v>NH-160</v>
          </cell>
          <cell r="O930" t="str">
            <v>A</v>
          </cell>
          <cell r="P930">
            <v>69</v>
          </cell>
          <cell r="Q930">
            <v>99</v>
          </cell>
          <cell r="R930">
            <v>72</v>
          </cell>
          <cell r="S930">
            <v>84</v>
          </cell>
          <cell r="T930">
            <v>-3</v>
          </cell>
          <cell r="U930">
            <v>15</v>
          </cell>
          <cell r="V930">
            <v>144</v>
          </cell>
          <cell r="W930">
            <v>192</v>
          </cell>
          <cell r="X930">
            <v>129</v>
          </cell>
          <cell r="Y930">
            <v>159</v>
          </cell>
          <cell r="Z930">
            <v>15</v>
          </cell>
          <cell r="AA930">
            <v>33</v>
          </cell>
          <cell r="AB930">
            <v>168</v>
          </cell>
          <cell r="AC930">
            <v>156</v>
          </cell>
          <cell r="AD930">
            <v>12</v>
          </cell>
          <cell r="AE930">
            <v>336</v>
          </cell>
          <cell r="AF930">
            <v>288</v>
          </cell>
          <cell r="AG930">
            <v>48</v>
          </cell>
        </row>
        <row r="931">
          <cell r="C931">
            <v>41051963</v>
          </cell>
          <cell r="D931" t="str">
            <v>Maitreya Petroleum</v>
          </cell>
          <cell r="E931" t="str">
            <v>HPCL</v>
          </cell>
          <cell r="F931" t="str">
            <v>2012-13</v>
          </cell>
          <cell r="G931" t="str">
            <v>Pune Wagholi RSA</v>
          </cell>
          <cell r="J931" t="str">
            <v>Ranjangaon to Shirur RHS</v>
          </cell>
          <cell r="K931" t="str">
            <v>Pune</v>
          </cell>
          <cell r="L931" t="str">
            <v>D1</v>
          </cell>
          <cell r="M931" t="str">
            <v>NH-753F</v>
          </cell>
          <cell r="O931" t="str">
            <v>A</v>
          </cell>
          <cell r="P931">
            <v>85</v>
          </cell>
          <cell r="Q931">
            <v>326</v>
          </cell>
          <cell r="R931">
            <v>67.5</v>
          </cell>
          <cell r="S931">
            <v>228.5</v>
          </cell>
          <cell r="T931">
            <v>17.5</v>
          </cell>
          <cell r="U931">
            <v>97.5</v>
          </cell>
          <cell r="V931">
            <v>146</v>
          </cell>
          <cell r="W931">
            <v>577</v>
          </cell>
          <cell r="X931">
            <v>126.5</v>
          </cell>
          <cell r="Y931">
            <v>445.5</v>
          </cell>
          <cell r="Z931">
            <v>19.5</v>
          </cell>
          <cell r="AA931">
            <v>131.5</v>
          </cell>
          <cell r="AB931">
            <v>411</v>
          </cell>
          <cell r="AC931">
            <v>296</v>
          </cell>
          <cell r="AD931">
            <v>115</v>
          </cell>
          <cell r="AE931">
            <v>723</v>
          </cell>
          <cell r="AF931">
            <v>572</v>
          </cell>
          <cell r="AG931">
            <v>151</v>
          </cell>
        </row>
        <row r="932">
          <cell r="C932">
            <v>41051967</v>
          </cell>
          <cell r="D932" t="str">
            <v>Ashtavinayak Hamara Pump</v>
          </cell>
          <cell r="E932" t="str">
            <v>HPCL</v>
          </cell>
          <cell r="F932" t="str">
            <v>2012-13</v>
          </cell>
          <cell r="G932" t="str">
            <v>Pune Wagholi RSA</v>
          </cell>
          <cell r="J932" t="str">
            <v>Manjrewadi</v>
          </cell>
          <cell r="K932" t="str">
            <v>Pune</v>
          </cell>
          <cell r="L932" t="str">
            <v>D2</v>
          </cell>
          <cell r="O932" t="str">
            <v>B</v>
          </cell>
          <cell r="P932">
            <v>55</v>
          </cell>
          <cell r="Q932">
            <v>125</v>
          </cell>
          <cell r="R932">
            <v>55</v>
          </cell>
          <cell r="S932">
            <v>105</v>
          </cell>
          <cell r="T932">
            <v>0</v>
          </cell>
          <cell r="U932">
            <v>20</v>
          </cell>
          <cell r="V932">
            <v>105</v>
          </cell>
          <cell r="W932">
            <v>235</v>
          </cell>
          <cell r="X932">
            <v>110</v>
          </cell>
          <cell r="Y932">
            <v>230</v>
          </cell>
          <cell r="Z932">
            <v>-5</v>
          </cell>
          <cell r="AA932">
            <v>5</v>
          </cell>
          <cell r="AB932">
            <v>180</v>
          </cell>
          <cell r="AC932">
            <v>160</v>
          </cell>
          <cell r="AD932">
            <v>20</v>
          </cell>
          <cell r="AE932">
            <v>340</v>
          </cell>
          <cell r="AF932">
            <v>340</v>
          </cell>
          <cell r="AG932">
            <v>0</v>
          </cell>
        </row>
        <row r="933">
          <cell r="C933">
            <v>41051971</v>
          </cell>
          <cell r="D933" t="str">
            <v>VITTAI PETROLEUM</v>
          </cell>
          <cell r="E933" t="str">
            <v>HPCL</v>
          </cell>
          <cell r="G933" t="str">
            <v>Pune Wagholi RSA</v>
          </cell>
          <cell r="J933" t="str">
            <v>LONIKAND to KOREGAON BHIMA LHS</v>
          </cell>
          <cell r="K933" t="str">
            <v>Pune</v>
          </cell>
          <cell r="L933" t="str">
            <v>D1</v>
          </cell>
          <cell r="M933" t="str">
            <v>NH-753F</v>
          </cell>
          <cell r="O933" t="str">
            <v>A</v>
          </cell>
          <cell r="P933">
            <v>80</v>
          </cell>
          <cell r="Q933">
            <v>340</v>
          </cell>
          <cell r="R933">
            <v>85</v>
          </cell>
          <cell r="S933">
            <v>291</v>
          </cell>
          <cell r="T933">
            <v>-5</v>
          </cell>
          <cell r="U933">
            <v>49</v>
          </cell>
          <cell r="V933">
            <v>160</v>
          </cell>
          <cell r="W933">
            <v>640</v>
          </cell>
          <cell r="X933">
            <v>165</v>
          </cell>
          <cell r="Y933">
            <v>609</v>
          </cell>
          <cell r="Z933">
            <v>-5</v>
          </cell>
          <cell r="AA933">
            <v>31</v>
          </cell>
          <cell r="AB933">
            <v>420</v>
          </cell>
          <cell r="AC933">
            <v>376</v>
          </cell>
          <cell r="AD933">
            <v>44</v>
          </cell>
          <cell r="AE933">
            <v>800</v>
          </cell>
          <cell r="AF933">
            <v>774</v>
          </cell>
          <cell r="AG933">
            <v>26</v>
          </cell>
        </row>
        <row r="934">
          <cell r="C934">
            <v>41051973</v>
          </cell>
          <cell r="D934" t="str">
            <v>SAIEE PETROLEUM</v>
          </cell>
          <cell r="E934" t="str">
            <v>HPCL</v>
          </cell>
          <cell r="F934" t="str">
            <v>2012-13</v>
          </cell>
          <cell r="G934" t="str">
            <v>Pimpri Chinchwad RSA</v>
          </cell>
          <cell r="J934" t="str">
            <v>Talegaon MIDC</v>
          </cell>
          <cell r="K934" t="str">
            <v>Pune</v>
          </cell>
          <cell r="L934" t="str">
            <v>C</v>
          </cell>
          <cell r="O934" t="str">
            <v>B</v>
          </cell>
          <cell r="P934">
            <v>62</v>
          </cell>
          <cell r="Q934">
            <v>840</v>
          </cell>
          <cell r="R934">
            <v>60</v>
          </cell>
          <cell r="S934">
            <v>688</v>
          </cell>
          <cell r="T934">
            <v>2</v>
          </cell>
          <cell r="U934">
            <v>152</v>
          </cell>
          <cell r="V934">
            <v>118</v>
          </cell>
          <cell r="W934">
            <v>1818</v>
          </cell>
          <cell r="X934">
            <v>120</v>
          </cell>
          <cell r="Y934">
            <v>1420</v>
          </cell>
          <cell r="Z934">
            <v>-2</v>
          </cell>
          <cell r="AA934">
            <v>398</v>
          </cell>
          <cell r="AB934">
            <v>902</v>
          </cell>
          <cell r="AC934">
            <v>748</v>
          </cell>
          <cell r="AD934">
            <v>154</v>
          </cell>
          <cell r="AE934">
            <v>1936</v>
          </cell>
          <cell r="AF934">
            <v>1540</v>
          </cell>
          <cell r="AG934">
            <v>396</v>
          </cell>
        </row>
        <row r="935">
          <cell r="C935">
            <v>41051980</v>
          </cell>
          <cell r="D935" t="str">
            <v xml:space="preserve">SHIVNERI </v>
          </cell>
          <cell r="E935" t="str">
            <v>HPCL</v>
          </cell>
          <cell r="F935" t="str">
            <v>2012-13</v>
          </cell>
          <cell r="G935" t="str">
            <v>Pune Wagholi RSA</v>
          </cell>
          <cell r="J935" t="str">
            <v>Alephata to Ottur</v>
          </cell>
          <cell r="K935" t="str">
            <v>Pune</v>
          </cell>
          <cell r="L935" t="str">
            <v>D1</v>
          </cell>
          <cell r="M935" t="str">
            <v>NH-61</v>
          </cell>
          <cell r="O935" t="str">
            <v>A</v>
          </cell>
          <cell r="P935">
            <v>90</v>
          </cell>
          <cell r="Q935">
            <v>150</v>
          </cell>
          <cell r="R935">
            <v>81</v>
          </cell>
          <cell r="S935">
            <v>123</v>
          </cell>
          <cell r="T935">
            <v>9</v>
          </cell>
          <cell r="U935">
            <v>27</v>
          </cell>
          <cell r="V935">
            <v>160</v>
          </cell>
          <cell r="W935">
            <v>268</v>
          </cell>
          <cell r="X935">
            <v>159</v>
          </cell>
          <cell r="Y935">
            <v>261</v>
          </cell>
          <cell r="Z935">
            <v>1</v>
          </cell>
          <cell r="AA935">
            <v>7</v>
          </cell>
          <cell r="AB935">
            <v>240</v>
          </cell>
          <cell r="AC935">
            <v>204</v>
          </cell>
          <cell r="AD935">
            <v>36</v>
          </cell>
          <cell r="AE935">
            <v>428</v>
          </cell>
          <cell r="AF935">
            <v>420</v>
          </cell>
          <cell r="AG935">
            <v>8</v>
          </cell>
        </row>
        <row r="936">
          <cell r="C936">
            <v>41051982</v>
          </cell>
          <cell r="D936" t="str">
            <v>VISHNU PARVATI PETROLEUM</v>
          </cell>
          <cell r="E936" t="str">
            <v>HPCL</v>
          </cell>
          <cell r="F936" t="str">
            <v>2012-13</v>
          </cell>
          <cell r="G936" t="str">
            <v>Pune City RSA</v>
          </cell>
          <cell r="J936" t="str">
            <v>LOHAGAON WAGHOLI ROAD</v>
          </cell>
          <cell r="K936" t="str">
            <v>Pune</v>
          </cell>
          <cell r="L936" t="str">
            <v>A</v>
          </cell>
          <cell r="O936" t="str">
            <v>A</v>
          </cell>
          <cell r="P936">
            <v>42</v>
          </cell>
          <cell r="Q936">
            <v>112</v>
          </cell>
          <cell r="R936">
            <v>56</v>
          </cell>
          <cell r="S936">
            <v>98</v>
          </cell>
          <cell r="T936">
            <v>-14</v>
          </cell>
          <cell r="U936">
            <v>14</v>
          </cell>
          <cell r="V936">
            <v>87.5</v>
          </cell>
          <cell r="W936">
            <v>234.5</v>
          </cell>
          <cell r="X936">
            <v>108.5</v>
          </cell>
          <cell r="Y936">
            <v>181.5</v>
          </cell>
          <cell r="Z936">
            <v>-21</v>
          </cell>
          <cell r="AA936">
            <v>53</v>
          </cell>
          <cell r="AB936">
            <v>154</v>
          </cell>
          <cell r="AC936">
            <v>154</v>
          </cell>
          <cell r="AD936">
            <v>0</v>
          </cell>
          <cell r="AE936">
            <v>322</v>
          </cell>
          <cell r="AF936">
            <v>290</v>
          </cell>
          <cell r="AG936">
            <v>32</v>
          </cell>
        </row>
        <row r="937">
          <cell r="C937">
            <v>41051984</v>
          </cell>
          <cell r="D937" t="str">
            <v>SHIVSURYA PETROLEUM</v>
          </cell>
          <cell r="E937" t="str">
            <v>HPCL</v>
          </cell>
          <cell r="F937" t="str">
            <v>2012-13</v>
          </cell>
          <cell r="G937" t="str">
            <v>Pune Wagholi RSA</v>
          </cell>
          <cell r="J937" t="str">
            <v>Shirur to Malthan</v>
          </cell>
          <cell r="K937" t="str">
            <v>Pune</v>
          </cell>
          <cell r="L937" t="str">
            <v>D2</v>
          </cell>
          <cell r="O937" t="str">
            <v>A</v>
          </cell>
          <cell r="P937">
            <v>83</v>
          </cell>
          <cell r="Q937">
            <v>91</v>
          </cell>
          <cell r="R937">
            <v>75</v>
          </cell>
          <cell r="S937">
            <v>79</v>
          </cell>
          <cell r="T937">
            <v>8</v>
          </cell>
          <cell r="U937">
            <v>12</v>
          </cell>
          <cell r="V937">
            <v>151</v>
          </cell>
          <cell r="W937">
            <v>159</v>
          </cell>
          <cell r="X937">
            <v>148.5</v>
          </cell>
          <cell r="Y937">
            <v>145.5</v>
          </cell>
          <cell r="Z937">
            <v>2.5</v>
          </cell>
          <cell r="AA937">
            <v>13.5</v>
          </cell>
          <cell r="AB937">
            <v>174</v>
          </cell>
          <cell r="AC937">
            <v>154</v>
          </cell>
          <cell r="AD937">
            <v>20</v>
          </cell>
          <cell r="AE937">
            <v>310</v>
          </cell>
          <cell r="AF937">
            <v>294</v>
          </cell>
          <cell r="AG937">
            <v>16</v>
          </cell>
        </row>
        <row r="938">
          <cell r="C938">
            <v>41051994</v>
          </cell>
          <cell r="D938" t="str">
            <v>TCI INDIA LTD</v>
          </cell>
          <cell r="E938" t="str">
            <v>HPCL</v>
          </cell>
          <cell r="G938" t="str">
            <v>Pimpri Chinchwad RSA</v>
          </cell>
          <cell r="J938" t="str">
            <v>Chinchwad</v>
          </cell>
          <cell r="K938" t="str">
            <v>Pune</v>
          </cell>
          <cell r="L938" t="str">
            <v>A</v>
          </cell>
          <cell r="O938" t="str">
            <v>A</v>
          </cell>
          <cell r="P938">
            <v>338</v>
          </cell>
          <cell r="Q938">
            <v>390</v>
          </cell>
          <cell r="R938">
            <v>324</v>
          </cell>
          <cell r="S938">
            <v>378</v>
          </cell>
          <cell r="T938">
            <v>14</v>
          </cell>
          <cell r="U938">
            <v>12</v>
          </cell>
          <cell r="V938">
            <v>669</v>
          </cell>
          <cell r="W938">
            <v>757</v>
          </cell>
          <cell r="X938">
            <v>677</v>
          </cell>
          <cell r="Y938">
            <v>751</v>
          </cell>
          <cell r="Z938">
            <v>-8</v>
          </cell>
          <cell r="AA938">
            <v>6</v>
          </cell>
          <cell r="AB938">
            <v>728</v>
          </cell>
          <cell r="AC938">
            <v>702</v>
          </cell>
          <cell r="AD938">
            <v>26</v>
          </cell>
          <cell r="AE938">
            <v>1426</v>
          </cell>
          <cell r="AF938">
            <v>1428</v>
          </cell>
          <cell r="AG938">
            <v>-2</v>
          </cell>
        </row>
        <row r="939">
          <cell r="C939">
            <v>41052017</v>
          </cell>
          <cell r="D939" t="str">
            <v>AUTOMOTIVE SERVICES</v>
          </cell>
          <cell r="E939" t="str">
            <v>HPCL</v>
          </cell>
          <cell r="G939" t="str">
            <v>Pune City RSA</v>
          </cell>
          <cell r="J939" t="str">
            <v>WAKAD</v>
          </cell>
          <cell r="K939" t="str">
            <v>Pune</v>
          </cell>
          <cell r="L939" t="str">
            <v>A</v>
          </cell>
          <cell r="O939" t="str">
            <v>A</v>
          </cell>
          <cell r="P939">
            <v>225</v>
          </cell>
          <cell r="Q939">
            <v>135</v>
          </cell>
          <cell r="R939">
            <v>195</v>
          </cell>
          <cell r="S939">
            <v>165</v>
          </cell>
          <cell r="T939">
            <v>30</v>
          </cell>
          <cell r="U939">
            <v>-30</v>
          </cell>
          <cell r="V939">
            <v>410</v>
          </cell>
          <cell r="W939">
            <v>244</v>
          </cell>
          <cell r="X939">
            <v>395</v>
          </cell>
          <cell r="Y939">
            <v>345</v>
          </cell>
          <cell r="Z939">
            <v>15</v>
          </cell>
          <cell r="AA939">
            <v>-101</v>
          </cell>
          <cell r="AB939">
            <v>360</v>
          </cell>
          <cell r="AC939">
            <v>360</v>
          </cell>
          <cell r="AD939">
            <v>0</v>
          </cell>
          <cell r="AE939">
            <v>654</v>
          </cell>
          <cell r="AF939">
            <v>740</v>
          </cell>
          <cell r="AG939">
            <v>-86</v>
          </cell>
        </row>
        <row r="940">
          <cell r="C940">
            <v>41052021</v>
          </cell>
          <cell r="D940" t="str">
            <v>CHATURSRINGI SERVICE STATION</v>
          </cell>
          <cell r="E940" t="str">
            <v>HPCL</v>
          </cell>
          <cell r="G940" t="str">
            <v>Pune City RSA</v>
          </cell>
          <cell r="J940" t="str">
            <v>SB ROAD</v>
          </cell>
          <cell r="K940" t="str">
            <v>Pune</v>
          </cell>
          <cell r="L940" t="str">
            <v>A</v>
          </cell>
          <cell r="O940" t="str">
            <v>B</v>
          </cell>
          <cell r="P940">
            <v>280</v>
          </cell>
          <cell r="Q940">
            <v>84</v>
          </cell>
          <cell r="R940">
            <v>220</v>
          </cell>
          <cell r="S940">
            <v>0</v>
          </cell>
          <cell r="T940">
            <v>60</v>
          </cell>
          <cell r="U940">
            <v>84</v>
          </cell>
          <cell r="V940">
            <v>546</v>
          </cell>
          <cell r="W940">
            <v>192</v>
          </cell>
          <cell r="X940">
            <v>454</v>
          </cell>
          <cell r="Y940">
            <v>0</v>
          </cell>
          <cell r="Z940">
            <v>92</v>
          </cell>
          <cell r="AA940">
            <v>192</v>
          </cell>
          <cell r="AB940">
            <v>364</v>
          </cell>
          <cell r="AC940">
            <v>220</v>
          </cell>
          <cell r="AD940">
            <v>144</v>
          </cell>
          <cell r="AE940">
            <v>738</v>
          </cell>
          <cell r="AF940">
            <v>454</v>
          </cell>
          <cell r="AG940">
            <v>284</v>
          </cell>
        </row>
        <row r="941">
          <cell r="C941">
            <v>41052024</v>
          </cell>
          <cell r="D941" t="str">
            <v>HIND SERVICES</v>
          </cell>
          <cell r="E941" t="str">
            <v>HPCL</v>
          </cell>
          <cell r="G941" t="str">
            <v>Pune City RSA</v>
          </cell>
          <cell r="J941" t="str">
            <v>SATARA ROAD</v>
          </cell>
          <cell r="K941" t="str">
            <v>Pune</v>
          </cell>
          <cell r="L941" t="str">
            <v>A</v>
          </cell>
          <cell r="O941" t="str">
            <v>B</v>
          </cell>
          <cell r="P941">
            <v>270</v>
          </cell>
          <cell r="Q941">
            <v>74</v>
          </cell>
          <cell r="R941">
            <v>251</v>
          </cell>
          <cell r="S941">
            <v>69</v>
          </cell>
          <cell r="T941">
            <v>19</v>
          </cell>
          <cell r="U941">
            <v>5</v>
          </cell>
          <cell r="V941">
            <v>527</v>
          </cell>
          <cell r="W941">
            <v>149</v>
          </cell>
          <cell r="X941">
            <v>519</v>
          </cell>
          <cell r="Y941">
            <v>143</v>
          </cell>
          <cell r="Z941">
            <v>8</v>
          </cell>
          <cell r="AA941">
            <v>6</v>
          </cell>
          <cell r="AB941">
            <v>344</v>
          </cell>
          <cell r="AC941">
            <v>320</v>
          </cell>
          <cell r="AD941">
            <v>24</v>
          </cell>
          <cell r="AE941">
            <v>676</v>
          </cell>
          <cell r="AF941">
            <v>662</v>
          </cell>
          <cell r="AG941">
            <v>14</v>
          </cell>
        </row>
        <row r="942">
          <cell r="C942">
            <v>41052027</v>
          </cell>
          <cell r="D942" t="str">
            <v>ARNAV PETROLEUM</v>
          </cell>
          <cell r="E942" t="str">
            <v>HPCL</v>
          </cell>
          <cell r="F942" t="str">
            <v>2012-13</v>
          </cell>
          <cell r="G942" t="str">
            <v>Pune Wagholi RSA</v>
          </cell>
          <cell r="J942" t="str">
            <v>KHODAD</v>
          </cell>
          <cell r="K942" t="str">
            <v>Pune</v>
          </cell>
          <cell r="L942" t="str">
            <v>E</v>
          </cell>
          <cell r="O942" t="str">
            <v>A</v>
          </cell>
          <cell r="P942">
            <v>31</v>
          </cell>
          <cell r="Q942">
            <v>41</v>
          </cell>
          <cell r="R942">
            <v>29</v>
          </cell>
          <cell r="S942">
            <v>33</v>
          </cell>
          <cell r="T942">
            <v>2</v>
          </cell>
          <cell r="U942">
            <v>8</v>
          </cell>
          <cell r="V942">
            <v>51</v>
          </cell>
          <cell r="W942">
            <v>69</v>
          </cell>
          <cell r="X942">
            <v>61</v>
          </cell>
          <cell r="Y942">
            <v>73</v>
          </cell>
          <cell r="Z942">
            <v>-10</v>
          </cell>
          <cell r="AA942">
            <v>-4</v>
          </cell>
          <cell r="AB942">
            <v>72</v>
          </cell>
          <cell r="AC942">
            <v>62</v>
          </cell>
          <cell r="AD942">
            <v>10</v>
          </cell>
          <cell r="AE942">
            <v>120</v>
          </cell>
          <cell r="AF942">
            <v>134</v>
          </cell>
          <cell r="AG942">
            <v>-14</v>
          </cell>
        </row>
        <row r="943">
          <cell r="C943">
            <v>41052028</v>
          </cell>
          <cell r="D943" t="str">
            <v>RADHIKA PETROLEUM</v>
          </cell>
          <cell r="E943" t="str">
            <v>HPCL</v>
          </cell>
          <cell r="F943" t="str">
            <v>2012-13</v>
          </cell>
          <cell r="G943" t="str">
            <v>Pune Saswad RSA</v>
          </cell>
          <cell r="J943" t="str">
            <v>INDAPUR</v>
          </cell>
          <cell r="K943" t="str">
            <v>Pune</v>
          </cell>
          <cell r="L943" t="str">
            <v>C</v>
          </cell>
          <cell r="O943" t="str">
            <v>A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</row>
        <row r="944">
          <cell r="C944">
            <v>41052029</v>
          </cell>
          <cell r="D944" t="str">
            <v>LAKSHMI KISAN PETROLEUM</v>
          </cell>
          <cell r="E944" t="str">
            <v>HPCL</v>
          </cell>
          <cell r="F944" t="str">
            <v>2014-15</v>
          </cell>
          <cell r="G944" t="str">
            <v>Pune Wagholi RSA</v>
          </cell>
          <cell r="J944" t="str">
            <v>Bori Khurd</v>
          </cell>
          <cell r="K944" t="str">
            <v>Pune</v>
          </cell>
          <cell r="L944" t="str">
            <v>E</v>
          </cell>
          <cell r="O944" t="str">
            <v>B</v>
          </cell>
          <cell r="P944">
            <v>13</v>
          </cell>
          <cell r="Q944">
            <v>35</v>
          </cell>
          <cell r="R944">
            <v>25</v>
          </cell>
          <cell r="S944">
            <v>39</v>
          </cell>
          <cell r="T944">
            <v>-12</v>
          </cell>
          <cell r="U944">
            <v>-4</v>
          </cell>
          <cell r="V944">
            <v>25</v>
          </cell>
          <cell r="W944">
            <v>59</v>
          </cell>
          <cell r="X944">
            <v>48</v>
          </cell>
          <cell r="Y944">
            <v>84</v>
          </cell>
          <cell r="Z944">
            <v>-23</v>
          </cell>
          <cell r="AA944">
            <v>-25</v>
          </cell>
          <cell r="AB944">
            <v>48</v>
          </cell>
          <cell r="AC944">
            <v>64</v>
          </cell>
          <cell r="AD944">
            <v>-16</v>
          </cell>
          <cell r="AE944">
            <v>84</v>
          </cell>
          <cell r="AF944">
            <v>132</v>
          </cell>
          <cell r="AG944">
            <v>-48</v>
          </cell>
        </row>
        <row r="945">
          <cell r="C945">
            <v>41052030</v>
          </cell>
          <cell r="D945" t="str">
            <v>LIMBORE PETROLEUM</v>
          </cell>
          <cell r="E945" t="str">
            <v>HPCL</v>
          </cell>
          <cell r="F945" t="str">
            <v>2013-14</v>
          </cell>
          <cell r="G945" t="str">
            <v>Pimpri Chinchwad RSA</v>
          </cell>
          <cell r="J945" t="str">
            <v>Ashkhed</v>
          </cell>
          <cell r="K945" t="str">
            <v>Pune</v>
          </cell>
          <cell r="L945" t="str">
            <v>E</v>
          </cell>
          <cell r="O945" t="str">
            <v>B</v>
          </cell>
          <cell r="P945">
            <v>36</v>
          </cell>
          <cell r="Q945">
            <v>382</v>
          </cell>
          <cell r="R945">
            <v>28</v>
          </cell>
          <cell r="S945">
            <v>456</v>
          </cell>
          <cell r="T945">
            <v>8</v>
          </cell>
          <cell r="U945">
            <v>-74</v>
          </cell>
          <cell r="V945">
            <v>61</v>
          </cell>
          <cell r="W945">
            <v>731</v>
          </cell>
          <cell r="X945">
            <v>57</v>
          </cell>
          <cell r="Y945">
            <v>801</v>
          </cell>
          <cell r="Z945">
            <v>4</v>
          </cell>
          <cell r="AA945">
            <v>-70</v>
          </cell>
          <cell r="AB945">
            <v>418</v>
          </cell>
          <cell r="AC945">
            <v>484</v>
          </cell>
          <cell r="AD945">
            <v>-66</v>
          </cell>
          <cell r="AE945">
            <v>792</v>
          </cell>
          <cell r="AF945">
            <v>858</v>
          </cell>
          <cell r="AG945">
            <v>-66</v>
          </cell>
        </row>
        <row r="946">
          <cell r="C946">
            <v>41052033</v>
          </cell>
          <cell r="D946" t="str">
            <v>SHRIYASH PETROLEUM</v>
          </cell>
          <cell r="E946" t="str">
            <v>HPCL</v>
          </cell>
          <cell r="F946" t="str">
            <v>2012-13</v>
          </cell>
          <cell r="G946" t="str">
            <v>Pune Hadapsar RSA</v>
          </cell>
          <cell r="J946" t="str">
            <v>DAUND</v>
          </cell>
          <cell r="K946" t="str">
            <v>Pune</v>
          </cell>
          <cell r="L946" t="str">
            <v>E</v>
          </cell>
          <cell r="O946" t="str">
            <v>A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</row>
        <row r="947">
          <cell r="C947">
            <v>41052034</v>
          </cell>
          <cell r="D947" t="str">
            <v>SHRI AVDHUT PETROLEUM</v>
          </cell>
          <cell r="E947" t="str">
            <v>HPCL</v>
          </cell>
          <cell r="F947" t="str">
            <v>2012-13</v>
          </cell>
          <cell r="G947" t="str">
            <v>Pune Hadapsar RSA</v>
          </cell>
          <cell r="J947" t="str">
            <v>Khadki</v>
          </cell>
          <cell r="K947" t="str">
            <v>Pune</v>
          </cell>
          <cell r="L947" t="str">
            <v>C</v>
          </cell>
          <cell r="O947" t="str">
            <v>A</v>
          </cell>
          <cell r="P947">
            <v>18</v>
          </cell>
          <cell r="Q947">
            <v>66</v>
          </cell>
          <cell r="R947">
            <v>13</v>
          </cell>
          <cell r="S947">
            <v>35</v>
          </cell>
          <cell r="T947">
            <v>5</v>
          </cell>
          <cell r="U947">
            <v>31</v>
          </cell>
          <cell r="V947">
            <v>34</v>
          </cell>
          <cell r="W947">
            <v>110</v>
          </cell>
          <cell r="X947">
            <v>25</v>
          </cell>
          <cell r="Y947">
            <v>71</v>
          </cell>
          <cell r="Z947">
            <v>9</v>
          </cell>
          <cell r="AA947">
            <v>39</v>
          </cell>
          <cell r="AB947">
            <v>84</v>
          </cell>
          <cell r="AC947">
            <v>48</v>
          </cell>
          <cell r="AD947">
            <v>36</v>
          </cell>
          <cell r="AE947">
            <v>144</v>
          </cell>
          <cell r="AF947">
            <v>96</v>
          </cell>
          <cell r="AG947">
            <v>48</v>
          </cell>
        </row>
        <row r="948">
          <cell r="C948">
            <v>41052035</v>
          </cell>
          <cell r="D948" t="str">
            <v>PRABHUPAD PETROLEUM</v>
          </cell>
          <cell r="E948" t="str">
            <v>HPCL</v>
          </cell>
          <cell r="F948" t="str">
            <v>2012-13</v>
          </cell>
          <cell r="G948" t="str">
            <v>Pune Wagholi RSA</v>
          </cell>
          <cell r="J948" t="str">
            <v>Bankar Phata</v>
          </cell>
          <cell r="K948" t="str">
            <v>Pune</v>
          </cell>
          <cell r="L948" t="str">
            <v>E</v>
          </cell>
          <cell r="O948" t="str">
            <v>A</v>
          </cell>
          <cell r="P948">
            <v>83</v>
          </cell>
          <cell r="Q948">
            <v>173</v>
          </cell>
          <cell r="R948">
            <v>63</v>
          </cell>
          <cell r="S948">
            <v>117</v>
          </cell>
          <cell r="T948">
            <v>20</v>
          </cell>
          <cell r="U948">
            <v>56</v>
          </cell>
          <cell r="V948">
            <v>143</v>
          </cell>
          <cell r="W948">
            <v>329</v>
          </cell>
          <cell r="X948">
            <v>114</v>
          </cell>
          <cell r="Y948">
            <v>270</v>
          </cell>
          <cell r="Z948">
            <v>29</v>
          </cell>
          <cell r="AA948">
            <v>59</v>
          </cell>
          <cell r="AB948">
            <v>256</v>
          </cell>
          <cell r="AC948">
            <v>180</v>
          </cell>
          <cell r="AD948">
            <v>76</v>
          </cell>
          <cell r="AE948">
            <v>472</v>
          </cell>
          <cell r="AF948">
            <v>384</v>
          </cell>
          <cell r="AG948">
            <v>88</v>
          </cell>
        </row>
        <row r="949">
          <cell r="C949">
            <v>41052039</v>
          </cell>
          <cell r="D949" t="str">
            <v>GURUKRIPA PETROLEUM</v>
          </cell>
          <cell r="E949" t="str">
            <v>HPCL</v>
          </cell>
          <cell r="F949" t="str">
            <v>2013-14</v>
          </cell>
          <cell r="G949" t="str">
            <v>Pimpri Chinchwad RSA</v>
          </cell>
          <cell r="J949" t="str">
            <v xml:space="preserve">Sablewadi to shikhrapur </v>
          </cell>
          <cell r="K949" t="str">
            <v>Pune</v>
          </cell>
          <cell r="L949" t="str">
            <v>D1</v>
          </cell>
          <cell r="M949" t="str">
            <v>NH-548D</v>
          </cell>
          <cell r="O949" t="str">
            <v>A</v>
          </cell>
          <cell r="P949">
            <v>11</v>
          </cell>
          <cell r="Q949">
            <v>29</v>
          </cell>
          <cell r="R949">
            <v>12</v>
          </cell>
          <cell r="S949">
            <v>58</v>
          </cell>
          <cell r="T949">
            <v>-1</v>
          </cell>
          <cell r="U949">
            <v>-29</v>
          </cell>
          <cell r="V949">
            <v>23</v>
          </cell>
          <cell r="W949">
            <v>87</v>
          </cell>
          <cell r="X949">
            <v>31</v>
          </cell>
          <cell r="Y949">
            <v>113</v>
          </cell>
          <cell r="Z949">
            <v>-8</v>
          </cell>
          <cell r="AA949">
            <v>-26</v>
          </cell>
          <cell r="AB949">
            <v>40</v>
          </cell>
          <cell r="AC949">
            <v>70</v>
          </cell>
          <cell r="AD949">
            <v>-30</v>
          </cell>
          <cell r="AE949">
            <v>110</v>
          </cell>
          <cell r="AF949">
            <v>144</v>
          </cell>
          <cell r="AG949">
            <v>-34</v>
          </cell>
        </row>
        <row r="950">
          <cell r="C950">
            <v>41052040</v>
          </cell>
          <cell r="D950" t="str">
            <v>MANTHAN PETROLEUM</v>
          </cell>
          <cell r="E950" t="str">
            <v>HPCL</v>
          </cell>
          <cell r="F950" t="str">
            <v>2013-14</v>
          </cell>
          <cell r="G950" t="str">
            <v>Pune Wagholi RSA</v>
          </cell>
          <cell r="J950" t="str">
            <v>Bhima Koregaon Rural</v>
          </cell>
          <cell r="K950" t="str">
            <v>Pune</v>
          </cell>
          <cell r="L950" t="str">
            <v>E</v>
          </cell>
          <cell r="O950" t="str">
            <v>A</v>
          </cell>
          <cell r="P950">
            <v>48</v>
          </cell>
          <cell r="Q950">
            <v>120</v>
          </cell>
          <cell r="R950">
            <v>39</v>
          </cell>
          <cell r="S950">
            <v>95</v>
          </cell>
          <cell r="T950">
            <v>9</v>
          </cell>
          <cell r="U950">
            <v>25</v>
          </cell>
          <cell r="V950">
            <v>87</v>
          </cell>
          <cell r="W950">
            <v>219</v>
          </cell>
          <cell r="X950">
            <v>80</v>
          </cell>
          <cell r="Y950">
            <v>200</v>
          </cell>
          <cell r="Z950">
            <v>7</v>
          </cell>
          <cell r="AA950">
            <v>19</v>
          </cell>
          <cell r="AB950">
            <v>168</v>
          </cell>
          <cell r="AC950">
            <v>134</v>
          </cell>
          <cell r="AD950">
            <v>34</v>
          </cell>
          <cell r="AE950">
            <v>306</v>
          </cell>
          <cell r="AF950">
            <v>280</v>
          </cell>
          <cell r="AG950">
            <v>26</v>
          </cell>
        </row>
        <row r="951">
          <cell r="C951">
            <v>41052042</v>
          </cell>
          <cell r="D951" t="str">
            <v>SHREEMAN PETROLEUM</v>
          </cell>
          <cell r="E951" t="str">
            <v>HPCL</v>
          </cell>
          <cell r="F951" t="str">
            <v>2013-14</v>
          </cell>
          <cell r="G951" t="str">
            <v>Pune City RSA</v>
          </cell>
          <cell r="J951" t="str">
            <v>URWADE</v>
          </cell>
          <cell r="K951" t="str">
            <v>Pune</v>
          </cell>
          <cell r="L951" t="str">
            <v>D2</v>
          </cell>
          <cell r="O951" t="str">
            <v>A</v>
          </cell>
          <cell r="P951">
            <v>55</v>
          </cell>
          <cell r="Q951">
            <v>119</v>
          </cell>
          <cell r="R951">
            <v>71</v>
          </cell>
          <cell r="S951">
            <v>129</v>
          </cell>
          <cell r="T951">
            <v>-16</v>
          </cell>
          <cell r="U951">
            <v>-10</v>
          </cell>
          <cell r="V951">
            <v>116</v>
          </cell>
          <cell r="W951">
            <v>254</v>
          </cell>
          <cell r="X951">
            <v>126</v>
          </cell>
          <cell r="Y951">
            <v>258</v>
          </cell>
          <cell r="Z951">
            <v>-10</v>
          </cell>
          <cell r="AA951">
            <v>-4</v>
          </cell>
          <cell r="AB951">
            <v>174</v>
          </cell>
          <cell r="AC951">
            <v>200</v>
          </cell>
          <cell r="AD951">
            <v>-26</v>
          </cell>
          <cell r="AE951">
            <v>370</v>
          </cell>
          <cell r="AF951">
            <v>384</v>
          </cell>
          <cell r="AG951">
            <v>-14</v>
          </cell>
        </row>
        <row r="952">
          <cell r="C952">
            <v>41052044</v>
          </cell>
          <cell r="D952" t="str">
            <v xml:space="preserve"> SUMAN PETROLEUM</v>
          </cell>
          <cell r="E952" t="str">
            <v>HPCL</v>
          </cell>
          <cell r="F952" t="str">
            <v>2013-14</v>
          </cell>
          <cell r="G952" t="str">
            <v>Pimpri Chinchwad RSA</v>
          </cell>
          <cell r="J952" t="str">
            <v>chakan to rajgurunagar LHS</v>
          </cell>
          <cell r="K952" t="str">
            <v>Pune</v>
          </cell>
          <cell r="L952" t="str">
            <v>D1</v>
          </cell>
          <cell r="M952" t="str">
            <v>NH-60</v>
          </cell>
          <cell r="O952" t="str">
            <v>B</v>
          </cell>
          <cell r="P952">
            <v>88</v>
          </cell>
          <cell r="Q952">
            <v>320</v>
          </cell>
          <cell r="R952">
            <v>97</v>
          </cell>
          <cell r="S952">
            <v>297</v>
          </cell>
          <cell r="T952">
            <v>-9</v>
          </cell>
          <cell r="U952">
            <v>23</v>
          </cell>
          <cell r="V952">
            <v>179</v>
          </cell>
          <cell r="W952">
            <v>671</v>
          </cell>
          <cell r="X952">
            <v>190</v>
          </cell>
          <cell r="Y952">
            <v>600</v>
          </cell>
          <cell r="Z952">
            <v>-11</v>
          </cell>
          <cell r="AA952">
            <v>71</v>
          </cell>
          <cell r="AB952">
            <v>408</v>
          </cell>
          <cell r="AC952">
            <v>394</v>
          </cell>
          <cell r="AD952">
            <v>14</v>
          </cell>
          <cell r="AE952">
            <v>850</v>
          </cell>
          <cell r="AF952">
            <v>790</v>
          </cell>
          <cell r="AG952">
            <v>60</v>
          </cell>
        </row>
        <row r="953">
          <cell r="C953">
            <v>41052045</v>
          </cell>
          <cell r="D953" t="str">
            <v>Chandere Petroleum</v>
          </cell>
          <cell r="E953" t="str">
            <v>HPCL</v>
          </cell>
          <cell r="F953" t="str">
            <v>2014-15</v>
          </cell>
          <cell r="G953" t="str">
            <v>Pune City RSA</v>
          </cell>
          <cell r="J953" t="str">
            <v>SUS ROAD</v>
          </cell>
          <cell r="K953" t="str">
            <v>Pune</v>
          </cell>
          <cell r="L953" t="str">
            <v>D2</v>
          </cell>
          <cell r="O953" t="str">
            <v>A</v>
          </cell>
          <cell r="P953">
            <v>324</v>
          </cell>
          <cell r="Q953">
            <v>278</v>
          </cell>
          <cell r="R953">
            <v>391</v>
          </cell>
          <cell r="S953">
            <v>247</v>
          </cell>
          <cell r="T953">
            <v>-67</v>
          </cell>
          <cell r="U953">
            <v>31</v>
          </cell>
          <cell r="V953">
            <v>642</v>
          </cell>
          <cell r="W953">
            <v>578</v>
          </cell>
          <cell r="X953">
            <v>794</v>
          </cell>
          <cell r="Y953">
            <v>548</v>
          </cell>
          <cell r="Z953">
            <v>-152</v>
          </cell>
          <cell r="AA953">
            <v>30</v>
          </cell>
          <cell r="AB953">
            <v>602</v>
          </cell>
          <cell r="AC953">
            <v>638</v>
          </cell>
          <cell r="AD953">
            <v>-36</v>
          </cell>
          <cell r="AE953">
            <v>1220</v>
          </cell>
          <cell r="AF953">
            <v>1342</v>
          </cell>
          <cell r="AG953">
            <v>-122</v>
          </cell>
        </row>
        <row r="954">
          <cell r="C954">
            <v>41052046</v>
          </cell>
          <cell r="D954" t="str">
            <v>Shri Gurudatta Petroleum</v>
          </cell>
          <cell r="E954" t="str">
            <v>HPCL</v>
          </cell>
          <cell r="F954" t="str">
            <v>2014-15</v>
          </cell>
          <cell r="G954" t="str">
            <v>Pimpri Chinchwad RSA</v>
          </cell>
          <cell r="J954" t="str">
            <v>Bebedohol</v>
          </cell>
          <cell r="K954" t="str">
            <v>Pune</v>
          </cell>
          <cell r="L954" t="str">
            <v>E</v>
          </cell>
          <cell r="O954" t="str">
            <v>B</v>
          </cell>
          <cell r="P954">
            <v>55</v>
          </cell>
          <cell r="Q954">
            <v>263</v>
          </cell>
          <cell r="R954">
            <v>60</v>
          </cell>
          <cell r="S954">
            <v>142</v>
          </cell>
          <cell r="T954">
            <v>-5</v>
          </cell>
          <cell r="U954">
            <v>121</v>
          </cell>
          <cell r="V954">
            <v>99</v>
          </cell>
          <cell r="W954">
            <v>393</v>
          </cell>
          <cell r="X954">
            <v>110</v>
          </cell>
          <cell r="Y954">
            <v>266</v>
          </cell>
          <cell r="Z954">
            <v>-11</v>
          </cell>
          <cell r="AA954">
            <v>127</v>
          </cell>
          <cell r="AB954">
            <v>318</v>
          </cell>
          <cell r="AC954">
            <v>202</v>
          </cell>
          <cell r="AD954">
            <v>116</v>
          </cell>
          <cell r="AE954">
            <v>492</v>
          </cell>
          <cell r="AF954">
            <v>376</v>
          </cell>
          <cell r="AG954">
            <v>116</v>
          </cell>
        </row>
        <row r="955">
          <cell r="C955">
            <v>41052048</v>
          </cell>
          <cell r="D955" t="str">
            <v>GANRAJ PETROLEUM</v>
          </cell>
          <cell r="E955" t="str">
            <v>HPCL</v>
          </cell>
          <cell r="F955" t="str">
            <v>2013-14</v>
          </cell>
          <cell r="G955" t="str">
            <v>Pune Wagholi RSA</v>
          </cell>
          <cell r="J955" t="str">
            <v>Savargaon</v>
          </cell>
          <cell r="K955" t="str">
            <v>Pune</v>
          </cell>
          <cell r="L955" t="str">
            <v>E</v>
          </cell>
          <cell r="O955" t="str">
            <v>B</v>
          </cell>
          <cell r="P955">
            <v>17</v>
          </cell>
          <cell r="Q955">
            <v>47</v>
          </cell>
          <cell r="R955">
            <v>23</v>
          </cell>
          <cell r="S955">
            <v>35</v>
          </cell>
          <cell r="T955">
            <v>-6</v>
          </cell>
          <cell r="U955">
            <v>12</v>
          </cell>
          <cell r="V955">
            <v>35</v>
          </cell>
          <cell r="W955">
            <v>101</v>
          </cell>
          <cell r="X955">
            <v>35</v>
          </cell>
          <cell r="Y955">
            <v>71</v>
          </cell>
          <cell r="Z955">
            <v>0</v>
          </cell>
          <cell r="AA955">
            <v>30</v>
          </cell>
          <cell r="AB955">
            <v>64</v>
          </cell>
          <cell r="AC955">
            <v>58</v>
          </cell>
          <cell r="AD955">
            <v>6</v>
          </cell>
          <cell r="AE955">
            <v>136</v>
          </cell>
          <cell r="AF955">
            <v>106</v>
          </cell>
          <cell r="AG955">
            <v>30</v>
          </cell>
        </row>
        <row r="956">
          <cell r="C956">
            <v>41052049</v>
          </cell>
          <cell r="D956" t="str">
            <v>KUND MAULI PETROLEUM</v>
          </cell>
          <cell r="E956" t="str">
            <v>HPCL</v>
          </cell>
          <cell r="F956" t="str">
            <v>2015-16</v>
          </cell>
          <cell r="G956" t="str">
            <v>Pune Wagholi RSA</v>
          </cell>
          <cell r="J956" t="str">
            <v>Shirur to Malthan</v>
          </cell>
          <cell r="K956" t="str">
            <v>Pune</v>
          </cell>
          <cell r="L956" t="str">
            <v>D2</v>
          </cell>
          <cell r="O956" t="str">
            <v>B</v>
          </cell>
          <cell r="P956">
            <v>0</v>
          </cell>
          <cell r="Q956">
            <v>0</v>
          </cell>
          <cell r="R956">
            <v>12</v>
          </cell>
          <cell r="S956">
            <v>24</v>
          </cell>
          <cell r="T956">
            <v>-12</v>
          </cell>
          <cell r="U956">
            <v>-24</v>
          </cell>
          <cell r="V956">
            <v>0</v>
          </cell>
          <cell r="W956">
            <v>0</v>
          </cell>
          <cell r="X956">
            <v>24</v>
          </cell>
          <cell r="Y956">
            <v>36</v>
          </cell>
          <cell r="Z956">
            <v>-24</v>
          </cell>
          <cell r="AA956">
            <v>-36</v>
          </cell>
          <cell r="AB956">
            <v>0</v>
          </cell>
          <cell r="AC956">
            <v>36</v>
          </cell>
          <cell r="AD956">
            <v>-36</v>
          </cell>
          <cell r="AE956">
            <v>0</v>
          </cell>
          <cell r="AF956">
            <v>60</v>
          </cell>
          <cell r="AG956">
            <v>-60</v>
          </cell>
        </row>
        <row r="957">
          <cell r="C957">
            <v>41052050</v>
          </cell>
          <cell r="D957" t="str">
            <v>RAM VIJAY PETROLEUM</v>
          </cell>
          <cell r="E957" t="str">
            <v>HPCL</v>
          </cell>
          <cell r="F957" t="str">
            <v>2013-14</v>
          </cell>
          <cell r="G957" t="str">
            <v>Pune Wagholi RSA</v>
          </cell>
          <cell r="J957" t="str">
            <v>Kawate</v>
          </cell>
          <cell r="K957" t="str">
            <v>Pune</v>
          </cell>
          <cell r="L957" t="str">
            <v>D2</v>
          </cell>
          <cell r="O957" t="str">
            <v>A</v>
          </cell>
          <cell r="P957">
            <v>33</v>
          </cell>
          <cell r="Q957">
            <v>85</v>
          </cell>
          <cell r="R957">
            <v>48</v>
          </cell>
          <cell r="S957">
            <v>82</v>
          </cell>
          <cell r="T957">
            <v>-15</v>
          </cell>
          <cell r="U957">
            <v>3</v>
          </cell>
          <cell r="V957">
            <v>56</v>
          </cell>
          <cell r="W957">
            <v>130</v>
          </cell>
          <cell r="X957">
            <v>101</v>
          </cell>
          <cell r="Y957">
            <v>171</v>
          </cell>
          <cell r="Z957">
            <v>-45</v>
          </cell>
          <cell r="AA957">
            <v>-41</v>
          </cell>
          <cell r="AB957">
            <v>118</v>
          </cell>
          <cell r="AC957">
            <v>130</v>
          </cell>
          <cell r="AD957">
            <v>-12</v>
          </cell>
          <cell r="AE957">
            <v>186</v>
          </cell>
          <cell r="AF957">
            <v>272</v>
          </cell>
          <cell r="AG957">
            <v>-86</v>
          </cell>
        </row>
        <row r="958">
          <cell r="C958">
            <v>41052055</v>
          </cell>
          <cell r="D958" t="str">
            <v>SHRINATH PETROLEUM</v>
          </cell>
          <cell r="E958" t="str">
            <v>HPCL</v>
          </cell>
          <cell r="F958" t="str">
            <v>2013-14</v>
          </cell>
          <cell r="G958" t="str">
            <v>Pune Hadapsar RSA</v>
          </cell>
          <cell r="J958" t="str">
            <v>Pilanwadi</v>
          </cell>
          <cell r="K958" t="str">
            <v>Pune</v>
          </cell>
          <cell r="L958" t="str">
            <v>D2</v>
          </cell>
          <cell r="O958" t="str">
            <v>A</v>
          </cell>
          <cell r="P958">
            <v>12</v>
          </cell>
          <cell r="Q958">
            <v>36</v>
          </cell>
          <cell r="R958">
            <v>10</v>
          </cell>
          <cell r="S958">
            <v>14</v>
          </cell>
          <cell r="T958">
            <v>2</v>
          </cell>
          <cell r="U958">
            <v>22</v>
          </cell>
          <cell r="V958">
            <v>23</v>
          </cell>
          <cell r="W958">
            <v>65</v>
          </cell>
          <cell r="X958">
            <v>22</v>
          </cell>
          <cell r="Y958">
            <v>40</v>
          </cell>
          <cell r="Z958">
            <v>1</v>
          </cell>
          <cell r="AA958">
            <v>25</v>
          </cell>
          <cell r="AB958">
            <v>48</v>
          </cell>
          <cell r="AC958">
            <v>24</v>
          </cell>
          <cell r="AD958">
            <v>24</v>
          </cell>
          <cell r="AE958">
            <v>88</v>
          </cell>
          <cell r="AF958">
            <v>62</v>
          </cell>
          <cell r="AG958">
            <v>26</v>
          </cell>
        </row>
        <row r="959">
          <cell r="C959">
            <v>41052056</v>
          </cell>
          <cell r="D959" t="str">
            <v>RADHE RADHE PETROLEUM</v>
          </cell>
          <cell r="E959" t="str">
            <v>HPCL</v>
          </cell>
          <cell r="F959" t="str">
            <v>2013-14</v>
          </cell>
          <cell r="G959" t="str">
            <v>Pimpri Chinchwad RSA</v>
          </cell>
          <cell r="J959" t="str">
            <v xml:space="preserve">Sablewadi to shikhrapur </v>
          </cell>
          <cell r="K959" t="str">
            <v>Pune</v>
          </cell>
          <cell r="L959" t="str">
            <v>D1</v>
          </cell>
          <cell r="M959" t="str">
            <v>NH-548D</v>
          </cell>
          <cell r="O959" t="str">
            <v>A</v>
          </cell>
          <cell r="P959">
            <v>4</v>
          </cell>
          <cell r="Q959">
            <v>52</v>
          </cell>
          <cell r="R959">
            <v>3</v>
          </cell>
          <cell r="S959">
            <v>37</v>
          </cell>
          <cell r="T959">
            <v>1</v>
          </cell>
          <cell r="U959">
            <v>15</v>
          </cell>
          <cell r="V959">
            <v>12</v>
          </cell>
          <cell r="W959">
            <v>86</v>
          </cell>
          <cell r="X959">
            <v>10</v>
          </cell>
          <cell r="Y959">
            <v>56</v>
          </cell>
          <cell r="Z959">
            <v>2</v>
          </cell>
          <cell r="AA959">
            <v>30</v>
          </cell>
          <cell r="AB959">
            <v>56</v>
          </cell>
          <cell r="AC959">
            <v>40</v>
          </cell>
          <cell r="AD959">
            <v>16</v>
          </cell>
          <cell r="AE959">
            <v>98</v>
          </cell>
          <cell r="AF959">
            <v>66</v>
          </cell>
          <cell r="AG959">
            <v>32</v>
          </cell>
        </row>
        <row r="960">
          <cell r="C960">
            <v>41052057</v>
          </cell>
          <cell r="D960" t="str">
            <v>JAIGURU PETROLEUM</v>
          </cell>
          <cell r="E960" t="str">
            <v>HPCL</v>
          </cell>
          <cell r="F960" t="str">
            <v>2014-15</v>
          </cell>
          <cell r="G960" t="str">
            <v>Pimpri Chinchwad RSA</v>
          </cell>
          <cell r="J960" t="str">
            <v>NIGHOJE</v>
          </cell>
          <cell r="K960" t="str">
            <v>Pune</v>
          </cell>
          <cell r="L960" t="str">
            <v>C</v>
          </cell>
          <cell r="O960" t="str">
            <v>A</v>
          </cell>
          <cell r="P960">
            <v>135</v>
          </cell>
          <cell r="Q960">
            <v>414</v>
          </cell>
          <cell r="R960">
            <v>150</v>
          </cell>
          <cell r="S960">
            <v>450</v>
          </cell>
          <cell r="T960">
            <v>-15</v>
          </cell>
          <cell r="U960">
            <v>-36</v>
          </cell>
          <cell r="V960">
            <v>255</v>
          </cell>
          <cell r="W960">
            <v>819</v>
          </cell>
          <cell r="X960">
            <v>294</v>
          </cell>
          <cell r="Y960">
            <v>855</v>
          </cell>
          <cell r="Z960">
            <v>-39</v>
          </cell>
          <cell r="AA960">
            <v>-36</v>
          </cell>
          <cell r="AB960">
            <v>549</v>
          </cell>
          <cell r="AC960">
            <v>600</v>
          </cell>
          <cell r="AD960">
            <v>-51</v>
          </cell>
          <cell r="AE960">
            <v>1074</v>
          </cell>
          <cell r="AF960">
            <v>1149</v>
          </cell>
          <cell r="AG960">
            <v>-75</v>
          </cell>
        </row>
        <row r="961">
          <cell r="C961">
            <v>41052059</v>
          </cell>
          <cell r="D961" t="str">
            <v>OM PETROLEUM</v>
          </cell>
          <cell r="E961" t="str">
            <v>HPCL</v>
          </cell>
          <cell r="F961" t="str">
            <v>2013-14</v>
          </cell>
          <cell r="G961" t="str">
            <v>Pune Saswad RSA</v>
          </cell>
          <cell r="J961" t="str">
            <v>Indapur Bypass</v>
          </cell>
          <cell r="K961" t="str">
            <v>Pune</v>
          </cell>
          <cell r="L961" t="str">
            <v>D1</v>
          </cell>
          <cell r="M961" t="str">
            <v>NH-65</v>
          </cell>
          <cell r="O961" t="str">
            <v>A</v>
          </cell>
          <cell r="P961">
            <v>28</v>
          </cell>
          <cell r="Q961">
            <v>76</v>
          </cell>
          <cell r="R961">
            <v>20</v>
          </cell>
          <cell r="S961">
            <v>40</v>
          </cell>
          <cell r="T961">
            <v>8</v>
          </cell>
          <cell r="U961">
            <v>36</v>
          </cell>
          <cell r="V961">
            <v>43</v>
          </cell>
          <cell r="W961">
            <v>129</v>
          </cell>
          <cell r="X961">
            <v>40</v>
          </cell>
          <cell r="Y961">
            <v>80</v>
          </cell>
          <cell r="Z961">
            <v>3</v>
          </cell>
          <cell r="AA961">
            <v>49</v>
          </cell>
          <cell r="AB961">
            <v>104</v>
          </cell>
          <cell r="AC961">
            <v>60</v>
          </cell>
          <cell r="AD961">
            <v>44</v>
          </cell>
          <cell r="AE961">
            <v>172</v>
          </cell>
          <cell r="AF961">
            <v>120</v>
          </cell>
          <cell r="AG961">
            <v>52</v>
          </cell>
        </row>
        <row r="962">
          <cell r="C962">
            <v>41052060</v>
          </cell>
          <cell r="D962" t="str">
            <v>Waheguru Petroleum</v>
          </cell>
          <cell r="E962" t="str">
            <v>HPCL</v>
          </cell>
          <cell r="F962" t="str">
            <v>2013-14</v>
          </cell>
          <cell r="G962" t="str">
            <v>Pune City RSA</v>
          </cell>
          <cell r="J962" t="str">
            <v>HINJEWADI MANN ROAD</v>
          </cell>
          <cell r="K962" t="str">
            <v>Pune</v>
          </cell>
          <cell r="L962" t="str">
            <v>A</v>
          </cell>
          <cell r="O962" t="str">
            <v>A</v>
          </cell>
          <cell r="P962">
            <v>189</v>
          </cell>
          <cell r="Q962">
            <v>109</v>
          </cell>
          <cell r="R962">
            <v>153</v>
          </cell>
          <cell r="S962">
            <v>71</v>
          </cell>
          <cell r="T962">
            <v>36</v>
          </cell>
          <cell r="U962">
            <v>38</v>
          </cell>
          <cell r="V962">
            <v>342</v>
          </cell>
          <cell r="W962">
            <v>188</v>
          </cell>
          <cell r="X962">
            <v>312</v>
          </cell>
          <cell r="Y962">
            <v>160</v>
          </cell>
          <cell r="Z962">
            <v>30</v>
          </cell>
          <cell r="AA962">
            <v>28</v>
          </cell>
          <cell r="AB962">
            <v>298</v>
          </cell>
          <cell r="AC962">
            <v>224</v>
          </cell>
          <cell r="AD962">
            <v>74</v>
          </cell>
          <cell r="AE962">
            <v>530</v>
          </cell>
          <cell r="AF962">
            <v>472</v>
          </cell>
          <cell r="AG962">
            <v>58</v>
          </cell>
        </row>
        <row r="963">
          <cell r="C963">
            <v>41052073</v>
          </cell>
          <cell r="D963" t="str">
            <v>KANKARIYA SERVICE STATION</v>
          </cell>
          <cell r="E963" t="str">
            <v>HPCL</v>
          </cell>
          <cell r="G963" t="str">
            <v>Pune City RSA</v>
          </cell>
          <cell r="J963" t="str">
            <v>VADGAON SHERI</v>
          </cell>
          <cell r="K963" t="str">
            <v>Pune</v>
          </cell>
          <cell r="L963" t="str">
            <v>A</v>
          </cell>
          <cell r="O963" t="str">
            <v>B</v>
          </cell>
          <cell r="P963">
            <v>751</v>
          </cell>
          <cell r="Q963">
            <v>417</v>
          </cell>
          <cell r="R963">
            <v>600</v>
          </cell>
          <cell r="S963">
            <v>284</v>
          </cell>
          <cell r="T963">
            <v>151</v>
          </cell>
          <cell r="U963">
            <v>133</v>
          </cell>
          <cell r="V963">
            <v>1431</v>
          </cell>
          <cell r="W963">
            <v>769</v>
          </cell>
          <cell r="X963">
            <v>1274</v>
          </cell>
          <cell r="Y963">
            <v>566</v>
          </cell>
          <cell r="Z963">
            <v>157</v>
          </cell>
          <cell r="AA963">
            <v>203</v>
          </cell>
          <cell r="AB963">
            <v>1168</v>
          </cell>
          <cell r="AC963">
            <v>884</v>
          </cell>
          <cell r="AD963">
            <v>284</v>
          </cell>
          <cell r="AE963">
            <v>2200</v>
          </cell>
          <cell r="AF963">
            <v>1840</v>
          </cell>
          <cell r="AG963">
            <v>360</v>
          </cell>
        </row>
        <row r="964">
          <cell r="C964">
            <v>41052075</v>
          </cell>
          <cell r="D964" t="str">
            <v>AUTO CORNER</v>
          </cell>
          <cell r="E964" t="str">
            <v>HPCL</v>
          </cell>
          <cell r="G964" t="str">
            <v>Pune Hadapsar RSA</v>
          </cell>
          <cell r="J964" t="str">
            <v>Loni LHS</v>
          </cell>
          <cell r="K964" t="str">
            <v>Pune</v>
          </cell>
          <cell r="L964" t="str">
            <v>D1</v>
          </cell>
          <cell r="M964" t="str">
            <v>NH-65</v>
          </cell>
          <cell r="O964" t="str">
            <v>B</v>
          </cell>
          <cell r="P964">
            <v>105</v>
          </cell>
          <cell r="Q964">
            <v>387</v>
          </cell>
          <cell r="R964">
            <v>90</v>
          </cell>
          <cell r="S964">
            <v>198</v>
          </cell>
          <cell r="T964">
            <v>15</v>
          </cell>
          <cell r="U964">
            <v>189</v>
          </cell>
          <cell r="V964">
            <v>197</v>
          </cell>
          <cell r="W964">
            <v>779</v>
          </cell>
          <cell r="X964">
            <v>174</v>
          </cell>
          <cell r="Y964">
            <v>390</v>
          </cell>
          <cell r="Z964">
            <v>23</v>
          </cell>
          <cell r="AA964">
            <v>389</v>
          </cell>
          <cell r="AB964">
            <v>492</v>
          </cell>
          <cell r="AC964">
            <v>288</v>
          </cell>
          <cell r="AD964">
            <v>204</v>
          </cell>
          <cell r="AE964">
            <v>976</v>
          </cell>
          <cell r="AF964">
            <v>564</v>
          </cell>
          <cell r="AG964">
            <v>412</v>
          </cell>
        </row>
        <row r="965">
          <cell r="C965">
            <v>41052076</v>
          </cell>
          <cell r="D965" t="str">
            <v>Padmavati Fuel Centre</v>
          </cell>
          <cell r="E965" t="str">
            <v>HPCL</v>
          </cell>
          <cell r="F965" t="str">
            <v>2012-13</v>
          </cell>
          <cell r="G965" t="str">
            <v>Ahmednagar West RSA</v>
          </cell>
          <cell r="J965" t="str">
            <v>Ghogargoan</v>
          </cell>
          <cell r="K965" t="str">
            <v>Ahmednagar</v>
          </cell>
          <cell r="L965" t="str">
            <v>D2</v>
          </cell>
          <cell r="O965" t="str">
            <v>A</v>
          </cell>
          <cell r="P965">
            <v>50</v>
          </cell>
          <cell r="Q965">
            <v>150</v>
          </cell>
          <cell r="R965">
            <v>49</v>
          </cell>
          <cell r="S965">
            <v>143</v>
          </cell>
          <cell r="T965">
            <v>1</v>
          </cell>
          <cell r="U965">
            <v>7</v>
          </cell>
          <cell r="V965">
            <v>105</v>
          </cell>
          <cell r="W965">
            <v>313</v>
          </cell>
          <cell r="X965">
            <v>101</v>
          </cell>
          <cell r="Y965">
            <v>285</v>
          </cell>
          <cell r="Z965">
            <v>4</v>
          </cell>
          <cell r="AA965">
            <v>28</v>
          </cell>
          <cell r="AB965">
            <v>200</v>
          </cell>
          <cell r="AC965">
            <v>192</v>
          </cell>
          <cell r="AD965">
            <v>8</v>
          </cell>
          <cell r="AE965">
            <v>418</v>
          </cell>
          <cell r="AF965">
            <v>386</v>
          </cell>
          <cell r="AG965">
            <v>32</v>
          </cell>
        </row>
        <row r="966">
          <cell r="C966">
            <v>41052078</v>
          </cell>
          <cell r="D966" t="str">
            <v>Tanpure Petroleum</v>
          </cell>
          <cell r="E966" t="str">
            <v>HPCL</v>
          </cell>
          <cell r="F966" t="str">
            <v>2012-13</v>
          </cell>
          <cell r="G966" t="str">
            <v>Ahmednagar West RSA</v>
          </cell>
          <cell r="J966" t="str">
            <v>MIRAJGAON-SH</v>
          </cell>
          <cell r="K966" t="str">
            <v>Ahmednagar</v>
          </cell>
          <cell r="L966" t="str">
            <v>D2</v>
          </cell>
          <cell r="O966" t="str">
            <v>A</v>
          </cell>
          <cell r="P966">
            <v>55</v>
          </cell>
          <cell r="Q966">
            <v>225</v>
          </cell>
          <cell r="R966">
            <v>45</v>
          </cell>
          <cell r="S966">
            <v>115</v>
          </cell>
          <cell r="T966">
            <v>10</v>
          </cell>
          <cell r="U966">
            <v>110</v>
          </cell>
          <cell r="V966">
            <v>90</v>
          </cell>
          <cell r="W966">
            <v>370</v>
          </cell>
          <cell r="X966">
            <v>75</v>
          </cell>
          <cell r="Y966">
            <v>225</v>
          </cell>
          <cell r="Z966">
            <v>15</v>
          </cell>
          <cell r="AA966">
            <v>145</v>
          </cell>
          <cell r="AB966">
            <v>280</v>
          </cell>
          <cell r="AC966">
            <v>160</v>
          </cell>
          <cell r="AD966">
            <v>120</v>
          </cell>
          <cell r="AE966">
            <v>460</v>
          </cell>
          <cell r="AF966">
            <v>300</v>
          </cell>
          <cell r="AG966">
            <v>160</v>
          </cell>
        </row>
        <row r="967">
          <cell r="C967">
            <v>41052079</v>
          </cell>
          <cell r="D967" t="str">
            <v>KIRAD SERVICE STATION</v>
          </cell>
          <cell r="E967" t="str">
            <v>HPCL</v>
          </cell>
          <cell r="G967" t="str">
            <v>Pune Wagholi RSA</v>
          </cell>
          <cell r="J967" t="str">
            <v>Ranjangaon RHS</v>
          </cell>
          <cell r="K967" t="str">
            <v>Pune</v>
          </cell>
          <cell r="L967" t="str">
            <v>D1</v>
          </cell>
          <cell r="M967" t="str">
            <v>NH-753F</v>
          </cell>
          <cell r="O967" t="str">
            <v>B</v>
          </cell>
          <cell r="P967">
            <v>59</v>
          </cell>
          <cell r="Q967">
            <v>439</v>
          </cell>
          <cell r="R967">
            <v>46</v>
          </cell>
          <cell r="S967">
            <v>290</v>
          </cell>
          <cell r="T967">
            <v>13</v>
          </cell>
          <cell r="U967">
            <v>149</v>
          </cell>
          <cell r="V967">
            <v>102</v>
          </cell>
          <cell r="W967">
            <v>868</v>
          </cell>
          <cell r="X967">
            <v>81</v>
          </cell>
          <cell r="Y967">
            <v>489</v>
          </cell>
          <cell r="Z967">
            <v>21</v>
          </cell>
          <cell r="AA967">
            <v>379</v>
          </cell>
          <cell r="AB967">
            <v>498</v>
          </cell>
          <cell r="AC967">
            <v>336</v>
          </cell>
          <cell r="AD967">
            <v>162</v>
          </cell>
          <cell r="AE967">
            <v>970</v>
          </cell>
          <cell r="AF967">
            <v>570</v>
          </cell>
          <cell r="AG967">
            <v>400</v>
          </cell>
        </row>
        <row r="968">
          <cell r="C968">
            <v>41052086</v>
          </cell>
          <cell r="D968" t="str">
            <v>A E C CAR CARE CENTRE</v>
          </cell>
          <cell r="E968" t="str">
            <v>HPCL</v>
          </cell>
          <cell r="G968" t="str">
            <v>Pune City RSA</v>
          </cell>
          <cell r="J968" t="str">
            <v>MOLEDINA ROAD/E STREET</v>
          </cell>
          <cell r="K968" t="str">
            <v>Pune</v>
          </cell>
          <cell r="L968" t="str">
            <v>A</v>
          </cell>
          <cell r="O968" t="str">
            <v>A</v>
          </cell>
          <cell r="P968">
            <v>582</v>
          </cell>
          <cell r="Q968">
            <v>202</v>
          </cell>
          <cell r="R968">
            <v>559</v>
          </cell>
          <cell r="S968">
            <v>171</v>
          </cell>
          <cell r="T968">
            <v>23</v>
          </cell>
          <cell r="U968">
            <v>31</v>
          </cell>
          <cell r="V968">
            <v>1114</v>
          </cell>
          <cell r="W968">
            <v>376</v>
          </cell>
          <cell r="X968">
            <v>1131</v>
          </cell>
          <cell r="Y968">
            <v>351</v>
          </cell>
          <cell r="Z968">
            <v>-17</v>
          </cell>
          <cell r="AA968">
            <v>25</v>
          </cell>
          <cell r="AB968">
            <v>784</v>
          </cell>
          <cell r="AC968">
            <v>730</v>
          </cell>
          <cell r="AD968">
            <v>54</v>
          </cell>
          <cell r="AE968">
            <v>1490</v>
          </cell>
          <cell r="AF968">
            <v>1482</v>
          </cell>
          <cell r="AG968">
            <v>8</v>
          </cell>
        </row>
        <row r="969">
          <cell r="C969">
            <v>41052087</v>
          </cell>
          <cell r="D969" t="str">
            <v>SHRI SAI SERVICE STATION</v>
          </cell>
          <cell r="E969" t="str">
            <v>HPCL</v>
          </cell>
          <cell r="G969" t="str">
            <v>Pune City RSA</v>
          </cell>
          <cell r="J969" t="str">
            <v>J M ROAD</v>
          </cell>
          <cell r="K969" t="str">
            <v>Pune</v>
          </cell>
          <cell r="L969" t="str">
            <v>A</v>
          </cell>
          <cell r="O969" t="str">
            <v>A</v>
          </cell>
          <cell r="P969">
            <v>218</v>
          </cell>
          <cell r="Q969">
            <v>62</v>
          </cell>
          <cell r="R969">
            <v>214</v>
          </cell>
          <cell r="S969">
            <v>64</v>
          </cell>
          <cell r="T969">
            <v>4</v>
          </cell>
          <cell r="U969">
            <v>-2</v>
          </cell>
          <cell r="V969">
            <v>428</v>
          </cell>
          <cell r="W969">
            <v>112</v>
          </cell>
          <cell r="X969">
            <v>424</v>
          </cell>
          <cell r="Y969">
            <v>134</v>
          </cell>
          <cell r="Z969">
            <v>4</v>
          </cell>
          <cell r="AA969">
            <v>-22</v>
          </cell>
          <cell r="AB969">
            <v>280</v>
          </cell>
          <cell r="AC969">
            <v>278</v>
          </cell>
          <cell r="AD969">
            <v>2</v>
          </cell>
          <cell r="AE969">
            <v>540</v>
          </cell>
          <cell r="AF969">
            <v>558</v>
          </cell>
          <cell r="AG969">
            <v>-18</v>
          </cell>
        </row>
        <row r="970">
          <cell r="C970">
            <v>41052088</v>
          </cell>
          <cell r="D970" t="str">
            <v>LADKAT BROS SERVICE STATION</v>
          </cell>
          <cell r="E970" t="str">
            <v>HPCL</v>
          </cell>
          <cell r="G970" t="str">
            <v>Pune City RSA</v>
          </cell>
          <cell r="J970" t="str">
            <v>SHANKARSETH ROAD</v>
          </cell>
          <cell r="K970" t="str">
            <v>Pune</v>
          </cell>
          <cell r="L970" t="str">
            <v>A</v>
          </cell>
          <cell r="O970" t="str">
            <v>A</v>
          </cell>
          <cell r="P970">
            <v>324</v>
          </cell>
          <cell r="Q970">
            <v>168</v>
          </cell>
          <cell r="R970">
            <v>273</v>
          </cell>
          <cell r="S970">
            <v>147</v>
          </cell>
          <cell r="T970">
            <v>51</v>
          </cell>
          <cell r="U970">
            <v>21</v>
          </cell>
          <cell r="V970">
            <v>667</v>
          </cell>
          <cell r="W970">
            <v>315</v>
          </cell>
          <cell r="X970">
            <v>570.5</v>
          </cell>
          <cell r="Y970">
            <v>297.5</v>
          </cell>
          <cell r="Z970">
            <v>96.5</v>
          </cell>
          <cell r="AA970">
            <v>17.5</v>
          </cell>
          <cell r="AB970">
            <v>492</v>
          </cell>
          <cell r="AC970">
            <v>420</v>
          </cell>
          <cell r="AD970">
            <v>72</v>
          </cell>
          <cell r="AE970">
            <v>982</v>
          </cell>
          <cell r="AF970">
            <v>868</v>
          </cell>
          <cell r="AG970">
            <v>114</v>
          </cell>
        </row>
        <row r="971">
          <cell r="C971">
            <v>41052089</v>
          </cell>
          <cell r="D971" t="str">
            <v>EXCEL SERVICE CENTRE</v>
          </cell>
          <cell r="E971" t="str">
            <v>HPCL</v>
          </cell>
          <cell r="G971" t="str">
            <v>Pune City RSA</v>
          </cell>
          <cell r="J971" t="str">
            <v>KARVE ROAD</v>
          </cell>
          <cell r="K971" t="str">
            <v>Pune</v>
          </cell>
          <cell r="L971" t="str">
            <v>A</v>
          </cell>
          <cell r="O971" t="str">
            <v>A</v>
          </cell>
          <cell r="P971">
            <v>271</v>
          </cell>
          <cell r="Q971">
            <v>51</v>
          </cell>
          <cell r="R971">
            <v>257</v>
          </cell>
          <cell r="S971">
            <v>39</v>
          </cell>
          <cell r="T971">
            <v>14</v>
          </cell>
          <cell r="U971">
            <v>12</v>
          </cell>
          <cell r="V971">
            <v>525</v>
          </cell>
          <cell r="W971">
            <v>101</v>
          </cell>
          <cell r="X971">
            <v>537</v>
          </cell>
          <cell r="Y971">
            <v>79</v>
          </cell>
          <cell r="Z971">
            <v>-12</v>
          </cell>
          <cell r="AA971">
            <v>22</v>
          </cell>
          <cell r="AB971">
            <v>322</v>
          </cell>
          <cell r="AC971">
            <v>296</v>
          </cell>
          <cell r="AD971">
            <v>26</v>
          </cell>
          <cell r="AE971">
            <v>626</v>
          </cell>
          <cell r="AF971">
            <v>616</v>
          </cell>
          <cell r="AG971">
            <v>10</v>
          </cell>
        </row>
        <row r="972">
          <cell r="C972">
            <v>41052092</v>
          </cell>
          <cell r="D972" t="str">
            <v>AUTOLINES</v>
          </cell>
          <cell r="E972" t="str">
            <v>HPCL</v>
          </cell>
          <cell r="G972" t="str">
            <v>Pune City RSA</v>
          </cell>
          <cell r="J972" t="str">
            <v>GANESH KHIND ROAD</v>
          </cell>
          <cell r="K972" t="str">
            <v>Pune</v>
          </cell>
          <cell r="L972" t="str">
            <v>A</v>
          </cell>
          <cell r="O972" t="str">
            <v>A</v>
          </cell>
          <cell r="P972">
            <v>429</v>
          </cell>
          <cell r="Q972">
            <v>355</v>
          </cell>
          <cell r="R972">
            <v>345</v>
          </cell>
          <cell r="S972">
            <v>295</v>
          </cell>
          <cell r="T972">
            <v>84</v>
          </cell>
          <cell r="U972">
            <v>60</v>
          </cell>
          <cell r="V972">
            <v>839</v>
          </cell>
          <cell r="W972">
            <v>705</v>
          </cell>
          <cell r="X972">
            <v>720</v>
          </cell>
          <cell r="Y972">
            <v>580</v>
          </cell>
          <cell r="Z972">
            <v>119</v>
          </cell>
          <cell r="AA972">
            <v>125</v>
          </cell>
          <cell r="AB972">
            <v>784</v>
          </cell>
          <cell r="AC972">
            <v>640</v>
          </cell>
          <cell r="AD972">
            <v>144</v>
          </cell>
          <cell r="AE972">
            <v>1544</v>
          </cell>
          <cell r="AF972">
            <v>1300</v>
          </cell>
          <cell r="AG972">
            <v>244</v>
          </cell>
        </row>
        <row r="973">
          <cell r="C973">
            <v>41052093</v>
          </cell>
          <cell r="D973" t="str">
            <v>HIGHWAY PETROLEUM CENTRE</v>
          </cell>
          <cell r="E973" t="str">
            <v>HPCL</v>
          </cell>
          <cell r="G973" t="str">
            <v>Pune City RSA</v>
          </cell>
          <cell r="J973" t="str">
            <v>BHAIROVA NALA</v>
          </cell>
          <cell r="K973" t="str">
            <v>Pune</v>
          </cell>
          <cell r="L973" t="str">
            <v>A</v>
          </cell>
          <cell r="O973" t="str">
            <v>A</v>
          </cell>
          <cell r="P973">
            <v>0</v>
          </cell>
          <cell r="Q973">
            <v>0</v>
          </cell>
          <cell r="R973">
            <v>163</v>
          </cell>
          <cell r="S973">
            <v>117</v>
          </cell>
          <cell r="T973">
            <v>-163</v>
          </cell>
          <cell r="U973">
            <v>-117</v>
          </cell>
          <cell r="V973">
            <v>0</v>
          </cell>
          <cell r="W973">
            <v>0</v>
          </cell>
          <cell r="X973">
            <v>322</v>
          </cell>
          <cell r="Y973">
            <v>228</v>
          </cell>
          <cell r="Z973">
            <v>-322</v>
          </cell>
          <cell r="AA973">
            <v>-228</v>
          </cell>
          <cell r="AB973">
            <v>0</v>
          </cell>
          <cell r="AC973">
            <v>280</v>
          </cell>
          <cell r="AD973">
            <v>-280</v>
          </cell>
          <cell r="AE973">
            <v>0</v>
          </cell>
          <cell r="AF973">
            <v>550</v>
          </cell>
          <cell r="AG973">
            <v>-550</v>
          </cell>
        </row>
        <row r="974">
          <cell r="C974">
            <v>41052095</v>
          </cell>
          <cell r="D974" t="str">
            <v>G NAIK &amp; COMPANY HPC</v>
          </cell>
          <cell r="E974" t="str">
            <v>HPCL</v>
          </cell>
          <cell r="G974" t="str">
            <v>Pune City RSA</v>
          </cell>
          <cell r="J974" t="str">
            <v>SWARGATE</v>
          </cell>
          <cell r="K974" t="str">
            <v>Pune</v>
          </cell>
          <cell r="L974" t="str">
            <v>A</v>
          </cell>
          <cell r="O974" t="str">
            <v>A</v>
          </cell>
          <cell r="P974">
            <v>119</v>
          </cell>
          <cell r="Q974">
            <v>25</v>
          </cell>
          <cell r="R974">
            <v>125</v>
          </cell>
          <cell r="S974">
            <v>23</v>
          </cell>
          <cell r="T974">
            <v>-6</v>
          </cell>
          <cell r="U974">
            <v>2</v>
          </cell>
          <cell r="V974">
            <v>272</v>
          </cell>
          <cell r="W974">
            <v>54</v>
          </cell>
          <cell r="X974">
            <v>261</v>
          </cell>
          <cell r="Y974">
            <v>45</v>
          </cell>
          <cell r="Z974">
            <v>11</v>
          </cell>
          <cell r="AA974">
            <v>9</v>
          </cell>
          <cell r="AB974">
            <v>144</v>
          </cell>
          <cell r="AC974">
            <v>148</v>
          </cell>
          <cell r="AD974">
            <v>-4</v>
          </cell>
          <cell r="AE974">
            <v>326</v>
          </cell>
          <cell r="AF974">
            <v>306</v>
          </cell>
          <cell r="AG974">
            <v>20</v>
          </cell>
        </row>
        <row r="975">
          <cell r="C975">
            <v>41052097</v>
          </cell>
          <cell r="D975" t="str">
            <v>RASHID KHODADAD &amp; CO</v>
          </cell>
          <cell r="E975" t="str">
            <v>HPCL</v>
          </cell>
          <cell r="G975" t="str">
            <v>Pune City RSA</v>
          </cell>
          <cell r="J975" t="str">
            <v>MOLEDINA ROAD/E STREET</v>
          </cell>
          <cell r="K975" t="str">
            <v>Pune</v>
          </cell>
          <cell r="L975" t="str">
            <v>A</v>
          </cell>
          <cell r="O975" t="str">
            <v>A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</row>
        <row r="976">
          <cell r="C976">
            <v>41052103</v>
          </cell>
          <cell r="D976" t="str">
            <v>RASHID KHODADAD &amp; CO</v>
          </cell>
          <cell r="E976" t="str">
            <v>HPCL</v>
          </cell>
          <cell r="G976" t="str">
            <v>Pune City RSA</v>
          </cell>
          <cell r="J976" t="str">
            <v>KOREGAON PARK</v>
          </cell>
          <cell r="K976" t="str">
            <v>Pune</v>
          </cell>
          <cell r="L976" t="str">
            <v>A</v>
          </cell>
          <cell r="O976" t="str">
            <v>B</v>
          </cell>
          <cell r="P976">
            <v>330</v>
          </cell>
          <cell r="Q976">
            <v>126</v>
          </cell>
          <cell r="R976">
            <v>308</v>
          </cell>
          <cell r="S976">
            <v>100</v>
          </cell>
          <cell r="T976">
            <v>22</v>
          </cell>
          <cell r="U976">
            <v>26</v>
          </cell>
          <cell r="V976">
            <v>671</v>
          </cell>
          <cell r="W976">
            <v>229</v>
          </cell>
          <cell r="X976">
            <v>643</v>
          </cell>
          <cell r="Y976">
            <v>221</v>
          </cell>
          <cell r="Z976">
            <v>28</v>
          </cell>
          <cell r="AA976">
            <v>8</v>
          </cell>
          <cell r="AB976">
            <v>456</v>
          </cell>
          <cell r="AC976">
            <v>408</v>
          </cell>
          <cell r="AD976">
            <v>48</v>
          </cell>
          <cell r="AE976">
            <v>900</v>
          </cell>
          <cell r="AF976">
            <v>864</v>
          </cell>
          <cell r="AG976">
            <v>36</v>
          </cell>
        </row>
        <row r="977">
          <cell r="C977">
            <v>41052107</v>
          </cell>
          <cell r="D977" t="str">
            <v>AUTO FUEL CENTRE</v>
          </cell>
          <cell r="E977" t="str">
            <v>HPCL</v>
          </cell>
          <cell r="G977" t="str">
            <v>Pune City RSA</v>
          </cell>
          <cell r="J977" t="str">
            <v>GPO</v>
          </cell>
          <cell r="K977" t="str">
            <v>Pune</v>
          </cell>
          <cell r="L977" t="str">
            <v>A</v>
          </cell>
          <cell r="O977" t="str">
            <v>A</v>
          </cell>
          <cell r="P977">
            <v>12</v>
          </cell>
          <cell r="Q977">
            <v>0</v>
          </cell>
          <cell r="R977">
            <v>12</v>
          </cell>
          <cell r="S977">
            <v>0</v>
          </cell>
          <cell r="T977">
            <v>0</v>
          </cell>
          <cell r="U977">
            <v>0</v>
          </cell>
          <cell r="V977">
            <v>24</v>
          </cell>
          <cell r="W977">
            <v>0</v>
          </cell>
          <cell r="X977">
            <v>24</v>
          </cell>
          <cell r="Y977">
            <v>0</v>
          </cell>
          <cell r="Z977">
            <v>0</v>
          </cell>
          <cell r="AA977">
            <v>0</v>
          </cell>
          <cell r="AB977">
            <v>12</v>
          </cell>
          <cell r="AC977">
            <v>12</v>
          </cell>
          <cell r="AD977">
            <v>0</v>
          </cell>
          <cell r="AE977">
            <v>24</v>
          </cell>
          <cell r="AF977">
            <v>24</v>
          </cell>
          <cell r="AG977">
            <v>0</v>
          </cell>
        </row>
        <row r="978">
          <cell r="C978">
            <v>41052113</v>
          </cell>
          <cell r="D978" t="str">
            <v>Borawake Bros.</v>
          </cell>
          <cell r="E978" t="str">
            <v>HPCL</v>
          </cell>
          <cell r="G978" t="str">
            <v>Shirdi RSA</v>
          </cell>
          <cell r="J978" t="str">
            <v>RAHATA</v>
          </cell>
          <cell r="K978" t="str">
            <v>Ahmednagar</v>
          </cell>
          <cell r="L978" t="str">
            <v>D1</v>
          </cell>
          <cell r="M978" t="str">
            <v>NH-160</v>
          </cell>
          <cell r="O978" t="str">
            <v>A</v>
          </cell>
          <cell r="P978">
            <v>71</v>
          </cell>
          <cell r="Q978">
            <v>78</v>
          </cell>
          <cell r="R978">
            <v>118</v>
          </cell>
          <cell r="S978">
            <v>115</v>
          </cell>
          <cell r="T978">
            <v>-47</v>
          </cell>
          <cell r="U978">
            <v>-37</v>
          </cell>
          <cell r="V978">
            <v>169</v>
          </cell>
          <cell r="W978">
            <v>182</v>
          </cell>
          <cell r="X978">
            <v>221</v>
          </cell>
          <cell r="Y978">
            <v>216</v>
          </cell>
          <cell r="Z978">
            <v>-52</v>
          </cell>
          <cell r="AA978">
            <v>-34</v>
          </cell>
          <cell r="AB978">
            <v>149</v>
          </cell>
          <cell r="AC978">
            <v>233</v>
          </cell>
          <cell r="AD978">
            <v>-84</v>
          </cell>
          <cell r="AE978">
            <v>351</v>
          </cell>
          <cell r="AF978">
            <v>437</v>
          </cell>
          <cell r="AG978">
            <v>-86</v>
          </cell>
        </row>
        <row r="979">
          <cell r="C979">
            <v>41052120</v>
          </cell>
          <cell r="D979" t="str">
            <v>Kamal Petrol Depot -MS SITE</v>
          </cell>
          <cell r="E979" t="str">
            <v>HPCL</v>
          </cell>
          <cell r="G979" t="str">
            <v>Shirdi RSA</v>
          </cell>
          <cell r="J979" t="str">
            <v>DILLI NAKA SANGAMNER</v>
          </cell>
          <cell r="K979" t="str">
            <v>Ahmednagar</v>
          </cell>
          <cell r="L979" t="str">
            <v>D1</v>
          </cell>
          <cell r="M979" t="str">
            <v>NH-60</v>
          </cell>
          <cell r="O979" t="str">
            <v>A</v>
          </cell>
          <cell r="P979">
            <v>96</v>
          </cell>
          <cell r="Q979">
            <v>140</v>
          </cell>
          <cell r="R979">
            <v>60</v>
          </cell>
          <cell r="S979">
            <v>108</v>
          </cell>
          <cell r="T979">
            <v>36</v>
          </cell>
          <cell r="U979">
            <v>32</v>
          </cell>
          <cell r="V979">
            <v>164</v>
          </cell>
          <cell r="W979">
            <v>296</v>
          </cell>
          <cell r="X979">
            <v>132</v>
          </cell>
          <cell r="Y979">
            <v>228</v>
          </cell>
          <cell r="Z979">
            <v>32</v>
          </cell>
          <cell r="AA979">
            <v>68</v>
          </cell>
          <cell r="AB979">
            <v>236</v>
          </cell>
          <cell r="AC979">
            <v>168</v>
          </cell>
          <cell r="AD979">
            <v>68</v>
          </cell>
          <cell r="AE979">
            <v>460</v>
          </cell>
          <cell r="AF979">
            <v>360</v>
          </cell>
          <cell r="AG979">
            <v>100</v>
          </cell>
        </row>
        <row r="980">
          <cell r="C980">
            <v>41052122</v>
          </cell>
          <cell r="D980" t="str">
            <v>RAJENDRA SERVICE CENTRE</v>
          </cell>
          <cell r="E980" t="str">
            <v>HPCL</v>
          </cell>
          <cell r="G980" t="str">
            <v>Pune Saswad RSA</v>
          </cell>
          <cell r="J980" t="str">
            <v>SASWAD</v>
          </cell>
          <cell r="K980" t="str">
            <v>Pune</v>
          </cell>
          <cell r="L980" t="str">
            <v>C</v>
          </cell>
          <cell r="O980" t="str">
            <v>A</v>
          </cell>
          <cell r="P980">
            <v>93</v>
          </cell>
          <cell r="Q980">
            <v>93</v>
          </cell>
          <cell r="R980">
            <v>80</v>
          </cell>
          <cell r="S980">
            <v>80</v>
          </cell>
          <cell r="T980">
            <v>13</v>
          </cell>
          <cell r="U980">
            <v>13</v>
          </cell>
          <cell r="V980">
            <v>174</v>
          </cell>
          <cell r="W980">
            <v>178</v>
          </cell>
          <cell r="X980">
            <v>161</v>
          </cell>
          <cell r="Y980">
            <v>147</v>
          </cell>
          <cell r="Z980">
            <v>13</v>
          </cell>
          <cell r="AA980">
            <v>31</v>
          </cell>
          <cell r="AB980">
            <v>186</v>
          </cell>
          <cell r="AC980">
            <v>160</v>
          </cell>
          <cell r="AD980">
            <v>26</v>
          </cell>
          <cell r="AE980">
            <v>352</v>
          </cell>
          <cell r="AF980">
            <v>308</v>
          </cell>
          <cell r="AG980">
            <v>44</v>
          </cell>
        </row>
        <row r="981">
          <cell r="C981">
            <v>41052123</v>
          </cell>
          <cell r="D981" t="str">
            <v>SATARA  PETROL  DEPOT</v>
          </cell>
          <cell r="E981" t="str">
            <v>HPCL</v>
          </cell>
          <cell r="G981" t="str">
            <v>Satara West RSA</v>
          </cell>
          <cell r="J981" t="str">
            <v>Satara City</v>
          </cell>
          <cell r="K981" t="str">
            <v>Satara</v>
          </cell>
          <cell r="L981" t="str">
            <v>C</v>
          </cell>
          <cell r="O981" t="str">
            <v>A</v>
          </cell>
          <cell r="P981">
            <v>295</v>
          </cell>
          <cell r="Q981">
            <v>257</v>
          </cell>
          <cell r="R981">
            <v>246</v>
          </cell>
          <cell r="S981">
            <v>210</v>
          </cell>
          <cell r="T981">
            <v>49</v>
          </cell>
          <cell r="U981">
            <v>47</v>
          </cell>
          <cell r="V981">
            <v>571</v>
          </cell>
          <cell r="W981">
            <v>505</v>
          </cell>
          <cell r="X981">
            <v>478</v>
          </cell>
          <cell r="Y981">
            <v>386</v>
          </cell>
          <cell r="Z981">
            <v>93</v>
          </cell>
          <cell r="AA981">
            <v>119</v>
          </cell>
          <cell r="AB981">
            <v>552</v>
          </cell>
          <cell r="AC981">
            <v>456</v>
          </cell>
          <cell r="AD981">
            <v>96</v>
          </cell>
          <cell r="AE981">
            <v>1076</v>
          </cell>
          <cell r="AF981">
            <v>864</v>
          </cell>
          <cell r="AG981">
            <v>212</v>
          </cell>
        </row>
        <row r="982">
          <cell r="C982">
            <v>41052125</v>
          </cell>
          <cell r="D982" t="str">
            <v>Hariom Petroleum</v>
          </cell>
          <cell r="E982" t="str">
            <v>HPCL</v>
          </cell>
          <cell r="F982" t="str">
            <v>2012-13</v>
          </cell>
          <cell r="G982" t="str">
            <v>Ahmednagar East RSA</v>
          </cell>
          <cell r="J982" t="str">
            <v>TAKLIMIYA</v>
          </cell>
          <cell r="K982" t="str">
            <v>Ahmednagar</v>
          </cell>
          <cell r="L982" t="str">
            <v>E</v>
          </cell>
          <cell r="O982" t="str">
            <v>B</v>
          </cell>
          <cell r="P982">
            <v>19</v>
          </cell>
          <cell r="Q982">
            <v>43</v>
          </cell>
          <cell r="R982">
            <v>19.5</v>
          </cell>
          <cell r="S982">
            <v>46.5</v>
          </cell>
          <cell r="T982">
            <v>-0.5</v>
          </cell>
          <cell r="U982">
            <v>-3.5</v>
          </cell>
          <cell r="V982">
            <v>47</v>
          </cell>
          <cell r="W982">
            <v>85</v>
          </cell>
          <cell r="X982">
            <v>43.5</v>
          </cell>
          <cell r="Y982">
            <v>98.5</v>
          </cell>
          <cell r="Z982">
            <v>3.5</v>
          </cell>
          <cell r="AA982">
            <v>-13.5</v>
          </cell>
          <cell r="AB982">
            <v>62</v>
          </cell>
          <cell r="AC982">
            <v>66</v>
          </cell>
          <cell r="AD982">
            <v>-4</v>
          </cell>
          <cell r="AE982">
            <v>132</v>
          </cell>
          <cell r="AF982">
            <v>142</v>
          </cell>
          <cell r="AG982">
            <v>-10</v>
          </cell>
        </row>
        <row r="983">
          <cell r="C983">
            <v>41052126</v>
          </cell>
          <cell r="D983" t="str">
            <v>Sai -simran Petroleum</v>
          </cell>
          <cell r="E983" t="str">
            <v>HPCL</v>
          </cell>
          <cell r="F983" t="str">
            <v>2012-13</v>
          </cell>
          <cell r="G983" t="str">
            <v>Ahmednagar East RSA</v>
          </cell>
          <cell r="J983" t="str">
            <v>Newasa Budruk</v>
          </cell>
          <cell r="K983" t="str">
            <v>Ahmednagar</v>
          </cell>
          <cell r="L983" t="str">
            <v>D2</v>
          </cell>
          <cell r="O983" t="str">
            <v>A</v>
          </cell>
          <cell r="P983">
            <v>84</v>
          </cell>
          <cell r="Q983">
            <v>125</v>
          </cell>
          <cell r="R983">
            <v>81</v>
          </cell>
          <cell r="S983">
            <v>90</v>
          </cell>
          <cell r="T983">
            <v>3</v>
          </cell>
          <cell r="U983">
            <v>35</v>
          </cell>
          <cell r="V983">
            <v>155</v>
          </cell>
          <cell r="W983">
            <v>225</v>
          </cell>
          <cell r="X983">
            <v>148</v>
          </cell>
          <cell r="Y983">
            <v>175</v>
          </cell>
          <cell r="Z983">
            <v>7</v>
          </cell>
          <cell r="AA983">
            <v>50</v>
          </cell>
          <cell r="AB983">
            <v>209</v>
          </cell>
          <cell r="AC983">
            <v>171</v>
          </cell>
          <cell r="AD983">
            <v>38</v>
          </cell>
          <cell r="AE983">
            <v>380</v>
          </cell>
          <cell r="AF983">
            <v>323</v>
          </cell>
          <cell r="AG983">
            <v>57</v>
          </cell>
        </row>
        <row r="984">
          <cell r="C984">
            <v>41052188</v>
          </cell>
          <cell r="D984" t="str">
            <v>Ramchand &amp; Sons</v>
          </cell>
          <cell r="E984" t="str">
            <v>HPCL</v>
          </cell>
          <cell r="G984" t="str">
            <v>Shirdi RSA</v>
          </cell>
          <cell r="J984" t="str">
            <v>SHRIRAMPUR TOWN</v>
          </cell>
          <cell r="K984" t="str">
            <v>Ahmednagar</v>
          </cell>
          <cell r="L984" t="str">
            <v>D2</v>
          </cell>
          <cell r="O984" t="str">
            <v>A</v>
          </cell>
          <cell r="P984">
            <v>60</v>
          </cell>
          <cell r="Q984">
            <v>72</v>
          </cell>
          <cell r="R984">
            <v>52</v>
          </cell>
          <cell r="S984">
            <v>68</v>
          </cell>
          <cell r="T984">
            <v>8</v>
          </cell>
          <cell r="U984">
            <v>4</v>
          </cell>
          <cell r="V984">
            <v>100</v>
          </cell>
          <cell r="W984">
            <v>140</v>
          </cell>
          <cell r="X984">
            <v>96</v>
          </cell>
          <cell r="Y984">
            <v>132</v>
          </cell>
          <cell r="Z984">
            <v>4</v>
          </cell>
          <cell r="AA984">
            <v>8</v>
          </cell>
          <cell r="AB984">
            <v>132</v>
          </cell>
          <cell r="AC984">
            <v>120</v>
          </cell>
          <cell r="AD984">
            <v>12</v>
          </cell>
          <cell r="AE984">
            <v>240</v>
          </cell>
          <cell r="AF984">
            <v>228</v>
          </cell>
          <cell r="AG984">
            <v>12</v>
          </cell>
        </row>
        <row r="985">
          <cell r="C985">
            <v>41052192</v>
          </cell>
          <cell r="D985" t="str">
            <v>Charudatta Oil Agency</v>
          </cell>
          <cell r="E985" t="str">
            <v>HPCL</v>
          </cell>
          <cell r="G985" t="str">
            <v>Shirdi RSA</v>
          </cell>
          <cell r="J985" t="str">
            <v>RAHURI FACTORY LHS</v>
          </cell>
          <cell r="K985" t="str">
            <v>Ahmednagar</v>
          </cell>
          <cell r="L985" t="str">
            <v>D1</v>
          </cell>
          <cell r="M985" t="str">
            <v>NH-160</v>
          </cell>
          <cell r="O985" t="str">
            <v>B</v>
          </cell>
          <cell r="P985">
            <v>83</v>
          </cell>
          <cell r="Q985">
            <v>225</v>
          </cell>
          <cell r="R985">
            <v>78</v>
          </cell>
          <cell r="S985">
            <v>258</v>
          </cell>
          <cell r="T985">
            <v>5</v>
          </cell>
          <cell r="U985">
            <v>-33</v>
          </cell>
          <cell r="V985">
            <v>143</v>
          </cell>
          <cell r="W985">
            <v>441</v>
          </cell>
          <cell r="X985">
            <v>137</v>
          </cell>
          <cell r="Y985">
            <v>459</v>
          </cell>
          <cell r="Z985">
            <v>6</v>
          </cell>
          <cell r="AA985">
            <v>-18</v>
          </cell>
          <cell r="AB985">
            <v>308</v>
          </cell>
          <cell r="AC985">
            <v>336</v>
          </cell>
          <cell r="AD985">
            <v>-28</v>
          </cell>
          <cell r="AE985">
            <v>584</v>
          </cell>
          <cell r="AF985">
            <v>596</v>
          </cell>
          <cell r="AG985">
            <v>-12</v>
          </cell>
        </row>
        <row r="986">
          <cell r="C986">
            <v>41052210</v>
          </cell>
          <cell r="D986" t="str">
            <v>JANSEVA MANDAL</v>
          </cell>
          <cell r="E986" t="str">
            <v>HPCL</v>
          </cell>
          <cell r="G986" t="str">
            <v>Pune Wagholi RSA</v>
          </cell>
          <cell r="J986" t="str">
            <v>Alephata on Kalyan highway</v>
          </cell>
          <cell r="K986" t="str">
            <v>Pune</v>
          </cell>
          <cell r="L986" t="str">
            <v>D1</v>
          </cell>
          <cell r="M986" t="str">
            <v>NH-61</v>
          </cell>
          <cell r="O986" t="str">
            <v>A</v>
          </cell>
          <cell r="P986">
            <v>80</v>
          </cell>
          <cell r="Q986">
            <v>100</v>
          </cell>
          <cell r="R986">
            <v>75</v>
          </cell>
          <cell r="S986">
            <v>65</v>
          </cell>
          <cell r="T986">
            <v>5</v>
          </cell>
          <cell r="U986">
            <v>35</v>
          </cell>
          <cell r="V986">
            <v>158</v>
          </cell>
          <cell r="W986">
            <v>174</v>
          </cell>
          <cell r="X986">
            <v>160</v>
          </cell>
          <cell r="Y986">
            <v>140</v>
          </cell>
          <cell r="Z986">
            <v>-2</v>
          </cell>
          <cell r="AA986">
            <v>34</v>
          </cell>
          <cell r="AB986">
            <v>180</v>
          </cell>
          <cell r="AC986">
            <v>140</v>
          </cell>
          <cell r="AD986">
            <v>40</v>
          </cell>
          <cell r="AE986">
            <v>332</v>
          </cell>
          <cell r="AF986">
            <v>300</v>
          </cell>
          <cell r="AG986">
            <v>32</v>
          </cell>
        </row>
        <row r="987">
          <cell r="C987">
            <v>41052314</v>
          </cell>
          <cell r="D987" t="str">
            <v>Vithal Petroleum</v>
          </cell>
          <cell r="E987" t="str">
            <v>HPCL</v>
          </cell>
          <cell r="G987" t="str">
            <v>Ahmednagar East RSA</v>
          </cell>
          <cell r="J987" t="str">
            <v>Akolner</v>
          </cell>
          <cell r="K987" t="str">
            <v>Ahmednagar</v>
          </cell>
          <cell r="L987" t="str">
            <v>E</v>
          </cell>
          <cell r="O987" t="str">
            <v>B</v>
          </cell>
          <cell r="P987">
            <v>12</v>
          </cell>
          <cell r="Q987">
            <v>58</v>
          </cell>
          <cell r="R987">
            <v>16</v>
          </cell>
          <cell r="S987">
            <v>54</v>
          </cell>
          <cell r="T987">
            <v>-4</v>
          </cell>
          <cell r="U987">
            <v>4</v>
          </cell>
          <cell r="V987">
            <v>28</v>
          </cell>
          <cell r="W987">
            <v>98</v>
          </cell>
          <cell r="X987">
            <v>39</v>
          </cell>
          <cell r="Y987">
            <v>101</v>
          </cell>
          <cell r="Z987">
            <v>-11</v>
          </cell>
          <cell r="AA987">
            <v>-3</v>
          </cell>
          <cell r="AB987">
            <v>70</v>
          </cell>
          <cell r="AC987">
            <v>70</v>
          </cell>
          <cell r="AD987">
            <v>0</v>
          </cell>
          <cell r="AE987">
            <v>126</v>
          </cell>
          <cell r="AF987">
            <v>140</v>
          </cell>
          <cell r="AG987">
            <v>-14</v>
          </cell>
        </row>
        <row r="988">
          <cell r="C988">
            <v>41052316</v>
          </cell>
          <cell r="D988" t="str">
            <v>Mahaganpati Petroleum</v>
          </cell>
          <cell r="E988" t="str">
            <v>HPCL</v>
          </cell>
          <cell r="G988" t="str">
            <v>Ahmednagar West RSA</v>
          </cell>
          <cell r="J988" t="str">
            <v>Deodaithan</v>
          </cell>
          <cell r="K988" t="str">
            <v>Ahmednagar</v>
          </cell>
          <cell r="L988" t="str">
            <v>D2</v>
          </cell>
          <cell r="O988" t="str">
            <v>A</v>
          </cell>
          <cell r="P988">
            <v>36.5</v>
          </cell>
          <cell r="Q988">
            <v>112.5</v>
          </cell>
          <cell r="R988">
            <v>37</v>
          </cell>
          <cell r="S988">
            <v>74</v>
          </cell>
          <cell r="T988">
            <v>-0.5</v>
          </cell>
          <cell r="U988">
            <v>38.5</v>
          </cell>
          <cell r="V988">
            <v>74.5</v>
          </cell>
          <cell r="W988">
            <v>196.5</v>
          </cell>
          <cell r="X988">
            <v>83</v>
          </cell>
          <cell r="Y988">
            <v>161</v>
          </cell>
          <cell r="Z988">
            <v>-8.5</v>
          </cell>
          <cell r="AA988">
            <v>35.5</v>
          </cell>
          <cell r="AB988">
            <v>149</v>
          </cell>
          <cell r="AC988">
            <v>111</v>
          </cell>
          <cell r="AD988">
            <v>38</v>
          </cell>
          <cell r="AE988">
            <v>271</v>
          </cell>
          <cell r="AF988">
            <v>244</v>
          </cell>
          <cell r="AG988">
            <v>27</v>
          </cell>
        </row>
        <row r="989">
          <cell r="C989">
            <v>41052319</v>
          </cell>
          <cell r="D989" t="str">
            <v>Dinkarrao Jagtap Petroleum</v>
          </cell>
          <cell r="E989" t="str">
            <v>HPCL</v>
          </cell>
          <cell r="G989" t="str">
            <v>Shirdi RSA</v>
          </cell>
          <cell r="J989" t="str">
            <v>KOLHAR</v>
          </cell>
          <cell r="K989" t="str">
            <v>Ahmednagar</v>
          </cell>
          <cell r="L989" t="str">
            <v>D1</v>
          </cell>
          <cell r="M989" t="str">
            <v>NH-160</v>
          </cell>
          <cell r="O989" t="str">
            <v>B</v>
          </cell>
          <cell r="P989">
            <v>49</v>
          </cell>
          <cell r="Q989">
            <v>179</v>
          </cell>
          <cell r="R989">
            <v>49</v>
          </cell>
          <cell r="S989">
            <v>160</v>
          </cell>
          <cell r="T989">
            <v>0</v>
          </cell>
          <cell r="U989">
            <v>19</v>
          </cell>
          <cell r="V989">
            <v>89</v>
          </cell>
          <cell r="W989">
            <v>348</v>
          </cell>
          <cell r="X989">
            <v>93</v>
          </cell>
          <cell r="Y989">
            <v>325</v>
          </cell>
          <cell r="Z989">
            <v>-4</v>
          </cell>
          <cell r="AA989">
            <v>23</v>
          </cell>
          <cell r="AB989">
            <v>228</v>
          </cell>
          <cell r="AC989">
            <v>209</v>
          </cell>
          <cell r="AD989">
            <v>19</v>
          </cell>
          <cell r="AE989">
            <v>437</v>
          </cell>
          <cell r="AF989">
            <v>418</v>
          </cell>
          <cell r="AG989">
            <v>19</v>
          </cell>
        </row>
        <row r="990">
          <cell r="C990">
            <v>41052391</v>
          </cell>
          <cell r="D990" t="str">
            <v>Mahatma Phule KV</v>
          </cell>
          <cell r="E990" t="str">
            <v>HPCL</v>
          </cell>
          <cell r="G990" t="str">
            <v>Shirdi RSA</v>
          </cell>
          <cell r="J990" t="str">
            <v>RAHURI NH</v>
          </cell>
          <cell r="K990" t="str">
            <v>Ahmednagar</v>
          </cell>
          <cell r="L990" t="str">
            <v>D1</v>
          </cell>
          <cell r="M990" t="str">
            <v>NH-160</v>
          </cell>
          <cell r="O990" t="str">
            <v>A</v>
          </cell>
          <cell r="P990">
            <v>30</v>
          </cell>
          <cell r="Q990">
            <v>30</v>
          </cell>
          <cell r="R990">
            <v>67</v>
          </cell>
          <cell r="S990">
            <v>67</v>
          </cell>
          <cell r="T990">
            <v>-37</v>
          </cell>
          <cell r="U990">
            <v>-37</v>
          </cell>
          <cell r="V990">
            <v>60</v>
          </cell>
          <cell r="W990">
            <v>60</v>
          </cell>
          <cell r="X990">
            <v>124</v>
          </cell>
          <cell r="Y990">
            <v>114</v>
          </cell>
          <cell r="Z990">
            <v>-64</v>
          </cell>
          <cell r="AA990">
            <v>-54</v>
          </cell>
          <cell r="AB990">
            <v>60</v>
          </cell>
          <cell r="AC990">
            <v>134</v>
          </cell>
          <cell r="AD990">
            <v>-74</v>
          </cell>
          <cell r="AE990">
            <v>120</v>
          </cell>
          <cell r="AF990">
            <v>238</v>
          </cell>
          <cell r="AG990">
            <v>-118</v>
          </cell>
        </row>
        <row r="991">
          <cell r="C991">
            <v>41052477</v>
          </cell>
          <cell r="D991" t="str">
            <v>P  G  SHAH</v>
          </cell>
          <cell r="E991" t="str">
            <v>HPCL</v>
          </cell>
          <cell r="G991" t="str">
            <v>Satara West RSA</v>
          </cell>
          <cell r="J991" t="str">
            <v>Karad City</v>
          </cell>
          <cell r="K991" t="str">
            <v>Satara</v>
          </cell>
          <cell r="L991" t="str">
            <v>C</v>
          </cell>
          <cell r="O991" t="str">
            <v>B</v>
          </cell>
          <cell r="P991">
            <v>41.5</v>
          </cell>
          <cell r="Q991">
            <v>84.5</v>
          </cell>
          <cell r="R991">
            <v>0</v>
          </cell>
          <cell r="S991">
            <v>0</v>
          </cell>
          <cell r="T991">
            <v>41.5</v>
          </cell>
          <cell r="U991">
            <v>84.5</v>
          </cell>
          <cell r="V991">
            <v>54.5</v>
          </cell>
          <cell r="W991">
            <v>99.5</v>
          </cell>
          <cell r="X991">
            <v>0</v>
          </cell>
          <cell r="Y991">
            <v>0</v>
          </cell>
          <cell r="Z991">
            <v>54.5</v>
          </cell>
          <cell r="AA991">
            <v>99.5</v>
          </cell>
          <cell r="AB991">
            <v>126</v>
          </cell>
          <cell r="AC991">
            <v>0</v>
          </cell>
          <cell r="AD991">
            <v>126</v>
          </cell>
          <cell r="AE991">
            <v>154</v>
          </cell>
          <cell r="AF991">
            <v>0</v>
          </cell>
          <cell r="AG991">
            <v>154</v>
          </cell>
        </row>
        <row r="992">
          <cell r="C992">
            <v>41052485</v>
          </cell>
          <cell r="D992" t="str">
            <v>V. Ramchandra</v>
          </cell>
          <cell r="E992" t="str">
            <v>HPCL</v>
          </cell>
          <cell r="G992" t="str">
            <v>Ahmednagar East RSA</v>
          </cell>
          <cell r="J992" t="str">
            <v>Kedgaon</v>
          </cell>
          <cell r="K992" t="str">
            <v>Ahmednagar</v>
          </cell>
          <cell r="L992" t="str">
            <v>D1</v>
          </cell>
          <cell r="M992" t="str">
            <v>NH-753F</v>
          </cell>
          <cell r="O992" t="str">
            <v>A</v>
          </cell>
          <cell r="P992">
            <v>0</v>
          </cell>
          <cell r="Q992">
            <v>0</v>
          </cell>
          <cell r="R992">
            <v>33</v>
          </cell>
          <cell r="S992">
            <v>29</v>
          </cell>
          <cell r="T992">
            <v>-33</v>
          </cell>
          <cell r="U992">
            <v>-29</v>
          </cell>
          <cell r="V992">
            <v>0</v>
          </cell>
          <cell r="W992">
            <v>0</v>
          </cell>
          <cell r="X992">
            <v>51</v>
          </cell>
          <cell r="Y992">
            <v>47</v>
          </cell>
          <cell r="Z992">
            <v>-51</v>
          </cell>
          <cell r="AA992">
            <v>-47</v>
          </cell>
          <cell r="AB992">
            <v>0</v>
          </cell>
          <cell r="AC992">
            <v>62</v>
          </cell>
          <cell r="AD992">
            <v>-62</v>
          </cell>
          <cell r="AE992">
            <v>0</v>
          </cell>
          <cell r="AF992">
            <v>98</v>
          </cell>
          <cell r="AG992">
            <v>-98</v>
          </cell>
        </row>
        <row r="993">
          <cell r="C993">
            <v>41052506</v>
          </cell>
          <cell r="D993" t="str">
            <v>L KUDALE AND SONS</v>
          </cell>
          <cell r="E993" t="str">
            <v>HPCL</v>
          </cell>
          <cell r="G993" t="str">
            <v>Pune Tathawade RSA</v>
          </cell>
          <cell r="J993" t="str">
            <v>JAMBHULWADI TO KHED SHIVAPUR</v>
          </cell>
          <cell r="K993" t="str">
            <v>Pune</v>
          </cell>
          <cell r="L993" t="str">
            <v>D1</v>
          </cell>
          <cell r="M993" t="str">
            <v>NH-48</v>
          </cell>
          <cell r="O993" t="str">
            <v>A</v>
          </cell>
          <cell r="P993">
            <v>142</v>
          </cell>
          <cell r="Q993">
            <v>198</v>
          </cell>
          <cell r="R993">
            <v>146</v>
          </cell>
          <cell r="S993">
            <v>234</v>
          </cell>
          <cell r="T993">
            <v>-4</v>
          </cell>
          <cell r="U993">
            <v>-36</v>
          </cell>
          <cell r="V993">
            <v>250</v>
          </cell>
          <cell r="W993">
            <v>376</v>
          </cell>
          <cell r="X993">
            <v>290</v>
          </cell>
          <cell r="Y993">
            <v>444</v>
          </cell>
          <cell r="Z993">
            <v>-40</v>
          </cell>
          <cell r="AA993">
            <v>-68</v>
          </cell>
          <cell r="AB993">
            <v>340</v>
          </cell>
          <cell r="AC993">
            <v>380</v>
          </cell>
          <cell r="AD993">
            <v>-40</v>
          </cell>
          <cell r="AE993">
            <v>626</v>
          </cell>
          <cell r="AF993">
            <v>734</v>
          </cell>
          <cell r="AG993">
            <v>-108</v>
          </cell>
        </row>
        <row r="994">
          <cell r="C994">
            <v>41052553</v>
          </cell>
          <cell r="D994" t="str">
            <v>Borawake Bros.</v>
          </cell>
          <cell r="E994" t="str">
            <v>HPCL</v>
          </cell>
          <cell r="G994" t="str">
            <v>Shirdi RSA</v>
          </cell>
          <cell r="J994" t="str">
            <v>KOPARGAON NH</v>
          </cell>
          <cell r="K994" t="str">
            <v>Ahmednagar</v>
          </cell>
          <cell r="L994" t="str">
            <v>D1</v>
          </cell>
          <cell r="M994" t="str">
            <v>NH-752G</v>
          </cell>
          <cell r="O994" t="str">
            <v>A</v>
          </cell>
          <cell r="P994">
            <v>42</v>
          </cell>
          <cell r="Q994">
            <v>72</v>
          </cell>
          <cell r="R994">
            <v>60</v>
          </cell>
          <cell r="S994">
            <v>72</v>
          </cell>
          <cell r="T994">
            <v>-18</v>
          </cell>
          <cell r="U994">
            <v>0</v>
          </cell>
          <cell r="V994">
            <v>97</v>
          </cell>
          <cell r="W994">
            <v>137</v>
          </cell>
          <cell r="X994">
            <v>111</v>
          </cell>
          <cell r="Y994">
            <v>133</v>
          </cell>
          <cell r="Z994">
            <v>-14</v>
          </cell>
          <cell r="AA994">
            <v>4</v>
          </cell>
          <cell r="AB994">
            <v>114</v>
          </cell>
          <cell r="AC994">
            <v>132</v>
          </cell>
          <cell r="AD994">
            <v>-18</v>
          </cell>
          <cell r="AE994">
            <v>234</v>
          </cell>
          <cell r="AF994">
            <v>244</v>
          </cell>
          <cell r="AG994">
            <v>-10</v>
          </cell>
        </row>
        <row r="995">
          <cell r="C995">
            <v>41052558</v>
          </cell>
          <cell r="D995" t="str">
            <v>SANJAY SERVICE STATION</v>
          </cell>
          <cell r="E995" t="str">
            <v>HPCL</v>
          </cell>
          <cell r="G995" t="str">
            <v>Pune Hadapsar RSA</v>
          </cell>
          <cell r="J995" t="str">
            <v>Loni LHS</v>
          </cell>
          <cell r="K995" t="str">
            <v>Pune</v>
          </cell>
          <cell r="L995" t="str">
            <v>D1</v>
          </cell>
          <cell r="M995" t="str">
            <v>NH-65</v>
          </cell>
          <cell r="O995" t="str">
            <v>A</v>
          </cell>
          <cell r="P995">
            <v>261</v>
          </cell>
          <cell r="Q995">
            <v>575</v>
          </cell>
          <cell r="R995">
            <v>236</v>
          </cell>
          <cell r="S995">
            <v>532</v>
          </cell>
          <cell r="T995">
            <v>25</v>
          </cell>
          <cell r="U995">
            <v>43</v>
          </cell>
          <cell r="V995">
            <v>488</v>
          </cell>
          <cell r="W995">
            <v>1096</v>
          </cell>
          <cell r="X995">
            <v>449</v>
          </cell>
          <cell r="Y995">
            <v>1007</v>
          </cell>
          <cell r="Z995">
            <v>39</v>
          </cell>
          <cell r="AA995">
            <v>89</v>
          </cell>
          <cell r="AB995">
            <v>836</v>
          </cell>
          <cell r="AC995">
            <v>768</v>
          </cell>
          <cell r="AD995">
            <v>68</v>
          </cell>
          <cell r="AE995">
            <v>1584</v>
          </cell>
          <cell r="AF995">
            <v>1456</v>
          </cell>
          <cell r="AG995">
            <v>128</v>
          </cell>
        </row>
        <row r="996">
          <cell r="C996">
            <v>41052564</v>
          </cell>
          <cell r="D996" t="str">
            <v>TREACHER  &amp;  CO.</v>
          </cell>
          <cell r="E996" t="str">
            <v>HPCL</v>
          </cell>
          <cell r="G996" t="str">
            <v>Satara West RSA</v>
          </cell>
          <cell r="J996" t="str">
            <v>Mahabaleswar Panchgani</v>
          </cell>
          <cell r="K996" t="str">
            <v>Satara</v>
          </cell>
          <cell r="L996" t="str">
            <v>D2</v>
          </cell>
          <cell r="O996" t="str">
            <v>B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</row>
        <row r="997">
          <cell r="C997">
            <v>41052587</v>
          </cell>
          <cell r="D997" t="str">
            <v>REGAL AUTO (adhoc anand 12552460)</v>
          </cell>
          <cell r="E997" t="str">
            <v>HPCL</v>
          </cell>
          <cell r="G997" t="str">
            <v>Pune Wagholi RSA</v>
          </cell>
          <cell r="J997" t="str">
            <v>Narayangaon</v>
          </cell>
          <cell r="K997" t="str">
            <v>Pune</v>
          </cell>
          <cell r="L997" t="str">
            <v>C</v>
          </cell>
          <cell r="O997" t="str">
            <v>A</v>
          </cell>
          <cell r="P997">
            <v>118</v>
          </cell>
          <cell r="Q997">
            <v>134</v>
          </cell>
          <cell r="R997">
            <v>94.5</v>
          </cell>
          <cell r="S997">
            <v>101.5</v>
          </cell>
          <cell r="T997">
            <v>23.5</v>
          </cell>
          <cell r="U997">
            <v>32.5</v>
          </cell>
          <cell r="V997">
            <v>222</v>
          </cell>
          <cell r="W997">
            <v>242</v>
          </cell>
          <cell r="X997">
            <v>192.5</v>
          </cell>
          <cell r="Y997">
            <v>213.5</v>
          </cell>
          <cell r="Z997">
            <v>29.5</v>
          </cell>
          <cell r="AA997">
            <v>28.5</v>
          </cell>
          <cell r="AB997">
            <v>252</v>
          </cell>
          <cell r="AC997">
            <v>196</v>
          </cell>
          <cell r="AD997">
            <v>56</v>
          </cell>
          <cell r="AE997">
            <v>464</v>
          </cell>
          <cell r="AF997">
            <v>406</v>
          </cell>
          <cell r="AG997">
            <v>58</v>
          </cell>
        </row>
        <row r="998">
          <cell r="C998">
            <v>41052630</v>
          </cell>
          <cell r="D998" t="str">
            <v>Ajinkya Petroleum</v>
          </cell>
          <cell r="E998" t="str">
            <v>HPCL</v>
          </cell>
          <cell r="G998" t="str">
            <v>Ahmednagar West RSA</v>
          </cell>
          <cell r="J998" t="str">
            <v>Mahi Jalgaon</v>
          </cell>
          <cell r="K998" t="str">
            <v>Ahmednagar</v>
          </cell>
          <cell r="L998" t="str">
            <v>D2</v>
          </cell>
          <cell r="O998" t="str">
            <v>A</v>
          </cell>
          <cell r="P998">
            <v>30</v>
          </cell>
          <cell r="Q998">
            <v>110</v>
          </cell>
          <cell r="R998">
            <v>30</v>
          </cell>
          <cell r="S998">
            <v>70</v>
          </cell>
          <cell r="T998">
            <v>0</v>
          </cell>
          <cell r="U998">
            <v>40</v>
          </cell>
          <cell r="V998">
            <v>55</v>
          </cell>
          <cell r="W998">
            <v>185</v>
          </cell>
          <cell r="X998">
            <v>55</v>
          </cell>
          <cell r="Y998">
            <v>145</v>
          </cell>
          <cell r="Z998">
            <v>0</v>
          </cell>
          <cell r="AA998">
            <v>40</v>
          </cell>
          <cell r="AB998">
            <v>140</v>
          </cell>
          <cell r="AC998">
            <v>100</v>
          </cell>
          <cell r="AD998">
            <v>40</v>
          </cell>
          <cell r="AE998">
            <v>240</v>
          </cell>
          <cell r="AF998">
            <v>200</v>
          </cell>
          <cell r="AG998">
            <v>40</v>
          </cell>
        </row>
        <row r="999">
          <cell r="C999">
            <v>41052775</v>
          </cell>
          <cell r="D999" t="str">
            <v>UNIQUE SERVICES</v>
          </cell>
          <cell r="E999" t="str">
            <v>HPCL</v>
          </cell>
          <cell r="G999" t="str">
            <v>Pune Tathawade RSA</v>
          </cell>
          <cell r="J999" t="str">
            <v>KAMSHET TO VADGAON</v>
          </cell>
          <cell r="K999" t="str">
            <v>Pune</v>
          </cell>
          <cell r="L999" t="str">
            <v>D1</v>
          </cell>
          <cell r="M999" t="str">
            <v>NH-48</v>
          </cell>
          <cell r="O999" t="str">
            <v>A</v>
          </cell>
          <cell r="P999">
            <v>114</v>
          </cell>
          <cell r="Q999">
            <v>348</v>
          </cell>
          <cell r="R999">
            <v>105</v>
          </cell>
          <cell r="S999">
            <v>181</v>
          </cell>
          <cell r="T999">
            <v>9</v>
          </cell>
          <cell r="U999">
            <v>167</v>
          </cell>
          <cell r="V999">
            <v>230</v>
          </cell>
          <cell r="W999">
            <v>606</v>
          </cell>
          <cell r="X999">
            <v>199</v>
          </cell>
          <cell r="Y999">
            <v>307</v>
          </cell>
          <cell r="Z999">
            <v>31</v>
          </cell>
          <cell r="AA999">
            <v>299</v>
          </cell>
          <cell r="AB999">
            <v>462</v>
          </cell>
          <cell r="AC999">
            <v>286</v>
          </cell>
          <cell r="AD999">
            <v>176</v>
          </cell>
          <cell r="AE999">
            <v>836</v>
          </cell>
          <cell r="AF999">
            <v>506</v>
          </cell>
          <cell r="AG999">
            <v>330</v>
          </cell>
        </row>
        <row r="1000">
          <cell r="C1000">
            <v>41052795</v>
          </cell>
          <cell r="D1000" t="str">
            <v>Amardeep Petroleum</v>
          </cell>
          <cell r="E1000" t="str">
            <v>HPCL</v>
          </cell>
          <cell r="G1000" t="str">
            <v>Ahmednagar East RSA</v>
          </cell>
          <cell r="J1000" t="str">
            <v>MIDC Nagapur</v>
          </cell>
          <cell r="K1000" t="str">
            <v>Ahmednagar</v>
          </cell>
          <cell r="L1000" t="str">
            <v>D2</v>
          </cell>
          <cell r="O1000" t="str">
            <v>A</v>
          </cell>
          <cell r="P1000">
            <v>29</v>
          </cell>
          <cell r="Q1000">
            <v>83</v>
          </cell>
          <cell r="R1000">
            <v>28</v>
          </cell>
          <cell r="S1000">
            <v>84</v>
          </cell>
          <cell r="T1000">
            <v>1</v>
          </cell>
          <cell r="U1000">
            <v>-1</v>
          </cell>
          <cell r="V1000">
            <v>54</v>
          </cell>
          <cell r="W1000">
            <v>156</v>
          </cell>
          <cell r="X1000">
            <v>56</v>
          </cell>
          <cell r="Y1000">
            <v>168</v>
          </cell>
          <cell r="Z1000">
            <v>-2</v>
          </cell>
          <cell r="AA1000">
            <v>-12</v>
          </cell>
          <cell r="AB1000">
            <v>112</v>
          </cell>
          <cell r="AC1000">
            <v>112</v>
          </cell>
          <cell r="AD1000">
            <v>0</v>
          </cell>
          <cell r="AE1000">
            <v>210</v>
          </cell>
          <cell r="AF1000">
            <v>224</v>
          </cell>
          <cell r="AG1000">
            <v>-14</v>
          </cell>
        </row>
        <row r="1001">
          <cell r="C1001">
            <v>41052799</v>
          </cell>
          <cell r="D1001" t="str">
            <v>Om Shri Sai Pet</v>
          </cell>
          <cell r="E1001" t="str">
            <v>HPCL</v>
          </cell>
          <cell r="G1001" t="str">
            <v>Shirdi RSA</v>
          </cell>
          <cell r="J1001" t="str">
            <v>KASAR DHUMALA</v>
          </cell>
          <cell r="K1001" t="str">
            <v>Ahmednagar</v>
          </cell>
          <cell r="L1001" t="str">
            <v>D2</v>
          </cell>
          <cell r="O1001" t="str">
            <v>A</v>
          </cell>
          <cell r="P1001">
            <v>55.5</v>
          </cell>
          <cell r="Q1001">
            <v>118.5</v>
          </cell>
          <cell r="R1001">
            <v>63</v>
          </cell>
          <cell r="S1001">
            <v>91</v>
          </cell>
          <cell r="T1001">
            <v>-7.5</v>
          </cell>
          <cell r="U1001">
            <v>27.5</v>
          </cell>
          <cell r="V1001">
            <v>110</v>
          </cell>
          <cell r="W1001">
            <v>218</v>
          </cell>
          <cell r="X1001">
            <v>116</v>
          </cell>
          <cell r="Y1001">
            <v>182</v>
          </cell>
          <cell r="Z1001">
            <v>-6</v>
          </cell>
          <cell r="AA1001">
            <v>36</v>
          </cell>
          <cell r="AB1001">
            <v>174</v>
          </cell>
          <cell r="AC1001">
            <v>154</v>
          </cell>
          <cell r="AD1001">
            <v>20</v>
          </cell>
          <cell r="AE1001">
            <v>328</v>
          </cell>
          <cell r="AF1001">
            <v>298</v>
          </cell>
          <cell r="AG1001">
            <v>30</v>
          </cell>
        </row>
        <row r="1002">
          <cell r="C1002">
            <v>41052800</v>
          </cell>
          <cell r="D1002" t="str">
            <v>Dharmatma Petroleum</v>
          </cell>
          <cell r="E1002" t="str">
            <v>HPCL</v>
          </cell>
          <cell r="G1002" t="str">
            <v>Ahmednagar East RSA</v>
          </cell>
          <cell r="J1002" t="str">
            <v>Shevgaon</v>
          </cell>
          <cell r="K1002" t="str">
            <v>Ahmednagar</v>
          </cell>
          <cell r="L1002" t="str">
            <v>D2</v>
          </cell>
          <cell r="O1002" t="str">
            <v>A</v>
          </cell>
          <cell r="P1002">
            <v>69</v>
          </cell>
          <cell r="Q1002">
            <v>121</v>
          </cell>
          <cell r="R1002">
            <v>63</v>
          </cell>
          <cell r="S1002">
            <v>81</v>
          </cell>
          <cell r="T1002">
            <v>6</v>
          </cell>
          <cell r="U1002">
            <v>40</v>
          </cell>
          <cell r="V1002">
            <v>130</v>
          </cell>
          <cell r="W1002">
            <v>202</v>
          </cell>
          <cell r="X1002">
            <v>120</v>
          </cell>
          <cell r="Y1002">
            <v>156</v>
          </cell>
          <cell r="Z1002">
            <v>10</v>
          </cell>
          <cell r="AA1002">
            <v>46</v>
          </cell>
          <cell r="AB1002">
            <v>190</v>
          </cell>
          <cell r="AC1002">
            <v>144</v>
          </cell>
          <cell r="AD1002">
            <v>46</v>
          </cell>
          <cell r="AE1002">
            <v>332</v>
          </cell>
          <cell r="AF1002">
            <v>276</v>
          </cell>
          <cell r="AG1002">
            <v>56</v>
          </cell>
        </row>
        <row r="1003">
          <cell r="C1003">
            <v>41052845</v>
          </cell>
          <cell r="D1003" t="str">
            <v>JAI MALHAR SERVICE CENTRE</v>
          </cell>
          <cell r="E1003" t="str">
            <v>HPCL</v>
          </cell>
          <cell r="G1003" t="str">
            <v>Pune Hadapsar RSA</v>
          </cell>
          <cell r="J1003" t="str">
            <v>Nagargaon</v>
          </cell>
          <cell r="K1003" t="str">
            <v>Pune</v>
          </cell>
          <cell r="L1003" t="str">
            <v>D2</v>
          </cell>
          <cell r="O1003" t="str">
            <v>B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</row>
        <row r="1004">
          <cell r="C1004">
            <v>41052847</v>
          </cell>
          <cell r="D1004" t="str">
            <v>Shankarnandi Ser. Stan.-HSD (MS Resitement)</v>
          </cell>
          <cell r="E1004" t="str">
            <v>HPCL</v>
          </cell>
          <cell r="G1004" t="str">
            <v>Ahmednagar West RSA</v>
          </cell>
          <cell r="J1004" t="str">
            <v>Tisgaon</v>
          </cell>
          <cell r="K1004" t="str">
            <v>Ahmednagar</v>
          </cell>
          <cell r="L1004" t="str">
            <v>D1</v>
          </cell>
          <cell r="M1004" t="str">
            <v>NH-61</v>
          </cell>
          <cell r="O1004" t="str">
            <v>A</v>
          </cell>
          <cell r="P1004">
            <v>7</v>
          </cell>
          <cell r="Q1004">
            <v>19</v>
          </cell>
          <cell r="R1004">
            <v>0</v>
          </cell>
          <cell r="S1004">
            <v>0</v>
          </cell>
          <cell r="T1004">
            <v>7</v>
          </cell>
          <cell r="U1004">
            <v>19</v>
          </cell>
          <cell r="V1004">
            <v>10</v>
          </cell>
          <cell r="W1004">
            <v>28</v>
          </cell>
          <cell r="X1004">
            <v>0</v>
          </cell>
          <cell r="Y1004">
            <v>0</v>
          </cell>
          <cell r="Z1004">
            <v>10</v>
          </cell>
          <cell r="AA1004">
            <v>28</v>
          </cell>
          <cell r="AB1004">
            <v>26</v>
          </cell>
          <cell r="AC1004">
            <v>0</v>
          </cell>
          <cell r="AD1004">
            <v>26</v>
          </cell>
          <cell r="AE1004">
            <v>38</v>
          </cell>
          <cell r="AF1004">
            <v>0</v>
          </cell>
          <cell r="AG1004">
            <v>38</v>
          </cell>
        </row>
        <row r="1005">
          <cell r="C1005">
            <v>41052851</v>
          </cell>
          <cell r="D1005" t="str">
            <v>NAGTHANE  PETROLEUM</v>
          </cell>
          <cell r="E1005" t="str">
            <v>HPCL</v>
          </cell>
          <cell r="G1005" t="str">
            <v>Satara West RSA</v>
          </cell>
          <cell r="J1005" t="str">
            <v>KASHIL TO SHENDRE</v>
          </cell>
          <cell r="K1005" t="str">
            <v>Satara</v>
          </cell>
          <cell r="L1005" t="str">
            <v>D1</v>
          </cell>
          <cell r="M1005" t="str">
            <v>NH-48</v>
          </cell>
          <cell r="O1005" t="str">
            <v>B</v>
          </cell>
          <cell r="P1005">
            <v>65</v>
          </cell>
          <cell r="Q1005">
            <v>135</v>
          </cell>
          <cell r="R1005">
            <v>45</v>
          </cell>
          <cell r="S1005">
            <v>95</v>
          </cell>
          <cell r="T1005">
            <v>20</v>
          </cell>
          <cell r="U1005">
            <v>40</v>
          </cell>
          <cell r="V1005">
            <v>135</v>
          </cell>
          <cell r="W1005">
            <v>265</v>
          </cell>
          <cell r="X1005">
            <v>95</v>
          </cell>
          <cell r="Y1005">
            <v>205</v>
          </cell>
          <cell r="Z1005">
            <v>40</v>
          </cell>
          <cell r="AA1005">
            <v>60</v>
          </cell>
          <cell r="AB1005">
            <v>200</v>
          </cell>
          <cell r="AC1005">
            <v>140</v>
          </cell>
          <cell r="AD1005">
            <v>60</v>
          </cell>
          <cell r="AE1005">
            <v>400</v>
          </cell>
          <cell r="AF1005">
            <v>300</v>
          </cell>
          <cell r="AG1005">
            <v>100</v>
          </cell>
        </row>
        <row r="1006">
          <cell r="C1006">
            <v>41052868</v>
          </cell>
          <cell r="D1006" t="str">
            <v>VISHWANATH SERVICE STATION</v>
          </cell>
          <cell r="E1006" t="str">
            <v>HPCL</v>
          </cell>
          <cell r="G1006" t="str">
            <v>Pune City RSA</v>
          </cell>
          <cell r="J1006" t="str">
            <v>VISHRANTWADI</v>
          </cell>
          <cell r="K1006" t="str">
            <v>Pune</v>
          </cell>
          <cell r="L1006" t="str">
            <v>A</v>
          </cell>
          <cell r="O1006" t="str">
            <v>B</v>
          </cell>
          <cell r="P1006">
            <v>132</v>
          </cell>
          <cell r="Q1006">
            <v>12</v>
          </cell>
          <cell r="R1006">
            <v>120</v>
          </cell>
          <cell r="S1006">
            <v>12</v>
          </cell>
          <cell r="T1006">
            <v>12</v>
          </cell>
          <cell r="U1006">
            <v>0</v>
          </cell>
          <cell r="V1006">
            <v>258</v>
          </cell>
          <cell r="W1006">
            <v>18</v>
          </cell>
          <cell r="X1006">
            <v>243</v>
          </cell>
          <cell r="Y1006">
            <v>21</v>
          </cell>
          <cell r="Z1006">
            <v>15</v>
          </cell>
          <cell r="AA1006">
            <v>-3</v>
          </cell>
          <cell r="AB1006">
            <v>144</v>
          </cell>
          <cell r="AC1006">
            <v>132</v>
          </cell>
          <cell r="AD1006">
            <v>12</v>
          </cell>
          <cell r="AE1006">
            <v>276</v>
          </cell>
          <cell r="AF1006">
            <v>264</v>
          </cell>
          <cell r="AG1006">
            <v>12</v>
          </cell>
        </row>
        <row r="1007">
          <cell r="C1007">
            <v>41052873</v>
          </cell>
          <cell r="D1007" t="str">
            <v>SHRI VENKATESH PETROLEUM</v>
          </cell>
          <cell r="E1007" t="str">
            <v>HPCL</v>
          </cell>
          <cell r="G1007" t="str">
            <v>Pune Hadapsar RSA</v>
          </cell>
          <cell r="J1007" t="str">
            <v>Yawat RHS</v>
          </cell>
          <cell r="K1007" t="str">
            <v>Pune</v>
          </cell>
          <cell r="L1007" t="str">
            <v>D1</v>
          </cell>
          <cell r="M1007" t="str">
            <v>NH-65</v>
          </cell>
          <cell r="O1007" t="str">
            <v>A</v>
          </cell>
          <cell r="P1007">
            <v>55</v>
          </cell>
          <cell r="Q1007">
            <v>205</v>
          </cell>
          <cell r="R1007">
            <v>44</v>
          </cell>
          <cell r="S1007">
            <v>250</v>
          </cell>
          <cell r="T1007">
            <v>11</v>
          </cell>
          <cell r="U1007">
            <v>-45</v>
          </cell>
          <cell r="V1007">
            <v>90</v>
          </cell>
          <cell r="W1007">
            <v>410</v>
          </cell>
          <cell r="X1007">
            <v>94</v>
          </cell>
          <cell r="Y1007">
            <v>500</v>
          </cell>
          <cell r="Z1007">
            <v>-4</v>
          </cell>
          <cell r="AA1007">
            <v>-90</v>
          </cell>
          <cell r="AB1007">
            <v>260</v>
          </cell>
          <cell r="AC1007">
            <v>294</v>
          </cell>
          <cell r="AD1007">
            <v>-34</v>
          </cell>
          <cell r="AE1007">
            <v>500</v>
          </cell>
          <cell r="AF1007">
            <v>594</v>
          </cell>
          <cell r="AG1007">
            <v>-94</v>
          </cell>
        </row>
        <row r="1008">
          <cell r="C1008">
            <v>41052888</v>
          </cell>
          <cell r="D1008" t="str">
            <v>KOTHRUD PETROL CIRCLE</v>
          </cell>
          <cell r="E1008" t="str">
            <v>HPCL</v>
          </cell>
          <cell r="G1008" t="str">
            <v>Pune City RSA</v>
          </cell>
          <cell r="J1008" t="str">
            <v>KOTHRUD</v>
          </cell>
          <cell r="K1008" t="str">
            <v>Pune</v>
          </cell>
          <cell r="L1008" t="str">
            <v>A</v>
          </cell>
          <cell r="O1008" t="str">
            <v>B</v>
          </cell>
          <cell r="P1008">
            <v>483</v>
          </cell>
          <cell r="Q1008">
            <v>63</v>
          </cell>
          <cell r="R1008">
            <v>426</v>
          </cell>
          <cell r="S1008">
            <v>72</v>
          </cell>
          <cell r="T1008">
            <v>57</v>
          </cell>
          <cell r="U1008">
            <v>-9</v>
          </cell>
          <cell r="V1008">
            <v>950</v>
          </cell>
          <cell r="W1008">
            <v>120</v>
          </cell>
          <cell r="X1008">
            <v>870</v>
          </cell>
          <cell r="Y1008">
            <v>132</v>
          </cell>
          <cell r="Z1008">
            <v>80</v>
          </cell>
          <cell r="AA1008">
            <v>-12</v>
          </cell>
          <cell r="AB1008">
            <v>546</v>
          </cell>
          <cell r="AC1008">
            <v>498</v>
          </cell>
          <cell r="AD1008">
            <v>48</v>
          </cell>
          <cell r="AE1008">
            <v>1070</v>
          </cell>
          <cell r="AF1008">
            <v>1002</v>
          </cell>
          <cell r="AG1008">
            <v>68</v>
          </cell>
        </row>
        <row r="1009">
          <cell r="C1009">
            <v>41052935</v>
          </cell>
          <cell r="D1009" t="str">
            <v>VIDYA PETROLEUM</v>
          </cell>
          <cell r="E1009" t="str">
            <v>HPCL</v>
          </cell>
          <cell r="G1009" t="str">
            <v>Pune City RSA</v>
          </cell>
          <cell r="J1009" t="str">
            <v>MAGARPATTA CITY</v>
          </cell>
          <cell r="K1009" t="str">
            <v>Pune</v>
          </cell>
          <cell r="L1009" t="str">
            <v>A</v>
          </cell>
          <cell r="O1009" t="str">
            <v>A</v>
          </cell>
          <cell r="P1009">
            <v>230</v>
          </cell>
          <cell r="Q1009">
            <v>64</v>
          </cell>
          <cell r="R1009">
            <v>239</v>
          </cell>
          <cell r="S1009">
            <v>69</v>
          </cell>
          <cell r="T1009">
            <v>-9</v>
          </cell>
          <cell r="U1009">
            <v>-5</v>
          </cell>
          <cell r="V1009">
            <v>460</v>
          </cell>
          <cell r="W1009">
            <v>128</v>
          </cell>
          <cell r="X1009">
            <v>478</v>
          </cell>
          <cell r="Y1009">
            <v>136</v>
          </cell>
          <cell r="Z1009">
            <v>-18</v>
          </cell>
          <cell r="AA1009">
            <v>-8</v>
          </cell>
          <cell r="AB1009">
            <v>294</v>
          </cell>
          <cell r="AC1009">
            <v>308</v>
          </cell>
          <cell r="AD1009">
            <v>-14</v>
          </cell>
          <cell r="AE1009">
            <v>588</v>
          </cell>
          <cell r="AF1009">
            <v>614</v>
          </cell>
          <cell r="AG1009">
            <v>-26</v>
          </cell>
        </row>
        <row r="1010">
          <cell r="C1010">
            <v>41052938</v>
          </cell>
          <cell r="D1010" t="str">
            <v>AMRAPALI SERVICE STATION, BIBWEWADI</v>
          </cell>
          <cell r="E1010" t="str">
            <v>HPCL</v>
          </cell>
          <cell r="G1010" t="str">
            <v>Pune City RSA</v>
          </cell>
          <cell r="J1010" t="str">
            <v>BIBEWADI</v>
          </cell>
          <cell r="K1010" t="str">
            <v>Pune</v>
          </cell>
          <cell r="L1010" t="str">
            <v>A</v>
          </cell>
          <cell r="O1010" t="str">
            <v>B</v>
          </cell>
          <cell r="P1010">
            <v>297</v>
          </cell>
          <cell r="Q1010">
            <v>51</v>
          </cell>
          <cell r="R1010">
            <v>255</v>
          </cell>
          <cell r="S1010">
            <v>37</v>
          </cell>
          <cell r="T1010">
            <v>42</v>
          </cell>
          <cell r="U1010">
            <v>14</v>
          </cell>
          <cell r="V1010">
            <v>576</v>
          </cell>
          <cell r="W1010">
            <v>104</v>
          </cell>
          <cell r="X1010">
            <v>535</v>
          </cell>
          <cell r="Y1010">
            <v>73</v>
          </cell>
          <cell r="Z1010">
            <v>41</v>
          </cell>
          <cell r="AA1010">
            <v>31</v>
          </cell>
          <cell r="AB1010">
            <v>348</v>
          </cell>
          <cell r="AC1010">
            <v>292</v>
          </cell>
          <cell r="AD1010">
            <v>56</v>
          </cell>
          <cell r="AE1010">
            <v>680</v>
          </cell>
          <cell r="AF1010">
            <v>608</v>
          </cell>
          <cell r="AG1010">
            <v>72</v>
          </cell>
        </row>
        <row r="1011">
          <cell r="C1011">
            <v>41052954</v>
          </cell>
          <cell r="D1011" t="str">
            <v>KALE SERVICE STATION</v>
          </cell>
          <cell r="E1011" t="str">
            <v>HPCL</v>
          </cell>
          <cell r="G1011" t="str">
            <v>Pune Wagholi RSA</v>
          </cell>
          <cell r="J1011" t="str">
            <v>Ghodegaon_Ambegaon</v>
          </cell>
          <cell r="K1011" t="str">
            <v>Pune</v>
          </cell>
          <cell r="L1011" t="str">
            <v>D2</v>
          </cell>
          <cell r="O1011" t="str">
            <v>B</v>
          </cell>
          <cell r="P1011">
            <v>100</v>
          </cell>
          <cell r="Q1011">
            <v>178</v>
          </cell>
          <cell r="R1011">
            <v>96</v>
          </cell>
          <cell r="S1011">
            <v>120.045</v>
          </cell>
          <cell r="T1011">
            <v>4</v>
          </cell>
          <cell r="U1011">
            <v>57.954999999999998</v>
          </cell>
          <cell r="V1011">
            <v>162</v>
          </cell>
          <cell r="W1011">
            <v>300</v>
          </cell>
          <cell r="X1011">
            <v>181</v>
          </cell>
          <cell r="Y1011">
            <v>221.04500000000002</v>
          </cell>
          <cell r="Z1011">
            <v>-19</v>
          </cell>
          <cell r="AA1011">
            <v>78.954999999999984</v>
          </cell>
          <cell r="AB1011">
            <v>278</v>
          </cell>
          <cell r="AC1011">
            <v>216.04500000000002</v>
          </cell>
          <cell r="AD1011">
            <v>61.954999999999984</v>
          </cell>
          <cell r="AE1011">
            <v>462</v>
          </cell>
          <cell r="AF1011">
            <v>402.04500000000002</v>
          </cell>
          <cell r="AG1011">
            <v>59.954999999999984</v>
          </cell>
        </row>
        <row r="1012">
          <cell r="C1012">
            <v>41053026</v>
          </cell>
          <cell r="D1012" t="str">
            <v>R R Petroleum</v>
          </cell>
          <cell r="E1012" t="str">
            <v>HPCL</v>
          </cell>
          <cell r="G1012" t="str">
            <v>Ahmednagar East RSA</v>
          </cell>
          <cell r="J1012" t="str">
            <v>Chas</v>
          </cell>
          <cell r="K1012" t="str">
            <v>Ahmednagar</v>
          </cell>
          <cell r="L1012" t="str">
            <v>D1</v>
          </cell>
          <cell r="M1012" t="str">
            <v>NH-753F</v>
          </cell>
          <cell r="O1012" t="str">
            <v>A</v>
          </cell>
          <cell r="P1012">
            <v>39</v>
          </cell>
          <cell r="Q1012">
            <v>115</v>
          </cell>
          <cell r="R1012">
            <v>46</v>
          </cell>
          <cell r="S1012">
            <v>80</v>
          </cell>
          <cell r="T1012">
            <v>-7</v>
          </cell>
          <cell r="U1012">
            <v>35</v>
          </cell>
          <cell r="V1012">
            <v>80</v>
          </cell>
          <cell r="W1012">
            <v>186</v>
          </cell>
          <cell r="X1012">
            <v>82</v>
          </cell>
          <cell r="Y1012">
            <v>128</v>
          </cell>
          <cell r="Z1012">
            <v>-2</v>
          </cell>
          <cell r="AA1012">
            <v>58</v>
          </cell>
          <cell r="AB1012">
            <v>154</v>
          </cell>
          <cell r="AC1012">
            <v>126</v>
          </cell>
          <cell r="AD1012">
            <v>28</v>
          </cell>
          <cell r="AE1012">
            <v>266</v>
          </cell>
          <cell r="AF1012">
            <v>210</v>
          </cell>
          <cell r="AG1012">
            <v>56</v>
          </cell>
        </row>
        <row r="1013">
          <cell r="C1013">
            <v>41053028</v>
          </cell>
          <cell r="D1013" t="str">
            <v>Ranjeet Petroleum</v>
          </cell>
          <cell r="E1013" t="str">
            <v>HPCL</v>
          </cell>
          <cell r="G1013" t="str">
            <v>Ahmednagar East RSA</v>
          </cell>
          <cell r="J1013" t="str">
            <v>MIDC Nagapur</v>
          </cell>
          <cell r="K1013" t="str">
            <v>Ahmednagar</v>
          </cell>
          <cell r="L1013" t="str">
            <v>D2</v>
          </cell>
          <cell r="O1013" t="str">
            <v>A</v>
          </cell>
          <cell r="P1013">
            <v>40</v>
          </cell>
          <cell r="Q1013">
            <v>100</v>
          </cell>
          <cell r="R1013">
            <v>40</v>
          </cell>
          <cell r="S1013">
            <v>80</v>
          </cell>
          <cell r="T1013">
            <v>0</v>
          </cell>
          <cell r="U1013">
            <v>20</v>
          </cell>
          <cell r="V1013">
            <v>75</v>
          </cell>
          <cell r="W1013">
            <v>165</v>
          </cell>
          <cell r="X1013">
            <v>90</v>
          </cell>
          <cell r="Y1013">
            <v>170</v>
          </cell>
          <cell r="Z1013">
            <v>-15</v>
          </cell>
          <cell r="AA1013">
            <v>-5</v>
          </cell>
          <cell r="AB1013">
            <v>140</v>
          </cell>
          <cell r="AC1013">
            <v>120</v>
          </cell>
          <cell r="AD1013">
            <v>20</v>
          </cell>
          <cell r="AE1013">
            <v>240</v>
          </cell>
          <cell r="AF1013">
            <v>260</v>
          </cell>
          <cell r="AG1013">
            <v>-20</v>
          </cell>
        </row>
        <row r="1014">
          <cell r="C1014">
            <v>41053029</v>
          </cell>
          <cell r="D1014" t="str">
            <v>Sonal Petroleum</v>
          </cell>
          <cell r="E1014" t="str">
            <v>HPCL</v>
          </cell>
          <cell r="G1014" t="str">
            <v>Ahmednagar East RSA</v>
          </cell>
          <cell r="J1014" t="str">
            <v>Kamargaon</v>
          </cell>
          <cell r="K1014" t="str">
            <v>Ahmednagar</v>
          </cell>
          <cell r="L1014" t="str">
            <v>D1</v>
          </cell>
          <cell r="M1014" t="str">
            <v>NH-753F</v>
          </cell>
          <cell r="O1014" t="str">
            <v>A</v>
          </cell>
          <cell r="P1014">
            <v>19</v>
          </cell>
          <cell r="Q1014">
            <v>67</v>
          </cell>
          <cell r="R1014">
            <v>22</v>
          </cell>
          <cell r="S1014">
            <v>64</v>
          </cell>
          <cell r="T1014">
            <v>-3</v>
          </cell>
          <cell r="U1014">
            <v>3</v>
          </cell>
          <cell r="V1014">
            <v>31</v>
          </cell>
          <cell r="W1014">
            <v>115</v>
          </cell>
          <cell r="X1014">
            <v>42</v>
          </cell>
          <cell r="Y1014">
            <v>136</v>
          </cell>
          <cell r="Z1014">
            <v>-11</v>
          </cell>
          <cell r="AA1014">
            <v>-21</v>
          </cell>
          <cell r="AB1014">
            <v>86</v>
          </cell>
          <cell r="AC1014">
            <v>86</v>
          </cell>
          <cell r="AD1014">
            <v>0</v>
          </cell>
          <cell r="AE1014">
            <v>146</v>
          </cell>
          <cell r="AF1014">
            <v>178</v>
          </cell>
          <cell r="AG1014">
            <v>-32</v>
          </cell>
        </row>
        <row r="1015">
          <cell r="C1015">
            <v>41053035</v>
          </cell>
          <cell r="D1015" t="str">
            <v>SHRI  SAI  SEVA  PETROLEUM</v>
          </cell>
          <cell r="E1015" t="str">
            <v>HPCL</v>
          </cell>
          <cell r="G1015" t="str">
            <v>Satara East RSA</v>
          </cell>
          <cell r="J1015" t="str">
            <v>pusegaon phaltan road</v>
          </cell>
          <cell r="K1015" t="str">
            <v>Satara</v>
          </cell>
          <cell r="L1015" t="str">
            <v>D2</v>
          </cell>
          <cell r="O1015" t="str">
            <v>B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</row>
        <row r="1016">
          <cell r="C1016">
            <v>41053040</v>
          </cell>
          <cell r="D1016" t="str">
            <v>KHED TAL SAHA KV SANGHA LTD</v>
          </cell>
          <cell r="E1016" t="str">
            <v>HPCL</v>
          </cell>
          <cell r="G1016" t="str">
            <v>Pimpri Chinchwad RSA</v>
          </cell>
          <cell r="J1016" t="str">
            <v>chakan to rajgurunagar LHS</v>
          </cell>
          <cell r="K1016" t="str">
            <v>Pune</v>
          </cell>
          <cell r="L1016" t="str">
            <v>D1</v>
          </cell>
          <cell r="M1016" t="str">
            <v>NH-60</v>
          </cell>
          <cell r="O1016" t="str">
            <v>B</v>
          </cell>
          <cell r="P1016">
            <v>226</v>
          </cell>
          <cell r="Q1016">
            <v>445</v>
          </cell>
          <cell r="R1016">
            <v>197</v>
          </cell>
          <cell r="S1016">
            <v>360</v>
          </cell>
          <cell r="T1016">
            <v>29</v>
          </cell>
          <cell r="U1016">
            <v>85</v>
          </cell>
          <cell r="V1016">
            <v>415</v>
          </cell>
          <cell r="W1016">
            <v>801</v>
          </cell>
          <cell r="X1016">
            <v>403</v>
          </cell>
          <cell r="Y1016">
            <v>728</v>
          </cell>
          <cell r="Z1016">
            <v>12</v>
          </cell>
          <cell r="AA1016">
            <v>73</v>
          </cell>
          <cell r="AB1016">
            <v>671</v>
          </cell>
          <cell r="AC1016">
            <v>557</v>
          </cell>
          <cell r="AD1016">
            <v>114</v>
          </cell>
          <cell r="AE1016">
            <v>1216</v>
          </cell>
          <cell r="AF1016">
            <v>1131</v>
          </cell>
          <cell r="AG1016">
            <v>85</v>
          </cell>
        </row>
        <row r="1017">
          <cell r="C1017">
            <v>41053043</v>
          </cell>
          <cell r="D1017" t="str">
            <v>PVP AUTO SERVICE</v>
          </cell>
          <cell r="E1017" t="str">
            <v>HPCL</v>
          </cell>
          <cell r="G1017" t="str">
            <v>Pune Wagholi RSA</v>
          </cell>
          <cell r="J1017" t="str">
            <v>Jambut</v>
          </cell>
          <cell r="K1017" t="str">
            <v>Pune</v>
          </cell>
          <cell r="L1017" t="str">
            <v>E</v>
          </cell>
          <cell r="O1017" t="str">
            <v>B</v>
          </cell>
          <cell r="P1017">
            <v>45</v>
          </cell>
          <cell r="Q1017">
            <v>135</v>
          </cell>
          <cell r="R1017">
            <v>65</v>
          </cell>
          <cell r="S1017">
            <v>115</v>
          </cell>
          <cell r="T1017">
            <v>-20</v>
          </cell>
          <cell r="U1017">
            <v>20</v>
          </cell>
          <cell r="V1017">
            <v>75</v>
          </cell>
          <cell r="W1017">
            <v>245</v>
          </cell>
          <cell r="X1017">
            <v>120</v>
          </cell>
          <cell r="Y1017">
            <v>260</v>
          </cell>
          <cell r="Z1017">
            <v>-45</v>
          </cell>
          <cell r="AA1017">
            <v>-15</v>
          </cell>
          <cell r="AB1017">
            <v>180</v>
          </cell>
          <cell r="AC1017">
            <v>180</v>
          </cell>
          <cell r="AD1017">
            <v>0</v>
          </cell>
          <cell r="AE1017">
            <v>320</v>
          </cell>
          <cell r="AF1017">
            <v>380</v>
          </cell>
          <cell r="AG1017">
            <v>-60</v>
          </cell>
        </row>
        <row r="1018">
          <cell r="C1018">
            <v>41053132</v>
          </cell>
          <cell r="D1018" t="str">
            <v>B  K  BORATE &amp; SONS</v>
          </cell>
          <cell r="E1018" t="str">
            <v>HPCL</v>
          </cell>
          <cell r="G1018" t="str">
            <v>Satara West RSA</v>
          </cell>
          <cell r="J1018" t="str">
            <v>Karad on NH48 LHS</v>
          </cell>
          <cell r="K1018" t="str">
            <v>Satara</v>
          </cell>
          <cell r="L1018" t="str">
            <v>D1</v>
          </cell>
          <cell r="M1018" t="str">
            <v>NH-48</v>
          </cell>
          <cell r="O1018" t="str">
            <v>A</v>
          </cell>
          <cell r="P1018">
            <v>84</v>
          </cell>
          <cell r="Q1018">
            <v>76</v>
          </cell>
          <cell r="R1018">
            <v>70.5</v>
          </cell>
          <cell r="S1018">
            <v>75.5</v>
          </cell>
          <cell r="T1018">
            <v>13.5</v>
          </cell>
          <cell r="U1018">
            <v>0.5</v>
          </cell>
          <cell r="V1018">
            <v>144.5</v>
          </cell>
          <cell r="W1018">
            <v>167.5</v>
          </cell>
          <cell r="X1018">
            <v>139.5</v>
          </cell>
          <cell r="Y1018">
            <v>150.5</v>
          </cell>
          <cell r="Z1018">
            <v>5</v>
          </cell>
          <cell r="AA1018">
            <v>17</v>
          </cell>
          <cell r="AB1018">
            <v>160</v>
          </cell>
          <cell r="AC1018">
            <v>146</v>
          </cell>
          <cell r="AD1018">
            <v>14</v>
          </cell>
          <cell r="AE1018">
            <v>312</v>
          </cell>
          <cell r="AF1018">
            <v>290</v>
          </cell>
          <cell r="AG1018">
            <v>22</v>
          </cell>
        </row>
        <row r="1019">
          <cell r="C1019">
            <v>41053134</v>
          </cell>
          <cell r="D1019" t="str">
            <v>Loni BK</v>
          </cell>
          <cell r="E1019" t="str">
            <v>HPCL</v>
          </cell>
          <cell r="G1019" t="str">
            <v>Shirdi RSA</v>
          </cell>
          <cell r="J1019" t="str">
            <v>LONI PRAVARA SH</v>
          </cell>
          <cell r="K1019" t="str">
            <v>Ahmednagar</v>
          </cell>
          <cell r="L1019" t="str">
            <v>D2</v>
          </cell>
          <cell r="O1019" t="str">
            <v>A</v>
          </cell>
          <cell r="P1019">
            <v>85</v>
          </cell>
          <cell r="Q1019">
            <v>95</v>
          </cell>
          <cell r="R1019">
            <v>91</v>
          </cell>
          <cell r="S1019">
            <v>91</v>
          </cell>
          <cell r="T1019">
            <v>-6</v>
          </cell>
          <cell r="U1019">
            <v>4</v>
          </cell>
          <cell r="V1019">
            <v>167</v>
          </cell>
          <cell r="W1019">
            <v>181</v>
          </cell>
          <cell r="X1019">
            <v>173</v>
          </cell>
          <cell r="Y1019">
            <v>173</v>
          </cell>
          <cell r="Z1019">
            <v>-6</v>
          </cell>
          <cell r="AA1019">
            <v>8</v>
          </cell>
          <cell r="AB1019">
            <v>180</v>
          </cell>
          <cell r="AC1019">
            <v>182</v>
          </cell>
          <cell r="AD1019">
            <v>-2</v>
          </cell>
          <cell r="AE1019">
            <v>348</v>
          </cell>
          <cell r="AF1019">
            <v>346</v>
          </cell>
          <cell r="AG1019">
            <v>2</v>
          </cell>
        </row>
        <row r="1020">
          <cell r="C1020">
            <v>41053142</v>
          </cell>
          <cell r="D1020" t="str">
            <v>SHREE SOMESHWAR SSK LTD</v>
          </cell>
          <cell r="E1020" t="str">
            <v>HPCL</v>
          </cell>
          <cell r="G1020" t="str">
            <v>Pune Tathawade RSA</v>
          </cell>
          <cell r="J1020" t="str">
            <v>Nimbut to Someshwar Nagar</v>
          </cell>
          <cell r="K1020" t="str">
            <v>Pune</v>
          </cell>
          <cell r="L1020" t="str">
            <v>D2</v>
          </cell>
          <cell r="O1020" t="str">
            <v>B</v>
          </cell>
          <cell r="P1020">
            <v>125</v>
          </cell>
          <cell r="Q1020">
            <v>255</v>
          </cell>
          <cell r="R1020">
            <v>110</v>
          </cell>
          <cell r="S1020">
            <v>150</v>
          </cell>
          <cell r="T1020">
            <v>15</v>
          </cell>
          <cell r="U1020">
            <v>105</v>
          </cell>
          <cell r="V1020">
            <v>240</v>
          </cell>
          <cell r="W1020">
            <v>460</v>
          </cell>
          <cell r="X1020">
            <v>215</v>
          </cell>
          <cell r="Y1020">
            <v>325</v>
          </cell>
          <cell r="Z1020">
            <v>25</v>
          </cell>
          <cell r="AA1020">
            <v>135</v>
          </cell>
          <cell r="AB1020">
            <v>380</v>
          </cell>
          <cell r="AC1020">
            <v>260</v>
          </cell>
          <cell r="AD1020">
            <v>120</v>
          </cell>
          <cell r="AE1020">
            <v>700</v>
          </cell>
          <cell r="AF1020">
            <v>540</v>
          </cell>
          <cell r="AG1020">
            <v>160</v>
          </cell>
        </row>
        <row r="1021">
          <cell r="C1021">
            <v>41053239</v>
          </cell>
          <cell r="D1021" t="str">
            <v>DEEPAL  PETROLEUM</v>
          </cell>
          <cell r="E1021" t="str">
            <v>HPCL</v>
          </cell>
          <cell r="G1021" t="str">
            <v>Satara West RSA</v>
          </cell>
          <cell r="J1021" t="str">
            <v>Wai</v>
          </cell>
          <cell r="K1021" t="str">
            <v>Satara</v>
          </cell>
          <cell r="L1021" t="str">
            <v>D2</v>
          </cell>
          <cell r="O1021" t="str">
            <v>A</v>
          </cell>
          <cell r="P1021">
            <v>162</v>
          </cell>
          <cell r="Q1021">
            <v>98</v>
          </cell>
          <cell r="R1021">
            <v>134</v>
          </cell>
          <cell r="S1021">
            <v>84</v>
          </cell>
          <cell r="T1021">
            <v>28</v>
          </cell>
          <cell r="U1021">
            <v>14</v>
          </cell>
          <cell r="V1021">
            <v>276</v>
          </cell>
          <cell r="W1021">
            <v>174</v>
          </cell>
          <cell r="X1021">
            <v>249</v>
          </cell>
          <cell r="Y1021">
            <v>159</v>
          </cell>
          <cell r="Z1021">
            <v>27</v>
          </cell>
          <cell r="AA1021">
            <v>15</v>
          </cell>
          <cell r="AB1021">
            <v>260</v>
          </cell>
          <cell r="AC1021">
            <v>218</v>
          </cell>
          <cell r="AD1021">
            <v>42</v>
          </cell>
          <cell r="AE1021">
            <v>450</v>
          </cell>
          <cell r="AF1021">
            <v>408</v>
          </cell>
          <cell r="AG1021">
            <v>42</v>
          </cell>
        </row>
        <row r="1022">
          <cell r="C1022">
            <v>41053267</v>
          </cell>
          <cell r="D1022" t="str">
            <v>SUSHMA  AUTO,KHED</v>
          </cell>
          <cell r="E1022" t="str">
            <v>HPCL</v>
          </cell>
          <cell r="G1022" t="str">
            <v>Satara West RSA</v>
          </cell>
          <cell r="J1022" t="str">
            <v>Satara to Bhuinj</v>
          </cell>
          <cell r="K1022" t="str">
            <v>Satara</v>
          </cell>
          <cell r="L1022" t="str">
            <v>D1</v>
          </cell>
          <cell r="M1022" t="str">
            <v>NH-48</v>
          </cell>
          <cell r="O1022" t="str">
            <v>A</v>
          </cell>
          <cell r="P1022">
            <v>49</v>
          </cell>
          <cell r="Q1022">
            <v>49</v>
          </cell>
          <cell r="R1022">
            <v>41.5</v>
          </cell>
          <cell r="S1022">
            <v>34.5</v>
          </cell>
          <cell r="T1022">
            <v>7.5</v>
          </cell>
          <cell r="U1022">
            <v>14.5</v>
          </cell>
          <cell r="V1022">
            <v>87</v>
          </cell>
          <cell r="W1022">
            <v>81</v>
          </cell>
          <cell r="X1022">
            <v>80</v>
          </cell>
          <cell r="Y1022">
            <v>66</v>
          </cell>
          <cell r="Z1022">
            <v>7</v>
          </cell>
          <cell r="AA1022">
            <v>15</v>
          </cell>
          <cell r="AB1022">
            <v>98</v>
          </cell>
          <cell r="AC1022">
            <v>76</v>
          </cell>
          <cell r="AD1022">
            <v>22</v>
          </cell>
          <cell r="AE1022">
            <v>168</v>
          </cell>
          <cell r="AF1022">
            <v>146</v>
          </cell>
          <cell r="AG1022">
            <v>22</v>
          </cell>
        </row>
        <row r="1023">
          <cell r="C1023">
            <v>41053283</v>
          </cell>
          <cell r="D1023" t="str">
            <v>Rukmini Petroleum</v>
          </cell>
          <cell r="E1023" t="str">
            <v>HPCL</v>
          </cell>
          <cell r="G1023" t="str">
            <v>Shirdi RSA</v>
          </cell>
          <cell r="J1023" t="str">
            <v>VADGAONPAN</v>
          </cell>
          <cell r="K1023" t="str">
            <v>Ahmednagar</v>
          </cell>
          <cell r="L1023" t="str">
            <v>D2</v>
          </cell>
          <cell r="O1023" t="str">
            <v>A</v>
          </cell>
          <cell r="P1023">
            <v>73</v>
          </cell>
          <cell r="Q1023">
            <v>151</v>
          </cell>
          <cell r="R1023">
            <v>83</v>
          </cell>
          <cell r="S1023">
            <v>137</v>
          </cell>
          <cell r="T1023">
            <v>-10</v>
          </cell>
          <cell r="U1023">
            <v>14</v>
          </cell>
          <cell r="V1023">
            <v>146</v>
          </cell>
          <cell r="W1023">
            <v>302</v>
          </cell>
          <cell r="X1023">
            <v>159</v>
          </cell>
          <cell r="Y1023">
            <v>301</v>
          </cell>
          <cell r="Z1023">
            <v>-13</v>
          </cell>
          <cell r="AA1023">
            <v>1</v>
          </cell>
          <cell r="AB1023">
            <v>224</v>
          </cell>
          <cell r="AC1023">
            <v>220</v>
          </cell>
          <cell r="AD1023">
            <v>4</v>
          </cell>
          <cell r="AE1023">
            <v>448</v>
          </cell>
          <cell r="AF1023">
            <v>460</v>
          </cell>
          <cell r="AG1023">
            <v>-12</v>
          </cell>
        </row>
        <row r="1024">
          <cell r="C1024">
            <v>41053453</v>
          </cell>
          <cell r="D1024" t="str">
            <v>Sai Petroleum</v>
          </cell>
          <cell r="E1024" t="str">
            <v>HPCL</v>
          </cell>
          <cell r="G1024" t="str">
            <v>Ahmednagar East RSA</v>
          </cell>
          <cell r="J1024" t="str">
            <v>Gavhenwadi</v>
          </cell>
          <cell r="K1024" t="str">
            <v>Ahmednagar</v>
          </cell>
          <cell r="L1024" t="str">
            <v>D1</v>
          </cell>
          <cell r="M1024" t="str">
            <v>NH-753F</v>
          </cell>
          <cell r="O1024" t="str">
            <v>A</v>
          </cell>
          <cell r="P1024">
            <v>76</v>
          </cell>
          <cell r="Q1024">
            <v>513</v>
          </cell>
          <cell r="R1024">
            <v>69</v>
          </cell>
          <cell r="S1024">
            <v>506</v>
          </cell>
          <cell r="T1024">
            <v>7</v>
          </cell>
          <cell r="U1024">
            <v>7</v>
          </cell>
          <cell r="V1024">
            <v>136</v>
          </cell>
          <cell r="W1024">
            <v>1005</v>
          </cell>
          <cell r="X1024">
            <v>138</v>
          </cell>
          <cell r="Y1024">
            <v>1035</v>
          </cell>
          <cell r="Z1024">
            <v>-2</v>
          </cell>
          <cell r="AA1024">
            <v>-30</v>
          </cell>
          <cell r="AB1024">
            <v>589</v>
          </cell>
          <cell r="AC1024">
            <v>575</v>
          </cell>
          <cell r="AD1024">
            <v>14</v>
          </cell>
          <cell r="AE1024">
            <v>1141</v>
          </cell>
          <cell r="AF1024">
            <v>1173</v>
          </cell>
          <cell r="AG1024">
            <v>-32</v>
          </cell>
        </row>
        <row r="1025">
          <cell r="C1025">
            <v>41053468</v>
          </cell>
          <cell r="D1025" t="str">
            <v>Vishnavi Petoleum</v>
          </cell>
          <cell r="E1025" t="str">
            <v>HPCL</v>
          </cell>
          <cell r="G1025" t="str">
            <v>Ahmednagar East RSA</v>
          </cell>
          <cell r="J1025" t="str">
            <v>WAMBHORI</v>
          </cell>
          <cell r="K1025" t="str">
            <v>Ahmednagar</v>
          </cell>
          <cell r="L1025" t="str">
            <v>D2</v>
          </cell>
          <cell r="O1025" t="str">
            <v>B</v>
          </cell>
          <cell r="P1025">
            <v>93</v>
          </cell>
          <cell r="Q1025">
            <v>195</v>
          </cell>
          <cell r="R1025">
            <v>85</v>
          </cell>
          <cell r="S1025">
            <v>155</v>
          </cell>
          <cell r="T1025">
            <v>8</v>
          </cell>
          <cell r="U1025">
            <v>40</v>
          </cell>
          <cell r="V1025">
            <v>168</v>
          </cell>
          <cell r="W1025">
            <v>326</v>
          </cell>
          <cell r="X1025">
            <v>163</v>
          </cell>
          <cell r="Y1025">
            <v>273</v>
          </cell>
          <cell r="Z1025">
            <v>5</v>
          </cell>
          <cell r="AA1025">
            <v>53</v>
          </cell>
          <cell r="AB1025">
            <v>288</v>
          </cell>
          <cell r="AC1025">
            <v>240</v>
          </cell>
          <cell r="AD1025">
            <v>48</v>
          </cell>
          <cell r="AE1025">
            <v>494</v>
          </cell>
          <cell r="AF1025">
            <v>436</v>
          </cell>
          <cell r="AG1025">
            <v>58</v>
          </cell>
        </row>
        <row r="1026">
          <cell r="C1026">
            <v>41053469</v>
          </cell>
          <cell r="D1026" t="str">
            <v>Bhapkar Petroleum</v>
          </cell>
          <cell r="E1026" t="str">
            <v>HPCL</v>
          </cell>
          <cell r="G1026" t="str">
            <v>Ahmednagar East RSA</v>
          </cell>
          <cell r="J1026" t="str">
            <v>Supe toll</v>
          </cell>
          <cell r="K1026" t="str">
            <v>Ahmednagar</v>
          </cell>
          <cell r="L1026" t="str">
            <v>D1</v>
          </cell>
          <cell r="M1026" t="str">
            <v>NH-753F</v>
          </cell>
          <cell r="O1026" t="str">
            <v>A</v>
          </cell>
          <cell r="P1026">
            <v>12</v>
          </cell>
          <cell r="Q1026">
            <v>48</v>
          </cell>
          <cell r="R1026">
            <v>19</v>
          </cell>
          <cell r="S1026">
            <v>67</v>
          </cell>
          <cell r="T1026">
            <v>-7</v>
          </cell>
          <cell r="U1026">
            <v>-19</v>
          </cell>
          <cell r="V1026">
            <v>28</v>
          </cell>
          <cell r="W1026">
            <v>106</v>
          </cell>
          <cell r="X1026">
            <v>29</v>
          </cell>
          <cell r="Y1026">
            <v>119</v>
          </cell>
          <cell r="Z1026">
            <v>-1</v>
          </cell>
          <cell r="AA1026">
            <v>-13</v>
          </cell>
          <cell r="AB1026">
            <v>60</v>
          </cell>
          <cell r="AC1026">
            <v>86</v>
          </cell>
          <cell r="AD1026">
            <v>-26</v>
          </cell>
          <cell r="AE1026">
            <v>134</v>
          </cell>
          <cell r="AF1026">
            <v>148</v>
          </cell>
          <cell r="AG1026">
            <v>-14</v>
          </cell>
        </row>
        <row r="1027">
          <cell r="C1027">
            <v>41053471</v>
          </cell>
          <cell r="D1027" t="str">
            <v>Jai Janardhan Petroleum</v>
          </cell>
          <cell r="E1027" t="str">
            <v>HPCL</v>
          </cell>
          <cell r="G1027" t="str">
            <v>Shirdi RSA</v>
          </cell>
          <cell r="J1027" t="str">
            <v>PUNTAMBA PHATA</v>
          </cell>
          <cell r="K1027" t="str">
            <v>Ahmednagar</v>
          </cell>
          <cell r="L1027" t="str">
            <v>D1</v>
          </cell>
          <cell r="M1027" t="str">
            <v>NH-752G</v>
          </cell>
          <cell r="O1027" t="str">
            <v>B</v>
          </cell>
          <cell r="P1027">
            <v>45</v>
          </cell>
          <cell r="Q1027">
            <v>111</v>
          </cell>
          <cell r="R1027">
            <v>45</v>
          </cell>
          <cell r="S1027">
            <v>135</v>
          </cell>
          <cell r="T1027">
            <v>0</v>
          </cell>
          <cell r="U1027">
            <v>-24</v>
          </cell>
          <cell r="V1027">
            <v>108</v>
          </cell>
          <cell r="W1027">
            <v>276</v>
          </cell>
          <cell r="X1027">
            <v>84</v>
          </cell>
          <cell r="Y1027">
            <v>264</v>
          </cell>
          <cell r="Z1027">
            <v>24</v>
          </cell>
          <cell r="AA1027">
            <v>12</v>
          </cell>
          <cell r="AB1027">
            <v>156</v>
          </cell>
          <cell r="AC1027">
            <v>180</v>
          </cell>
          <cell r="AD1027">
            <v>-24</v>
          </cell>
          <cell r="AE1027">
            <v>384</v>
          </cell>
          <cell r="AF1027">
            <v>348</v>
          </cell>
          <cell r="AG1027">
            <v>36</v>
          </cell>
        </row>
        <row r="1028">
          <cell r="C1028">
            <v>41053493</v>
          </cell>
          <cell r="D1028" t="str">
            <v>Rohan Petroleum</v>
          </cell>
          <cell r="E1028" t="str">
            <v>HPCL</v>
          </cell>
          <cell r="G1028" t="str">
            <v>Ahmednagar East RSA</v>
          </cell>
          <cell r="J1028" t="str">
            <v>Ghodegaon</v>
          </cell>
          <cell r="K1028" t="str">
            <v>Ahmednagar</v>
          </cell>
          <cell r="L1028" t="str">
            <v>D1</v>
          </cell>
          <cell r="M1028" t="str">
            <v>NH-753F</v>
          </cell>
          <cell r="O1028" t="str">
            <v>A</v>
          </cell>
          <cell r="P1028">
            <v>70</v>
          </cell>
          <cell r="Q1028">
            <v>183</v>
          </cell>
          <cell r="R1028">
            <v>88</v>
          </cell>
          <cell r="S1028">
            <v>165</v>
          </cell>
          <cell r="T1028">
            <v>-18</v>
          </cell>
          <cell r="U1028">
            <v>18</v>
          </cell>
          <cell r="V1028">
            <v>145</v>
          </cell>
          <cell r="W1028">
            <v>361</v>
          </cell>
          <cell r="X1028">
            <v>171</v>
          </cell>
          <cell r="Y1028">
            <v>335</v>
          </cell>
          <cell r="Z1028">
            <v>-26</v>
          </cell>
          <cell r="AA1028">
            <v>26</v>
          </cell>
          <cell r="AB1028">
            <v>253</v>
          </cell>
          <cell r="AC1028">
            <v>253</v>
          </cell>
          <cell r="AD1028">
            <v>0</v>
          </cell>
          <cell r="AE1028">
            <v>506</v>
          </cell>
          <cell r="AF1028">
            <v>506</v>
          </cell>
          <cell r="AG1028">
            <v>0</v>
          </cell>
        </row>
        <row r="1029">
          <cell r="C1029">
            <v>41053591</v>
          </cell>
          <cell r="D1029" t="str">
            <v>Sairaj Petroleum</v>
          </cell>
          <cell r="E1029" t="str">
            <v>HPCL</v>
          </cell>
          <cell r="G1029" t="str">
            <v>Ahmednagar East RSA</v>
          </cell>
          <cell r="J1029" t="str">
            <v>Nagar-Manmad Bypass</v>
          </cell>
          <cell r="K1029" t="str">
            <v>Ahmednagar</v>
          </cell>
          <cell r="L1029" t="str">
            <v>D1</v>
          </cell>
          <cell r="M1029" t="str">
            <v>NH-160</v>
          </cell>
          <cell r="O1029" t="str">
            <v>A</v>
          </cell>
          <cell r="P1029">
            <v>24</v>
          </cell>
          <cell r="Q1029">
            <v>88</v>
          </cell>
          <cell r="R1029">
            <v>28</v>
          </cell>
          <cell r="S1029">
            <v>98</v>
          </cell>
          <cell r="T1029">
            <v>-4</v>
          </cell>
          <cell r="U1029">
            <v>-10</v>
          </cell>
          <cell r="V1029">
            <v>50</v>
          </cell>
          <cell r="W1029">
            <v>174</v>
          </cell>
          <cell r="X1029">
            <v>59</v>
          </cell>
          <cell r="Y1029">
            <v>165</v>
          </cell>
          <cell r="Z1029">
            <v>-9</v>
          </cell>
          <cell r="AA1029">
            <v>9</v>
          </cell>
          <cell r="AB1029">
            <v>112</v>
          </cell>
          <cell r="AC1029">
            <v>126</v>
          </cell>
          <cell r="AD1029">
            <v>-14</v>
          </cell>
          <cell r="AE1029">
            <v>224</v>
          </cell>
          <cell r="AF1029">
            <v>224</v>
          </cell>
          <cell r="AG1029">
            <v>0</v>
          </cell>
        </row>
        <row r="1030">
          <cell r="C1030">
            <v>41053593</v>
          </cell>
          <cell r="D1030" t="str">
            <v>Narmada Petroleum</v>
          </cell>
          <cell r="E1030" t="str">
            <v>HPCL</v>
          </cell>
          <cell r="G1030" t="str">
            <v>Ahmednagar East RSA</v>
          </cell>
          <cell r="J1030" t="str">
            <v>Bhenda</v>
          </cell>
          <cell r="K1030" t="str">
            <v>Ahmednagar</v>
          </cell>
          <cell r="L1030" t="str">
            <v>D2</v>
          </cell>
          <cell r="O1030" t="str">
            <v>A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</row>
        <row r="1031">
          <cell r="C1031">
            <v>41053710</v>
          </cell>
          <cell r="D1031" t="str">
            <v>Motilal Manekchand</v>
          </cell>
          <cell r="E1031" t="str">
            <v>HPCL</v>
          </cell>
          <cell r="G1031" t="str">
            <v>Ahmednagar East RSA</v>
          </cell>
          <cell r="J1031" t="str">
            <v>Nagar city</v>
          </cell>
          <cell r="K1031" t="str">
            <v>Ahmednagar</v>
          </cell>
          <cell r="L1031" t="str">
            <v>D1</v>
          </cell>
          <cell r="M1031" t="str">
            <v>NH-753F</v>
          </cell>
          <cell r="O1031" t="str">
            <v>A</v>
          </cell>
          <cell r="P1031">
            <v>250</v>
          </cell>
          <cell r="Q1031">
            <v>138</v>
          </cell>
          <cell r="R1031">
            <v>245</v>
          </cell>
          <cell r="S1031">
            <v>169</v>
          </cell>
          <cell r="T1031">
            <v>5</v>
          </cell>
          <cell r="U1031">
            <v>-31</v>
          </cell>
          <cell r="V1031">
            <v>371</v>
          </cell>
          <cell r="W1031">
            <v>178</v>
          </cell>
          <cell r="X1031">
            <v>489</v>
          </cell>
          <cell r="Y1031">
            <v>316</v>
          </cell>
          <cell r="Z1031">
            <v>-118</v>
          </cell>
          <cell r="AA1031">
            <v>-138</v>
          </cell>
          <cell r="AB1031">
            <v>388</v>
          </cell>
          <cell r="AC1031">
            <v>414</v>
          </cell>
          <cell r="AD1031">
            <v>-26</v>
          </cell>
          <cell r="AE1031">
            <v>549</v>
          </cell>
          <cell r="AF1031">
            <v>805</v>
          </cell>
          <cell r="AG1031">
            <v>-256</v>
          </cell>
        </row>
        <row r="1032">
          <cell r="C1032">
            <v>41053713</v>
          </cell>
          <cell r="D1032" t="str">
            <v>INDUSTRIAL SERVICE STATION</v>
          </cell>
          <cell r="E1032" t="str">
            <v>HPCL</v>
          </cell>
          <cell r="G1032" t="str">
            <v>Pimpri Chinchwad RSA</v>
          </cell>
          <cell r="J1032" t="str">
            <v>Akurdi</v>
          </cell>
          <cell r="K1032" t="str">
            <v>Pune</v>
          </cell>
          <cell r="L1032" t="str">
            <v>A</v>
          </cell>
          <cell r="O1032" t="str">
            <v>A</v>
          </cell>
          <cell r="P1032">
            <v>201</v>
          </cell>
          <cell r="Q1032">
            <v>79</v>
          </cell>
          <cell r="R1032">
            <v>261</v>
          </cell>
          <cell r="S1032">
            <v>131</v>
          </cell>
          <cell r="T1032">
            <v>-60</v>
          </cell>
          <cell r="U1032">
            <v>-52</v>
          </cell>
          <cell r="V1032">
            <v>420</v>
          </cell>
          <cell r="W1032">
            <v>164</v>
          </cell>
          <cell r="X1032">
            <v>561</v>
          </cell>
          <cell r="Y1032">
            <v>263</v>
          </cell>
          <cell r="Z1032">
            <v>-141</v>
          </cell>
          <cell r="AA1032">
            <v>-99</v>
          </cell>
          <cell r="AB1032">
            <v>280</v>
          </cell>
          <cell r="AC1032">
            <v>392</v>
          </cell>
          <cell r="AD1032">
            <v>-112</v>
          </cell>
          <cell r="AE1032">
            <v>584</v>
          </cell>
          <cell r="AF1032">
            <v>824</v>
          </cell>
          <cell r="AG1032">
            <v>-240</v>
          </cell>
        </row>
        <row r="1033">
          <cell r="C1033">
            <v>41053717</v>
          </cell>
          <cell r="D1033" t="str">
            <v>Shriram Automobiles</v>
          </cell>
          <cell r="E1033" t="str">
            <v>HPCL</v>
          </cell>
          <cell r="G1033" t="str">
            <v>Ahmednagar East RSA</v>
          </cell>
          <cell r="J1033" t="str">
            <v>SARJEPURA</v>
          </cell>
          <cell r="K1033" t="str">
            <v>Ahmednagar</v>
          </cell>
          <cell r="L1033" t="str">
            <v>C</v>
          </cell>
          <cell r="O1033" t="str">
            <v>A</v>
          </cell>
          <cell r="P1033">
            <v>38</v>
          </cell>
          <cell r="Q1033">
            <v>32</v>
          </cell>
          <cell r="R1033">
            <v>43</v>
          </cell>
          <cell r="S1033">
            <v>55</v>
          </cell>
          <cell r="T1033">
            <v>-5</v>
          </cell>
          <cell r="U1033">
            <v>-23</v>
          </cell>
          <cell r="V1033">
            <v>80</v>
          </cell>
          <cell r="W1033">
            <v>60</v>
          </cell>
          <cell r="X1033">
            <v>84</v>
          </cell>
          <cell r="Y1033">
            <v>98</v>
          </cell>
          <cell r="Z1033">
            <v>-4</v>
          </cell>
          <cell r="AA1033">
            <v>-38</v>
          </cell>
          <cell r="AB1033">
            <v>70</v>
          </cell>
          <cell r="AC1033">
            <v>98</v>
          </cell>
          <cell r="AD1033">
            <v>-28</v>
          </cell>
          <cell r="AE1033">
            <v>140</v>
          </cell>
          <cell r="AF1033">
            <v>182</v>
          </cell>
          <cell r="AG1033">
            <v>-42</v>
          </cell>
        </row>
        <row r="1034">
          <cell r="C1034">
            <v>41053723</v>
          </cell>
          <cell r="D1034" t="str">
            <v>B.U. BHANDARI AND SONS</v>
          </cell>
          <cell r="E1034" t="str">
            <v>HPCL</v>
          </cell>
          <cell r="G1034" t="str">
            <v>Pune City RSA</v>
          </cell>
          <cell r="J1034" t="str">
            <v>Kasarwadi</v>
          </cell>
          <cell r="K1034" t="str">
            <v>Pune</v>
          </cell>
          <cell r="L1034" t="str">
            <v>A</v>
          </cell>
          <cell r="O1034" t="str">
            <v>A</v>
          </cell>
          <cell r="P1034">
            <v>0</v>
          </cell>
          <cell r="Q1034">
            <v>0</v>
          </cell>
          <cell r="R1034">
            <v>18</v>
          </cell>
          <cell r="S1034">
            <v>6</v>
          </cell>
          <cell r="T1034">
            <v>-18</v>
          </cell>
          <cell r="U1034">
            <v>-6</v>
          </cell>
          <cell r="V1034">
            <v>0</v>
          </cell>
          <cell r="W1034">
            <v>0</v>
          </cell>
          <cell r="X1034">
            <v>51</v>
          </cell>
          <cell r="Y1034">
            <v>21</v>
          </cell>
          <cell r="Z1034">
            <v>-51</v>
          </cell>
          <cell r="AA1034">
            <v>-21</v>
          </cell>
          <cell r="AB1034">
            <v>0</v>
          </cell>
          <cell r="AC1034">
            <v>24</v>
          </cell>
          <cell r="AD1034">
            <v>-24</v>
          </cell>
          <cell r="AE1034">
            <v>0</v>
          </cell>
          <cell r="AF1034">
            <v>72</v>
          </cell>
          <cell r="AG1034">
            <v>-72</v>
          </cell>
        </row>
        <row r="1035">
          <cell r="C1035">
            <v>41053724</v>
          </cell>
          <cell r="D1035" t="str">
            <v>KONDE DESHMUKH BROS</v>
          </cell>
          <cell r="E1035" t="str">
            <v>HPCL</v>
          </cell>
          <cell r="G1035" t="str">
            <v>Pune Tathawade RSA</v>
          </cell>
          <cell r="J1035" t="str">
            <v>JAMBHULWADI TO KHED SHIVAPUR</v>
          </cell>
          <cell r="K1035" t="str">
            <v>Pune</v>
          </cell>
          <cell r="L1035" t="str">
            <v>D1</v>
          </cell>
          <cell r="M1035" t="str">
            <v>NH-48</v>
          </cell>
          <cell r="O1035" t="str">
            <v>A</v>
          </cell>
          <cell r="P1035">
            <v>72</v>
          </cell>
          <cell r="Q1035">
            <v>124</v>
          </cell>
          <cell r="R1035">
            <v>83</v>
          </cell>
          <cell r="S1035">
            <v>129</v>
          </cell>
          <cell r="T1035">
            <v>-11</v>
          </cell>
          <cell r="U1035">
            <v>-5</v>
          </cell>
          <cell r="V1035">
            <v>126</v>
          </cell>
          <cell r="W1035">
            <v>232</v>
          </cell>
          <cell r="X1035">
            <v>158</v>
          </cell>
          <cell r="Y1035">
            <v>240</v>
          </cell>
          <cell r="Z1035">
            <v>-32</v>
          </cell>
          <cell r="AA1035">
            <v>-8</v>
          </cell>
          <cell r="AB1035">
            <v>196</v>
          </cell>
          <cell r="AC1035">
            <v>212</v>
          </cell>
          <cell r="AD1035">
            <v>-16</v>
          </cell>
          <cell r="AE1035">
            <v>358</v>
          </cell>
          <cell r="AF1035">
            <v>398</v>
          </cell>
          <cell r="AG1035">
            <v>-40</v>
          </cell>
        </row>
        <row r="1036">
          <cell r="C1036">
            <v>41053726</v>
          </cell>
          <cell r="D1036" t="str">
            <v>Ganesh SSK Ltd.</v>
          </cell>
          <cell r="E1036" t="str">
            <v>HPCL</v>
          </cell>
          <cell r="G1036" t="str">
            <v>Shirdi RSA</v>
          </cell>
          <cell r="J1036" t="str">
            <v>GANESHNAGAR</v>
          </cell>
          <cell r="K1036" t="str">
            <v>Ahmednagar</v>
          </cell>
          <cell r="L1036" t="str">
            <v>E</v>
          </cell>
          <cell r="O1036" t="str">
            <v>A</v>
          </cell>
          <cell r="P1036">
            <v>36.5</v>
          </cell>
          <cell r="Q1036">
            <v>63.5</v>
          </cell>
          <cell r="R1036">
            <v>28.5</v>
          </cell>
          <cell r="S1036">
            <v>45.5</v>
          </cell>
          <cell r="T1036">
            <v>8</v>
          </cell>
          <cell r="U1036">
            <v>18</v>
          </cell>
          <cell r="V1036">
            <v>68.5</v>
          </cell>
          <cell r="W1036">
            <v>105.5</v>
          </cell>
          <cell r="X1036">
            <v>59.5</v>
          </cell>
          <cell r="Y1036">
            <v>82.5</v>
          </cell>
          <cell r="Z1036">
            <v>9</v>
          </cell>
          <cell r="AA1036">
            <v>23</v>
          </cell>
          <cell r="AB1036">
            <v>100</v>
          </cell>
          <cell r="AC1036">
            <v>74</v>
          </cell>
          <cell r="AD1036">
            <v>26</v>
          </cell>
          <cell r="AE1036">
            <v>174</v>
          </cell>
          <cell r="AF1036">
            <v>142</v>
          </cell>
          <cell r="AG1036">
            <v>32</v>
          </cell>
        </row>
        <row r="1037">
          <cell r="C1037">
            <v>41053729</v>
          </cell>
          <cell r="D1037" t="str">
            <v>LONAVALA PETROL DEPOT</v>
          </cell>
          <cell r="E1037" t="str">
            <v>HPCL</v>
          </cell>
          <cell r="G1037" t="str">
            <v>Pune Tathawade RSA</v>
          </cell>
          <cell r="J1037" t="str">
            <v>Lonavala</v>
          </cell>
          <cell r="K1037" t="str">
            <v>Pune</v>
          </cell>
          <cell r="L1037" t="str">
            <v>D1</v>
          </cell>
          <cell r="M1037" t="str">
            <v>NH-48</v>
          </cell>
          <cell r="O1037" t="str">
            <v>A</v>
          </cell>
          <cell r="P1037">
            <v>235</v>
          </cell>
          <cell r="Q1037">
            <v>389</v>
          </cell>
          <cell r="R1037">
            <v>201</v>
          </cell>
          <cell r="S1037">
            <v>315</v>
          </cell>
          <cell r="T1037">
            <v>34</v>
          </cell>
          <cell r="U1037">
            <v>74</v>
          </cell>
          <cell r="V1037">
            <v>457</v>
          </cell>
          <cell r="W1037">
            <v>709</v>
          </cell>
          <cell r="X1037">
            <v>423</v>
          </cell>
          <cell r="Y1037">
            <v>717</v>
          </cell>
          <cell r="Z1037">
            <v>34</v>
          </cell>
          <cell r="AA1037">
            <v>-8</v>
          </cell>
          <cell r="AB1037">
            <v>624</v>
          </cell>
          <cell r="AC1037">
            <v>516</v>
          </cell>
          <cell r="AD1037">
            <v>108</v>
          </cell>
          <cell r="AE1037">
            <v>1166</v>
          </cell>
          <cell r="AF1037">
            <v>1140</v>
          </cell>
          <cell r="AG1037">
            <v>26</v>
          </cell>
        </row>
        <row r="1038">
          <cell r="C1038">
            <v>41053736</v>
          </cell>
          <cell r="D1038" t="str">
            <v>INDUSTRIAL  ENGINEERING CO.</v>
          </cell>
          <cell r="E1038" t="str">
            <v>HPCL</v>
          </cell>
          <cell r="G1038" t="str">
            <v>Satara East RSA</v>
          </cell>
          <cell r="J1038" t="str">
            <v>Phalton bus stand</v>
          </cell>
          <cell r="K1038" t="str">
            <v>Satara</v>
          </cell>
          <cell r="L1038" t="str">
            <v>D2</v>
          </cell>
          <cell r="O1038" t="str">
            <v>B</v>
          </cell>
          <cell r="P1038">
            <v>118</v>
          </cell>
          <cell r="Q1038">
            <v>36</v>
          </cell>
          <cell r="R1038">
            <v>162</v>
          </cell>
          <cell r="S1038">
            <v>62</v>
          </cell>
          <cell r="T1038">
            <v>-44</v>
          </cell>
          <cell r="U1038">
            <v>-26</v>
          </cell>
          <cell r="V1038">
            <v>282</v>
          </cell>
          <cell r="W1038">
            <v>96</v>
          </cell>
          <cell r="X1038">
            <v>346</v>
          </cell>
          <cell r="Y1038">
            <v>116</v>
          </cell>
          <cell r="Z1038">
            <v>-64</v>
          </cell>
          <cell r="AA1038">
            <v>-20</v>
          </cell>
          <cell r="AB1038">
            <v>154</v>
          </cell>
          <cell r="AC1038">
            <v>224</v>
          </cell>
          <cell r="AD1038">
            <v>-70</v>
          </cell>
          <cell r="AE1038">
            <v>378</v>
          </cell>
          <cell r="AF1038">
            <v>462</v>
          </cell>
          <cell r="AG1038">
            <v>-84</v>
          </cell>
        </row>
        <row r="1039">
          <cell r="C1039">
            <v>41053737</v>
          </cell>
          <cell r="D1039" t="str">
            <v>B.U. BHANDARI SERVICE STATION</v>
          </cell>
          <cell r="E1039" t="str">
            <v>HPCL</v>
          </cell>
          <cell r="G1039" t="str">
            <v>Pune City RSA</v>
          </cell>
          <cell r="J1039" t="str">
            <v>FC ROAD</v>
          </cell>
          <cell r="K1039" t="str">
            <v>Pune</v>
          </cell>
          <cell r="L1039" t="str">
            <v>A</v>
          </cell>
          <cell r="O1039" t="str">
            <v>A</v>
          </cell>
          <cell r="P1039">
            <v>91</v>
          </cell>
          <cell r="Q1039">
            <v>37</v>
          </cell>
          <cell r="R1039">
            <v>112</v>
          </cell>
          <cell r="S1039">
            <v>28</v>
          </cell>
          <cell r="T1039">
            <v>-21</v>
          </cell>
          <cell r="U1039">
            <v>9</v>
          </cell>
          <cell r="V1039">
            <v>199</v>
          </cell>
          <cell r="W1039">
            <v>69</v>
          </cell>
          <cell r="X1039">
            <v>217</v>
          </cell>
          <cell r="Y1039">
            <v>55</v>
          </cell>
          <cell r="Z1039">
            <v>-18</v>
          </cell>
          <cell r="AA1039">
            <v>14</v>
          </cell>
          <cell r="AB1039">
            <v>128</v>
          </cell>
          <cell r="AC1039">
            <v>140</v>
          </cell>
          <cell r="AD1039">
            <v>-12</v>
          </cell>
          <cell r="AE1039">
            <v>268</v>
          </cell>
          <cell r="AF1039">
            <v>272</v>
          </cell>
          <cell r="AG1039">
            <v>-4</v>
          </cell>
        </row>
        <row r="1040">
          <cell r="C1040">
            <v>41053738</v>
          </cell>
          <cell r="D1040" t="str">
            <v>G H NEWASKAR, Wagholi (HSD)MS BHAVANI PETH</v>
          </cell>
          <cell r="E1040" t="str">
            <v>HPCL</v>
          </cell>
          <cell r="G1040" t="str">
            <v>Pune City RSA</v>
          </cell>
          <cell r="J1040" t="str">
            <v>Wagholi</v>
          </cell>
          <cell r="K1040" t="str">
            <v>Pune</v>
          </cell>
          <cell r="L1040" t="str">
            <v>A</v>
          </cell>
          <cell r="M1040" t="str">
            <v>NH-753F</v>
          </cell>
          <cell r="O1040" t="str">
            <v>A</v>
          </cell>
          <cell r="P1040">
            <v>132</v>
          </cell>
          <cell r="Q1040">
            <v>178</v>
          </cell>
          <cell r="R1040">
            <v>125</v>
          </cell>
          <cell r="S1040">
            <v>127</v>
          </cell>
          <cell r="T1040">
            <v>7</v>
          </cell>
          <cell r="U1040">
            <v>51</v>
          </cell>
          <cell r="V1040">
            <v>261</v>
          </cell>
          <cell r="W1040">
            <v>335</v>
          </cell>
          <cell r="X1040">
            <v>245</v>
          </cell>
          <cell r="Y1040">
            <v>261</v>
          </cell>
          <cell r="Z1040">
            <v>16</v>
          </cell>
          <cell r="AA1040">
            <v>74</v>
          </cell>
          <cell r="AB1040">
            <v>310</v>
          </cell>
          <cell r="AC1040">
            <v>252</v>
          </cell>
          <cell r="AD1040">
            <v>58</v>
          </cell>
          <cell r="AE1040">
            <v>596</v>
          </cell>
          <cell r="AF1040">
            <v>506</v>
          </cell>
          <cell r="AG1040">
            <v>90</v>
          </cell>
        </row>
        <row r="1041">
          <cell r="C1041">
            <v>41053739</v>
          </cell>
          <cell r="D1041" t="str">
            <v>N.M. SERVICE STATION</v>
          </cell>
          <cell r="E1041" t="str">
            <v>HPCL</v>
          </cell>
          <cell r="G1041" t="str">
            <v>Pune City RSA</v>
          </cell>
          <cell r="J1041" t="str">
            <v>GPO</v>
          </cell>
          <cell r="K1041" t="str">
            <v>Pune</v>
          </cell>
          <cell r="L1041" t="str">
            <v>A</v>
          </cell>
          <cell r="O1041" t="str">
            <v>A</v>
          </cell>
          <cell r="P1041">
            <v>105</v>
          </cell>
          <cell r="Q1041">
            <v>47</v>
          </cell>
          <cell r="R1041">
            <v>97</v>
          </cell>
          <cell r="S1041">
            <v>53</v>
          </cell>
          <cell r="T1041">
            <v>8</v>
          </cell>
          <cell r="U1041">
            <v>-6</v>
          </cell>
          <cell r="V1041">
            <v>204</v>
          </cell>
          <cell r="W1041">
            <v>88</v>
          </cell>
          <cell r="X1041">
            <v>191</v>
          </cell>
          <cell r="Y1041">
            <v>99</v>
          </cell>
          <cell r="Z1041">
            <v>13</v>
          </cell>
          <cell r="AA1041">
            <v>-11</v>
          </cell>
          <cell r="AB1041">
            <v>152</v>
          </cell>
          <cell r="AC1041">
            <v>150</v>
          </cell>
          <cell r="AD1041">
            <v>2</v>
          </cell>
          <cell r="AE1041">
            <v>292</v>
          </cell>
          <cell r="AF1041">
            <v>290</v>
          </cell>
          <cell r="AG1041">
            <v>2</v>
          </cell>
        </row>
        <row r="1042">
          <cell r="C1042">
            <v>41053740</v>
          </cell>
          <cell r="D1042" t="str">
            <v>RAHIM SERVICE STATION, MS</v>
          </cell>
          <cell r="E1042" t="str">
            <v>HPCL</v>
          </cell>
          <cell r="G1042" t="str">
            <v>Pune City RSA</v>
          </cell>
          <cell r="J1042" t="str">
            <v>MOLEDINA ROAD/E STREET</v>
          </cell>
          <cell r="K1042" t="str">
            <v>Pune</v>
          </cell>
          <cell r="L1042" t="str">
            <v>A</v>
          </cell>
          <cell r="O1042" t="str">
            <v>A</v>
          </cell>
          <cell r="P1042">
            <v>168</v>
          </cell>
          <cell r="Q1042">
            <v>96</v>
          </cell>
          <cell r="R1042">
            <v>136</v>
          </cell>
          <cell r="S1042">
            <v>0</v>
          </cell>
          <cell r="T1042">
            <v>32</v>
          </cell>
          <cell r="U1042">
            <v>96</v>
          </cell>
          <cell r="V1042">
            <v>326</v>
          </cell>
          <cell r="W1042">
            <v>192</v>
          </cell>
          <cell r="X1042">
            <v>280</v>
          </cell>
          <cell r="Y1042">
            <v>0</v>
          </cell>
          <cell r="Z1042">
            <v>46</v>
          </cell>
          <cell r="AA1042">
            <v>192</v>
          </cell>
          <cell r="AB1042">
            <v>264</v>
          </cell>
          <cell r="AC1042">
            <v>136</v>
          </cell>
          <cell r="AD1042">
            <v>128</v>
          </cell>
          <cell r="AE1042">
            <v>518</v>
          </cell>
          <cell r="AF1042">
            <v>280</v>
          </cell>
          <cell r="AG1042">
            <v>238</v>
          </cell>
        </row>
        <row r="1043">
          <cell r="C1043">
            <v>41053782</v>
          </cell>
          <cell r="D1043" t="str">
            <v>SANGOI SERVICE STATION</v>
          </cell>
          <cell r="E1043" t="str">
            <v>HPCL</v>
          </cell>
          <cell r="G1043" t="str">
            <v>Pune City RSA</v>
          </cell>
          <cell r="J1043" t="str">
            <v>GANESH KHIND ROAD</v>
          </cell>
          <cell r="K1043" t="str">
            <v>Pune</v>
          </cell>
          <cell r="L1043" t="str">
            <v>A</v>
          </cell>
          <cell r="O1043" t="str">
            <v>A</v>
          </cell>
          <cell r="P1043">
            <v>138</v>
          </cell>
          <cell r="Q1043">
            <v>110</v>
          </cell>
          <cell r="R1043">
            <v>119</v>
          </cell>
          <cell r="S1043">
            <v>103</v>
          </cell>
          <cell r="T1043">
            <v>19</v>
          </cell>
          <cell r="U1043">
            <v>7</v>
          </cell>
          <cell r="V1043">
            <v>281</v>
          </cell>
          <cell r="W1043">
            <v>217</v>
          </cell>
          <cell r="X1043">
            <v>244</v>
          </cell>
          <cell r="Y1043">
            <v>222</v>
          </cell>
          <cell r="Z1043">
            <v>37</v>
          </cell>
          <cell r="AA1043">
            <v>-5</v>
          </cell>
          <cell r="AB1043">
            <v>248</v>
          </cell>
          <cell r="AC1043">
            <v>222</v>
          </cell>
          <cell r="AD1043">
            <v>26</v>
          </cell>
          <cell r="AE1043">
            <v>498</v>
          </cell>
          <cell r="AF1043">
            <v>466</v>
          </cell>
          <cell r="AG1043">
            <v>32</v>
          </cell>
        </row>
        <row r="1044">
          <cell r="C1044">
            <v>41053786</v>
          </cell>
          <cell r="D1044" t="str">
            <v>SHIROLE BROS</v>
          </cell>
          <cell r="E1044" t="str">
            <v>HPCL</v>
          </cell>
          <cell r="G1044" t="str">
            <v>Pune Tathawade RSA</v>
          </cell>
          <cell r="J1044" t="str">
            <v>BALEWADI TO DEHU ROAD</v>
          </cell>
          <cell r="K1044" t="str">
            <v>Pune</v>
          </cell>
          <cell r="L1044" t="str">
            <v>A</v>
          </cell>
          <cell r="M1044" t="str">
            <v>NH-48</v>
          </cell>
          <cell r="O1044" t="str">
            <v>A</v>
          </cell>
          <cell r="P1044">
            <v>317</v>
          </cell>
          <cell r="Q1044">
            <v>347</v>
          </cell>
          <cell r="R1044">
            <v>329</v>
          </cell>
          <cell r="S1044">
            <v>297</v>
          </cell>
          <cell r="T1044">
            <v>-12</v>
          </cell>
          <cell r="U1044">
            <v>50</v>
          </cell>
          <cell r="V1044">
            <v>614</v>
          </cell>
          <cell r="W1044">
            <v>702</v>
          </cell>
          <cell r="X1044">
            <v>663</v>
          </cell>
          <cell r="Y1044">
            <v>581</v>
          </cell>
          <cell r="Z1044">
            <v>-49</v>
          </cell>
          <cell r="AA1044">
            <v>121</v>
          </cell>
          <cell r="AB1044">
            <v>664</v>
          </cell>
          <cell r="AC1044">
            <v>626</v>
          </cell>
          <cell r="AD1044">
            <v>38</v>
          </cell>
          <cell r="AE1044">
            <v>1316</v>
          </cell>
          <cell r="AF1044">
            <v>1244</v>
          </cell>
          <cell r="AG1044">
            <v>72</v>
          </cell>
        </row>
        <row r="1045">
          <cell r="C1045">
            <v>41053788</v>
          </cell>
          <cell r="D1045" t="str">
            <v>SIDDHESWAR SERVICE STATION</v>
          </cell>
          <cell r="E1045" t="str">
            <v>HPCL</v>
          </cell>
          <cell r="G1045" t="str">
            <v>Pune Hadapsar RSA</v>
          </cell>
          <cell r="J1045" t="str">
            <v>Hadapsar RHS</v>
          </cell>
          <cell r="K1045" t="str">
            <v>Pune</v>
          </cell>
          <cell r="L1045" t="str">
            <v>A</v>
          </cell>
          <cell r="O1045" t="str">
            <v>A</v>
          </cell>
          <cell r="P1045">
            <v>89</v>
          </cell>
          <cell r="Q1045">
            <v>49</v>
          </cell>
          <cell r="R1045">
            <v>116</v>
          </cell>
          <cell r="S1045">
            <v>46</v>
          </cell>
          <cell r="T1045">
            <v>-27</v>
          </cell>
          <cell r="U1045">
            <v>3</v>
          </cell>
          <cell r="V1045">
            <v>169</v>
          </cell>
          <cell r="W1045">
            <v>95</v>
          </cell>
          <cell r="X1045">
            <v>219</v>
          </cell>
          <cell r="Y1045">
            <v>85</v>
          </cell>
          <cell r="Z1045">
            <v>-50</v>
          </cell>
          <cell r="AA1045">
            <v>10</v>
          </cell>
          <cell r="AB1045">
            <v>138</v>
          </cell>
          <cell r="AC1045">
            <v>162</v>
          </cell>
          <cell r="AD1045">
            <v>-24</v>
          </cell>
          <cell r="AE1045">
            <v>264</v>
          </cell>
          <cell r="AF1045">
            <v>304</v>
          </cell>
          <cell r="AG1045">
            <v>-40</v>
          </cell>
        </row>
        <row r="1046">
          <cell r="C1046">
            <v>41053790</v>
          </cell>
          <cell r="D1046" t="str">
            <v>CHAKAN PETROL DEPOT</v>
          </cell>
          <cell r="E1046" t="str">
            <v>HPCL</v>
          </cell>
          <cell r="G1046" t="str">
            <v>Pimpri Chinchwad RSA</v>
          </cell>
          <cell r="J1046" t="str">
            <v>CHAKAN NH-60 RHS</v>
          </cell>
          <cell r="K1046" t="str">
            <v>Pune</v>
          </cell>
          <cell r="L1046" t="str">
            <v>D1</v>
          </cell>
          <cell r="M1046" t="str">
            <v>NH-60</v>
          </cell>
          <cell r="O1046" t="str">
            <v>A</v>
          </cell>
          <cell r="P1046">
            <v>141</v>
          </cell>
          <cell r="Q1046">
            <v>792</v>
          </cell>
          <cell r="R1046">
            <v>156</v>
          </cell>
          <cell r="S1046">
            <v>504</v>
          </cell>
          <cell r="T1046">
            <v>-15</v>
          </cell>
          <cell r="U1046">
            <v>288</v>
          </cell>
          <cell r="V1046">
            <v>305</v>
          </cell>
          <cell r="W1046">
            <v>1813</v>
          </cell>
          <cell r="X1046">
            <v>325</v>
          </cell>
          <cell r="Y1046">
            <v>788</v>
          </cell>
          <cell r="Z1046">
            <v>-20</v>
          </cell>
          <cell r="AA1046">
            <v>1025</v>
          </cell>
          <cell r="AB1046">
            <v>933</v>
          </cell>
          <cell r="AC1046">
            <v>660</v>
          </cell>
          <cell r="AD1046">
            <v>273</v>
          </cell>
          <cell r="AE1046">
            <v>2118</v>
          </cell>
          <cell r="AF1046">
            <v>1113</v>
          </cell>
          <cell r="AG1046">
            <v>1005</v>
          </cell>
        </row>
        <row r="1047">
          <cell r="C1047">
            <v>41053792</v>
          </cell>
          <cell r="D1047" t="str">
            <v>MITRA SAGAR</v>
          </cell>
          <cell r="E1047" t="str">
            <v>HPCL</v>
          </cell>
          <cell r="G1047" t="str">
            <v>Pune Wagholi RSA</v>
          </cell>
          <cell r="J1047" t="str">
            <v>Manchar</v>
          </cell>
          <cell r="K1047" t="str">
            <v>Pune</v>
          </cell>
          <cell r="L1047" t="str">
            <v>C</v>
          </cell>
          <cell r="O1047" t="str">
            <v>B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</row>
        <row r="1048">
          <cell r="C1048">
            <v>41053794</v>
          </cell>
          <cell r="D1048" t="str">
            <v>Shivdas Ramratan</v>
          </cell>
          <cell r="E1048" t="str">
            <v>HPCL</v>
          </cell>
          <cell r="G1048" t="str">
            <v>Shirdi RSA</v>
          </cell>
          <cell r="J1048" t="str">
            <v>DILLI NAKA SANGAMNER</v>
          </cell>
          <cell r="K1048" t="str">
            <v>Ahmednagar</v>
          </cell>
          <cell r="L1048" t="str">
            <v>C</v>
          </cell>
          <cell r="O1048" t="str">
            <v>A</v>
          </cell>
          <cell r="P1048">
            <v>80</v>
          </cell>
          <cell r="Q1048">
            <v>160</v>
          </cell>
          <cell r="R1048">
            <v>85</v>
          </cell>
          <cell r="S1048">
            <v>155</v>
          </cell>
          <cell r="T1048">
            <v>-5</v>
          </cell>
          <cell r="U1048">
            <v>5</v>
          </cell>
          <cell r="V1048">
            <v>170</v>
          </cell>
          <cell r="W1048">
            <v>350</v>
          </cell>
          <cell r="X1048">
            <v>175</v>
          </cell>
          <cell r="Y1048">
            <v>345</v>
          </cell>
          <cell r="Z1048">
            <v>-5</v>
          </cell>
          <cell r="AA1048">
            <v>5</v>
          </cell>
          <cell r="AB1048">
            <v>240</v>
          </cell>
          <cell r="AC1048">
            <v>240</v>
          </cell>
          <cell r="AD1048">
            <v>0</v>
          </cell>
          <cell r="AE1048">
            <v>520</v>
          </cell>
          <cell r="AF1048">
            <v>520</v>
          </cell>
          <cell r="AG1048">
            <v>0</v>
          </cell>
        </row>
        <row r="1049">
          <cell r="C1049">
            <v>41053804</v>
          </cell>
          <cell r="D1049" t="str">
            <v>G. K. Parikh &amp; Sons</v>
          </cell>
          <cell r="E1049" t="str">
            <v>HPCL</v>
          </cell>
          <cell r="G1049" t="str">
            <v>Ahmednagar East RSA</v>
          </cell>
          <cell r="J1049" t="str">
            <v>Ghodegaon</v>
          </cell>
          <cell r="K1049" t="str">
            <v>Ahmednagar</v>
          </cell>
          <cell r="L1049" t="str">
            <v>D1</v>
          </cell>
          <cell r="M1049" t="str">
            <v>NH-753F</v>
          </cell>
          <cell r="O1049" t="str">
            <v>A</v>
          </cell>
          <cell r="P1049">
            <v>24</v>
          </cell>
          <cell r="Q1049">
            <v>214</v>
          </cell>
          <cell r="R1049">
            <v>16</v>
          </cell>
          <cell r="S1049">
            <v>152</v>
          </cell>
          <cell r="T1049">
            <v>8</v>
          </cell>
          <cell r="U1049">
            <v>62</v>
          </cell>
          <cell r="V1049">
            <v>40</v>
          </cell>
          <cell r="W1049">
            <v>366</v>
          </cell>
          <cell r="X1049">
            <v>32</v>
          </cell>
          <cell r="Y1049">
            <v>360</v>
          </cell>
          <cell r="Z1049">
            <v>8</v>
          </cell>
          <cell r="AA1049">
            <v>6</v>
          </cell>
          <cell r="AB1049">
            <v>238</v>
          </cell>
          <cell r="AC1049">
            <v>168</v>
          </cell>
          <cell r="AD1049">
            <v>70</v>
          </cell>
          <cell r="AE1049">
            <v>406</v>
          </cell>
          <cell r="AF1049">
            <v>392</v>
          </cell>
          <cell r="AG1049">
            <v>14</v>
          </cell>
        </row>
        <row r="1050">
          <cell r="C1050">
            <v>41053827</v>
          </cell>
          <cell r="D1050" t="str">
            <v>Om Petroleum</v>
          </cell>
          <cell r="E1050" t="str">
            <v>HPCL</v>
          </cell>
          <cell r="G1050" t="str">
            <v>Shirdi RSA</v>
          </cell>
          <cell r="J1050" t="str">
            <v>TALEGAON SANGAMNER SH</v>
          </cell>
          <cell r="K1050" t="str">
            <v>Ahmednagar</v>
          </cell>
          <cell r="L1050" t="str">
            <v>D2</v>
          </cell>
          <cell r="O1050" t="str">
            <v>B</v>
          </cell>
          <cell r="P1050">
            <v>15</v>
          </cell>
          <cell r="Q1050">
            <v>33</v>
          </cell>
          <cell r="R1050">
            <v>10</v>
          </cell>
          <cell r="S1050">
            <v>26</v>
          </cell>
          <cell r="T1050">
            <v>5</v>
          </cell>
          <cell r="U1050">
            <v>7</v>
          </cell>
          <cell r="V1050">
            <v>27</v>
          </cell>
          <cell r="W1050">
            <v>57</v>
          </cell>
          <cell r="X1050">
            <v>26</v>
          </cell>
          <cell r="Y1050">
            <v>46</v>
          </cell>
          <cell r="Z1050">
            <v>1</v>
          </cell>
          <cell r="AA1050">
            <v>11</v>
          </cell>
          <cell r="AB1050">
            <v>48</v>
          </cell>
          <cell r="AC1050">
            <v>36</v>
          </cell>
          <cell r="AD1050">
            <v>12</v>
          </cell>
          <cell r="AE1050">
            <v>84</v>
          </cell>
          <cell r="AF1050">
            <v>72</v>
          </cell>
          <cell r="AG1050">
            <v>12</v>
          </cell>
        </row>
        <row r="1051">
          <cell r="C1051">
            <v>41053968</v>
          </cell>
          <cell r="D1051" t="str">
            <v>Laxmi Petroleum</v>
          </cell>
          <cell r="E1051" t="str">
            <v>HPCL</v>
          </cell>
          <cell r="G1051" t="str">
            <v>Shirdi RSA</v>
          </cell>
          <cell r="J1051" t="str">
            <v>AKOLE</v>
          </cell>
          <cell r="K1051" t="str">
            <v>Ahmednagar</v>
          </cell>
          <cell r="L1051" t="str">
            <v>D2</v>
          </cell>
          <cell r="O1051" t="str">
            <v>B</v>
          </cell>
          <cell r="P1051">
            <v>75</v>
          </cell>
          <cell r="Q1051">
            <v>145</v>
          </cell>
          <cell r="R1051">
            <v>70</v>
          </cell>
          <cell r="S1051">
            <v>130</v>
          </cell>
          <cell r="T1051">
            <v>5</v>
          </cell>
          <cell r="U1051">
            <v>15</v>
          </cell>
          <cell r="V1051">
            <v>125</v>
          </cell>
          <cell r="W1051">
            <v>275</v>
          </cell>
          <cell r="X1051">
            <v>115</v>
          </cell>
          <cell r="Y1051">
            <v>265</v>
          </cell>
          <cell r="Z1051">
            <v>10</v>
          </cell>
          <cell r="AA1051">
            <v>10</v>
          </cell>
          <cell r="AB1051">
            <v>220</v>
          </cell>
          <cell r="AC1051">
            <v>200</v>
          </cell>
          <cell r="AD1051">
            <v>20</v>
          </cell>
          <cell r="AE1051">
            <v>400</v>
          </cell>
          <cell r="AF1051">
            <v>380</v>
          </cell>
          <cell r="AG1051">
            <v>20</v>
          </cell>
        </row>
        <row r="1052">
          <cell r="C1052">
            <v>41053973</v>
          </cell>
          <cell r="D1052" t="str">
            <v>Madhav Petroleum</v>
          </cell>
          <cell r="E1052" t="str">
            <v>HPCL</v>
          </cell>
          <cell r="G1052" t="str">
            <v>Ahmednagar East RSA</v>
          </cell>
          <cell r="J1052" t="str">
            <v>WAMBHORI PHATA ON NH160</v>
          </cell>
          <cell r="K1052" t="str">
            <v>Ahmednagar</v>
          </cell>
          <cell r="L1052" t="str">
            <v>D1</v>
          </cell>
          <cell r="M1052" t="str">
            <v>NH-160</v>
          </cell>
          <cell r="O1052" t="str">
            <v>B</v>
          </cell>
          <cell r="P1052">
            <v>18</v>
          </cell>
          <cell r="Q1052">
            <v>30</v>
          </cell>
          <cell r="R1052">
            <v>37.5</v>
          </cell>
          <cell r="S1052">
            <v>84.5</v>
          </cell>
          <cell r="T1052">
            <v>-19.5</v>
          </cell>
          <cell r="U1052">
            <v>-54.5</v>
          </cell>
          <cell r="V1052">
            <v>37</v>
          </cell>
          <cell r="W1052">
            <v>75</v>
          </cell>
          <cell r="X1052">
            <v>62</v>
          </cell>
          <cell r="Y1052">
            <v>144</v>
          </cell>
          <cell r="Z1052">
            <v>-25</v>
          </cell>
          <cell r="AA1052">
            <v>-69</v>
          </cell>
          <cell r="AB1052">
            <v>48</v>
          </cell>
          <cell r="AC1052">
            <v>122</v>
          </cell>
          <cell r="AD1052">
            <v>-74</v>
          </cell>
          <cell r="AE1052">
            <v>112</v>
          </cell>
          <cell r="AF1052">
            <v>206</v>
          </cell>
          <cell r="AG1052">
            <v>-94</v>
          </cell>
        </row>
        <row r="1053">
          <cell r="C1053">
            <v>41054001</v>
          </cell>
          <cell r="D1053" t="str">
            <v>Utkarsha Fuel</v>
          </cell>
          <cell r="E1053" t="str">
            <v>HPCL</v>
          </cell>
          <cell r="G1053" t="str">
            <v>Ahmednagar West RSA</v>
          </cell>
          <cell r="J1053" t="str">
            <v>ARANGAON</v>
          </cell>
          <cell r="K1053" t="str">
            <v>Ahmednagar</v>
          </cell>
          <cell r="L1053" t="str">
            <v>D1</v>
          </cell>
          <cell r="M1053" t="str">
            <v>NH-160</v>
          </cell>
          <cell r="O1053" t="str">
            <v>A</v>
          </cell>
          <cell r="P1053">
            <v>35</v>
          </cell>
          <cell r="Q1053">
            <v>63</v>
          </cell>
          <cell r="R1053">
            <v>33</v>
          </cell>
          <cell r="S1053">
            <v>47</v>
          </cell>
          <cell r="T1053">
            <v>2</v>
          </cell>
          <cell r="U1053">
            <v>16</v>
          </cell>
          <cell r="V1053">
            <v>68</v>
          </cell>
          <cell r="W1053">
            <v>106</v>
          </cell>
          <cell r="X1053">
            <v>64</v>
          </cell>
          <cell r="Y1053">
            <v>100</v>
          </cell>
          <cell r="Z1053">
            <v>4</v>
          </cell>
          <cell r="AA1053">
            <v>6</v>
          </cell>
          <cell r="AB1053">
            <v>98</v>
          </cell>
          <cell r="AC1053">
            <v>80</v>
          </cell>
          <cell r="AD1053">
            <v>18</v>
          </cell>
          <cell r="AE1053">
            <v>174</v>
          </cell>
          <cell r="AF1053">
            <v>164</v>
          </cell>
          <cell r="AG1053">
            <v>10</v>
          </cell>
        </row>
        <row r="1054">
          <cell r="C1054">
            <v>41054461</v>
          </cell>
          <cell r="D1054" t="str">
            <v>Aditya Petroleum</v>
          </cell>
          <cell r="E1054" t="str">
            <v>HPCL</v>
          </cell>
          <cell r="G1054" t="str">
            <v>Shirdi RSA</v>
          </cell>
          <cell r="J1054" t="str">
            <v>PUNTAMBA</v>
          </cell>
          <cell r="K1054" t="str">
            <v>Ahmednagar</v>
          </cell>
          <cell r="L1054" t="str">
            <v>E</v>
          </cell>
          <cell r="O1054" t="str">
            <v>A</v>
          </cell>
          <cell r="P1054">
            <v>16</v>
          </cell>
          <cell r="Q1054">
            <v>60</v>
          </cell>
          <cell r="R1054">
            <v>12</v>
          </cell>
          <cell r="S1054">
            <v>36</v>
          </cell>
          <cell r="T1054">
            <v>4</v>
          </cell>
          <cell r="U1054">
            <v>24</v>
          </cell>
          <cell r="V1054">
            <v>28</v>
          </cell>
          <cell r="W1054">
            <v>108</v>
          </cell>
          <cell r="X1054">
            <v>22</v>
          </cell>
          <cell r="Y1054">
            <v>62</v>
          </cell>
          <cell r="Z1054">
            <v>6</v>
          </cell>
          <cell r="AA1054">
            <v>46</v>
          </cell>
          <cell r="AB1054">
            <v>76</v>
          </cell>
          <cell r="AC1054">
            <v>48</v>
          </cell>
          <cell r="AD1054">
            <v>28</v>
          </cell>
          <cell r="AE1054">
            <v>136</v>
          </cell>
          <cell r="AF1054">
            <v>84</v>
          </cell>
          <cell r="AG1054">
            <v>52</v>
          </cell>
        </row>
        <row r="1055">
          <cell r="C1055">
            <v>41054465</v>
          </cell>
          <cell r="D1055" t="str">
            <v>Malganga Fuel Centre</v>
          </cell>
          <cell r="E1055" t="str">
            <v>HPCL</v>
          </cell>
          <cell r="G1055" t="str">
            <v>Ahmednagar West RSA</v>
          </cell>
          <cell r="J1055" t="str">
            <v>Nighoj</v>
          </cell>
          <cell r="K1055" t="str">
            <v>Ahmednagar</v>
          </cell>
          <cell r="L1055" t="str">
            <v>D1</v>
          </cell>
          <cell r="M1055" t="str">
            <v>NH-761</v>
          </cell>
          <cell r="O1055" t="str">
            <v>A</v>
          </cell>
          <cell r="P1055">
            <v>40</v>
          </cell>
          <cell r="Q1055">
            <v>100</v>
          </cell>
          <cell r="R1055">
            <v>40</v>
          </cell>
          <cell r="S1055">
            <v>74</v>
          </cell>
          <cell r="T1055">
            <v>0</v>
          </cell>
          <cell r="U1055">
            <v>26</v>
          </cell>
          <cell r="V1055">
            <v>75</v>
          </cell>
          <cell r="W1055">
            <v>185</v>
          </cell>
          <cell r="X1055">
            <v>80</v>
          </cell>
          <cell r="Y1055">
            <v>168</v>
          </cell>
          <cell r="Z1055">
            <v>-5</v>
          </cell>
          <cell r="AA1055">
            <v>17</v>
          </cell>
          <cell r="AB1055">
            <v>140</v>
          </cell>
          <cell r="AC1055">
            <v>114</v>
          </cell>
          <cell r="AD1055">
            <v>26</v>
          </cell>
          <cell r="AE1055">
            <v>260</v>
          </cell>
          <cell r="AF1055">
            <v>248</v>
          </cell>
          <cell r="AG1055">
            <v>12</v>
          </cell>
        </row>
        <row r="1056">
          <cell r="C1056">
            <v>41091336</v>
          </cell>
          <cell r="D1056" t="str">
            <v>ADHOC VAIBHAV PETROLEUM (41054466 Indrajeet Petroleum/Adhoc Chandrama Petroleum)</v>
          </cell>
          <cell r="E1056" t="str">
            <v>HPCL</v>
          </cell>
          <cell r="G1056" t="str">
            <v>Ahmednagar West RSA</v>
          </cell>
          <cell r="J1056" t="str">
            <v>Ruichattisi</v>
          </cell>
          <cell r="K1056" t="str">
            <v>Ahmednagar</v>
          </cell>
          <cell r="L1056" t="str">
            <v>D1</v>
          </cell>
          <cell r="M1056" t="str">
            <v>NH-160</v>
          </cell>
          <cell r="O1056" t="str">
            <v>A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</row>
        <row r="1057">
          <cell r="C1057">
            <v>41055210</v>
          </cell>
          <cell r="D1057" t="str">
            <v>Sohamm Petroleum</v>
          </cell>
          <cell r="E1057" t="str">
            <v>HPCL</v>
          </cell>
          <cell r="G1057" t="str">
            <v>Shirdi RSA</v>
          </cell>
          <cell r="J1057" t="str">
            <v>GHARGAON Nashik-Pune LHS</v>
          </cell>
          <cell r="K1057" t="str">
            <v>Ahmednagar</v>
          </cell>
          <cell r="L1057" t="str">
            <v>D1</v>
          </cell>
          <cell r="M1057" t="str">
            <v>NH-60</v>
          </cell>
          <cell r="O1057" t="str">
            <v>A</v>
          </cell>
          <cell r="P1057">
            <v>0</v>
          </cell>
          <cell r="Q1057">
            <v>12</v>
          </cell>
          <cell r="R1057">
            <v>20</v>
          </cell>
          <cell r="S1057">
            <v>102</v>
          </cell>
          <cell r="T1057">
            <v>-20</v>
          </cell>
          <cell r="U1057">
            <v>-90</v>
          </cell>
          <cell r="V1057">
            <v>0</v>
          </cell>
          <cell r="W1057">
            <v>12</v>
          </cell>
          <cell r="X1057">
            <v>28</v>
          </cell>
          <cell r="Y1057">
            <v>146</v>
          </cell>
          <cell r="Z1057">
            <v>-28</v>
          </cell>
          <cell r="AA1057">
            <v>-134</v>
          </cell>
          <cell r="AB1057">
            <v>12</v>
          </cell>
          <cell r="AC1057">
            <v>122</v>
          </cell>
          <cell r="AD1057">
            <v>-110</v>
          </cell>
          <cell r="AE1057">
            <v>12</v>
          </cell>
          <cell r="AF1057">
            <v>174</v>
          </cell>
          <cell r="AG1057">
            <v>-162</v>
          </cell>
        </row>
        <row r="1058">
          <cell r="C1058">
            <v>41055214</v>
          </cell>
          <cell r="D1058" t="str">
            <v>D S Petro Junction</v>
          </cell>
          <cell r="E1058" t="str">
            <v>HPCL</v>
          </cell>
          <cell r="G1058" t="str">
            <v>Ahmednagar East RSA</v>
          </cell>
          <cell r="J1058" t="str">
            <v>Kangoni</v>
          </cell>
          <cell r="K1058" t="str">
            <v>Ahmednagar</v>
          </cell>
          <cell r="L1058" t="str">
            <v>D1</v>
          </cell>
          <cell r="M1058" t="str">
            <v>NH-753F</v>
          </cell>
          <cell r="O1058" t="str">
            <v>A</v>
          </cell>
          <cell r="P1058">
            <v>42</v>
          </cell>
          <cell r="Q1058">
            <v>108</v>
          </cell>
          <cell r="R1058">
            <v>52</v>
          </cell>
          <cell r="S1058">
            <v>116</v>
          </cell>
          <cell r="T1058">
            <v>-10</v>
          </cell>
          <cell r="U1058">
            <v>-8</v>
          </cell>
          <cell r="V1058">
            <v>74</v>
          </cell>
          <cell r="W1058">
            <v>196</v>
          </cell>
          <cell r="X1058">
            <v>88</v>
          </cell>
          <cell r="Y1058">
            <v>224</v>
          </cell>
          <cell r="Z1058">
            <v>-14</v>
          </cell>
          <cell r="AA1058">
            <v>-28</v>
          </cell>
          <cell r="AB1058">
            <v>150</v>
          </cell>
          <cell r="AC1058">
            <v>168</v>
          </cell>
          <cell r="AD1058">
            <v>-18</v>
          </cell>
          <cell r="AE1058">
            <v>270</v>
          </cell>
          <cell r="AF1058">
            <v>312</v>
          </cell>
          <cell r="AG1058">
            <v>-42</v>
          </cell>
        </row>
        <row r="1059">
          <cell r="C1059">
            <v>41055216</v>
          </cell>
          <cell r="D1059" t="str">
            <v xml:space="preserve">Anuraag Pet. </v>
          </cell>
          <cell r="E1059" t="str">
            <v>HPCL</v>
          </cell>
          <cell r="G1059" t="str">
            <v>Ahmednagar East RSA</v>
          </cell>
          <cell r="J1059" t="str">
            <v>Shevgaon</v>
          </cell>
          <cell r="K1059" t="str">
            <v>Ahmednagar</v>
          </cell>
          <cell r="L1059" t="str">
            <v>D2</v>
          </cell>
          <cell r="O1059" t="str">
            <v>B</v>
          </cell>
          <cell r="P1059">
            <v>0</v>
          </cell>
          <cell r="Q1059">
            <v>0</v>
          </cell>
          <cell r="R1059">
            <v>12</v>
          </cell>
          <cell r="S1059">
            <v>12</v>
          </cell>
          <cell r="T1059">
            <v>-12</v>
          </cell>
          <cell r="U1059">
            <v>-12</v>
          </cell>
          <cell r="V1059">
            <v>6</v>
          </cell>
          <cell r="W1059">
            <v>6</v>
          </cell>
          <cell r="X1059">
            <v>18</v>
          </cell>
          <cell r="Y1059">
            <v>18</v>
          </cell>
          <cell r="Z1059">
            <v>-12</v>
          </cell>
          <cell r="AA1059">
            <v>-12</v>
          </cell>
          <cell r="AB1059">
            <v>0</v>
          </cell>
          <cell r="AC1059">
            <v>24</v>
          </cell>
          <cell r="AD1059">
            <v>-24</v>
          </cell>
          <cell r="AE1059">
            <v>12</v>
          </cell>
          <cell r="AF1059">
            <v>36</v>
          </cell>
          <cell r="AG1059">
            <v>-24</v>
          </cell>
        </row>
        <row r="1060">
          <cell r="C1060">
            <v>41055217</v>
          </cell>
          <cell r="D1060" t="str">
            <v>Shri Siddhi Petroleum</v>
          </cell>
          <cell r="E1060" t="str">
            <v>HPCL</v>
          </cell>
          <cell r="G1060" t="str">
            <v>Ahmednagar West RSA</v>
          </cell>
          <cell r="J1060" t="str">
            <v>Walunj</v>
          </cell>
          <cell r="K1060" t="str">
            <v>Ahmednagar</v>
          </cell>
          <cell r="L1060" t="str">
            <v>D2</v>
          </cell>
          <cell r="O1060" t="str">
            <v>A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</row>
        <row r="1061">
          <cell r="C1061">
            <v>41055291</v>
          </cell>
          <cell r="D1061" t="str">
            <v>Vrushali Janjire Fuel Centre</v>
          </cell>
          <cell r="E1061" t="str">
            <v>HPCL</v>
          </cell>
          <cell r="G1061" t="str">
            <v>Ahmednagar West RSA</v>
          </cell>
          <cell r="J1061" t="str">
            <v>Rashin</v>
          </cell>
          <cell r="K1061" t="str">
            <v>Ahmednagar</v>
          </cell>
          <cell r="L1061" t="str">
            <v>D2</v>
          </cell>
          <cell r="O1061" t="str">
            <v>A</v>
          </cell>
          <cell r="P1061">
            <v>108</v>
          </cell>
          <cell r="Q1061">
            <v>228</v>
          </cell>
          <cell r="R1061">
            <v>83</v>
          </cell>
          <cell r="S1061">
            <v>157</v>
          </cell>
          <cell r="T1061">
            <v>25</v>
          </cell>
          <cell r="U1061">
            <v>71</v>
          </cell>
          <cell r="V1061">
            <v>182</v>
          </cell>
          <cell r="W1061">
            <v>418</v>
          </cell>
          <cell r="X1061">
            <v>163</v>
          </cell>
          <cell r="Y1061">
            <v>317</v>
          </cell>
          <cell r="Z1061">
            <v>19</v>
          </cell>
          <cell r="AA1061">
            <v>101</v>
          </cell>
          <cell r="AB1061">
            <v>336</v>
          </cell>
          <cell r="AC1061">
            <v>240</v>
          </cell>
          <cell r="AD1061">
            <v>96</v>
          </cell>
          <cell r="AE1061">
            <v>600</v>
          </cell>
          <cell r="AF1061">
            <v>480</v>
          </cell>
          <cell r="AG1061">
            <v>120</v>
          </cell>
        </row>
        <row r="1062">
          <cell r="C1062">
            <v>41055292</v>
          </cell>
          <cell r="D1062" t="str">
            <v>Sanskriti Fuel Centre</v>
          </cell>
          <cell r="E1062" t="str">
            <v>HPCL</v>
          </cell>
          <cell r="G1062" t="str">
            <v>Ahmednagar West RSA</v>
          </cell>
          <cell r="J1062" t="str">
            <v>Parner</v>
          </cell>
          <cell r="K1062" t="str">
            <v>Ahmednagar</v>
          </cell>
          <cell r="L1062" t="str">
            <v>D2</v>
          </cell>
          <cell r="O1062" t="str">
            <v>A</v>
          </cell>
          <cell r="P1062">
            <v>45</v>
          </cell>
          <cell r="Q1062">
            <v>138</v>
          </cell>
          <cell r="R1062">
            <v>45</v>
          </cell>
          <cell r="S1062">
            <v>115</v>
          </cell>
          <cell r="T1062">
            <v>0</v>
          </cell>
          <cell r="U1062">
            <v>23</v>
          </cell>
          <cell r="V1062">
            <v>80</v>
          </cell>
          <cell r="W1062">
            <v>263</v>
          </cell>
          <cell r="X1062">
            <v>95</v>
          </cell>
          <cell r="Y1062">
            <v>225</v>
          </cell>
          <cell r="Z1062">
            <v>-15</v>
          </cell>
          <cell r="AA1062">
            <v>38</v>
          </cell>
          <cell r="AB1062">
            <v>183</v>
          </cell>
          <cell r="AC1062">
            <v>160</v>
          </cell>
          <cell r="AD1062">
            <v>23</v>
          </cell>
          <cell r="AE1062">
            <v>343</v>
          </cell>
          <cell r="AF1062">
            <v>320</v>
          </cell>
          <cell r="AG1062">
            <v>23</v>
          </cell>
        </row>
        <row r="1063">
          <cell r="C1063">
            <v>41055300</v>
          </cell>
          <cell r="D1063" t="str">
            <v>Prajeet Dhokeshwar Pet.</v>
          </cell>
          <cell r="E1063" t="str">
            <v>HPCL</v>
          </cell>
          <cell r="G1063" t="str">
            <v>Ahmednagar West RSA</v>
          </cell>
          <cell r="J1063" t="str">
            <v>Takli Dhokeshwar</v>
          </cell>
          <cell r="K1063" t="str">
            <v>Ahmednagar</v>
          </cell>
          <cell r="L1063" t="str">
            <v>D1</v>
          </cell>
          <cell r="M1063" t="str">
            <v>NH-61</v>
          </cell>
          <cell r="O1063" t="str">
            <v>A</v>
          </cell>
          <cell r="P1063">
            <v>43</v>
          </cell>
          <cell r="Q1063">
            <v>83</v>
          </cell>
          <cell r="R1063">
            <v>49</v>
          </cell>
          <cell r="S1063">
            <v>66</v>
          </cell>
          <cell r="T1063">
            <v>-6</v>
          </cell>
          <cell r="U1063">
            <v>17</v>
          </cell>
          <cell r="V1063">
            <v>79</v>
          </cell>
          <cell r="W1063">
            <v>149</v>
          </cell>
          <cell r="X1063">
            <v>89</v>
          </cell>
          <cell r="Y1063">
            <v>130</v>
          </cell>
          <cell r="Z1063">
            <v>-10</v>
          </cell>
          <cell r="AA1063">
            <v>19</v>
          </cell>
          <cell r="AB1063">
            <v>126</v>
          </cell>
          <cell r="AC1063">
            <v>115</v>
          </cell>
          <cell r="AD1063">
            <v>11</v>
          </cell>
          <cell r="AE1063">
            <v>228</v>
          </cell>
          <cell r="AF1063">
            <v>219</v>
          </cell>
          <cell r="AG1063">
            <v>9</v>
          </cell>
        </row>
        <row r="1064">
          <cell r="C1064">
            <v>41055567</v>
          </cell>
          <cell r="D1064" t="str">
            <v>Jai Sai Petroleum</v>
          </cell>
          <cell r="E1064" t="str">
            <v>HPCL</v>
          </cell>
          <cell r="G1064" t="str">
            <v>Shirdi RSA</v>
          </cell>
          <cell r="J1064" t="str">
            <v>TAKLIBHAN</v>
          </cell>
          <cell r="K1064" t="str">
            <v>Ahmednagar</v>
          </cell>
          <cell r="L1064" t="str">
            <v>D2</v>
          </cell>
          <cell r="O1064" t="str">
            <v>A</v>
          </cell>
          <cell r="P1064">
            <v>33</v>
          </cell>
          <cell r="Q1064">
            <v>75</v>
          </cell>
          <cell r="R1064">
            <v>78</v>
          </cell>
          <cell r="S1064">
            <v>78</v>
          </cell>
          <cell r="T1064">
            <v>-45</v>
          </cell>
          <cell r="U1064">
            <v>-3</v>
          </cell>
          <cell r="V1064">
            <v>69</v>
          </cell>
          <cell r="W1064">
            <v>123</v>
          </cell>
          <cell r="X1064">
            <v>186</v>
          </cell>
          <cell r="Y1064">
            <v>150</v>
          </cell>
          <cell r="Z1064">
            <v>-117</v>
          </cell>
          <cell r="AA1064">
            <v>-27</v>
          </cell>
          <cell r="AB1064">
            <v>108</v>
          </cell>
          <cell r="AC1064">
            <v>156</v>
          </cell>
          <cell r="AD1064">
            <v>-48</v>
          </cell>
          <cell r="AE1064">
            <v>192</v>
          </cell>
          <cell r="AF1064">
            <v>336</v>
          </cell>
          <cell r="AG1064">
            <v>-144</v>
          </cell>
        </row>
        <row r="1065">
          <cell r="C1065">
            <v>41055568</v>
          </cell>
          <cell r="D1065" t="str">
            <v>Nirmala Auto Care Cen.</v>
          </cell>
          <cell r="E1065" t="str">
            <v>HPCL</v>
          </cell>
          <cell r="G1065" t="str">
            <v>Ahmednagar West RSA</v>
          </cell>
          <cell r="J1065" t="str">
            <v>Walunj</v>
          </cell>
          <cell r="K1065" t="str">
            <v>Ahmednagar</v>
          </cell>
          <cell r="L1065" t="str">
            <v>D1</v>
          </cell>
          <cell r="M1065" t="str">
            <v>NH-561A</v>
          </cell>
          <cell r="O1065" t="str">
            <v>A</v>
          </cell>
          <cell r="P1065">
            <v>27</v>
          </cell>
          <cell r="Q1065">
            <v>63</v>
          </cell>
          <cell r="R1065">
            <v>35</v>
          </cell>
          <cell r="S1065">
            <v>75</v>
          </cell>
          <cell r="T1065">
            <v>-8</v>
          </cell>
          <cell r="U1065">
            <v>-12</v>
          </cell>
          <cell r="V1065">
            <v>62</v>
          </cell>
          <cell r="W1065">
            <v>132</v>
          </cell>
          <cell r="X1065">
            <v>70</v>
          </cell>
          <cell r="Y1065">
            <v>148</v>
          </cell>
          <cell r="Z1065">
            <v>-8</v>
          </cell>
          <cell r="AA1065">
            <v>-16</v>
          </cell>
          <cell r="AB1065">
            <v>90</v>
          </cell>
          <cell r="AC1065">
            <v>110</v>
          </cell>
          <cell r="AD1065">
            <v>-20</v>
          </cell>
          <cell r="AE1065">
            <v>194</v>
          </cell>
          <cell r="AF1065">
            <v>218</v>
          </cell>
          <cell r="AG1065">
            <v>-24</v>
          </cell>
        </row>
        <row r="1066">
          <cell r="C1066">
            <v>41055576</v>
          </cell>
          <cell r="D1066" t="str">
            <v>Chandrama Petroleum</v>
          </cell>
          <cell r="E1066" t="str">
            <v>HPCL</v>
          </cell>
          <cell r="G1066" t="str">
            <v>Ahmednagar West RSA</v>
          </cell>
          <cell r="J1066" t="str">
            <v>SHRIGONDA-NH</v>
          </cell>
          <cell r="K1066" t="str">
            <v>Ahmednagar</v>
          </cell>
          <cell r="L1066" t="str">
            <v>D1</v>
          </cell>
          <cell r="M1066" t="str">
            <v>NH-548D</v>
          </cell>
          <cell r="O1066" t="str">
            <v>A</v>
          </cell>
          <cell r="P1066">
            <v>60</v>
          </cell>
          <cell r="Q1066">
            <v>132</v>
          </cell>
          <cell r="R1066">
            <v>80</v>
          </cell>
          <cell r="S1066">
            <v>100</v>
          </cell>
          <cell r="T1066">
            <v>-20</v>
          </cell>
          <cell r="U1066">
            <v>32</v>
          </cell>
          <cell r="V1066">
            <v>124</v>
          </cell>
          <cell r="W1066">
            <v>224</v>
          </cell>
          <cell r="X1066">
            <v>161</v>
          </cell>
          <cell r="Y1066">
            <v>207</v>
          </cell>
          <cell r="Z1066">
            <v>-37</v>
          </cell>
          <cell r="AA1066">
            <v>17</v>
          </cell>
          <cell r="AB1066">
            <v>192</v>
          </cell>
          <cell r="AC1066">
            <v>180</v>
          </cell>
          <cell r="AD1066">
            <v>12</v>
          </cell>
          <cell r="AE1066">
            <v>348</v>
          </cell>
          <cell r="AF1066">
            <v>368</v>
          </cell>
          <cell r="AG1066">
            <v>-20</v>
          </cell>
        </row>
        <row r="1067">
          <cell r="C1067">
            <v>41055737</v>
          </cell>
          <cell r="D1067" t="str">
            <v>SHIVNERI PETROLEUM</v>
          </cell>
          <cell r="E1067" t="str">
            <v>HPCL</v>
          </cell>
          <cell r="G1067" t="str">
            <v>Pune Wagholi RSA</v>
          </cell>
          <cell r="J1067" t="str">
            <v>Mengdewadi</v>
          </cell>
          <cell r="K1067" t="str">
            <v>Pune</v>
          </cell>
          <cell r="L1067" t="str">
            <v>E</v>
          </cell>
          <cell r="O1067" t="str">
            <v>A</v>
          </cell>
          <cell r="P1067">
            <v>17</v>
          </cell>
          <cell r="Q1067">
            <v>45</v>
          </cell>
          <cell r="R1067">
            <v>9</v>
          </cell>
          <cell r="S1067">
            <v>15</v>
          </cell>
          <cell r="T1067">
            <v>8</v>
          </cell>
          <cell r="U1067">
            <v>30</v>
          </cell>
          <cell r="V1067">
            <v>26</v>
          </cell>
          <cell r="W1067">
            <v>60</v>
          </cell>
          <cell r="X1067">
            <v>24</v>
          </cell>
          <cell r="Y1067">
            <v>36</v>
          </cell>
          <cell r="Z1067">
            <v>2</v>
          </cell>
          <cell r="AA1067">
            <v>24</v>
          </cell>
          <cell r="AB1067">
            <v>62</v>
          </cell>
          <cell r="AC1067">
            <v>24</v>
          </cell>
          <cell r="AD1067">
            <v>38</v>
          </cell>
          <cell r="AE1067">
            <v>86</v>
          </cell>
          <cell r="AF1067">
            <v>60</v>
          </cell>
          <cell r="AG1067">
            <v>26</v>
          </cell>
        </row>
        <row r="1068">
          <cell r="C1068">
            <v>41055738</v>
          </cell>
          <cell r="D1068" t="str">
            <v>SHAHID JAYWANT PATIL PETROLEUM</v>
          </cell>
          <cell r="E1068" t="str">
            <v>HPCL</v>
          </cell>
          <cell r="G1068" t="str">
            <v>Pune Tathawade RSA</v>
          </cell>
          <cell r="J1068" t="str">
            <v>SAROLA TO KAPURHOL</v>
          </cell>
          <cell r="K1068" t="str">
            <v>Pune</v>
          </cell>
          <cell r="L1068" t="str">
            <v>D1</v>
          </cell>
          <cell r="M1068" t="str">
            <v>NH-48</v>
          </cell>
          <cell r="O1068" t="str">
            <v>A</v>
          </cell>
          <cell r="P1068">
            <v>126</v>
          </cell>
          <cell r="Q1068">
            <v>246</v>
          </cell>
          <cell r="R1068">
            <v>127</v>
          </cell>
          <cell r="S1068">
            <v>201</v>
          </cell>
          <cell r="T1068">
            <v>-1</v>
          </cell>
          <cell r="U1068">
            <v>45</v>
          </cell>
          <cell r="V1068">
            <v>224</v>
          </cell>
          <cell r="W1068">
            <v>480</v>
          </cell>
          <cell r="X1068">
            <v>224</v>
          </cell>
          <cell r="Y1068">
            <v>404</v>
          </cell>
          <cell r="Z1068">
            <v>0</v>
          </cell>
          <cell r="AA1068">
            <v>76</v>
          </cell>
          <cell r="AB1068">
            <v>372</v>
          </cell>
          <cell r="AC1068">
            <v>328</v>
          </cell>
          <cell r="AD1068">
            <v>44</v>
          </cell>
          <cell r="AE1068">
            <v>704</v>
          </cell>
          <cell r="AF1068">
            <v>628</v>
          </cell>
          <cell r="AG1068">
            <v>76</v>
          </cell>
        </row>
        <row r="1069">
          <cell r="C1069">
            <v>41055739</v>
          </cell>
          <cell r="D1069" t="str">
            <v>SHAHID VIJAY KHANDEKAR  PETROLEUM</v>
          </cell>
          <cell r="E1069" t="str">
            <v>HPCL</v>
          </cell>
          <cell r="G1069" t="str">
            <v>Pimpri Chinchwad RSA</v>
          </cell>
          <cell r="J1069" t="str">
            <v>Kharabwadi</v>
          </cell>
          <cell r="K1069" t="str">
            <v>Pune</v>
          </cell>
          <cell r="L1069" t="str">
            <v>D1</v>
          </cell>
          <cell r="M1069" t="str">
            <v>NH-548D</v>
          </cell>
          <cell r="O1069" t="str">
            <v>A</v>
          </cell>
          <cell r="P1069">
            <v>55</v>
          </cell>
          <cell r="Q1069">
            <v>605</v>
          </cell>
          <cell r="R1069">
            <v>65</v>
          </cell>
          <cell r="S1069">
            <v>555</v>
          </cell>
          <cell r="T1069">
            <v>-10</v>
          </cell>
          <cell r="U1069">
            <v>50</v>
          </cell>
          <cell r="V1069">
            <v>95</v>
          </cell>
          <cell r="W1069">
            <v>1145</v>
          </cell>
          <cell r="X1069">
            <v>120</v>
          </cell>
          <cell r="Y1069">
            <v>1064</v>
          </cell>
          <cell r="Z1069">
            <v>-25</v>
          </cell>
          <cell r="AA1069">
            <v>81</v>
          </cell>
          <cell r="AB1069">
            <v>660</v>
          </cell>
          <cell r="AC1069">
            <v>620</v>
          </cell>
          <cell r="AD1069">
            <v>40</v>
          </cell>
          <cell r="AE1069">
            <v>1240</v>
          </cell>
          <cell r="AF1069">
            <v>1184</v>
          </cell>
          <cell r="AG1069">
            <v>56</v>
          </cell>
        </row>
        <row r="1070">
          <cell r="C1070">
            <v>41055741</v>
          </cell>
          <cell r="D1070" t="str">
            <v>GAWDE PATIL PETROLEUM</v>
          </cell>
          <cell r="E1070" t="str">
            <v>HPCL</v>
          </cell>
          <cell r="G1070" t="str">
            <v>Pimpri Chinchwad RSA</v>
          </cell>
          <cell r="J1070" t="str">
            <v>Alandi</v>
          </cell>
          <cell r="K1070" t="str">
            <v>Pune</v>
          </cell>
          <cell r="L1070" t="str">
            <v>A</v>
          </cell>
          <cell r="O1070" t="str">
            <v>B</v>
          </cell>
          <cell r="P1070">
            <v>95</v>
          </cell>
          <cell r="Q1070">
            <v>311</v>
          </cell>
          <cell r="R1070">
            <v>72</v>
          </cell>
          <cell r="S1070">
            <v>248</v>
          </cell>
          <cell r="T1070">
            <v>23</v>
          </cell>
          <cell r="U1070">
            <v>63</v>
          </cell>
          <cell r="V1070">
            <v>159</v>
          </cell>
          <cell r="W1070">
            <v>565</v>
          </cell>
          <cell r="X1070">
            <v>146</v>
          </cell>
          <cell r="Y1070">
            <v>522</v>
          </cell>
          <cell r="Z1070">
            <v>13</v>
          </cell>
          <cell r="AA1070">
            <v>43</v>
          </cell>
          <cell r="AB1070">
            <v>406</v>
          </cell>
          <cell r="AC1070">
            <v>320</v>
          </cell>
          <cell r="AD1070">
            <v>86</v>
          </cell>
          <cell r="AE1070">
            <v>724</v>
          </cell>
          <cell r="AF1070">
            <v>668</v>
          </cell>
          <cell r="AG1070">
            <v>56</v>
          </cell>
        </row>
        <row r="1071">
          <cell r="C1071">
            <v>41055742</v>
          </cell>
          <cell r="D1071" t="str">
            <v>SHRI GANESH PETROLEUM</v>
          </cell>
          <cell r="E1071" t="str">
            <v>HPCL</v>
          </cell>
          <cell r="G1071" t="str">
            <v>Pune Wagholi RSA</v>
          </cell>
          <cell r="J1071" t="str">
            <v>Awasari Khurd</v>
          </cell>
          <cell r="K1071" t="str">
            <v>Pune</v>
          </cell>
          <cell r="L1071" t="str">
            <v>E</v>
          </cell>
          <cell r="O1071" t="str">
            <v>A</v>
          </cell>
          <cell r="P1071">
            <v>42</v>
          </cell>
          <cell r="Q1071">
            <v>112</v>
          </cell>
          <cell r="R1071">
            <v>37</v>
          </cell>
          <cell r="S1071">
            <v>89</v>
          </cell>
          <cell r="T1071">
            <v>5</v>
          </cell>
          <cell r="U1071">
            <v>23</v>
          </cell>
          <cell r="V1071">
            <v>78</v>
          </cell>
          <cell r="W1071">
            <v>202</v>
          </cell>
          <cell r="X1071">
            <v>77</v>
          </cell>
          <cell r="Y1071">
            <v>189</v>
          </cell>
          <cell r="Z1071">
            <v>1</v>
          </cell>
          <cell r="AA1071">
            <v>13</v>
          </cell>
          <cell r="AB1071">
            <v>154</v>
          </cell>
          <cell r="AC1071">
            <v>126</v>
          </cell>
          <cell r="AD1071">
            <v>28</v>
          </cell>
          <cell r="AE1071">
            <v>280</v>
          </cell>
          <cell r="AF1071">
            <v>266</v>
          </cell>
          <cell r="AG1071">
            <v>14</v>
          </cell>
        </row>
        <row r="1072">
          <cell r="C1072">
            <v>41055743</v>
          </cell>
          <cell r="D1072" t="str">
            <v>SHREE GANESH PETROLEUM, UNDEWADI SUPE</v>
          </cell>
          <cell r="E1072" t="str">
            <v>HPCL</v>
          </cell>
          <cell r="G1072" t="str">
            <v>Pune Tathawade RSA</v>
          </cell>
          <cell r="J1072" t="str">
            <v>BARAMATI PATAS ROAD</v>
          </cell>
          <cell r="K1072" t="str">
            <v>Pune</v>
          </cell>
          <cell r="L1072" t="str">
            <v>D1</v>
          </cell>
          <cell r="M1072" t="str">
            <v>NH-160</v>
          </cell>
          <cell r="O1072" t="str">
            <v>B</v>
          </cell>
          <cell r="P1072">
            <v>32</v>
          </cell>
          <cell r="Q1072">
            <v>100</v>
          </cell>
          <cell r="R1072">
            <v>30</v>
          </cell>
          <cell r="S1072">
            <v>80</v>
          </cell>
          <cell r="T1072">
            <v>2</v>
          </cell>
          <cell r="U1072">
            <v>20</v>
          </cell>
          <cell r="V1072">
            <v>55</v>
          </cell>
          <cell r="W1072">
            <v>165</v>
          </cell>
          <cell r="X1072">
            <v>53</v>
          </cell>
          <cell r="Y1072">
            <v>145</v>
          </cell>
          <cell r="Z1072">
            <v>2</v>
          </cell>
          <cell r="AA1072">
            <v>20</v>
          </cell>
          <cell r="AB1072">
            <v>132</v>
          </cell>
          <cell r="AC1072">
            <v>110</v>
          </cell>
          <cell r="AD1072">
            <v>22</v>
          </cell>
          <cell r="AE1072">
            <v>220</v>
          </cell>
          <cell r="AF1072">
            <v>198</v>
          </cell>
          <cell r="AG1072">
            <v>22</v>
          </cell>
        </row>
        <row r="1073">
          <cell r="C1073">
            <v>41055745</v>
          </cell>
          <cell r="D1073" t="str">
            <v>GEETAI PETROLEUM, INAMGAON</v>
          </cell>
          <cell r="E1073" t="str">
            <v>HPCL</v>
          </cell>
          <cell r="G1073" t="str">
            <v>Pune Wagholi RSA</v>
          </cell>
          <cell r="J1073" t="str">
            <v>Shikrapur to Inamgaon</v>
          </cell>
          <cell r="K1073" t="str">
            <v>Pune</v>
          </cell>
          <cell r="L1073" t="str">
            <v>D1</v>
          </cell>
          <cell r="M1073" t="str">
            <v>NH-548D</v>
          </cell>
          <cell r="O1073" t="str">
            <v>B</v>
          </cell>
          <cell r="P1073">
            <v>32</v>
          </cell>
          <cell r="Q1073">
            <v>148</v>
          </cell>
          <cell r="R1073">
            <v>26</v>
          </cell>
          <cell r="S1073">
            <v>84</v>
          </cell>
          <cell r="T1073">
            <v>6</v>
          </cell>
          <cell r="U1073">
            <v>64</v>
          </cell>
          <cell r="V1073">
            <v>59</v>
          </cell>
          <cell r="W1073">
            <v>217</v>
          </cell>
          <cell r="X1073">
            <v>56</v>
          </cell>
          <cell r="Y1073">
            <v>166</v>
          </cell>
          <cell r="Z1073">
            <v>3</v>
          </cell>
          <cell r="AA1073">
            <v>51</v>
          </cell>
          <cell r="AB1073">
            <v>180</v>
          </cell>
          <cell r="AC1073">
            <v>110</v>
          </cell>
          <cell r="AD1073">
            <v>70</v>
          </cell>
          <cell r="AE1073">
            <v>276</v>
          </cell>
          <cell r="AF1073">
            <v>222</v>
          </cell>
          <cell r="AG1073">
            <v>54</v>
          </cell>
        </row>
        <row r="1074">
          <cell r="C1074">
            <v>41055746</v>
          </cell>
          <cell r="D1074" t="str">
            <v>SHANTAI SERVICE CENTRE</v>
          </cell>
          <cell r="E1074" t="str">
            <v>HPCL</v>
          </cell>
          <cell r="G1074" t="str">
            <v>Pune City RSA</v>
          </cell>
          <cell r="J1074" t="str">
            <v>VISHRANTWADI</v>
          </cell>
          <cell r="K1074" t="str">
            <v>Pune</v>
          </cell>
          <cell r="L1074" t="str">
            <v>A</v>
          </cell>
          <cell r="M1074" t="str">
            <v>NH-965</v>
          </cell>
          <cell r="O1074" t="str">
            <v>A</v>
          </cell>
          <cell r="P1074">
            <v>240</v>
          </cell>
          <cell r="Q1074">
            <v>120</v>
          </cell>
          <cell r="R1074">
            <v>195</v>
          </cell>
          <cell r="S1074">
            <v>105</v>
          </cell>
          <cell r="T1074">
            <v>45</v>
          </cell>
          <cell r="U1074">
            <v>15</v>
          </cell>
          <cell r="V1074">
            <v>425</v>
          </cell>
          <cell r="W1074">
            <v>215</v>
          </cell>
          <cell r="X1074">
            <v>380</v>
          </cell>
          <cell r="Y1074">
            <v>200</v>
          </cell>
          <cell r="Z1074">
            <v>45</v>
          </cell>
          <cell r="AA1074">
            <v>15</v>
          </cell>
          <cell r="AB1074">
            <v>360</v>
          </cell>
          <cell r="AC1074">
            <v>300</v>
          </cell>
          <cell r="AD1074">
            <v>60</v>
          </cell>
          <cell r="AE1074">
            <v>640</v>
          </cell>
          <cell r="AF1074">
            <v>580</v>
          </cell>
          <cell r="AG1074">
            <v>60</v>
          </cell>
        </row>
        <row r="1075">
          <cell r="C1075">
            <v>41055747</v>
          </cell>
          <cell r="D1075" t="str">
            <v>SINHAGAD PETROLEUM</v>
          </cell>
          <cell r="E1075" t="str">
            <v>HPCL</v>
          </cell>
          <cell r="G1075" t="str">
            <v>Pune City RSA</v>
          </cell>
          <cell r="J1075" t="str">
            <v>PANSHET ROAD</v>
          </cell>
          <cell r="K1075" t="str">
            <v>Pune</v>
          </cell>
          <cell r="L1075" t="str">
            <v>A</v>
          </cell>
          <cell r="O1075" t="str">
            <v>A</v>
          </cell>
          <cell r="P1075">
            <v>131</v>
          </cell>
          <cell r="Q1075">
            <v>345</v>
          </cell>
          <cell r="R1075">
            <v>133</v>
          </cell>
          <cell r="S1075">
            <v>154</v>
          </cell>
          <cell r="T1075">
            <v>-2</v>
          </cell>
          <cell r="U1075">
            <v>191</v>
          </cell>
          <cell r="V1075">
            <v>239</v>
          </cell>
          <cell r="W1075">
            <v>666</v>
          </cell>
          <cell r="X1075">
            <v>277</v>
          </cell>
          <cell r="Y1075">
            <v>322</v>
          </cell>
          <cell r="Z1075">
            <v>-38</v>
          </cell>
          <cell r="AA1075">
            <v>344</v>
          </cell>
          <cell r="AB1075">
            <v>476</v>
          </cell>
          <cell r="AC1075">
            <v>287</v>
          </cell>
          <cell r="AD1075">
            <v>189</v>
          </cell>
          <cell r="AE1075">
            <v>905</v>
          </cell>
          <cell r="AF1075">
            <v>599</v>
          </cell>
          <cell r="AG1075">
            <v>306</v>
          </cell>
        </row>
        <row r="1076">
          <cell r="C1076">
            <v>41055752</v>
          </cell>
          <cell r="D1076" t="str">
            <v>RAJESH FUEL CENTRE</v>
          </cell>
          <cell r="E1076" t="str">
            <v>HPCL</v>
          </cell>
          <cell r="G1076" t="str">
            <v>Pune Wagholi RSA</v>
          </cell>
          <cell r="J1076" t="str">
            <v>Ranjangaon to Shirur LHS</v>
          </cell>
          <cell r="K1076" t="str">
            <v>Pune</v>
          </cell>
          <cell r="L1076" t="str">
            <v>D1</v>
          </cell>
          <cell r="M1076" t="str">
            <v>NH-753F</v>
          </cell>
          <cell r="O1076" t="str">
            <v>A</v>
          </cell>
          <cell r="P1076">
            <v>49</v>
          </cell>
          <cell r="Q1076">
            <v>703</v>
          </cell>
          <cell r="R1076">
            <v>25</v>
          </cell>
          <cell r="S1076">
            <v>349</v>
          </cell>
          <cell r="T1076">
            <v>24</v>
          </cell>
          <cell r="U1076">
            <v>354</v>
          </cell>
          <cell r="V1076">
            <v>89</v>
          </cell>
          <cell r="W1076">
            <v>1125</v>
          </cell>
          <cell r="X1076">
            <v>54</v>
          </cell>
          <cell r="Y1076">
            <v>672</v>
          </cell>
          <cell r="Z1076">
            <v>35</v>
          </cell>
          <cell r="AA1076">
            <v>453</v>
          </cell>
          <cell r="AB1076">
            <v>752</v>
          </cell>
          <cell r="AC1076">
            <v>374</v>
          </cell>
          <cell r="AD1076">
            <v>378</v>
          </cell>
          <cell r="AE1076">
            <v>1214</v>
          </cell>
          <cell r="AF1076">
            <v>726</v>
          </cell>
          <cell r="AG1076">
            <v>488</v>
          </cell>
        </row>
        <row r="1077">
          <cell r="C1077">
            <v>41055753</v>
          </cell>
          <cell r="D1077" t="str">
            <v>RITESH PETROLEUM</v>
          </cell>
          <cell r="E1077" t="str">
            <v>HPCL</v>
          </cell>
          <cell r="G1077" t="str">
            <v>Pune Wagholi RSA</v>
          </cell>
          <cell r="J1077" t="str">
            <v>Shikrapur to Ranjangaon LHS</v>
          </cell>
          <cell r="K1077" t="str">
            <v>Pune</v>
          </cell>
          <cell r="L1077" t="str">
            <v>D1</v>
          </cell>
          <cell r="M1077" t="str">
            <v>NH-753F</v>
          </cell>
          <cell r="O1077" t="str">
            <v>A</v>
          </cell>
          <cell r="P1077">
            <v>20</v>
          </cell>
          <cell r="Q1077">
            <v>48</v>
          </cell>
          <cell r="R1077">
            <v>39</v>
          </cell>
          <cell r="S1077">
            <v>89</v>
          </cell>
          <cell r="T1077">
            <v>-19</v>
          </cell>
          <cell r="U1077">
            <v>-41</v>
          </cell>
          <cell r="V1077">
            <v>44</v>
          </cell>
          <cell r="W1077">
            <v>118</v>
          </cell>
          <cell r="X1077">
            <v>74</v>
          </cell>
          <cell r="Y1077">
            <v>176</v>
          </cell>
          <cell r="Z1077">
            <v>-30</v>
          </cell>
          <cell r="AA1077">
            <v>-58</v>
          </cell>
          <cell r="AB1077">
            <v>68</v>
          </cell>
          <cell r="AC1077">
            <v>128</v>
          </cell>
          <cell r="AD1077">
            <v>-60</v>
          </cell>
          <cell r="AE1077">
            <v>162</v>
          </cell>
          <cell r="AF1077">
            <v>250</v>
          </cell>
          <cell r="AG1077">
            <v>-88</v>
          </cell>
        </row>
        <row r="1078">
          <cell r="C1078">
            <v>41055757</v>
          </cell>
          <cell r="D1078" t="str">
            <v>PURANDAR MILK AND AGRO PRODUCTS LTD</v>
          </cell>
          <cell r="E1078" t="str">
            <v>HPCL</v>
          </cell>
          <cell r="G1078" t="str">
            <v>Pune Saswad RSA</v>
          </cell>
          <cell r="J1078" t="str">
            <v>Saswad-Jejuri Road</v>
          </cell>
          <cell r="K1078" t="str">
            <v>Pune</v>
          </cell>
          <cell r="L1078" t="str">
            <v>D1</v>
          </cell>
          <cell r="M1078" t="str">
            <v>NH-965</v>
          </cell>
          <cell r="O1078" t="str">
            <v>A</v>
          </cell>
          <cell r="P1078">
            <v>10</v>
          </cell>
          <cell r="Q1078">
            <v>18</v>
          </cell>
          <cell r="R1078">
            <v>30</v>
          </cell>
          <cell r="S1078">
            <v>44</v>
          </cell>
          <cell r="T1078">
            <v>-20</v>
          </cell>
          <cell r="U1078">
            <v>-26</v>
          </cell>
          <cell r="V1078">
            <v>20</v>
          </cell>
          <cell r="W1078">
            <v>36</v>
          </cell>
          <cell r="X1078">
            <v>60</v>
          </cell>
          <cell r="Y1078">
            <v>86</v>
          </cell>
          <cell r="Z1078">
            <v>-40</v>
          </cell>
          <cell r="AA1078">
            <v>-50</v>
          </cell>
          <cell r="AB1078">
            <v>28</v>
          </cell>
          <cell r="AC1078">
            <v>74</v>
          </cell>
          <cell r="AD1078">
            <v>-46</v>
          </cell>
          <cell r="AE1078">
            <v>56</v>
          </cell>
          <cell r="AF1078">
            <v>146</v>
          </cell>
          <cell r="AG1078">
            <v>-90</v>
          </cell>
        </row>
        <row r="1079">
          <cell r="C1079">
            <v>41055758</v>
          </cell>
          <cell r="D1079" t="str">
            <v>DAMALE PETROLEUM</v>
          </cell>
          <cell r="E1079" t="str">
            <v>HPCL</v>
          </cell>
          <cell r="G1079" t="str">
            <v>Pune City RSA</v>
          </cell>
          <cell r="J1079" t="str">
            <v>Akole-Mulshi</v>
          </cell>
          <cell r="K1079" t="str">
            <v>Pune</v>
          </cell>
          <cell r="L1079" t="str">
            <v>D1</v>
          </cell>
          <cell r="M1079" t="str">
            <v>NH-753F</v>
          </cell>
          <cell r="O1079" t="str">
            <v>A</v>
          </cell>
          <cell r="P1079">
            <v>47</v>
          </cell>
          <cell r="Q1079">
            <v>97</v>
          </cell>
          <cell r="R1079">
            <v>49</v>
          </cell>
          <cell r="S1079">
            <v>77</v>
          </cell>
          <cell r="T1079">
            <v>-2</v>
          </cell>
          <cell r="U1079">
            <v>20</v>
          </cell>
          <cell r="V1079">
            <v>89</v>
          </cell>
          <cell r="W1079">
            <v>167</v>
          </cell>
          <cell r="X1079">
            <v>87</v>
          </cell>
          <cell r="Y1079">
            <v>155</v>
          </cell>
          <cell r="Z1079">
            <v>2</v>
          </cell>
          <cell r="AA1079">
            <v>12</v>
          </cell>
          <cell r="AB1079">
            <v>144</v>
          </cell>
          <cell r="AC1079">
            <v>126</v>
          </cell>
          <cell r="AD1079">
            <v>18</v>
          </cell>
          <cell r="AE1079">
            <v>256</v>
          </cell>
          <cell r="AF1079">
            <v>242</v>
          </cell>
          <cell r="AG1079">
            <v>14</v>
          </cell>
        </row>
        <row r="1080">
          <cell r="C1080">
            <v>41055759</v>
          </cell>
          <cell r="D1080" t="str">
            <v>SHIVKRUPA PETROL DEPOT</v>
          </cell>
          <cell r="E1080" t="str">
            <v>HPCL</v>
          </cell>
          <cell r="G1080" t="str">
            <v>Pimpri Chinchwad RSA</v>
          </cell>
          <cell r="J1080" t="str">
            <v>Chakan Bhose</v>
          </cell>
          <cell r="K1080" t="str">
            <v>Pune</v>
          </cell>
          <cell r="L1080" t="str">
            <v>D1</v>
          </cell>
          <cell r="M1080" t="str">
            <v>NH-548D</v>
          </cell>
          <cell r="O1080" t="str">
            <v>A</v>
          </cell>
          <cell r="P1080">
            <v>30</v>
          </cell>
          <cell r="Q1080">
            <v>476</v>
          </cell>
          <cell r="R1080">
            <v>30</v>
          </cell>
          <cell r="S1080">
            <v>432</v>
          </cell>
          <cell r="T1080">
            <v>0</v>
          </cell>
          <cell r="U1080">
            <v>44</v>
          </cell>
          <cell r="V1080">
            <v>64</v>
          </cell>
          <cell r="W1080">
            <v>1014</v>
          </cell>
          <cell r="X1080">
            <v>65</v>
          </cell>
          <cell r="Y1080">
            <v>837</v>
          </cell>
          <cell r="Z1080">
            <v>-1</v>
          </cell>
          <cell r="AA1080">
            <v>177</v>
          </cell>
          <cell r="AB1080">
            <v>506</v>
          </cell>
          <cell r="AC1080">
            <v>462</v>
          </cell>
          <cell r="AD1080">
            <v>44</v>
          </cell>
          <cell r="AE1080">
            <v>1078</v>
          </cell>
          <cell r="AF1080">
            <v>902</v>
          </cell>
          <cell r="AG1080">
            <v>176</v>
          </cell>
        </row>
        <row r="1081">
          <cell r="C1081">
            <v>41055764</v>
          </cell>
          <cell r="D1081" t="str">
            <v>SHIVRAM PETROLEUM</v>
          </cell>
          <cell r="E1081" t="str">
            <v>HPCL</v>
          </cell>
          <cell r="G1081" t="str">
            <v>Pune Tathawade RSA</v>
          </cell>
          <cell r="J1081" t="str">
            <v>Nasrapur Velhe Road</v>
          </cell>
          <cell r="K1081" t="str">
            <v>Pune</v>
          </cell>
          <cell r="L1081" t="str">
            <v>D2</v>
          </cell>
          <cell r="O1081" t="str">
            <v>A</v>
          </cell>
          <cell r="P1081">
            <v>42</v>
          </cell>
          <cell r="Q1081">
            <v>76</v>
          </cell>
          <cell r="R1081">
            <v>38</v>
          </cell>
          <cell r="S1081">
            <v>48</v>
          </cell>
          <cell r="T1081">
            <v>4</v>
          </cell>
          <cell r="U1081">
            <v>28</v>
          </cell>
          <cell r="V1081">
            <v>77</v>
          </cell>
          <cell r="W1081">
            <v>131</v>
          </cell>
          <cell r="X1081">
            <v>71</v>
          </cell>
          <cell r="Y1081">
            <v>109</v>
          </cell>
          <cell r="Z1081">
            <v>6</v>
          </cell>
          <cell r="AA1081">
            <v>22</v>
          </cell>
          <cell r="AB1081">
            <v>118</v>
          </cell>
          <cell r="AC1081">
            <v>86</v>
          </cell>
          <cell r="AD1081">
            <v>32</v>
          </cell>
          <cell r="AE1081">
            <v>208</v>
          </cell>
          <cell r="AF1081">
            <v>180</v>
          </cell>
          <cell r="AG1081">
            <v>28</v>
          </cell>
        </row>
        <row r="1082">
          <cell r="C1082">
            <v>41055765</v>
          </cell>
          <cell r="D1082" t="str">
            <v>AMAR PETROLEUM</v>
          </cell>
          <cell r="E1082" t="str">
            <v>HPCL</v>
          </cell>
          <cell r="G1082" t="str">
            <v>Pimpri Chinchwad RSA</v>
          </cell>
          <cell r="J1082" t="str">
            <v>Shirgaon</v>
          </cell>
          <cell r="K1082" t="str">
            <v>Pune</v>
          </cell>
          <cell r="L1082" t="str">
            <v>C</v>
          </cell>
          <cell r="O1082" t="str">
            <v>B</v>
          </cell>
          <cell r="P1082">
            <v>71</v>
          </cell>
          <cell r="Q1082">
            <v>97</v>
          </cell>
          <cell r="R1082">
            <v>64</v>
          </cell>
          <cell r="S1082">
            <v>68</v>
          </cell>
          <cell r="T1082">
            <v>7</v>
          </cell>
          <cell r="U1082">
            <v>29</v>
          </cell>
          <cell r="V1082">
            <v>121</v>
          </cell>
          <cell r="W1082">
            <v>169</v>
          </cell>
          <cell r="X1082">
            <v>126</v>
          </cell>
          <cell r="Y1082">
            <v>138</v>
          </cell>
          <cell r="Z1082">
            <v>-5</v>
          </cell>
          <cell r="AA1082">
            <v>31</v>
          </cell>
          <cell r="AB1082">
            <v>168</v>
          </cell>
          <cell r="AC1082">
            <v>132</v>
          </cell>
          <cell r="AD1082">
            <v>36</v>
          </cell>
          <cell r="AE1082">
            <v>290</v>
          </cell>
          <cell r="AF1082">
            <v>264</v>
          </cell>
          <cell r="AG1082">
            <v>26</v>
          </cell>
        </row>
        <row r="1083">
          <cell r="C1083">
            <v>41055770</v>
          </cell>
          <cell r="D1083" t="str">
            <v>SHIV RATNA PETROLEUM</v>
          </cell>
          <cell r="E1083" t="str">
            <v>HPCL</v>
          </cell>
          <cell r="G1083" t="str">
            <v>Pune Tathawade RSA</v>
          </cell>
          <cell r="J1083" t="str">
            <v>BARAMATI INDAPUR ROAD</v>
          </cell>
          <cell r="K1083" t="str">
            <v>Pune</v>
          </cell>
          <cell r="L1083" t="str">
            <v>D1</v>
          </cell>
          <cell r="M1083" t="str">
            <v>NH-965G</v>
          </cell>
          <cell r="O1083" t="str">
            <v>B</v>
          </cell>
          <cell r="P1083">
            <v>130</v>
          </cell>
          <cell r="Q1083">
            <v>410</v>
          </cell>
          <cell r="R1083">
            <v>130</v>
          </cell>
          <cell r="S1083">
            <v>370</v>
          </cell>
          <cell r="T1083">
            <v>0</v>
          </cell>
          <cell r="U1083">
            <v>40</v>
          </cell>
          <cell r="V1083">
            <v>260</v>
          </cell>
          <cell r="W1083">
            <v>800</v>
          </cell>
          <cell r="X1083">
            <v>258</v>
          </cell>
          <cell r="Y1083">
            <v>714</v>
          </cell>
          <cell r="Z1083">
            <v>2</v>
          </cell>
          <cell r="AA1083">
            <v>86</v>
          </cell>
          <cell r="AB1083">
            <v>540</v>
          </cell>
          <cell r="AC1083">
            <v>500</v>
          </cell>
          <cell r="AD1083">
            <v>40</v>
          </cell>
          <cell r="AE1083">
            <v>1060</v>
          </cell>
          <cell r="AF1083">
            <v>972</v>
          </cell>
          <cell r="AG1083">
            <v>88</v>
          </cell>
        </row>
        <row r="1084">
          <cell r="C1084">
            <v>41055771</v>
          </cell>
          <cell r="D1084" t="str">
            <v>SIDDHESHWAR PETROLEUM</v>
          </cell>
          <cell r="E1084" t="str">
            <v>HPCL</v>
          </cell>
          <cell r="G1084" t="str">
            <v>Pune Tathawade RSA</v>
          </cell>
          <cell r="J1084" t="str">
            <v>Vadgaon Nimbalkar to Pandare</v>
          </cell>
          <cell r="K1084" t="str">
            <v>Pune</v>
          </cell>
          <cell r="L1084" t="str">
            <v>D2</v>
          </cell>
          <cell r="O1084" t="str">
            <v>A</v>
          </cell>
          <cell r="P1084">
            <v>6</v>
          </cell>
          <cell r="Q1084">
            <v>6</v>
          </cell>
          <cell r="R1084">
            <v>32</v>
          </cell>
          <cell r="S1084">
            <v>42</v>
          </cell>
          <cell r="T1084">
            <v>-26</v>
          </cell>
          <cell r="U1084">
            <v>-36</v>
          </cell>
          <cell r="V1084">
            <v>31</v>
          </cell>
          <cell r="W1084">
            <v>41</v>
          </cell>
          <cell r="X1084">
            <v>68</v>
          </cell>
          <cell r="Y1084">
            <v>102</v>
          </cell>
          <cell r="Z1084">
            <v>-37</v>
          </cell>
          <cell r="AA1084">
            <v>-61</v>
          </cell>
          <cell r="AB1084">
            <v>12</v>
          </cell>
          <cell r="AC1084">
            <v>74</v>
          </cell>
          <cell r="AD1084">
            <v>-62</v>
          </cell>
          <cell r="AE1084">
            <v>72</v>
          </cell>
          <cell r="AF1084">
            <v>170</v>
          </cell>
          <cell r="AG1084">
            <v>-98</v>
          </cell>
        </row>
        <row r="1085">
          <cell r="C1085">
            <v>41055772</v>
          </cell>
          <cell r="D1085" t="str">
            <v>VENKATESHA PETROLEUM</v>
          </cell>
          <cell r="E1085" t="str">
            <v>HPCL</v>
          </cell>
          <cell r="G1085" t="str">
            <v>Pune Wagholi RSA</v>
          </cell>
          <cell r="J1085" t="str">
            <v>Takli Hazi</v>
          </cell>
          <cell r="K1085" t="str">
            <v>Pune</v>
          </cell>
          <cell r="L1085" t="str">
            <v>E</v>
          </cell>
          <cell r="O1085" t="str">
            <v>A</v>
          </cell>
          <cell r="P1085">
            <v>46</v>
          </cell>
          <cell r="Q1085">
            <v>118</v>
          </cell>
          <cell r="R1085">
            <v>28</v>
          </cell>
          <cell r="S1085">
            <v>64</v>
          </cell>
          <cell r="T1085">
            <v>18</v>
          </cell>
          <cell r="U1085">
            <v>54</v>
          </cell>
          <cell r="V1085">
            <v>76</v>
          </cell>
          <cell r="W1085">
            <v>162</v>
          </cell>
          <cell r="X1085">
            <v>53</v>
          </cell>
          <cell r="Y1085">
            <v>127</v>
          </cell>
          <cell r="Z1085">
            <v>23</v>
          </cell>
          <cell r="AA1085">
            <v>35</v>
          </cell>
          <cell r="AB1085">
            <v>164</v>
          </cell>
          <cell r="AC1085">
            <v>92</v>
          </cell>
          <cell r="AD1085">
            <v>72</v>
          </cell>
          <cell r="AE1085">
            <v>238</v>
          </cell>
          <cell r="AF1085">
            <v>180</v>
          </cell>
          <cell r="AG1085">
            <v>58</v>
          </cell>
        </row>
        <row r="1086">
          <cell r="C1086">
            <v>41055773</v>
          </cell>
          <cell r="D1086" t="str">
            <v>ASHTAVINAYAK PETROLINKS</v>
          </cell>
          <cell r="E1086" t="str">
            <v>HPCL</v>
          </cell>
          <cell r="G1086" t="str">
            <v>Pune Wagholi RSA</v>
          </cell>
          <cell r="J1086" t="str">
            <v>Alephata to Ottur</v>
          </cell>
          <cell r="K1086" t="str">
            <v>Pune</v>
          </cell>
          <cell r="L1086" t="str">
            <v>D1</v>
          </cell>
          <cell r="M1086" t="str">
            <v>NH-61</v>
          </cell>
          <cell r="O1086" t="str">
            <v>A</v>
          </cell>
          <cell r="P1086">
            <v>95</v>
          </cell>
          <cell r="Q1086">
            <v>165</v>
          </cell>
          <cell r="R1086">
            <v>85</v>
          </cell>
          <cell r="S1086">
            <v>135</v>
          </cell>
          <cell r="T1086">
            <v>10</v>
          </cell>
          <cell r="U1086">
            <v>30</v>
          </cell>
          <cell r="V1086">
            <v>175</v>
          </cell>
          <cell r="W1086">
            <v>305</v>
          </cell>
          <cell r="X1086">
            <v>165</v>
          </cell>
          <cell r="Y1086">
            <v>275</v>
          </cell>
          <cell r="Z1086">
            <v>10</v>
          </cell>
          <cell r="AA1086">
            <v>30</v>
          </cell>
          <cell r="AB1086">
            <v>260</v>
          </cell>
          <cell r="AC1086">
            <v>220</v>
          </cell>
          <cell r="AD1086">
            <v>40</v>
          </cell>
          <cell r="AE1086">
            <v>480</v>
          </cell>
          <cell r="AF1086">
            <v>440</v>
          </cell>
          <cell r="AG1086">
            <v>40</v>
          </cell>
        </row>
        <row r="1087">
          <cell r="C1087">
            <v>41055775</v>
          </cell>
          <cell r="D1087" t="str">
            <v>TINGRE PETROLEUM</v>
          </cell>
          <cell r="E1087" t="str">
            <v>HPCL</v>
          </cell>
          <cell r="G1087" t="str">
            <v>Pimpri Chinchwad RSA</v>
          </cell>
          <cell r="J1087" t="str">
            <v>Bhosari</v>
          </cell>
          <cell r="K1087" t="str">
            <v>Pune</v>
          </cell>
          <cell r="L1087" t="str">
            <v>A</v>
          </cell>
          <cell r="O1087" t="str">
            <v>A</v>
          </cell>
          <cell r="P1087">
            <v>36</v>
          </cell>
          <cell r="Q1087">
            <v>12</v>
          </cell>
          <cell r="R1087">
            <v>60</v>
          </cell>
          <cell r="S1087">
            <v>34</v>
          </cell>
          <cell r="T1087">
            <v>-24</v>
          </cell>
          <cell r="U1087">
            <v>-22</v>
          </cell>
          <cell r="V1087">
            <v>84</v>
          </cell>
          <cell r="W1087">
            <v>24</v>
          </cell>
          <cell r="X1087">
            <v>120</v>
          </cell>
          <cell r="Y1087">
            <v>64</v>
          </cell>
          <cell r="Z1087">
            <v>-36</v>
          </cell>
          <cell r="AA1087">
            <v>-40</v>
          </cell>
          <cell r="AB1087">
            <v>48</v>
          </cell>
          <cell r="AC1087">
            <v>94</v>
          </cell>
          <cell r="AD1087">
            <v>-46</v>
          </cell>
          <cell r="AE1087">
            <v>108</v>
          </cell>
          <cell r="AF1087">
            <v>184</v>
          </cell>
          <cell r="AG1087">
            <v>-76</v>
          </cell>
        </row>
        <row r="1088">
          <cell r="C1088">
            <v>41055776</v>
          </cell>
          <cell r="D1088" t="str">
            <v>SHREE MADURJIT SEVA KENDRA</v>
          </cell>
          <cell r="E1088" t="str">
            <v>HPCL</v>
          </cell>
          <cell r="G1088" t="str">
            <v>Pimpri Chinchwad RSA</v>
          </cell>
          <cell r="J1088" t="str">
            <v>Chowisawadi</v>
          </cell>
          <cell r="K1088" t="str">
            <v>Pune</v>
          </cell>
          <cell r="L1088" t="str">
            <v>A</v>
          </cell>
          <cell r="M1088" t="str">
            <v>NH-50</v>
          </cell>
          <cell r="O1088" t="str">
            <v>A</v>
          </cell>
          <cell r="P1088">
            <v>84</v>
          </cell>
          <cell r="Q1088">
            <v>80</v>
          </cell>
          <cell r="R1088">
            <v>100</v>
          </cell>
          <cell r="S1088">
            <v>80</v>
          </cell>
          <cell r="T1088">
            <v>-16</v>
          </cell>
          <cell r="U1088">
            <v>0</v>
          </cell>
          <cell r="V1088">
            <v>158</v>
          </cell>
          <cell r="W1088">
            <v>146</v>
          </cell>
          <cell r="X1088">
            <v>190</v>
          </cell>
          <cell r="Y1088">
            <v>150</v>
          </cell>
          <cell r="Z1088">
            <v>-32</v>
          </cell>
          <cell r="AA1088">
            <v>-4</v>
          </cell>
          <cell r="AB1088">
            <v>164</v>
          </cell>
          <cell r="AC1088">
            <v>180</v>
          </cell>
          <cell r="AD1088">
            <v>-16</v>
          </cell>
          <cell r="AE1088">
            <v>304</v>
          </cell>
          <cell r="AF1088">
            <v>340</v>
          </cell>
          <cell r="AG1088">
            <v>-36</v>
          </cell>
        </row>
        <row r="1089">
          <cell r="C1089">
            <v>41055777</v>
          </cell>
          <cell r="D1089" t="str">
            <v>SHRI DYANMUKUT PETROL DEPOT</v>
          </cell>
          <cell r="E1089" t="str">
            <v>HPCL</v>
          </cell>
          <cell r="G1089" t="str">
            <v>Pimpri Chinchwad RSA</v>
          </cell>
          <cell r="J1089" t="str">
            <v>Chakan Bhose</v>
          </cell>
          <cell r="K1089" t="str">
            <v>Pune</v>
          </cell>
          <cell r="L1089" t="str">
            <v>D1</v>
          </cell>
          <cell r="M1089" t="str">
            <v>NH-548D</v>
          </cell>
          <cell r="O1089" t="str">
            <v>A</v>
          </cell>
          <cell r="P1089">
            <v>60</v>
          </cell>
          <cell r="Q1089">
            <v>364</v>
          </cell>
          <cell r="R1089">
            <v>50</v>
          </cell>
          <cell r="S1089">
            <v>310</v>
          </cell>
          <cell r="T1089">
            <v>10</v>
          </cell>
          <cell r="U1089">
            <v>54</v>
          </cell>
          <cell r="V1089">
            <v>105</v>
          </cell>
          <cell r="W1089">
            <v>699</v>
          </cell>
          <cell r="X1089">
            <v>110</v>
          </cell>
          <cell r="Y1089">
            <v>610</v>
          </cell>
          <cell r="Z1089">
            <v>-5</v>
          </cell>
          <cell r="AA1089">
            <v>89</v>
          </cell>
          <cell r="AB1089">
            <v>424</v>
          </cell>
          <cell r="AC1089">
            <v>360</v>
          </cell>
          <cell r="AD1089">
            <v>64</v>
          </cell>
          <cell r="AE1089">
            <v>804</v>
          </cell>
          <cell r="AF1089">
            <v>720</v>
          </cell>
          <cell r="AG1089">
            <v>84</v>
          </cell>
        </row>
        <row r="1090">
          <cell r="C1090">
            <v>41055779</v>
          </cell>
          <cell r="D1090" t="str">
            <v>SHAMBUDEV PETROLEUM</v>
          </cell>
          <cell r="E1090" t="str">
            <v>HPCL</v>
          </cell>
          <cell r="G1090" t="str">
            <v>Pune Tathawade RSA</v>
          </cell>
          <cell r="J1090" t="str">
            <v>Gunawadi</v>
          </cell>
          <cell r="K1090" t="str">
            <v>Pune</v>
          </cell>
          <cell r="L1090" t="str">
            <v>D2</v>
          </cell>
          <cell r="O1090" t="str">
            <v>A</v>
          </cell>
          <cell r="P1090">
            <v>0</v>
          </cell>
          <cell r="Q1090">
            <v>0</v>
          </cell>
          <cell r="R1090">
            <v>10</v>
          </cell>
          <cell r="S1090">
            <v>14</v>
          </cell>
          <cell r="T1090">
            <v>-10</v>
          </cell>
          <cell r="U1090">
            <v>-14</v>
          </cell>
          <cell r="V1090">
            <v>0</v>
          </cell>
          <cell r="W1090">
            <v>0</v>
          </cell>
          <cell r="X1090">
            <v>30</v>
          </cell>
          <cell r="Y1090">
            <v>30</v>
          </cell>
          <cell r="Z1090">
            <v>-30</v>
          </cell>
          <cell r="AA1090">
            <v>-30</v>
          </cell>
          <cell r="AB1090">
            <v>0</v>
          </cell>
          <cell r="AC1090">
            <v>24</v>
          </cell>
          <cell r="AD1090">
            <v>-24</v>
          </cell>
          <cell r="AE1090">
            <v>0</v>
          </cell>
          <cell r="AF1090">
            <v>60</v>
          </cell>
          <cell r="AG1090">
            <v>-60</v>
          </cell>
        </row>
        <row r="1091">
          <cell r="C1091">
            <v>41055780</v>
          </cell>
          <cell r="D1091" t="str">
            <v>JAY GANESH PETROLEUM</v>
          </cell>
          <cell r="E1091" t="str">
            <v>HPCL</v>
          </cell>
          <cell r="G1091" t="str">
            <v>Pune Saswad RSA</v>
          </cell>
          <cell r="J1091" t="str">
            <v>Jejuri - Nira Road</v>
          </cell>
          <cell r="K1091" t="str">
            <v>Pune</v>
          </cell>
          <cell r="L1091" t="str">
            <v>D1</v>
          </cell>
          <cell r="M1091" t="str">
            <v>NH-965</v>
          </cell>
          <cell r="O1091" t="str">
            <v>A</v>
          </cell>
          <cell r="P1091">
            <v>45</v>
          </cell>
          <cell r="Q1091">
            <v>95</v>
          </cell>
          <cell r="R1091">
            <v>45</v>
          </cell>
          <cell r="S1091">
            <v>95</v>
          </cell>
          <cell r="T1091">
            <v>0</v>
          </cell>
          <cell r="U1091">
            <v>0</v>
          </cell>
          <cell r="V1091">
            <v>100</v>
          </cell>
          <cell r="W1091">
            <v>180</v>
          </cell>
          <cell r="X1091">
            <v>90</v>
          </cell>
          <cell r="Y1091">
            <v>210</v>
          </cell>
          <cell r="Z1091">
            <v>10</v>
          </cell>
          <cell r="AA1091">
            <v>-30</v>
          </cell>
          <cell r="AB1091">
            <v>140</v>
          </cell>
          <cell r="AC1091">
            <v>140</v>
          </cell>
          <cell r="AD1091">
            <v>0</v>
          </cell>
          <cell r="AE1091">
            <v>280</v>
          </cell>
          <cell r="AF1091">
            <v>300</v>
          </cell>
          <cell r="AG1091">
            <v>-20</v>
          </cell>
        </row>
        <row r="1092">
          <cell r="C1092">
            <v>41055784</v>
          </cell>
          <cell r="D1092" t="str">
            <v>SHRI SHUBHIKA AUTO SERVICE</v>
          </cell>
          <cell r="E1092" t="str">
            <v>HPCL</v>
          </cell>
          <cell r="G1092" t="str">
            <v>Pune City RSA</v>
          </cell>
          <cell r="J1092" t="str">
            <v>Thergaon</v>
          </cell>
          <cell r="K1092" t="str">
            <v>Pune</v>
          </cell>
          <cell r="L1092" t="str">
            <v>A</v>
          </cell>
          <cell r="O1092" t="str">
            <v>B</v>
          </cell>
          <cell r="P1092">
            <v>123</v>
          </cell>
          <cell r="Q1092">
            <v>45</v>
          </cell>
          <cell r="R1092">
            <v>114</v>
          </cell>
          <cell r="S1092">
            <v>30</v>
          </cell>
          <cell r="T1092">
            <v>9</v>
          </cell>
          <cell r="U1092">
            <v>15</v>
          </cell>
          <cell r="V1092">
            <v>258</v>
          </cell>
          <cell r="W1092">
            <v>90</v>
          </cell>
          <cell r="X1092">
            <v>237</v>
          </cell>
          <cell r="Y1092">
            <v>63</v>
          </cell>
          <cell r="Z1092">
            <v>21</v>
          </cell>
          <cell r="AA1092">
            <v>27</v>
          </cell>
          <cell r="AB1092">
            <v>168</v>
          </cell>
          <cell r="AC1092">
            <v>144</v>
          </cell>
          <cell r="AD1092">
            <v>24</v>
          </cell>
          <cell r="AE1092">
            <v>348</v>
          </cell>
          <cell r="AF1092">
            <v>300</v>
          </cell>
          <cell r="AG1092">
            <v>48</v>
          </cell>
        </row>
        <row r="1093">
          <cell r="C1093">
            <v>41055791</v>
          </cell>
          <cell r="D1093" t="str">
            <v>OM SAI DUTTA PETROLEUM</v>
          </cell>
          <cell r="E1093" t="str">
            <v>HPCL</v>
          </cell>
          <cell r="G1093" t="str">
            <v>Pune Saswad RSA</v>
          </cell>
          <cell r="J1093" t="str">
            <v>Saswad-Narayanpur Road</v>
          </cell>
          <cell r="K1093" t="str">
            <v>Pune</v>
          </cell>
          <cell r="L1093" t="str">
            <v>D2</v>
          </cell>
          <cell r="O1093" t="str">
            <v>B</v>
          </cell>
          <cell r="P1093">
            <v>22</v>
          </cell>
          <cell r="Q1093">
            <v>54</v>
          </cell>
          <cell r="R1093">
            <v>21</v>
          </cell>
          <cell r="S1093">
            <v>39</v>
          </cell>
          <cell r="T1093">
            <v>1</v>
          </cell>
          <cell r="U1093">
            <v>15</v>
          </cell>
          <cell r="V1093">
            <v>37</v>
          </cell>
          <cell r="W1093">
            <v>87</v>
          </cell>
          <cell r="X1093">
            <v>38</v>
          </cell>
          <cell r="Y1093">
            <v>70</v>
          </cell>
          <cell r="Z1093">
            <v>-1</v>
          </cell>
          <cell r="AA1093">
            <v>17</v>
          </cell>
          <cell r="AB1093">
            <v>76</v>
          </cell>
          <cell r="AC1093">
            <v>60</v>
          </cell>
          <cell r="AD1093">
            <v>16</v>
          </cell>
          <cell r="AE1093">
            <v>124</v>
          </cell>
          <cell r="AF1093">
            <v>108</v>
          </cell>
          <cell r="AG1093">
            <v>16</v>
          </cell>
        </row>
        <row r="1094">
          <cell r="C1094">
            <v>41055792</v>
          </cell>
          <cell r="D1094" t="str">
            <v>SRI MORRAYA PETROLEUM</v>
          </cell>
          <cell r="E1094" t="str">
            <v>HPCL</v>
          </cell>
          <cell r="G1094" t="str">
            <v>Pune Tathawade RSA</v>
          </cell>
          <cell r="J1094" t="str">
            <v>MORGAON - JEJURI ROAD</v>
          </cell>
          <cell r="K1094" t="str">
            <v>Pune</v>
          </cell>
          <cell r="L1094" t="str">
            <v>D2</v>
          </cell>
          <cell r="O1094" t="str">
            <v>A</v>
          </cell>
          <cell r="P1094">
            <v>47</v>
          </cell>
          <cell r="Q1094">
            <v>191</v>
          </cell>
          <cell r="R1094">
            <v>46</v>
          </cell>
          <cell r="S1094">
            <v>136</v>
          </cell>
          <cell r="T1094">
            <v>1</v>
          </cell>
          <cell r="U1094">
            <v>55</v>
          </cell>
          <cell r="V1094">
            <v>90</v>
          </cell>
          <cell r="W1094">
            <v>358</v>
          </cell>
          <cell r="X1094">
            <v>84</v>
          </cell>
          <cell r="Y1094">
            <v>320</v>
          </cell>
          <cell r="Z1094">
            <v>6</v>
          </cell>
          <cell r="AA1094">
            <v>38</v>
          </cell>
          <cell r="AB1094">
            <v>238</v>
          </cell>
          <cell r="AC1094">
            <v>182</v>
          </cell>
          <cell r="AD1094">
            <v>56</v>
          </cell>
          <cell r="AE1094">
            <v>448</v>
          </cell>
          <cell r="AF1094">
            <v>404</v>
          </cell>
          <cell r="AG1094">
            <v>44</v>
          </cell>
        </row>
        <row r="1095">
          <cell r="C1095">
            <v>41055793</v>
          </cell>
          <cell r="D1095" t="str">
            <v>YOGAYOG KONDE DESHMUKH PETROLEUM</v>
          </cell>
          <cell r="E1095" t="str">
            <v>HPCL</v>
          </cell>
          <cell r="G1095" t="str">
            <v>Pune Tathawade RSA</v>
          </cell>
          <cell r="J1095" t="str">
            <v>KHED SHIVAPUR TO JAMBHULWADI</v>
          </cell>
          <cell r="K1095" t="str">
            <v>Pune</v>
          </cell>
          <cell r="L1095" t="str">
            <v>D1</v>
          </cell>
          <cell r="M1095" t="str">
            <v>NH-48</v>
          </cell>
          <cell r="O1095" t="str">
            <v>A</v>
          </cell>
          <cell r="P1095">
            <v>115</v>
          </cell>
          <cell r="Q1095">
            <v>385</v>
          </cell>
          <cell r="R1095">
            <v>110</v>
          </cell>
          <cell r="S1095">
            <v>390</v>
          </cell>
          <cell r="T1095">
            <v>5</v>
          </cell>
          <cell r="U1095">
            <v>-5</v>
          </cell>
          <cell r="V1095">
            <v>215</v>
          </cell>
          <cell r="W1095">
            <v>745</v>
          </cell>
          <cell r="X1095">
            <v>195</v>
          </cell>
          <cell r="Y1095">
            <v>765</v>
          </cell>
          <cell r="Z1095">
            <v>20</v>
          </cell>
          <cell r="AA1095">
            <v>-20</v>
          </cell>
          <cell r="AB1095">
            <v>500</v>
          </cell>
          <cell r="AC1095">
            <v>500</v>
          </cell>
          <cell r="AD1095">
            <v>0</v>
          </cell>
          <cell r="AE1095">
            <v>960</v>
          </cell>
          <cell r="AF1095">
            <v>960</v>
          </cell>
          <cell r="AG1095">
            <v>0</v>
          </cell>
        </row>
        <row r="1096">
          <cell r="C1096">
            <v>41055794</v>
          </cell>
          <cell r="D1096" t="str">
            <v>GANGA PETROLEUM</v>
          </cell>
          <cell r="E1096" t="str">
            <v>HPCL</v>
          </cell>
          <cell r="G1096" t="str">
            <v>Pune Wagholi RSA</v>
          </cell>
          <cell r="J1096" t="str">
            <v>Ranjangaon to Shirur RHS</v>
          </cell>
          <cell r="K1096" t="str">
            <v>Pune</v>
          </cell>
          <cell r="L1096" t="str">
            <v>D1</v>
          </cell>
          <cell r="M1096" t="str">
            <v>NH-753F</v>
          </cell>
          <cell r="O1096" t="str">
            <v>A</v>
          </cell>
          <cell r="P1096">
            <v>100</v>
          </cell>
          <cell r="Q1096">
            <v>322</v>
          </cell>
          <cell r="R1096">
            <v>98</v>
          </cell>
          <cell r="S1096">
            <v>262</v>
          </cell>
          <cell r="T1096">
            <v>2</v>
          </cell>
          <cell r="U1096">
            <v>60</v>
          </cell>
          <cell r="V1096">
            <v>198</v>
          </cell>
          <cell r="W1096">
            <v>564</v>
          </cell>
          <cell r="X1096">
            <v>182</v>
          </cell>
          <cell r="Y1096">
            <v>486</v>
          </cell>
          <cell r="Z1096">
            <v>16</v>
          </cell>
          <cell r="AA1096">
            <v>78</v>
          </cell>
          <cell r="AB1096">
            <v>422</v>
          </cell>
          <cell r="AC1096">
            <v>360</v>
          </cell>
          <cell r="AD1096">
            <v>62</v>
          </cell>
          <cell r="AE1096">
            <v>762</v>
          </cell>
          <cell r="AF1096">
            <v>668</v>
          </cell>
          <cell r="AG1096">
            <v>94</v>
          </cell>
        </row>
        <row r="1097">
          <cell r="C1097">
            <v>41055796</v>
          </cell>
          <cell r="D1097" t="str">
            <v>RAJGARH PETROLEUM</v>
          </cell>
          <cell r="E1097" t="str">
            <v>HPCL</v>
          </cell>
          <cell r="G1097" t="str">
            <v>Pune Tathawade RSA</v>
          </cell>
          <cell r="J1097" t="str">
            <v>KHEDSHIVAPUR TO HARISHCHANDRI</v>
          </cell>
          <cell r="K1097" t="str">
            <v>Pune</v>
          </cell>
          <cell r="L1097" t="str">
            <v>D1</v>
          </cell>
          <cell r="M1097" t="str">
            <v>NH-48</v>
          </cell>
          <cell r="O1097" t="str">
            <v>A</v>
          </cell>
          <cell r="P1097">
            <v>25</v>
          </cell>
          <cell r="Q1097">
            <v>167</v>
          </cell>
          <cell r="R1097">
            <v>39</v>
          </cell>
          <cell r="S1097">
            <v>147</v>
          </cell>
          <cell r="T1097">
            <v>-14</v>
          </cell>
          <cell r="U1097">
            <v>20</v>
          </cell>
          <cell r="V1097">
            <v>55</v>
          </cell>
          <cell r="W1097">
            <v>353</v>
          </cell>
          <cell r="X1097">
            <v>74</v>
          </cell>
          <cell r="Y1097">
            <v>266</v>
          </cell>
          <cell r="Z1097">
            <v>-19</v>
          </cell>
          <cell r="AA1097">
            <v>87</v>
          </cell>
          <cell r="AB1097">
            <v>192</v>
          </cell>
          <cell r="AC1097">
            <v>186</v>
          </cell>
          <cell r="AD1097">
            <v>6</v>
          </cell>
          <cell r="AE1097">
            <v>408</v>
          </cell>
          <cell r="AF1097">
            <v>340</v>
          </cell>
          <cell r="AG1097">
            <v>68</v>
          </cell>
        </row>
        <row r="1098">
          <cell r="C1098">
            <v>41055797</v>
          </cell>
          <cell r="D1098" t="str">
            <v>RAJMUDRA PETROLEUM</v>
          </cell>
          <cell r="E1098" t="str">
            <v>HPCL</v>
          </cell>
          <cell r="G1098" t="str">
            <v>Pune City RSA</v>
          </cell>
          <cell r="J1098" t="str">
            <v>KASARSAI</v>
          </cell>
          <cell r="K1098" t="str">
            <v>Pune</v>
          </cell>
          <cell r="L1098" t="str">
            <v>D2</v>
          </cell>
          <cell r="O1098" t="str">
            <v>A</v>
          </cell>
          <cell r="P1098">
            <v>0</v>
          </cell>
          <cell r="Q1098">
            <v>0</v>
          </cell>
          <cell r="R1098">
            <v>99</v>
          </cell>
          <cell r="S1098">
            <v>65</v>
          </cell>
          <cell r="T1098">
            <v>-99</v>
          </cell>
          <cell r="U1098">
            <v>-65</v>
          </cell>
          <cell r="V1098">
            <v>0</v>
          </cell>
          <cell r="W1098">
            <v>0</v>
          </cell>
          <cell r="X1098">
            <v>213</v>
          </cell>
          <cell r="Y1098">
            <v>149</v>
          </cell>
          <cell r="Z1098">
            <v>-213</v>
          </cell>
          <cell r="AA1098">
            <v>-149</v>
          </cell>
          <cell r="AB1098">
            <v>0</v>
          </cell>
          <cell r="AC1098">
            <v>164</v>
          </cell>
          <cell r="AD1098">
            <v>-164</v>
          </cell>
          <cell r="AE1098">
            <v>0</v>
          </cell>
          <cell r="AF1098">
            <v>362</v>
          </cell>
          <cell r="AG1098">
            <v>-362</v>
          </cell>
        </row>
        <row r="1099">
          <cell r="C1099">
            <v>41055800</v>
          </cell>
          <cell r="D1099" t="str">
            <v>DHUMAL PETROLEUM</v>
          </cell>
          <cell r="E1099" t="str">
            <v>HPCL</v>
          </cell>
          <cell r="G1099" t="str">
            <v>Pune Saswad RSA</v>
          </cell>
          <cell r="J1099" t="str">
            <v>bhigwan-rashin road</v>
          </cell>
          <cell r="K1099" t="str">
            <v>Pune</v>
          </cell>
          <cell r="L1099" t="str">
            <v>D2</v>
          </cell>
          <cell r="O1099" t="str">
            <v>A</v>
          </cell>
          <cell r="P1099">
            <v>45</v>
          </cell>
          <cell r="Q1099">
            <v>153</v>
          </cell>
          <cell r="R1099">
            <v>33</v>
          </cell>
          <cell r="S1099">
            <v>87</v>
          </cell>
          <cell r="T1099">
            <v>12</v>
          </cell>
          <cell r="U1099">
            <v>66</v>
          </cell>
          <cell r="V1099">
            <v>81</v>
          </cell>
          <cell r="W1099">
            <v>255</v>
          </cell>
          <cell r="X1099">
            <v>76</v>
          </cell>
          <cell r="Y1099">
            <v>176</v>
          </cell>
          <cell r="Z1099">
            <v>5</v>
          </cell>
          <cell r="AA1099">
            <v>79</v>
          </cell>
          <cell r="AB1099">
            <v>198</v>
          </cell>
          <cell r="AC1099">
            <v>120</v>
          </cell>
          <cell r="AD1099">
            <v>78</v>
          </cell>
          <cell r="AE1099">
            <v>336</v>
          </cell>
          <cell r="AF1099">
            <v>252</v>
          </cell>
          <cell r="AG1099">
            <v>84</v>
          </cell>
        </row>
        <row r="1100">
          <cell r="C1100">
            <v>41055801</v>
          </cell>
          <cell r="D1100" t="str">
            <v>PANCHRATNA SERVICE STATION(A G Modi &amp; sons)</v>
          </cell>
          <cell r="E1100" t="str">
            <v>HPCL</v>
          </cell>
          <cell r="G1100" t="str">
            <v>Pune City RSA</v>
          </cell>
          <cell r="J1100" t="str">
            <v>WELLESLY ROAD</v>
          </cell>
          <cell r="K1100" t="str">
            <v>Pune</v>
          </cell>
          <cell r="L1100" t="str">
            <v>A</v>
          </cell>
          <cell r="O1100" t="str">
            <v>A</v>
          </cell>
          <cell r="P1100">
            <v>119</v>
          </cell>
          <cell r="Q1100">
            <v>69</v>
          </cell>
          <cell r="R1100">
            <v>145</v>
          </cell>
          <cell r="S1100">
            <v>95</v>
          </cell>
          <cell r="T1100">
            <v>-26</v>
          </cell>
          <cell r="U1100">
            <v>-26</v>
          </cell>
          <cell r="V1100">
            <v>163</v>
          </cell>
          <cell r="W1100">
            <v>99</v>
          </cell>
          <cell r="X1100">
            <v>285</v>
          </cell>
          <cell r="Y1100">
            <v>175</v>
          </cell>
          <cell r="Z1100">
            <v>-122</v>
          </cell>
          <cell r="AA1100">
            <v>-76</v>
          </cell>
          <cell r="AB1100">
            <v>188</v>
          </cell>
          <cell r="AC1100">
            <v>240</v>
          </cell>
          <cell r="AD1100">
            <v>-52</v>
          </cell>
          <cell r="AE1100">
            <v>262</v>
          </cell>
          <cell r="AF1100">
            <v>460</v>
          </cell>
          <cell r="AG1100">
            <v>-198</v>
          </cell>
        </row>
        <row r="1101">
          <cell r="C1101">
            <v>41055812</v>
          </cell>
          <cell r="D1101" t="str">
            <v>SHRINATH PETROLEUM</v>
          </cell>
          <cell r="E1101" t="str">
            <v>HPCL</v>
          </cell>
          <cell r="G1101" t="str">
            <v>Pune Hadapsar RSA</v>
          </cell>
          <cell r="J1101" t="str">
            <v>Daund-City</v>
          </cell>
          <cell r="K1101" t="str">
            <v>Pune</v>
          </cell>
          <cell r="L1101" t="str">
            <v>D2</v>
          </cell>
          <cell r="O1101" t="str">
            <v>B</v>
          </cell>
          <cell r="P1101">
            <v>19</v>
          </cell>
          <cell r="Q1101">
            <v>53</v>
          </cell>
          <cell r="R1101">
            <v>13</v>
          </cell>
          <cell r="S1101">
            <v>29</v>
          </cell>
          <cell r="T1101">
            <v>6</v>
          </cell>
          <cell r="U1101">
            <v>24</v>
          </cell>
          <cell r="V1101">
            <v>31</v>
          </cell>
          <cell r="W1101">
            <v>89</v>
          </cell>
          <cell r="X1101">
            <v>32</v>
          </cell>
          <cell r="Y1101">
            <v>78</v>
          </cell>
          <cell r="Z1101">
            <v>-1</v>
          </cell>
          <cell r="AA1101">
            <v>11</v>
          </cell>
          <cell r="AB1101">
            <v>72</v>
          </cell>
          <cell r="AC1101">
            <v>42</v>
          </cell>
          <cell r="AD1101">
            <v>30</v>
          </cell>
          <cell r="AE1101">
            <v>120</v>
          </cell>
          <cell r="AF1101">
            <v>110</v>
          </cell>
          <cell r="AG1101">
            <v>10</v>
          </cell>
        </row>
        <row r="1102">
          <cell r="C1102">
            <v>41055814</v>
          </cell>
          <cell r="D1102" t="str">
            <v>SAI SIDDHI PETROLEUM</v>
          </cell>
          <cell r="E1102" t="str">
            <v>HPCL</v>
          </cell>
          <cell r="G1102" t="str">
            <v>Pune Wagholi RSA</v>
          </cell>
          <cell r="J1102" t="str">
            <v>Gosai Pabal</v>
          </cell>
          <cell r="K1102" t="str">
            <v>Pune</v>
          </cell>
          <cell r="L1102" t="str">
            <v>E</v>
          </cell>
          <cell r="O1102" t="str">
            <v>A</v>
          </cell>
          <cell r="P1102">
            <v>44</v>
          </cell>
          <cell r="Q1102">
            <v>114</v>
          </cell>
          <cell r="R1102">
            <v>30</v>
          </cell>
          <cell r="S1102">
            <v>72</v>
          </cell>
          <cell r="T1102">
            <v>14</v>
          </cell>
          <cell r="U1102">
            <v>42</v>
          </cell>
          <cell r="V1102">
            <v>81</v>
          </cell>
          <cell r="W1102">
            <v>203</v>
          </cell>
          <cell r="X1102">
            <v>66</v>
          </cell>
          <cell r="Y1102">
            <v>142</v>
          </cell>
          <cell r="Z1102">
            <v>15</v>
          </cell>
          <cell r="AA1102">
            <v>61</v>
          </cell>
          <cell r="AB1102">
            <v>158</v>
          </cell>
          <cell r="AC1102">
            <v>102</v>
          </cell>
          <cell r="AD1102">
            <v>56</v>
          </cell>
          <cell r="AE1102">
            <v>284</v>
          </cell>
          <cell r="AF1102">
            <v>208</v>
          </cell>
          <cell r="AG1102">
            <v>76</v>
          </cell>
        </row>
        <row r="1103">
          <cell r="C1103">
            <v>41055815</v>
          </cell>
          <cell r="D1103" t="str">
            <v>N P PETROLEUM</v>
          </cell>
          <cell r="E1103" t="str">
            <v>HPCL</v>
          </cell>
          <cell r="G1103" t="str">
            <v>Pune Wagholi RSA</v>
          </cell>
          <cell r="J1103" t="str">
            <v>Shikrapur to Inamgaon</v>
          </cell>
          <cell r="K1103" t="str">
            <v>Pune</v>
          </cell>
          <cell r="L1103" t="str">
            <v>D1</v>
          </cell>
          <cell r="M1103" t="str">
            <v>NH-548D</v>
          </cell>
          <cell r="O1103" t="str">
            <v>A</v>
          </cell>
          <cell r="P1103">
            <v>70</v>
          </cell>
          <cell r="Q1103">
            <v>130</v>
          </cell>
          <cell r="R1103">
            <v>80</v>
          </cell>
          <cell r="S1103">
            <v>140</v>
          </cell>
          <cell r="T1103">
            <v>-10</v>
          </cell>
          <cell r="U1103">
            <v>-10</v>
          </cell>
          <cell r="V1103">
            <v>130</v>
          </cell>
          <cell r="W1103">
            <v>210</v>
          </cell>
          <cell r="X1103">
            <v>150</v>
          </cell>
          <cell r="Y1103">
            <v>270</v>
          </cell>
          <cell r="Z1103">
            <v>-20</v>
          </cell>
          <cell r="AA1103">
            <v>-60</v>
          </cell>
          <cell r="AB1103">
            <v>200</v>
          </cell>
          <cell r="AC1103">
            <v>220</v>
          </cell>
          <cell r="AD1103">
            <v>-20</v>
          </cell>
          <cell r="AE1103">
            <v>340</v>
          </cell>
          <cell r="AF1103">
            <v>420</v>
          </cell>
          <cell r="AG1103">
            <v>-80</v>
          </cell>
        </row>
        <row r="1104">
          <cell r="C1104">
            <v>41055816</v>
          </cell>
          <cell r="D1104" t="str">
            <v>TORNA PETROLEUM</v>
          </cell>
          <cell r="E1104" t="str">
            <v>HPCL</v>
          </cell>
          <cell r="G1104" t="str">
            <v>Pune Tathawade RSA</v>
          </cell>
          <cell r="J1104" t="str">
            <v>Nasrapur Velhe Road</v>
          </cell>
          <cell r="K1104" t="str">
            <v>Pune</v>
          </cell>
          <cell r="L1104" t="str">
            <v>D2</v>
          </cell>
          <cell r="O1104" t="str">
            <v>A</v>
          </cell>
          <cell r="P1104">
            <v>55</v>
          </cell>
          <cell r="Q1104">
            <v>119</v>
          </cell>
          <cell r="R1104">
            <v>48</v>
          </cell>
          <cell r="S1104">
            <v>92</v>
          </cell>
          <cell r="T1104">
            <v>7</v>
          </cell>
          <cell r="U1104">
            <v>27</v>
          </cell>
          <cell r="V1104">
            <v>100</v>
          </cell>
          <cell r="W1104">
            <v>214</v>
          </cell>
          <cell r="X1104">
            <v>87</v>
          </cell>
          <cell r="Y1104">
            <v>197</v>
          </cell>
          <cell r="Z1104">
            <v>13</v>
          </cell>
          <cell r="AA1104">
            <v>17</v>
          </cell>
          <cell r="AB1104">
            <v>174</v>
          </cell>
          <cell r="AC1104">
            <v>140</v>
          </cell>
          <cell r="AD1104">
            <v>34</v>
          </cell>
          <cell r="AE1104">
            <v>314</v>
          </cell>
          <cell r="AF1104">
            <v>284</v>
          </cell>
          <cell r="AG1104">
            <v>30</v>
          </cell>
        </row>
        <row r="1105">
          <cell r="C1105">
            <v>41055818</v>
          </cell>
          <cell r="D1105" t="str">
            <v>RAGHUNANDAN PETROLEUM</v>
          </cell>
          <cell r="E1105" t="str">
            <v>HPCL</v>
          </cell>
          <cell r="G1105" t="str">
            <v>Pune Wagholi RSA</v>
          </cell>
          <cell r="J1105" t="str">
            <v>Shikrapur to Inamgaon</v>
          </cell>
          <cell r="K1105" t="str">
            <v>Pune</v>
          </cell>
          <cell r="L1105" t="str">
            <v>D1</v>
          </cell>
          <cell r="M1105" t="str">
            <v>NH-548D</v>
          </cell>
          <cell r="O1105" t="str">
            <v>A</v>
          </cell>
          <cell r="P1105">
            <v>15</v>
          </cell>
          <cell r="Q1105">
            <v>59</v>
          </cell>
          <cell r="R1105">
            <v>16</v>
          </cell>
          <cell r="S1105">
            <v>44</v>
          </cell>
          <cell r="T1105">
            <v>-1</v>
          </cell>
          <cell r="U1105">
            <v>15</v>
          </cell>
          <cell r="V1105">
            <v>33</v>
          </cell>
          <cell r="W1105">
            <v>113</v>
          </cell>
          <cell r="X1105">
            <v>31</v>
          </cell>
          <cell r="Y1105">
            <v>101</v>
          </cell>
          <cell r="Z1105">
            <v>2</v>
          </cell>
          <cell r="AA1105">
            <v>12</v>
          </cell>
          <cell r="AB1105">
            <v>74</v>
          </cell>
          <cell r="AC1105">
            <v>60</v>
          </cell>
          <cell r="AD1105">
            <v>14</v>
          </cell>
          <cell r="AE1105">
            <v>146</v>
          </cell>
          <cell r="AF1105">
            <v>132</v>
          </cell>
          <cell r="AG1105">
            <v>14</v>
          </cell>
        </row>
        <row r="1106">
          <cell r="C1106">
            <v>41055820</v>
          </cell>
          <cell r="D1106" t="str">
            <v>SHRI SWAMI SAMARTH PETROL PUMP</v>
          </cell>
          <cell r="E1106" t="str">
            <v>HPCL</v>
          </cell>
          <cell r="G1106" t="str">
            <v>Pune Hadapsar RSA</v>
          </cell>
          <cell r="J1106" t="str">
            <v>SHINDAWANE</v>
          </cell>
          <cell r="K1106" t="str">
            <v>Pune</v>
          </cell>
          <cell r="L1106" t="str">
            <v>D2</v>
          </cell>
          <cell r="O1106" t="str">
            <v>A</v>
          </cell>
          <cell r="P1106">
            <v>34</v>
          </cell>
          <cell r="Q1106">
            <v>64</v>
          </cell>
          <cell r="R1106">
            <v>33</v>
          </cell>
          <cell r="S1106">
            <v>63</v>
          </cell>
          <cell r="T1106">
            <v>1</v>
          </cell>
          <cell r="U1106">
            <v>1</v>
          </cell>
          <cell r="V1106">
            <v>62</v>
          </cell>
          <cell r="W1106">
            <v>118</v>
          </cell>
          <cell r="X1106">
            <v>62</v>
          </cell>
          <cell r="Y1106">
            <v>114</v>
          </cell>
          <cell r="Z1106">
            <v>0</v>
          </cell>
          <cell r="AA1106">
            <v>4</v>
          </cell>
          <cell r="AB1106">
            <v>98</v>
          </cell>
          <cell r="AC1106">
            <v>96</v>
          </cell>
          <cell r="AD1106">
            <v>2</v>
          </cell>
          <cell r="AE1106">
            <v>180</v>
          </cell>
          <cell r="AF1106">
            <v>176</v>
          </cell>
          <cell r="AG1106">
            <v>4</v>
          </cell>
        </row>
        <row r="1107">
          <cell r="C1107">
            <v>41055821</v>
          </cell>
          <cell r="D1107" t="str">
            <v>SAI KRUPA PETROLEUM</v>
          </cell>
          <cell r="E1107" t="str">
            <v>HPCL</v>
          </cell>
          <cell r="G1107" t="str">
            <v>Pune Saswad RSA</v>
          </cell>
          <cell r="J1107" t="str">
            <v>ZENDEWADI</v>
          </cell>
          <cell r="K1107" t="str">
            <v>Pune</v>
          </cell>
          <cell r="L1107" t="str">
            <v>D1</v>
          </cell>
          <cell r="M1107" t="str">
            <v>NH-965</v>
          </cell>
          <cell r="O1107" t="str">
            <v>B</v>
          </cell>
          <cell r="P1107">
            <v>80</v>
          </cell>
          <cell r="Q1107">
            <v>220</v>
          </cell>
          <cell r="R1107">
            <v>60</v>
          </cell>
          <cell r="S1107">
            <v>320</v>
          </cell>
          <cell r="T1107">
            <v>20</v>
          </cell>
          <cell r="U1107">
            <v>-100</v>
          </cell>
          <cell r="V1107">
            <v>155</v>
          </cell>
          <cell r="W1107">
            <v>465</v>
          </cell>
          <cell r="X1107">
            <v>120</v>
          </cell>
          <cell r="Y1107">
            <v>600</v>
          </cell>
          <cell r="Z1107">
            <v>35</v>
          </cell>
          <cell r="AA1107">
            <v>-135</v>
          </cell>
          <cell r="AB1107">
            <v>300</v>
          </cell>
          <cell r="AC1107">
            <v>380</v>
          </cell>
          <cell r="AD1107">
            <v>-80</v>
          </cell>
          <cell r="AE1107">
            <v>620</v>
          </cell>
          <cell r="AF1107">
            <v>720</v>
          </cell>
          <cell r="AG1107">
            <v>-100</v>
          </cell>
        </row>
        <row r="1108">
          <cell r="C1108">
            <v>41055822</v>
          </cell>
          <cell r="D1108" t="str">
            <v xml:space="preserve">B M K SERVICE STATION </v>
          </cell>
          <cell r="E1108" t="str">
            <v>HPCL</v>
          </cell>
          <cell r="G1108" t="str">
            <v>Pimpri Chinchwad RSA</v>
          </cell>
          <cell r="J1108" t="str">
            <v>Talegaon MIDC</v>
          </cell>
          <cell r="K1108" t="str">
            <v>Pune</v>
          </cell>
          <cell r="L1108" t="str">
            <v>C</v>
          </cell>
          <cell r="O1108" t="str">
            <v>A</v>
          </cell>
          <cell r="P1108">
            <v>0</v>
          </cell>
          <cell r="Q1108">
            <v>0</v>
          </cell>
          <cell r="R1108">
            <v>35</v>
          </cell>
          <cell r="S1108">
            <v>165</v>
          </cell>
          <cell r="T1108">
            <v>-35</v>
          </cell>
          <cell r="U1108">
            <v>-165</v>
          </cell>
          <cell r="V1108">
            <v>0</v>
          </cell>
          <cell r="W1108">
            <v>0</v>
          </cell>
          <cell r="X1108">
            <v>55</v>
          </cell>
          <cell r="Y1108">
            <v>285</v>
          </cell>
          <cell r="Z1108">
            <v>-55</v>
          </cell>
          <cell r="AA1108">
            <v>-285</v>
          </cell>
          <cell r="AB1108">
            <v>0</v>
          </cell>
          <cell r="AC1108">
            <v>200</v>
          </cell>
          <cell r="AD1108">
            <v>-200</v>
          </cell>
          <cell r="AE1108">
            <v>0</v>
          </cell>
          <cell r="AF1108">
            <v>340</v>
          </cell>
          <cell r="AG1108">
            <v>-340</v>
          </cell>
        </row>
        <row r="1109">
          <cell r="C1109">
            <v>41055823</v>
          </cell>
          <cell r="D1109" t="str">
            <v>HARI OM PETROLEUM</v>
          </cell>
          <cell r="E1109" t="str">
            <v>HPCL</v>
          </cell>
          <cell r="G1109" t="str">
            <v>Pune Wagholi RSA</v>
          </cell>
          <cell r="J1109" t="str">
            <v>Loni to shikhrapur on belhe jejuri highway</v>
          </cell>
          <cell r="K1109" t="str">
            <v>Pune</v>
          </cell>
          <cell r="L1109" t="str">
            <v>D2</v>
          </cell>
          <cell r="O1109" t="str">
            <v>A</v>
          </cell>
          <cell r="P1109">
            <v>25</v>
          </cell>
          <cell r="Q1109">
            <v>45</v>
          </cell>
          <cell r="R1109">
            <v>43</v>
          </cell>
          <cell r="S1109">
            <v>69</v>
          </cell>
          <cell r="T1109">
            <v>-18</v>
          </cell>
          <cell r="U1109">
            <v>-24</v>
          </cell>
          <cell r="V1109">
            <v>48</v>
          </cell>
          <cell r="W1109">
            <v>92</v>
          </cell>
          <cell r="X1109">
            <v>91</v>
          </cell>
          <cell r="Y1109">
            <v>145</v>
          </cell>
          <cell r="Z1109">
            <v>-43</v>
          </cell>
          <cell r="AA1109">
            <v>-53</v>
          </cell>
          <cell r="AB1109">
            <v>70</v>
          </cell>
          <cell r="AC1109">
            <v>112</v>
          </cell>
          <cell r="AD1109">
            <v>-42</v>
          </cell>
          <cell r="AE1109">
            <v>140</v>
          </cell>
          <cell r="AF1109">
            <v>236</v>
          </cell>
          <cell r="AG1109">
            <v>-96</v>
          </cell>
        </row>
        <row r="1110">
          <cell r="C1110">
            <v>41055824</v>
          </cell>
          <cell r="D1110" t="str">
            <v>YASHODEEP PETROLEUM</v>
          </cell>
          <cell r="E1110" t="str">
            <v>HPCL</v>
          </cell>
          <cell r="G1110" t="str">
            <v>Pune Hadapsar RSA</v>
          </cell>
          <cell r="J1110" t="str">
            <v>CHOUFULLA-KHEDGAON</v>
          </cell>
          <cell r="K1110" t="str">
            <v>Pune</v>
          </cell>
          <cell r="L1110" t="str">
            <v>D2</v>
          </cell>
          <cell r="O1110" t="str">
            <v>B</v>
          </cell>
          <cell r="P1110">
            <v>11</v>
          </cell>
          <cell r="Q1110">
            <v>143</v>
          </cell>
          <cell r="R1110">
            <v>12</v>
          </cell>
          <cell r="S1110">
            <v>72</v>
          </cell>
          <cell r="T1110">
            <v>-1</v>
          </cell>
          <cell r="U1110">
            <v>71</v>
          </cell>
          <cell r="V1110">
            <v>21</v>
          </cell>
          <cell r="W1110">
            <v>293</v>
          </cell>
          <cell r="X1110">
            <v>20</v>
          </cell>
          <cell r="Y1110">
            <v>148</v>
          </cell>
          <cell r="Z1110">
            <v>1</v>
          </cell>
          <cell r="AA1110">
            <v>145</v>
          </cell>
          <cell r="AB1110">
            <v>154</v>
          </cell>
          <cell r="AC1110">
            <v>84</v>
          </cell>
          <cell r="AD1110">
            <v>70</v>
          </cell>
          <cell r="AE1110">
            <v>314</v>
          </cell>
          <cell r="AF1110">
            <v>168</v>
          </cell>
          <cell r="AG1110">
            <v>146</v>
          </cell>
        </row>
        <row r="1111">
          <cell r="C1111">
            <v>41055825</v>
          </cell>
          <cell r="D1111" t="str">
            <v>PHARATE PATIL PETROLEUM</v>
          </cell>
          <cell r="E1111" t="str">
            <v>HPCL</v>
          </cell>
          <cell r="G1111" t="str">
            <v>Pune Hadapsar RSA</v>
          </cell>
          <cell r="J1111" t="str">
            <v>Mandavgaon Farata</v>
          </cell>
          <cell r="K1111" t="str">
            <v>Pune</v>
          </cell>
          <cell r="L1111" t="str">
            <v>E</v>
          </cell>
          <cell r="O1111" t="str">
            <v>A</v>
          </cell>
          <cell r="P1111">
            <v>44</v>
          </cell>
          <cell r="Q1111">
            <v>142</v>
          </cell>
          <cell r="R1111">
            <v>40</v>
          </cell>
          <cell r="S1111">
            <v>112</v>
          </cell>
          <cell r="T1111">
            <v>4</v>
          </cell>
          <cell r="U1111">
            <v>30</v>
          </cell>
          <cell r="V1111">
            <v>78</v>
          </cell>
          <cell r="W1111">
            <v>244</v>
          </cell>
          <cell r="X1111">
            <v>79</v>
          </cell>
          <cell r="Y1111">
            <v>221</v>
          </cell>
          <cell r="Z1111">
            <v>-1</v>
          </cell>
          <cell r="AA1111">
            <v>23</v>
          </cell>
          <cell r="AB1111">
            <v>186</v>
          </cell>
          <cell r="AC1111">
            <v>152</v>
          </cell>
          <cell r="AD1111">
            <v>34</v>
          </cell>
          <cell r="AE1111">
            <v>322</v>
          </cell>
          <cell r="AF1111">
            <v>300</v>
          </cell>
          <cell r="AG1111">
            <v>22</v>
          </cell>
        </row>
        <row r="1112">
          <cell r="C1112">
            <v>41055826</v>
          </cell>
          <cell r="D1112" t="str">
            <v>MANE PETROLEUM</v>
          </cell>
          <cell r="E1112" t="str">
            <v>HPCL</v>
          </cell>
          <cell r="G1112" t="str">
            <v>Pune Saswad RSA</v>
          </cell>
          <cell r="J1112" t="str">
            <v>Indapur Bypass</v>
          </cell>
          <cell r="K1112" t="str">
            <v>Pune</v>
          </cell>
          <cell r="L1112" t="str">
            <v>D1</v>
          </cell>
          <cell r="M1112" t="str">
            <v>NH-65</v>
          </cell>
          <cell r="O1112" t="str">
            <v>B</v>
          </cell>
          <cell r="P1112">
            <v>90</v>
          </cell>
          <cell r="Q1112">
            <v>218</v>
          </cell>
          <cell r="R1112">
            <v>75</v>
          </cell>
          <cell r="S1112">
            <v>189</v>
          </cell>
          <cell r="T1112">
            <v>15</v>
          </cell>
          <cell r="U1112">
            <v>29</v>
          </cell>
          <cell r="V1112">
            <v>175</v>
          </cell>
          <cell r="W1112">
            <v>419</v>
          </cell>
          <cell r="X1112">
            <v>150</v>
          </cell>
          <cell r="Y1112">
            <v>400</v>
          </cell>
          <cell r="Z1112">
            <v>25</v>
          </cell>
          <cell r="AA1112">
            <v>19</v>
          </cell>
          <cell r="AB1112">
            <v>308</v>
          </cell>
          <cell r="AC1112">
            <v>264</v>
          </cell>
          <cell r="AD1112">
            <v>44</v>
          </cell>
          <cell r="AE1112">
            <v>594</v>
          </cell>
          <cell r="AF1112">
            <v>550</v>
          </cell>
          <cell r="AG1112">
            <v>44</v>
          </cell>
        </row>
        <row r="1113">
          <cell r="C1113">
            <v>41055827</v>
          </cell>
          <cell r="D1113" t="str">
            <v>DNYANESHWARI PETROLINK</v>
          </cell>
          <cell r="E1113" t="str">
            <v>HPCL</v>
          </cell>
          <cell r="G1113" t="str">
            <v>Pune Saswad RSA</v>
          </cell>
          <cell r="J1113" t="str">
            <v>Saswad-Bopdev-Pune Road</v>
          </cell>
          <cell r="K1113" t="str">
            <v>Pune</v>
          </cell>
          <cell r="L1113" t="str">
            <v>D2</v>
          </cell>
          <cell r="O1113" t="str">
            <v>B</v>
          </cell>
          <cell r="P1113">
            <v>96</v>
          </cell>
          <cell r="Q1113">
            <v>168</v>
          </cell>
          <cell r="R1113">
            <v>72</v>
          </cell>
          <cell r="S1113">
            <v>132</v>
          </cell>
          <cell r="T1113">
            <v>24</v>
          </cell>
          <cell r="U1113">
            <v>36</v>
          </cell>
          <cell r="V1113">
            <v>171</v>
          </cell>
          <cell r="W1113">
            <v>297</v>
          </cell>
          <cell r="X1113">
            <v>138</v>
          </cell>
          <cell r="Y1113">
            <v>258</v>
          </cell>
          <cell r="Z1113">
            <v>33</v>
          </cell>
          <cell r="AA1113">
            <v>39</v>
          </cell>
          <cell r="AB1113">
            <v>264</v>
          </cell>
          <cell r="AC1113">
            <v>204</v>
          </cell>
          <cell r="AD1113">
            <v>60</v>
          </cell>
          <cell r="AE1113">
            <v>468</v>
          </cell>
          <cell r="AF1113">
            <v>396</v>
          </cell>
          <cell r="AG1113">
            <v>72</v>
          </cell>
        </row>
        <row r="1114">
          <cell r="C1114">
            <v>41055833</v>
          </cell>
          <cell r="D1114" t="str">
            <v>RATNAPRABHA PETROLEUM</v>
          </cell>
          <cell r="E1114" t="str">
            <v>HPCL</v>
          </cell>
          <cell r="F1114" t="str">
            <v>2012-13</v>
          </cell>
          <cell r="G1114" t="str">
            <v>Pune Saswad RSA</v>
          </cell>
          <cell r="J1114" t="str">
            <v>WALCHANDNAGAR</v>
          </cell>
          <cell r="K1114" t="str">
            <v>Pune</v>
          </cell>
          <cell r="L1114" t="str">
            <v>D2</v>
          </cell>
          <cell r="O1114" t="str">
            <v>B</v>
          </cell>
          <cell r="P1114">
            <v>35</v>
          </cell>
          <cell r="Q1114">
            <v>49</v>
          </cell>
          <cell r="R1114">
            <v>34</v>
          </cell>
          <cell r="S1114">
            <v>34</v>
          </cell>
          <cell r="T1114">
            <v>1</v>
          </cell>
          <cell r="U1114">
            <v>15</v>
          </cell>
          <cell r="V1114">
            <v>61</v>
          </cell>
          <cell r="W1114">
            <v>91</v>
          </cell>
          <cell r="X1114">
            <v>58</v>
          </cell>
          <cell r="Y1114">
            <v>70</v>
          </cell>
          <cell r="Z1114">
            <v>3</v>
          </cell>
          <cell r="AA1114">
            <v>21</v>
          </cell>
          <cell r="AB1114">
            <v>84</v>
          </cell>
          <cell r="AC1114">
            <v>68</v>
          </cell>
          <cell r="AD1114">
            <v>16</v>
          </cell>
          <cell r="AE1114">
            <v>152</v>
          </cell>
          <cell r="AF1114">
            <v>128</v>
          </cell>
          <cell r="AG1114">
            <v>24</v>
          </cell>
        </row>
        <row r="1115">
          <cell r="C1115">
            <v>41055834</v>
          </cell>
          <cell r="D1115" t="str">
            <v>SHRI BALAJI PETROLEUM</v>
          </cell>
          <cell r="E1115" t="str">
            <v>HPCL</v>
          </cell>
          <cell r="F1115" t="str">
            <v>2012-13</v>
          </cell>
          <cell r="G1115" t="str">
            <v>Pune Hadapsar RSA</v>
          </cell>
          <cell r="J1115" t="str">
            <v>Kurkumbh LHS</v>
          </cell>
          <cell r="K1115" t="str">
            <v>Pune</v>
          </cell>
          <cell r="L1115" t="str">
            <v>D1</v>
          </cell>
          <cell r="M1115" t="str">
            <v>NH-65</v>
          </cell>
          <cell r="O1115" t="str">
            <v>B</v>
          </cell>
          <cell r="P1115">
            <v>17</v>
          </cell>
          <cell r="Q1115">
            <v>71</v>
          </cell>
          <cell r="R1115">
            <v>13</v>
          </cell>
          <cell r="S1115">
            <v>53</v>
          </cell>
          <cell r="T1115">
            <v>4</v>
          </cell>
          <cell r="U1115">
            <v>18</v>
          </cell>
          <cell r="V1115">
            <v>30</v>
          </cell>
          <cell r="W1115">
            <v>146</v>
          </cell>
          <cell r="X1115">
            <v>26</v>
          </cell>
          <cell r="Y1115">
            <v>128</v>
          </cell>
          <cell r="Z1115">
            <v>4</v>
          </cell>
          <cell r="AA1115">
            <v>18</v>
          </cell>
          <cell r="AB1115">
            <v>88</v>
          </cell>
          <cell r="AC1115">
            <v>66</v>
          </cell>
          <cell r="AD1115">
            <v>22</v>
          </cell>
          <cell r="AE1115">
            <v>176</v>
          </cell>
          <cell r="AF1115">
            <v>154</v>
          </cell>
          <cell r="AG1115">
            <v>22</v>
          </cell>
        </row>
        <row r="1116">
          <cell r="C1116">
            <v>41055835</v>
          </cell>
          <cell r="D1116" t="str">
            <v>SHRI MAHALAKSHMI PETROLEUM</v>
          </cell>
          <cell r="E1116" t="str">
            <v>HPCL</v>
          </cell>
          <cell r="F1116" t="str">
            <v>2012-13</v>
          </cell>
          <cell r="G1116" t="str">
            <v>Pune City RSA</v>
          </cell>
          <cell r="J1116" t="str">
            <v>KULE(NEAR PAUD)</v>
          </cell>
          <cell r="K1116" t="str">
            <v>Pune</v>
          </cell>
          <cell r="L1116" t="str">
            <v>D2</v>
          </cell>
          <cell r="O1116" t="str">
            <v>A</v>
          </cell>
          <cell r="P1116">
            <v>41</v>
          </cell>
          <cell r="Q1116">
            <v>99</v>
          </cell>
          <cell r="R1116">
            <v>65</v>
          </cell>
          <cell r="S1116">
            <v>99</v>
          </cell>
          <cell r="T1116">
            <v>-24</v>
          </cell>
          <cell r="U1116">
            <v>0</v>
          </cell>
          <cell r="V1116">
            <v>65</v>
          </cell>
          <cell r="W1116">
            <v>159</v>
          </cell>
          <cell r="X1116">
            <v>119</v>
          </cell>
          <cell r="Y1116">
            <v>193</v>
          </cell>
          <cell r="Z1116">
            <v>-54</v>
          </cell>
          <cell r="AA1116">
            <v>-34</v>
          </cell>
          <cell r="AB1116">
            <v>140</v>
          </cell>
          <cell r="AC1116">
            <v>164</v>
          </cell>
          <cell r="AD1116">
            <v>-24</v>
          </cell>
          <cell r="AE1116">
            <v>224</v>
          </cell>
          <cell r="AF1116">
            <v>312</v>
          </cell>
          <cell r="AG1116">
            <v>-88</v>
          </cell>
        </row>
        <row r="1117">
          <cell r="C1117">
            <v>41056005</v>
          </cell>
          <cell r="D1117" t="str">
            <v>Sunder Petroleum</v>
          </cell>
          <cell r="E1117" t="str">
            <v>HPCL</v>
          </cell>
          <cell r="G1117" t="str">
            <v>Ahmednagar East RSA</v>
          </cell>
          <cell r="J1117" t="str">
            <v>Shendi</v>
          </cell>
          <cell r="K1117" t="str">
            <v>Ahmednagar</v>
          </cell>
          <cell r="L1117" t="str">
            <v>D1</v>
          </cell>
          <cell r="M1117" t="str">
            <v>NH-753F</v>
          </cell>
          <cell r="O1117" t="str">
            <v>A</v>
          </cell>
          <cell r="P1117">
            <v>77</v>
          </cell>
          <cell r="Q1117">
            <v>217</v>
          </cell>
          <cell r="R1117">
            <v>70</v>
          </cell>
          <cell r="S1117">
            <v>210</v>
          </cell>
          <cell r="T1117">
            <v>7</v>
          </cell>
          <cell r="U1117">
            <v>7</v>
          </cell>
          <cell r="V1117">
            <v>136.5</v>
          </cell>
          <cell r="W1117">
            <v>409.5</v>
          </cell>
          <cell r="X1117">
            <v>140</v>
          </cell>
          <cell r="Y1117">
            <v>420</v>
          </cell>
          <cell r="Z1117">
            <v>-3.5</v>
          </cell>
          <cell r="AA1117">
            <v>-10.5</v>
          </cell>
          <cell r="AB1117">
            <v>294</v>
          </cell>
          <cell r="AC1117">
            <v>280</v>
          </cell>
          <cell r="AD1117">
            <v>14</v>
          </cell>
          <cell r="AE1117">
            <v>546</v>
          </cell>
          <cell r="AF1117">
            <v>560</v>
          </cell>
          <cell r="AG1117">
            <v>-14</v>
          </cell>
        </row>
        <row r="1118">
          <cell r="C1118">
            <v>41056052</v>
          </cell>
          <cell r="D1118" t="str">
            <v>OM PETROLEUM</v>
          </cell>
          <cell r="E1118" t="str">
            <v>HPCL</v>
          </cell>
          <cell r="G1118" t="str">
            <v>Pune Tathawade RSA</v>
          </cell>
          <cell r="J1118" t="str">
            <v>VADGAON TO KAMSHET</v>
          </cell>
          <cell r="K1118" t="str">
            <v>Pune</v>
          </cell>
          <cell r="L1118" t="str">
            <v>D1</v>
          </cell>
          <cell r="M1118" t="str">
            <v>NH-48</v>
          </cell>
          <cell r="O1118" t="str">
            <v>A</v>
          </cell>
          <cell r="P1118">
            <v>191</v>
          </cell>
          <cell r="Q1118">
            <v>1705</v>
          </cell>
          <cell r="R1118">
            <v>211</v>
          </cell>
          <cell r="S1118">
            <v>1343</v>
          </cell>
          <cell r="T1118">
            <v>-20</v>
          </cell>
          <cell r="U1118">
            <v>362</v>
          </cell>
          <cell r="V1118">
            <v>383</v>
          </cell>
          <cell r="W1118">
            <v>3641</v>
          </cell>
          <cell r="X1118">
            <v>401</v>
          </cell>
          <cell r="Y1118">
            <v>2597</v>
          </cell>
          <cell r="Z1118">
            <v>-18</v>
          </cell>
          <cell r="AA1118">
            <v>1044</v>
          </cell>
          <cell r="AB1118">
            <v>1896</v>
          </cell>
          <cell r="AC1118">
            <v>1554</v>
          </cell>
          <cell r="AD1118">
            <v>342</v>
          </cell>
          <cell r="AE1118">
            <v>4024</v>
          </cell>
          <cell r="AF1118">
            <v>2998</v>
          </cell>
          <cell r="AG1118">
            <v>1026</v>
          </cell>
        </row>
        <row r="1119">
          <cell r="C1119">
            <v>41056053</v>
          </cell>
          <cell r="D1119" t="str">
            <v>ANAND PETROLEUM</v>
          </cell>
          <cell r="E1119" t="str">
            <v>HPCL</v>
          </cell>
          <cell r="G1119" t="str">
            <v>Pune Wagholi RSA</v>
          </cell>
          <cell r="J1119" t="str">
            <v>Peth on NH RHS</v>
          </cell>
          <cell r="K1119" t="str">
            <v>Pune</v>
          </cell>
          <cell r="L1119" t="str">
            <v>D1</v>
          </cell>
          <cell r="M1119" t="str">
            <v>NH-60</v>
          </cell>
          <cell r="O1119" t="str">
            <v>A</v>
          </cell>
          <cell r="P1119">
            <v>121</v>
          </cell>
          <cell r="Q1119">
            <v>319</v>
          </cell>
          <cell r="R1119">
            <v>115</v>
          </cell>
          <cell r="S1119">
            <v>237</v>
          </cell>
          <cell r="T1119">
            <v>6</v>
          </cell>
          <cell r="U1119">
            <v>82</v>
          </cell>
          <cell r="V1119">
            <v>229</v>
          </cell>
          <cell r="W1119">
            <v>607</v>
          </cell>
          <cell r="X1119">
            <v>219</v>
          </cell>
          <cell r="Y1119">
            <v>485</v>
          </cell>
          <cell r="Z1119">
            <v>10</v>
          </cell>
          <cell r="AA1119">
            <v>122</v>
          </cell>
          <cell r="AB1119">
            <v>440</v>
          </cell>
          <cell r="AC1119">
            <v>352</v>
          </cell>
          <cell r="AD1119">
            <v>88</v>
          </cell>
          <cell r="AE1119">
            <v>836</v>
          </cell>
          <cell r="AF1119">
            <v>704</v>
          </cell>
          <cell r="AG1119">
            <v>132</v>
          </cell>
        </row>
        <row r="1120">
          <cell r="C1120">
            <v>41056058</v>
          </cell>
          <cell r="D1120" t="str">
            <v>OZAR FUEL CENTRE</v>
          </cell>
          <cell r="E1120" t="str">
            <v>HPCL</v>
          </cell>
          <cell r="G1120" t="str">
            <v>Pune Wagholi RSA</v>
          </cell>
          <cell r="J1120" t="str">
            <v>OZAR</v>
          </cell>
          <cell r="K1120" t="str">
            <v>Pune</v>
          </cell>
          <cell r="L1120" t="str">
            <v>E</v>
          </cell>
          <cell r="O1120" t="str">
            <v>A</v>
          </cell>
          <cell r="P1120">
            <v>50</v>
          </cell>
          <cell r="Q1120">
            <v>50</v>
          </cell>
          <cell r="R1120">
            <v>45</v>
          </cell>
          <cell r="S1120">
            <v>55</v>
          </cell>
          <cell r="T1120">
            <v>5</v>
          </cell>
          <cell r="U1120">
            <v>-5</v>
          </cell>
          <cell r="V1120">
            <v>85</v>
          </cell>
          <cell r="W1120">
            <v>115</v>
          </cell>
          <cell r="X1120">
            <v>85</v>
          </cell>
          <cell r="Y1120">
            <v>121</v>
          </cell>
          <cell r="Z1120">
            <v>0</v>
          </cell>
          <cell r="AA1120">
            <v>-6</v>
          </cell>
          <cell r="AB1120">
            <v>100</v>
          </cell>
          <cell r="AC1120">
            <v>100</v>
          </cell>
          <cell r="AD1120">
            <v>0</v>
          </cell>
          <cell r="AE1120">
            <v>200</v>
          </cell>
          <cell r="AF1120">
            <v>206</v>
          </cell>
          <cell r="AG1120">
            <v>-6</v>
          </cell>
        </row>
        <row r="1121">
          <cell r="C1121">
            <v>41056059</v>
          </cell>
          <cell r="D1121" t="str">
            <v>KRUTUJA PETROLEUM</v>
          </cell>
          <cell r="E1121" t="str">
            <v>HPCL</v>
          </cell>
          <cell r="G1121" t="str">
            <v>Pune Saswad RSA</v>
          </cell>
          <cell r="J1121" t="str">
            <v>JUNCTION</v>
          </cell>
          <cell r="K1121" t="str">
            <v>Pune</v>
          </cell>
          <cell r="L1121" t="str">
            <v>D1</v>
          </cell>
          <cell r="M1121" t="str">
            <v>NH-965G</v>
          </cell>
          <cell r="O1121" t="str">
            <v>A</v>
          </cell>
          <cell r="P1121">
            <v>58</v>
          </cell>
          <cell r="Q1121">
            <v>82</v>
          </cell>
          <cell r="R1121">
            <v>61</v>
          </cell>
          <cell r="S1121">
            <v>65</v>
          </cell>
          <cell r="T1121">
            <v>-3</v>
          </cell>
          <cell r="U1121">
            <v>17</v>
          </cell>
          <cell r="V1121">
            <v>115</v>
          </cell>
          <cell r="W1121">
            <v>165</v>
          </cell>
          <cell r="X1121">
            <v>106</v>
          </cell>
          <cell r="Y1121">
            <v>118</v>
          </cell>
          <cell r="Z1121">
            <v>9</v>
          </cell>
          <cell r="AA1121">
            <v>47</v>
          </cell>
          <cell r="AB1121">
            <v>140</v>
          </cell>
          <cell r="AC1121">
            <v>126</v>
          </cell>
          <cell r="AD1121">
            <v>14</v>
          </cell>
          <cell r="AE1121">
            <v>280</v>
          </cell>
          <cell r="AF1121">
            <v>224</v>
          </cell>
          <cell r="AG1121">
            <v>56</v>
          </cell>
        </row>
        <row r="1122">
          <cell r="C1122">
            <v>41056060</v>
          </cell>
          <cell r="D1122" t="str">
            <v>BALAJI PETROLEUM</v>
          </cell>
          <cell r="E1122" t="str">
            <v>HPCL</v>
          </cell>
          <cell r="G1122" t="str">
            <v>Pune City RSA</v>
          </cell>
          <cell r="J1122" t="str">
            <v>Wagholi</v>
          </cell>
          <cell r="K1122" t="str">
            <v>Pune</v>
          </cell>
          <cell r="L1122" t="str">
            <v>A</v>
          </cell>
          <cell r="M1122" t="str">
            <v>NH-753F</v>
          </cell>
          <cell r="O1122" t="str">
            <v>A</v>
          </cell>
          <cell r="P1122">
            <v>514</v>
          </cell>
          <cell r="Q1122">
            <v>723</v>
          </cell>
          <cell r="R1122">
            <v>581</v>
          </cell>
          <cell r="S1122">
            <v>678</v>
          </cell>
          <cell r="T1122">
            <v>-67</v>
          </cell>
          <cell r="U1122">
            <v>45</v>
          </cell>
          <cell r="V1122">
            <v>968</v>
          </cell>
          <cell r="W1122">
            <v>1384</v>
          </cell>
          <cell r="X1122">
            <v>1156</v>
          </cell>
          <cell r="Y1122">
            <v>1434</v>
          </cell>
          <cell r="Z1122">
            <v>-188</v>
          </cell>
          <cell r="AA1122">
            <v>-50</v>
          </cell>
          <cell r="AB1122">
            <v>1237</v>
          </cell>
          <cell r="AC1122">
            <v>1259</v>
          </cell>
          <cell r="AD1122">
            <v>-22</v>
          </cell>
          <cell r="AE1122">
            <v>2352</v>
          </cell>
          <cell r="AF1122">
            <v>2590</v>
          </cell>
          <cell r="AG1122">
            <v>-238</v>
          </cell>
        </row>
        <row r="1123">
          <cell r="C1123">
            <v>41056062</v>
          </cell>
          <cell r="D1123" t="str">
            <v>KHANDGE SERVICE STATION</v>
          </cell>
          <cell r="E1123" t="str">
            <v>HPCL</v>
          </cell>
          <cell r="G1123" t="str">
            <v>Pimpri Chinchwad RSA</v>
          </cell>
          <cell r="J1123" t="str">
            <v>Talegaon</v>
          </cell>
          <cell r="K1123" t="str">
            <v>Pune</v>
          </cell>
          <cell r="L1123" t="str">
            <v>E</v>
          </cell>
          <cell r="O1123" t="str">
            <v>B</v>
          </cell>
          <cell r="P1123">
            <v>137</v>
          </cell>
          <cell r="Q1123">
            <v>633</v>
          </cell>
          <cell r="R1123">
            <v>120</v>
          </cell>
          <cell r="S1123">
            <v>356</v>
          </cell>
          <cell r="T1123">
            <v>17</v>
          </cell>
          <cell r="U1123">
            <v>277</v>
          </cell>
          <cell r="V1123">
            <v>253</v>
          </cell>
          <cell r="W1123">
            <v>1289</v>
          </cell>
          <cell r="X1123">
            <v>235</v>
          </cell>
          <cell r="Y1123">
            <v>801</v>
          </cell>
          <cell r="Z1123">
            <v>18</v>
          </cell>
          <cell r="AA1123">
            <v>488</v>
          </cell>
          <cell r="AB1123">
            <v>770</v>
          </cell>
          <cell r="AC1123">
            <v>476</v>
          </cell>
          <cell r="AD1123">
            <v>294</v>
          </cell>
          <cell r="AE1123">
            <v>1542</v>
          </cell>
          <cell r="AF1123">
            <v>1036</v>
          </cell>
          <cell r="AG1123">
            <v>506</v>
          </cell>
        </row>
        <row r="1124">
          <cell r="C1124">
            <v>41056065</v>
          </cell>
          <cell r="D1124" t="str">
            <v>HIGHWAY KING</v>
          </cell>
          <cell r="E1124" t="str">
            <v>HPCL</v>
          </cell>
          <cell r="G1124" t="str">
            <v>Pimpri Chinchwad RSA</v>
          </cell>
          <cell r="J1124" t="str">
            <v xml:space="preserve">Sablewadi to shikhrapur </v>
          </cell>
          <cell r="K1124" t="str">
            <v>Pune</v>
          </cell>
          <cell r="L1124" t="str">
            <v>D1</v>
          </cell>
          <cell r="M1124" t="str">
            <v>NH-548D</v>
          </cell>
          <cell r="O1124" t="str">
            <v>A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12</v>
          </cell>
          <cell r="Z1124">
            <v>0</v>
          </cell>
          <cell r="AA1124">
            <v>-12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12</v>
          </cell>
          <cell r="AG1124">
            <v>-12</v>
          </cell>
        </row>
        <row r="1125">
          <cell r="C1125">
            <v>41056066</v>
          </cell>
          <cell r="D1125" t="str">
            <v>HARI OM PETROLEUM</v>
          </cell>
          <cell r="E1125" t="str">
            <v>HPCL</v>
          </cell>
          <cell r="G1125" t="str">
            <v>Satara East RSA</v>
          </cell>
          <cell r="J1125" t="str">
            <v>Wathar</v>
          </cell>
          <cell r="K1125" t="str">
            <v>Satara</v>
          </cell>
          <cell r="L1125" t="str">
            <v>D1</v>
          </cell>
          <cell r="M1125" t="str">
            <v>NH-965D</v>
          </cell>
          <cell r="O1125" t="str">
            <v>A</v>
          </cell>
          <cell r="P1125">
            <v>21</v>
          </cell>
          <cell r="Q1125">
            <v>27</v>
          </cell>
          <cell r="R1125">
            <v>24</v>
          </cell>
          <cell r="S1125">
            <v>24</v>
          </cell>
          <cell r="T1125">
            <v>-3</v>
          </cell>
          <cell r="U1125">
            <v>3</v>
          </cell>
          <cell r="V1125">
            <v>39</v>
          </cell>
          <cell r="W1125">
            <v>45</v>
          </cell>
          <cell r="X1125">
            <v>45</v>
          </cell>
          <cell r="Y1125">
            <v>51</v>
          </cell>
          <cell r="Z1125">
            <v>-6</v>
          </cell>
          <cell r="AA1125">
            <v>-6</v>
          </cell>
          <cell r="AB1125">
            <v>48</v>
          </cell>
          <cell r="AC1125">
            <v>48</v>
          </cell>
          <cell r="AD1125">
            <v>0</v>
          </cell>
          <cell r="AE1125">
            <v>84</v>
          </cell>
          <cell r="AF1125">
            <v>96</v>
          </cell>
          <cell r="AG1125">
            <v>-12</v>
          </cell>
        </row>
        <row r="1126">
          <cell r="C1126">
            <v>41056067</v>
          </cell>
          <cell r="D1126" t="str">
            <v>BHOSALE BROS PETROLEUM</v>
          </cell>
          <cell r="E1126" t="str">
            <v>HPCL</v>
          </cell>
          <cell r="G1126" t="str">
            <v>Pimpri Chinchwad RSA</v>
          </cell>
          <cell r="J1126" t="str">
            <v>Spine Road</v>
          </cell>
          <cell r="K1126" t="str">
            <v>Pune</v>
          </cell>
          <cell r="L1126" t="str">
            <v>C</v>
          </cell>
          <cell r="O1126" t="str">
            <v>A</v>
          </cell>
          <cell r="P1126">
            <v>348</v>
          </cell>
          <cell r="Q1126">
            <v>252</v>
          </cell>
          <cell r="R1126">
            <v>341</v>
          </cell>
          <cell r="S1126">
            <v>223</v>
          </cell>
          <cell r="T1126">
            <v>7</v>
          </cell>
          <cell r="U1126">
            <v>29</v>
          </cell>
          <cell r="V1126">
            <v>699</v>
          </cell>
          <cell r="W1126">
            <v>501</v>
          </cell>
          <cell r="X1126">
            <v>703</v>
          </cell>
          <cell r="Y1126">
            <v>455</v>
          </cell>
          <cell r="Z1126">
            <v>-4</v>
          </cell>
          <cell r="AA1126">
            <v>46</v>
          </cell>
          <cell r="AB1126">
            <v>600</v>
          </cell>
          <cell r="AC1126">
            <v>564</v>
          </cell>
          <cell r="AD1126">
            <v>36</v>
          </cell>
          <cell r="AE1126">
            <v>1200</v>
          </cell>
          <cell r="AF1126">
            <v>1158</v>
          </cell>
          <cell r="AG1126">
            <v>42</v>
          </cell>
        </row>
        <row r="1127">
          <cell r="C1127">
            <v>41056072</v>
          </cell>
          <cell r="D1127" t="str">
            <v>SAI  SAMARTH PETROLEUM</v>
          </cell>
          <cell r="E1127" t="str">
            <v>HPCL</v>
          </cell>
          <cell r="G1127" t="str">
            <v>Pune Wagholi RSA</v>
          </cell>
          <cell r="J1127" t="str">
            <v>Kadus</v>
          </cell>
          <cell r="K1127" t="str">
            <v>Pune</v>
          </cell>
          <cell r="L1127" t="str">
            <v>E</v>
          </cell>
          <cell r="O1127" t="str">
            <v>B</v>
          </cell>
          <cell r="P1127">
            <v>40</v>
          </cell>
          <cell r="Q1127">
            <v>128</v>
          </cell>
          <cell r="R1127">
            <v>42</v>
          </cell>
          <cell r="S1127">
            <v>84</v>
          </cell>
          <cell r="T1127">
            <v>-2</v>
          </cell>
          <cell r="U1127">
            <v>44</v>
          </cell>
          <cell r="V1127">
            <v>80</v>
          </cell>
          <cell r="W1127">
            <v>214</v>
          </cell>
          <cell r="X1127">
            <v>85</v>
          </cell>
          <cell r="Y1127">
            <v>167</v>
          </cell>
          <cell r="Z1127">
            <v>-5</v>
          </cell>
          <cell r="AA1127">
            <v>47</v>
          </cell>
          <cell r="AB1127">
            <v>168</v>
          </cell>
          <cell r="AC1127">
            <v>126</v>
          </cell>
          <cell r="AD1127">
            <v>42</v>
          </cell>
          <cell r="AE1127">
            <v>294</v>
          </cell>
          <cell r="AF1127">
            <v>252</v>
          </cell>
          <cell r="AG1127">
            <v>42</v>
          </cell>
        </row>
        <row r="1128">
          <cell r="C1128">
            <v>41056073</v>
          </cell>
          <cell r="D1128" t="str">
            <v>VITHUMAULI PETROLEUM</v>
          </cell>
          <cell r="E1128" t="str">
            <v>HPCL</v>
          </cell>
          <cell r="G1128" t="str">
            <v>Satara East RSA</v>
          </cell>
          <cell r="J1128" t="str">
            <v>Vidani</v>
          </cell>
          <cell r="K1128" t="str">
            <v>Satara</v>
          </cell>
          <cell r="L1128" t="str">
            <v>D1</v>
          </cell>
          <cell r="M1128" t="str">
            <v>NH-965</v>
          </cell>
          <cell r="O1128" t="str">
            <v>A</v>
          </cell>
          <cell r="P1128">
            <v>28</v>
          </cell>
          <cell r="Q1128">
            <v>258</v>
          </cell>
          <cell r="R1128">
            <v>20</v>
          </cell>
          <cell r="S1128">
            <v>20</v>
          </cell>
          <cell r="T1128">
            <v>8</v>
          </cell>
          <cell r="U1128">
            <v>238</v>
          </cell>
          <cell r="V1128">
            <v>53</v>
          </cell>
          <cell r="W1128">
            <v>391</v>
          </cell>
          <cell r="X1128">
            <v>46</v>
          </cell>
          <cell r="Y1128">
            <v>46</v>
          </cell>
          <cell r="Z1128">
            <v>7</v>
          </cell>
          <cell r="AA1128">
            <v>345</v>
          </cell>
          <cell r="AB1128">
            <v>286</v>
          </cell>
          <cell r="AC1128">
            <v>40</v>
          </cell>
          <cell r="AD1128">
            <v>246</v>
          </cell>
          <cell r="AE1128">
            <v>444</v>
          </cell>
          <cell r="AF1128">
            <v>92</v>
          </cell>
          <cell r="AG1128">
            <v>352</v>
          </cell>
        </row>
        <row r="1129">
          <cell r="C1129">
            <v>41056074</v>
          </cell>
          <cell r="D1129" t="str">
            <v>SANT TUKARAM PETROLEUM</v>
          </cell>
          <cell r="E1129" t="str">
            <v>HPCL</v>
          </cell>
          <cell r="G1129" t="str">
            <v>Pimpri Chinchwad RSA</v>
          </cell>
          <cell r="J1129" t="str">
            <v>Dehu Talegaon Road</v>
          </cell>
          <cell r="K1129" t="str">
            <v>Pune</v>
          </cell>
          <cell r="L1129" t="str">
            <v>C</v>
          </cell>
          <cell r="O1129" t="str">
            <v>B</v>
          </cell>
          <cell r="P1129">
            <v>102</v>
          </cell>
          <cell r="Q1129">
            <v>90</v>
          </cell>
          <cell r="R1129">
            <v>88</v>
          </cell>
          <cell r="S1129">
            <v>96</v>
          </cell>
          <cell r="T1129">
            <v>14</v>
          </cell>
          <cell r="U1129">
            <v>-6</v>
          </cell>
          <cell r="V1129">
            <v>184</v>
          </cell>
          <cell r="W1129">
            <v>172</v>
          </cell>
          <cell r="X1129">
            <v>175</v>
          </cell>
          <cell r="Y1129">
            <v>187</v>
          </cell>
          <cell r="Z1129">
            <v>9</v>
          </cell>
          <cell r="AA1129">
            <v>-15</v>
          </cell>
          <cell r="AB1129">
            <v>192</v>
          </cell>
          <cell r="AC1129">
            <v>184</v>
          </cell>
          <cell r="AD1129">
            <v>8</v>
          </cell>
          <cell r="AE1129">
            <v>356</v>
          </cell>
          <cell r="AF1129">
            <v>362</v>
          </cell>
          <cell r="AG1129">
            <v>-6</v>
          </cell>
        </row>
        <row r="1130">
          <cell r="C1130">
            <v>41056075</v>
          </cell>
          <cell r="D1130" t="str">
            <v>DOSHI PETROLEUM</v>
          </cell>
          <cell r="E1130" t="str">
            <v>HPCL</v>
          </cell>
          <cell r="G1130" t="str">
            <v>Pune Saswad RSA</v>
          </cell>
          <cell r="J1130" t="str">
            <v>BAVDA</v>
          </cell>
          <cell r="K1130" t="str">
            <v>Pune</v>
          </cell>
          <cell r="L1130" t="str">
            <v>D1</v>
          </cell>
          <cell r="M1130" t="str">
            <v>NH-965G</v>
          </cell>
          <cell r="O1130" t="str">
            <v>B</v>
          </cell>
          <cell r="P1130">
            <v>45</v>
          </cell>
          <cell r="Q1130">
            <v>81</v>
          </cell>
          <cell r="R1130">
            <v>40.5</v>
          </cell>
          <cell r="S1130">
            <v>49.5</v>
          </cell>
          <cell r="T1130">
            <v>4.5</v>
          </cell>
          <cell r="U1130">
            <v>31.5</v>
          </cell>
          <cell r="V1130">
            <v>85.5</v>
          </cell>
          <cell r="W1130">
            <v>148.5</v>
          </cell>
          <cell r="X1130">
            <v>76.5</v>
          </cell>
          <cell r="Y1130">
            <v>103.5</v>
          </cell>
          <cell r="Z1130">
            <v>9</v>
          </cell>
          <cell r="AA1130">
            <v>45</v>
          </cell>
          <cell r="AB1130">
            <v>126</v>
          </cell>
          <cell r="AC1130">
            <v>90</v>
          </cell>
          <cell r="AD1130">
            <v>36</v>
          </cell>
          <cell r="AE1130">
            <v>234</v>
          </cell>
          <cell r="AF1130">
            <v>180</v>
          </cell>
          <cell r="AG1130">
            <v>54</v>
          </cell>
        </row>
        <row r="1131">
          <cell r="C1131">
            <v>41056076</v>
          </cell>
          <cell r="D1131" t="str">
            <v>KEKAN PETROL JUNCTION</v>
          </cell>
          <cell r="E1131" t="str">
            <v>HPCL</v>
          </cell>
          <cell r="G1131" t="str">
            <v>Pune City RSA</v>
          </cell>
          <cell r="J1131" t="str">
            <v>VISHRANTWADI</v>
          </cell>
          <cell r="K1131" t="str">
            <v>Pune</v>
          </cell>
          <cell r="L1131" t="str">
            <v>A</v>
          </cell>
          <cell r="O1131" t="str">
            <v>A</v>
          </cell>
          <cell r="P1131">
            <v>320</v>
          </cell>
          <cell r="Q1131">
            <v>134</v>
          </cell>
          <cell r="R1131">
            <v>265</v>
          </cell>
          <cell r="S1131">
            <v>79</v>
          </cell>
          <cell r="T1131">
            <v>55</v>
          </cell>
          <cell r="U1131">
            <v>55</v>
          </cell>
          <cell r="V1131">
            <v>619</v>
          </cell>
          <cell r="W1131">
            <v>249</v>
          </cell>
          <cell r="X1131">
            <v>530</v>
          </cell>
          <cell r="Y1131">
            <v>174</v>
          </cell>
          <cell r="Z1131">
            <v>89</v>
          </cell>
          <cell r="AA1131">
            <v>75</v>
          </cell>
          <cell r="AB1131">
            <v>454</v>
          </cell>
          <cell r="AC1131">
            <v>344</v>
          </cell>
          <cell r="AD1131">
            <v>110</v>
          </cell>
          <cell r="AE1131">
            <v>868</v>
          </cell>
          <cell r="AF1131">
            <v>704</v>
          </cell>
          <cell r="AG1131">
            <v>164</v>
          </cell>
        </row>
        <row r="1132">
          <cell r="C1132">
            <v>41056077</v>
          </cell>
          <cell r="D1132" t="str">
            <v>SHIV SAI SIDDHI PETROLEUM</v>
          </cell>
          <cell r="E1132" t="str">
            <v>HPCL</v>
          </cell>
          <cell r="G1132" t="str">
            <v>Pune Hadapsar RSA</v>
          </cell>
          <cell r="J1132" t="str">
            <v>DAUND</v>
          </cell>
          <cell r="K1132" t="str">
            <v>Pune</v>
          </cell>
          <cell r="L1132" t="str">
            <v>D2</v>
          </cell>
          <cell r="O1132" t="str">
            <v>A</v>
          </cell>
          <cell r="P1132">
            <v>19</v>
          </cell>
          <cell r="Q1132">
            <v>85</v>
          </cell>
          <cell r="R1132">
            <v>10</v>
          </cell>
          <cell r="S1132">
            <v>28</v>
          </cell>
          <cell r="T1132">
            <v>9</v>
          </cell>
          <cell r="U1132">
            <v>57</v>
          </cell>
          <cell r="V1132">
            <v>29</v>
          </cell>
          <cell r="W1132">
            <v>125</v>
          </cell>
          <cell r="X1132">
            <v>19</v>
          </cell>
          <cell r="Y1132">
            <v>55</v>
          </cell>
          <cell r="Z1132">
            <v>10</v>
          </cell>
          <cell r="AA1132">
            <v>70</v>
          </cell>
          <cell r="AB1132">
            <v>104</v>
          </cell>
          <cell r="AC1132">
            <v>38</v>
          </cell>
          <cell r="AD1132">
            <v>66</v>
          </cell>
          <cell r="AE1132">
            <v>154</v>
          </cell>
          <cell r="AF1132">
            <v>74</v>
          </cell>
          <cell r="AG1132">
            <v>80</v>
          </cell>
        </row>
        <row r="1133">
          <cell r="C1133">
            <v>41056078</v>
          </cell>
          <cell r="D1133" t="str">
            <v>KRUSHNA PETROLEUM</v>
          </cell>
          <cell r="E1133" t="str">
            <v>HPCL</v>
          </cell>
          <cell r="G1133" t="str">
            <v>Pune City RSA</v>
          </cell>
          <cell r="J1133" t="str">
            <v>HINJEWADI</v>
          </cell>
          <cell r="K1133" t="str">
            <v>Pune</v>
          </cell>
          <cell r="L1133" t="str">
            <v>A</v>
          </cell>
          <cell r="O1133" t="str">
            <v>B</v>
          </cell>
          <cell r="P1133">
            <v>355</v>
          </cell>
          <cell r="Q1133">
            <v>205</v>
          </cell>
          <cell r="R1133">
            <v>332</v>
          </cell>
          <cell r="S1133">
            <v>216</v>
          </cell>
          <cell r="T1133">
            <v>23</v>
          </cell>
          <cell r="U1133">
            <v>-11</v>
          </cell>
          <cell r="V1133">
            <v>655</v>
          </cell>
          <cell r="W1133">
            <v>385</v>
          </cell>
          <cell r="X1133">
            <v>642</v>
          </cell>
          <cell r="Y1133">
            <v>386</v>
          </cell>
          <cell r="Z1133">
            <v>13</v>
          </cell>
          <cell r="AA1133">
            <v>-1</v>
          </cell>
          <cell r="AB1133">
            <v>560</v>
          </cell>
          <cell r="AC1133">
            <v>548</v>
          </cell>
          <cell r="AD1133">
            <v>12</v>
          </cell>
          <cell r="AE1133">
            <v>1040</v>
          </cell>
          <cell r="AF1133">
            <v>1028</v>
          </cell>
          <cell r="AG1133">
            <v>12</v>
          </cell>
        </row>
        <row r="1134">
          <cell r="C1134">
            <v>41056081</v>
          </cell>
          <cell r="D1134" t="str">
            <v>SHREE DATTA AUTOMOBILES</v>
          </cell>
          <cell r="E1134" t="str">
            <v>HPCL</v>
          </cell>
          <cell r="G1134" t="str">
            <v>Pune Wagholi RSA</v>
          </cell>
          <cell r="J1134" t="str">
            <v>Nimgaon Sava</v>
          </cell>
          <cell r="K1134" t="str">
            <v>Pune</v>
          </cell>
          <cell r="L1134" t="str">
            <v>E</v>
          </cell>
          <cell r="O1134" t="str">
            <v>A</v>
          </cell>
          <cell r="P1134">
            <v>24</v>
          </cell>
          <cell r="Q1134">
            <v>72</v>
          </cell>
          <cell r="R1134">
            <v>20</v>
          </cell>
          <cell r="S1134">
            <v>48</v>
          </cell>
          <cell r="T1134">
            <v>4</v>
          </cell>
          <cell r="U1134">
            <v>24</v>
          </cell>
          <cell r="V1134">
            <v>40</v>
          </cell>
          <cell r="W1134">
            <v>112</v>
          </cell>
          <cell r="X1134">
            <v>41</v>
          </cell>
          <cell r="Y1134">
            <v>89</v>
          </cell>
          <cell r="Z1134">
            <v>-1</v>
          </cell>
          <cell r="AA1134">
            <v>23</v>
          </cell>
          <cell r="AB1134">
            <v>96</v>
          </cell>
          <cell r="AC1134">
            <v>68</v>
          </cell>
          <cell r="AD1134">
            <v>28</v>
          </cell>
          <cell r="AE1134">
            <v>152</v>
          </cell>
          <cell r="AF1134">
            <v>130</v>
          </cell>
          <cell r="AG1134">
            <v>22</v>
          </cell>
        </row>
        <row r="1135">
          <cell r="C1135">
            <v>41056082</v>
          </cell>
          <cell r="D1135" t="str">
            <v>GUNJAL AUTOMOBILES</v>
          </cell>
          <cell r="E1135" t="str">
            <v>HPCL</v>
          </cell>
          <cell r="G1135" t="str">
            <v>Pune City RSA</v>
          </cell>
          <cell r="J1135" t="str">
            <v>Kalewadi</v>
          </cell>
          <cell r="K1135" t="str">
            <v>Pune</v>
          </cell>
          <cell r="L1135" t="str">
            <v>A</v>
          </cell>
          <cell r="O1135" t="str">
            <v>A</v>
          </cell>
          <cell r="P1135">
            <v>311</v>
          </cell>
          <cell r="Q1135">
            <v>141</v>
          </cell>
          <cell r="R1135">
            <v>270</v>
          </cell>
          <cell r="S1135">
            <v>96</v>
          </cell>
          <cell r="T1135">
            <v>41</v>
          </cell>
          <cell r="U1135">
            <v>45</v>
          </cell>
          <cell r="V1135">
            <v>586</v>
          </cell>
          <cell r="W1135">
            <v>236</v>
          </cell>
          <cell r="X1135">
            <v>554</v>
          </cell>
          <cell r="Y1135">
            <v>196</v>
          </cell>
          <cell r="Z1135">
            <v>32</v>
          </cell>
          <cell r="AA1135">
            <v>40</v>
          </cell>
          <cell r="AB1135">
            <v>452</v>
          </cell>
          <cell r="AC1135">
            <v>366</v>
          </cell>
          <cell r="AD1135">
            <v>86</v>
          </cell>
          <cell r="AE1135">
            <v>822</v>
          </cell>
          <cell r="AF1135">
            <v>750</v>
          </cell>
          <cell r="AG1135">
            <v>72</v>
          </cell>
        </row>
        <row r="1136">
          <cell r="C1136">
            <v>41056084</v>
          </cell>
          <cell r="D1136" t="str">
            <v>SHIVAM PETROLEUM</v>
          </cell>
          <cell r="E1136" t="str">
            <v>HPCL</v>
          </cell>
          <cell r="G1136" t="str">
            <v>Pune Wagholi RSA</v>
          </cell>
          <cell r="J1136" t="str">
            <v>Malthan</v>
          </cell>
          <cell r="K1136" t="str">
            <v>Pune</v>
          </cell>
          <cell r="L1136" t="str">
            <v>D2</v>
          </cell>
          <cell r="O1136" t="str">
            <v>A</v>
          </cell>
          <cell r="P1136">
            <v>55</v>
          </cell>
          <cell r="Q1136">
            <v>111</v>
          </cell>
          <cell r="R1136">
            <v>43</v>
          </cell>
          <cell r="S1136">
            <v>69</v>
          </cell>
          <cell r="T1136">
            <v>12</v>
          </cell>
          <cell r="U1136">
            <v>42</v>
          </cell>
          <cell r="V1136">
            <v>95</v>
          </cell>
          <cell r="W1136">
            <v>191</v>
          </cell>
          <cell r="X1136">
            <v>93</v>
          </cell>
          <cell r="Y1136">
            <v>149</v>
          </cell>
          <cell r="Z1136">
            <v>2</v>
          </cell>
          <cell r="AA1136">
            <v>42</v>
          </cell>
          <cell r="AB1136">
            <v>166</v>
          </cell>
          <cell r="AC1136">
            <v>112</v>
          </cell>
          <cell r="AD1136">
            <v>54</v>
          </cell>
          <cell r="AE1136">
            <v>286</v>
          </cell>
          <cell r="AF1136">
            <v>242</v>
          </cell>
          <cell r="AG1136">
            <v>44</v>
          </cell>
        </row>
        <row r="1137">
          <cell r="C1137">
            <v>41056085</v>
          </cell>
          <cell r="D1137" t="str">
            <v>MORE PETROLEUM</v>
          </cell>
          <cell r="E1137" t="str">
            <v>HPCL</v>
          </cell>
          <cell r="G1137" t="str">
            <v>Pune City RSA</v>
          </cell>
          <cell r="J1137" t="str">
            <v>WARJE/UTTAMNAGAR</v>
          </cell>
          <cell r="K1137" t="str">
            <v>Pune</v>
          </cell>
          <cell r="L1137" t="str">
            <v>A</v>
          </cell>
          <cell r="O1137" t="str">
            <v>A</v>
          </cell>
          <cell r="P1137">
            <v>161</v>
          </cell>
          <cell r="Q1137">
            <v>161</v>
          </cell>
          <cell r="R1137">
            <v>149</v>
          </cell>
          <cell r="S1137">
            <v>177</v>
          </cell>
          <cell r="T1137">
            <v>12</v>
          </cell>
          <cell r="U1137">
            <v>-16</v>
          </cell>
          <cell r="V1137">
            <v>304</v>
          </cell>
          <cell r="W1137">
            <v>294</v>
          </cell>
          <cell r="X1137">
            <v>290</v>
          </cell>
          <cell r="Y1137">
            <v>347</v>
          </cell>
          <cell r="Z1137">
            <v>14</v>
          </cell>
          <cell r="AA1137">
            <v>-53</v>
          </cell>
          <cell r="AB1137">
            <v>322</v>
          </cell>
          <cell r="AC1137">
            <v>326</v>
          </cell>
          <cell r="AD1137">
            <v>-4</v>
          </cell>
          <cell r="AE1137">
            <v>598</v>
          </cell>
          <cell r="AF1137">
            <v>637</v>
          </cell>
          <cell r="AG1137">
            <v>-39</v>
          </cell>
        </row>
        <row r="1138">
          <cell r="C1138">
            <v>41056086</v>
          </cell>
          <cell r="D1138" t="str">
            <v>HARE KRISHNA PETROLEUM</v>
          </cell>
          <cell r="E1138" t="str">
            <v>HPCL</v>
          </cell>
          <cell r="G1138" t="str">
            <v>Pimpri Chinchwad RSA</v>
          </cell>
          <cell r="J1138" t="str">
            <v>Induri</v>
          </cell>
          <cell r="K1138" t="str">
            <v>Pune</v>
          </cell>
          <cell r="L1138" t="str">
            <v>D1</v>
          </cell>
          <cell r="M1138" t="str">
            <v>NH-548D</v>
          </cell>
          <cell r="O1138" t="str">
            <v>B</v>
          </cell>
          <cell r="P1138">
            <v>41</v>
          </cell>
          <cell r="Q1138">
            <v>81</v>
          </cell>
          <cell r="R1138">
            <v>45</v>
          </cell>
          <cell r="S1138">
            <v>103</v>
          </cell>
          <cell r="T1138">
            <v>-4</v>
          </cell>
          <cell r="U1138">
            <v>-22</v>
          </cell>
          <cell r="V1138">
            <v>80</v>
          </cell>
          <cell r="W1138">
            <v>152</v>
          </cell>
          <cell r="X1138">
            <v>88</v>
          </cell>
          <cell r="Y1138">
            <v>208</v>
          </cell>
          <cell r="Z1138">
            <v>-8</v>
          </cell>
          <cell r="AA1138">
            <v>-56</v>
          </cell>
          <cell r="AB1138">
            <v>122</v>
          </cell>
          <cell r="AC1138">
            <v>148</v>
          </cell>
          <cell r="AD1138">
            <v>-26</v>
          </cell>
          <cell r="AE1138">
            <v>232</v>
          </cell>
          <cell r="AF1138">
            <v>296</v>
          </cell>
          <cell r="AG1138">
            <v>-64</v>
          </cell>
        </row>
        <row r="1139">
          <cell r="C1139">
            <v>41090502</v>
          </cell>
          <cell r="D1139" t="str">
            <v>ADHOC POKHARKAR PATIL PETROLEUM (AYUKA PETROLEUM-41056087)</v>
          </cell>
          <cell r="E1139" t="str">
            <v>HPCL</v>
          </cell>
          <cell r="G1139" t="str">
            <v>Pune Wagholi RSA</v>
          </cell>
          <cell r="J1139" t="str">
            <v>Nhawra Village SH</v>
          </cell>
          <cell r="K1139" t="str">
            <v>Pune</v>
          </cell>
          <cell r="L1139" t="str">
            <v>D2</v>
          </cell>
          <cell r="O1139" t="str">
            <v>A</v>
          </cell>
          <cell r="P1139">
            <v>30</v>
          </cell>
          <cell r="Q1139">
            <v>104</v>
          </cell>
          <cell r="R1139">
            <v>0</v>
          </cell>
          <cell r="S1139">
            <v>0</v>
          </cell>
          <cell r="T1139">
            <v>30</v>
          </cell>
          <cell r="U1139">
            <v>104</v>
          </cell>
          <cell r="V1139">
            <v>61</v>
          </cell>
          <cell r="W1139">
            <v>157</v>
          </cell>
          <cell r="X1139">
            <v>0</v>
          </cell>
          <cell r="Y1139">
            <v>0</v>
          </cell>
          <cell r="Z1139">
            <v>61</v>
          </cell>
          <cell r="AA1139">
            <v>157</v>
          </cell>
          <cell r="AB1139">
            <v>134</v>
          </cell>
          <cell r="AC1139">
            <v>0</v>
          </cell>
          <cell r="AD1139">
            <v>134</v>
          </cell>
          <cell r="AE1139">
            <v>218</v>
          </cell>
          <cell r="AF1139">
            <v>0</v>
          </cell>
          <cell r="AG1139">
            <v>218</v>
          </cell>
        </row>
        <row r="1140">
          <cell r="C1140">
            <v>41056093</v>
          </cell>
          <cell r="D1140" t="str">
            <v>SHRI. VENKATESHWARA PETROLEUM</v>
          </cell>
          <cell r="E1140" t="str">
            <v>HPCL</v>
          </cell>
          <cell r="G1140" t="str">
            <v>Pune City RSA</v>
          </cell>
          <cell r="J1140" t="str">
            <v>KHARADI BYPASS</v>
          </cell>
          <cell r="K1140" t="str">
            <v>Pune</v>
          </cell>
          <cell r="L1140" t="str">
            <v>A</v>
          </cell>
          <cell r="O1140" t="str">
            <v>A</v>
          </cell>
          <cell r="P1140">
            <v>375</v>
          </cell>
          <cell r="Q1140">
            <v>185</v>
          </cell>
          <cell r="R1140">
            <v>380</v>
          </cell>
          <cell r="S1140">
            <v>180</v>
          </cell>
          <cell r="T1140">
            <v>-5</v>
          </cell>
          <cell r="U1140">
            <v>5</v>
          </cell>
          <cell r="V1140">
            <v>720</v>
          </cell>
          <cell r="W1140">
            <v>360</v>
          </cell>
          <cell r="X1140">
            <v>780</v>
          </cell>
          <cell r="Y1140">
            <v>360</v>
          </cell>
          <cell r="Z1140">
            <v>-60</v>
          </cell>
          <cell r="AA1140">
            <v>0</v>
          </cell>
          <cell r="AB1140">
            <v>560</v>
          </cell>
          <cell r="AC1140">
            <v>560</v>
          </cell>
          <cell r="AD1140">
            <v>0</v>
          </cell>
          <cell r="AE1140">
            <v>1080</v>
          </cell>
          <cell r="AF1140">
            <v>1140</v>
          </cell>
          <cell r="AG1140">
            <v>-60</v>
          </cell>
        </row>
        <row r="1141">
          <cell r="C1141">
            <v>41056097</v>
          </cell>
          <cell r="D1141" t="str">
            <v>JAGTAP PATIL PETROLEUM</v>
          </cell>
          <cell r="E1141" t="str">
            <v>HPCL</v>
          </cell>
          <cell r="G1141" t="str">
            <v>Pune City RSA</v>
          </cell>
          <cell r="J1141" t="str">
            <v>Pimple Saudagar</v>
          </cell>
          <cell r="K1141" t="str">
            <v>Pune</v>
          </cell>
          <cell r="L1141" t="str">
            <v>A</v>
          </cell>
          <cell r="O1141" t="str">
            <v>A</v>
          </cell>
          <cell r="P1141">
            <v>179</v>
          </cell>
          <cell r="Q1141">
            <v>63</v>
          </cell>
          <cell r="R1141">
            <v>166</v>
          </cell>
          <cell r="S1141">
            <v>42</v>
          </cell>
          <cell r="T1141">
            <v>13</v>
          </cell>
          <cell r="U1141">
            <v>21</v>
          </cell>
          <cell r="V1141">
            <v>339</v>
          </cell>
          <cell r="W1141">
            <v>123</v>
          </cell>
          <cell r="X1141">
            <v>333</v>
          </cell>
          <cell r="Y1141">
            <v>93</v>
          </cell>
          <cell r="Z1141">
            <v>6</v>
          </cell>
          <cell r="AA1141">
            <v>30</v>
          </cell>
          <cell r="AB1141">
            <v>242</v>
          </cell>
          <cell r="AC1141">
            <v>208</v>
          </cell>
          <cell r="AD1141">
            <v>34</v>
          </cell>
          <cell r="AE1141">
            <v>462</v>
          </cell>
          <cell r="AF1141">
            <v>426</v>
          </cell>
          <cell r="AG1141">
            <v>36</v>
          </cell>
        </row>
        <row r="1142">
          <cell r="C1142">
            <v>41056098</v>
          </cell>
          <cell r="D1142" t="str">
            <v>SHREE SWAMI PETROL PUMP</v>
          </cell>
          <cell r="E1142" t="str">
            <v>HPCL</v>
          </cell>
          <cell r="G1142" t="str">
            <v>Pune Tathawade RSA</v>
          </cell>
          <cell r="J1142" t="str">
            <v>NARHE TO BAVDHAN</v>
          </cell>
          <cell r="K1142" t="str">
            <v>Pune</v>
          </cell>
          <cell r="L1142" t="str">
            <v>A</v>
          </cell>
          <cell r="M1142" t="str">
            <v>NH-48</v>
          </cell>
          <cell r="O1142" t="str">
            <v>A</v>
          </cell>
          <cell r="P1142">
            <v>274</v>
          </cell>
          <cell r="Q1142">
            <v>136</v>
          </cell>
          <cell r="R1142">
            <v>347</v>
          </cell>
          <cell r="S1142">
            <v>147</v>
          </cell>
          <cell r="T1142">
            <v>-73</v>
          </cell>
          <cell r="U1142">
            <v>-11</v>
          </cell>
          <cell r="V1142">
            <v>563</v>
          </cell>
          <cell r="W1142">
            <v>255</v>
          </cell>
          <cell r="X1142">
            <v>695</v>
          </cell>
          <cell r="Y1142">
            <v>303</v>
          </cell>
          <cell r="Z1142">
            <v>-132</v>
          </cell>
          <cell r="AA1142">
            <v>-48</v>
          </cell>
          <cell r="AB1142">
            <v>410</v>
          </cell>
          <cell r="AC1142">
            <v>494</v>
          </cell>
          <cell r="AD1142">
            <v>-84</v>
          </cell>
          <cell r="AE1142">
            <v>818</v>
          </cell>
          <cell r="AF1142">
            <v>998</v>
          </cell>
          <cell r="AG1142">
            <v>-180</v>
          </cell>
        </row>
        <row r="1143">
          <cell r="C1143">
            <v>41056099</v>
          </cell>
          <cell r="D1143" t="str">
            <v>MATA SITLADEVI SERVICE STATION</v>
          </cell>
          <cell r="E1143" t="str">
            <v>HPCL</v>
          </cell>
          <cell r="G1143" t="str">
            <v>Pimpri Chinchwad RSA</v>
          </cell>
          <cell r="J1143" t="str">
            <v>Dapodi</v>
          </cell>
          <cell r="K1143" t="str">
            <v>Pune</v>
          </cell>
          <cell r="L1143" t="str">
            <v>A</v>
          </cell>
          <cell r="O1143" t="str">
            <v>B</v>
          </cell>
          <cell r="P1143">
            <v>218</v>
          </cell>
          <cell r="Q1143">
            <v>66</v>
          </cell>
          <cell r="R1143">
            <v>220</v>
          </cell>
          <cell r="S1143">
            <v>56</v>
          </cell>
          <cell r="T1143">
            <v>-2</v>
          </cell>
          <cell r="U1143">
            <v>10</v>
          </cell>
          <cell r="V1143">
            <v>442</v>
          </cell>
          <cell r="W1143">
            <v>138</v>
          </cell>
          <cell r="X1143">
            <v>456</v>
          </cell>
          <cell r="Y1143">
            <v>124</v>
          </cell>
          <cell r="Z1143">
            <v>-14</v>
          </cell>
          <cell r="AA1143">
            <v>14</v>
          </cell>
          <cell r="AB1143">
            <v>284</v>
          </cell>
          <cell r="AC1143">
            <v>276</v>
          </cell>
          <cell r="AD1143">
            <v>8</v>
          </cell>
          <cell r="AE1143">
            <v>580</v>
          </cell>
          <cell r="AF1143">
            <v>580</v>
          </cell>
          <cell r="AG1143">
            <v>0</v>
          </cell>
        </row>
        <row r="1144">
          <cell r="C1144">
            <v>41056101</v>
          </cell>
          <cell r="D1144" t="str">
            <v>GAWDE PETROLEUM</v>
          </cell>
          <cell r="E1144" t="str">
            <v>HPCL</v>
          </cell>
          <cell r="G1144" t="str">
            <v>Pimpri Chinchwad RSA</v>
          </cell>
          <cell r="J1144" t="str">
            <v>Pimpri-Chinchwad Link Road</v>
          </cell>
          <cell r="K1144" t="str">
            <v>Pune</v>
          </cell>
          <cell r="L1144" t="str">
            <v>A</v>
          </cell>
          <cell r="O1144" t="str">
            <v>A</v>
          </cell>
          <cell r="P1144">
            <v>305</v>
          </cell>
          <cell r="Q1144">
            <v>127</v>
          </cell>
          <cell r="R1144">
            <v>265</v>
          </cell>
          <cell r="S1144">
            <v>95</v>
          </cell>
          <cell r="T1144">
            <v>40</v>
          </cell>
          <cell r="U1144">
            <v>32</v>
          </cell>
          <cell r="V1144">
            <v>585</v>
          </cell>
          <cell r="W1144">
            <v>255</v>
          </cell>
          <cell r="X1144">
            <v>545</v>
          </cell>
          <cell r="Y1144">
            <v>199</v>
          </cell>
          <cell r="Z1144">
            <v>40</v>
          </cell>
          <cell r="AA1144">
            <v>56</v>
          </cell>
          <cell r="AB1144">
            <v>432</v>
          </cell>
          <cell r="AC1144">
            <v>360</v>
          </cell>
          <cell r="AD1144">
            <v>72</v>
          </cell>
          <cell r="AE1144">
            <v>840</v>
          </cell>
          <cell r="AF1144">
            <v>744</v>
          </cell>
          <cell r="AG1144">
            <v>96</v>
          </cell>
        </row>
        <row r="1145">
          <cell r="C1145">
            <v>41056102</v>
          </cell>
          <cell r="D1145" t="str">
            <v>PAWNA PETROLEUM</v>
          </cell>
          <cell r="E1145" t="str">
            <v>HPCL</v>
          </cell>
          <cell r="G1145" t="str">
            <v>Pune Tathawade RSA</v>
          </cell>
          <cell r="J1145" t="str">
            <v>Thugaon-Kamshet Road</v>
          </cell>
          <cell r="K1145" t="str">
            <v>Pune</v>
          </cell>
          <cell r="L1145" t="str">
            <v>E</v>
          </cell>
          <cell r="O1145" t="str">
            <v>A</v>
          </cell>
          <cell r="P1145">
            <v>134</v>
          </cell>
          <cell r="Q1145">
            <v>342</v>
          </cell>
          <cell r="R1145">
            <v>123</v>
          </cell>
          <cell r="S1145">
            <v>237</v>
          </cell>
          <cell r="T1145">
            <v>11</v>
          </cell>
          <cell r="U1145">
            <v>105</v>
          </cell>
          <cell r="V1145">
            <v>241</v>
          </cell>
          <cell r="W1145">
            <v>603</v>
          </cell>
          <cell r="X1145">
            <v>234</v>
          </cell>
          <cell r="Y1145">
            <v>426</v>
          </cell>
          <cell r="Z1145">
            <v>7</v>
          </cell>
          <cell r="AA1145">
            <v>177</v>
          </cell>
          <cell r="AB1145">
            <v>476</v>
          </cell>
          <cell r="AC1145">
            <v>360</v>
          </cell>
          <cell r="AD1145">
            <v>116</v>
          </cell>
          <cell r="AE1145">
            <v>844</v>
          </cell>
          <cell r="AF1145">
            <v>660</v>
          </cell>
          <cell r="AG1145">
            <v>184</v>
          </cell>
        </row>
        <row r="1146">
          <cell r="C1146">
            <v>41058404</v>
          </cell>
          <cell r="D1146" t="str">
            <v>Sai Kaveri Petroleum</v>
          </cell>
          <cell r="E1146" t="str">
            <v>HPCL</v>
          </cell>
          <cell r="G1146" t="str">
            <v>Shirdi RSA</v>
          </cell>
          <cell r="J1146" t="str">
            <v>BABLESHWAR NH</v>
          </cell>
          <cell r="K1146" t="str">
            <v>Ahmednagar</v>
          </cell>
          <cell r="L1146" t="str">
            <v>D1</v>
          </cell>
          <cell r="M1146" t="str">
            <v>NH-160</v>
          </cell>
          <cell r="O1146" t="str">
            <v>B</v>
          </cell>
          <cell r="P1146">
            <v>18</v>
          </cell>
          <cell r="Q1146">
            <v>54</v>
          </cell>
          <cell r="R1146">
            <v>19</v>
          </cell>
          <cell r="S1146">
            <v>61</v>
          </cell>
          <cell r="T1146">
            <v>-1</v>
          </cell>
          <cell r="U1146">
            <v>-7</v>
          </cell>
          <cell r="V1146">
            <v>33</v>
          </cell>
          <cell r="W1146">
            <v>99</v>
          </cell>
          <cell r="X1146">
            <v>37</v>
          </cell>
          <cell r="Y1146">
            <v>139</v>
          </cell>
          <cell r="Z1146">
            <v>-4</v>
          </cell>
          <cell r="AA1146">
            <v>-40</v>
          </cell>
          <cell r="AB1146">
            <v>72</v>
          </cell>
          <cell r="AC1146">
            <v>80</v>
          </cell>
          <cell r="AD1146">
            <v>-8</v>
          </cell>
          <cell r="AE1146">
            <v>132</v>
          </cell>
          <cell r="AF1146">
            <v>176</v>
          </cell>
          <cell r="AG1146">
            <v>-44</v>
          </cell>
        </row>
        <row r="1147">
          <cell r="C1147">
            <v>41058423</v>
          </cell>
          <cell r="D1147" t="str">
            <v>Adhoc rahul (12528820) SAIRAJ PETROLEUM</v>
          </cell>
          <cell r="E1147" t="str">
            <v>HPCL</v>
          </cell>
          <cell r="G1147" t="str">
            <v>Pune Wagholi RSA</v>
          </cell>
          <cell r="J1147" t="str">
            <v>Peth Rural</v>
          </cell>
          <cell r="K1147" t="str">
            <v>Pune</v>
          </cell>
          <cell r="L1147" t="str">
            <v>E</v>
          </cell>
          <cell r="O1147" t="str">
            <v>B</v>
          </cell>
          <cell r="P1147">
            <v>46</v>
          </cell>
          <cell r="Q1147">
            <v>130</v>
          </cell>
          <cell r="R1147">
            <v>32</v>
          </cell>
          <cell r="S1147">
            <v>78</v>
          </cell>
          <cell r="T1147">
            <v>14</v>
          </cell>
          <cell r="U1147">
            <v>52</v>
          </cell>
          <cell r="V1147">
            <v>80</v>
          </cell>
          <cell r="W1147">
            <v>228</v>
          </cell>
          <cell r="X1147">
            <v>68</v>
          </cell>
          <cell r="Y1147">
            <v>196</v>
          </cell>
          <cell r="Z1147">
            <v>12</v>
          </cell>
          <cell r="AA1147">
            <v>32</v>
          </cell>
          <cell r="AB1147">
            <v>176</v>
          </cell>
          <cell r="AC1147">
            <v>110</v>
          </cell>
          <cell r="AD1147">
            <v>66</v>
          </cell>
          <cell r="AE1147">
            <v>308</v>
          </cell>
          <cell r="AF1147">
            <v>264</v>
          </cell>
          <cell r="AG1147">
            <v>44</v>
          </cell>
        </row>
        <row r="1148">
          <cell r="C1148">
            <v>41058466</v>
          </cell>
          <cell r="D1148" t="str">
            <v>MSHSD SHIVAM PETROLEUM</v>
          </cell>
          <cell r="E1148" t="str">
            <v>HPCL</v>
          </cell>
          <cell r="F1148" t="str">
            <v>2016-17</v>
          </cell>
          <cell r="G1148" t="str">
            <v>Satara West RSA</v>
          </cell>
          <cell r="J1148" t="str">
            <v>Sakurdi</v>
          </cell>
          <cell r="K1148" t="str">
            <v>Satara</v>
          </cell>
          <cell r="L1148" t="str">
            <v>D1</v>
          </cell>
          <cell r="M1148" t="str">
            <v>NH-166E</v>
          </cell>
          <cell r="O1148" t="str">
            <v>A</v>
          </cell>
          <cell r="P1148">
            <v>44.5</v>
          </cell>
          <cell r="Q1148">
            <v>51.5</v>
          </cell>
          <cell r="R1148">
            <v>0</v>
          </cell>
          <cell r="S1148">
            <v>0</v>
          </cell>
          <cell r="T1148">
            <v>44.5</v>
          </cell>
          <cell r="U1148">
            <v>51.5</v>
          </cell>
          <cell r="V1148">
            <v>72.5</v>
          </cell>
          <cell r="W1148">
            <v>79.5</v>
          </cell>
          <cell r="X1148">
            <v>0</v>
          </cell>
          <cell r="Y1148">
            <v>0</v>
          </cell>
          <cell r="Z1148">
            <v>72.5</v>
          </cell>
          <cell r="AA1148">
            <v>79.5</v>
          </cell>
          <cell r="AB1148">
            <v>96</v>
          </cell>
          <cell r="AC1148">
            <v>0</v>
          </cell>
          <cell r="AD1148">
            <v>96</v>
          </cell>
          <cell r="AE1148">
            <v>152</v>
          </cell>
          <cell r="AF1148">
            <v>0</v>
          </cell>
          <cell r="AG1148">
            <v>152</v>
          </cell>
        </row>
        <row r="1149">
          <cell r="C1149">
            <v>41058498</v>
          </cell>
          <cell r="D1149" t="str">
            <v>MINA PETROLEUM</v>
          </cell>
          <cell r="E1149" t="str">
            <v>HPCL</v>
          </cell>
          <cell r="F1149" t="str">
            <v>2022-23</v>
          </cell>
          <cell r="G1149" t="str">
            <v>Ahmednagar East RSA</v>
          </cell>
          <cell r="J1149" t="str">
            <v>Khadka Phata</v>
          </cell>
          <cell r="K1149" t="str">
            <v>Ahmednagar</v>
          </cell>
          <cell r="L1149" t="str">
            <v>D1</v>
          </cell>
          <cell r="M1149" t="str">
            <v>NH-753F</v>
          </cell>
          <cell r="O1149" t="str">
            <v>B</v>
          </cell>
          <cell r="P1149">
            <v>17</v>
          </cell>
          <cell r="Q1149">
            <v>55</v>
          </cell>
          <cell r="R1149">
            <v>28</v>
          </cell>
          <cell r="S1149">
            <v>64</v>
          </cell>
          <cell r="T1149">
            <v>-11</v>
          </cell>
          <cell r="U1149">
            <v>-9</v>
          </cell>
          <cell r="V1149">
            <v>34</v>
          </cell>
          <cell r="W1149">
            <v>98</v>
          </cell>
          <cell r="X1149">
            <v>40</v>
          </cell>
          <cell r="Y1149">
            <v>100</v>
          </cell>
          <cell r="Z1149">
            <v>-6</v>
          </cell>
          <cell r="AA1149">
            <v>-2</v>
          </cell>
          <cell r="AB1149">
            <v>72</v>
          </cell>
          <cell r="AC1149">
            <v>92</v>
          </cell>
          <cell r="AD1149">
            <v>-20</v>
          </cell>
          <cell r="AE1149">
            <v>132</v>
          </cell>
          <cell r="AF1149">
            <v>140</v>
          </cell>
          <cell r="AG1149">
            <v>-8</v>
          </cell>
        </row>
        <row r="1150">
          <cell r="C1150">
            <v>41058504</v>
          </cell>
          <cell r="D1150" t="str">
            <v>SHREE VENKATESHWARA PETROLEUM</v>
          </cell>
          <cell r="E1150" t="str">
            <v>HPCL</v>
          </cell>
          <cell r="F1150" t="str">
            <v>2021-22</v>
          </cell>
          <cell r="G1150" t="str">
            <v>Satara West RSA</v>
          </cell>
          <cell r="J1150" t="str">
            <v>Karate</v>
          </cell>
          <cell r="K1150" t="str">
            <v>Satara</v>
          </cell>
          <cell r="L1150" t="str">
            <v>D1</v>
          </cell>
          <cell r="M1150" t="str">
            <v>NH-166E</v>
          </cell>
          <cell r="O1150" t="str">
            <v>A</v>
          </cell>
          <cell r="P1150">
            <v>66</v>
          </cell>
          <cell r="Q1150">
            <v>164</v>
          </cell>
          <cell r="R1150">
            <v>31.5</v>
          </cell>
          <cell r="S1150">
            <v>150.5</v>
          </cell>
          <cell r="T1150">
            <v>34.5</v>
          </cell>
          <cell r="U1150">
            <v>13.5</v>
          </cell>
          <cell r="V1150">
            <v>101</v>
          </cell>
          <cell r="W1150">
            <v>325</v>
          </cell>
          <cell r="X1150">
            <v>52.5</v>
          </cell>
          <cell r="Y1150">
            <v>353.5</v>
          </cell>
          <cell r="Z1150">
            <v>48.5</v>
          </cell>
          <cell r="AA1150">
            <v>-28.5</v>
          </cell>
          <cell r="AB1150">
            <v>230</v>
          </cell>
          <cell r="AC1150">
            <v>182</v>
          </cell>
          <cell r="AD1150">
            <v>48</v>
          </cell>
          <cell r="AE1150">
            <v>426</v>
          </cell>
          <cell r="AF1150">
            <v>406</v>
          </cell>
          <cell r="AG1150">
            <v>20</v>
          </cell>
        </row>
        <row r="1151">
          <cell r="C1151">
            <v>41058744</v>
          </cell>
          <cell r="D1151" t="str">
            <v>SURAJ PETROLEUM</v>
          </cell>
          <cell r="E1151" t="str">
            <v>HPCL</v>
          </cell>
          <cell r="G1151" t="str">
            <v>Pune Wagholi RSA</v>
          </cell>
          <cell r="J1151" t="str">
            <v>Ranjangaon to Shirur LHS</v>
          </cell>
          <cell r="K1151" t="str">
            <v>Pune</v>
          </cell>
          <cell r="L1151" t="str">
            <v>D1</v>
          </cell>
          <cell r="M1151" t="str">
            <v>NH-753F</v>
          </cell>
          <cell r="O1151" t="str">
            <v>A</v>
          </cell>
          <cell r="P1151">
            <v>0</v>
          </cell>
          <cell r="Q1151">
            <v>0</v>
          </cell>
          <cell r="R1151">
            <v>12</v>
          </cell>
          <cell r="S1151">
            <v>36</v>
          </cell>
          <cell r="T1151">
            <v>-12</v>
          </cell>
          <cell r="U1151">
            <v>-36</v>
          </cell>
          <cell r="V1151">
            <v>6</v>
          </cell>
          <cell r="W1151">
            <v>18</v>
          </cell>
          <cell r="X1151">
            <v>12</v>
          </cell>
          <cell r="Y1151">
            <v>36</v>
          </cell>
          <cell r="Z1151">
            <v>-6</v>
          </cell>
          <cell r="AA1151">
            <v>-18</v>
          </cell>
          <cell r="AB1151">
            <v>0</v>
          </cell>
          <cell r="AC1151">
            <v>48</v>
          </cell>
          <cell r="AD1151">
            <v>-48</v>
          </cell>
          <cell r="AE1151">
            <v>24</v>
          </cell>
          <cell r="AF1151">
            <v>48</v>
          </cell>
          <cell r="AG1151">
            <v>-24</v>
          </cell>
        </row>
        <row r="1152">
          <cell r="C1152">
            <v>41058780</v>
          </cell>
          <cell r="D1152" t="str">
            <v>Auto Care Centre</v>
          </cell>
          <cell r="E1152" t="str">
            <v>HPCL</v>
          </cell>
          <cell r="G1152" t="str">
            <v>Ahmednagar East RSA</v>
          </cell>
          <cell r="J1152" t="str">
            <v>Nagar city</v>
          </cell>
          <cell r="K1152" t="str">
            <v>Ahmednagar</v>
          </cell>
          <cell r="L1152" t="str">
            <v>D1</v>
          </cell>
          <cell r="M1152" t="str">
            <v>NH-753F</v>
          </cell>
          <cell r="O1152" t="str">
            <v>A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</row>
        <row r="1153">
          <cell r="C1153">
            <v>41058786</v>
          </cell>
          <cell r="D1153" t="str">
            <v>Ashok SSK, Ashoknagar</v>
          </cell>
          <cell r="E1153" t="str">
            <v>HPCL</v>
          </cell>
          <cell r="G1153" t="str">
            <v>Shirdi RSA</v>
          </cell>
          <cell r="J1153" t="str">
            <v>SHIRASGAON</v>
          </cell>
          <cell r="K1153" t="str">
            <v>Ahmednagar</v>
          </cell>
          <cell r="L1153" t="str">
            <v>D2</v>
          </cell>
          <cell r="O1153" t="str">
            <v>B</v>
          </cell>
          <cell r="P1153">
            <v>85</v>
          </cell>
          <cell r="Q1153">
            <v>133</v>
          </cell>
          <cell r="R1153">
            <v>96</v>
          </cell>
          <cell r="S1153">
            <v>168</v>
          </cell>
          <cell r="T1153">
            <v>-11</v>
          </cell>
          <cell r="U1153">
            <v>-35</v>
          </cell>
          <cell r="V1153">
            <v>166</v>
          </cell>
          <cell r="W1153">
            <v>280</v>
          </cell>
          <cell r="X1153">
            <v>186</v>
          </cell>
          <cell r="Y1153">
            <v>306</v>
          </cell>
          <cell r="Z1153">
            <v>-20</v>
          </cell>
          <cell r="AA1153">
            <v>-26</v>
          </cell>
          <cell r="AB1153">
            <v>218</v>
          </cell>
          <cell r="AC1153">
            <v>264</v>
          </cell>
          <cell r="AD1153">
            <v>-46</v>
          </cell>
          <cell r="AE1153">
            <v>446</v>
          </cell>
          <cell r="AF1153">
            <v>492</v>
          </cell>
          <cell r="AG1153">
            <v>-46</v>
          </cell>
        </row>
        <row r="1154">
          <cell r="C1154">
            <v>41058798</v>
          </cell>
          <cell r="D1154" t="str">
            <v>Shrinivas Service Stantion</v>
          </cell>
          <cell r="E1154" t="str">
            <v>HPCL</v>
          </cell>
          <cell r="G1154" t="str">
            <v>Shirdi RSA</v>
          </cell>
          <cell r="J1154" t="str">
            <v>RAJUR</v>
          </cell>
          <cell r="K1154" t="str">
            <v>Ahmednagar</v>
          </cell>
          <cell r="L1154" t="str">
            <v>D2</v>
          </cell>
          <cell r="O1154" t="str">
            <v>B</v>
          </cell>
          <cell r="P1154">
            <v>140</v>
          </cell>
          <cell r="Q1154">
            <v>200</v>
          </cell>
          <cell r="R1154">
            <v>130</v>
          </cell>
          <cell r="S1154">
            <v>170</v>
          </cell>
          <cell r="T1154">
            <v>10</v>
          </cell>
          <cell r="U1154">
            <v>30</v>
          </cell>
          <cell r="V1154">
            <v>265</v>
          </cell>
          <cell r="W1154">
            <v>375</v>
          </cell>
          <cell r="X1154">
            <v>255</v>
          </cell>
          <cell r="Y1154">
            <v>325</v>
          </cell>
          <cell r="Z1154">
            <v>10</v>
          </cell>
          <cell r="AA1154">
            <v>50</v>
          </cell>
          <cell r="AB1154">
            <v>340</v>
          </cell>
          <cell r="AC1154">
            <v>300</v>
          </cell>
          <cell r="AD1154">
            <v>40</v>
          </cell>
          <cell r="AE1154">
            <v>640</v>
          </cell>
          <cell r="AF1154">
            <v>580</v>
          </cell>
          <cell r="AG1154">
            <v>60</v>
          </cell>
        </row>
        <row r="1155">
          <cell r="C1155">
            <v>41058804</v>
          </cell>
          <cell r="D1155" t="str">
            <v>J  K  SERVICE  CENTRE</v>
          </cell>
          <cell r="E1155" t="str">
            <v>HPCL</v>
          </cell>
          <cell r="G1155" t="str">
            <v>Satara East RSA</v>
          </cell>
          <cell r="J1155" t="str">
            <v>Koregaon</v>
          </cell>
          <cell r="K1155" t="str">
            <v>Satara</v>
          </cell>
          <cell r="L1155" t="str">
            <v>E</v>
          </cell>
          <cell r="O1155" t="str">
            <v>B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</row>
        <row r="1156">
          <cell r="C1156">
            <v>41063450</v>
          </cell>
          <cell r="D1156" t="str">
            <v>Ghule Petroleum</v>
          </cell>
          <cell r="E1156" t="str">
            <v>HPCL</v>
          </cell>
          <cell r="F1156" t="str">
            <v>2023-24</v>
          </cell>
          <cell r="G1156" t="str">
            <v>Pune City RSA</v>
          </cell>
          <cell r="J1156" t="str">
            <v>Undri</v>
          </cell>
          <cell r="K1156" t="str">
            <v>Pune</v>
          </cell>
          <cell r="L1156" t="str">
            <v>A</v>
          </cell>
          <cell r="O1156" t="str">
            <v>A</v>
          </cell>
          <cell r="P1156">
            <v>343</v>
          </cell>
          <cell r="Q1156">
            <v>255</v>
          </cell>
          <cell r="R1156">
            <v>271</v>
          </cell>
          <cell r="S1156">
            <v>153</v>
          </cell>
          <cell r="T1156">
            <v>72</v>
          </cell>
          <cell r="U1156">
            <v>102</v>
          </cell>
          <cell r="V1156">
            <v>656</v>
          </cell>
          <cell r="W1156">
            <v>476</v>
          </cell>
          <cell r="X1156">
            <v>556</v>
          </cell>
          <cell r="Y1156">
            <v>326</v>
          </cell>
          <cell r="Z1156">
            <v>100</v>
          </cell>
          <cell r="AA1156">
            <v>150</v>
          </cell>
          <cell r="AB1156">
            <v>598</v>
          </cell>
          <cell r="AC1156">
            <v>424</v>
          </cell>
          <cell r="AD1156">
            <v>174</v>
          </cell>
          <cell r="AE1156">
            <v>1132</v>
          </cell>
          <cell r="AF1156">
            <v>882</v>
          </cell>
          <cell r="AG1156">
            <v>250</v>
          </cell>
        </row>
        <row r="1157">
          <cell r="C1157">
            <v>41065649</v>
          </cell>
          <cell r="D1157" t="str">
            <v>B V MANDE ENERGY SERVICES</v>
          </cell>
          <cell r="E1157" t="str">
            <v>HPCL</v>
          </cell>
          <cell r="G1157" t="str">
            <v>Pimpri Chinchwad RSA</v>
          </cell>
          <cell r="J1157" t="str">
            <v>Rajgurunagar on NH</v>
          </cell>
          <cell r="K1157" t="str">
            <v>Pune</v>
          </cell>
          <cell r="L1157" t="str">
            <v>D1</v>
          </cell>
          <cell r="M1157" t="str">
            <v>NH-60</v>
          </cell>
          <cell r="O1157" t="str">
            <v>A</v>
          </cell>
          <cell r="P1157">
            <v>105</v>
          </cell>
          <cell r="Q1157">
            <v>520</v>
          </cell>
          <cell r="R1157">
            <v>100</v>
          </cell>
          <cell r="S1157">
            <v>425</v>
          </cell>
          <cell r="T1157">
            <v>5</v>
          </cell>
          <cell r="U1157">
            <v>95</v>
          </cell>
          <cell r="V1157">
            <v>195</v>
          </cell>
          <cell r="W1157">
            <v>1030</v>
          </cell>
          <cell r="X1157">
            <v>205</v>
          </cell>
          <cell r="Y1157">
            <v>870</v>
          </cell>
          <cell r="Z1157">
            <v>-10</v>
          </cell>
          <cell r="AA1157">
            <v>160</v>
          </cell>
          <cell r="AB1157">
            <v>625</v>
          </cell>
          <cell r="AC1157">
            <v>525</v>
          </cell>
          <cell r="AD1157">
            <v>100</v>
          </cell>
          <cell r="AE1157">
            <v>1225</v>
          </cell>
          <cell r="AF1157">
            <v>1075</v>
          </cell>
          <cell r="AG1157">
            <v>150</v>
          </cell>
        </row>
        <row r="1158">
          <cell r="C1158">
            <v>41065650</v>
          </cell>
          <cell r="D1158" t="str">
            <v>M/s AMBIKA PETROL DEPOT, PIMPRI</v>
          </cell>
          <cell r="E1158" t="str">
            <v>HPCL</v>
          </cell>
          <cell r="F1158" t="str">
            <v>2023-24</v>
          </cell>
          <cell r="G1158" t="str">
            <v>Pimpri Chinchwad RSA</v>
          </cell>
          <cell r="J1158" t="str">
            <v>Chinchwad</v>
          </cell>
          <cell r="K1158" t="str">
            <v>Pune</v>
          </cell>
          <cell r="L1158" t="str">
            <v>A</v>
          </cell>
          <cell r="O1158" t="str">
            <v>A</v>
          </cell>
          <cell r="P1158">
            <v>142</v>
          </cell>
          <cell r="Q1158">
            <v>140</v>
          </cell>
          <cell r="R1158">
            <v>193</v>
          </cell>
          <cell r="S1158">
            <v>257</v>
          </cell>
          <cell r="T1158">
            <v>-51</v>
          </cell>
          <cell r="U1158">
            <v>-117</v>
          </cell>
          <cell r="V1158">
            <v>319</v>
          </cell>
          <cell r="W1158">
            <v>323</v>
          </cell>
          <cell r="X1158">
            <v>390</v>
          </cell>
          <cell r="Y1158">
            <v>500</v>
          </cell>
          <cell r="Z1158">
            <v>-71</v>
          </cell>
          <cell r="AA1158">
            <v>-177</v>
          </cell>
          <cell r="AB1158">
            <v>282</v>
          </cell>
          <cell r="AC1158">
            <v>450</v>
          </cell>
          <cell r="AD1158">
            <v>-168</v>
          </cell>
          <cell r="AE1158">
            <v>642</v>
          </cell>
          <cell r="AF1158">
            <v>890</v>
          </cell>
          <cell r="AG1158">
            <v>-248</v>
          </cell>
        </row>
        <row r="1159">
          <cell r="C1159">
            <v>41066852</v>
          </cell>
          <cell r="D1159" t="str">
            <v>C N PETROLEUM</v>
          </cell>
          <cell r="E1159" t="str">
            <v>HPCL</v>
          </cell>
          <cell r="F1159" t="str">
            <v>2024-25</v>
          </cell>
          <cell r="G1159" t="str">
            <v>Pune City RSA</v>
          </cell>
          <cell r="J1159" t="str">
            <v>PASHAN</v>
          </cell>
          <cell r="K1159" t="str">
            <v>Pune</v>
          </cell>
          <cell r="L1159" t="str">
            <v>A</v>
          </cell>
          <cell r="O1159" t="str">
            <v>B</v>
          </cell>
          <cell r="P1159">
            <v>404</v>
          </cell>
          <cell r="Q1159">
            <v>190</v>
          </cell>
          <cell r="R1159">
            <v>309</v>
          </cell>
          <cell r="S1159">
            <v>117</v>
          </cell>
          <cell r="T1159">
            <v>95</v>
          </cell>
          <cell r="U1159">
            <v>73</v>
          </cell>
          <cell r="V1159">
            <v>744</v>
          </cell>
          <cell r="W1159">
            <v>332</v>
          </cell>
          <cell r="X1159">
            <v>640</v>
          </cell>
          <cell r="Y1159">
            <v>246</v>
          </cell>
          <cell r="Z1159">
            <v>104</v>
          </cell>
          <cell r="AA1159">
            <v>86</v>
          </cell>
          <cell r="AB1159">
            <v>594</v>
          </cell>
          <cell r="AC1159">
            <v>426</v>
          </cell>
          <cell r="AD1159">
            <v>168</v>
          </cell>
          <cell r="AE1159">
            <v>1076</v>
          </cell>
          <cell r="AF1159">
            <v>886</v>
          </cell>
          <cell r="AG1159">
            <v>190</v>
          </cell>
        </row>
        <row r="1160">
          <cell r="C1160">
            <v>41067133</v>
          </cell>
          <cell r="D1160" t="str">
            <v>POPATRAO KALJE PETROLEUM</v>
          </cell>
          <cell r="E1160" t="str">
            <v>HPCL</v>
          </cell>
          <cell r="F1160" t="str">
            <v>2023-24</v>
          </cell>
          <cell r="G1160" t="str">
            <v>Pimpri Chinchwad RSA</v>
          </cell>
          <cell r="J1160" t="str">
            <v>Alandi</v>
          </cell>
          <cell r="K1160" t="str">
            <v>Pune</v>
          </cell>
          <cell r="L1160" t="str">
            <v>A</v>
          </cell>
          <cell r="O1160" t="str">
            <v>A</v>
          </cell>
          <cell r="P1160">
            <v>265</v>
          </cell>
          <cell r="Q1160">
            <v>219</v>
          </cell>
          <cell r="R1160">
            <v>212</v>
          </cell>
          <cell r="S1160">
            <v>182</v>
          </cell>
          <cell r="T1160">
            <v>53</v>
          </cell>
          <cell r="U1160">
            <v>37</v>
          </cell>
          <cell r="V1160">
            <v>511</v>
          </cell>
          <cell r="W1160">
            <v>437</v>
          </cell>
          <cell r="X1160">
            <v>423</v>
          </cell>
          <cell r="Y1160">
            <v>373</v>
          </cell>
          <cell r="Z1160">
            <v>88</v>
          </cell>
          <cell r="AA1160">
            <v>64</v>
          </cell>
          <cell r="AB1160">
            <v>484</v>
          </cell>
          <cell r="AC1160">
            <v>394</v>
          </cell>
          <cell r="AD1160">
            <v>90</v>
          </cell>
          <cell r="AE1160">
            <v>948</v>
          </cell>
          <cell r="AF1160">
            <v>796</v>
          </cell>
          <cell r="AG1160">
            <v>152</v>
          </cell>
        </row>
        <row r="1161">
          <cell r="C1161">
            <v>41055795</v>
          </cell>
          <cell r="D1161" t="str">
            <v>LONDHE MOBILITY SERVICES (41067407 ADHOC OM SHIVSHAMBHU PETROLEUM SERV (41055795 SHRI GALANDE PETROLEUM))</v>
          </cell>
          <cell r="E1161" t="str">
            <v>HPCL</v>
          </cell>
          <cell r="G1161" t="str">
            <v>Pune Wagholi RSA</v>
          </cell>
          <cell r="J1161" t="str">
            <v>LONIKAND to KOREGAON BHIMA RHS</v>
          </cell>
          <cell r="K1161" t="str">
            <v>Pune</v>
          </cell>
          <cell r="L1161" t="str">
            <v>D1</v>
          </cell>
          <cell r="M1161" t="str">
            <v>NH-753F</v>
          </cell>
          <cell r="O1161" t="str">
            <v>A</v>
          </cell>
          <cell r="P1161">
            <v>55</v>
          </cell>
          <cell r="Q1161">
            <v>319</v>
          </cell>
          <cell r="R1161">
            <v>46</v>
          </cell>
          <cell r="S1161">
            <v>82</v>
          </cell>
          <cell r="T1161">
            <v>9</v>
          </cell>
          <cell r="U1161">
            <v>237</v>
          </cell>
          <cell r="V1161">
            <v>120</v>
          </cell>
          <cell r="W1161">
            <v>494</v>
          </cell>
          <cell r="X1161">
            <v>101</v>
          </cell>
          <cell r="Y1161">
            <v>165</v>
          </cell>
          <cell r="Z1161">
            <v>19</v>
          </cell>
          <cell r="AA1161">
            <v>329</v>
          </cell>
          <cell r="AB1161">
            <v>374</v>
          </cell>
          <cell r="AC1161">
            <v>128</v>
          </cell>
          <cell r="AD1161">
            <v>246</v>
          </cell>
          <cell r="AE1161">
            <v>614</v>
          </cell>
          <cell r="AF1161">
            <v>266</v>
          </cell>
          <cell r="AG1161">
            <v>348</v>
          </cell>
        </row>
        <row r="1162">
          <cell r="C1162">
            <v>41094293</v>
          </cell>
          <cell r="D1162" t="str">
            <v>ADHOC BARAMATI TAL SAH DOODH SANGH (41067506 SHIVLAL PREMCHAND)</v>
          </cell>
          <cell r="E1162" t="str">
            <v>HPCL</v>
          </cell>
          <cell r="G1162" t="str">
            <v>Pune Tathawade RSA</v>
          </cell>
          <cell r="J1162" t="str">
            <v>BARAMATI INDAPUR ROAD</v>
          </cell>
          <cell r="K1162" t="str">
            <v>Pune</v>
          </cell>
          <cell r="L1162" t="str">
            <v>D1</v>
          </cell>
          <cell r="M1162" t="str">
            <v>NH-965G</v>
          </cell>
          <cell r="O1162" t="str">
            <v>A</v>
          </cell>
          <cell r="P1162">
            <v>52.5</v>
          </cell>
          <cell r="Q1162">
            <v>17.5</v>
          </cell>
          <cell r="R1162">
            <v>45</v>
          </cell>
          <cell r="S1162">
            <v>3</v>
          </cell>
          <cell r="T1162">
            <v>7.5</v>
          </cell>
          <cell r="U1162">
            <v>14.5</v>
          </cell>
          <cell r="V1162">
            <v>77.5</v>
          </cell>
          <cell r="W1162">
            <v>21</v>
          </cell>
          <cell r="X1162">
            <v>83</v>
          </cell>
          <cell r="Y1162">
            <v>11</v>
          </cell>
          <cell r="Z1162">
            <v>-5.5</v>
          </cell>
          <cell r="AA1162">
            <v>10</v>
          </cell>
          <cell r="AB1162">
            <v>70</v>
          </cell>
          <cell r="AC1162">
            <v>48</v>
          </cell>
          <cell r="AD1162">
            <v>22</v>
          </cell>
          <cell r="AE1162">
            <v>98.5</v>
          </cell>
          <cell r="AF1162">
            <v>94</v>
          </cell>
          <cell r="AG1162">
            <v>4.5</v>
          </cell>
        </row>
        <row r="1163">
          <cell r="C1163">
            <v>41067747</v>
          </cell>
          <cell r="D1163" t="str">
            <v>HP FUEL CENTRE PIMPRI (41049472 ADHOC GAWADE PATIL PETROLEUM)</v>
          </cell>
          <cell r="E1163" t="str">
            <v>HPCL</v>
          </cell>
          <cell r="F1163" t="str">
            <v>2018-19</v>
          </cell>
          <cell r="G1163" t="str">
            <v>Pimpri Chinchwad RSA</v>
          </cell>
          <cell r="J1163" t="str">
            <v>Chinchwad</v>
          </cell>
          <cell r="K1163" t="str">
            <v>Pune</v>
          </cell>
          <cell r="L1163" t="str">
            <v>A</v>
          </cell>
          <cell r="O1163" t="str">
            <v>A</v>
          </cell>
          <cell r="P1163">
            <v>238</v>
          </cell>
          <cell r="Q1163">
            <v>344</v>
          </cell>
          <cell r="R1163">
            <v>218</v>
          </cell>
          <cell r="S1163">
            <v>334</v>
          </cell>
          <cell r="T1163">
            <v>20</v>
          </cell>
          <cell r="U1163">
            <v>10</v>
          </cell>
          <cell r="V1163">
            <v>451</v>
          </cell>
          <cell r="W1163">
            <v>625</v>
          </cell>
          <cell r="X1163">
            <v>427</v>
          </cell>
          <cell r="Y1163">
            <v>615</v>
          </cell>
          <cell r="Z1163">
            <v>24</v>
          </cell>
          <cell r="AA1163">
            <v>10</v>
          </cell>
          <cell r="AB1163">
            <v>582</v>
          </cell>
          <cell r="AC1163">
            <v>552</v>
          </cell>
          <cell r="AD1163">
            <v>30</v>
          </cell>
          <cell r="AE1163">
            <v>1076</v>
          </cell>
          <cell r="AF1163">
            <v>1042</v>
          </cell>
          <cell r="AG1163">
            <v>34</v>
          </cell>
        </row>
        <row r="1164">
          <cell r="C1164">
            <v>41067790</v>
          </cell>
          <cell r="D1164" t="str">
            <v>Ajay Petroleum</v>
          </cell>
          <cell r="E1164" t="str">
            <v>HPCL</v>
          </cell>
          <cell r="F1164" t="str">
            <v>2023-24</v>
          </cell>
          <cell r="G1164" t="str">
            <v>Satara East RSA</v>
          </cell>
          <cell r="J1164" t="str">
            <v>Chimangaon</v>
          </cell>
          <cell r="K1164" t="str">
            <v>Satara</v>
          </cell>
          <cell r="L1164" t="str">
            <v>D1</v>
          </cell>
          <cell r="M1164" t="str">
            <v>NH-548C</v>
          </cell>
          <cell r="O1164" t="str">
            <v>B</v>
          </cell>
          <cell r="P1164">
            <v>0</v>
          </cell>
          <cell r="Q1164">
            <v>0</v>
          </cell>
          <cell r="R1164">
            <v>32</v>
          </cell>
          <cell r="S1164">
            <v>64</v>
          </cell>
          <cell r="T1164">
            <v>-32</v>
          </cell>
          <cell r="U1164">
            <v>-64</v>
          </cell>
          <cell r="V1164">
            <v>0</v>
          </cell>
          <cell r="W1164">
            <v>0</v>
          </cell>
          <cell r="X1164">
            <v>60</v>
          </cell>
          <cell r="Y1164">
            <v>142</v>
          </cell>
          <cell r="Z1164">
            <v>-60</v>
          </cell>
          <cell r="AA1164">
            <v>-142</v>
          </cell>
          <cell r="AB1164">
            <v>0</v>
          </cell>
          <cell r="AC1164">
            <v>96</v>
          </cell>
          <cell r="AD1164">
            <v>-96</v>
          </cell>
          <cell r="AE1164">
            <v>0</v>
          </cell>
          <cell r="AF1164">
            <v>202</v>
          </cell>
          <cell r="AG1164">
            <v>-202</v>
          </cell>
        </row>
        <row r="1165">
          <cell r="C1165">
            <v>41068327</v>
          </cell>
          <cell r="D1165" t="str">
            <v>ASHIRWAD PETROLEUM</v>
          </cell>
          <cell r="E1165" t="str">
            <v>HPCL</v>
          </cell>
          <cell r="F1165" t="str">
            <v>2023-24</v>
          </cell>
          <cell r="G1165" t="str">
            <v>Ahmednagar West RSA</v>
          </cell>
          <cell r="J1165" t="str">
            <v>JAKHANGAON</v>
          </cell>
          <cell r="K1165" t="str">
            <v>Ahmednagar</v>
          </cell>
          <cell r="L1165" t="str">
            <v>D1</v>
          </cell>
          <cell r="M1165" t="str">
            <v>NH-61</v>
          </cell>
          <cell r="O1165" t="str">
            <v>A</v>
          </cell>
          <cell r="P1165">
            <v>18</v>
          </cell>
          <cell r="Q1165">
            <v>50</v>
          </cell>
          <cell r="R1165">
            <v>20</v>
          </cell>
          <cell r="S1165">
            <v>34</v>
          </cell>
          <cell r="T1165">
            <v>-2</v>
          </cell>
          <cell r="U1165">
            <v>16</v>
          </cell>
          <cell r="V1165">
            <v>38</v>
          </cell>
          <cell r="W1165">
            <v>100</v>
          </cell>
          <cell r="X1165">
            <v>37</v>
          </cell>
          <cell r="Y1165">
            <v>73</v>
          </cell>
          <cell r="Z1165">
            <v>1</v>
          </cell>
          <cell r="AA1165">
            <v>27</v>
          </cell>
          <cell r="AB1165">
            <v>68</v>
          </cell>
          <cell r="AC1165">
            <v>54</v>
          </cell>
          <cell r="AD1165">
            <v>14</v>
          </cell>
          <cell r="AE1165">
            <v>138</v>
          </cell>
          <cell r="AF1165">
            <v>110</v>
          </cell>
          <cell r="AG1165">
            <v>28</v>
          </cell>
        </row>
        <row r="1166">
          <cell r="C1166">
            <v>41049408</v>
          </cell>
          <cell r="D1166" t="str">
            <v>JAI JAGDAMBA PETROLEUM (ADHOC NEW PANCHALI PETROLEUM - 41068350)</v>
          </cell>
          <cell r="E1166" t="str">
            <v>HPCL</v>
          </cell>
          <cell r="F1166" t="str">
            <v>2016-17</v>
          </cell>
          <cell r="G1166" t="str">
            <v>Satara West RSA</v>
          </cell>
          <cell r="J1166" t="str">
            <v>TARALE</v>
          </cell>
          <cell r="K1166" t="str">
            <v>Satara</v>
          </cell>
          <cell r="L1166" t="str">
            <v>E</v>
          </cell>
          <cell r="O1166" t="str">
            <v>A</v>
          </cell>
          <cell r="P1166">
            <v>0</v>
          </cell>
          <cell r="Q1166">
            <v>0</v>
          </cell>
          <cell r="R1166">
            <v>15</v>
          </cell>
          <cell r="S1166">
            <v>33</v>
          </cell>
          <cell r="T1166">
            <v>-15</v>
          </cell>
          <cell r="U1166">
            <v>-33</v>
          </cell>
          <cell r="V1166">
            <v>0</v>
          </cell>
          <cell r="W1166">
            <v>0</v>
          </cell>
          <cell r="X1166">
            <v>31</v>
          </cell>
          <cell r="Y1166">
            <v>67</v>
          </cell>
          <cell r="Z1166">
            <v>-31</v>
          </cell>
          <cell r="AA1166">
            <v>-67</v>
          </cell>
          <cell r="AB1166">
            <v>0</v>
          </cell>
          <cell r="AC1166">
            <v>48</v>
          </cell>
          <cell r="AD1166">
            <v>-48</v>
          </cell>
          <cell r="AE1166">
            <v>0</v>
          </cell>
          <cell r="AF1166">
            <v>98</v>
          </cell>
          <cell r="AG1166">
            <v>-98</v>
          </cell>
        </row>
        <row r="1167">
          <cell r="C1167">
            <v>41069089</v>
          </cell>
          <cell r="D1167" t="str">
            <v>Jay Kisan Petroleum</v>
          </cell>
          <cell r="E1167" t="str">
            <v>HPCL</v>
          </cell>
          <cell r="F1167" t="str">
            <v>2023-24</v>
          </cell>
          <cell r="G1167" t="str">
            <v>Pune Wagholi RSA</v>
          </cell>
          <cell r="J1167" t="str">
            <v>Alephata to Ottur</v>
          </cell>
          <cell r="K1167" t="str">
            <v>Pune</v>
          </cell>
          <cell r="L1167" t="str">
            <v>D1</v>
          </cell>
          <cell r="M1167" t="str">
            <v>NH-61</v>
          </cell>
          <cell r="O1167" t="str">
            <v>B</v>
          </cell>
          <cell r="P1167">
            <v>50</v>
          </cell>
          <cell r="Q1167">
            <v>150</v>
          </cell>
          <cell r="R1167">
            <v>35</v>
          </cell>
          <cell r="S1167">
            <v>125</v>
          </cell>
          <cell r="T1167">
            <v>15</v>
          </cell>
          <cell r="U1167">
            <v>25</v>
          </cell>
          <cell r="V1167">
            <v>90</v>
          </cell>
          <cell r="W1167">
            <v>270</v>
          </cell>
          <cell r="X1167">
            <v>75</v>
          </cell>
          <cell r="Y1167">
            <v>225</v>
          </cell>
          <cell r="Z1167">
            <v>15</v>
          </cell>
          <cell r="AA1167">
            <v>45</v>
          </cell>
          <cell r="AB1167">
            <v>200</v>
          </cell>
          <cell r="AC1167">
            <v>160</v>
          </cell>
          <cell r="AD1167">
            <v>40</v>
          </cell>
          <cell r="AE1167">
            <v>360</v>
          </cell>
          <cell r="AF1167">
            <v>300</v>
          </cell>
          <cell r="AG1167">
            <v>60</v>
          </cell>
        </row>
        <row r="1168">
          <cell r="C1168">
            <v>41069710</v>
          </cell>
          <cell r="D1168" t="str">
            <v>BARAMATI TALUKA K.V.S. LTD MEDAD</v>
          </cell>
          <cell r="E1168" t="str">
            <v>HPCL</v>
          </cell>
          <cell r="F1168" t="str">
            <v>2023-24</v>
          </cell>
          <cell r="G1168" t="str">
            <v>Pune Tathawade RSA</v>
          </cell>
          <cell r="J1168" t="str">
            <v>MORGAON-BARAMATI RD</v>
          </cell>
          <cell r="K1168" t="str">
            <v>Pune</v>
          </cell>
          <cell r="L1168" t="str">
            <v>D2</v>
          </cell>
          <cell r="O1168" t="str">
            <v>B</v>
          </cell>
          <cell r="P1168">
            <v>20</v>
          </cell>
          <cell r="Q1168">
            <v>39</v>
          </cell>
          <cell r="R1168">
            <v>18</v>
          </cell>
          <cell r="S1168">
            <v>39</v>
          </cell>
          <cell r="T1168">
            <v>2</v>
          </cell>
          <cell r="U1168">
            <v>0</v>
          </cell>
          <cell r="V1168">
            <v>45</v>
          </cell>
          <cell r="W1168">
            <v>83</v>
          </cell>
          <cell r="X1168">
            <v>37</v>
          </cell>
          <cell r="Y1168">
            <v>80</v>
          </cell>
          <cell r="Z1168">
            <v>8</v>
          </cell>
          <cell r="AA1168">
            <v>3</v>
          </cell>
          <cell r="AB1168">
            <v>59</v>
          </cell>
          <cell r="AC1168">
            <v>57</v>
          </cell>
          <cell r="AD1168">
            <v>2</v>
          </cell>
          <cell r="AE1168">
            <v>128</v>
          </cell>
          <cell r="AF1168">
            <v>117</v>
          </cell>
          <cell r="AG1168">
            <v>11</v>
          </cell>
        </row>
        <row r="1169">
          <cell r="C1169">
            <v>41069730</v>
          </cell>
          <cell r="D1169" t="str">
            <v>MSHSD TRIMURTI PETROLEUM</v>
          </cell>
          <cell r="E1169" t="str">
            <v>HPCL</v>
          </cell>
          <cell r="F1169" t="str">
            <v>2023-24</v>
          </cell>
          <cell r="G1169" t="str">
            <v>Ahmednagar East RSA</v>
          </cell>
          <cell r="J1169" t="str">
            <v>Khadka Phata</v>
          </cell>
          <cell r="K1169" t="str">
            <v>Ahmednagar</v>
          </cell>
          <cell r="L1169" t="str">
            <v>D1</v>
          </cell>
          <cell r="M1169" t="str">
            <v>NH-753F</v>
          </cell>
          <cell r="O1169" t="str">
            <v>B</v>
          </cell>
          <cell r="P1169">
            <v>25</v>
          </cell>
          <cell r="Q1169">
            <v>43</v>
          </cell>
          <cell r="R1169">
            <v>0</v>
          </cell>
          <cell r="S1169">
            <v>0</v>
          </cell>
          <cell r="T1169">
            <v>25</v>
          </cell>
          <cell r="U1169">
            <v>43</v>
          </cell>
          <cell r="V1169">
            <v>55</v>
          </cell>
          <cell r="W1169">
            <v>109</v>
          </cell>
          <cell r="X1169">
            <v>0</v>
          </cell>
          <cell r="Y1169">
            <v>0</v>
          </cell>
          <cell r="Z1169">
            <v>55</v>
          </cell>
          <cell r="AA1169">
            <v>109</v>
          </cell>
          <cell r="AB1169">
            <v>68</v>
          </cell>
          <cell r="AC1169">
            <v>0</v>
          </cell>
          <cell r="AD1169">
            <v>68</v>
          </cell>
          <cell r="AE1169">
            <v>164</v>
          </cell>
          <cell r="AF1169">
            <v>0</v>
          </cell>
          <cell r="AG1169">
            <v>164</v>
          </cell>
        </row>
        <row r="1170">
          <cell r="C1170">
            <v>41069910</v>
          </cell>
          <cell r="D1170" t="str">
            <v>SHREE PETROLEUM</v>
          </cell>
          <cell r="E1170" t="str">
            <v>HPCL</v>
          </cell>
          <cell r="F1170" t="str">
            <v>2023-24</v>
          </cell>
          <cell r="G1170" t="str">
            <v>Pune Saswad RSA</v>
          </cell>
          <cell r="J1170" t="str">
            <v>Ravangaon LHS</v>
          </cell>
          <cell r="K1170" t="str">
            <v>Pune</v>
          </cell>
          <cell r="L1170" t="str">
            <v>D1</v>
          </cell>
          <cell r="M1170" t="str">
            <v>NH-65</v>
          </cell>
          <cell r="O1170" t="str">
            <v>A</v>
          </cell>
          <cell r="P1170">
            <v>6</v>
          </cell>
          <cell r="Q1170">
            <v>18</v>
          </cell>
          <cell r="R1170">
            <v>0</v>
          </cell>
          <cell r="S1170">
            <v>0</v>
          </cell>
          <cell r="T1170">
            <v>6</v>
          </cell>
          <cell r="U1170">
            <v>18</v>
          </cell>
          <cell r="V1170">
            <v>6</v>
          </cell>
          <cell r="W1170">
            <v>30</v>
          </cell>
          <cell r="X1170">
            <v>0</v>
          </cell>
          <cell r="Y1170">
            <v>0</v>
          </cell>
          <cell r="Z1170">
            <v>6</v>
          </cell>
          <cell r="AA1170">
            <v>30</v>
          </cell>
          <cell r="AB1170">
            <v>24</v>
          </cell>
          <cell r="AC1170">
            <v>0</v>
          </cell>
          <cell r="AD1170">
            <v>24</v>
          </cell>
          <cell r="AE1170">
            <v>36</v>
          </cell>
          <cell r="AF1170">
            <v>0</v>
          </cell>
          <cell r="AG1170">
            <v>36</v>
          </cell>
        </row>
        <row r="1171">
          <cell r="C1171">
            <v>41069962</v>
          </cell>
          <cell r="D1171" t="str">
            <v>PAIGUDE PETROLEUM</v>
          </cell>
          <cell r="E1171" t="str">
            <v>HPCL</v>
          </cell>
          <cell r="F1171" t="str">
            <v>2024-25</v>
          </cell>
          <cell r="G1171" t="str">
            <v>Pune City RSA</v>
          </cell>
          <cell r="J1171" t="str">
            <v>Wagholi</v>
          </cell>
          <cell r="K1171" t="str">
            <v>Pune</v>
          </cell>
          <cell r="L1171" t="str">
            <v>A</v>
          </cell>
          <cell r="O1171" t="str">
            <v>A</v>
          </cell>
          <cell r="P1171">
            <v>25</v>
          </cell>
          <cell r="Q1171">
            <v>245</v>
          </cell>
          <cell r="R1171">
            <v>22</v>
          </cell>
          <cell r="S1171">
            <v>206</v>
          </cell>
          <cell r="T1171">
            <v>3</v>
          </cell>
          <cell r="U1171">
            <v>39</v>
          </cell>
          <cell r="V1171">
            <v>34</v>
          </cell>
          <cell r="W1171">
            <v>452</v>
          </cell>
          <cell r="X1171">
            <v>44</v>
          </cell>
          <cell r="Y1171">
            <v>404</v>
          </cell>
          <cell r="Z1171">
            <v>-10</v>
          </cell>
          <cell r="AA1171">
            <v>48</v>
          </cell>
          <cell r="AB1171">
            <v>270</v>
          </cell>
          <cell r="AC1171">
            <v>228</v>
          </cell>
          <cell r="AD1171">
            <v>42</v>
          </cell>
          <cell r="AE1171">
            <v>486</v>
          </cell>
          <cell r="AF1171">
            <v>448</v>
          </cell>
          <cell r="AG1171">
            <v>38</v>
          </cell>
        </row>
        <row r="1172">
          <cell r="C1172">
            <v>41071178</v>
          </cell>
          <cell r="D1172" t="str">
            <v>MAHALAXMI FUELS HPCL PETROL PUMP SA</v>
          </cell>
          <cell r="E1172" t="str">
            <v>HPCL</v>
          </cell>
          <cell r="F1172" t="str">
            <v>2023-24</v>
          </cell>
          <cell r="G1172" t="str">
            <v>Pune Saswad RSA</v>
          </cell>
          <cell r="J1172" t="str">
            <v>BHAVANINAGAR</v>
          </cell>
          <cell r="K1172" t="str">
            <v>Pune</v>
          </cell>
          <cell r="L1172" t="str">
            <v>D1</v>
          </cell>
          <cell r="M1172" t="str">
            <v>NH-965G</v>
          </cell>
          <cell r="O1172" t="str">
            <v>A</v>
          </cell>
          <cell r="P1172">
            <v>42</v>
          </cell>
          <cell r="Q1172">
            <v>82</v>
          </cell>
          <cell r="R1172">
            <v>56</v>
          </cell>
          <cell r="S1172">
            <v>84</v>
          </cell>
          <cell r="T1172">
            <v>-14</v>
          </cell>
          <cell r="U1172">
            <v>-2</v>
          </cell>
          <cell r="V1172">
            <v>86</v>
          </cell>
          <cell r="W1172">
            <v>164</v>
          </cell>
          <cell r="X1172">
            <v>109</v>
          </cell>
          <cell r="Y1172">
            <v>169</v>
          </cell>
          <cell r="Z1172">
            <v>-23</v>
          </cell>
          <cell r="AA1172">
            <v>-5</v>
          </cell>
          <cell r="AB1172">
            <v>124</v>
          </cell>
          <cell r="AC1172">
            <v>140</v>
          </cell>
          <cell r="AD1172">
            <v>-16</v>
          </cell>
          <cell r="AE1172">
            <v>250</v>
          </cell>
          <cell r="AF1172">
            <v>278</v>
          </cell>
          <cell r="AG1172">
            <v>-28</v>
          </cell>
        </row>
        <row r="1173">
          <cell r="C1173">
            <v>41071411</v>
          </cell>
          <cell r="D1173" t="str">
            <v>Adhoc Vithumali (41040833 Adhoc Tej Petroleum (Mar'14)Shri Gurudatta Petroleum)</v>
          </cell>
          <cell r="E1173" t="str">
            <v>HPCL</v>
          </cell>
          <cell r="F1173" t="str">
            <v>2013-14</v>
          </cell>
          <cell r="G1173" t="str">
            <v>Satara East RSA</v>
          </cell>
          <cell r="J1173" t="str">
            <v>Thakurki</v>
          </cell>
          <cell r="K1173" t="str">
            <v>Satara</v>
          </cell>
          <cell r="L1173" t="str">
            <v>D1</v>
          </cell>
          <cell r="M1173" t="str">
            <v>NH-965DD</v>
          </cell>
          <cell r="O1173" t="str">
            <v>A</v>
          </cell>
          <cell r="P1173">
            <v>36</v>
          </cell>
          <cell r="Q1173">
            <v>68</v>
          </cell>
          <cell r="R1173">
            <v>33.5</v>
          </cell>
          <cell r="S1173">
            <v>54.5</v>
          </cell>
          <cell r="T1173">
            <v>2.5</v>
          </cell>
          <cell r="U1173">
            <v>13.5</v>
          </cell>
          <cell r="V1173">
            <v>77</v>
          </cell>
          <cell r="W1173">
            <v>171</v>
          </cell>
          <cell r="X1173">
            <v>69.5</v>
          </cell>
          <cell r="Y1173">
            <v>94.5</v>
          </cell>
          <cell r="Z1173">
            <v>7.5</v>
          </cell>
          <cell r="AA1173">
            <v>76.5</v>
          </cell>
          <cell r="AB1173">
            <v>104</v>
          </cell>
          <cell r="AC1173">
            <v>88</v>
          </cell>
          <cell r="AD1173">
            <v>16</v>
          </cell>
          <cell r="AE1173">
            <v>248</v>
          </cell>
          <cell r="AF1173">
            <v>164</v>
          </cell>
          <cell r="AG1173">
            <v>84</v>
          </cell>
        </row>
        <row r="1174">
          <cell r="C1174">
            <v>41071606</v>
          </cell>
          <cell r="D1174" t="str">
            <v>HIGHWAY SERVICE CENTRE (41049479 ADHOC KANKARIYA HIGHWAY SERVICENTRE (11173010))</v>
          </cell>
          <cell r="E1174" t="str">
            <v>HPCL</v>
          </cell>
          <cell r="G1174" t="str">
            <v>Pune City RSA</v>
          </cell>
          <cell r="J1174" t="str">
            <v>SATARA ROAD</v>
          </cell>
          <cell r="K1174" t="str">
            <v>Pune</v>
          </cell>
          <cell r="L1174" t="str">
            <v>A</v>
          </cell>
          <cell r="M1174" t="str">
            <v>NH-60</v>
          </cell>
          <cell r="O1174" t="str">
            <v>B</v>
          </cell>
          <cell r="P1174">
            <v>0</v>
          </cell>
          <cell r="Q1174">
            <v>0</v>
          </cell>
          <cell r="R1174">
            <v>284</v>
          </cell>
          <cell r="S1174">
            <v>132</v>
          </cell>
          <cell r="T1174">
            <v>-284</v>
          </cell>
          <cell r="U1174">
            <v>-132</v>
          </cell>
          <cell r="V1174">
            <v>0</v>
          </cell>
          <cell r="W1174">
            <v>0</v>
          </cell>
          <cell r="X1174">
            <v>565</v>
          </cell>
          <cell r="Y1174">
            <v>263</v>
          </cell>
          <cell r="Z1174">
            <v>-565</v>
          </cell>
          <cell r="AA1174">
            <v>-263</v>
          </cell>
          <cell r="AB1174">
            <v>0</v>
          </cell>
          <cell r="AC1174">
            <v>416</v>
          </cell>
          <cell r="AD1174">
            <v>-416</v>
          </cell>
          <cell r="AE1174">
            <v>0</v>
          </cell>
          <cell r="AF1174">
            <v>828</v>
          </cell>
          <cell r="AG1174">
            <v>-828</v>
          </cell>
        </row>
        <row r="1175">
          <cell r="C1175">
            <v>41071671</v>
          </cell>
          <cell r="D1175" t="str">
            <v>SAIBABA PETROLEUM</v>
          </cell>
          <cell r="E1175" t="str">
            <v>HPCL</v>
          </cell>
          <cell r="F1175" t="str">
            <v>2023-24</v>
          </cell>
          <cell r="G1175" t="str">
            <v>Ahmednagar West RSA</v>
          </cell>
          <cell r="J1175" t="str">
            <v>PATHARDI-NH</v>
          </cell>
          <cell r="K1175" t="str">
            <v>Ahmednagar</v>
          </cell>
          <cell r="L1175" t="str">
            <v>D1</v>
          </cell>
          <cell r="M1175" t="str">
            <v>NH-61</v>
          </cell>
          <cell r="O1175" t="str">
            <v>B</v>
          </cell>
          <cell r="P1175">
            <v>39</v>
          </cell>
          <cell r="Q1175">
            <v>129</v>
          </cell>
          <cell r="R1175">
            <v>35</v>
          </cell>
          <cell r="S1175">
            <v>117</v>
          </cell>
          <cell r="T1175">
            <v>4</v>
          </cell>
          <cell r="U1175">
            <v>12</v>
          </cell>
          <cell r="V1175">
            <v>71</v>
          </cell>
          <cell r="W1175">
            <v>287</v>
          </cell>
          <cell r="X1175">
            <v>63</v>
          </cell>
          <cell r="Y1175">
            <v>181</v>
          </cell>
          <cell r="Z1175">
            <v>8</v>
          </cell>
          <cell r="AA1175">
            <v>106</v>
          </cell>
          <cell r="AB1175">
            <v>168</v>
          </cell>
          <cell r="AC1175">
            <v>152</v>
          </cell>
          <cell r="AD1175">
            <v>16</v>
          </cell>
          <cell r="AE1175">
            <v>358</v>
          </cell>
          <cell r="AF1175">
            <v>244</v>
          </cell>
          <cell r="AG1175">
            <v>114</v>
          </cell>
        </row>
        <row r="1176">
          <cell r="C1176">
            <v>41071672</v>
          </cell>
          <cell r="D1176" t="str">
            <v>SIR PETROLEUM</v>
          </cell>
          <cell r="E1176" t="str">
            <v>HPCL</v>
          </cell>
          <cell r="F1176" t="str">
            <v>2023-24</v>
          </cell>
          <cell r="G1176" t="str">
            <v>Satara East RSA</v>
          </cell>
          <cell r="J1176" t="str">
            <v>pusegaon phaltan road</v>
          </cell>
          <cell r="K1176" t="str">
            <v>Satara</v>
          </cell>
          <cell r="L1176" t="str">
            <v>D2</v>
          </cell>
          <cell r="O1176" t="str">
            <v>B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</row>
        <row r="1177">
          <cell r="C1177">
            <v>41071881</v>
          </cell>
          <cell r="D1177" t="str">
            <v>KRISHIDEV PETROLEUM TARADGAON</v>
          </cell>
          <cell r="E1177" t="str">
            <v>HPCL</v>
          </cell>
          <cell r="F1177" t="str">
            <v>2023-24</v>
          </cell>
          <cell r="G1177" t="str">
            <v>Satara East RSA</v>
          </cell>
          <cell r="J1177" t="str">
            <v>Taradgaon</v>
          </cell>
          <cell r="K1177" t="str">
            <v>Satara</v>
          </cell>
          <cell r="L1177" t="str">
            <v>D1</v>
          </cell>
          <cell r="M1177" t="str">
            <v>NH-965</v>
          </cell>
          <cell r="O1177" t="str">
            <v>A</v>
          </cell>
          <cell r="P1177">
            <v>63</v>
          </cell>
          <cell r="Q1177">
            <v>113</v>
          </cell>
          <cell r="R1177">
            <v>0</v>
          </cell>
          <cell r="S1177">
            <v>0</v>
          </cell>
          <cell r="T1177">
            <v>63</v>
          </cell>
          <cell r="U1177">
            <v>113</v>
          </cell>
          <cell r="V1177">
            <v>107</v>
          </cell>
          <cell r="W1177">
            <v>183</v>
          </cell>
          <cell r="X1177">
            <v>0</v>
          </cell>
          <cell r="Y1177">
            <v>0</v>
          </cell>
          <cell r="Z1177">
            <v>107</v>
          </cell>
          <cell r="AA1177">
            <v>183</v>
          </cell>
          <cell r="AB1177">
            <v>176</v>
          </cell>
          <cell r="AC1177">
            <v>0</v>
          </cell>
          <cell r="AD1177">
            <v>176</v>
          </cell>
          <cell r="AE1177">
            <v>290</v>
          </cell>
          <cell r="AF1177">
            <v>0</v>
          </cell>
          <cell r="AG1177">
            <v>290</v>
          </cell>
        </row>
        <row r="1178">
          <cell r="C1178">
            <v>41071982</v>
          </cell>
          <cell r="D1178" t="str">
            <v>SHREE DNYANESHWARI PETROLEUM</v>
          </cell>
          <cell r="E1178" t="str">
            <v>HPCL</v>
          </cell>
          <cell r="F1178" t="str">
            <v>2024-25</v>
          </cell>
          <cell r="G1178" t="str">
            <v>Pune Hadapsar RSA</v>
          </cell>
          <cell r="J1178" t="str">
            <v>Manjari Khurd</v>
          </cell>
          <cell r="K1178" t="str">
            <v>Pune</v>
          </cell>
          <cell r="L1178" t="str">
            <v>C</v>
          </cell>
          <cell r="O1178" t="str">
            <v>B</v>
          </cell>
          <cell r="P1178">
            <v>128</v>
          </cell>
          <cell r="Q1178">
            <v>158</v>
          </cell>
          <cell r="R1178">
            <v>96</v>
          </cell>
          <cell r="S1178">
            <v>146</v>
          </cell>
          <cell r="T1178">
            <v>32</v>
          </cell>
          <cell r="U1178">
            <v>12</v>
          </cell>
          <cell r="V1178">
            <v>248</v>
          </cell>
          <cell r="W1178">
            <v>302</v>
          </cell>
          <cell r="X1178">
            <v>207</v>
          </cell>
          <cell r="Y1178">
            <v>287</v>
          </cell>
          <cell r="Z1178">
            <v>41</v>
          </cell>
          <cell r="AA1178">
            <v>15</v>
          </cell>
          <cell r="AB1178">
            <v>286</v>
          </cell>
          <cell r="AC1178">
            <v>242</v>
          </cell>
          <cell r="AD1178">
            <v>44</v>
          </cell>
          <cell r="AE1178">
            <v>550</v>
          </cell>
          <cell r="AF1178">
            <v>494</v>
          </cell>
          <cell r="AG1178">
            <v>56</v>
          </cell>
        </row>
        <row r="1179">
          <cell r="C1179">
            <v>41072754</v>
          </cell>
          <cell r="D1179" t="str">
            <v>OM ENTERPRISES</v>
          </cell>
          <cell r="E1179" t="str">
            <v>HPCL</v>
          </cell>
          <cell r="F1179" t="str">
            <v>2024-25</v>
          </cell>
          <cell r="G1179" t="str">
            <v>Pune Wagholi RSA</v>
          </cell>
          <cell r="J1179" t="str">
            <v>Narayangaon to Alephata RHS</v>
          </cell>
          <cell r="K1179" t="str">
            <v>Pune</v>
          </cell>
          <cell r="L1179" t="str">
            <v>D1</v>
          </cell>
          <cell r="M1179" t="str">
            <v>NH-60</v>
          </cell>
          <cell r="O1179" t="str">
            <v>B</v>
          </cell>
          <cell r="P1179">
            <v>83</v>
          </cell>
          <cell r="Q1179">
            <v>231</v>
          </cell>
          <cell r="R1179">
            <v>31</v>
          </cell>
          <cell r="S1179">
            <v>57</v>
          </cell>
          <cell r="T1179">
            <v>52</v>
          </cell>
          <cell r="U1179">
            <v>174</v>
          </cell>
          <cell r="V1179">
            <v>123</v>
          </cell>
          <cell r="W1179">
            <v>355</v>
          </cell>
          <cell r="X1179">
            <v>60</v>
          </cell>
          <cell r="Y1179">
            <v>112</v>
          </cell>
          <cell r="Z1179">
            <v>63</v>
          </cell>
          <cell r="AA1179">
            <v>243</v>
          </cell>
          <cell r="AB1179">
            <v>314</v>
          </cell>
          <cell r="AC1179">
            <v>88</v>
          </cell>
          <cell r="AD1179">
            <v>226</v>
          </cell>
          <cell r="AE1179">
            <v>478</v>
          </cell>
          <cell r="AF1179">
            <v>172</v>
          </cell>
          <cell r="AG1179">
            <v>306</v>
          </cell>
        </row>
        <row r="1180">
          <cell r="C1180">
            <v>41072755</v>
          </cell>
          <cell r="D1180" t="str">
            <v>JARANDESHWAR SUGAR MILLS PVT. LTD.</v>
          </cell>
          <cell r="E1180" t="str">
            <v>HPCL</v>
          </cell>
          <cell r="F1180" t="str">
            <v>2024-25</v>
          </cell>
          <cell r="G1180" t="str">
            <v>Satara East RSA</v>
          </cell>
          <cell r="J1180" t="str">
            <v>Bhatamwadi</v>
          </cell>
          <cell r="K1180" t="str">
            <v>Satara</v>
          </cell>
          <cell r="L1180" t="str">
            <v>E</v>
          </cell>
          <cell r="O1180" t="str">
            <v>B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</row>
        <row r="1181">
          <cell r="C1181">
            <v>41072756</v>
          </cell>
          <cell r="D1181" t="str">
            <v>SAKSHI PETROLEUM</v>
          </cell>
          <cell r="E1181" t="str">
            <v>HPCL</v>
          </cell>
          <cell r="F1181" t="str">
            <v>2023-24</v>
          </cell>
          <cell r="G1181" t="str">
            <v>Satara West RSA</v>
          </cell>
          <cell r="J1181" t="str">
            <v>KASHIL TO SHENDRE</v>
          </cell>
          <cell r="K1181" t="str">
            <v>Satara</v>
          </cell>
          <cell r="L1181" t="str">
            <v>D1</v>
          </cell>
          <cell r="M1181" t="str">
            <v>NH-48</v>
          </cell>
          <cell r="O1181" t="str">
            <v>A</v>
          </cell>
          <cell r="P1181">
            <v>23</v>
          </cell>
          <cell r="Q1181">
            <v>27</v>
          </cell>
          <cell r="R1181">
            <v>88</v>
          </cell>
          <cell r="S1181">
            <v>118</v>
          </cell>
          <cell r="T1181">
            <v>-65</v>
          </cell>
          <cell r="U1181">
            <v>-91</v>
          </cell>
          <cell r="V1181">
            <v>28</v>
          </cell>
          <cell r="W1181">
            <v>36</v>
          </cell>
          <cell r="X1181">
            <v>168</v>
          </cell>
          <cell r="Y1181">
            <v>246</v>
          </cell>
          <cell r="Z1181">
            <v>-140</v>
          </cell>
          <cell r="AA1181">
            <v>-210</v>
          </cell>
          <cell r="AB1181">
            <v>50</v>
          </cell>
          <cell r="AC1181">
            <v>206</v>
          </cell>
          <cell r="AD1181">
            <v>-156</v>
          </cell>
          <cell r="AE1181">
            <v>64</v>
          </cell>
          <cell r="AF1181">
            <v>414</v>
          </cell>
          <cell r="AG1181">
            <v>-350</v>
          </cell>
        </row>
        <row r="1182">
          <cell r="C1182">
            <v>41072757</v>
          </cell>
          <cell r="D1182" t="str">
            <v>SHANTAI PETROLEUM</v>
          </cell>
          <cell r="E1182" t="str">
            <v>HPCL</v>
          </cell>
          <cell r="F1182" t="str">
            <v>2023-24</v>
          </cell>
          <cell r="G1182" t="str">
            <v>Pimpri Chinchwad RSA</v>
          </cell>
          <cell r="J1182" t="str">
            <v>Chakan MIDC</v>
          </cell>
          <cell r="K1182" t="str">
            <v>Pune</v>
          </cell>
          <cell r="L1182" t="str">
            <v>A</v>
          </cell>
          <cell r="O1182" t="str">
            <v>A</v>
          </cell>
          <cell r="P1182">
            <v>24</v>
          </cell>
          <cell r="Q1182">
            <v>38</v>
          </cell>
          <cell r="R1182">
            <v>29</v>
          </cell>
          <cell r="S1182">
            <v>65</v>
          </cell>
          <cell r="T1182">
            <v>-5</v>
          </cell>
          <cell r="U1182">
            <v>-27</v>
          </cell>
          <cell r="V1182">
            <v>36</v>
          </cell>
          <cell r="W1182">
            <v>62</v>
          </cell>
          <cell r="X1182">
            <v>51</v>
          </cell>
          <cell r="Y1182">
            <v>103</v>
          </cell>
          <cell r="Z1182">
            <v>-15</v>
          </cell>
          <cell r="AA1182">
            <v>-41</v>
          </cell>
          <cell r="AB1182">
            <v>62</v>
          </cell>
          <cell r="AC1182">
            <v>94</v>
          </cell>
          <cell r="AD1182">
            <v>-32</v>
          </cell>
          <cell r="AE1182">
            <v>98</v>
          </cell>
          <cell r="AF1182">
            <v>154</v>
          </cell>
          <cell r="AG1182">
            <v>-56</v>
          </cell>
        </row>
        <row r="1183">
          <cell r="C1183">
            <v>41072942</v>
          </cell>
          <cell r="D1183" t="str">
            <v>KRISHIDEV PETROLEUM BARAD</v>
          </cell>
          <cell r="E1183" t="str">
            <v>HPCL</v>
          </cell>
          <cell r="F1183" t="str">
            <v>2024-25</v>
          </cell>
          <cell r="G1183" t="str">
            <v>Satara East RSA</v>
          </cell>
          <cell r="J1183" t="str">
            <v>Barad Gunaware Road</v>
          </cell>
          <cell r="K1183" t="str">
            <v>Satara</v>
          </cell>
          <cell r="L1183" t="str">
            <v>E</v>
          </cell>
          <cell r="O1183" t="str">
            <v>B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</row>
        <row r="1184">
          <cell r="C1184">
            <v>41073326</v>
          </cell>
          <cell r="D1184" t="str">
            <v>ADHOC SAMARTH PETROLEUM (41043751 AMRAPALI SERVICE STATION, SAHAJPUR(ADHOC SHREENATH MASKOBA PETRO PRODUCTS wef 01.05.2020)ADHOC SHREE VISHWA PETROLEUM</v>
          </cell>
          <cell r="E1184" t="str">
            <v>HPCL</v>
          </cell>
          <cell r="G1184" t="str">
            <v>Pune Hadapsar RSA</v>
          </cell>
          <cell r="J1184" t="str">
            <v>Urlikanchan RHS</v>
          </cell>
          <cell r="K1184" t="str">
            <v>Pune</v>
          </cell>
          <cell r="L1184" t="str">
            <v>D1</v>
          </cell>
          <cell r="M1184" t="str">
            <v>NH-65</v>
          </cell>
          <cell r="O1184" t="str">
            <v>A</v>
          </cell>
          <cell r="P1184">
            <v>36</v>
          </cell>
          <cell r="Q1184">
            <v>84</v>
          </cell>
          <cell r="R1184">
            <v>31</v>
          </cell>
          <cell r="S1184">
            <v>41</v>
          </cell>
          <cell r="T1184">
            <v>5</v>
          </cell>
          <cell r="U1184">
            <v>43</v>
          </cell>
          <cell r="V1184">
            <v>56</v>
          </cell>
          <cell r="W1184">
            <v>124</v>
          </cell>
          <cell r="X1184">
            <v>43</v>
          </cell>
          <cell r="Y1184">
            <v>65</v>
          </cell>
          <cell r="Z1184">
            <v>13</v>
          </cell>
          <cell r="AA1184">
            <v>59</v>
          </cell>
          <cell r="AB1184">
            <v>120</v>
          </cell>
          <cell r="AC1184">
            <v>72</v>
          </cell>
          <cell r="AD1184">
            <v>48</v>
          </cell>
          <cell r="AE1184">
            <v>180</v>
          </cell>
          <cell r="AF1184">
            <v>108</v>
          </cell>
          <cell r="AG1184">
            <v>72</v>
          </cell>
        </row>
        <row r="1185">
          <cell r="C1185">
            <v>41073382</v>
          </cell>
          <cell r="D1185" t="str">
            <v>RAJARAM PETROLEUM</v>
          </cell>
          <cell r="E1185" t="str">
            <v>HPCL</v>
          </cell>
          <cell r="F1185" t="str">
            <v>2024-25</v>
          </cell>
          <cell r="G1185" t="str">
            <v>Pimpri Chinchwad RSA</v>
          </cell>
          <cell r="J1185" t="str">
            <v>Bhosari</v>
          </cell>
          <cell r="K1185" t="str">
            <v>Pune</v>
          </cell>
          <cell r="L1185" t="str">
            <v>A</v>
          </cell>
          <cell r="O1185" t="str">
            <v>A</v>
          </cell>
          <cell r="P1185">
            <v>189</v>
          </cell>
          <cell r="Q1185">
            <v>247</v>
          </cell>
          <cell r="R1185">
            <v>136</v>
          </cell>
          <cell r="S1185">
            <v>114</v>
          </cell>
          <cell r="T1185">
            <v>53</v>
          </cell>
          <cell r="U1185">
            <v>133</v>
          </cell>
          <cell r="V1185">
            <v>333</v>
          </cell>
          <cell r="W1185">
            <v>465</v>
          </cell>
          <cell r="X1185">
            <v>267</v>
          </cell>
          <cell r="Y1185">
            <v>219</v>
          </cell>
          <cell r="Z1185">
            <v>66</v>
          </cell>
          <cell r="AA1185">
            <v>246</v>
          </cell>
          <cell r="AB1185">
            <v>436</v>
          </cell>
          <cell r="AC1185">
            <v>250</v>
          </cell>
          <cell r="AD1185">
            <v>186</v>
          </cell>
          <cell r="AE1185">
            <v>798</v>
          </cell>
          <cell r="AF1185">
            <v>486</v>
          </cell>
          <cell r="AG1185">
            <v>312</v>
          </cell>
        </row>
        <row r="1186">
          <cell r="C1186">
            <v>41074200</v>
          </cell>
          <cell r="D1186" t="str">
            <v>JAY SHREENATH PETROLEUM</v>
          </cell>
          <cell r="E1186" t="str">
            <v>HPCL</v>
          </cell>
          <cell r="F1186" t="str">
            <v>2024-25</v>
          </cell>
          <cell r="G1186" t="str">
            <v>Pimpri Chinchwad RSA</v>
          </cell>
          <cell r="J1186" t="str">
            <v>NIGHOJE</v>
          </cell>
          <cell r="K1186" t="str">
            <v>Pune</v>
          </cell>
          <cell r="L1186" t="str">
            <v>C</v>
          </cell>
          <cell r="O1186" t="str">
            <v>B</v>
          </cell>
          <cell r="P1186">
            <v>44</v>
          </cell>
          <cell r="Q1186">
            <v>100</v>
          </cell>
          <cell r="R1186">
            <v>55</v>
          </cell>
          <cell r="S1186">
            <v>111</v>
          </cell>
          <cell r="T1186">
            <v>-11</v>
          </cell>
          <cell r="U1186">
            <v>-11</v>
          </cell>
          <cell r="V1186">
            <v>90</v>
          </cell>
          <cell r="W1186">
            <v>196</v>
          </cell>
          <cell r="X1186">
            <v>118</v>
          </cell>
          <cell r="Y1186">
            <v>212</v>
          </cell>
          <cell r="Z1186">
            <v>-28</v>
          </cell>
          <cell r="AA1186">
            <v>-16</v>
          </cell>
          <cell r="AB1186">
            <v>144</v>
          </cell>
          <cell r="AC1186">
            <v>166</v>
          </cell>
          <cell r="AD1186">
            <v>-22</v>
          </cell>
          <cell r="AE1186">
            <v>286</v>
          </cell>
          <cell r="AF1186">
            <v>330</v>
          </cell>
          <cell r="AG1186">
            <v>-44</v>
          </cell>
        </row>
        <row r="1187">
          <cell r="C1187">
            <v>41074695</v>
          </cell>
          <cell r="D1187" t="str">
            <v>MSHSD GANGA PETROLEUM</v>
          </cell>
          <cell r="E1187" t="str">
            <v>HPCL</v>
          </cell>
          <cell r="F1187" t="str">
            <v>2024-25</v>
          </cell>
          <cell r="G1187" t="str">
            <v>Ahmednagar West RSA</v>
          </cell>
          <cell r="J1187" t="str">
            <v>CHIKHALI</v>
          </cell>
          <cell r="K1187" t="str">
            <v>Ahmednagar</v>
          </cell>
          <cell r="L1187" t="str">
            <v>D1</v>
          </cell>
          <cell r="M1187" t="str">
            <v>NH-160</v>
          </cell>
          <cell r="O1187" t="str">
            <v>A</v>
          </cell>
          <cell r="P1187">
            <v>29</v>
          </cell>
          <cell r="Q1187">
            <v>145</v>
          </cell>
          <cell r="R1187">
            <v>0</v>
          </cell>
          <cell r="S1187">
            <v>0</v>
          </cell>
          <cell r="T1187">
            <v>29</v>
          </cell>
          <cell r="U1187">
            <v>145</v>
          </cell>
          <cell r="V1187">
            <v>63</v>
          </cell>
          <cell r="W1187">
            <v>269</v>
          </cell>
          <cell r="X1187">
            <v>0</v>
          </cell>
          <cell r="Y1187">
            <v>0</v>
          </cell>
          <cell r="Z1187">
            <v>63</v>
          </cell>
          <cell r="AA1187">
            <v>269</v>
          </cell>
          <cell r="AB1187">
            <v>174</v>
          </cell>
          <cell r="AC1187">
            <v>0</v>
          </cell>
          <cell r="AD1187">
            <v>174</v>
          </cell>
          <cell r="AE1187">
            <v>332</v>
          </cell>
          <cell r="AF1187">
            <v>0</v>
          </cell>
          <cell r="AG1187">
            <v>332</v>
          </cell>
        </row>
        <row r="1188">
          <cell r="C1188">
            <v>41074817</v>
          </cell>
          <cell r="D1188" t="str">
            <v>MSHSD SYNERGY PETROLEUM</v>
          </cell>
          <cell r="E1188" t="str">
            <v>HPCL</v>
          </cell>
          <cell r="F1188" t="str">
            <v>2024-25</v>
          </cell>
          <cell r="G1188" t="str">
            <v>Ahmednagar East RSA</v>
          </cell>
          <cell r="J1188" t="str">
            <v>Nagar-Manmad Bypass</v>
          </cell>
          <cell r="K1188" t="str">
            <v>Ahmednagar</v>
          </cell>
          <cell r="L1188" t="str">
            <v>D1</v>
          </cell>
          <cell r="M1188" t="str">
            <v>NH-160</v>
          </cell>
          <cell r="O1188" t="str">
            <v>B</v>
          </cell>
          <cell r="P1188">
            <v>32</v>
          </cell>
          <cell r="Q1188">
            <v>136</v>
          </cell>
          <cell r="R1188">
            <v>25</v>
          </cell>
          <cell r="S1188">
            <v>69</v>
          </cell>
          <cell r="T1188">
            <v>7</v>
          </cell>
          <cell r="U1188">
            <v>67</v>
          </cell>
          <cell r="V1188">
            <v>57</v>
          </cell>
          <cell r="W1188">
            <v>267</v>
          </cell>
          <cell r="X1188">
            <v>41</v>
          </cell>
          <cell r="Y1188">
            <v>115</v>
          </cell>
          <cell r="Z1188">
            <v>16</v>
          </cell>
          <cell r="AA1188">
            <v>152</v>
          </cell>
          <cell r="AB1188">
            <v>168</v>
          </cell>
          <cell r="AC1188">
            <v>94</v>
          </cell>
          <cell r="AD1188">
            <v>74</v>
          </cell>
          <cell r="AE1188">
            <v>324</v>
          </cell>
          <cell r="AF1188">
            <v>156</v>
          </cell>
          <cell r="AG1188">
            <v>168</v>
          </cell>
        </row>
        <row r="1189">
          <cell r="C1189">
            <v>41075177</v>
          </cell>
          <cell r="D1189" t="str">
            <v>DNYANRAJ PETROLEUM</v>
          </cell>
          <cell r="E1189" t="str">
            <v>HPCL</v>
          </cell>
          <cell r="F1189" t="str">
            <v>2024-25</v>
          </cell>
          <cell r="G1189" t="str">
            <v>Satara East RSA</v>
          </cell>
          <cell r="J1189" t="str">
            <v>BORWAT</v>
          </cell>
          <cell r="K1189" t="str">
            <v>Satara</v>
          </cell>
          <cell r="L1189" t="str">
            <v>E</v>
          </cell>
          <cell r="O1189" t="str">
            <v>B</v>
          </cell>
          <cell r="P1189">
            <v>38</v>
          </cell>
          <cell r="Q1189">
            <v>512</v>
          </cell>
          <cell r="R1189">
            <v>29</v>
          </cell>
          <cell r="S1189">
            <v>25</v>
          </cell>
          <cell r="T1189">
            <v>9</v>
          </cell>
          <cell r="U1189">
            <v>487</v>
          </cell>
          <cell r="V1189">
            <v>75</v>
          </cell>
          <cell r="W1189">
            <v>785</v>
          </cell>
          <cell r="X1189">
            <v>61</v>
          </cell>
          <cell r="Y1189">
            <v>81</v>
          </cell>
          <cell r="Z1189">
            <v>14</v>
          </cell>
          <cell r="AA1189">
            <v>704</v>
          </cell>
          <cell r="AB1189">
            <v>550</v>
          </cell>
          <cell r="AC1189">
            <v>54</v>
          </cell>
          <cell r="AD1189">
            <v>496</v>
          </cell>
          <cell r="AE1189">
            <v>860</v>
          </cell>
          <cell r="AF1189">
            <v>142</v>
          </cell>
          <cell r="AG1189">
            <v>718</v>
          </cell>
        </row>
        <row r="1190">
          <cell r="C1190">
            <v>41075178</v>
          </cell>
          <cell r="D1190" t="str">
            <v>SHRI SAMARTH KRUPA PETROLEUM</v>
          </cell>
          <cell r="E1190" t="str">
            <v>HPCL</v>
          </cell>
          <cell r="F1190" t="str">
            <v>2024-25</v>
          </cell>
          <cell r="G1190" t="str">
            <v>Pune Wagholi RSA</v>
          </cell>
          <cell r="J1190" t="str">
            <v>Peth on NH RHS</v>
          </cell>
          <cell r="K1190" t="str">
            <v>Pune</v>
          </cell>
          <cell r="L1190" t="str">
            <v>D1</v>
          </cell>
          <cell r="M1190" t="str">
            <v>NH-60</v>
          </cell>
          <cell r="O1190" t="str">
            <v>B</v>
          </cell>
          <cell r="P1190">
            <v>15</v>
          </cell>
          <cell r="Q1190">
            <v>21</v>
          </cell>
          <cell r="R1190">
            <v>0</v>
          </cell>
          <cell r="S1190">
            <v>0</v>
          </cell>
          <cell r="T1190">
            <v>15</v>
          </cell>
          <cell r="U1190">
            <v>21</v>
          </cell>
          <cell r="V1190">
            <v>18</v>
          </cell>
          <cell r="W1190">
            <v>30</v>
          </cell>
          <cell r="X1190">
            <v>0</v>
          </cell>
          <cell r="Y1190">
            <v>0</v>
          </cell>
          <cell r="Z1190">
            <v>18</v>
          </cell>
          <cell r="AA1190">
            <v>30</v>
          </cell>
          <cell r="AB1190">
            <v>36</v>
          </cell>
          <cell r="AC1190">
            <v>0</v>
          </cell>
          <cell r="AD1190">
            <v>36</v>
          </cell>
          <cell r="AE1190">
            <v>48</v>
          </cell>
          <cell r="AF1190">
            <v>0</v>
          </cell>
          <cell r="AG1190">
            <v>48</v>
          </cell>
        </row>
        <row r="1191">
          <cell r="C1191">
            <v>41075398</v>
          </cell>
          <cell r="D1191" t="str">
            <v>Shree Morya Petroleum</v>
          </cell>
          <cell r="E1191" t="str">
            <v>HPCL</v>
          </cell>
          <cell r="F1191" t="str">
            <v>2024-25</v>
          </cell>
          <cell r="G1191" t="str">
            <v>Pune Wagholi RSA</v>
          </cell>
          <cell r="J1191" t="str">
            <v>Shikrapur to Ranjangaon RHS</v>
          </cell>
          <cell r="K1191" t="str">
            <v>Pune</v>
          </cell>
          <cell r="L1191" t="str">
            <v>D1</v>
          </cell>
          <cell r="M1191" t="str">
            <v>NH-753F</v>
          </cell>
          <cell r="O1191" t="str">
            <v>B</v>
          </cell>
          <cell r="P1191">
            <v>60</v>
          </cell>
          <cell r="Q1191">
            <v>276</v>
          </cell>
          <cell r="R1191">
            <v>40</v>
          </cell>
          <cell r="S1191">
            <v>120</v>
          </cell>
          <cell r="T1191">
            <v>20</v>
          </cell>
          <cell r="U1191">
            <v>156</v>
          </cell>
          <cell r="V1191">
            <v>100</v>
          </cell>
          <cell r="W1191">
            <v>528</v>
          </cell>
          <cell r="X1191">
            <v>84</v>
          </cell>
          <cell r="Y1191">
            <v>228</v>
          </cell>
          <cell r="Z1191">
            <v>16</v>
          </cell>
          <cell r="AA1191">
            <v>300</v>
          </cell>
          <cell r="AB1191">
            <v>336</v>
          </cell>
          <cell r="AC1191">
            <v>160</v>
          </cell>
          <cell r="AD1191">
            <v>176</v>
          </cell>
          <cell r="AE1191">
            <v>628</v>
          </cell>
          <cell r="AF1191">
            <v>312</v>
          </cell>
          <cell r="AG1191">
            <v>316</v>
          </cell>
        </row>
        <row r="1192">
          <cell r="C1192">
            <v>41075773</v>
          </cell>
          <cell r="D1192" t="str">
            <v>PERFECT PETROLEUM</v>
          </cell>
          <cell r="E1192" t="str">
            <v>HPCL</v>
          </cell>
          <cell r="F1192" t="str">
            <v>2024-25</v>
          </cell>
          <cell r="G1192" t="str">
            <v>Pune Wagholi RSA</v>
          </cell>
          <cell r="J1192" t="str">
            <v>Nimone</v>
          </cell>
          <cell r="K1192" t="str">
            <v>Pune</v>
          </cell>
          <cell r="L1192" t="str">
            <v>E</v>
          </cell>
          <cell r="O1192" t="str">
            <v>B</v>
          </cell>
          <cell r="P1192">
            <v>52</v>
          </cell>
          <cell r="Q1192">
            <v>218</v>
          </cell>
          <cell r="R1192">
            <v>34</v>
          </cell>
          <cell r="S1192">
            <v>92</v>
          </cell>
          <cell r="T1192">
            <v>18</v>
          </cell>
          <cell r="U1192">
            <v>126</v>
          </cell>
          <cell r="V1192">
            <v>82</v>
          </cell>
          <cell r="W1192">
            <v>332</v>
          </cell>
          <cell r="X1192">
            <v>64</v>
          </cell>
          <cell r="Y1192">
            <v>188</v>
          </cell>
          <cell r="Z1192">
            <v>18</v>
          </cell>
          <cell r="AA1192">
            <v>144</v>
          </cell>
          <cell r="AB1192">
            <v>270</v>
          </cell>
          <cell r="AC1192">
            <v>126</v>
          </cell>
          <cell r="AD1192">
            <v>144</v>
          </cell>
          <cell r="AE1192">
            <v>414</v>
          </cell>
          <cell r="AF1192">
            <v>252</v>
          </cell>
          <cell r="AG1192">
            <v>162</v>
          </cell>
        </row>
        <row r="1193">
          <cell r="C1193">
            <v>41075777</v>
          </cell>
          <cell r="D1193" t="str">
            <v>OMRAJ PETROLEUM</v>
          </cell>
          <cell r="E1193" t="str">
            <v>HPCL</v>
          </cell>
          <cell r="F1193" t="str">
            <v>2024-25</v>
          </cell>
          <cell r="G1193" t="str">
            <v>Pune Tathawade RSA</v>
          </cell>
          <cell r="J1193" t="str">
            <v>BARAMATI MIDC TO UNDAVADI KADE PATHAR</v>
          </cell>
          <cell r="K1193" t="str">
            <v>Pune</v>
          </cell>
          <cell r="L1193" t="str">
            <v>D1</v>
          </cell>
          <cell r="M1193" t="str">
            <v>NH-965G</v>
          </cell>
          <cell r="O1193" t="str">
            <v>B</v>
          </cell>
          <cell r="P1193">
            <v>49</v>
          </cell>
          <cell r="Q1193">
            <v>231</v>
          </cell>
          <cell r="R1193">
            <v>28</v>
          </cell>
          <cell r="S1193">
            <v>116</v>
          </cell>
          <cell r="T1193">
            <v>21</v>
          </cell>
          <cell r="U1193">
            <v>115</v>
          </cell>
          <cell r="V1193">
            <v>83</v>
          </cell>
          <cell r="W1193">
            <v>411</v>
          </cell>
          <cell r="X1193">
            <v>52</v>
          </cell>
          <cell r="Y1193">
            <v>230</v>
          </cell>
          <cell r="Z1193">
            <v>31</v>
          </cell>
          <cell r="AA1193">
            <v>181</v>
          </cell>
          <cell r="AB1193">
            <v>280</v>
          </cell>
          <cell r="AC1193">
            <v>144</v>
          </cell>
          <cell r="AD1193">
            <v>136</v>
          </cell>
          <cell r="AE1193">
            <v>494</v>
          </cell>
          <cell r="AF1193">
            <v>282</v>
          </cell>
          <cell r="AG1193">
            <v>212</v>
          </cell>
        </row>
        <row r="1194">
          <cell r="C1194">
            <v>41075913</v>
          </cell>
          <cell r="D1194" t="str">
            <v>SHREE VALLABH PETROLEUM</v>
          </cell>
          <cell r="E1194" t="str">
            <v>HPCL</v>
          </cell>
          <cell r="F1194" t="str">
            <v>2024-25</v>
          </cell>
          <cell r="G1194" t="str">
            <v>Pune Wagholi RSA</v>
          </cell>
          <cell r="J1194" t="str">
            <v>Shikrapur to Inamgaon</v>
          </cell>
          <cell r="K1194" t="str">
            <v>Pune</v>
          </cell>
          <cell r="L1194" t="str">
            <v>D1</v>
          </cell>
          <cell r="M1194" t="str">
            <v>NH-548D</v>
          </cell>
          <cell r="O1194" t="str">
            <v>A</v>
          </cell>
          <cell r="P1194">
            <v>28</v>
          </cell>
          <cell r="Q1194">
            <v>142</v>
          </cell>
          <cell r="R1194">
            <v>22</v>
          </cell>
          <cell r="S1194">
            <v>46</v>
          </cell>
          <cell r="T1194">
            <v>6</v>
          </cell>
          <cell r="U1194">
            <v>96</v>
          </cell>
          <cell r="V1194">
            <v>42</v>
          </cell>
          <cell r="W1194">
            <v>238</v>
          </cell>
          <cell r="X1194">
            <v>45</v>
          </cell>
          <cell r="Y1194">
            <v>97</v>
          </cell>
          <cell r="Z1194">
            <v>-3</v>
          </cell>
          <cell r="AA1194">
            <v>141</v>
          </cell>
          <cell r="AB1194">
            <v>170</v>
          </cell>
          <cell r="AC1194">
            <v>68</v>
          </cell>
          <cell r="AD1194">
            <v>102</v>
          </cell>
          <cell r="AE1194">
            <v>280</v>
          </cell>
          <cell r="AF1194">
            <v>142</v>
          </cell>
          <cell r="AG1194">
            <v>138</v>
          </cell>
        </row>
        <row r="1195">
          <cell r="C1195">
            <v>41076049</v>
          </cell>
          <cell r="D1195" t="str">
            <v>MAULI PETRO STATION</v>
          </cell>
          <cell r="E1195" t="str">
            <v>HPCL</v>
          </cell>
          <cell r="F1195" t="str">
            <v>2024-25</v>
          </cell>
          <cell r="G1195" t="str">
            <v>Ahmednagar West RSA</v>
          </cell>
          <cell r="J1195" t="str">
            <v>KARJAT-RASHIN RD</v>
          </cell>
          <cell r="K1195" t="str">
            <v>Ahmednagar</v>
          </cell>
          <cell r="L1195" t="str">
            <v>D2</v>
          </cell>
          <cell r="O1195" t="str">
            <v>B</v>
          </cell>
          <cell r="P1195">
            <v>56</v>
          </cell>
          <cell r="Q1195">
            <v>274</v>
          </cell>
          <cell r="R1195">
            <v>23</v>
          </cell>
          <cell r="S1195">
            <v>85</v>
          </cell>
          <cell r="T1195">
            <v>33</v>
          </cell>
          <cell r="U1195">
            <v>189</v>
          </cell>
          <cell r="V1195">
            <v>97</v>
          </cell>
          <cell r="W1195">
            <v>497</v>
          </cell>
          <cell r="X1195">
            <v>41</v>
          </cell>
          <cell r="Y1195">
            <v>169</v>
          </cell>
          <cell r="Z1195">
            <v>56</v>
          </cell>
          <cell r="AA1195">
            <v>328</v>
          </cell>
          <cell r="AB1195">
            <v>330</v>
          </cell>
          <cell r="AC1195">
            <v>108</v>
          </cell>
          <cell r="AD1195">
            <v>222</v>
          </cell>
          <cell r="AE1195">
            <v>594</v>
          </cell>
          <cell r="AF1195">
            <v>210</v>
          </cell>
          <cell r="AG1195">
            <v>384</v>
          </cell>
        </row>
        <row r="1196">
          <cell r="C1196">
            <v>41076824</v>
          </cell>
          <cell r="D1196" t="str">
            <v>Auto Care Centre (COMCO 12558880, 41042567)</v>
          </cell>
          <cell r="E1196" t="str">
            <v>HPCL</v>
          </cell>
          <cell r="G1196" t="str">
            <v>Ahmednagar East RSA</v>
          </cell>
          <cell r="J1196" t="str">
            <v>Supe</v>
          </cell>
          <cell r="K1196" t="str">
            <v>Ahmednagar</v>
          </cell>
          <cell r="L1196" t="str">
            <v>D1</v>
          </cell>
          <cell r="M1196" t="str">
            <v>NH-753F</v>
          </cell>
          <cell r="O1196" t="str">
            <v>A</v>
          </cell>
          <cell r="P1196">
            <v>227</v>
          </cell>
          <cell r="Q1196">
            <v>755</v>
          </cell>
          <cell r="R1196">
            <v>237</v>
          </cell>
          <cell r="S1196">
            <v>707</v>
          </cell>
          <cell r="T1196">
            <v>-10</v>
          </cell>
          <cell r="U1196">
            <v>48</v>
          </cell>
          <cell r="V1196">
            <v>430</v>
          </cell>
          <cell r="W1196">
            <v>1372</v>
          </cell>
          <cell r="X1196">
            <v>466</v>
          </cell>
          <cell r="Y1196">
            <v>1366</v>
          </cell>
          <cell r="Z1196">
            <v>-36</v>
          </cell>
          <cell r="AA1196">
            <v>6</v>
          </cell>
          <cell r="AB1196">
            <v>982</v>
          </cell>
          <cell r="AC1196">
            <v>944</v>
          </cell>
          <cell r="AD1196">
            <v>38</v>
          </cell>
          <cell r="AE1196">
            <v>1802</v>
          </cell>
          <cell r="AF1196">
            <v>1832</v>
          </cell>
          <cell r="AG1196">
            <v>-30</v>
          </cell>
        </row>
        <row r="1197">
          <cell r="C1197">
            <v>41076871</v>
          </cell>
          <cell r="D1197" t="str">
            <v>SRUSHTI PETROLEUM</v>
          </cell>
          <cell r="E1197" t="str">
            <v>HPCL</v>
          </cell>
          <cell r="F1197" t="str">
            <v>2024-25</v>
          </cell>
          <cell r="G1197" t="str">
            <v>Pune Hadapsar RSA</v>
          </cell>
          <cell r="J1197" t="str">
            <v>Ravangaon RHS</v>
          </cell>
          <cell r="K1197" t="str">
            <v>Pune</v>
          </cell>
          <cell r="L1197" t="str">
            <v>D1</v>
          </cell>
          <cell r="M1197" t="str">
            <v>NH-65</v>
          </cell>
          <cell r="O1197" t="str">
            <v>B</v>
          </cell>
          <cell r="P1197">
            <v>31</v>
          </cell>
          <cell r="Q1197">
            <v>91</v>
          </cell>
          <cell r="R1197">
            <v>9</v>
          </cell>
          <cell r="S1197">
            <v>3</v>
          </cell>
          <cell r="T1197">
            <v>22</v>
          </cell>
          <cell r="U1197">
            <v>88</v>
          </cell>
          <cell r="V1197">
            <v>59</v>
          </cell>
          <cell r="W1197">
            <v>167</v>
          </cell>
          <cell r="X1197">
            <v>9</v>
          </cell>
          <cell r="Y1197">
            <v>3</v>
          </cell>
          <cell r="Z1197">
            <v>50</v>
          </cell>
          <cell r="AA1197">
            <v>164</v>
          </cell>
          <cell r="AB1197">
            <v>122</v>
          </cell>
          <cell r="AC1197">
            <v>12</v>
          </cell>
          <cell r="AD1197">
            <v>110</v>
          </cell>
          <cell r="AE1197">
            <v>226</v>
          </cell>
          <cell r="AF1197">
            <v>12</v>
          </cell>
          <cell r="AG1197">
            <v>214</v>
          </cell>
        </row>
        <row r="1198">
          <cell r="C1198">
            <v>41076946</v>
          </cell>
          <cell r="D1198" t="str">
            <v>SHAMBHU PETROLEUM</v>
          </cell>
          <cell r="E1198" t="str">
            <v>HPCL</v>
          </cell>
          <cell r="F1198" t="str">
            <v>2025-26</v>
          </cell>
          <cell r="G1198" t="str">
            <v>Pune City RSA</v>
          </cell>
          <cell r="J1198" t="str">
            <v>LOHAGOAN RURAL</v>
          </cell>
          <cell r="K1198" t="str">
            <v>Pune</v>
          </cell>
          <cell r="L1198" t="str">
            <v>A</v>
          </cell>
          <cell r="O1198" t="str">
            <v>A</v>
          </cell>
          <cell r="P1198">
            <v>114</v>
          </cell>
          <cell r="Q1198">
            <v>72</v>
          </cell>
          <cell r="R1198">
            <v>15</v>
          </cell>
          <cell r="S1198">
            <v>5</v>
          </cell>
          <cell r="T1198">
            <v>99</v>
          </cell>
          <cell r="U1198">
            <v>67</v>
          </cell>
          <cell r="V1198">
            <v>193</v>
          </cell>
          <cell r="W1198">
            <v>135</v>
          </cell>
          <cell r="X1198">
            <v>30</v>
          </cell>
          <cell r="Y1198">
            <v>10</v>
          </cell>
          <cell r="Z1198">
            <v>163</v>
          </cell>
          <cell r="AA1198">
            <v>125</v>
          </cell>
          <cell r="AB1198">
            <v>186</v>
          </cell>
          <cell r="AC1198">
            <v>20</v>
          </cell>
          <cell r="AD1198">
            <v>166</v>
          </cell>
          <cell r="AE1198">
            <v>328</v>
          </cell>
          <cell r="AF1198">
            <v>40</v>
          </cell>
          <cell r="AG1198">
            <v>288</v>
          </cell>
        </row>
        <row r="1199">
          <cell r="C1199">
            <v>41077024</v>
          </cell>
          <cell r="D1199" t="str">
            <v>NIRMALA PETROLEUM</v>
          </cell>
          <cell r="E1199" t="str">
            <v>HPCL</v>
          </cell>
          <cell r="F1199" t="str">
            <v>2025-26</v>
          </cell>
          <cell r="G1199" t="str">
            <v>Ahmednagar West RSA</v>
          </cell>
          <cell r="J1199" t="str">
            <v>LONI VYNKNATH-KASHTI (NH)</v>
          </cell>
          <cell r="K1199" t="str">
            <v>Ahmednagar</v>
          </cell>
          <cell r="L1199" t="str">
            <v>D1</v>
          </cell>
          <cell r="M1199" t="str">
            <v>NH-160</v>
          </cell>
          <cell r="O1199" t="str">
            <v>B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</row>
        <row r="1200">
          <cell r="C1200">
            <v>41077110</v>
          </cell>
          <cell r="D1200" t="str">
            <v>K D PETROLEUM</v>
          </cell>
          <cell r="E1200" t="str">
            <v>HPCL</v>
          </cell>
          <cell r="F1200" t="str">
            <v>2025-26</v>
          </cell>
          <cell r="G1200" t="str">
            <v>Pimpri Chinchwad RSA</v>
          </cell>
          <cell r="J1200" t="str">
            <v>Walhekarwadi</v>
          </cell>
          <cell r="K1200" t="str">
            <v>Pune</v>
          </cell>
          <cell r="L1200" t="str">
            <v>A</v>
          </cell>
          <cell r="O1200" t="str">
            <v>A</v>
          </cell>
          <cell r="P1200">
            <v>220</v>
          </cell>
          <cell r="Q1200">
            <v>106</v>
          </cell>
          <cell r="R1200">
            <v>172</v>
          </cell>
          <cell r="S1200">
            <v>60</v>
          </cell>
          <cell r="T1200">
            <v>48</v>
          </cell>
          <cell r="U1200">
            <v>46</v>
          </cell>
          <cell r="V1200">
            <v>431</v>
          </cell>
          <cell r="W1200">
            <v>221</v>
          </cell>
          <cell r="X1200">
            <v>293</v>
          </cell>
          <cell r="Y1200">
            <v>105</v>
          </cell>
          <cell r="Z1200">
            <v>138</v>
          </cell>
          <cell r="AA1200">
            <v>116</v>
          </cell>
          <cell r="AB1200">
            <v>326</v>
          </cell>
          <cell r="AC1200">
            <v>232</v>
          </cell>
          <cell r="AD1200">
            <v>94</v>
          </cell>
          <cell r="AE1200">
            <v>652</v>
          </cell>
          <cell r="AF1200">
            <v>398</v>
          </cell>
          <cell r="AG1200">
            <v>254</v>
          </cell>
        </row>
        <row r="1201">
          <cell r="C1201">
            <v>41077528</v>
          </cell>
          <cell r="D1201" t="str">
            <v>KAVERI PETROLEUM</v>
          </cell>
          <cell r="E1201" t="str">
            <v>HPCL</v>
          </cell>
          <cell r="F1201" t="str">
            <v>2024-25</v>
          </cell>
          <cell r="G1201" t="str">
            <v>Pune Hadapsar RSA</v>
          </cell>
          <cell r="J1201" t="str">
            <v>Ravangaon LHS</v>
          </cell>
          <cell r="K1201" t="str">
            <v>Pune</v>
          </cell>
          <cell r="L1201" t="str">
            <v>D1</v>
          </cell>
          <cell r="M1201" t="str">
            <v>NH-65</v>
          </cell>
          <cell r="O1201" t="str">
            <v>B</v>
          </cell>
          <cell r="P1201">
            <v>15</v>
          </cell>
          <cell r="Q1201">
            <v>57</v>
          </cell>
          <cell r="R1201">
            <v>0</v>
          </cell>
          <cell r="S1201">
            <v>0</v>
          </cell>
          <cell r="T1201">
            <v>15</v>
          </cell>
          <cell r="U1201">
            <v>57</v>
          </cell>
          <cell r="V1201">
            <v>24</v>
          </cell>
          <cell r="W1201">
            <v>84</v>
          </cell>
          <cell r="X1201">
            <v>0</v>
          </cell>
          <cell r="Y1201">
            <v>0</v>
          </cell>
          <cell r="Z1201">
            <v>24</v>
          </cell>
          <cell r="AA1201">
            <v>84</v>
          </cell>
          <cell r="AB1201">
            <v>72</v>
          </cell>
          <cell r="AC1201">
            <v>0</v>
          </cell>
          <cell r="AD1201">
            <v>72</v>
          </cell>
          <cell r="AE1201">
            <v>108</v>
          </cell>
          <cell r="AF1201">
            <v>0</v>
          </cell>
          <cell r="AG1201">
            <v>108</v>
          </cell>
        </row>
        <row r="1202">
          <cell r="C1202">
            <v>41077770</v>
          </cell>
          <cell r="D1202" t="str">
            <v>MAULI PETROLEUM</v>
          </cell>
          <cell r="E1202" t="str">
            <v>HPCL</v>
          </cell>
          <cell r="F1202" t="str">
            <v>2024-25</v>
          </cell>
          <cell r="G1202" t="str">
            <v>Pimpri Chinchwad RSA</v>
          </cell>
          <cell r="J1202" t="str">
            <v>Chakan MIDC</v>
          </cell>
          <cell r="K1202" t="str">
            <v>Pune</v>
          </cell>
          <cell r="L1202" t="str">
            <v>C</v>
          </cell>
          <cell r="O1202" t="str">
            <v>A</v>
          </cell>
          <cell r="P1202">
            <v>24</v>
          </cell>
          <cell r="Q1202">
            <v>30</v>
          </cell>
          <cell r="R1202">
            <v>9</v>
          </cell>
          <cell r="S1202">
            <v>15</v>
          </cell>
          <cell r="T1202">
            <v>15</v>
          </cell>
          <cell r="U1202">
            <v>15</v>
          </cell>
          <cell r="V1202">
            <v>49</v>
          </cell>
          <cell r="W1202">
            <v>59</v>
          </cell>
          <cell r="X1202">
            <v>18</v>
          </cell>
          <cell r="Y1202">
            <v>42</v>
          </cell>
          <cell r="Z1202">
            <v>31</v>
          </cell>
          <cell r="AA1202">
            <v>17</v>
          </cell>
          <cell r="AB1202">
            <v>54</v>
          </cell>
          <cell r="AC1202">
            <v>24</v>
          </cell>
          <cell r="AD1202">
            <v>30</v>
          </cell>
          <cell r="AE1202">
            <v>108</v>
          </cell>
          <cell r="AF1202">
            <v>60</v>
          </cell>
          <cell r="AG1202">
            <v>48</v>
          </cell>
        </row>
        <row r="1203">
          <cell r="C1203">
            <v>41078522</v>
          </cell>
          <cell r="D1203" t="str">
            <v>MUKTA PETROLEUM</v>
          </cell>
          <cell r="E1203" t="str">
            <v>HPCL</v>
          </cell>
          <cell r="F1203" t="str">
            <v>2024-25</v>
          </cell>
          <cell r="G1203" t="str">
            <v>Ahmednagar West RSA</v>
          </cell>
          <cell r="J1203" t="str">
            <v>JAMKHED-SHRIGONDA RD</v>
          </cell>
          <cell r="K1203" t="str">
            <v>Ahmednagar</v>
          </cell>
          <cell r="L1203" t="str">
            <v>D1</v>
          </cell>
          <cell r="M1203" t="str">
            <v>NH-548D</v>
          </cell>
          <cell r="O1203" t="str">
            <v>B</v>
          </cell>
          <cell r="P1203">
            <v>40</v>
          </cell>
          <cell r="Q1203">
            <v>294</v>
          </cell>
          <cell r="R1203">
            <v>26</v>
          </cell>
          <cell r="S1203">
            <v>68</v>
          </cell>
          <cell r="T1203">
            <v>14</v>
          </cell>
          <cell r="U1203">
            <v>226</v>
          </cell>
          <cell r="V1203">
            <v>80</v>
          </cell>
          <cell r="W1203">
            <v>462</v>
          </cell>
          <cell r="X1203">
            <v>44</v>
          </cell>
          <cell r="Y1203">
            <v>114</v>
          </cell>
          <cell r="Z1203">
            <v>36</v>
          </cell>
          <cell r="AA1203">
            <v>348</v>
          </cell>
          <cell r="AB1203">
            <v>334</v>
          </cell>
          <cell r="AC1203">
            <v>94</v>
          </cell>
          <cell r="AD1203">
            <v>240</v>
          </cell>
          <cell r="AE1203">
            <v>542</v>
          </cell>
          <cell r="AF1203">
            <v>158</v>
          </cell>
          <cell r="AG1203">
            <v>384</v>
          </cell>
        </row>
        <row r="1204">
          <cell r="C1204">
            <v>41078559</v>
          </cell>
          <cell r="D1204" t="str">
            <v>CHINTAMANI PETROLEUM</v>
          </cell>
          <cell r="E1204" t="str">
            <v>HPCL</v>
          </cell>
          <cell r="F1204" t="str">
            <v>2025-26</v>
          </cell>
          <cell r="G1204" t="str">
            <v>Pune Tathawade RSA</v>
          </cell>
          <cell r="J1204" t="str">
            <v>DEHU ROAD TO BALEWADI</v>
          </cell>
          <cell r="K1204" t="str">
            <v>Pune</v>
          </cell>
          <cell r="L1204" t="str">
            <v>A</v>
          </cell>
          <cell r="M1204" t="str">
            <v>NH-48</v>
          </cell>
          <cell r="O1204" t="str">
            <v>A</v>
          </cell>
          <cell r="P1204">
            <v>150</v>
          </cell>
          <cell r="Q1204">
            <v>54</v>
          </cell>
          <cell r="R1204">
            <v>0</v>
          </cell>
          <cell r="S1204">
            <v>3</v>
          </cell>
          <cell r="T1204">
            <v>150</v>
          </cell>
          <cell r="U1204">
            <v>51</v>
          </cell>
          <cell r="V1204">
            <v>276</v>
          </cell>
          <cell r="W1204">
            <v>98</v>
          </cell>
          <cell r="X1204">
            <v>0</v>
          </cell>
          <cell r="Y1204">
            <v>3</v>
          </cell>
          <cell r="Z1204">
            <v>276</v>
          </cell>
          <cell r="AA1204">
            <v>95</v>
          </cell>
          <cell r="AB1204">
            <v>204</v>
          </cell>
          <cell r="AC1204">
            <v>3</v>
          </cell>
          <cell r="AD1204">
            <v>201</v>
          </cell>
          <cell r="AE1204">
            <v>374</v>
          </cell>
          <cell r="AF1204">
            <v>3</v>
          </cell>
          <cell r="AG1204">
            <v>371</v>
          </cell>
        </row>
        <row r="1205">
          <cell r="C1205">
            <v>41078583</v>
          </cell>
          <cell r="D1205" t="str">
            <v>S B PETROLEUM</v>
          </cell>
          <cell r="E1205" t="str">
            <v>HPCL</v>
          </cell>
          <cell r="F1205" t="str">
            <v>2025-26</v>
          </cell>
          <cell r="G1205" t="str">
            <v>Pimpri Chinchwad RSA</v>
          </cell>
          <cell r="J1205" t="str">
            <v>Mangrul</v>
          </cell>
          <cell r="K1205" t="str">
            <v>Pune</v>
          </cell>
          <cell r="L1205" t="str">
            <v>C</v>
          </cell>
          <cell r="O1205" t="str">
            <v>B</v>
          </cell>
          <cell r="P1205">
            <v>21</v>
          </cell>
          <cell r="Q1205">
            <v>291</v>
          </cell>
          <cell r="R1205">
            <v>9</v>
          </cell>
          <cell r="S1205">
            <v>63</v>
          </cell>
          <cell r="T1205">
            <v>12</v>
          </cell>
          <cell r="U1205">
            <v>228</v>
          </cell>
          <cell r="V1205">
            <v>39</v>
          </cell>
          <cell r="W1205">
            <v>617</v>
          </cell>
          <cell r="X1205">
            <v>15</v>
          </cell>
          <cell r="Y1205">
            <v>69</v>
          </cell>
          <cell r="Z1205">
            <v>24</v>
          </cell>
          <cell r="AA1205">
            <v>548</v>
          </cell>
          <cell r="AB1205">
            <v>312</v>
          </cell>
          <cell r="AC1205">
            <v>72</v>
          </cell>
          <cell r="AD1205">
            <v>240</v>
          </cell>
          <cell r="AE1205">
            <v>656</v>
          </cell>
          <cell r="AF1205">
            <v>84</v>
          </cell>
          <cell r="AG1205">
            <v>572</v>
          </cell>
        </row>
        <row r="1206">
          <cell r="C1206">
            <v>41078663</v>
          </cell>
          <cell r="D1206" t="str">
            <v>BHAMCHANDRA PETROLEUM</v>
          </cell>
          <cell r="E1206" t="str">
            <v>HPCL</v>
          </cell>
          <cell r="F1206" t="str">
            <v>2025-26</v>
          </cell>
          <cell r="G1206" t="str">
            <v>Pimpri Chinchwad RSA</v>
          </cell>
          <cell r="J1206" t="str">
            <v>Chakan MIDC</v>
          </cell>
          <cell r="K1206" t="str">
            <v>Pune</v>
          </cell>
          <cell r="L1206" t="str">
            <v>C</v>
          </cell>
          <cell r="O1206" t="str">
            <v>B</v>
          </cell>
          <cell r="P1206">
            <v>12</v>
          </cell>
          <cell r="Q1206">
            <v>306</v>
          </cell>
          <cell r="R1206">
            <v>6</v>
          </cell>
          <cell r="S1206">
            <v>32</v>
          </cell>
          <cell r="T1206">
            <v>6</v>
          </cell>
          <cell r="U1206">
            <v>274</v>
          </cell>
          <cell r="V1206">
            <v>24</v>
          </cell>
          <cell r="W1206">
            <v>598</v>
          </cell>
          <cell r="X1206">
            <v>12</v>
          </cell>
          <cell r="Y1206">
            <v>38</v>
          </cell>
          <cell r="Z1206">
            <v>12</v>
          </cell>
          <cell r="AA1206">
            <v>560</v>
          </cell>
          <cell r="AB1206">
            <v>318</v>
          </cell>
          <cell r="AC1206">
            <v>38</v>
          </cell>
          <cell r="AD1206">
            <v>280</v>
          </cell>
          <cell r="AE1206">
            <v>622</v>
          </cell>
          <cell r="AF1206">
            <v>50</v>
          </cell>
          <cell r="AG1206">
            <v>572</v>
          </cell>
        </row>
        <row r="1207">
          <cell r="C1207">
            <v>41078798</v>
          </cell>
          <cell r="D1207" t="str">
            <v xml:space="preserve">VIRA PETROLEUM </v>
          </cell>
          <cell r="E1207" t="str">
            <v>HPCL</v>
          </cell>
          <cell r="F1207" t="str">
            <v>2024-25</v>
          </cell>
          <cell r="G1207" t="str">
            <v>Pune Saswad RSA</v>
          </cell>
          <cell r="J1207" t="str">
            <v>JEJURI</v>
          </cell>
          <cell r="K1207" t="str">
            <v>Pune</v>
          </cell>
          <cell r="L1207" t="str">
            <v>D1</v>
          </cell>
          <cell r="M1207" t="str">
            <v>NH-965</v>
          </cell>
          <cell r="O1207" t="str">
            <v>B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</row>
        <row r="1208">
          <cell r="C1208">
            <v>41078898</v>
          </cell>
          <cell r="D1208" t="str">
            <v>ADHOC MAHALAXMI PETROLEUM (41038481 ADHOC SHIVRATNA PETROLEUM)</v>
          </cell>
          <cell r="E1208" t="str">
            <v>HPCL</v>
          </cell>
          <cell r="F1208" t="str">
            <v>2019-20</v>
          </cell>
          <cell r="G1208" t="str">
            <v>Pune Saswad RSA</v>
          </cell>
          <cell r="J1208" t="str">
            <v>Jejuri - Nira Road</v>
          </cell>
          <cell r="K1208" t="str">
            <v>Pune</v>
          </cell>
          <cell r="L1208" t="str">
            <v>D1</v>
          </cell>
          <cell r="M1208" t="str">
            <v>NH-965D</v>
          </cell>
          <cell r="O1208" t="str">
            <v>A</v>
          </cell>
          <cell r="P1208">
            <v>32</v>
          </cell>
          <cell r="Q1208">
            <v>20</v>
          </cell>
          <cell r="R1208">
            <v>30</v>
          </cell>
          <cell r="S1208">
            <v>22</v>
          </cell>
          <cell r="T1208">
            <v>2</v>
          </cell>
          <cell r="U1208">
            <v>-2</v>
          </cell>
          <cell r="V1208">
            <v>55</v>
          </cell>
          <cell r="W1208">
            <v>33</v>
          </cell>
          <cell r="X1208">
            <v>63</v>
          </cell>
          <cell r="Y1208">
            <v>41</v>
          </cell>
          <cell r="Z1208">
            <v>-8</v>
          </cell>
          <cell r="AA1208">
            <v>-8</v>
          </cell>
          <cell r="AB1208">
            <v>52</v>
          </cell>
          <cell r="AC1208">
            <v>52</v>
          </cell>
          <cell r="AD1208">
            <v>0</v>
          </cell>
          <cell r="AE1208">
            <v>88</v>
          </cell>
          <cell r="AF1208">
            <v>104</v>
          </cell>
          <cell r="AG1208">
            <v>-16</v>
          </cell>
        </row>
        <row r="1209">
          <cell r="C1209">
            <v>41078900</v>
          </cell>
          <cell r="D1209" t="str">
            <v>Shri Durga Mata Petroleum</v>
          </cell>
          <cell r="E1209" t="str">
            <v>HPCL</v>
          </cell>
          <cell r="F1209" t="str">
            <v>2024-25</v>
          </cell>
          <cell r="G1209" t="str">
            <v>Ahmednagar West RSA</v>
          </cell>
          <cell r="J1209" t="str">
            <v>DHAVALPURI</v>
          </cell>
          <cell r="K1209" t="str">
            <v>Ahmednagar</v>
          </cell>
          <cell r="L1209" t="str">
            <v>E</v>
          </cell>
          <cell r="O1209" t="str">
            <v>B</v>
          </cell>
          <cell r="P1209">
            <v>34</v>
          </cell>
          <cell r="Q1209">
            <v>72</v>
          </cell>
          <cell r="R1209">
            <v>0</v>
          </cell>
          <cell r="S1209">
            <v>0</v>
          </cell>
          <cell r="T1209">
            <v>34</v>
          </cell>
          <cell r="U1209">
            <v>72</v>
          </cell>
          <cell r="V1209">
            <v>64</v>
          </cell>
          <cell r="W1209">
            <v>116</v>
          </cell>
          <cell r="X1209">
            <v>0</v>
          </cell>
          <cell r="Y1209">
            <v>0</v>
          </cell>
          <cell r="Z1209">
            <v>64</v>
          </cell>
          <cell r="AA1209">
            <v>116</v>
          </cell>
          <cell r="AB1209">
            <v>106</v>
          </cell>
          <cell r="AC1209">
            <v>0</v>
          </cell>
          <cell r="AD1209">
            <v>106</v>
          </cell>
          <cell r="AE1209">
            <v>180</v>
          </cell>
          <cell r="AF1209">
            <v>0</v>
          </cell>
          <cell r="AG1209">
            <v>180</v>
          </cell>
        </row>
        <row r="1210">
          <cell r="C1210">
            <v>41078933</v>
          </cell>
          <cell r="D1210" t="str">
            <v>BALASAHEB JAGTAP PATIL PETROLEUM</v>
          </cell>
          <cell r="E1210" t="str">
            <v>HPCL</v>
          </cell>
          <cell r="F1210" t="str">
            <v>2025-26</v>
          </cell>
          <cell r="G1210" t="str">
            <v>Ahmednagar East RSA</v>
          </cell>
          <cell r="J1210" t="str">
            <v>Nagar-Manmad Bypass</v>
          </cell>
          <cell r="K1210" t="str">
            <v>Ahmednagar</v>
          </cell>
          <cell r="L1210" t="str">
            <v>D1</v>
          </cell>
          <cell r="M1210" t="str">
            <v>NH-160</v>
          </cell>
          <cell r="O1210" t="str">
            <v>A</v>
          </cell>
          <cell r="P1210">
            <v>22</v>
          </cell>
          <cell r="Q1210">
            <v>188</v>
          </cell>
          <cell r="R1210">
            <v>0</v>
          </cell>
          <cell r="S1210">
            <v>0</v>
          </cell>
          <cell r="T1210">
            <v>22</v>
          </cell>
          <cell r="U1210">
            <v>188</v>
          </cell>
          <cell r="V1210">
            <v>50</v>
          </cell>
          <cell r="W1210">
            <v>312</v>
          </cell>
          <cell r="X1210">
            <v>0</v>
          </cell>
          <cell r="Y1210">
            <v>0</v>
          </cell>
          <cell r="Z1210">
            <v>50</v>
          </cell>
          <cell r="AA1210">
            <v>312</v>
          </cell>
          <cell r="AB1210">
            <v>210</v>
          </cell>
          <cell r="AC1210">
            <v>0</v>
          </cell>
          <cell r="AD1210">
            <v>210</v>
          </cell>
          <cell r="AE1210">
            <v>362</v>
          </cell>
          <cell r="AF1210">
            <v>0</v>
          </cell>
          <cell r="AG1210">
            <v>362</v>
          </cell>
        </row>
        <row r="1211">
          <cell r="C1211">
            <v>41079032</v>
          </cell>
          <cell r="D1211" t="str">
            <v>ARJUN PETROLEUM</v>
          </cell>
          <cell r="E1211" t="str">
            <v>HPCL</v>
          </cell>
          <cell r="F1211" t="str">
            <v>2024-25</v>
          </cell>
          <cell r="G1211" t="str">
            <v>Ahmednagar West RSA</v>
          </cell>
          <cell r="J1211" t="str">
            <v>Pathardi</v>
          </cell>
          <cell r="K1211" t="str">
            <v>Ahmednagar</v>
          </cell>
          <cell r="L1211" t="str">
            <v>D2</v>
          </cell>
          <cell r="O1211" t="str">
            <v>B</v>
          </cell>
          <cell r="P1211">
            <v>50</v>
          </cell>
          <cell r="Q1211">
            <v>180</v>
          </cell>
          <cell r="R1211">
            <v>4</v>
          </cell>
          <cell r="S1211">
            <v>10</v>
          </cell>
          <cell r="T1211">
            <v>46</v>
          </cell>
          <cell r="U1211">
            <v>170</v>
          </cell>
          <cell r="V1211">
            <v>81</v>
          </cell>
          <cell r="W1211">
            <v>293</v>
          </cell>
          <cell r="X1211">
            <v>4</v>
          </cell>
          <cell r="Y1211">
            <v>10</v>
          </cell>
          <cell r="Z1211">
            <v>77</v>
          </cell>
          <cell r="AA1211">
            <v>283</v>
          </cell>
          <cell r="AB1211">
            <v>230</v>
          </cell>
          <cell r="AC1211">
            <v>14</v>
          </cell>
          <cell r="AD1211">
            <v>216</v>
          </cell>
          <cell r="AE1211">
            <v>374</v>
          </cell>
          <cell r="AF1211">
            <v>14</v>
          </cell>
          <cell r="AG1211">
            <v>360</v>
          </cell>
        </row>
        <row r="1212">
          <cell r="C1212">
            <v>41079177</v>
          </cell>
          <cell r="D1212" t="str">
            <v>VIHAN PETROLEUM</v>
          </cell>
          <cell r="E1212" t="str">
            <v>HPCL</v>
          </cell>
          <cell r="F1212" t="str">
            <v>2024-25</v>
          </cell>
          <cell r="G1212" t="str">
            <v>Satara East RSA</v>
          </cell>
          <cell r="J1212" t="str">
            <v>Phalton Dahiwadi road</v>
          </cell>
          <cell r="K1212" t="str">
            <v>Satara</v>
          </cell>
          <cell r="L1212" t="str">
            <v>D1</v>
          </cell>
          <cell r="M1212" t="str">
            <v>NH-160</v>
          </cell>
          <cell r="O1212" t="str">
            <v>B</v>
          </cell>
          <cell r="P1212">
            <v>9</v>
          </cell>
          <cell r="Q1212">
            <v>3</v>
          </cell>
          <cell r="R1212">
            <v>0</v>
          </cell>
          <cell r="S1212">
            <v>0</v>
          </cell>
          <cell r="T1212">
            <v>9</v>
          </cell>
          <cell r="U1212">
            <v>3</v>
          </cell>
          <cell r="V1212">
            <v>9</v>
          </cell>
          <cell r="W1212">
            <v>3</v>
          </cell>
          <cell r="X1212">
            <v>0</v>
          </cell>
          <cell r="Y1212">
            <v>0</v>
          </cell>
          <cell r="Z1212">
            <v>9</v>
          </cell>
          <cell r="AA1212">
            <v>3</v>
          </cell>
          <cell r="AB1212">
            <v>12</v>
          </cell>
          <cell r="AC1212">
            <v>0</v>
          </cell>
          <cell r="AD1212">
            <v>12</v>
          </cell>
          <cell r="AE1212">
            <v>12</v>
          </cell>
          <cell r="AF1212">
            <v>0</v>
          </cell>
          <cell r="AG1212">
            <v>12</v>
          </cell>
        </row>
        <row r="1213">
          <cell r="C1213">
            <v>41079235</v>
          </cell>
          <cell r="D1213" t="str">
            <v>HERAMB PETROLEUM</v>
          </cell>
          <cell r="E1213" t="str">
            <v>HPCL</v>
          </cell>
          <cell r="F1213" t="str">
            <v>2024-25</v>
          </cell>
          <cell r="G1213" t="str">
            <v>Satara West RSA</v>
          </cell>
          <cell r="J1213" t="str">
            <v>Karad to Masur Road</v>
          </cell>
          <cell r="K1213" t="str">
            <v>Satara</v>
          </cell>
          <cell r="L1213" t="str">
            <v>D2</v>
          </cell>
          <cell r="O1213" t="str">
            <v>B</v>
          </cell>
          <cell r="P1213">
            <v>64</v>
          </cell>
          <cell r="Q1213">
            <v>118</v>
          </cell>
          <cell r="R1213">
            <v>0</v>
          </cell>
          <cell r="S1213">
            <v>0</v>
          </cell>
          <cell r="T1213">
            <v>64</v>
          </cell>
          <cell r="U1213">
            <v>118</v>
          </cell>
          <cell r="V1213">
            <v>106</v>
          </cell>
          <cell r="W1213">
            <v>202</v>
          </cell>
          <cell r="X1213">
            <v>0</v>
          </cell>
          <cell r="Y1213">
            <v>0</v>
          </cell>
          <cell r="Z1213">
            <v>106</v>
          </cell>
          <cell r="AA1213">
            <v>202</v>
          </cell>
          <cell r="AB1213">
            <v>182</v>
          </cell>
          <cell r="AC1213">
            <v>0</v>
          </cell>
          <cell r="AD1213">
            <v>182</v>
          </cell>
          <cell r="AE1213">
            <v>308</v>
          </cell>
          <cell r="AF1213">
            <v>0</v>
          </cell>
          <cell r="AG1213">
            <v>308</v>
          </cell>
        </row>
        <row r="1214">
          <cell r="C1214">
            <v>41079426</v>
          </cell>
          <cell r="D1214" t="str">
            <v>POWER PETROLEUM</v>
          </cell>
          <cell r="E1214" t="str">
            <v>HPCL</v>
          </cell>
          <cell r="F1214" t="str">
            <v>2024-25</v>
          </cell>
          <cell r="G1214" t="str">
            <v>Satara West RSA</v>
          </cell>
          <cell r="J1214" t="str">
            <v>KARAD TO KASHIL</v>
          </cell>
          <cell r="K1214" t="str">
            <v>Satara</v>
          </cell>
          <cell r="L1214" t="str">
            <v>D1</v>
          </cell>
          <cell r="M1214" t="str">
            <v>NH-48</v>
          </cell>
          <cell r="O1214" t="str">
            <v>B</v>
          </cell>
          <cell r="P1214">
            <v>54.5</v>
          </cell>
          <cell r="Q1214">
            <v>147.5</v>
          </cell>
          <cell r="R1214">
            <v>0</v>
          </cell>
          <cell r="S1214">
            <v>0</v>
          </cell>
          <cell r="T1214">
            <v>54.5</v>
          </cell>
          <cell r="U1214">
            <v>147.5</v>
          </cell>
          <cell r="V1214">
            <v>93.5</v>
          </cell>
          <cell r="W1214">
            <v>276.5</v>
          </cell>
          <cell r="X1214">
            <v>0</v>
          </cell>
          <cell r="Y1214">
            <v>0</v>
          </cell>
          <cell r="Z1214">
            <v>93.5</v>
          </cell>
          <cell r="AA1214">
            <v>276.5</v>
          </cell>
          <cell r="AB1214">
            <v>202</v>
          </cell>
          <cell r="AC1214">
            <v>0</v>
          </cell>
          <cell r="AD1214">
            <v>202</v>
          </cell>
          <cell r="AE1214">
            <v>370</v>
          </cell>
          <cell r="AF1214">
            <v>0</v>
          </cell>
          <cell r="AG1214">
            <v>370</v>
          </cell>
        </row>
        <row r="1215">
          <cell r="C1215">
            <v>41079471</v>
          </cell>
          <cell r="D1215" t="str">
            <v>ELITE PETROLEUM</v>
          </cell>
          <cell r="E1215" t="str">
            <v>HPCL</v>
          </cell>
          <cell r="F1215" t="str">
            <v>2024-25</v>
          </cell>
          <cell r="G1215" t="str">
            <v>Satara West RSA</v>
          </cell>
          <cell r="J1215" t="str">
            <v>Kodoli to Ghojegaon</v>
          </cell>
          <cell r="K1215" t="str">
            <v>Satara</v>
          </cell>
          <cell r="L1215" t="str">
            <v>D2</v>
          </cell>
          <cell r="O1215" t="str">
            <v>B</v>
          </cell>
          <cell r="P1215">
            <v>84</v>
          </cell>
          <cell r="Q1215">
            <v>146</v>
          </cell>
          <cell r="R1215">
            <v>0</v>
          </cell>
          <cell r="S1215">
            <v>0</v>
          </cell>
          <cell r="T1215">
            <v>84</v>
          </cell>
          <cell r="U1215">
            <v>146</v>
          </cell>
          <cell r="V1215">
            <v>149</v>
          </cell>
          <cell r="W1215">
            <v>263</v>
          </cell>
          <cell r="X1215">
            <v>0</v>
          </cell>
          <cell r="Y1215">
            <v>0</v>
          </cell>
          <cell r="Z1215">
            <v>149</v>
          </cell>
          <cell r="AA1215">
            <v>263</v>
          </cell>
          <cell r="AB1215">
            <v>230</v>
          </cell>
          <cell r="AC1215">
            <v>0</v>
          </cell>
          <cell r="AD1215">
            <v>230</v>
          </cell>
          <cell r="AE1215">
            <v>412</v>
          </cell>
          <cell r="AF1215">
            <v>0</v>
          </cell>
          <cell r="AG1215">
            <v>412</v>
          </cell>
        </row>
        <row r="1216">
          <cell r="C1216">
            <v>41079841</v>
          </cell>
          <cell r="D1216" t="str">
            <v>SOMESHAWAR FUEL HUB</v>
          </cell>
          <cell r="E1216" t="str">
            <v>HPCL</v>
          </cell>
          <cell r="F1216" t="str">
            <v>2024-25</v>
          </cell>
          <cell r="G1216" t="str">
            <v>Pune Wagholi RSA</v>
          </cell>
          <cell r="J1216" t="str">
            <v>Peth on NH LHS</v>
          </cell>
          <cell r="K1216" t="str">
            <v>Pune</v>
          </cell>
          <cell r="L1216" t="str">
            <v>D1</v>
          </cell>
          <cell r="M1216" t="str">
            <v>NH-60</v>
          </cell>
          <cell r="O1216" t="str">
            <v>B</v>
          </cell>
          <cell r="P1216">
            <v>27</v>
          </cell>
          <cell r="Q1216">
            <v>83</v>
          </cell>
          <cell r="R1216">
            <v>0</v>
          </cell>
          <cell r="S1216">
            <v>0</v>
          </cell>
          <cell r="T1216">
            <v>27</v>
          </cell>
          <cell r="U1216">
            <v>83</v>
          </cell>
          <cell r="V1216">
            <v>41</v>
          </cell>
          <cell r="W1216">
            <v>133</v>
          </cell>
          <cell r="X1216">
            <v>0</v>
          </cell>
          <cell r="Y1216">
            <v>0</v>
          </cell>
          <cell r="Z1216">
            <v>41</v>
          </cell>
          <cell r="AA1216">
            <v>133</v>
          </cell>
          <cell r="AB1216">
            <v>110</v>
          </cell>
          <cell r="AC1216">
            <v>0</v>
          </cell>
          <cell r="AD1216">
            <v>110</v>
          </cell>
          <cell r="AE1216">
            <v>174</v>
          </cell>
          <cell r="AF1216">
            <v>0</v>
          </cell>
          <cell r="AG1216">
            <v>174</v>
          </cell>
        </row>
        <row r="1217">
          <cell r="C1217">
            <v>41083912</v>
          </cell>
          <cell r="D1217" t="str">
            <v>SARVANDNYA PETROLEUM</v>
          </cell>
          <cell r="E1217" t="str">
            <v>HPCL</v>
          </cell>
          <cell r="F1217" t="str">
            <v>2024-25</v>
          </cell>
          <cell r="G1217" t="str">
            <v>Pune Hadapsar RSA</v>
          </cell>
          <cell r="J1217" t="str">
            <v>Mandavgaon Farata</v>
          </cell>
          <cell r="K1217" t="str">
            <v>Pune</v>
          </cell>
          <cell r="L1217" t="str">
            <v>E</v>
          </cell>
          <cell r="O1217" t="str">
            <v>B</v>
          </cell>
          <cell r="P1217">
            <v>22</v>
          </cell>
          <cell r="Q1217">
            <v>74</v>
          </cell>
          <cell r="R1217">
            <v>0</v>
          </cell>
          <cell r="S1217">
            <v>0</v>
          </cell>
          <cell r="T1217">
            <v>22</v>
          </cell>
          <cell r="U1217">
            <v>74</v>
          </cell>
          <cell r="V1217">
            <v>39</v>
          </cell>
          <cell r="W1217">
            <v>129</v>
          </cell>
          <cell r="X1217">
            <v>0</v>
          </cell>
          <cell r="Y1217">
            <v>0</v>
          </cell>
          <cell r="Z1217">
            <v>39</v>
          </cell>
          <cell r="AA1217">
            <v>129</v>
          </cell>
          <cell r="AB1217">
            <v>96</v>
          </cell>
          <cell r="AC1217">
            <v>0</v>
          </cell>
          <cell r="AD1217">
            <v>96</v>
          </cell>
          <cell r="AE1217">
            <v>168</v>
          </cell>
          <cell r="AF1217">
            <v>0</v>
          </cell>
          <cell r="AG1217">
            <v>168</v>
          </cell>
        </row>
        <row r="1218">
          <cell r="C1218">
            <v>41084333</v>
          </cell>
          <cell r="D1218" t="str">
            <v>BHAIRAV PETROLEUM</v>
          </cell>
          <cell r="E1218" t="str">
            <v>HPCL</v>
          </cell>
          <cell r="F1218" t="str">
            <v>2024-25</v>
          </cell>
          <cell r="G1218" t="str">
            <v>Pune Wagholi RSA</v>
          </cell>
          <cell r="J1218" t="str">
            <v>Manchar Bypass RHS</v>
          </cell>
          <cell r="K1218" t="str">
            <v>Pune</v>
          </cell>
          <cell r="L1218" t="str">
            <v>D1</v>
          </cell>
          <cell r="M1218" t="str">
            <v>NH-60</v>
          </cell>
          <cell r="O1218" t="str">
            <v>B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</row>
        <row r="1219">
          <cell r="C1219">
            <v>41084392</v>
          </cell>
          <cell r="D1219" t="str">
            <v>ANURAJ PETROLEUM</v>
          </cell>
          <cell r="E1219" t="str">
            <v>HPCL</v>
          </cell>
          <cell r="F1219" t="str">
            <v>2024-25</v>
          </cell>
          <cell r="G1219" t="str">
            <v>Pune Wagholi RSA</v>
          </cell>
          <cell r="J1219" t="str">
            <v>Alephata to Ottur</v>
          </cell>
          <cell r="K1219" t="str">
            <v>Pune</v>
          </cell>
          <cell r="L1219" t="str">
            <v>D1</v>
          </cell>
          <cell r="M1219" t="str">
            <v>NH-61</v>
          </cell>
          <cell r="O1219" t="str">
            <v>B</v>
          </cell>
          <cell r="P1219">
            <v>55</v>
          </cell>
          <cell r="Q1219">
            <v>167</v>
          </cell>
          <cell r="R1219">
            <v>0</v>
          </cell>
          <cell r="S1219">
            <v>0</v>
          </cell>
          <cell r="T1219">
            <v>55</v>
          </cell>
          <cell r="U1219">
            <v>167</v>
          </cell>
          <cell r="V1219">
            <v>100</v>
          </cell>
          <cell r="W1219">
            <v>282</v>
          </cell>
          <cell r="X1219">
            <v>0</v>
          </cell>
          <cell r="Y1219">
            <v>0</v>
          </cell>
          <cell r="Z1219">
            <v>100</v>
          </cell>
          <cell r="AA1219">
            <v>282</v>
          </cell>
          <cell r="AB1219">
            <v>222</v>
          </cell>
          <cell r="AC1219">
            <v>0</v>
          </cell>
          <cell r="AD1219">
            <v>222</v>
          </cell>
          <cell r="AE1219">
            <v>382</v>
          </cell>
          <cell r="AF1219">
            <v>0</v>
          </cell>
          <cell r="AG1219">
            <v>382</v>
          </cell>
        </row>
        <row r="1220">
          <cell r="C1220">
            <v>41084661</v>
          </cell>
          <cell r="D1220" t="str">
            <v>AJINKYATARA PETROLEUM</v>
          </cell>
          <cell r="E1220" t="str">
            <v>HPCL</v>
          </cell>
          <cell r="F1220" t="str">
            <v>2024-25</v>
          </cell>
          <cell r="G1220" t="str">
            <v>Ahmednagar West RSA</v>
          </cell>
          <cell r="J1220" t="str">
            <v>JAMKHED-SHRIGONDA RD</v>
          </cell>
          <cell r="K1220" t="str">
            <v>Ahmednagar</v>
          </cell>
          <cell r="L1220" t="str">
            <v>D2</v>
          </cell>
          <cell r="O1220" t="str">
            <v>A</v>
          </cell>
          <cell r="P1220">
            <v>42</v>
          </cell>
          <cell r="Q1220">
            <v>140</v>
          </cell>
          <cell r="R1220">
            <v>0</v>
          </cell>
          <cell r="S1220">
            <v>0</v>
          </cell>
          <cell r="T1220">
            <v>42</v>
          </cell>
          <cell r="U1220">
            <v>140</v>
          </cell>
          <cell r="V1220">
            <v>73</v>
          </cell>
          <cell r="W1220">
            <v>235</v>
          </cell>
          <cell r="X1220">
            <v>0</v>
          </cell>
          <cell r="Y1220">
            <v>0</v>
          </cell>
          <cell r="Z1220">
            <v>73</v>
          </cell>
          <cell r="AA1220">
            <v>235</v>
          </cell>
          <cell r="AB1220">
            <v>182</v>
          </cell>
          <cell r="AC1220">
            <v>0</v>
          </cell>
          <cell r="AD1220">
            <v>182</v>
          </cell>
          <cell r="AE1220">
            <v>308</v>
          </cell>
          <cell r="AF1220">
            <v>0</v>
          </cell>
          <cell r="AG1220">
            <v>308</v>
          </cell>
        </row>
        <row r="1221">
          <cell r="C1221">
            <v>41084858</v>
          </cell>
          <cell r="D1221" t="str">
            <v>ADHOC SHRI VENKATESH PETROLEUM (41034413 ADHOC MORE PETROLEUM)</v>
          </cell>
          <cell r="E1221" t="str">
            <v>HPCL</v>
          </cell>
          <cell r="G1221" t="str">
            <v>Pune Hadapsar RSA</v>
          </cell>
          <cell r="J1221" t="str">
            <v>Theur</v>
          </cell>
          <cell r="K1221" t="str">
            <v>Pune</v>
          </cell>
          <cell r="L1221" t="str">
            <v>D1</v>
          </cell>
          <cell r="M1221" t="str">
            <v>NH-548DD</v>
          </cell>
          <cell r="O1221" t="str">
            <v>B</v>
          </cell>
          <cell r="P1221">
            <v>35</v>
          </cell>
          <cell r="Q1221">
            <v>85</v>
          </cell>
          <cell r="R1221">
            <v>29</v>
          </cell>
          <cell r="S1221">
            <v>63</v>
          </cell>
          <cell r="T1221">
            <v>6</v>
          </cell>
          <cell r="U1221">
            <v>22</v>
          </cell>
          <cell r="V1221">
            <v>65</v>
          </cell>
          <cell r="W1221">
            <v>167</v>
          </cell>
          <cell r="X1221">
            <v>59</v>
          </cell>
          <cell r="Y1221">
            <v>133</v>
          </cell>
          <cell r="Z1221">
            <v>6</v>
          </cell>
          <cell r="AA1221">
            <v>34</v>
          </cell>
          <cell r="AB1221">
            <v>120</v>
          </cell>
          <cell r="AC1221">
            <v>92</v>
          </cell>
          <cell r="AD1221">
            <v>28</v>
          </cell>
          <cell r="AE1221">
            <v>232</v>
          </cell>
          <cell r="AF1221">
            <v>192</v>
          </cell>
          <cell r="AG1221">
            <v>40</v>
          </cell>
        </row>
        <row r="1222">
          <cell r="C1222">
            <v>41085183</v>
          </cell>
          <cell r="D1222" t="str">
            <v>ADHOC SIDDHARTH PETROLEUM (41040830 - ADHOC NRUSINHA PETROLEUM (ADHOC MORE PETROLEUM 12174490))</v>
          </cell>
          <cell r="E1222" t="str">
            <v>HPCL</v>
          </cell>
          <cell r="G1222" t="str">
            <v>Pune City RSA</v>
          </cell>
          <cell r="J1222" t="str">
            <v>HINJEWADI PIRANGUT ROAD</v>
          </cell>
          <cell r="K1222" t="str">
            <v>Pune</v>
          </cell>
          <cell r="L1222" t="str">
            <v>A</v>
          </cell>
          <cell r="O1222" t="str">
            <v>A</v>
          </cell>
          <cell r="P1222">
            <v>0</v>
          </cell>
          <cell r="Q1222">
            <v>0</v>
          </cell>
          <cell r="R1222">
            <v>0</v>
          </cell>
          <cell r="S1222">
            <v>7</v>
          </cell>
          <cell r="T1222">
            <v>0</v>
          </cell>
          <cell r="U1222">
            <v>-7</v>
          </cell>
          <cell r="V1222">
            <v>0</v>
          </cell>
          <cell r="W1222">
            <v>0</v>
          </cell>
          <cell r="X1222">
            <v>0</v>
          </cell>
          <cell r="Y1222">
            <v>7</v>
          </cell>
          <cell r="Z1222">
            <v>0</v>
          </cell>
          <cell r="AA1222">
            <v>-7</v>
          </cell>
          <cell r="AB1222">
            <v>0</v>
          </cell>
          <cell r="AC1222">
            <v>7</v>
          </cell>
          <cell r="AD1222">
            <v>-7</v>
          </cell>
          <cell r="AE1222">
            <v>0</v>
          </cell>
          <cell r="AF1222">
            <v>7</v>
          </cell>
          <cell r="AG1222">
            <v>-7</v>
          </cell>
        </row>
        <row r="1223">
          <cell r="C1223">
            <v>41085236</v>
          </cell>
          <cell r="D1223" t="str">
            <v>BHONDVE PATIL PETROLEUM</v>
          </cell>
          <cell r="E1223" t="str">
            <v>HPCL</v>
          </cell>
          <cell r="F1223" t="str">
            <v>2025-26</v>
          </cell>
          <cell r="G1223" t="str">
            <v>Pimpri Chinchwad RSA</v>
          </cell>
          <cell r="J1223" t="str">
            <v>Akurdi</v>
          </cell>
          <cell r="K1223" t="str">
            <v>Pune</v>
          </cell>
          <cell r="L1223" t="str">
            <v>A</v>
          </cell>
          <cell r="O1223" t="str">
            <v>B</v>
          </cell>
          <cell r="P1223">
            <v>355</v>
          </cell>
          <cell r="Q1223">
            <v>419</v>
          </cell>
          <cell r="R1223">
            <v>0</v>
          </cell>
          <cell r="S1223">
            <v>0</v>
          </cell>
          <cell r="T1223">
            <v>355</v>
          </cell>
          <cell r="U1223">
            <v>419</v>
          </cell>
          <cell r="V1223">
            <v>683</v>
          </cell>
          <cell r="W1223">
            <v>797</v>
          </cell>
          <cell r="X1223">
            <v>0</v>
          </cell>
          <cell r="Y1223">
            <v>0</v>
          </cell>
          <cell r="Z1223">
            <v>683</v>
          </cell>
          <cell r="AA1223">
            <v>797</v>
          </cell>
          <cell r="AB1223">
            <v>774</v>
          </cell>
          <cell r="AC1223">
            <v>0</v>
          </cell>
          <cell r="AD1223">
            <v>774</v>
          </cell>
          <cell r="AE1223">
            <v>1480</v>
          </cell>
          <cell r="AF1223">
            <v>0</v>
          </cell>
          <cell r="AG1223">
            <v>1480</v>
          </cell>
        </row>
        <row r="1224">
          <cell r="C1224">
            <v>41085252</v>
          </cell>
          <cell r="D1224" t="str">
            <v>SHREE MAHALAXMI PETROLEUM</v>
          </cell>
          <cell r="E1224" t="str">
            <v>HPCL</v>
          </cell>
          <cell r="F1224" t="str">
            <v>2024-25</v>
          </cell>
          <cell r="G1224" t="str">
            <v>Satara West RSA</v>
          </cell>
          <cell r="J1224" t="str">
            <v>KASHIL TO KARAD</v>
          </cell>
          <cell r="K1224" t="str">
            <v>Satara</v>
          </cell>
          <cell r="L1224" t="str">
            <v>D1</v>
          </cell>
          <cell r="M1224" t="str">
            <v>NH-48</v>
          </cell>
          <cell r="O1224" t="str">
            <v>B</v>
          </cell>
          <cell r="P1224">
            <v>50.5</v>
          </cell>
          <cell r="Q1224">
            <v>103.5</v>
          </cell>
          <cell r="R1224">
            <v>0</v>
          </cell>
          <cell r="S1224">
            <v>0</v>
          </cell>
          <cell r="T1224">
            <v>50.5</v>
          </cell>
          <cell r="U1224">
            <v>103.5</v>
          </cell>
          <cell r="V1224">
            <v>80.5</v>
          </cell>
          <cell r="W1224">
            <v>171.5</v>
          </cell>
          <cell r="X1224">
            <v>0</v>
          </cell>
          <cell r="Y1224">
            <v>0</v>
          </cell>
          <cell r="Z1224">
            <v>80.5</v>
          </cell>
          <cell r="AA1224">
            <v>171.5</v>
          </cell>
          <cell r="AB1224">
            <v>154</v>
          </cell>
          <cell r="AC1224">
            <v>0</v>
          </cell>
          <cell r="AD1224">
            <v>154</v>
          </cell>
          <cell r="AE1224">
            <v>252</v>
          </cell>
          <cell r="AF1224">
            <v>0</v>
          </cell>
          <cell r="AG1224">
            <v>252</v>
          </cell>
        </row>
        <row r="1225">
          <cell r="C1225">
            <v>41085253</v>
          </cell>
          <cell r="D1225" t="str">
            <v>MOKASHI BHONDVE PETROLEUM</v>
          </cell>
          <cell r="E1225" t="str">
            <v>HPCL</v>
          </cell>
          <cell r="F1225" t="str">
            <v>2024-25</v>
          </cell>
          <cell r="G1225" t="str">
            <v>Pune Wagholi RSA</v>
          </cell>
          <cell r="J1225" t="str">
            <v xml:space="preserve">Loni to shikhrapur </v>
          </cell>
          <cell r="K1225" t="str">
            <v>Pune</v>
          </cell>
          <cell r="L1225" t="str">
            <v>D2</v>
          </cell>
          <cell r="O1225" t="str">
            <v>A</v>
          </cell>
          <cell r="P1225">
            <v>27</v>
          </cell>
          <cell r="Q1225">
            <v>69</v>
          </cell>
          <cell r="R1225">
            <v>0</v>
          </cell>
          <cell r="S1225">
            <v>0</v>
          </cell>
          <cell r="T1225">
            <v>27</v>
          </cell>
          <cell r="U1225">
            <v>69</v>
          </cell>
          <cell r="V1225">
            <v>48</v>
          </cell>
          <cell r="W1225">
            <v>124</v>
          </cell>
          <cell r="X1225">
            <v>0</v>
          </cell>
          <cell r="Y1225">
            <v>0</v>
          </cell>
          <cell r="Z1225">
            <v>48</v>
          </cell>
          <cell r="AA1225">
            <v>124</v>
          </cell>
          <cell r="AB1225">
            <v>96</v>
          </cell>
          <cell r="AC1225">
            <v>0</v>
          </cell>
          <cell r="AD1225">
            <v>96</v>
          </cell>
          <cell r="AE1225">
            <v>172</v>
          </cell>
          <cell r="AF1225">
            <v>0</v>
          </cell>
          <cell r="AG1225">
            <v>172</v>
          </cell>
        </row>
        <row r="1226">
          <cell r="C1226">
            <v>41086114</v>
          </cell>
          <cell r="D1226" t="str">
            <v>LAKADE PETROLEUM</v>
          </cell>
          <cell r="E1226" t="str">
            <v>HPCL</v>
          </cell>
          <cell r="F1226" t="str">
            <v>2024-25</v>
          </cell>
          <cell r="G1226" t="str">
            <v>Pune Hadapsar RSA</v>
          </cell>
          <cell r="J1226" t="str">
            <v>Pimpalgaon</v>
          </cell>
          <cell r="K1226" t="str">
            <v>Pune</v>
          </cell>
          <cell r="L1226" t="str">
            <v>D2</v>
          </cell>
          <cell r="O1226" t="str">
            <v>B</v>
          </cell>
          <cell r="P1226">
            <v>46</v>
          </cell>
          <cell r="Q1226">
            <v>96</v>
          </cell>
          <cell r="R1226">
            <v>0</v>
          </cell>
          <cell r="S1226">
            <v>0</v>
          </cell>
          <cell r="T1226">
            <v>46</v>
          </cell>
          <cell r="U1226">
            <v>96</v>
          </cell>
          <cell r="V1226">
            <v>79</v>
          </cell>
          <cell r="W1226">
            <v>171</v>
          </cell>
          <cell r="X1226">
            <v>0</v>
          </cell>
          <cell r="Y1226">
            <v>0</v>
          </cell>
          <cell r="Z1226">
            <v>79</v>
          </cell>
          <cell r="AA1226">
            <v>171</v>
          </cell>
          <cell r="AB1226">
            <v>142</v>
          </cell>
          <cell r="AC1226">
            <v>0</v>
          </cell>
          <cell r="AD1226">
            <v>142</v>
          </cell>
          <cell r="AE1226">
            <v>250</v>
          </cell>
          <cell r="AF1226">
            <v>0</v>
          </cell>
          <cell r="AG1226">
            <v>250</v>
          </cell>
        </row>
        <row r="1227">
          <cell r="C1227">
            <v>41086296</v>
          </cell>
          <cell r="D1227" t="str">
            <v>RASKAR PETTROLEUM</v>
          </cell>
          <cell r="E1227" t="str">
            <v>HPCL</v>
          </cell>
          <cell r="F1227" t="str">
            <v>2024-25</v>
          </cell>
          <cell r="G1227" t="str">
            <v>Shirdi RSA</v>
          </cell>
          <cell r="J1227" t="str">
            <v>SHRIRAMPUR TOWN</v>
          </cell>
          <cell r="K1227" t="str">
            <v>Ahmednagar</v>
          </cell>
          <cell r="L1227" t="str">
            <v>D2</v>
          </cell>
          <cell r="O1227" t="str">
            <v>B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</row>
        <row r="1228">
          <cell r="C1228">
            <v>41086548</v>
          </cell>
          <cell r="D1228" t="str">
            <v>JAI MAHARASHTRA PETROLEUM</v>
          </cell>
          <cell r="E1228" t="str">
            <v>HPCL</v>
          </cell>
          <cell r="F1228" t="str">
            <v>2024-25</v>
          </cell>
          <cell r="G1228" t="str">
            <v>Pune Wagholi RSA</v>
          </cell>
          <cell r="J1228" t="str">
            <v>Talegaon damdere to Dhanore</v>
          </cell>
          <cell r="K1228" t="str">
            <v>Pune</v>
          </cell>
          <cell r="L1228" t="str">
            <v>D2</v>
          </cell>
          <cell r="O1228" t="str">
            <v>B</v>
          </cell>
          <cell r="P1228">
            <v>44</v>
          </cell>
          <cell r="Q1228">
            <v>146</v>
          </cell>
          <cell r="R1228">
            <v>0</v>
          </cell>
          <cell r="S1228">
            <v>0</v>
          </cell>
          <cell r="T1228">
            <v>44</v>
          </cell>
          <cell r="U1228">
            <v>146</v>
          </cell>
          <cell r="V1228">
            <v>84</v>
          </cell>
          <cell r="W1228">
            <v>262</v>
          </cell>
          <cell r="X1228">
            <v>0</v>
          </cell>
          <cell r="Y1228">
            <v>0</v>
          </cell>
          <cell r="Z1228">
            <v>84</v>
          </cell>
          <cell r="AA1228">
            <v>262</v>
          </cell>
          <cell r="AB1228">
            <v>190</v>
          </cell>
          <cell r="AC1228">
            <v>0</v>
          </cell>
          <cell r="AD1228">
            <v>190</v>
          </cell>
          <cell r="AE1228">
            <v>346</v>
          </cell>
          <cell r="AF1228">
            <v>0</v>
          </cell>
          <cell r="AG1228">
            <v>346</v>
          </cell>
        </row>
        <row r="1229">
          <cell r="C1229">
            <v>41086607</v>
          </cell>
          <cell r="D1229" t="str">
            <v>ADHOC DNYANRAJ PETROLEUM (SHREENATH MASKOBA PETRO PRODUCTS-41051950)</v>
          </cell>
          <cell r="E1229" t="str">
            <v>HPCL</v>
          </cell>
          <cell r="F1229" t="str">
            <v>2012-13</v>
          </cell>
          <cell r="G1229" t="str">
            <v>Pune Saswad RSA</v>
          </cell>
          <cell r="J1229" t="str">
            <v>saswad-veer-lonand road</v>
          </cell>
          <cell r="K1229" t="str">
            <v>Pune</v>
          </cell>
          <cell r="L1229" t="str">
            <v>D2</v>
          </cell>
          <cell r="O1229" t="str">
            <v>B</v>
          </cell>
          <cell r="P1229">
            <v>25</v>
          </cell>
          <cell r="Q1229">
            <v>43</v>
          </cell>
          <cell r="R1229">
            <v>7</v>
          </cell>
          <cell r="S1229">
            <v>0</v>
          </cell>
          <cell r="T1229">
            <v>18</v>
          </cell>
          <cell r="U1229">
            <v>43</v>
          </cell>
          <cell r="V1229">
            <v>48</v>
          </cell>
          <cell r="W1229">
            <v>70</v>
          </cell>
          <cell r="X1229">
            <v>7</v>
          </cell>
          <cell r="Y1229">
            <v>0</v>
          </cell>
          <cell r="Z1229">
            <v>41</v>
          </cell>
          <cell r="AA1229">
            <v>70</v>
          </cell>
          <cell r="AB1229">
            <v>68</v>
          </cell>
          <cell r="AC1229">
            <v>7</v>
          </cell>
          <cell r="AD1229">
            <v>61</v>
          </cell>
          <cell r="AE1229">
            <v>118</v>
          </cell>
          <cell r="AF1229">
            <v>7</v>
          </cell>
          <cell r="AG1229">
            <v>111</v>
          </cell>
        </row>
        <row r="1230">
          <cell r="C1230">
            <v>41086642</v>
          </cell>
          <cell r="D1230" t="str">
            <v>ROYAL PETROLEUM SHENDRE</v>
          </cell>
          <cell r="E1230" t="str">
            <v>HPCL</v>
          </cell>
          <cell r="F1230" t="str">
            <v>2024-25</v>
          </cell>
          <cell r="G1230" t="str">
            <v>Satara West RSA</v>
          </cell>
          <cell r="J1230" t="str">
            <v>KASHIL TO SHENDRE</v>
          </cell>
          <cell r="K1230" t="str">
            <v>Satara</v>
          </cell>
          <cell r="L1230" t="str">
            <v>D1</v>
          </cell>
          <cell r="M1230" t="str">
            <v>NH-48</v>
          </cell>
          <cell r="O1230" t="str">
            <v>B</v>
          </cell>
          <cell r="P1230">
            <v>70</v>
          </cell>
          <cell r="Q1230">
            <v>228</v>
          </cell>
          <cell r="R1230">
            <v>0</v>
          </cell>
          <cell r="S1230">
            <v>0</v>
          </cell>
          <cell r="T1230">
            <v>70</v>
          </cell>
          <cell r="U1230">
            <v>228</v>
          </cell>
          <cell r="V1230">
            <v>116</v>
          </cell>
          <cell r="W1230">
            <v>334</v>
          </cell>
          <cell r="X1230">
            <v>0</v>
          </cell>
          <cell r="Y1230">
            <v>0</v>
          </cell>
          <cell r="Z1230">
            <v>116</v>
          </cell>
          <cell r="AA1230">
            <v>334</v>
          </cell>
          <cell r="AB1230">
            <v>298</v>
          </cell>
          <cell r="AC1230">
            <v>0</v>
          </cell>
          <cell r="AD1230">
            <v>298</v>
          </cell>
          <cell r="AE1230">
            <v>450</v>
          </cell>
          <cell r="AF1230">
            <v>0</v>
          </cell>
          <cell r="AG1230">
            <v>450</v>
          </cell>
        </row>
        <row r="1231">
          <cell r="C1231">
            <v>41086992</v>
          </cell>
          <cell r="D1231" t="str">
            <v>BHAKTI-PRASAD PETROLEUM</v>
          </cell>
          <cell r="E1231" t="str">
            <v>HPCL</v>
          </cell>
          <cell r="F1231" t="str">
            <v>2025-26</v>
          </cell>
          <cell r="G1231" t="str">
            <v>Ahmednagar East RSA</v>
          </cell>
          <cell r="J1231" t="str">
            <v>Akhegaon</v>
          </cell>
          <cell r="K1231" t="str">
            <v>Ahmednagar</v>
          </cell>
          <cell r="L1231" t="str">
            <v>E</v>
          </cell>
          <cell r="O1231" t="str">
            <v>B</v>
          </cell>
          <cell r="P1231">
            <v>51</v>
          </cell>
          <cell r="Q1231">
            <v>189</v>
          </cell>
          <cell r="R1231">
            <v>0</v>
          </cell>
          <cell r="S1231">
            <v>0</v>
          </cell>
          <cell r="T1231">
            <v>51</v>
          </cell>
          <cell r="U1231">
            <v>189</v>
          </cell>
          <cell r="V1231">
            <v>88</v>
          </cell>
          <cell r="W1231">
            <v>298</v>
          </cell>
          <cell r="X1231">
            <v>0</v>
          </cell>
          <cell r="Y1231">
            <v>0</v>
          </cell>
          <cell r="Z1231">
            <v>88</v>
          </cell>
          <cell r="AA1231">
            <v>298</v>
          </cell>
          <cell r="AB1231">
            <v>240</v>
          </cell>
          <cell r="AC1231">
            <v>0</v>
          </cell>
          <cell r="AD1231">
            <v>240</v>
          </cell>
          <cell r="AE1231">
            <v>386</v>
          </cell>
          <cell r="AF1231">
            <v>0</v>
          </cell>
          <cell r="AG1231">
            <v>386</v>
          </cell>
        </row>
        <row r="1232">
          <cell r="C1232">
            <v>41087365</v>
          </cell>
          <cell r="D1232" t="str">
            <v>ADHOC SAI SAMARTH PETROLEUM (41064261 ADHOC SAIEE PETROLEUM)</v>
          </cell>
          <cell r="E1232" t="str">
            <v>HPCL</v>
          </cell>
          <cell r="G1232" t="str">
            <v>Pimpri Chinchwad RSA</v>
          </cell>
          <cell r="J1232" t="str">
            <v>Talegaon Dabhade</v>
          </cell>
          <cell r="K1232" t="str">
            <v>Pune</v>
          </cell>
          <cell r="L1232" t="str">
            <v>E</v>
          </cell>
          <cell r="O1232" t="str">
            <v>A</v>
          </cell>
          <cell r="P1232">
            <v>125</v>
          </cell>
          <cell r="Q1232">
            <v>155</v>
          </cell>
          <cell r="R1232">
            <v>106</v>
          </cell>
          <cell r="S1232">
            <v>108</v>
          </cell>
          <cell r="T1232">
            <v>19</v>
          </cell>
          <cell r="U1232">
            <v>47</v>
          </cell>
          <cell r="V1232">
            <v>255</v>
          </cell>
          <cell r="W1232">
            <v>265</v>
          </cell>
          <cell r="X1232">
            <v>176</v>
          </cell>
          <cell r="Y1232">
            <v>190</v>
          </cell>
          <cell r="Z1232">
            <v>79</v>
          </cell>
          <cell r="AA1232">
            <v>75</v>
          </cell>
          <cell r="AB1232">
            <v>280</v>
          </cell>
          <cell r="AC1232">
            <v>214</v>
          </cell>
          <cell r="AD1232">
            <v>66</v>
          </cell>
          <cell r="AE1232">
            <v>520</v>
          </cell>
          <cell r="AF1232">
            <v>366</v>
          </cell>
          <cell r="AG1232">
            <v>154</v>
          </cell>
        </row>
        <row r="1233">
          <cell r="C1233">
            <v>41087651</v>
          </cell>
          <cell r="D1233" t="str">
            <v>ADHOC APMC RAHURI (41063606 ADHOC SURYABHAN PATIL TAMBE SONS (Dr. Baburao Bapuji Tanpure SSK Ltd,)</v>
          </cell>
          <cell r="E1233" t="str">
            <v>HPCL</v>
          </cell>
          <cell r="G1233" t="str">
            <v>Shirdi RSA</v>
          </cell>
          <cell r="J1233" t="str">
            <v>RAHURI FACTORY RHS</v>
          </cell>
          <cell r="K1233" t="str">
            <v>Ahmednagar</v>
          </cell>
          <cell r="L1233" t="str">
            <v>D1</v>
          </cell>
          <cell r="M1233" t="str">
            <v>NH-160</v>
          </cell>
          <cell r="O1233" t="str">
            <v>A</v>
          </cell>
          <cell r="P1233">
            <v>3</v>
          </cell>
          <cell r="Q1233">
            <v>9</v>
          </cell>
          <cell r="R1233">
            <v>27</v>
          </cell>
          <cell r="S1233">
            <v>57</v>
          </cell>
          <cell r="T1233">
            <v>-24</v>
          </cell>
          <cell r="U1233">
            <v>-48</v>
          </cell>
          <cell r="V1233">
            <v>3</v>
          </cell>
          <cell r="W1233">
            <v>9</v>
          </cell>
          <cell r="X1233">
            <v>42</v>
          </cell>
          <cell r="Y1233">
            <v>102</v>
          </cell>
          <cell r="Z1233">
            <v>-39</v>
          </cell>
          <cell r="AA1233">
            <v>-93</v>
          </cell>
          <cell r="AB1233">
            <v>12</v>
          </cell>
          <cell r="AC1233">
            <v>84</v>
          </cell>
          <cell r="AD1233">
            <v>-72</v>
          </cell>
          <cell r="AE1233">
            <v>12</v>
          </cell>
          <cell r="AF1233">
            <v>144</v>
          </cell>
          <cell r="AG1233">
            <v>-132</v>
          </cell>
        </row>
        <row r="1234">
          <cell r="C1234">
            <v>41088578</v>
          </cell>
          <cell r="D1234" t="str">
            <v>OM SAIBHAKTI PETROLEUM</v>
          </cell>
          <cell r="E1234" t="str">
            <v>HPCL</v>
          </cell>
          <cell r="F1234" t="str">
            <v>2025-26</v>
          </cell>
          <cell r="G1234" t="str">
            <v>Pune Wagholi RSA</v>
          </cell>
          <cell r="J1234" t="str">
            <v>Landewadi</v>
          </cell>
          <cell r="K1234" t="str">
            <v>Pune</v>
          </cell>
          <cell r="L1234" t="str">
            <v>E</v>
          </cell>
          <cell r="O1234" t="str">
            <v>B</v>
          </cell>
          <cell r="P1234">
            <v>70</v>
          </cell>
          <cell r="Q1234">
            <v>90</v>
          </cell>
          <cell r="R1234">
            <v>0</v>
          </cell>
          <cell r="S1234">
            <v>0</v>
          </cell>
          <cell r="T1234">
            <v>70</v>
          </cell>
          <cell r="U1234">
            <v>90</v>
          </cell>
          <cell r="V1234">
            <v>117</v>
          </cell>
          <cell r="W1234">
            <v>153</v>
          </cell>
          <cell r="X1234">
            <v>0</v>
          </cell>
          <cell r="Y1234">
            <v>0</v>
          </cell>
          <cell r="Z1234">
            <v>117</v>
          </cell>
          <cell r="AA1234">
            <v>153</v>
          </cell>
          <cell r="AB1234">
            <v>160</v>
          </cell>
          <cell r="AC1234">
            <v>0</v>
          </cell>
          <cell r="AD1234">
            <v>160</v>
          </cell>
          <cell r="AE1234">
            <v>270</v>
          </cell>
          <cell r="AF1234">
            <v>0</v>
          </cell>
          <cell r="AG1234">
            <v>270</v>
          </cell>
        </row>
        <row r="1235">
          <cell r="C1235">
            <v>41088598</v>
          </cell>
          <cell r="D1235" t="str">
            <v>ADHOC ATHARVA PETROLEUM (41049846 Shree Sant Wamanbhau Petroleum)</v>
          </cell>
          <cell r="E1235" t="str">
            <v>HPCL</v>
          </cell>
          <cell r="F1235" t="str">
            <v>2015-16</v>
          </cell>
          <cell r="G1235" t="str">
            <v>Ahmednagar East RSA</v>
          </cell>
          <cell r="J1235" t="str">
            <v>Miri</v>
          </cell>
          <cell r="K1235" t="str">
            <v>Ahmednagar</v>
          </cell>
          <cell r="L1235" t="str">
            <v>D2</v>
          </cell>
          <cell r="O1235" t="str">
            <v>B</v>
          </cell>
          <cell r="P1235">
            <v>24</v>
          </cell>
          <cell r="Q1235">
            <v>66</v>
          </cell>
          <cell r="R1235">
            <v>0</v>
          </cell>
          <cell r="S1235">
            <v>0</v>
          </cell>
          <cell r="T1235">
            <v>24</v>
          </cell>
          <cell r="U1235">
            <v>66</v>
          </cell>
          <cell r="V1235">
            <v>50</v>
          </cell>
          <cell r="W1235">
            <v>102</v>
          </cell>
          <cell r="X1235">
            <v>0</v>
          </cell>
          <cell r="Y1235">
            <v>0</v>
          </cell>
          <cell r="Z1235">
            <v>50</v>
          </cell>
          <cell r="AA1235">
            <v>102</v>
          </cell>
          <cell r="AB1235">
            <v>90</v>
          </cell>
          <cell r="AC1235">
            <v>0</v>
          </cell>
          <cell r="AD1235">
            <v>90</v>
          </cell>
          <cell r="AE1235">
            <v>152</v>
          </cell>
          <cell r="AF1235">
            <v>0</v>
          </cell>
          <cell r="AG1235">
            <v>152</v>
          </cell>
        </row>
        <row r="1236">
          <cell r="C1236">
            <v>49916035</v>
          </cell>
          <cell r="D1236" t="str">
            <v>Shrirampur TKVS</v>
          </cell>
          <cell r="E1236" t="str">
            <v>HPCL</v>
          </cell>
          <cell r="G1236" t="str">
            <v>Shirdi RSA</v>
          </cell>
          <cell r="J1236" t="str">
            <v>SHRIRAMPUR TOWN</v>
          </cell>
          <cell r="K1236" t="str">
            <v>Ahmednagar</v>
          </cell>
          <cell r="L1236" t="str">
            <v>D2</v>
          </cell>
          <cell r="O1236" t="str">
            <v>A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</row>
        <row r="1237">
          <cell r="C1237">
            <v>41088783</v>
          </cell>
          <cell r="D1237" t="str">
            <v>AVNEESH PETROLEUM</v>
          </cell>
          <cell r="E1237" t="str">
            <v>HPCL</v>
          </cell>
          <cell r="F1237" t="str">
            <v>2025-26</v>
          </cell>
          <cell r="G1237" t="str">
            <v>Ahmednagar West RSA</v>
          </cell>
          <cell r="J1237" t="str">
            <v>WALUNJ-BYPASS</v>
          </cell>
          <cell r="K1237" t="str">
            <v>Ahmednagar</v>
          </cell>
          <cell r="L1237" t="str">
            <v>D1</v>
          </cell>
          <cell r="M1237" t="str">
            <v>NH-61</v>
          </cell>
          <cell r="O1237" t="str">
            <v>B</v>
          </cell>
          <cell r="P1237">
            <v>27</v>
          </cell>
          <cell r="Q1237">
            <v>99</v>
          </cell>
          <cell r="R1237">
            <v>0</v>
          </cell>
          <cell r="S1237">
            <v>0</v>
          </cell>
          <cell r="T1237">
            <v>27</v>
          </cell>
          <cell r="U1237">
            <v>99</v>
          </cell>
          <cell r="V1237">
            <v>54</v>
          </cell>
          <cell r="W1237">
            <v>206</v>
          </cell>
          <cell r="X1237">
            <v>0</v>
          </cell>
          <cell r="Y1237">
            <v>0</v>
          </cell>
          <cell r="Z1237">
            <v>54</v>
          </cell>
          <cell r="AA1237">
            <v>206</v>
          </cell>
          <cell r="AB1237">
            <v>126</v>
          </cell>
          <cell r="AC1237">
            <v>0</v>
          </cell>
          <cell r="AD1237">
            <v>126</v>
          </cell>
          <cell r="AE1237">
            <v>260</v>
          </cell>
          <cell r="AF1237">
            <v>0</v>
          </cell>
          <cell r="AG1237">
            <v>260</v>
          </cell>
        </row>
        <row r="1238">
          <cell r="C1238">
            <v>41089998</v>
          </cell>
          <cell r="D1238" t="str">
            <v>CHANDRAPRABHA PETROLEUM</v>
          </cell>
          <cell r="E1238" t="str">
            <v>HPCL</v>
          </cell>
          <cell r="F1238" t="str">
            <v>2025-26</v>
          </cell>
          <cell r="G1238" t="str">
            <v>Ahmednagar East RSA</v>
          </cell>
          <cell r="J1238" t="str">
            <v>Handinimgaon</v>
          </cell>
          <cell r="K1238" t="str">
            <v>Ahmednagar</v>
          </cell>
          <cell r="L1238" t="str">
            <v>D1</v>
          </cell>
          <cell r="M1238" t="str">
            <v>NH-753F</v>
          </cell>
          <cell r="O1238" t="str">
            <v>B</v>
          </cell>
          <cell r="P1238">
            <v>6</v>
          </cell>
          <cell r="Q1238">
            <v>18</v>
          </cell>
          <cell r="R1238">
            <v>0</v>
          </cell>
          <cell r="S1238">
            <v>0</v>
          </cell>
          <cell r="T1238">
            <v>6</v>
          </cell>
          <cell r="U1238">
            <v>18</v>
          </cell>
          <cell r="V1238">
            <v>6</v>
          </cell>
          <cell r="W1238">
            <v>18</v>
          </cell>
          <cell r="X1238">
            <v>0</v>
          </cell>
          <cell r="Y1238">
            <v>0</v>
          </cell>
          <cell r="Z1238">
            <v>6</v>
          </cell>
          <cell r="AA1238">
            <v>18</v>
          </cell>
          <cell r="AB1238">
            <v>24</v>
          </cell>
          <cell r="AC1238">
            <v>0</v>
          </cell>
          <cell r="AD1238">
            <v>24</v>
          </cell>
          <cell r="AE1238">
            <v>24</v>
          </cell>
          <cell r="AF1238">
            <v>0</v>
          </cell>
          <cell r="AG1238">
            <v>24</v>
          </cell>
        </row>
        <row r="1239">
          <cell r="C1239">
            <v>41084409</v>
          </cell>
          <cell r="D1239" t="str">
            <v>NATHSAHEB PETROLEUM</v>
          </cell>
          <cell r="E1239" t="str">
            <v>HPCL</v>
          </cell>
          <cell r="F1239" t="str">
            <v>2025-26</v>
          </cell>
          <cell r="G1239" t="str">
            <v>Pimpri Chinchwad RSA</v>
          </cell>
          <cell r="J1239" t="str">
            <v>NIGHOJE</v>
          </cell>
          <cell r="K1239" t="str">
            <v>Pune</v>
          </cell>
          <cell r="L1239" t="str">
            <v>C</v>
          </cell>
          <cell r="O1239" t="str">
            <v>B</v>
          </cell>
          <cell r="P1239">
            <v>81</v>
          </cell>
          <cell r="Q1239">
            <v>265</v>
          </cell>
          <cell r="R1239">
            <v>0</v>
          </cell>
          <cell r="S1239">
            <v>0</v>
          </cell>
          <cell r="T1239">
            <v>81</v>
          </cell>
          <cell r="U1239">
            <v>265</v>
          </cell>
          <cell r="V1239">
            <v>142</v>
          </cell>
          <cell r="W1239">
            <v>488</v>
          </cell>
          <cell r="X1239">
            <v>0</v>
          </cell>
          <cell r="Y1239">
            <v>0</v>
          </cell>
          <cell r="Z1239">
            <v>142</v>
          </cell>
          <cell r="AA1239">
            <v>488</v>
          </cell>
          <cell r="AB1239">
            <v>346</v>
          </cell>
          <cell r="AC1239">
            <v>0</v>
          </cell>
          <cell r="AD1239">
            <v>346</v>
          </cell>
          <cell r="AE1239">
            <v>630</v>
          </cell>
          <cell r="AF1239">
            <v>0</v>
          </cell>
          <cell r="AG1239">
            <v>630</v>
          </cell>
        </row>
        <row r="1240">
          <cell r="C1240">
            <v>41089659</v>
          </cell>
          <cell r="D1240" t="str">
            <v>JEBALE PETROLEUM</v>
          </cell>
          <cell r="E1240" t="str">
            <v>HPCL</v>
          </cell>
          <cell r="F1240" t="str">
            <v>2025-26</v>
          </cell>
          <cell r="G1240" t="str">
            <v>Satara East RSA</v>
          </cell>
          <cell r="J1240" t="str">
            <v>Lonand</v>
          </cell>
          <cell r="K1240" t="str">
            <v>Satara</v>
          </cell>
          <cell r="L1240" t="str">
            <v>D1</v>
          </cell>
          <cell r="M1240" t="str">
            <v>NH-965D</v>
          </cell>
          <cell r="O1240" t="str">
            <v>B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</row>
        <row r="1241">
          <cell r="C1241">
            <v>41090084</v>
          </cell>
          <cell r="D1241" t="str">
            <v>R B SHINDE PETROLEUM</v>
          </cell>
          <cell r="E1241" t="str">
            <v>HPCL</v>
          </cell>
          <cell r="F1241" t="str">
            <v>2025-26</v>
          </cell>
          <cell r="G1241" t="str">
            <v>Pune Saswad RSA</v>
          </cell>
          <cell r="J1241" t="str">
            <v>Indapur Bypass</v>
          </cell>
          <cell r="K1241" t="str">
            <v>Pune</v>
          </cell>
          <cell r="L1241" t="str">
            <v>D1</v>
          </cell>
          <cell r="M1241" t="str">
            <v>NH-65</v>
          </cell>
          <cell r="O1241" t="str">
            <v>B</v>
          </cell>
          <cell r="P1241">
            <v>10</v>
          </cell>
          <cell r="Q1241">
            <v>14</v>
          </cell>
          <cell r="R1241">
            <v>0</v>
          </cell>
          <cell r="S1241">
            <v>0</v>
          </cell>
          <cell r="T1241">
            <v>10</v>
          </cell>
          <cell r="U1241">
            <v>14</v>
          </cell>
          <cell r="V1241">
            <v>10</v>
          </cell>
          <cell r="W1241">
            <v>14</v>
          </cell>
          <cell r="X1241">
            <v>0</v>
          </cell>
          <cell r="Y1241">
            <v>0</v>
          </cell>
          <cell r="Z1241">
            <v>10</v>
          </cell>
          <cell r="AA1241">
            <v>14</v>
          </cell>
          <cell r="AB1241">
            <v>24</v>
          </cell>
          <cell r="AC1241">
            <v>0</v>
          </cell>
          <cell r="AD1241">
            <v>24</v>
          </cell>
          <cell r="AE1241">
            <v>24</v>
          </cell>
          <cell r="AF1241">
            <v>0</v>
          </cell>
          <cell r="AG1241">
            <v>24</v>
          </cell>
        </row>
        <row r="1242">
          <cell r="C1242">
            <v>41090670</v>
          </cell>
          <cell r="D1242" t="str">
            <v>VEDANT PETROLEUM</v>
          </cell>
          <cell r="E1242" t="str">
            <v>HPCL</v>
          </cell>
          <cell r="F1242" t="str">
            <v>2025-26</v>
          </cell>
          <cell r="G1242" t="str">
            <v>Satara East RSA</v>
          </cell>
          <cell r="J1242" t="str">
            <v>Wing-Khandala</v>
          </cell>
          <cell r="K1242" t="str">
            <v>Satara</v>
          </cell>
          <cell r="L1242" t="str">
            <v>D1</v>
          </cell>
          <cell r="M1242" t="str">
            <v>NH-753F</v>
          </cell>
          <cell r="O1242" t="str">
            <v>B</v>
          </cell>
          <cell r="P1242">
            <v>27</v>
          </cell>
          <cell r="Q1242">
            <v>23</v>
          </cell>
          <cell r="R1242">
            <v>0</v>
          </cell>
          <cell r="S1242">
            <v>0</v>
          </cell>
          <cell r="T1242">
            <v>27</v>
          </cell>
          <cell r="U1242">
            <v>23</v>
          </cell>
          <cell r="V1242">
            <v>32</v>
          </cell>
          <cell r="W1242">
            <v>32</v>
          </cell>
          <cell r="X1242">
            <v>0</v>
          </cell>
          <cell r="Y1242">
            <v>0</v>
          </cell>
          <cell r="Z1242">
            <v>32</v>
          </cell>
          <cell r="AA1242">
            <v>32</v>
          </cell>
          <cell r="AB1242">
            <v>50</v>
          </cell>
          <cell r="AC1242">
            <v>0</v>
          </cell>
          <cell r="AD1242">
            <v>50</v>
          </cell>
          <cell r="AE1242">
            <v>64</v>
          </cell>
          <cell r="AF1242">
            <v>0</v>
          </cell>
          <cell r="AG1242">
            <v>64</v>
          </cell>
        </row>
        <row r="1243">
          <cell r="C1243">
            <v>41090369</v>
          </cell>
          <cell r="D1243" t="str">
            <v>TEJASVI PETROLEUM</v>
          </cell>
          <cell r="E1243" t="str">
            <v>HPCL</v>
          </cell>
          <cell r="F1243" t="str">
            <v>2025-26</v>
          </cell>
          <cell r="G1243" t="str">
            <v>Satara West RSA</v>
          </cell>
          <cell r="J1243" t="str">
            <v>KARAD ON NH 48 RHS</v>
          </cell>
          <cell r="K1243" t="str">
            <v>Satara</v>
          </cell>
          <cell r="L1243" t="str">
            <v>D1</v>
          </cell>
          <cell r="M1243" t="str">
            <v>NH-48</v>
          </cell>
          <cell r="O1243" t="str">
            <v>B</v>
          </cell>
          <cell r="P1243">
            <v>7</v>
          </cell>
          <cell r="Q1243">
            <v>7</v>
          </cell>
          <cell r="R1243">
            <v>0</v>
          </cell>
          <cell r="S1243">
            <v>0</v>
          </cell>
          <cell r="T1243">
            <v>7</v>
          </cell>
          <cell r="U1243">
            <v>7</v>
          </cell>
          <cell r="V1243">
            <v>7</v>
          </cell>
          <cell r="W1243">
            <v>7</v>
          </cell>
          <cell r="X1243">
            <v>0</v>
          </cell>
          <cell r="Y1243">
            <v>0</v>
          </cell>
          <cell r="Z1243">
            <v>7</v>
          </cell>
          <cell r="AA1243">
            <v>7</v>
          </cell>
          <cell r="AB1243">
            <v>14</v>
          </cell>
          <cell r="AC1243">
            <v>0</v>
          </cell>
          <cell r="AD1243">
            <v>14</v>
          </cell>
          <cell r="AE1243">
            <v>14</v>
          </cell>
          <cell r="AF1243">
            <v>0</v>
          </cell>
          <cell r="AG1243">
            <v>14</v>
          </cell>
        </row>
        <row r="1244">
          <cell r="C1244">
            <v>41086065</v>
          </cell>
          <cell r="D1244" t="str">
            <v>B M PETROLEUM</v>
          </cell>
          <cell r="E1244" t="str">
            <v>HPCL</v>
          </cell>
          <cell r="F1244" t="str">
            <v>2025-26</v>
          </cell>
          <cell r="G1244" t="str">
            <v>Pune Hadapsar RSA</v>
          </cell>
          <cell r="J1244" t="str">
            <v>Yawat LHS</v>
          </cell>
          <cell r="K1244" t="str">
            <v>Pune</v>
          </cell>
          <cell r="L1244" t="str">
            <v>D1</v>
          </cell>
          <cell r="M1244" t="str">
            <v>NH-65</v>
          </cell>
          <cell r="O1244" t="str">
            <v>B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</row>
        <row r="1245">
          <cell r="C1245">
            <v>41086041</v>
          </cell>
          <cell r="D1245" t="str">
            <v>SHREENATH PETROLEUM</v>
          </cell>
          <cell r="E1245" t="str">
            <v>HPCL</v>
          </cell>
          <cell r="F1245" t="str">
            <v>2025-26</v>
          </cell>
          <cell r="G1245" t="str">
            <v>Pune City RSA</v>
          </cell>
          <cell r="J1245" t="str">
            <v>PUNAWALA</v>
          </cell>
          <cell r="K1245" t="str">
            <v>Pune</v>
          </cell>
          <cell r="L1245" t="str">
            <v>A</v>
          </cell>
          <cell r="O1245" t="str">
            <v>B</v>
          </cell>
          <cell r="P1245">
            <v>165</v>
          </cell>
          <cell r="Q1245">
            <v>83</v>
          </cell>
          <cell r="R1245">
            <v>0</v>
          </cell>
          <cell r="S1245">
            <v>0</v>
          </cell>
          <cell r="T1245">
            <v>165</v>
          </cell>
          <cell r="U1245">
            <v>83</v>
          </cell>
          <cell r="V1245">
            <v>276</v>
          </cell>
          <cell r="W1245">
            <v>110</v>
          </cell>
          <cell r="X1245">
            <v>0</v>
          </cell>
          <cell r="Y1245">
            <v>0</v>
          </cell>
          <cell r="Z1245">
            <v>276</v>
          </cell>
          <cell r="AA1245">
            <v>110</v>
          </cell>
          <cell r="AB1245">
            <v>248</v>
          </cell>
          <cell r="AC1245">
            <v>0</v>
          </cell>
          <cell r="AD1245">
            <v>248</v>
          </cell>
          <cell r="AE1245">
            <v>386</v>
          </cell>
          <cell r="AF1245">
            <v>0</v>
          </cell>
          <cell r="AG1245">
            <v>386</v>
          </cell>
        </row>
        <row r="1246">
          <cell r="C1246">
            <v>41092142</v>
          </cell>
          <cell r="D1246" t="str">
            <v>ASHIRWAD PETROLEUM</v>
          </cell>
          <cell r="E1246" t="str">
            <v>HPCL</v>
          </cell>
          <cell r="F1246" t="str">
            <v>2025-26</v>
          </cell>
          <cell r="G1246" t="str">
            <v>Pune Wagholi RSA</v>
          </cell>
          <cell r="J1246" t="str">
            <v>Belhe to Loni on belhe jejuri highway</v>
          </cell>
          <cell r="K1246" t="str">
            <v>Pune</v>
          </cell>
          <cell r="L1246" t="str">
            <v>D2</v>
          </cell>
          <cell r="O1246" t="str">
            <v>B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</row>
        <row r="1247">
          <cell r="C1247">
            <v>41092717</v>
          </cell>
          <cell r="D1247" t="str">
            <v>ORANGE VALLEY PETROLEUM</v>
          </cell>
          <cell r="E1247" t="str">
            <v>HPCL</v>
          </cell>
          <cell r="F1247" t="str">
            <v>2025-26</v>
          </cell>
          <cell r="G1247" t="str">
            <v>Ahmednagar East RSA</v>
          </cell>
          <cell r="J1247" t="str">
            <v>Dhangarwadi</v>
          </cell>
          <cell r="K1247" t="str">
            <v>Ahmednagar</v>
          </cell>
          <cell r="L1247" t="str">
            <v>D1</v>
          </cell>
          <cell r="M1247" t="str">
            <v>NH-753F</v>
          </cell>
          <cell r="O1247" t="str">
            <v>B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</row>
        <row r="1248">
          <cell r="C1248">
            <v>41091244</v>
          </cell>
          <cell r="D1248" t="str">
            <v>AVDHUT PETRO WORLD</v>
          </cell>
          <cell r="E1248" t="str">
            <v>HPCL</v>
          </cell>
          <cell r="F1248" t="str">
            <v>2025-26</v>
          </cell>
          <cell r="G1248" t="str">
            <v>Ahmednagar East RSA</v>
          </cell>
          <cell r="J1248" t="str">
            <v>bhatkudgaon</v>
          </cell>
          <cell r="K1248" t="str">
            <v>Ahmednagar</v>
          </cell>
          <cell r="L1248" t="str">
            <v>D2</v>
          </cell>
          <cell r="O1248" t="str">
            <v>B</v>
          </cell>
          <cell r="P1248">
            <v>9</v>
          </cell>
          <cell r="Q1248">
            <v>15</v>
          </cell>
          <cell r="R1248">
            <v>0</v>
          </cell>
          <cell r="S1248">
            <v>0</v>
          </cell>
          <cell r="T1248">
            <v>9</v>
          </cell>
          <cell r="U1248">
            <v>15</v>
          </cell>
          <cell r="V1248">
            <v>9</v>
          </cell>
          <cell r="W1248">
            <v>15</v>
          </cell>
          <cell r="X1248">
            <v>0</v>
          </cell>
          <cell r="Y1248">
            <v>0</v>
          </cell>
          <cell r="Z1248">
            <v>9</v>
          </cell>
          <cell r="AA1248">
            <v>15</v>
          </cell>
          <cell r="AB1248">
            <v>24</v>
          </cell>
          <cell r="AC1248">
            <v>0</v>
          </cell>
          <cell r="AD1248">
            <v>24</v>
          </cell>
          <cell r="AE1248">
            <v>24</v>
          </cell>
          <cell r="AF1248">
            <v>0</v>
          </cell>
          <cell r="AG1248">
            <v>24</v>
          </cell>
        </row>
        <row r="1249">
          <cell r="C1249">
            <v>41092247</v>
          </cell>
          <cell r="D1249" t="str">
            <v>MAHALAKSHMI PETROLEUM</v>
          </cell>
          <cell r="E1249" t="str">
            <v>HPCL</v>
          </cell>
          <cell r="F1249" t="str">
            <v>2025-26</v>
          </cell>
          <cell r="G1249" t="str">
            <v>Ahmednagar East RSA</v>
          </cell>
          <cell r="J1249" t="str">
            <v>Salbatpur</v>
          </cell>
          <cell r="K1249" t="str">
            <v>Ahmednagar</v>
          </cell>
          <cell r="L1249" t="str">
            <v>E</v>
          </cell>
          <cell r="O1249" t="str">
            <v>B</v>
          </cell>
          <cell r="P1249">
            <v>3.5</v>
          </cell>
          <cell r="Q1249">
            <v>44.5</v>
          </cell>
          <cell r="R1249">
            <v>0</v>
          </cell>
          <cell r="S1249">
            <v>0</v>
          </cell>
          <cell r="T1249">
            <v>3.5</v>
          </cell>
          <cell r="U1249">
            <v>44.5</v>
          </cell>
          <cell r="V1249">
            <v>6.5</v>
          </cell>
          <cell r="W1249">
            <v>53.5</v>
          </cell>
          <cell r="X1249">
            <v>0</v>
          </cell>
          <cell r="Y1249">
            <v>0</v>
          </cell>
          <cell r="Z1249">
            <v>6.5</v>
          </cell>
          <cell r="AA1249">
            <v>53.5</v>
          </cell>
          <cell r="AB1249">
            <v>48</v>
          </cell>
          <cell r="AC1249">
            <v>0</v>
          </cell>
          <cell r="AD1249">
            <v>48</v>
          </cell>
          <cell r="AE1249">
            <v>60</v>
          </cell>
          <cell r="AF1249">
            <v>0</v>
          </cell>
          <cell r="AG1249">
            <v>60</v>
          </cell>
        </row>
        <row r="1250">
          <cell r="C1250">
            <v>41086942</v>
          </cell>
          <cell r="D1250" t="str">
            <v>SG PETROHUBS</v>
          </cell>
          <cell r="E1250" t="str">
            <v>HPCL</v>
          </cell>
          <cell r="F1250" t="str">
            <v>2025-26</v>
          </cell>
          <cell r="G1250" t="str">
            <v>Pune City RSA</v>
          </cell>
          <cell r="J1250" t="str">
            <v>HINJEWADI</v>
          </cell>
          <cell r="K1250" t="str">
            <v>Pune</v>
          </cell>
          <cell r="L1250" t="str">
            <v>A</v>
          </cell>
          <cell r="O1250" t="str">
            <v>B</v>
          </cell>
          <cell r="P1250">
            <v>176</v>
          </cell>
          <cell r="Q1250">
            <v>88</v>
          </cell>
          <cell r="R1250">
            <v>0</v>
          </cell>
          <cell r="S1250">
            <v>0</v>
          </cell>
          <cell r="T1250">
            <v>176</v>
          </cell>
          <cell r="U1250">
            <v>88</v>
          </cell>
          <cell r="V1250">
            <v>342</v>
          </cell>
          <cell r="W1250">
            <v>172</v>
          </cell>
          <cell r="X1250">
            <v>0</v>
          </cell>
          <cell r="Y1250">
            <v>0</v>
          </cell>
          <cell r="Z1250">
            <v>342</v>
          </cell>
          <cell r="AA1250">
            <v>172</v>
          </cell>
          <cell r="AB1250">
            <v>264</v>
          </cell>
          <cell r="AC1250">
            <v>0</v>
          </cell>
          <cell r="AD1250">
            <v>264</v>
          </cell>
          <cell r="AE1250">
            <v>514</v>
          </cell>
          <cell r="AF1250">
            <v>0</v>
          </cell>
          <cell r="AG1250">
            <v>514</v>
          </cell>
        </row>
        <row r="1251">
          <cell r="C1251">
            <v>41078541</v>
          </cell>
          <cell r="D1251" t="str">
            <v>PANDURANG PETROLEUM</v>
          </cell>
          <cell r="E1251" t="str">
            <v>HPCL</v>
          </cell>
          <cell r="F1251" t="str">
            <v>2025-26</v>
          </cell>
          <cell r="G1251" t="str">
            <v>Pimpri Chinchwad RSA</v>
          </cell>
          <cell r="J1251" t="str">
            <v>Biradwadi</v>
          </cell>
          <cell r="K1251" t="str">
            <v>Pune</v>
          </cell>
          <cell r="L1251" t="str">
            <v>C</v>
          </cell>
          <cell r="O1251" t="str">
            <v>A</v>
          </cell>
          <cell r="P1251">
            <v>29</v>
          </cell>
          <cell r="Q1251">
            <v>57</v>
          </cell>
          <cell r="R1251">
            <v>0</v>
          </cell>
          <cell r="S1251">
            <v>0</v>
          </cell>
          <cell r="T1251">
            <v>29</v>
          </cell>
          <cell r="U1251">
            <v>57</v>
          </cell>
          <cell r="V1251">
            <v>29</v>
          </cell>
          <cell r="W1251">
            <v>57</v>
          </cell>
          <cell r="X1251">
            <v>0</v>
          </cell>
          <cell r="Y1251">
            <v>0</v>
          </cell>
          <cell r="Z1251">
            <v>29</v>
          </cell>
          <cell r="AA1251">
            <v>57</v>
          </cell>
          <cell r="AB1251">
            <v>86</v>
          </cell>
          <cell r="AC1251">
            <v>0</v>
          </cell>
          <cell r="AD1251">
            <v>86</v>
          </cell>
          <cell r="AE1251">
            <v>86</v>
          </cell>
          <cell r="AF1251">
            <v>0</v>
          </cell>
          <cell r="AG1251">
            <v>86</v>
          </cell>
        </row>
        <row r="1252">
          <cell r="C1252">
            <v>41092069</v>
          </cell>
          <cell r="D1252" t="str">
            <v xml:space="preserve">PRAJ PETROLEUM </v>
          </cell>
          <cell r="E1252" t="str">
            <v>HPCL</v>
          </cell>
          <cell r="F1252" t="str">
            <v>2025-26</v>
          </cell>
          <cell r="G1252" t="str">
            <v>Ahmednagar East RSA</v>
          </cell>
          <cell r="J1252" t="str">
            <v>Bhenda</v>
          </cell>
          <cell r="K1252" t="str">
            <v>Ahmednagar</v>
          </cell>
          <cell r="L1252" t="str">
            <v>D2</v>
          </cell>
          <cell r="O1252" t="str">
            <v>B</v>
          </cell>
          <cell r="P1252">
            <v>18</v>
          </cell>
          <cell r="Q1252">
            <v>42</v>
          </cell>
          <cell r="R1252">
            <v>0</v>
          </cell>
          <cell r="S1252">
            <v>0</v>
          </cell>
          <cell r="T1252">
            <v>18</v>
          </cell>
          <cell r="U1252">
            <v>42</v>
          </cell>
          <cell r="V1252">
            <v>36</v>
          </cell>
          <cell r="W1252">
            <v>72</v>
          </cell>
          <cell r="X1252">
            <v>0</v>
          </cell>
          <cell r="Y1252">
            <v>0</v>
          </cell>
          <cell r="Z1252">
            <v>36</v>
          </cell>
          <cell r="AA1252">
            <v>72</v>
          </cell>
          <cell r="AB1252">
            <v>60</v>
          </cell>
          <cell r="AC1252">
            <v>0</v>
          </cell>
          <cell r="AD1252">
            <v>60</v>
          </cell>
          <cell r="AE1252">
            <v>108</v>
          </cell>
          <cell r="AF1252">
            <v>0</v>
          </cell>
          <cell r="AG1252">
            <v>108</v>
          </cell>
        </row>
        <row r="1253">
          <cell r="C1253">
            <v>41090766</v>
          </cell>
          <cell r="D1253" t="str">
            <v>BALUMAMA PETROLEUM</v>
          </cell>
          <cell r="E1253" t="str">
            <v>HPCL</v>
          </cell>
          <cell r="F1253" t="str">
            <v>2025-26</v>
          </cell>
          <cell r="G1253" t="str">
            <v>Ahmednagar East RSA</v>
          </cell>
          <cell r="J1253" t="str">
            <v>Savedi</v>
          </cell>
          <cell r="K1253" t="str">
            <v>Ahmednagar</v>
          </cell>
          <cell r="L1253" t="str">
            <v>C</v>
          </cell>
          <cell r="O1253" t="str">
            <v>B</v>
          </cell>
          <cell r="P1253">
            <v>27</v>
          </cell>
          <cell r="Q1253">
            <v>33</v>
          </cell>
          <cell r="R1253">
            <v>0</v>
          </cell>
          <cell r="S1253">
            <v>0</v>
          </cell>
          <cell r="T1253">
            <v>27</v>
          </cell>
          <cell r="U1253">
            <v>33</v>
          </cell>
          <cell r="V1253">
            <v>37</v>
          </cell>
          <cell r="W1253">
            <v>37</v>
          </cell>
          <cell r="X1253">
            <v>0</v>
          </cell>
          <cell r="Y1253">
            <v>0</v>
          </cell>
          <cell r="Z1253">
            <v>37</v>
          </cell>
          <cell r="AA1253">
            <v>37</v>
          </cell>
          <cell r="AB1253">
            <v>60</v>
          </cell>
          <cell r="AC1253">
            <v>0</v>
          </cell>
          <cell r="AD1253">
            <v>60</v>
          </cell>
          <cell r="AE1253">
            <v>74</v>
          </cell>
          <cell r="AF1253">
            <v>0</v>
          </cell>
          <cell r="AG1253">
            <v>74</v>
          </cell>
        </row>
        <row r="1254">
          <cell r="C1254">
            <v>41088537</v>
          </cell>
          <cell r="D1254" t="str">
            <v>SANTKRUPA  PETROLEUM</v>
          </cell>
          <cell r="E1254" t="str">
            <v>HPCL</v>
          </cell>
          <cell r="F1254" t="str">
            <v>2025-26</v>
          </cell>
          <cell r="G1254" t="str">
            <v>Pimpri Chinchwad RSA</v>
          </cell>
          <cell r="J1254" t="str">
            <v>chakan to rajgurunagar RHS</v>
          </cell>
          <cell r="K1254" t="str">
            <v>Pune</v>
          </cell>
          <cell r="L1254" t="str">
            <v>D1</v>
          </cell>
          <cell r="M1254" t="str">
            <v>NH-60</v>
          </cell>
          <cell r="O1254" t="str">
            <v>B</v>
          </cell>
          <cell r="P1254">
            <v>85</v>
          </cell>
          <cell r="Q1254">
            <v>123</v>
          </cell>
          <cell r="R1254">
            <v>0</v>
          </cell>
          <cell r="S1254">
            <v>0</v>
          </cell>
          <cell r="T1254">
            <v>85</v>
          </cell>
          <cell r="U1254">
            <v>123</v>
          </cell>
          <cell r="V1254">
            <v>112</v>
          </cell>
          <cell r="W1254">
            <v>166</v>
          </cell>
          <cell r="X1254">
            <v>0</v>
          </cell>
          <cell r="Y1254">
            <v>0</v>
          </cell>
          <cell r="Z1254">
            <v>112</v>
          </cell>
          <cell r="AA1254">
            <v>166</v>
          </cell>
          <cell r="AB1254">
            <v>208</v>
          </cell>
          <cell r="AC1254">
            <v>0</v>
          </cell>
          <cell r="AD1254">
            <v>208</v>
          </cell>
          <cell r="AE1254">
            <v>278</v>
          </cell>
          <cell r="AF1254">
            <v>0</v>
          </cell>
          <cell r="AG1254">
            <v>278</v>
          </cell>
        </row>
        <row r="1255">
          <cell r="C1255">
            <v>41093202</v>
          </cell>
          <cell r="D1255" t="str">
            <v>Dhumal Petroleum</v>
          </cell>
          <cell r="E1255" t="str">
            <v>HPCL</v>
          </cell>
          <cell r="F1255" t="str">
            <v>2025-26</v>
          </cell>
          <cell r="G1255" t="str">
            <v>Ahmednagar West RSA</v>
          </cell>
          <cell r="J1255" t="str">
            <v>AMBIJALGAON</v>
          </cell>
          <cell r="K1255" t="str">
            <v>Ahmednagar</v>
          </cell>
          <cell r="L1255" t="str">
            <v>D2</v>
          </cell>
          <cell r="O1255" t="str">
            <v>B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</row>
        <row r="1256">
          <cell r="C1256">
            <v>41078843</v>
          </cell>
          <cell r="D1256" t="str">
            <v>AK FUEL SERVICES</v>
          </cell>
          <cell r="E1256" t="str">
            <v>HPCL</v>
          </cell>
          <cell r="F1256" t="str">
            <v>2026-27</v>
          </cell>
          <cell r="G1256" t="str">
            <v>Pune Tathawade RSA</v>
          </cell>
          <cell r="J1256" t="str">
            <v>DEHU ROAD TO TALEGAON DABHADE</v>
          </cell>
          <cell r="K1256" t="str">
            <v>Pune</v>
          </cell>
          <cell r="L1256" t="str">
            <v>D1</v>
          </cell>
          <cell r="M1256" t="str">
            <v>NH-48</v>
          </cell>
          <cell r="O1256" t="str">
            <v>B</v>
          </cell>
          <cell r="P1256">
            <v>207</v>
          </cell>
          <cell r="Q1256">
            <v>209</v>
          </cell>
          <cell r="R1256">
            <v>0</v>
          </cell>
          <cell r="S1256">
            <v>0</v>
          </cell>
          <cell r="T1256">
            <v>207</v>
          </cell>
          <cell r="U1256">
            <v>209</v>
          </cell>
          <cell r="V1256">
            <v>323</v>
          </cell>
          <cell r="W1256">
            <v>319</v>
          </cell>
          <cell r="X1256">
            <v>0</v>
          </cell>
          <cell r="Y1256">
            <v>0</v>
          </cell>
          <cell r="Z1256">
            <v>323</v>
          </cell>
          <cell r="AA1256">
            <v>319</v>
          </cell>
          <cell r="AB1256">
            <v>416</v>
          </cell>
          <cell r="AC1256">
            <v>0</v>
          </cell>
          <cell r="AD1256">
            <v>416</v>
          </cell>
          <cell r="AE1256">
            <v>642</v>
          </cell>
          <cell r="AF1256">
            <v>0</v>
          </cell>
          <cell r="AG1256">
            <v>642</v>
          </cell>
        </row>
        <row r="1257">
          <cell r="C1257">
            <v>41090130</v>
          </cell>
          <cell r="D1257" t="str">
            <v>SHRI VENKATESH ENERGY SERVICES</v>
          </cell>
          <cell r="E1257" t="str">
            <v>HPCL</v>
          </cell>
          <cell r="F1257" t="str">
            <v>2026-27</v>
          </cell>
          <cell r="G1257" t="str">
            <v>Pune City RSA</v>
          </cell>
          <cell r="J1257" t="str">
            <v>MAGARPATTA CITY</v>
          </cell>
          <cell r="K1257" t="str">
            <v>Pune</v>
          </cell>
          <cell r="L1257" t="str">
            <v>A</v>
          </cell>
          <cell r="O1257" t="str">
            <v>A</v>
          </cell>
          <cell r="P1257">
            <v>14</v>
          </cell>
          <cell r="Q1257">
            <v>5</v>
          </cell>
          <cell r="R1257">
            <v>0</v>
          </cell>
          <cell r="S1257">
            <v>0</v>
          </cell>
          <cell r="T1257">
            <v>14</v>
          </cell>
          <cell r="U1257">
            <v>5</v>
          </cell>
          <cell r="V1257">
            <v>14</v>
          </cell>
          <cell r="W1257">
            <v>5</v>
          </cell>
          <cell r="X1257">
            <v>0</v>
          </cell>
          <cell r="Y1257">
            <v>0</v>
          </cell>
          <cell r="Z1257">
            <v>14</v>
          </cell>
          <cell r="AA1257">
            <v>5</v>
          </cell>
          <cell r="AB1257">
            <v>19</v>
          </cell>
          <cell r="AC1257">
            <v>0</v>
          </cell>
          <cell r="AD1257">
            <v>19</v>
          </cell>
          <cell r="AE1257">
            <v>19</v>
          </cell>
          <cell r="AF1257">
            <v>0</v>
          </cell>
          <cell r="AG1257">
            <v>19</v>
          </cell>
        </row>
        <row r="1258">
          <cell r="C1258">
            <v>41087546</v>
          </cell>
          <cell r="D1258" t="str">
            <v>GOLDRE ASSOCIATES</v>
          </cell>
          <cell r="E1258" t="str">
            <v>HPCL</v>
          </cell>
          <cell r="F1258" t="str">
            <v>2026-27</v>
          </cell>
          <cell r="G1258" t="str">
            <v>Pune City RSA</v>
          </cell>
          <cell r="J1258" t="str">
            <v>Wakad</v>
          </cell>
          <cell r="K1258" t="str">
            <v>Pune</v>
          </cell>
          <cell r="L1258" t="str">
            <v>A</v>
          </cell>
          <cell r="O1258" t="str">
            <v>A</v>
          </cell>
          <cell r="P1258">
            <v>9</v>
          </cell>
          <cell r="Q1258">
            <v>5</v>
          </cell>
          <cell r="R1258">
            <v>0</v>
          </cell>
          <cell r="S1258">
            <v>0</v>
          </cell>
          <cell r="T1258">
            <v>9</v>
          </cell>
          <cell r="U1258">
            <v>5</v>
          </cell>
          <cell r="V1258">
            <v>9</v>
          </cell>
          <cell r="W1258">
            <v>5</v>
          </cell>
          <cell r="X1258">
            <v>0</v>
          </cell>
          <cell r="Y1258">
            <v>0</v>
          </cell>
          <cell r="Z1258">
            <v>9</v>
          </cell>
          <cell r="AA1258">
            <v>5</v>
          </cell>
          <cell r="AB1258">
            <v>14</v>
          </cell>
          <cell r="AC1258">
            <v>0</v>
          </cell>
          <cell r="AD1258">
            <v>14</v>
          </cell>
          <cell r="AE1258">
            <v>14</v>
          </cell>
          <cell r="AF1258">
            <v>0</v>
          </cell>
          <cell r="AG1258">
            <v>14</v>
          </cell>
        </row>
        <row r="1259">
          <cell r="C1259">
            <v>125725</v>
          </cell>
          <cell r="D1259" t="str">
            <v>NATIONAL PETROLEUM</v>
          </cell>
          <cell r="E1259" t="str">
            <v>IOCL</v>
          </cell>
          <cell r="G1259" t="str">
            <v>Pune Saswad RSA</v>
          </cell>
          <cell r="H1259">
            <v>25260</v>
          </cell>
          <cell r="I1259" t="str">
            <v>OPEN</v>
          </cell>
          <cell r="J1259" t="str">
            <v>BHIGWAN</v>
          </cell>
          <cell r="K1259" t="str">
            <v>Pune</v>
          </cell>
          <cell r="L1259" t="str">
            <v>D1</v>
          </cell>
          <cell r="M1259" t="str">
            <v>NH-65</v>
          </cell>
          <cell r="O1259" t="str">
            <v>A</v>
          </cell>
          <cell r="P1259">
            <v>45</v>
          </cell>
          <cell r="Q1259">
            <v>99</v>
          </cell>
          <cell r="R1259">
            <v>45</v>
          </cell>
          <cell r="S1259">
            <v>63</v>
          </cell>
          <cell r="T1259">
            <v>0</v>
          </cell>
          <cell r="U1259">
            <v>36</v>
          </cell>
          <cell r="V1259">
            <v>90</v>
          </cell>
          <cell r="W1259">
            <v>174</v>
          </cell>
          <cell r="X1259">
            <v>87</v>
          </cell>
          <cell r="Y1259">
            <v>129</v>
          </cell>
          <cell r="Z1259">
            <v>3</v>
          </cell>
          <cell r="AA1259">
            <v>45</v>
          </cell>
          <cell r="AB1259">
            <v>144</v>
          </cell>
          <cell r="AC1259">
            <v>108</v>
          </cell>
          <cell r="AD1259">
            <v>36</v>
          </cell>
          <cell r="AE1259">
            <v>264</v>
          </cell>
          <cell r="AF1259">
            <v>216</v>
          </cell>
          <cell r="AG1259">
            <v>48</v>
          </cell>
        </row>
        <row r="1260">
          <cell r="C1260">
            <v>125737</v>
          </cell>
          <cell r="D1260" t="str">
            <v>SHIVNER FILLING STATION</v>
          </cell>
          <cell r="E1260" t="str">
            <v>IOCL</v>
          </cell>
          <cell r="G1260" t="str">
            <v>Pimpri Chinchwad RSA</v>
          </cell>
          <cell r="H1260">
            <v>25415</v>
          </cell>
          <cell r="I1260" t="str">
            <v>OPEN</v>
          </cell>
          <cell r="J1260" t="str">
            <v xml:space="preserve">Sablewadi to shikhrapur </v>
          </cell>
          <cell r="K1260" t="str">
            <v>Pune</v>
          </cell>
          <cell r="L1260" t="str">
            <v>D1</v>
          </cell>
          <cell r="M1260" t="str">
            <v>NH-548D</v>
          </cell>
          <cell r="O1260" t="str">
            <v>B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</row>
        <row r="1261">
          <cell r="C1261">
            <v>125834</v>
          </cell>
          <cell r="D1261" t="str">
            <v>SHREE SAI KRUPA SERVICES</v>
          </cell>
          <cell r="E1261" t="str">
            <v>IOCL</v>
          </cell>
          <cell r="G1261" t="str">
            <v>Pune City RSA</v>
          </cell>
          <cell r="H1261">
            <v>35399</v>
          </cell>
          <cell r="I1261" t="str">
            <v>OPEN</v>
          </cell>
          <cell r="J1261" t="str">
            <v>VISHRANTWADI</v>
          </cell>
          <cell r="K1261" t="str">
            <v>Pune</v>
          </cell>
          <cell r="L1261" t="str">
            <v>A</v>
          </cell>
          <cell r="O1261" t="str">
            <v>B</v>
          </cell>
          <cell r="P1261">
            <v>139</v>
          </cell>
          <cell r="Q1261">
            <v>27</v>
          </cell>
          <cell r="R1261">
            <v>182</v>
          </cell>
          <cell r="S1261">
            <v>35.5</v>
          </cell>
          <cell r="T1261">
            <v>-43</v>
          </cell>
          <cell r="U1261">
            <v>-8.5</v>
          </cell>
          <cell r="V1261">
            <v>292.5</v>
          </cell>
          <cell r="W1261">
            <v>47.5</v>
          </cell>
          <cell r="X1261">
            <v>357</v>
          </cell>
          <cell r="Y1261">
            <v>80.5</v>
          </cell>
          <cell r="Z1261">
            <v>-64.5</v>
          </cell>
          <cell r="AA1261">
            <v>-33</v>
          </cell>
          <cell r="AB1261">
            <v>166</v>
          </cell>
          <cell r="AC1261">
            <v>217.5</v>
          </cell>
          <cell r="AD1261">
            <v>-51.5</v>
          </cell>
          <cell r="AE1261">
            <v>340</v>
          </cell>
          <cell r="AF1261">
            <v>437.5</v>
          </cell>
          <cell r="AG1261">
            <v>-97.5</v>
          </cell>
        </row>
        <row r="1262">
          <cell r="C1262">
            <v>125893</v>
          </cell>
          <cell r="D1262" t="str">
            <v>ANIL AUTOMOBILES-MODNIMB (H)</v>
          </cell>
          <cell r="E1262" t="str">
            <v>IOCL</v>
          </cell>
          <cell r="G1262" t="str">
            <v>Pune Tathawade RSA</v>
          </cell>
          <cell r="H1262">
            <v>25932</v>
          </cell>
          <cell r="I1262" t="str">
            <v>OPEN</v>
          </cell>
          <cell r="J1262" t="str">
            <v>Nimbut to Someshwar Nagar</v>
          </cell>
          <cell r="K1262" t="str">
            <v>Pune</v>
          </cell>
          <cell r="L1262" t="str">
            <v>D2</v>
          </cell>
          <cell r="O1262" t="str">
            <v>B</v>
          </cell>
          <cell r="P1262">
            <v>62.5</v>
          </cell>
          <cell r="Q1262">
            <v>231.5</v>
          </cell>
          <cell r="R1262">
            <v>45</v>
          </cell>
          <cell r="S1262">
            <v>170</v>
          </cell>
          <cell r="T1262">
            <v>17.5</v>
          </cell>
          <cell r="U1262">
            <v>61.5</v>
          </cell>
          <cell r="V1262">
            <v>120</v>
          </cell>
          <cell r="W1262">
            <v>432</v>
          </cell>
          <cell r="X1262">
            <v>90.5</v>
          </cell>
          <cell r="Y1262">
            <v>334.5</v>
          </cell>
          <cell r="Z1262">
            <v>29.5</v>
          </cell>
          <cell r="AA1262">
            <v>97.5</v>
          </cell>
          <cell r="AB1262">
            <v>294</v>
          </cell>
          <cell r="AC1262">
            <v>215</v>
          </cell>
          <cell r="AD1262">
            <v>79</v>
          </cell>
          <cell r="AE1262">
            <v>552</v>
          </cell>
          <cell r="AF1262">
            <v>425</v>
          </cell>
          <cell r="AG1262">
            <v>127</v>
          </cell>
        </row>
        <row r="1263">
          <cell r="C1263">
            <v>126060</v>
          </cell>
          <cell r="D1263" t="str">
            <v>D.S.Bhosale &amp; Co</v>
          </cell>
          <cell r="E1263" t="str">
            <v>IOCL</v>
          </cell>
          <cell r="G1263" t="str">
            <v>Shirdi RSA</v>
          </cell>
          <cell r="H1263">
            <v>25261</v>
          </cell>
          <cell r="I1263" t="str">
            <v>OPEN</v>
          </cell>
          <cell r="J1263" t="str">
            <v>SHRIRAMPUR RURAL</v>
          </cell>
          <cell r="K1263" t="str">
            <v>Ahmednagar</v>
          </cell>
          <cell r="L1263" t="str">
            <v>D2</v>
          </cell>
          <cell r="O1263" t="str">
            <v>B</v>
          </cell>
          <cell r="P1263">
            <v>102.5</v>
          </cell>
          <cell r="Q1263">
            <v>531.5</v>
          </cell>
          <cell r="R1263">
            <v>104.5</v>
          </cell>
          <cell r="S1263">
            <v>437.5</v>
          </cell>
          <cell r="T1263">
            <v>-2</v>
          </cell>
          <cell r="U1263">
            <v>94</v>
          </cell>
          <cell r="V1263">
            <v>197</v>
          </cell>
          <cell r="W1263">
            <v>1191</v>
          </cell>
          <cell r="X1263">
            <v>203</v>
          </cell>
          <cell r="Y1263">
            <v>865</v>
          </cell>
          <cell r="Z1263">
            <v>-6</v>
          </cell>
          <cell r="AA1263">
            <v>326</v>
          </cell>
          <cell r="AB1263">
            <v>634</v>
          </cell>
          <cell r="AC1263">
            <v>542</v>
          </cell>
          <cell r="AD1263">
            <v>92</v>
          </cell>
          <cell r="AE1263">
            <v>1388</v>
          </cell>
          <cell r="AF1263">
            <v>1068</v>
          </cell>
          <cell r="AG1263">
            <v>320</v>
          </cell>
        </row>
        <row r="1264">
          <cell r="C1264">
            <v>126064</v>
          </cell>
          <cell r="D1264" t="str">
            <v>Kothari Automobiles</v>
          </cell>
          <cell r="E1264" t="str">
            <v>IOCL</v>
          </cell>
          <cell r="G1264" t="str">
            <v>Ahmednagar West RSA</v>
          </cell>
          <cell r="H1264">
            <v>29292</v>
          </cell>
          <cell r="I1264" t="str">
            <v>OPEN</v>
          </cell>
          <cell r="J1264" t="str">
            <v>JAMKHED-NAGAR RD</v>
          </cell>
          <cell r="K1264" t="str">
            <v>Ahmednagar</v>
          </cell>
          <cell r="L1264" t="str">
            <v>D1</v>
          </cell>
          <cell r="M1264" t="str">
            <v>NH-548D</v>
          </cell>
          <cell r="O1264" t="str">
            <v>B</v>
          </cell>
          <cell r="P1264">
            <v>75</v>
          </cell>
          <cell r="Q1264">
            <v>105</v>
          </cell>
          <cell r="R1264">
            <v>55</v>
          </cell>
          <cell r="S1264">
            <v>65</v>
          </cell>
          <cell r="T1264">
            <v>20</v>
          </cell>
          <cell r="U1264">
            <v>40</v>
          </cell>
          <cell r="V1264">
            <v>120</v>
          </cell>
          <cell r="W1264">
            <v>160</v>
          </cell>
          <cell r="X1264">
            <v>100</v>
          </cell>
          <cell r="Y1264">
            <v>120</v>
          </cell>
          <cell r="Z1264">
            <v>20</v>
          </cell>
          <cell r="AA1264">
            <v>40</v>
          </cell>
          <cell r="AB1264">
            <v>180</v>
          </cell>
          <cell r="AC1264">
            <v>120</v>
          </cell>
          <cell r="AD1264">
            <v>60</v>
          </cell>
          <cell r="AE1264">
            <v>280</v>
          </cell>
          <cell r="AF1264">
            <v>220</v>
          </cell>
          <cell r="AG1264">
            <v>60</v>
          </cell>
        </row>
        <row r="1265">
          <cell r="C1265">
            <v>126068</v>
          </cell>
          <cell r="D1265" t="str">
            <v>Musmade &amp; Sons.</v>
          </cell>
          <cell r="E1265" t="str">
            <v>IOCL</v>
          </cell>
          <cell r="G1265" t="str">
            <v>Shirdi RSA</v>
          </cell>
          <cell r="H1265">
            <v>25472</v>
          </cell>
          <cell r="I1265" t="str">
            <v>OPEN</v>
          </cell>
          <cell r="J1265" t="str">
            <v>RAHURI FACTORY RHS</v>
          </cell>
          <cell r="K1265" t="str">
            <v>Ahmednagar</v>
          </cell>
          <cell r="L1265" t="str">
            <v>D1</v>
          </cell>
          <cell r="M1265" t="str">
            <v>NH-160</v>
          </cell>
          <cell r="O1265" t="str">
            <v>B</v>
          </cell>
          <cell r="P1265">
            <v>66.5</v>
          </cell>
          <cell r="Q1265">
            <v>241.5</v>
          </cell>
          <cell r="R1265">
            <v>49</v>
          </cell>
          <cell r="S1265">
            <v>91</v>
          </cell>
          <cell r="T1265">
            <v>17.5</v>
          </cell>
          <cell r="U1265">
            <v>150.5</v>
          </cell>
          <cell r="V1265">
            <v>126</v>
          </cell>
          <cell r="W1265">
            <v>392</v>
          </cell>
          <cell r="X1265">
            <v>90.5</v>
          </cell>
          <cell r="Y1265">
            <v>181.5</v>
          </cell>
          <cell r="Z1265">
            <v>35.5</v>
          </cell>
          <cell r="AA1265">
            <v>210.5</v>
          </cell>
          <cell r="AB1265">
            <v>308</v>
          </cell>
          <cell r="AC1265">
            <v>140</v>
          </cell>
          <cell r="AD1265">
            <v>168</v>
          </cell>
          <cell r="AE1265">
            <v>518</v>
          </cell>
          <cell r="AF1265">
            <v>272</v>
          </cell>
          <cell r="AG1265">
            <v>246</v>
          </cell>
        </row>
        <row r="1266">
          <cell r="C1266">
            <v>126071</v>
          </cell>
          <cell r="D1266" t="str">
            <v>Sanjivani Ssk Ltd.</v>
          </cell>
          <cell r="E1266" t="str">
            <v>IOCL</v>
          </cell>
          <cell r="G1266" t="str">
            <v>Shirdi RSA</v>
          </cell>
          <cell r="H1266">
            <v>25763</v>
          </cell>
          <cell r="I1266" t="str">
            <v>OPEN</v>
          </cell>
          <cell r="J1266" t="str">
            <v xml:space="preserve">SAHAJANANDNAGAR   </v>
          </cell>
          <cell r="K1266" t="str">
            <v>Ahmednagar</v>
          </cell>
          <cell r="L1266" t="str">
            <v>C</v>
          </cell>
          <cell r="O1266" t="str">
            <v>A</v>
          </cell>
          <cell r="P1266">
            <v>50</v>
          </cell>
          <cell r="Q1266">
            <v>190</v>
          </cell>
          <cell r="R1266">
            <v>55</v>
          </cell>
          <cell r="S1266">
            <v>105</v>
          </cell>
          <cell r="T1266">
            <v>-5</v>
          </cell>
          <cell r="U1266">
            <v>85</v>
          </cell>
          <cell r="V1266">
            <v>100</v>
          </cell>
          <cell r="W1266">
            <v>300</v>
          </cell>
          <cell r="X1266">
            <v>105</v>
          </cell>
          <cell r="Y1266">
            <v>215</v>
          </cell>
          <cell r="Z1266">
            <v>-5</v>
          </cell>
          <cell r="AA1266">
            <v>85</v>
          </cell>
          <cell r="AB1266">
            <v>240</v>
          </cell>
          <cell r="AC1266">
            <v>160</v>
          </cell>
          <cell r="AD1266">
            <v>80</v>
          </cell>
          <cell r="AE1266">
            <v>400</v>
          </cell>
          <cell r="AF1266">
            <v>320</v>
          </cell>
          <cell r="AG1266">
            <v>80</v>
          </cell>
        </row>
        <row r="1267">
          <cell r="C1267">
            <v>126072</v>
          </cell>
          <cell r="D1267" t="str">
            <v>Sangamner S.S Sangh Ltd</v>
          </cell>
          <cell r="E1267" t="str">
            <v>IOCL</v>
          </cell>
          <cell r="G1267" t="str">
            <v>Shirdi RSA</v>
          </cell>
          <cell r="H1267">
            <v>25132</v>
          </cell>
          <cell r="I1267" t="str">
            <v>OPEN</v>
          </cell>
          <cell r="J1267" t="str">
            <v>SANGAMNER - GOLIBAR</v>
          </cell>
          <cell r="K1267" t="str">
            <v>Ahmednagar</v>
          </cell>
          <cell r="L1267" t="str">
            <v>C</v>
          </cell>
          <cell r="O1267" t="str">
            <v>A</v>
          </cell>
          <cell r="P1267">
            <v>120</v>
          </cell>
          <cell r="Q1267">
            <v>240</v>
          </cell>
          <cell r="R1267">
            <v>130</v>
          </cell>
          <cell r="S1267">
            <v>290</v>
          </cell>
          <cell r="T1267">
            <v>-10</v>
          </cell>
          <cell r="U1267">
            <v>-50</v>
          </cell>
          <cell r="V1267">
            <v>205</v>
          </cell>
          <cell r="W1267">
            <v>415</v>
          </cell>
          <cell r="X1267">
            <v>260</v>
          </cell>
          <cell r="Y1267">
            <v>560</v>
          </cell>
          <cell r="Z1267">
            <v>-55</v>
          </cell>
          <cell r="AA1267">
            <v>-145</v>
          </cell>
          <cell r="AB1267">
            <v>360</v>
          </cell>
          <cell r="AC1267">
            <v>420</v>
          </cell>
          <cell r="AD1267">
            <v>-60</v>
          </cell>
          <cell r="AE1267">
            <v>620</v>
          </cell>
          <cell r="AF1267">
            <v>820</v>
          </cell>
          <cell r="AG1267">
            <v>-200</v>
          </cell>
        </row>
        <row r="1268">
          <cell r="C1268">
            <v>126073</v>
          </cell>
          <cell r="D1268" t="str">
            <v>Shri Sai Service Centre</v>
          </cell>
          <cell r="E1268" t="str">
            <v>IOCL</v>
          </cell>
          <cell r="G1268" t="str">
            <v>Shirdi RSA</v>
          </cell>
          <cell r="H1268">
            <v>31135</v>
          </cell>
          <cell r="I1268" t="str">
            <v>UG / UEG</v>
          </cell>
          <cell r="J1268" t="str">
            <v>SAVLIHIR</v>
          </cell>
          <cell r="K1268" t="str">
            <v>Ahmednagar</v>
          </cell>
          <cell r="L1268" t="str">
            <v>D1</v>
          </cell>
          <cell r="M1268" t="str">
            <v>NH-160</v>
          </cell>
          <cell r="O1268" t="str">
            <v>A</v>
          </cell>
          <cell r="P1268">
            <v>135</v>
          </cell>
          <cell r="Q1268">
            <v>445</v>
          </cell>
          <cell r="R1268">
            <v>45</v>
          </cell>
          <cell r="S1268">
            <v>150</v>
          </cell>
          <cell r="T1268">
            <v>90</v>
          </cell>
          <cell r="U1268">
            <v>295</v>
          </cell>
          <cell r="V1268">
            <v>235</v>
          </cell>
          <cell r="W1268">
            <v>705</v>
          </cell>
          <cell r="X1268">
            <v>85</v>
          </cell>
          <cell r="Y1268">
            <v>290</v>
          </cell>
          <cell r="Z1268">
            <v>150</v>
          </cell>
          <cell r="AA1268">
            <v>415</v>
          </cell>
          <cell r="AB1268">
            <v>580</v>
          </cell>
          <cell r="AC1268">
            <v>195</v>
          </cell>
          <cell r="AD1268">
            <v>385</v>
          </cell>
          <cell r="AE1268">
            <v>940</v>
          </cell>
          <cell r="AF1268">
            <v>375</v>
          </cell>
          <cell r="AG1268">
            <v>565</v>
          </cell>
        </row>
        <row r="1269">
          <cell r="C1269">
            <v>126074</v>
          </cell>
          <cell r="D1269" t="str">
            <v>Sarda Brothers</v>
          </cell>
          <cell r="E1269" t="str">
            <v>IOCL</v>
          </cell>
          <cell r="G1269" t="str">
            <v>Shirdi RSA</v>
          </cell>
          <cell r="H1269">
            <v>24773</v>
          </cell>
          <cell r="I1269" t="str">
            <v>OPEN</v>
          </cell>
          <cell r="J1269" t="str">
            <v>AKOLE</v>
          </cell>
          <cell r="K1269" t="str">
            <v>Ahmednagar</v>
          </cell>
          <cell r="L1269" t="str">
            <v>D2</v>
          </cell>
          <cell r="O1269" t="str">
            <v>B</v>
          </cell>
          <cell r="P1269">
            <v>100</v>
          </cell>
          <cell r="Q1269">
            <v>140</v>
          </cell>
          <cell r="R1269">
            <v>95</v>
          </cell>
          <cell r="S1269">
            <v>65</v>
          </cell>
          <cell r="T1269">
            <v>5</v>
          </cell>
          <cell r="U1269">
            <v>75</v>
          </cell>
          <cell r="V1269">
            <v>195</v>
          </cell>
          <cell r="W1269">
            <v>225</v>
          </cell>
          <cell r="X1269">
            <v>195</v>
          </cell>
          <cell r="Y1269">
            <v>165</v>
          </cell>
          <cell r="Z1269">
            <v>0</v>
          </cell>
          <cell r="AA1269">
            <v>60</v>
          </cell>
          <cell r="AB1269">
            <v>240</v>
          </cell>
          <cell r="AC1269">
            <v>160</v>
          </cell>
          <cell r="AD1269">
            <v>80</v>
          </cell>
          <cell r="AE1269">
            <v>420</v>
          </cell>
          <cell r="AF1269">
            <v>360</v>
          </cell>
          <cell r="AG1269">
            <v>60</v>
          </cell>
        </row>
        <row r="1270">
          <cell r="C1270">
            <v>126078</v>
          </cell>
          <cell r="D1270" t="str">
            <v>A.B.Petroleum</v>
          </cell>
          <cell r="E1270" t="str">
            <v>IOCL</v>
          </cell>
          <cell r="G1270" t="str">
            <v>Ahmednagar East RSA</v>
          </cell>
          <cell r="H1270">
            <v>32050</v>
          </cell>
          <cell r="I1270" t="str">
            <v>UG / UEG</v>
          </cell>
          <cell r="J1270" t="str">
            <v>TAKLIMIYA</v>
          </cell>
          <cell r="K1270" t="str">
            <v>Ahmednagar</v>
          </cell>
          <cell r="L1270" t="str">
            <v>E</v>
          </cell>
          <cell r="O1270" t="str">
            <v>B</v>
          </cell>
          <cell r="P1270">
            <v>27</v>
          </cell>
          <cell r="Q1270">
            <v>69</v>
          </cell>
          <cell r="R1270">
            <v>27</v>
          </cell>
          <cell r="S1270">
            <v>33</v>
          </cell>
          <cell r="T1270">
            <v>0</v>
          </cell>
          <cell r="U1270">
            <v>36</v>
          </cell>
          <cell r="V1270">
            <v>63</v>
          </cell>
          <cell r="W1270">
            <v>105</v>
          </cell>
          <cell r="X1270">
            <v>57</v>
          </cell>
          <cell r="Y1270">
            <v>63</v>
          </cell>
          <cell r="Z1270">
            <v>6</v>
          </cell>
          <cell r="AA1270">
            <v>42</v>
          </cell>
          <cell r="AB1270">
            <v>96</v>
          </cell>
          <cell r="AC1270">
            <v>60</v>
          </cell>
          <cell r="AD1270">
            <v>36</v>
          </cell>
          <cell r="AE1270">
            <v>168</v>
          </cell>
          <cell r="AF1270">
            <v>120</v>
          </cell>
          <cell r="AG1270">
            <v>48</v>
          </cell>
        </row>
        <row r="1271">
          <cell r="C1271">
            <v>126081</v>
          </cell>
          <cell r="D1271" t="str">
            <v>Belapur Bk V.K.Sah.Seva S.Mary</v>
          </cell>
          <cell r="E1271" t="str">
            <v>IOCL</v>
          </cell>
          <cell r="G1271" t="str">
            <v>Shirdi RSA</v>
          </cell>
          <cell r="H1271">
            <v>25567</v>
          </cell>
          <cell r="I1271" t="str">
            <v>OPEN</v>
          </cell>
          <cell r="J1271" t="str">
            <v>BELAPUR</v>
          </cell>
          <cell r="K1271" t="str">
            <v>Ahmednagar</v>
          </cell>
          <cell r="L1271" t="str">
            <v>C</v>
          </cell>
          <cell r="O1271" t="str">
            <v>B</v>
          </cell>
          <cell r="P1271">
            <v>101.5</v>
          </cell>
          <cell r="Q1271">
            <v>108.5</v>
          </cell>
          <cell r="R1271">
            <v>94.5</v>
          </cell>
          <cell r="S1271">
            <v>87.5</v>
          </cell>
          <cell r="T1271">
            <v>7</v>
          </cell>
          <cell r="U1271">
            <v>21</v>
          </cell>
          <cell r="V1271">
            <v>199.5</v>
          </cell>
          <cell r="W1271">
            <v>192.5</v>
          </cell>
          <cell r="X1271">
            <v>199.5</v>
          </cell>
          <cell r="Y1271">
            <v>164.5</v>
          </cell>
          <cell r="Z1271">
            <v>0</v>
          </cell>
          <cell r="AA1271">
            <v>28</v>
          </cell>
          <cell r="AB1271">
            <v>210</v>
          </cell>
          <cell r="AC1271">
            <v>182</v>
          </cell>
          <cell r="AD1271">
            <v>28</v>
          </cell>
          <cell r="AE1271">
            <v>392</v>
          </cell>
          <cell r="AF1271">
            <v>364</v>
          </cell>
          <cell r="AG1271">
            <v>28</v>
          </cell>
        </row>
        <row r="1272">
          <cell r="C1272">
            <v>126082</v>
          </cell>
          <cell r="D1272" t="str">
            <v>Bhatiyani Filling Station</v>
          </cell>
          <cell r="E1272" t="str">
            <v>IOCL</v>
          </cell>
          <cell r="G1272" t="str">
            <v>Shirdi RSA</v>
          </cell>
          <cell r="H1272">
            <v>25933</v>
          </cell>
          <cell r="I1272" t="str">
            <v>OPEN</v>
          </cell>
          <cell r="J1272" t="str">
            <v>SHIRASGAON</v>
          </cell>
          <cell r="K1272" t="str">
            <v>Ahmednagar</v>
          </cell>
          <cell r="L1272" t="str">
            <v>D2</v>
          </cell>
          <cell r="O1272" t="str">
            <v>B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</row>
        <row r="1273">
          <cell r="C1273">
            <v>126085</v>
          </cell>
          <cell r="D1273" t="str">
            <v>C.B.Ghogre &amp; Co</v>
          </cell>
          <cell r="E1273" t="str">
            <v>IOCL</v>
          </cell>
          <cell r="G1273" t="str">
            <v>Shirdi RSA</v>
          </cell>
          <cell r="H1273">
            <v>25293</v>
          </cell>
          <cell r="I1273" t="str">
            <v>OPEN</v>
          </cell>
          <cell r="J1273" t="str">
            <v>BABLESHWAR SH</v>
          </cell>
          <cell r="K1273" t="str">
            <v>Ahmednagar</v>
          </cell>
          <cell r="L1273" t="str">
            <v>D1</v>
          </cell>
          <cell r="M1273" t="str">
            <v>NH-160</v>
          </cell>
          <cell r="O1273" t="str">
            <v>B</v>
          </cell>
          <cell r="P1273">
            <v>59.5</v>
          </cell>
          <cell r="Q1273">
            <v>108.5</v>
          </cell>
          <cell r="R1273">
            <v>56</v>
          </cell>
          <cell r="S1273">
            <v>56</v>
          </cell>
          <cell r="T1273">
            <v>3.5</v>
          </cell>
          <cell r="U1273">
            <v>52.5</v>
          </cell>
          <cell r="V1273">
            <v>101.5</v>
          </cell>
          <cell r="W1273">
            <v>150.5</v>
          </cell>
          <cell r="X1273">
            <v>105</v>
          </cell>
          <cell r="Y1273">
            <v>105</v>
          </cell>
          <cell r="Z1273">
            <v>-3.5</v>
          </cell>
          <cell r="AA1273">
            <v>45.5</v>
          </cell>
          <cell r="AB1273">
            <v>168</v>
          </cell>
          <cell r="AC1273">
            <v>112</v>
          </cell>
          <cell r="AD1273">
            <v>56</v>
          </cell>
          <cell r="AE1273">
            <v>252</v>
          </cell>
          <cell r="AF1273">
            <v>210</v>
          </cell>
          <cell r="AG1273">
            <v>42</v>
          </cell>
        </row>
        <row r="1274">
          <cell r="C1274">
            <v>126087</v>
          </cell>
          <cell r="D1274" t="str">
            <v>Daulat Service Station</v>
          </cell>
          <cell r="E1274" t="str">
            <v>IOCL</v>
          </cell>
          <cell r="G1274" t="str">
            <v>Ahmednagar East RSA</v>
          </cell>
          <cell r="H1274">
            <v>31497</v>
          </cell>
          <cell r="I1274" t="str">
            <v>OPEN</v>
          </cell>
          <cell r="J1274" t="str">
            <v>Supe Toll</v>
          </cell>
          <cell r="K1274" t="str">
            <v>Ahmednagar</v>
          </cell>
          <cell r="L1274" t="str">
            <v>D1</v>
          </cell>
          <cell r="M1274" t="str">
            <v>NH-753F</v>
          </cell>
          <cell r="O1274" t="str">
            <v>B</v>
          </cell>
          <cell r="P1274">
            <v>39</v>
          </cell>
          <cell r="Q1274">
            <v>93</v>
          </cell>
          <cell r="R1274">
            <v>62</v>
          </cell>
          <cell r="S1274">
            <v>96</v>
          </cell>
          <cell r="T1274">
            <v>-23</v>
          </cell>
          <cell r="U1274">
            <v>-3</v>
          </cell>
          <cell r="V1274">
            <v>82.5</v>
          </cell>
          <cell r="W1274">
            <v>191.5</v>
          </cell>
          <cell r="X1274">
            <v>114</v>
          </cell>
          <cell r="Y1274">
            <v>196</v>
          </cell>
          <cell r="Z1274">
            <v>-31.5</v>
          </cell>
          <cell r="AA1274">
            <v>-4.5</v>
          </cell>
          <cell r="AB1274">
            <v>132</v>
          </cell>
          <cell r="AC1274">
            <v>158</v>
          </cell>
          <cell r="AD1274">
            <v>-26</v>
          </cell>
          <cell r="AE1274">
            <v>274</v>
          </cell>
          <cell r="AF1274">
            <v>310</v>
          </cell>
          <cell r="AG1274">
            <v>-36</v>
          </cell>
        </row>
        <row r="1275">
          <cell r="C1275">
            <v>126091</v>
          </cell>
          <cell r="D1275" t="str">
            <v>Friends Service Station</v>
          </cell>
          <cell r="E1275" t="str">
            <v>IOCL</v>
          </cell>
          <cell r="G1275" t="str">
            <v>Ahmednagar East RSA</v>
          </cell>
          <cell r="H1275">
            <v>23924</v>
          </cell>
          <cell r="I1275" t="str">
            <v>OPEN</v>
          </cell>
          <cell r="J1275" t="str">
            <v>SARJEPURA</v>
          </cell>
          <cell r="K1275" t="str">
            <v>Ahmednagar</v>
          </cell>
          <cell r="L1275" t="str">
            <v>C</v>
          </cell>
          <cell r="O1275" t="str">
            <v>A</v>
          </cell>
          <cell r="P1275">
            <v>96</v>
          </cell>
          <cell r="Q1275">
            <v>108</v>
          </cell>
          <cell r="R1275">
            <v>93</v>
          </cell>
          <cell r="S1275">
            <v>75</v>
          </cell>
          <cell r="T1275">
            <v>3</v>
          </cell>
          <cell r="U1275">
            <v>33</v>
          </cell>
          <cell r="V1275">
            <v>189</v>
          </cell>
          <cell r="W1275">
            <v>195</v>
          </cell>
          <cell r="X1275">
            <v>183</v>
          </cell>
          <cell r="Y1275">
            <v>141</v>
          </cell>
          <cell r="Z1275">
            <v>6</v>
          </cell>
          <cell r="AA1275">
            <v>54</v>
          </cell>
          <cell r="AB1275">
            <v>204</v>
          </cell>
          <cell r="AC1275">
            <v>168</v>
          </cell>
          <cell r="AD1275">
            <v>36</v>
          </cell>
          <cell r="AE1275">
            <v>384</v>
          </cell>
          <cell r="AF1275">
            <v>324</v>
          </cell>
          <cell r="AG1275">
            <v>60</v>
          </cell>
        </row>
        <row r="1276">
          <cell r="C1276">
            <v>126097</v>
          </cell>
          <cell r="D1276" t="str">
            <v>Laxmi Service Station</v>
          </cell>
          <cell r="E1276" t="str">
            <v>IOCL</v>
          </cell>
          <cell r="G1276" t="str">
            <v>Ahmednagar West RSA</v>
          </cell>
          <cell r="H1276">
            <v>31468</v>
          </cell>
          <cell r="I1276" t="str">
            <v>OPEN</v>
          </cell>
          <cell r="J1276" t="str">
            <v>PARNER-NIGHOJ RD</v>
          </cell>
          <cell r="K1276" t="str">
            <v>Ahmednagar</v>
          </cell>
          <cell r="L1276" t="str">
            <v>D2</v>
          </cell>
          <cell r="O1276" t="str">
            <v>B</v>
          </cell>
          <cell r="P1276">
            <v>41.5</v>
          </cell>
          <cell r="Q1276">
            <v>92.5</v>
          </cell>
          <cell r="R1276">
            <v>44</v>
          </cell>
          <cell r="S1276">
            <v>72</v>
          </cell>
          <cell r="T1276">
            <v>-2.5</v>
          </cell>
          <cell r="U1276">
            <v>20.5</v>
          </cell>
          <cell r="V1276">
            <v>68.5</v>
          </cell>
          <cell r="W1276">
            <v>177.5</v>
          </cell>
          <cell r="X1276">
            <v>74</v>
          </cell>
          <cell r="Y1276">
            <v>126</v>
          </cell>
          <cell r="Z1276">
            <v>-5.5</v>
          </cell>
          <cell r="AA1276">
            <v>51.5</v>
          </cell>
          <cell r="AB1276">
            <v>134</v>
          </cell>
          <cell r="AC1276">
            <v>116</v>
          </cell>
          <cell r="AD1276">
            <v>18</v>
          </cell>
          <cell r="AE1276">
            <v>246</v>
          </cell>
          <cell r="AF1276">
            <v>200</v>
          </cell>
          <cell r="AG1276">
            <v>46</v>
          </cell>
        </row>
        <row r="1277">
          <cell r="C1277">
            <v>126098</v>
          </cell>
          <cell r="D1277" t="str">
            <v>Sona Enterprises</v>
          </cell>
          <cell r="E1277" t="str">
            <v>IOCL</v>
          </cell>
          <cell r="G1277" t="str">
            <v>Ahmednagar West RSA</v>
          </cell>
          <cell r="H1277">
            <v>32963</v>
          </cell>
          <cell r="I1277" t="str">
            <v>DEF (OPEN)</v>
          </cell>
          <cell r="J1277" t="str">
            <v>ARANGAON</v>
          </cell>
          <cell r="K1277" t="str">
            <v>Ahmednagar</v>
          </cell>
          <cell r="L1277" t="str">
            <v>D1</v>
          </cell>
          <cell r="M1277" t="str">
            <v>NH-160</v>
          </cell>
          <cell r="O1277" t="str">
            <v>B</v>
          </cell>
          <cell r="P1277">
            <v>30</v>
          </cell>
          <cell r="Q1277">
            <v>122</v>
          </cell>
          <cell r="R1277">
            <v>20</v>
          </cell>
          <cell r="S1277">
            <v>56</v>
          </cell>
          <cell r="T1277">
            <v>10</v>
          </cell>
          <cell r="U1277">
            <v>66</v>
          </cell>
          <cell r="V1277">
            <v>50</v>
          </cell>
          <cell r="W1277">
            <v>178</v>
          </cell>
          <cell r="X1277">
            <v>35</v>
          </cell>
          <cell r="Y1277">
            <v>117</v>
          </cell>
          <cell r="Z1277">
            <v>15</v>
          </cell>
          <cell r="AA1277">
            <v>61</v>
          </cell>
          <cell r="AB1277">
            <v>152</v>
          </cell>
          <cell r="AC1277">
            <v>76</v>
          </cell>
          <cell r="AD1277">
            <v>76</v>
          </cell>
          <cell r="AE1277">
            <v>228</v>
          </cell>
          <cell r="AF1277">
            <v>152</v>
          </cell>
          <cell r="AG1277">
            <v>76</v>
          </cell>
        </row>
        <row r="1278">
          <cell r="C1278">
            <v>126099</v>
          </cell>
          <cell r="D1278" t="str">
            <v>Manav Highway Services</v>
          </cell>
          <cell r="E1278" t="str">
            <v>IOCL</v>
          </cell>
          <cell r="G1278" t="str">
            <v>Ahmednagar West RSA</v>
          </cell>
          <cell r="H1278">
            <v>35094</v>
          </cell>
          <cell r="I1278" t="str">
            <v>OPEN</v>
          </cell>
          <cell r="J1278" t="str">
            <v>MAHI JALGAON-NH</v>
          </cell>
          <cell r="K1278" t="str">
            <v>Ahmednagar</v>
          </cell>
          <cell r="L1278" t="str">
            <v>D1</v>
          </cell>
          <cell r="M1278" t="str">
            <v>NH-561A</v>
          </cell>
          <cell r="O1278" t="str">
            <v>A</v>
          </cell>
          <cell r="P1278">
            <v>9.5</v>
          </cell>
          <cell r="Q1278">
            <v>52.5</v>
          </cell>
          <cell r="R1278">
            <v>3</v>
          </cell>
          <cell r="S1278">
            <v>21</v>
          </cell>
          <cell r="T1278">
            <v>6.5</v>
          </cell>
          <cell r="U1278">
            <v>31.5</v>
          </cell>
          <cell r="V1278">
            <v>12.5</v>
          </cell>
          <cell r="W1278">
            <v>85.5</v>
          </cell>
          <cell r="X1278">
            <v>3</v>
          </cell>
          <cell r="Y1278">
            <v>45</v>
          </cell>
          <cell r="Z1278">
            <v>9.5</v>
          </cell>
          <cell r="AA1278">
            <v>40.5</v>
          </cell>
          <cell r="AB1278">
            <v>62</v>
          </cell>
          <cell r="AC1278">
            <v>24</v>
          </cell>
          <cell r="AD1278">
            <v>38</v>
          </cell>
          <cell r="AE1278">
            <v>98</v>
          </cell>
          <cell r="AF1278">
            <v>48</v>
          </cell>
          <cell r="AG1278">
            <v>50</v>
          </cell>
        </row>
        <row r="1279">
          <cell r="C1279">
            <v>126101</v>
          </cell>
          <cell r="D1279" t="str">
            <v>Nirmala Shahu Service Station</v>
          </cell>
          <cell r="E1279" t="str">
            <v>IOCL</v>
          </cell>
          <cell r="G1279" t="str">
            <v>Ahmednagar West RSA</v>
          </cell>
          <cell r="H1279">
            <v>31777</v>
          </cell>
          <cell r="I1279" t="str">
            <v>SC</v>
          </cell>
          <cell r="J1279" t="str">
            <v>KARJAT</v>
          </cell>
          <cell r="K1279" t="str">
            <v>Ahmednagar</v>
          </cell>
          <cell r="L1279" t="str">
            <v>D2</v>
          </cell>
          <cell r="O1279" t="str">
            <v>B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</row>
        <row r="1280">
          <cell r="C1280">
            <v>126108</v>
          </cell>
          <cell r="D1280" t="str">
            <v>Shivprasad Service Station</v>
          </cell>
          <cell r="E1280" t="str">
            <v>IOCL</v>
          </cell>
          <cell r="G1280" t="str">
            <v>Ahmednagar East RSA</v>
          </cell>
          <cell r="H1280">
            <v>36940</v>
          </cell>
          <cell r="I1280" t="str">
            <v>DEF (OPEN)</v>
          </cell>
          <cell r="J1280" t="str">
            <v>Kukana</v>
          </cell>
          <cell r="K1280" t="str">
            <v>Ahmednagar</v>
          </cell>
          <cell r="L1280" t="str">
            <v>D2</v>
          </cell>
          <cell r="O1280" t="str">
            <v>A</v>
          </cell>
          <cell r="P1280">
            <v>26</v>
          </cell>
          <cell r="Q1280">
            <v>34</v>
          </cell>
          <cell r="R1280">
            <v>18</v>
          </cell>
          <cell r="S1280">
            <v>30</v>
          </cell>
          <cell r="T1280">
            <v>8</v>
          </cell>
          <cell r="U1280">
            <v>4</v>
          </cell>
          <cell r="V1280">
            <v>47</v>
          </cell>
          <cell r="W1280">
            <v>61</v>
          </cell>
          <cell r="X1280">
            <v>36</v>
          </cell>
          <cell r="Y1280">
            <v>60</v>
          </cell>
          <cell r="Z1280">
            <v>11</v>
          </cell>
          <cell r="AA1280">
            <v>1</v>
          </cell>
          <cell r="AB1280">
            <v>60</v>
          </cell>
          <cell r="AC1280">
            <v>48</v>
          </cell>
          <cell r="AD1280">
            <v>12</v>
          </cell>
          <cell r="AE1280">
            <v>108</v>
          </cell>
          <cell r="AF1280">
            <v>96</v>
          </cell>
          <cell r="AG1280">
            <v>12</v>
          </cell>
        </row>
        <row r="1281">
          <cell r="C1281">
            <v>126113</v>
          </cell>
          <cell r="D1281" t="str">
            <v>Trimurti Automobiles</v>
          </cell>
          <cell r="E1281" t="str">
            <v>IOCL</v>
          </cell>
          <cell r="G1281" t="str">
            <v>Ahmednagar West RSA</v>
          </cell>
          <cell r="H1281">
            <v>23831</v>
          </cell>
          <cell r="I1281" t="str">
            <v>UG / UEG</v>
          </cell>
          <cell r="J1281" t="str">
            <v>Takli Dhokeshwar</v>
          </cell>
          <cell r="K1281" t="str">
            <v>Ahmednagar</v>
          </cell>
          <cell r="L1281" t="str">
            <v>D1</v>
          </cell>
          <cell r="M1281" t="str">
            <v>NH-61</v>
          </cell>
          <cell r="O1281" t="str">
            <v>B</v>
          </cell>
          <cell r="P1281">
            <v>78</v>
          </cell>
          <cell r="Q1281">
            <v>150</v>
          </cell>
          <cell r="R1281">
            <v>78</v>
          </cell>
          <cell r="S1281">
            <v>167</v>
          </cell>
          <cell r="T1281">
            <v>0</v>
          </cell>
          <cell r="U1281">
            <v>-17</v>
          </cell>
          <cell r="V1281">
            <v>138</v>
          </cell>
          <cell r="W1281">
            <v>292</v>
          </cell>
          <cell r="X1281">
            <v>139.5</v>
          </cell>
          <cell r="Y1281">
            <v>329.5</v>
          </cell>
          <cell r="Z1281">
            <v>-1.5</v>
          </cell>
          <cell r="AA1281">
            <v>-37.5</v>
          </cell>
          <cell r="AB1281">
            <v>228</v>
          </cell>
          <cell r="AC1281">
            <v>245</v>
          </cell>
          <cell r="AD1281">
            <v>-17</v>
          </cell>
          <cell r="AE1281">
            <v>430</v>
          </cell>
          <cell r="AF1281">
            <v>469</v>
          </cell>
          <cell r="AG1281">
            <v>-39</v>
          </cell>
        </row>
        <row r="1282">
          <cell r="C1282">
            <v>126133</v>
          </cell>
          <cell r="D1282" t="str">
            <v>KOYNA SAH DUDH UTP</v>
          </cell>
          <cell r="E1282" t="str">
            <v>IOCL</v>
          </cell>
          <cell r="G1282" t="str">
            <v>Satara West RSA</v>
          </cell>
          <cell r="H1282">
            <v>25262</v>
          </cell>
          <cell r="I1282" t="str">
            <v>OPEN</v>
          </cell>
          <cell r="J1282" t="str">
            <v>KASHIL TO KARAD</v>
          </cell>
          <cell r="K1282" t="str">
            <v>Satara</v>
          </cell>
          <cell r="L1282" t="str">
            <v>D1</v>
          </cell>
          <cell r="M1282" t="str">
            <v>NH-48</v>
          </cell>
          <cell r="O1282" t="str">
            <v>B</v>
          </cell>
          <cell r="P1282">
            <v>24.5</v>
          </cell>
          <cell r="Q1282">
            <v>73.5</v>
          </cell>
          <cell r="R1282">
            <v>39</v>
          </cell>
          <cell r="S1282">
            <v>105</v>
          </cell>
          <cell r="T1282">
            <v>-14.5</v>
          </cell>
          <cell r="U1282">
            <v>-31.5</v>
          </cell>
          <cell r="V1282">
            <v>52.5</v>
          </cell>
          <cell r="W1282">
            <v>143.5</v>
          </cell>
          <cell r="X1282">
            <v>75</v>
          </cell>
          <cell r="Y1282">
            <v>177</v>
          </cell>
          <cell r="Z1282">
            <v>-22.5</v>
          </cell>
          <cell r="AA1282">
            <v>-33.5</v>
          </cell>
          <cell r="AB1282">
            <v>98</v>
          </cell>
          <cell r="AC1282">
            <v>144</v>
          </cell>
          <cell r="AD1282">
            <v>-46</v>
          </cell>
          <cell r="AE1282">
            <v>196</v>
          </cell>
          <cell r="AF1282">
            <v>252</v>
          </cell>
          <cell r="AG1282">
            <v>-56</v>
          </cell>
        </row>
        <row r="1283">
          <cell r="C1283">
            <v>126136</v>
          </cell>
          <cell r="D1283" t="str">
            <v>KARAD TAL.K.V.S.LTD</v>
          </cell>
          <cell r="E1283" t="str">
            <v>IOCL</v>
          </cell>
          <cell r="G1283" t="str">
            <v>Satara West RSA</v>
          </cell>
          <cell r="H1283">
            <v>25415</v>
          </cell>
          <cell r="I1283" t="str">
            <v>OPEN</v>
          </cell>
          <cell r="J1283" t="str">
            <v>KARAD ON NH 48 RHS</v>
          </cell>
          <cell r="K1283" t="str">
            <v>Satara</v>
          </cell>
          <cell r="L1283" t="str">
            <v>D1</v>
          </cell>
          <cell r="M1283" t="str">
            <v>NH-48</v>
          </cell>
          <cell r="O1283" t="str">
            <v>B</v>
          </cell>
          <cell r="P1283">
            <v>124.5</v>
          </cell>
          <cell r="Q1283">
            <v>154.5</v>
          </cell>
          <cell r="R1283">
            <v>78</v>
          </cell>
          <cell r="S1283">
            <v>78</v>
          </cell>
          <cell r="T1283">
            <v>46.5</v>
          </cell>
          <cell r="U1283">
            <v>76.5</v>
          </cell>
          <cell r="V1283">
            <v>215.5</v>
          </cell>
          <cell r="W1283">
            <v>273.5</v>
          </cell>
          <cell r="X1283">
            <v>159</v>
          </cell>
          <cell r="Y1283">
            <v>165</v>
          </cell>
          <cell r="Z1283">
            <v>56.5</v>
          </cell>
          <cell r="AA1283">
            <v>108.5</v>
          </cell>
          <cell r="AB1283">
            <v>279</v>
          </cell>
          <cell r="AC1283">
            <v>156</v>
          </cell>
          <cell r="AD1283">
            <v>123</v>
          </cell>
          <cell r="AE1283">
            <v>489</v>
          </cell>
          <cell r="AF1283">
            <v>324</v>
          </cell>
          <cell r="AG1283">
            <v>165</v>
          </cell>
        </row>
        <row r="1284">
          <cell r="C1284">
            <v>126149</v>
          </cell>
          <cell r="D1284" t="str">
            <v>PATAN TAL.S.K.V.SANGH LTD.</v>
          </cell>
          <cell r="E1284" t="str">
            <v>IOCL</v>
          </cell>
          <cell r="G1284" t="str">
            <v>Satara West RSA</v>
          </cell>
          <cell r="H1284">
            <v>27119</v>
          </cell>
          <cell r="I1284" t="str">
            <v>OPEN</v>
          </cell>
          <cell r="J1284" t="str">
            <v>MALHARPETH TO NADE</v>
          </cell>
          <cell r="K1284" t="str">
            <v>Satara</v>
          </cell>
          <cell r="L1284" t="str">
            <v>D1</v>
          </cell>
          <cell r="M1284" t="str">
            <v>NH-166E</v>
          </cell>
          <cell r="O1284" t="str">
            <v>B</v>
          </cell>
          <cell r="P1284">
            <v>119</v>
          </cell>
          <cell r="Q1284">
            <v>189</v>
          </cell>
          <cell r="R1284">
            <v>90</v>
          </cell>
          <cell r="S1284">
            <v>126</v>
          </cell>
          <cell r="T1284">
            <v>29</v>
          </cell>
          <cell r="U1284">
            <v>63</v>
          </cell>
          <cell r="V1284">
            <v>225.5</v>
          </cell>
          <cell r="W1284">
            <v>360.5</v>
          </cell>
          <cell r="X1284">
            <v>180</v>
          </cell>
          <cell r="Y1284">
            <v>264</v>
          </cell>
          <cell r="Z1284">
            <v>45.5</v>
          </cell>
          <cell r="AA1284">
            <v>96.5</v>
          </cell>
          <cell r="AB1284">
            <v>308</v>
          </cell>
          <cell r="AC1284">
            <v>216</v>
          </cell>
          <cell r="AD1284">
            <v>92</v>
          </cell>
          <cell r="AE1284">
            <v>586</v>
          </cell>
          <cell r="AF1284">
            <v>444</v>
          </cell>
          <cell r="AG1284">
            <v>142</v>
          </cell>
        </row>
        <row r="1285">
          <cell r="C1285">
            <v>126161</v>
          </cell>
          <cell r="D1285" t="str">
            <v>SHRINATH PETROLEUM</v>
          </cell>
          <cell r="E1285" t="str">
            <v>IOCL</v>
          </cell>
          <cell r="G1285" t="str">
            <v>Satara East RSA</v>
          </cell>
          <cell r="H1285">
            <v>34788</v>
          </cell>
          <cell r="I1285" t="str">
            <v>OPEN</v>
          </cell>
          <cell r="J1285" t="str">
            <v>Pusesavali</v>
          </cell>
          <cell r="K1285" t="str">
            <v>Satara</v>
          </cell>
          <cell r="L1285" t="str">
            <v>D2</v>
          </cell>
          <cell r="O1285" t="str">
            <v>B</v>
          </cell>
          <cell r="P1285">
            <v>43.5</v>
          </cell>
          <cell r="Q1285">
            <v>66.5</v>
          </cell>
          <cell r="R1285">
            <v>36</v>
          </cell>
          <cell r="S1285">
            <v>60</v>
          </cell>
          <cell r="T1285">
            <v>7.5</v>
          </cell>
          <cell r="U1285">
            <v>6.5</v>
          </cell>
          <cell r="V1285">
            <v>79.5</v>
          </cell>
          <cell r="W1285">
            <v>126.5</v>
          </cell>
          <cell r="X1285">
            <v>39</v>
          </cell>
          <cell r="Y1285">
            <v>69</v>
          </cell>
          <cell r="Z1285">
            <v>40.5</v>
          </cell>
          <cell r="AA1285">
            <v>57.5</v>
          </cell>
          <cell r="AB1285">
            <v>110</v>
          </cell>
          <cell r="AC1285">
            <v>96</v>
          </cell>
          <cell r="AD1285">
            <v>14</v>
          </cell>
          <cell r="AE1285">
            <v>206</v>
          </cell>
          <cell r="AF1285">
            <v>108</v>
          </cell>
          <cell r="AG1285">
            <v>98</v>
          </cell>
        </row>
        <row r="1286">
          <cell r="C1286">
            <v>126187</v>
          </cell>
          <cell r="D1286" t="str">
            <v>SHIVRAJ SERVICE STN.</v>
          </cell>
          <cell r="E1286" t="str">
            <v>IOCL</v>
          </cell>
          <cell r="G1286" t="str">
            <v>Satara West RSA</v>
          </cell>
          <cell r="H1286">
            <v>26708</v>
          </cell>
          <cell r="I1286" t="str">
            <v>OPEN</v>
          </cell>
          <cell r="J1286" t="str">
            <v>SATARA ON NH48 LHS</v>
          </cell>
          <cell r="K1286" t="str">
            <v>Satara</v>
          </cell>
          <cell r="L1286" t="str">
            <v>D1</v>
          </cell>
          <cell r="M1286" t="str">
            <v>NH-48</v>
          </cell>
          <cell r="O1286" t="str">
            <v>B</v>
          </cell>
          <cell r="P1286">
            <v>80</v>
          </cell>
          <cell r="Q1286">
            <v>102</v>
          </cell>
          <cell r="R1286">
            <v>70</v>
          </cell>
          <cell r="S1286">
            <v>110</v>
          </cell>
          <cell r="T1286">
            <v>10</v>
          </cell>
          <cell r="U1286">
            <v>-8</v>
          </cell>
          <cell r="V1286">
            <v>145</v>
          </cell>
          <cell r="W1286">
            <v>205</v>
          </cell>
          <cell r="X1286">
            <v>130</v>
          </cell>
          <cell r="Y1286">
            <v>190</v>
          </cell>
          <cell r="Z1286">
            <v>15</v>
          </cell>
          <cell r="AA1286">
            <v>15</v>
          </cell>
          <cell r="AB1286">
            <v>182</v>
          </cell>
          <cell r="AC1286">
            <v>180</v>
          </cell>
          <cell r="AD1286">
            <v>2</v>
          </cell>
          <cell r="AE1286">
            <v>350</v>
          </cell>
          <cell r="AF1286">
            <v>320</v>
          </cell>
          <cell r="AG1286">
            <v>30</v>
          </cell>
        </row>
        <row r="1287">
          <cell r="C1287">
            <v>126293</v>
          </cell>
          <cell r="D1287" t="str">
            <v>AUTO ENTERPRISES</v>
          </cell>
          <cell r="E1287" t="str">
            <v>IOCL</v>
          </cell>
          <cell r="G1287" t="str">
            <v>Pune Hadapsar RSA</v>
          </cell>
          <cell r="H1287">
            <v>26775</v>
          </cell>
          <cell r="I1287" t="str">
            <v>OPEN</v>
          </cell>
          <cell r="J1287" t="str">
            <v>Urlikanchan LHS</v>
          </cell>
          <cell r="K1287" t="str">
            <v>Pune</v>
          </cell>
          <cell r="L1287" t="str">
            <v>D1</v>
          </cell>
          <cell r="M1287" t="str">
            <v>NH-65</v>
          </cell>
          <cell r="O1287" t="str">
            <v>A</v>
          </cell>
          <cell r="P1287">
            <v>87</v>
          </cell>
          <cell r="Q1287">
            <v>129</v>
          </cell>
          <cell r="R1287">
            <v>63</v>
          </cell>
          <cell r="S1287">
            <v>93</v>
          </cell>
          <cell r="T1287">
            <v>24</v>
          </cell>
          <cell r="U1287">
            <v>36</v>
          </cell>
          <cell r="V1287">
            <v>168</v>
          </cell>
          <cell r="W1287">
            <v>228</v>
          </cell>
          <cell r="X1287">
            <v>123</v>
          </cell>
          <cell r="Y1287">
            <v>189</v>
          </cell>
          <cell r="Z1287">
            <v>45</v>
          </cell>
          <cell r="AA1287">
            <v>39</v>
          </cell>
          <cell r="AB1287">
            <v>216</v>
          </cell>
          <cell r="AC1287">
            <v>156</v>
          </cell>
          <cell r="AD1287">
            <v>60</v>
          </cell>
          <cell r="AE1287">
            <v>396</v>
          </cell>
          <cell r="AF1287">
            <v>312</v>
          </cell>
          <cell r="AG1287">
            <v>84</v>
          </cell>
        </row>
        <row r="1288">
          <cell r="C1288">
            <v>126295</v>
          </cell>
          <cell r="D1288" t="str">
            <v>ANAND SERVICE STATION</v>
          </cell>
          <cell r="E1288" t="str">
            <v>IOCL</v>
          </cell>
          <cell r="G1288" t="str">
            <v>Pune City RSA</v>
          </cell>
          <cell r="H1288">
            <v>35063</v>
          </cell>
          <cell r="I1288" t="str">
            <v>DISCRETIONARY-QUOTA</v>
          </cell>
          <cell r="J1288" t="str">
            <v>SANGAVI</v>
          </cell>
          <cell r="K1288" t="str">
            <v>Pune</v>
          </cell>
          <cell r="L1288" t="str">
            <v>A</v>
          </cell>
          <cell r="O1288" t="str">
            <v>B</v>
          </cell>
          <cell r="P1288">
            <v>106.5</v>
          </cell>
          <cell r="Q1288">
            <v>41.5</v>
          </cell>
          <cell r="R1288">
            <v>117</v>
          </cell>
          <cell r="S1288">
            <v>39</v>
          </cell>
          <cell r="T1288">
            <v>-10.5</v>
          </cell>
          <cell r="U1288">
            <v>2.5</v>
          </cell>
          <cell r="V1288">
            <v>227.5</v>
          </cell>
          <cell r="W1288">
            <v>74.5</v>
          </cell>
          <cell r="X1288">
            <v>243</v>
          </cell>
          <cell r="Y1288">
            <v>69</v>
          </cell>
          <cell r="Z1288">
            <v>-15.5</v>
          </cell>
          <cell r="AA1288">
            <v>5.5</v>
          </cell>
          <cell r="AB1288">
            <v>148</v>
          </cell>
          <cell r="AC1288">
            <v>156</v>
          </cell>
          <cell r="AD1288">
            <v>-8</v>
          </cell>
          <cell r="AE1288">
            <v>302</v>
          </cell>
          <cell r="AF1288">
            <v>312</v>
          </cell>
          <cell r="AG1288">
            <v>-10</v>
          </cell>
        </row>
        <row r="1289">
          <cell r="C1289">
            <v>126297</v>
          </cell>
          <cell r="D1289" t="str">
            <v>BHARAT SERVICE CENTRE</v>
          </cell>
          <cell r="E1289" t="str">
            <v>IOCL</v>
          </cell>
          <cell r="G1289" t="str">
            <v>Pune City RSA</v>
          </cell>
          <cell r="H1289">
            <v>23497</v>
          </cell>
          <cell r="I1289" t="str">
            <v>OPEN</v>
          </cell>
          <cell r="J1289" t="str">
            <v>BHAIROVA NALA</v>
          </cell>
          <cell r="K1289" t="str">
            <v>Pune</v>
          </cell>
          <cell r="L1289" t="str">
            <v>A</v>
          </cell>
          <cell r="O1289" t="str">
            <v>A</v>
          </cell>
          <cell r="P1289">
            <v>234</v>
          </cell>
          <cell r="Q1289">
            <v>410</v>
          </cell>
          <cell r="R1289">
            <v>216</v>
          </cell>
          <cell r="S1289">
            <v>336</v>
          </cell>
          <cell r="T1289">
            <v>18</v>
          </cell>
          <cell r="U1289">
            <v>74</v>
          </cell>
          <cell r="V1289">
            <v>484</v>
          </cell>
          <cell r="W1289">
            <v>788</v>
          </cell>
          <cell r="X1289">
            <v>404</v>
          </cell>
          <cell r="Y1289">
            <v>648</v>
          </cell>
          <cell r="Z1289">
            <v>80</v>
          </cell>
          <cell r="AA1289">
            <v>140</v>
          </cell>
          <cell r="AB1289">
            <v>644</v>
          </cell>
          <cell r="AC1289">
            <v>552</v>
          </cell>
          <cell r="AD1289">
            <v>92</v>
          </cell>
          <cell r="AE1289">
            <v>1272</v>
          </cell>
          <cell r="AF1289">
            <v>1052</v>
          </cell>
          <cell r="AG1289">
            <v>220</v>
          </cell>
        </row>
        <row r="1290">
          <cell r="C1290">
            <v>126301</v>
          </cell>
          <cell r="D1290" t="str">
            <v>CHHATRAPATI S.S.K.LTD</v>
          </cell>
          <cell r="E1290" t="str">
            <v>IOCL</v>
          </cell>
          <cell r="G1290" t="str">
            <v>Pune Saswad RSA</v>
          </cell>
          <cell r="H1290">
            <v>30924</v>
          </cell>
          <cell r="I1290" t="str">
            <v>OPEN</v>
          </cell>
          <cell r="J1290" t="str">
            <v>BHAVANINAGAR</v>
          </cell>
          <cell r="K1290" t="str">
            <v>Pune</v>
          </cell>
          <cell r="L1290" t="str">
            <v>D1</v>
          </cell>
          <cell r="M1290" t="str">
            <v>NH-965G</v>
          </cell>
          <cell r="O1290" t="str">
            <v>B</v>
          </cell>
          <cell r="P1290">
            <v>200</v>
          </cell>
          <cell r="Q1290">
            <v>340</v>
          </cell>
          <cell r="R1290">
            <v>122</v>
          </cell>
          <cell r="S1290">
            <v>168</v>
          </cell>
          <cell r="T1290">
            <v>78</v>
          </cell>
          <cell r="U1290">
            <v>172</v>
          </cell>
          <cell r="V1290">
            <v>390</v>
          </cell>
          <cell r="W1290">
            <v>590</v>
          </cell>
          <cell r="X1290">
            <v>277</v>
          </cell>
          <cell r="Y1290">
            <v>359</v>
          </cell>
          <cell r="Z1290">
            <v>113</v>
          </cell>
          <cell r="AA1290">
            <v>231</v>
          </cell>
          <cell r="AB1290">
            <v>540</v>
          </cell>
          <cell r="AC1290">
            <v>290</v>
          </cell>
          <cell r="AD1290">
            <v>250</v>
          </cell>
          <cell r="AE1290">
            <v>980</v>
          </cell>
          <cell r="AF1290">
            <v>636</v>
          </cell>
          <cell r="AG1290">
            <v>344</v>
          </cell>
        </row>
        <row r="1291">
          <cell r="C1291">
            <v>126303</v>
          </cell>
          <cell r="D1291" t="str">
            <v>CHAITANYA AUTOMOBILES</v>
          </cell>
          <cell r="E1291" t="str">
            <v>IOCL</v>
          </cell>
          <cell r="G1291" t="str">
            <v>Pune Wagholi RSA</v>
          </cell>
          <cell r="H1291">
            <v>35095</v>
          </cell>
          <cell r="I1291" t="str">
            <v>OPEN</v>
          </cell>
          <cell r="J1291" t="str">
            <v>Alephata to Ottur</v>
          </cell>
          <cell r="K1291" t="str">
            <v>Pune</v>
          </cell>
          <cell r="L1291" t="str">
            <v>D1</v>
          </cell>
          <cell r="M1291" t="str">
            <v>NH-61</v>
          </cell>
          <cell r="O1291" t="str">
            <v>B</v>
          </cell>
          <cell r="P1291">
            <v>40</v>
          </cell>
          <cell r="Q1291">
            <v>65</v>
          </cell>
          <cell r="R1291">
            <v>45</v>
          </cell>
          <cell r="S1291">
            <v>85</v>
          </cell>
          <cell r="T1291">
            <v>-5</v>
          </cell>
          <cell r="U1291">
            <v>-20</v>
          </cell>
          <cell r="V1291">
            <v>70</v>
          </cell>
          <cell r="W1291">
            <v>130</v>
          </cell>
          <cell r="X1291">
            <v>80</v>
          </cell>
          <cell r="Y1291">
            <v>145</v>
          </cell>
          <cell r="Z1291">
            <v>-10</v>
          </cell>
          <cell r="AA1291">
            <v>-15</v>
          </cell>
          <cell r="AB1291">
            <v>105</v>
          </cell>
          <cell r="AC1291">
            <v>130</v>
          </cell>
          <cell r="AD1291">
            <v>-25</v>
          </cell>
          <cell r="AE1291">
            <v>200</v>
          </cell>
          <cell r="AF1291">
            <v>225</v>
          </cell>
          <cell r="AG1291">
            <v>-25</v>
          </cell>
        </row>
        <row r="1292">
          <cell r="C1292">
            <v>126305</v>
          </cell>
          <cell r="D1292" t="str">
            <v>D MELLO SERVICE STATION</v>
          </cell>
          <cell r="E1292" t="str">
            <v>IOCL</v>
          </cell>
          <cell r="G1292" t="str">
            <v>Pune City RSA</v>
          </cell>
          <cell r="H1292">
            <v>25932</v>
          </cell>
          <cell r="I1292" t="str">
            <v>OPEN</v>
          </cell>
          <cell r="J1292" t="str">
            <v>VADGAON SHERI</v>
          </cell>
          <cell r="K1292" t="str">
            <v>Pune</v>
          </cell>
          <cell r="L1292" t="str">
            <v>A</v>
          </cell>
          <cell r="O1292" t="str">
            <v>A</v>
          </cell>
          <cell r="P1292">
            <v>215</v>
          </cell>
          <cell r="Q1292">
            <v>72</v>
          </cell>
          <cell r="R1292">
            <v>191</v>
          </cell>
          <cell r="S1292">
            <v>43</v>
          </cell>
          <cell r="T1292">
            <v>24</v>
          </cell>
          <cell r="U1292">
            <v>29</v>
          </cell>
          <cell r="V1292">
            <v>425</v>
          </cell>
          <cell r="W1292">
            <v>120</v>
          </cell>
          <cell r="X1292">
            <v>411</v>
          </cell>
          <cell r="Y1292">
            <v>93</v>
          </cell>
          <cell r="Z1292">
            <v>14</v>
          </cell>
          <cell r="AA1292">
            <v>27</v>
          </cell>
          <cell r="AB1292">
            <v>287</v>
          </cell>
          <cell r="AC1292">
            <v>234</v>
          </cell>
          <cell r="AD1292">
            <v>53</v>
          </cell>
          <cell r="AE1292">
            <v>545</v>
          </cell>
          <cell r="AF1292">
            <v>504</v>
          </cell>
          <cell r="AG1292">
            <v>41</v>
          </cell>
        </row>
        <row r="1293">
          <cell r="C1293">
            <v>126308</v>
          </cell>
          <cell r="D1293" t="str">
            <v>GHULE SERVICE STATION</v>
          </cell>
          <cell r="E1293" t="str">
            <v>IOCL</v>
          </cell>
          <cell r="G1293" t="str">
            <v>Pune Hadapsar RSA</v>
          </cell>
          <cell r="H1293">
            <v>35154</v>
          </cell>
          <cell r="I1293" t="str">
            <v>OPEN</v>
          </cell>
          <cell r="J1293" t="str">
            <v>Sortapwadi RHS</v>
          </cell>
          <cell r="K1293" t="str">
            <v>Pune</v>
          </cell>
          <cell r="L1293" t="str">
            <v>D1</v>
          </cell>
          <cell r="M1293" t="str">
            <v>NH-65</v>
          </cell>
          <cell r="O1293" t="str">
            <v>B</v>
          </cell>
          <cell r="P1293">
            <v>13</v>
          </cell>
          <cell r="Q1293">
            <v>47</v>
          </cell>
          <cell r="R1293">
            <v>16.5</v>
          </cell>
          <cell r="S1293">
            <v>71.5</v>
          </cell>
          <cell r="T1293">
            <v>-3.5</v>
          </cell>
          <cell r="U1293">
            <v>-24.5</v>
          </cell>
          <cell r="V1293">
            <v>19</v>
          </cell>
          <cell r="W1293">
            <v>101</v>
          </cell>
          <cell r="X1293">
            <v>29.5</v>
          </cell>
          <cell r="Y1293">
            <v>136.5</v>
          </cell>
          <cell r="Z1293">
            <v>-10.5</v>
          </cell>
          <cell r="AA1293">
            <v>-35.5</v>
          </cell>
          <cell r="AB1293">
            <v>60</v>
          </cell>
          <cell r="AC1293">
            <v>88</v>
          </cell>
          <cell r="AD1293">
            <v>-28</v>
          </cell>
          <cell r="AE1293">
            <v>120</v>
          </cell>
          <cell r="AF1293">
            <v>166</v>
          </cell>
          <cell r="AG1293">
            <v>-46</v>
          </cell>
        </row>
        <row r="1294">
          <cell r="C1294">
            <v>126310</v>
          </cell>
          <cell r="D1294" t="str">
            <v>HINDUSTAN SERVICE STATION</v>
          </cell>
          <cell r="E1294" t="str">
            <v>IOCL</v>
          </cell>
          <cell r="G1294" t="str">
            <v>Satara West RSA</v>
          </cell>
          <cell r="H1294">
            <v>24525</v>
          </cell>
          <cell r="I1294" t="str">
            <v>OPEN</v>
          </cell>
          <cell r="J1294" t="str">
            <v>Wai</v>
          </cell>
          <cell r="K1294" t="str">
            <v>Satara</v>
          </cell>
          <cell r="L1294" t="str">
            <v>D2</v>
          </cell>
          <cell r="O1294" t="str">
            <v>B</v>
          </cell>
          <cell r="P1294">
            <v>220</v>
          </cell>
          <cell r="Q1294">
            <v>340</v>
          </cell>
          <cell r="R1294">
            <v>180</v>
          </cell>
          <cell r="S1294">
            <v>340</v>
          </cell>
          <cell r="T1294">
            <v>40</v>
          </cell>
          <cell r="U1294">
            <v>0</v>
          </cell>
          <cell r="V1294">
            <v>380</v>
          </cell>
          <cell r="W1294">
            <v>628</v>
          </cell>
          <cell r="X1294">
            <v>340</v>
          </cell>
          <cell r="Y1294">
            <v>720</v>
          </cell>
          <cell r="Z1294">
            <v>40</v>
          </cell>
          <cell r="AA1294">
            <v>-92</v>
          </cell>
          <cell r="AB1294">
            <v>560</v>
          </cell>
          <cell r="AC1294">
            <v>520</v>
          </cell>
          <cell r="AD1294">
            <v>40</v>
          </cell>
          <cell r="AE1294">
            <v>1008</v>
          </cell>
          <cell r="AF1294">
            <v>1060</v>
          </cell>
          <cell r="AG1294">
            <v>-52</v>
          </cell>
        </row>
        <row r="1295">
          <cell r="C1295">
            <v>126311</v>
          </cell>
          <cell r="D1295" t="str">
            <v>J C SHAH</v>
          </cell>
          <cell r="E1295" t="str">
            <v>IOCL</v>
          </cell>
          <cell r="G1295" t="str">
            <v>Satara East RSA</v>
          </cell>
          <cell r="H1295">
            <v>25933</v>
          </cell>
          <cell r="I1295" t="str">
            <v>OPEN</v>
          </cell>
          <cell r="J1295" t="str">
            <v>Waduj</v>
          </cell>
          <cell r="K1295" t="str">
            <v>Satara</v>
          </cell>
          <cell r="L1295" t="str">
            <v>D2</v>
          </cell>
          <cell r="O1295" t="str">
            <v>B</v>
          </cell>
          <cell r="P1295">
            <v>217</v>
          </cell>
          <cell r="Q1295">
            <v>311</v>
          </cell>
          <cell r="R1295">
            <v>191</v>
          </cell>
          <cell r="S1295">
            <v>265</v>
          </cell>
          <cell r="T1295">
            <v>26</v>
          </cell>
          <cell r="U1295">
            <v>46</v>
          </cell>
          <cell r="V1295">
            <v>391</v>
          </cell>
          <cell r="W1295">
            <v>537</v>
          </cell>
          <cell r="X1295">
            <v>344</v>
          </cell>
          <cell r="Y1295">
            <v>532</v>
          </cell>
          <cell r="Z1295">
            <v>47</v>
          </cell>
          <cell r="AA1295">
            <v>5</v>
          </cell>
          <cell r="AB1295">
            <v>528</v>
          </cell>
          <cell r="AC1295">
            <v>456</v>
          </cell>
          <cell r="AD1295">
            <v>72</v>
          </cell>
          <cell r="AE1295">
            <v>928</v>
          </cell>
          <cell r="AF1295">
            <v>876</v>
          </cell>
          <cell r="AG1295">
            <v>52</v>
          </cell>
        </row>
        <row r="1296">
          <cell r="C1296">
            <v>126312</v>
          </cell>
          <cell r="D1296" t="str">
            <v>Jagdamba Krishi Seva Kendra</v>
          </cell>
          <cell r="E1296" t="str">
            <v>IOCL</v>
          </cell>
          <cell r="G1296" t="str">
            <v>Ahmednagar West RSA</v>
          </cell>
          <cell r="H1296">
            <v>28363</v>
          </cell>
          <cell r="I1296" t="str">
            <v>OPEN</v>
          </cell>
          <cell r="J1296" t="str">
            <v>Rashin</v>
          </cell>
          <cell r="K1296" t="str">
            <v>Ahmednagar</v>
          </cell>
          <cell r="L1296" t="str">
            <v>D2</v>
          </cell>
          <cell r="O1296" t="str">
            <v>B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</row>
        <row r="1297">
          <cell r="C1297">
            <v>126314</v>
          </cell>
          <cell r="D1297" t="str">
            <v>KALE SERVICE STATION,</v>
          </cell>
          <cell r="E1297" t="str">
            <v>IOCL</v>
          </cell>
          <cell r="G1297" t="str">
            <v>Pune Hadapsar RSA</v>
          </cell>
          <cell r="H1297">
            <v>36769</v>
          </cell>
          <cell r="I1297" t="str">
            <v>OPEN</v>
          </cell>
          <cell r="J1297" t="str">
            <v>Kurkumbh LHS</v>
          </cell>
          <cell r="K1297" t="str">
            <v>Pune</v>
          </cell>
          <cell r="L1297" t="str">
            <v>D1</v>
          </cell>
          <cell r="M1297" t="str">
            <v>NH-65</v>
          </cell>
          <cell r="O1297" t="str">
            <v>A</v>
          </cell>
          <cell r="P1297">
            <v>6</v>
          </cell>
          <cell r="Q1297">
            <v>54</v>
          </cell>
          <cell r="R1297">
            <v>9</v>
          </cell>
          <cell r="S1297">
            <v>51</v>
          </cell>
          <cell r="T1297">
            <v>-3</v>
          </cell>
          <cell r="U1297">
            <v>3</v>
          </cell>
          <cell r="V1297">
            <v>12</v>
          </cell>
          <cell r="W1297">
            <v>96</v>
          </cell>
          <cell r="X1297">
            <v>12</v>
          </cell>
          <cell r="Y1297">
            <v>84</v>
          </cell>
          <cell r="Z1297">
            <v>0</v>
          </cell>
          <cell r="AA1297">
            <v>12</v>
          </cell>
          <cell r="AB1297">
            <v>60</v>
          </cell>
          <cell r="AC1297">
            <v>60</v>
          </cell>
          <cell r="AD1297">
            <v>0</v>
          </cell>
          <cell r="AE1297">
            <v>108</v>
          </cell>
          <cell r="AF1297">
            <v>96</v>
          </cell>
          <cell r="AG1297">
            <v>12</v>
          </cell>
        </row>
        <row r="1298">
          <cell r="C1298">
            <v>126320</v>
          </cell>
          <cell r="D1298" t="str">
            <v>M&amp;D SALES &amp; SERVICES</v>
          </cell>
          <cell r="E1298" t="str">
            <v>IOCL</v>
          </cell>
          <cell r="G1298" t="str">
            <v>Shirdi RSA</v>
          </cell>
          <cell r="H1298">
            <v>25789</v>
          </cell>
          <cell r="I1298" t="str">
            <v>UG / UEG</v>
          </cell>
          <cell r="J1298" t="str">
            <v>MONOPOLY</v>
          </cell>
          <cell r="K1298" t="str">
            <v>Ahmednagar</v>
          </cell>
          <cell r="L1298" t="str">
            <v>D1</v>
          </cell>
          <cell r="M1298" t="str">
            <v>NH-60</v>
          </cell>
          <cell r="O1298" t="str">
            <v>A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</row>
        <row r="1299">
          <cell r="C1299">
            <v>126322</v>
          </cell>
          <cell r="D1299" t="str">
            <v>MODERN AUTOMOBILES-CHINCHAWAD</v>
          </cell>
          <cell r="E1299" t="str">
            <v>IOCL</v>
          </cell>
          <cell r="G1299" t="str">
            <v>Pimpri Chinchwad RSA</v>
          </cell>
          <cell r="H1299">
            <v>35276</v>
          </cell>
          <cell r="I1299" t="str">
            <v>OPEN</v>
          </cell>
          <cell r="J1299" t="str">
            <v>Chinchwad</v>
          </cell>
          <cell r="K1299" t="str">
            <v>Pune</v>
          </cell>
          <cell r="L1299" t="str">
            <v>A</v>
          </cell>
          <cell r="O1299" t="str">
            <v>B</v>
          </cell>
          <cell r="P1299">
            <v>138</v>
          </cell>
          <cell r="Q1299">
            <v>150</v>
          </cell>
          <cell r="R1299">
            <v>117</v>
          </cell>
          <cell r="S1299">
            <v>147</v>
          </cell>
          <cell r="T1299">
            <v>21</v>
          </cell>
          <cell r="U1299">
            <v>3</v>
          </cell>
          <cell r="V1299">
            <v>262</v>
          </cell>
          <cell r="W1299">
            <v>286</v>
          </cell>
          <cell r="X1299">
            <v>246</v>
          </cell>
          <cell r="Y1299">
            <v>282</v>
          </cell>
          <cell r="Z1299">
            <v>16</v>
          </cell>
          <cell r="AA1299">
            <v>4</v>
          </cell>
          <cell r="AB1299">
            <v>288</v>
          </cell>
          <cell r="AC1299">
            <v>264</v>
          </cell>
          <cell r="AD1299">
            <v>24</v>
          </cell>
          <cell r="AE1299">
            <v>548</v>
          </cell>
          <cell r="AF1299">
            <v>528</v>
          </cell>
          <cell r="AG1299">
            <v>20</v>
          </cell>
        </row>
        <row r="1300">
          <cell r="C1300">
            <v>126325</v>
          </cell>
          <cell r="D1300" t="str">
            <v>NANDKUMAR &amp; CO.</v>
          </cell>
          <cell r="E1300" t="str">
            <v>IOCL</v>
          </cell>
          <cell r="G1300" t="str">
            <v>Pune Wagholi RSA</v>
          </cell>
          <cell r="H1300">
            <v>26661</v>
          </cell>
          <cell r="I1300" t="str">
            <v>OPEN</v>
          </cell>
          <cell r="J1300" t="str">
            <v>Manchar</v>
          </cell>
          <cell r="K1300" t="str">
            <v>Pune</v>
          </cell>
          <cell r="L1300" t="str">
            <v>C</v>
          </cell>
          <cell r="O1300" t="str">
            <v>A</v>
          </cell>
          <cell r="P1300">
            <v>85.5</v>
          </cell>
          <cell r="Q1300">
            <v>184.5</v>
          </cell>
          <cell r="R1300">
            <v>99</v>
          </cell>
          <cell r="S1300">
            <v>153</v>
          </cell>
          <cell r="T1300">
            <v>-13.5</v>
          </cell>
          <cell r="U1300">
            <v>31.5</v>
          </cell>
          <cell r="V1300">
            <v>175.5</v>
          </cell>
          <cell r="W1300">
            <v>364.5</v>
          </cell>
          <cell r="X1300">
            <v>193.5</v>
          </cell>
          <cell r="Y1300">
            <v>292.5</v>
          </cell>
          <cell r="Z1300">
            <v>-18</v>
          </cell>
          <cell r="AA1300">
            <v>72</v>
          </cell>
          <cell r="AB1300">
            <v>270</v>
          </cell>
          <cell r="AC1300">
            <v>252</v>
          </cell>
          <cell r="AD1300">
            <v>18</v>
          </cell>
          <cell r="AE1300">
            <v>540</v>
          </cell>
          <cell r="AF1300">
            <v>486</v>
          </cell>
          <cell r="AG1300">
            <v>54</v>
          </cell>
        </row>
        <row r="1301">
          <cell r="C1301">
            <v>126326</v>
          </cell>
          <cell r="D1301" t="str">
            <v>N G PAWAR OIL &amp; TR CO.</v>
          </cell>
          <cell r="E1301" t="str">
            <v>IOCL</v>
          </cell>
          <cell r="G1301" t="str">
            <v>Satara East RSA</v>
          </cell>
          <cell r="H1301">
            <v>31126</v>
          </cell>
          <cell r="I1301" t="str">
            <v>OPEN</v>
          </cell>
          <cell r="J1301" t="str">
            <v>Pawarwadi</v>
          </cell>
          <cell r="K1301" t="str">
            <v>Satara</v>
          </cell>
          <cell r="L1301" t="str">
            <v>E</v>
          </cell>
          <cell r="O1301" t="str">
            <v>B</v>
          </cell>
          <cell r="P1301">
            <v>12</v>
          </cell>
          <cell r="Q1301">
            <v>12</v>
          </cell>
          <cell r="R1301">
            <v>18</v>
          </cell>
          <cell r="S1301">
            <v>42</v>
          </cell>
          <cell r="T1301">
            <v>-6</v>
          </cell>
          <cell r="U1301">
            <v>-30</v>
          </cell>
          <cell r="V1301">
            <v>33</v>
          </cell>
          <cell r="W1301">
            <v>39</v>
          </cell>
          <cell r="X1301">
            <v>42</v>
          </cell>
          <cell r="Y1301">
            <v>90</v>
          </cell>
          <cell r="Z1301">
            <v>-9</v>
          </cell>
          <cell r="AA1301">
            <v>-51</v>
          </cell>
          <cell r="AB1301">
            <v>24</v>
          </cell>
          <cell r="AC1301">
            <v>60</v>
          </cell>
          <cell r="AD1301">
            <v>-36</v>
          </cell>
          <cell r="AE1301">
            <v>72</v>
          </cell>
          <cell r="AF1301">
            <v>132</v>
          </cell>
          <cell r="AG1301">
            <v>-60</v>
          </cell>
        </row>
        <row r="1302">
          <cell r="C1302">
            <v>126328</v>
          </cell>
          <cell r="D1302" t="str">
            <v>KRISHI UTPANNA BAZAR SAMITI</v>
          </cell>
          <cell r="E1302" t="str">
            <v>IOCL</v>
          </cell>
          <cell r="G1302" t="str">
            <v>Pune City RSA</v>
          </cell>
          <cell r="H1302">
            <v>29920</v>
          </cell>
          <cell r="I1302" t="str">
            <v>OPEN</v>
          </cell>
          <cell r="J1302" t="str">
            <v>MARKET YARD/LULLANAGAR</v>
          </cell>
          <cell r="K1302" t="str">
            <v>Pune</v>
          </cell>
          <cell r="L1302" t="str">
            <v>A</v>
          </cell>
          <cell r="O1302" t="str">
            <v>B</v>
          </cell>
          <cell r="P1302">
            <v>192</v>
          </cell>
          <cell r="Q1302">
            <v>144</v>
          </cell>
          <cell r="R1302">
            <v>152</v>
          </cell>
          <cell r="S1302">
            <v>114</v>
          </cell>
          <cell r="T1302">
            <v>40</v>
          </cell>
          <cell r="U1302">
            <v>30</v>
          </cell>
          <cell r="V1302">
            <v>400</v>
          </cell>
          <cell r="W1302">
            <v>276</v>
          </cell>
          <cell r="X1302">
            <v>296</v>
          </cell>
          <cell r="Y1302">
            <v>208</v>
          </cell>
          <cell r="Z1302">
            <v>104</v>
          </cell>
          <cell r="AA1302">
            <v>68</v>
          </cell>
          <cell r="AB1302">
            <v>336</v>
          </cell>
          <cell r="AC1302">
            <v>266</v>
          </cell>
          <cell r="AD1302">
            <v>70</v>
          </cell>
          <cell r="AE1302">
            <v>676</v>
          </cell>
          <cell r="AF1302">
            <v>504</v>
          </cell>
          <cell r="AG1302">
            <v>172</v>
          </cell>
        </row>
        <row r="1303">
          <cell r="C1303">
            <v>126329</v>
          </cell>
          <cell r="D1303" t="str">
            <v>PRATHAMESH PETROLEUM SERVICE</v>
          </cell>
          <cell r="E1303" t="str">
            <v>IOCL</v>
          </cell>
          <cell r="G1303" t="str">
            <v>Pune Tathawade RSA</v>
          </cell>
          <cell r="H1303">
            <v>34575</v>
          </cell>
          <cell r="I1303" t="str">
            <v>FF (OPEN)</v>
          </cell>
          <cell r="J1303" t="str">
            <v>Vadgaon Nimbalkar to Pandare</v>
          </cell>
          <cell r="K1303" t="str">
            <v>Pune</v>
          </cell>
          <cell r="L1303" t="str">
            <v>D2</v>
          </cell>
          <cell r="O1303" t="str">
            <v>B</v>
          </cell>
          <cell r="P1303">
            <v>26.5</v>
          </cell>
          <cell r="Q1303">
            <v>55.5</v>
          </cell>
          <cell r="R1303">
            <v>45</v>
          </cell>
          <cell r="S1303">
            <v>63</v>
          </cell>
          <cell r="T1303">
            <v>-18.5</v>
          </cell>
          <cell r="U1303">
            <v>-7.5</v>
          </cell>
          <cell r="V1303">
            <v>69</v>
          </cell>
          <cell r="W1303">
            <v>111</v>
          </cell>
          <cell r="X1303">
            <v>81</v>
          </cell>
          <cell r="Y1303">
            <v>111</v>
          </cell>
          <cell r="Z1303">
            <v>-12</v>
          </cell>
          <cell r="AA1303">
            <v>0</v>
          </cell>
          <cell r="AB1303">
            <v>82</v>
          </cell>
          <cell r="AC1303">
            <v>108</v>
          </cell>
          <cell r="AD1303">
            <v>-26</v>
          </cell>
          <cell r="AE1303">
            <v>180</v>
          </cell>
          <cell r="AF1303">
            <v>192</v>
          </cell>
          <cell r="AG1303">
            <v>-12</v>
          </cell>
        </row>
        <row r="1304">
          <cell r="C1304">
            <v>126332</v>
          </cell>
          <cell r="D1304" t="str">
            <v>PRITAM PETROLEUM</v>
          </cell>
          <cell r="E1304" t="str">
            <v>IOCL</v>
          </cell>
          <cell r="G1304" t="str">
            <v>Pune Hadapsar RSA</v>
          </cell>
          <cell r="H1304">
            <v>29311</v>
          </cell>
          <cell r="I1304" t="str">
            <v>OPEN</v>
          </cell>
          <cell r="J1304" t="str">
            <v>Varvand LHS</v>
          </cell>
          <cell r="K1304" t="str">
            <v>Pune</v>
          </cell>
          <cell r="L1304" t="str">
            <v>D1</v>
          </cell>
          <cell r="M1304" t="str">
            <v>NH-65</v>
          </cell>
          <cell r="O1304" t="str">
            <v>B</v>
          </cell>
          <cell r="P1304">
            <v>24</v>
          </cell>
          <cell r="Q1304">
            <v>84</v>
          </cell>
          <cell r="R1304">
            <v>21</v>
          </cell>
          <cell r="S1304">
            <v>75</v>
          </cell>
          <cell r="T1304">
            <v>3</v>
          </cell>
          <cell r="U1304">
            <v>9</v>
          </cell>
          <cell r="V1304">
            <v>42</v>
          </cell>
          <cell r="W1304">
            <v>174</v>
          </cell>
          <cell r="X1304">
            <v>36</v>
          </cell>
          <cell r="Y1304">
            <v>144</v>
          </cell>
          <cell r="Z1304">
            <v>6</v>
          </cell>
          <cell r="AA1304">
            <v>30</v>
          </cell>
          <cell r="AB1304">
            <v>108</v>
          </cell>
          <cell r="AC1304">
            <v>96</v>
          </cell>
          <cell r="AD1304">
            <v>12</v>
          </cell>
          <cell r="AE1304">
            <v>216</v>
          </cell>
          <cell r="AF1304">
            <v>180</v>
          </cell>
          <cell r="AG1304">
            <v>36</v>
          </cell>
        </row>
        <row r="1305">
          <cell r="C1305">
            <v>126335</v>
          </cell>
          <cell r="D1305" t="str">
            <v>PATIL &amp; SONS</v>
          </cell>
          <cell r="E1305" t="str">
            <v>IOCL</v>
          </cell>
          <cell r="G1305" t="str">
            <v>Pune Wagholi RSA</v>
          </cell>
          <cell r="H1305">
            <v>26663</v>
          </cell>
          <cell r="I1305" t="str">
            <v>OPEN</v>
          </cell>
          <cell r="J1305" t="str">
            <v>Alephata on Kalyan highway</v>
          </cell>
          <cell r="K1305" t="str">
            <v>Pune</v>
          </cell>
          <cell r="L1305" t="str">
            <v>D1</v>
          </cell>
          <cell r="M1305" t="str">
            <v>NH-61</v>
          </cell>
          <cell r="O1305" t="str">
            <v>A</v>
          </cell>
          <cell r="P1305">
            <v>55</v>
          </cell>
          <cell r="Q1305">
            <v>180</v>
          </cell>
          <cell r="R1305">
            <v>65</v>
          </cell>
          <cell r="S1305">
            <v>185</v>
          </cell>
          <cell r="T1305">
            <v>-10</v>
          </cell>
          <cell r="U1305">
            <v>-5</v>
          </cell>
          <cell r="V1305">
            <v>95</v>
          </cell>
          <cell r="W1305">
            <v>325</v>
          </cell>
          <cell r="X1305">
            <v>120</v>
          </cell>
          <cell r="Y1305">
            <v>335</v>
          </cell>
          <cell r="Z1305">
            <v>-25</v>
          </cell>
          <cell r="AA1305">
            <v>-10</v>
          </cell>
          <cell r="AB1305">
            <v>235</v>
          </cell>
          <cell r="AC1305">
            <v>250</v>
          </cell>
          <cell r="AD1305">
            <v>-15</v>
          </cell>
          <cell r="AE1305">
            <v>420</v>
          </cell>
          <cell r="AF1305">
            <v>455</v>
          </cell>
          <cell r="AG1305">
            <v>-35</v>
          </cell>
        </row>
        <row r="1306">
          <cell r="C1306">
            <v>126336</v>
          </cell>
          <cell r="D1306" t="str">
            <v>SHRI MAHALAXMI FUEL STATION</v>
          </cell>
          <cell r="E1306" t="str">
            <v>IOCL</v>
          </cell>
          <cell r="G1306" t="str">
            <v>Pune City RSA</v>
          </cell>
          <cell r="H1306">
            <v>27332</v>
          </cell>
          <cell r="I1306" t="str">
            <v>DEF (OPEN)</v>
          </cell>
          <cell r="J1306" t="str">
            <v>DANDEKAR CHOWK/NAVIPETH</v>
          </cell>
          <cell r="K1306" t="str">
            <v>Pune</v>
          </cell>
          <cell r="L1306" t="str">
            <v>A</v>
          </cell>
          <cell r="O1306" t="str">
            <v>A</v>
          </cell>
          <cell r="P1306">
            <v>274</v>
          </cell>
          <cell r="Q1306">
            <v>104</v>
          </cell>
          <cell r="R1306">
            <v>232</v>
          </cell>
          <cell r="S1306">
            <v>136</v>
          </cell>
          <cell r="T1306">
            <v>42</v>
          </cell>
          <cell r="U1306">
            <v>-32</v>
          </cell>
          <cell r="V1306">
            <v>519</v>
          </cell>
          <cell r="W1306">
            <v>181</v>
          </cell>
          <cell r="X1306">
            <v>470</v>
          </cell>
          <cell r="Y1306">
            <v>254</v>
          </cell>
          <cell r="Z1306">
            <v>49</v>
          </cell>
          <cell r="AA1306">
            <v>-73</v>
          </cell>
          <cell r="AB1306">
            <v>378</v>
          </cell>
          <cell r="AC1306">
            <v>368</v>
          </cell>
          <cell r="AD1306">
            <v>10</v>
          </cell>
          <cell r="AE1306">
            <v>700</v>
          </cell>
          <cell r="AF1306">
            <v>724</v>
          </cell>
          <cell r="AG1306">
            <v>-24</v>
          </cell>
        </row>
        <row r="1307">
          <cell r="C1307">
            <v>126337</v>
          </cell>
          <cell r="D1307" t="str">
            <v>Punjab Auto Services</v>
          </cell>
          <cell r="E1307" t="str">
            <v>IOCL</v>
          </cell>
          <cell r="G1307" t="str">
            <v>Ahmednagar East RSA</v>
          </cell>
          <cell r="H1307">
            <v>28130</v>
          </cell>
          <cell r="I1307" t="str">
            <v>OPEN</v>
          </cell>
          <cell r="J1307" t="str">
            <v>Kedgaon</v>
          </cell>
          <cell r="K1307" t="str">
            <v>Ahmednagar</v>
          </cell>
          <cell r="L1307" t="str">
            <v>D1</v>
          </cell>
          <cell r="M1307" t="str">
            <v>NH-753F</v>
          </cell>
          <cell r="O1307" t="str">
            <v>A</v>
          </cell>
          <cell r="P1307">
            <v>107</v>
          </cell>
          <cell r="Q1307">
            <v>227</v>
          </cell>
          <cell r="R1307">
            <v>91.5</v>
          </cell>
          <cell r="S1307">
            <v>169.5</v>
          </cell>
          <cell r="T1307">
            <v>15.5</v>
          </cell>
          <cell r="U1307">
            <v>57.5</v>
          </cell>
          <cell r="V1307">
            <v>187</v>
          </cell>
          <cell r="W1307">
            <v>395</v>
          </cell>
          <cell r="X1307">
            <v>157.5</v>
          </cell>
          <cell r="Y1307">
            <v>298.5</v>
          </cell>
          <cell r="Z1307">
            <v>29.5</v>
          </cell>
          <cell r="AA1307">
            <v>96.5</v>
          </cell>
          <cell r="AB1307">
            <v>334</v>
          </cell>
          <cell r="AC1307">
            <v>261</v>
          </cell>
          <cell r="AD1307">
            <v>73</v>
          </cell>
          <cell r="AE1307">
            <v>582</v>
          </cell>
          <cell r="AF1307">
            <v>456</v>
          </cell>
          <cell r="AG1307">
            <v>126</v>
          </cell>
        </row>
        <row r="1308">
          <cell r="C1308">
            <v>126338</v>
          </cell>
          <cell r="D1308" t="str">
            <v>POONAM AUTOMOBILES</v>
          </cell>
          <cell r="E1308" t="str">
            <v>IOCL</v>
          </cell>
          <cell r="G1308" t="str">
            <v>Pune City RSA</v>
          </cell>
          <cell r="H1308">
            <v>27484</v>
          </cell>
          <cell r="I1308" t="str">
            <v>OPEN</v>
          </cell>
          <cell r="J1308" t="str">
            <v>KATRAJ</v>
          </cell>
          <cell r="K1308" t="str">
            <v>Pune</v>
          </cell>
          <cell r="L1308" t="str">
            <v>A</v>
          </cell>
          <cell r="O1308" t="str">
            <v>B</v>
          </cell>
          <cell r="P1308">
            <v>142</v>
          </cell>
          <cell r="Q1308">
            <v>230</v>
          </cell>
          <cell r="R1308">
            <v>123</v>
          </cell>
          <cell r="S1308">
            <v>173</v>
          </cell>
          <cell r="T1308">
            <v>19</v>
          </cell>
          <cell r="U1308">
            <v>57</v>
          </cell>
          <cell r="V1308">
            <v>264</v>
          </cell>
          <cell r="W1308">
            <v>404</v>
          </cell>
          <cell r="X1308">
            <v>238</v>
          </cell>
          <cell r="Y1308">
            <v>318</v>
          </cell>
          <cell r="Z1308">
            <v>26</v>
          </cell>
          <cell r="AA1308">
            <v>86</v>
          </cell>
          <cell r="AB1308">
            <v>372</v>
          </cell>
          <cell r="AC1308">
            <v>296</v>
          </cell>
          <cell r="AD1308">
            <v>76</v>
          </cell>
          <cell r="AE1308">
            <v>668</v>
          </cell>
          <cell r="AF1308">
            <v>556</v>
          </cell>
          <cell r="AG1308">
            <v>112</v>
          </cell>
        </row>
        <row r="1309">
          <cell r="C1309">
            <v>126339</v>
          </cell>
          <cell r="D1309" t="str">
            <v>RAMESHWAR PETROL CENTRE</v>
          </cell>
          <cell r="E1309" t="str">
            <v>IOCL</v>
          </cell>
          <cell r="G1309" t="str">
            <v>Pune Tathawade RSA</v>
          </cell>
          <cell r="H1309">
            <v>26053</v>
          </cell>
          <cell r="I1309" t="str">
            <v>OPEN</v>
          </cell>
          <cell r="J1309" t="str">
            <v>SAROLA TO KAPURHOL</v>
          </cell>
          <cell r="K1309" t="str">
            <v>Pune</v>
          </cell>
          <cell r="L1309" t="str">
            <v>D1</v>
          </cell>
          <cell r="M1309" t="str">
            <v>NH-48</v>
          </cell>
          <cell r="O1309" t="str">
            <v>A</v>
          </cell>
          <cell r="P1309">
            <v>83.5</v>
          </cell>
          <cell r="Q1309">
            <v>276.5</v>
          </cell>
          <cell r="R1309">
            <v>59.5</v>
          </cell>
          <cell r="S1309">
            <v>312.5</v>
          </cell>
          <cell r="T1309">
            <v>24</v>
          </cell>
          <cell r="U1309">
            <v>-36</v>
          </cell>
          <cell r="V1309">
            <v>148</v>
          </cell>
          <cell r="W1309">
            <v>560</v>
          </cell>
          <cell r="X1309">
            <v>107</v>
          </cell>
          <cell r="Y1309">
            <v>583</v>
          </cell>
          <cell r="Z1309">
            <v>41</v>
          </cell>
          <cell r="AA1309">
            <v>-23</v>
          </cell>
          <cell r="AB1309">
            <v>360</v>
          </cell>
          <cell r="AC1309">
            <v>372</v>
          </cell>
          <cell r="AD1309">
            <v>-12</v>
          </cell>
          <cell r="AE1309">
            <v>708</v>
          </cell>
          <cell r="AF1309">
            <v>690</v>
          </cell>
          <cell r="AG1309">
            <v>18</v>
          </cell>
        </row>
        <row r="1310">
          <cell r="C1310">
            <v>126340</v>
          </cell>
          <cell r="D1310" t="str">
            <v>RENUKA PETROL &amp; DIESEL PUMP</v>
          </cell>
          <cell r="E1310" t="str">
            <v>IOCL</v>
          </cell>
          <cell r="G1310" t="str">
            <v>Satara West RSA</v>
          </cell>
          <cell r="H1310">
            <v>27839</v>
          </cell>
          <cell r="I1310" t="str">
            <v>SC</v>
          </cell>
          <cell r="J1310" t="str">
            <v>Satara City</v>
          </cell>
          <cell r="K1310" t="str">
            <v>Satara</v>
          </cell>
          <cell r="L1310" t="str">
            <v>C</v>
          </cell>
          <cell r="O1310" t="str">
            <v>A</v>
          </cell>
          <cell r="P1310">
            <v>383.5</v>
          </cell>
          <cell r="Q1310">
            <v>180.5</v>
          </cell>
          <cell r="R1310">
            <v>365.5</v>
          </cell>
          <cell r="S1310">
            <v>174.5</v>
          </cell>
          <cell r="T1310">
            <v>18</v>
          </cell>
          <cell r="U1310">
            <v>6</v>
          </cell>
          <cell r="V1310">
            <v>716</v>
          </cell>
          <cell r="W1310">
            <v>349</v>
          </cell>
          <cell r="X1310">
            <v>700</v>
          </cell>
          <cell r="Y1310">
            <v>328</v>
          </cell>
          <cell r="Z1310">
            <v>16</v>
          </cell>
          <cell r="AA1310">
            <v>21</v>
          </cell>
          <cell r="AB1310">
            <v>564</v>
          </cell>
          <cell r="AC1310">
            <v>540</v>
          </cell>
          <cell r="AD1310">
            <v>24</v>
          </cell>
          <cell r="AE1310">
            <v>1065</v>
          </cell>
          <cell r="AF1310">
            <v>1028</v>
          </cell>
          <cell r="AG1310">
            <v>37</v>
          </cell>
        </row>
        <row r="1311">
          <cell r="C1311">
            <v>126345</v>
          </cell>
          <cell r="D1311" t="str">
            <v>SHRIRAM S.S.K. LTD</v>
          </cell>
          <cell r="E1311" t="str">
            <v>IOCL</v>
          </cell>
          <cell r="G1311" t="str">
            <v>Satara East RSA</v>
          </cell>
          <cell r="H1311">
            <v>23497</v>
          </cell>
          <cell r="I1311" t="str">
            <v>OPEN</v>
          </cell>
          <cell r="J1311" t="str">
            <v>Phalton</v>
          </cell>
          <cell r="K1311" t="str">
            <v>Satara</v>
          </cell>
          <cell r="L1311" t="str">
            <v>D1</v>
          </cell>
          <cell r="M1311" t="str">
            <v>NH-965</v>
          </cell>
          <cell r="O1311" t="str">
            <v>B</v>
          </cell>
          <cell r="P1311">
            <v>72</v>
          </cell>
          <cell r="Q1311">
            <v>168</v>
          </cell>
          <cell r="R1311">
            <v>69</v>
          </cell>
          <cell r="S1311">
            <v>87</v>
          </cell>
          <cell r="T1311">
            <v>3</v>
          </cell>
          <cell r="U1311">
            <v>81</v>
          </cell>
          <cell r="V1311">
            <v>147</v>
          </cell>
          <cell r="W1311">
            <v>345</v>
          </cell>
          <cell r="X1311">
            <v>132</v>
          </cell>
          <cell r="Y1311">
            <v>144</v>
          </cell>
          <cell r="Z1311">
            <v>15</v>
          </cell>
          <cell r="AA1311">
            <v>201</v>
          </cell>
          <cell r="AB1311">
            <v>240</v>
          </cell>
          <cell r="AC1311">
            <v>156</v>
          </cell>
          <cell r="AD1311">
            <v>84</v>
          </cell>
          <cell r="AE1311">
            <v>492</v>
          </cell>
          <cell r="AF1311">
            <v>276</v>
          </cell>
          <cell r="AG1311">
            <v>216</v>
          </cell>
        </row>
        <row r="1312">
          <cell r="C1312">
            <v>126347</v>
          </cell>
          <cell r="D1312" t="str">
            <v>SURE PETROLEUM</v>
          </cell>
          <cell r="E1312" t="str">
            <v>IOCL</v>
          </cell>
          <cell r="G1312" t="str">
            <v>Pune City RSA</v>
          </cell>
          <cell r="H1312">
            <v>26715</v>
          </cell>
          <cell r="I1312" t="str">
            <v>OPEN</v>
          </cell>
          <cell r="J1312" t="str">
            <v>KARVE ROAD</v>
          </cell>
          <cell r="K1312" t="str">
            <v>Pune</v>
          </cell>
          <cell r="L1312" t="str">
            <v>A</v>
          </cell>
          <cell r="O1312" t="str">
            <v>A</v>
          </cell>
          <cell r="P1312">
            <v>345</v>
          </cell>
          <cell r="Q1312">
            <v>115</v>
          </cell>
          <cell r="R1312">
            <v>365</v>
          </cell>
          <cell r="S1312">
            <v>115</v>
          </cell>
          <cell r="T1312">
            <v>-20</v>
          </cell>
          <cell r="U1312">
            <v>0</v>
          </cell>
          <cell r="V1312">
            <v>660</v>
          </cell>
          <cell r="W1312">
            <v>220</v>
          </cell>
          <cell r="X1312">
            <v>715</v>
          </cell>
          <cell r="Y1312">
            <v>205</v>
          </cell>
          <cell r="Z1312">
            <v>-55</v>
          </cell>
          <cell r="AA1312">
            <v>15</v>
          </cell>
          <cell r="AB1312">
            <v>460</v>
          </cell>
          <cell r="AC1312">
            <v>480</v>
          </cell>
          <cell r="AD1312">
            <v>-20</v>
          </cell>
          <cell r="AE1312">
            <v>880</v>
          </cell>
          <cell r="AF1312">
            <v>920</v>
          </cell>
          <cell r="AG1312">
            <v>-40</v>
          </cell>
        </row>
        <row r="1313">
          <cell r="C1313">
            <v>126349</v>
          </cell>
          <cell r="D1313" t="str">
            <v>SAIPOOJA PETROLEUM</v>
          </cell>
          <cell r="E1313" t="str">
            <v>IOCL</v>
          </cell>
          <cell r="G1313" t="str">
            <v>Pune Hadapsar RSA</v>
          </cell>
          <cell r="H1313">
            <v>37134</v>
          </cell>
          <cell r="I1313" t="str">
            <v>PHP (OPEN)</v>
          </cell>
          <cell r="J1313" t="str">
            <v>Urlikanchan LHS</v>
          </cell>
          <cell r="K1313" t="str">
            <v>Pune</v>
          </cell>
          <cell r="L1313" t="str">
            <v>D1</v>
          </cell>
          <cell r="M1313" t="str">
            <v>NH-65</v>
          </cell>
          <cell r="O1313" t="str">
            <v>A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3</v>
          </cell>
          <cell r="Y1313">
            <v>9</v>
          </cell>
          <cell r="Z1313">
            <v>-3</v>
          </cell>
          <cell r="AA1313">
            <v>-9</v>
          </cell>
          <cell r="AB1313">
            <v>0</v>
          </cell>
          <cell r="AC1313">
            <v>0</v>
          </cell>
          <cell r="AD1313">
            <v>0</v>
          </cell>
          <cell r="AE1313">
            <v>0</v>
          </cell>
          <cell r="AF1313">
            <v>12</v>
          </cell>
          <cell r="AG1313">
            <v>-12</v>
          </cell>
        </row>
        <row r="1314">
          <cell r="C1314">
            <v>126350</v>
          </cell>
          <cell r="D1314" t="str">
            <v>SHRI ASHTAVINAYAK AUTOMOBILES</v>
          </cell>
          <cell r="E1314" t="str">
            <v>IOCL</v>
          </cell>
          <cell r="G1314" t="str">
            <v>Pune Wagholi RSA</v>
          </cell>
          <cell r="H1314">
            <v>30405</v>
          </cell>
          <cell r="I1314" t="str">
            <v>OPEN</v>
          </cell>
          <cell r="J1314" t="str">
            <v>Junnar</v>
          </cell>
          <cell r="K1314" t="str">
            <v>Pune</v>
          </cell>
          <cell r="L1314" t="str">
            <v>D2</v>
          </cell>
          <cell r="O1314" t="str">
            <v>B</v>
          </cell>
          <cell r="P1314">
            <v>45</v>
          </cell>
          <cell r="Q1314">
            <v>95</v>
          </cell>
          <cell r="R1314">
            <v>40</v>
          </cell>
          <cell r="S1314">
            <v>80</v>
          </cell>
          <cell r="T1314">
            <v>5</v>
          </cell>
          <cell r="U1314">
            <v>15</v>
          </cell>
          <cell r="V1314">
            <v>85</v>
          </cell>
          <cell r="W1314">
            <v>175</v>
          </cell>
          <cell r="X1314">
            <v>80</v>
          </cell>
          <cell r="Y1314">
            <v>160</v>
          </cell>
          <cell r="Z1314">
            <v>5</v>
          </cell>
          <cell r="AA1314">
            <v>15</v>
          </cell>
          <cell r="AB1314">
            <v>140</v>
          </cell>
          <cell r="AC1314">
            <v>120</v>
          </cell>
          <cell r="AD1314">
            <v>20</v>
          </cell>
          <cell r="AE1314">
            <v>260</v>
          </cell>
          <cell r="AF1314">
            <v>240</v>
          </cell>
          <cell r="AG1314">
            <v>20</v>
          </cell>
        </row>
        <row r="1315">
          <cell r="C1315">
            <v>126352</v>
          </cell>
          <cell r="D1315" t="str">
            <v>SILVER JUBILEE MOTORS</v>
          </cell>
          <cell r="E1315" t="str">
            <v>IOCL</v>
          </cell>
          <cell r="G1315" t="str">
            <v>Pune City RSA</v>
          </cell>
          <cell r="H1315">
            <v>24411</v>
          </cell>
          <cell r="I1315" t="str">
            <v>OPEN</v>
          </cell>
          <cell r="J1315" t="str">
            <v>MOLEDINA ROAD/E STREET</v>
          </cell>
          <cell r="K1315" t="str">
            <v>Pune</v>
          </cell>
          <cell r="L1315" t="str">
            <v>A</v>
          </cell>
          <cell r="O1315" t="str">
            <v>B</v>
          </cell>
          <cell r="P1315">
            <v>10</v>
          </cell>
          <cell r="Q1315">
            <v>0</v>
          </cell>
          <cell r="R1315">
            <v>44.5</v>
          </cell>
          <cell r="S1315">
            <v>0</v>
          </cell>
          <cell r="T1315">
            <v>-34.5</v>
          </cell>
          <cell r="U1315">
            <v>0</v>
          </cell>
          <cell r="V1315">
            <v>30</v>
          </cell>
          <cell r="W1315">
            <v>0</v>
          </cell>
          <cell r="X1315">
            <v>80.5</v>
          </cell>
          <cell r="Y1315">
            <v>0</v>
          </cell>
          <cell r="Z1315">
            <v>-50.5</v>
          </cell>
          <cell r="AA1315">
            <v>0</v>
          </cell>
          <cell r="AB1315">
            <v>10</v>
          </cell>
          <cell r="AC1315">
            <v>44.5</v>
          </cell>
          <cell r="AD1315">
            <v>-34.5</v>
          </cell>
          <cell r="AE1315">
            <v>30</v>
          </cell>
          <cell r="AF1315">
            <v>80.5</v>
          </cell>
          <cell r="AG1315">
            <v>-50.5</v>
          </cell>
        </row>
        <row r="1316">
          <cell r="C1316">
            <v>126353</v>
          </cell>
          <cell r="D1316" t="str">
            <v>SAVANI SERVICE STATION</v>
          </cell>
          <cell r="E1316" t="str">
            <v>IOCL</v>
          </cell>
          <cell r="G1316" t="str">
            <v>Pune City RSA</v>
          </cell>
          <cell r="H1316">
            <v>24959</v>
          </cell>
          <cell r="I1316" t="str">
            <v>OPEN</v>
          </cell>
          <cell r="J1316" t="str">
            <v>Kasarwadi</v>
          </cell>
          <cell r="K1316" t="str">
            <v>Pune</v>
          </cell>
          <cell r="L1316" t="str">
            <v>A</v>
          </cell>
          <cell r="O1316" t="str">
            <v>A</v>
          </cell>
          <cell r="P1316">
            <v>180</v>
          </cell>
          <cell r="Q1316">
            <v>120</v>
          </cell>
          <cell r="R1316">
            <v>173</v>
          </cell>
          <cell r="S1316">
            <v>91</v>
          </cell>
          <cell r="T1316">
            <v>7</v>
          </cell>
          <cell r="U1316">
            <v>29</v>
          </cell>
          <cell r="V1316">
            <v>340</v>
          </cell>
          <cell r="W1316">
            <v>220</v>
          </cell>
          <cell r="X1316">
            <v>337</v>
          </cell>
          <cell r="Y1316">
            <v>167</v>
          </cell>
          <cell r="Z1316">
            <v>3</v>
          </cell>
          <cell r="AA1316">
            <v>53</v>
          </cell>
          <cell r="AB1316">
            <v>300</v>
          </cell>
          <cell r="AC1316">
            <v>264</v>
          </cell>
          <cell r="AD1316">
            <v>36</v>
          </cell>
          <cell r="AE1316">
            <v>560</v>
          </cell>
          <cell r="AF1316">
            <v>504</v>
          </cell>
          <cell r="AG1316">
            <v>56</v>
          </cell>
        </row>
        <row r="1317">
          <cell r="C1317">
            <v>126354</v>
          </cell>
          <cell r="D1317" t="str">
            <v>S.M. Bhandari</v>
          </cell>
          <cell r="E1317" t="str">
            <v>IOCL</v>
          </cell>
          <cell r="G1317" t="str">
            <v>Ahmednagar West RSA</v>
          </cell>
          <cell r="H1317">
            <v>25071</v>
          </cell>
          <cell r="I1317" t="str">
            <v>OPEN</v>
          </cell>
          <cell r="J1317" t="str">
            <v>MIRAJGAON-SH</v>
          </cell>
          <cell r="K1317" t="str">
            <v>Ahmednagar</v>
          </cell>
          <cell r="L1317" t="str">
            <v>D1</v>
          </cell>
          <cell r="M1317" t="str">
            <v>NH-561A</v>
          </cell>
          <cell r="O1317" t="str">
            <v>B</v>
          </cell>
          <cell r="P1317">
            <v>67</v>
          </cell>
          <cell r="Q1317">
            <v>97</v>
          </cell>
          <cell r="R1317">
            <v>66</v>
          </cell>
          <cell r="S1317">
            <v>102</v>
          </cell>
          <cell r="T1317">
            <v>1</v>
          </cell>
          <cell r="U1317">
            <v>-5</v>
          </cell>
          <cell r="V1317">
            <v>125</v>
          </cell>
          <cell r="W1317">
            <v>221</v>
          </cell>
          <cell r="X1317">
            <v>114</v>
          </cell>
          <cell r="Y1317">
            <v>174</v>
          </cell>
          <cell r="Z1317">
            <v>11</v>
          </cell>
          <cell r="AA1317">
            <v>47</v>
          </cell>
          <cell r="AB1317">
            <v>164</v>
          </cell>
          <cell r="AC1317">
            <v>168</v>
          </cell>
          <cell r="AD1317">
            <v>-4</v>
          </cell>
          <cell r="AE1317">
            <v>346</v>
          </cell>
          <cell r="AF1317">
            <v>288</v>
          </cell>
          <cell r="AG1317">
            <v>58</v>
          </cell>
        </row>
        <row r="1318">
          <cell r="C1318">
            <v>126355</v>
          </cell>
          <cell r="D1318" t="str">
            <v>SCOOTER SERVICE STATION</v>
          </cell>
          <cell r="E1318" t="str">
            <v>IOCL</v>
          </cell>
          <cell r="G1318" t="str">
            <v>Pune City RSA</v>
          </cell>
          <cell r="H1318">
            <v>25259</v>
          </cell>
          <cell r="I1318" t="str">
            <v>OPEN</v>
          </cell>
          <cell r="J1318" t="str">
            <v>BHAIROVA NALA</v>
          </cell>
          <cell r="K1318" t="str">
            <v>Pune</v>
          </cell>
          <cell r="L1318" t="str">
            <v>A</v>
          </cell>
          <cell r="O1318" t="str">
            <v>A</v>
          </cell>
          <cell r="P1318">
            <v>219</v>
          </cell>
          <cell r="Q1318">
            <v>93</v>
          </cell>
          <cell r="R1318">
            <v>207</v>
          </cell>
          <cell r="S1318">
            <v>69</v>
          </cell>
          <cell r="T1318">
            <v>12</v>
          </cell>
          <cell r="U1318">
            <v>24</v>
          </cell>
          <cell r="V1318">
            <v>462</v>
          </cell>
          <cell r="W1318">
            <v>186</v>
          </cell>
          <cell r="X1318">
            <v>417</v>
          </cell>
          <cell r="Y1318">
            <v>135</v>
          </cell>
          <cell r="Z1318">
            <v>45</v>
          </cell>
          <cell r="AA1318">
            <v>51</v>
          </cell>
          <cell r="AB1318">
            <v>312</v>
          </cell>
          <cell r="AC1318">
            <v>276</v>
          </cell>
          <cell r="AD1318">
            <v>36</v>
          </cell>
          <cell r="AE1318">
            <v>648</v>
          </cell>
          <cell r="AF1318">
            <v>552</v>
          </cell>
          <cell r="AG1318">
            <v>96</v>
          </cell>
        </row>
        <row r="1319">
          <cell r="C1319">
            <v>126357</v>
          </cell>
          <cell r="D1319" t="str">
            <v>Krishi Seva Services</v>
          </cell>
          <cell r="E1319" t="str">
            <v>IOCL</v>
          </cell>
          <cell r="G1319" t="str">
            <v>Ahmednagar West RSA</v>
          </cell>
          <cell r="H1319">
            <v>26222</v>
          </cell>
          <cell r="I1319" t="str">
            <v>OPEN</v>
          </cell>
          <cell r="J1319" t="str">
            <v>LONI VYNKNATH-KASHTI (NH)</v>
          </cell>
          <cell r="K1319" t="str">
            <v>Ahmednagar</v>
          </cell>
          <cell r="L1319" t="str">
            <v>D1</v>
          </cell>
          <cell r="M1319" t="str">
            <v>NH-160</v>
          </cell>
          <cell r="O1319" t="str">
            <v>B</v>
          </cell>
          <cell r="P1319">
            <v>94</v>
          </cell>
          <cell r="Q1319">
            <v>114</v>
          </cell>
          <cell r="R1319">
            <v>80</v>
          </cell>
          <cell r="S1319">
            <v>100</v>
          </cell>
          <cell r="T1319">
            <v>14</v>
          </cell>
          <cell r="U1319">
            <v>14</v>
          </cell>
          <cell r="V1319">
            <v>165</v>
          </cell>
          <cell r="W1319">
            <v>205</v>
          </cell>
          <cell r="X1319">
            <v>145</v>
          </cell>
          <cell r="Y1319">
            <v>195</v>
          </cell>
          <cell r="Z1319">
            <v>20</v>
          </cell>
          <cell r="AA1319">
            <v>10</v>
          </cell>
          <cell r="AB1319">
            <v>208</v>
          </cell>
          <cell r="AC1319">
            <v>180</v>
          </cell>
          <cell r="AD1319">
            <v>28</v>
          </cell>
          <cell r="AE1319">
            <v>370</v>
          </cell>
          <cell r="AF1319">
            <v>340</v>
          </cell>
          <cell r="AG1319">
            <v>30</v>
          </cell>
        </row>
        <row r="1320">
          <cell r="C1320">
            <v>126358</v>
          </cell>
          <cell r="D1320" t="str">
            <v>SURENDRA AUTOMOBILES</v>
          </cell>
          <cell r="E1320" t="str">
            <v>IOCL</v>
          </cell>
          <cell r="G1320" t="str">
            <v>Pune Tathawade RSA</v>
          </cell>
          <cell r="H1320">
            <v>25445</v>
          </cell>
          <cell r="I1320" t="str">
            <v>OPEN</v>
          </cell>
          <cell r="J1320" t="str">
            <v>MALEGAON</v>
          </cell>
          <cell r="K1320" t="str">
            <v>Pune</v>
          </cell>
          <cell r="L1320" t="str">
            <v>D2</v>
          </cell>
          <cell r="O1320" t="str">
            <v>B</v>
          </cell>
          <cell r="P1320">
            <v>62.5</v>
          </cell>
          <cell r="Q1320">
            <v>63.5</v>
          </cell>
          <cell r="R1320">
            <v>45.5</v>
          </cell>
          <cell r="S1320">
            <v>52.5</v>
          </cell>
          <cell r="T1320">
            <v>17</v>
          </cell>
          <cell r="U1320">
            <v>11</v>
          </cell>
          <cell r="V1320">
            <v>129</v>
          </cell>
          <cell r="W1320">
            <v>123</v>
          </cell>
          <cell r="X1320">
            <v>98</v>
          </cell>
          <cell r="Y1320">
            <v>112</v>
          </cell>
          <cell r="Z1320">
            <v>31</v>
          </cell>
          <cell r="AA1320">
            <v>11</v>
          </cell>
          <cell r="AB1320">
            <v>126</v>
          </cell>
          <cell r="AC1320">
            <v>98</v>
          </cell>
          <cell r="AD1320">
            <v>28</v>
          </cell>
          <cell r="AE1320">
            <v>252</v>
          </cell>
          <cell r="AF1320">
            <v>210</v>
          </cell>
          <cell r="AG1320">
            <v>42</v>
          </cell>
        </row>
        <row r="1321">
          <cell r="C1321">
            <v>126359</v>
          </cell>
          <cell r="D1321" t="str">
            <v>SHREE SEVA</v>
          </cell>
          <cell r="E1321" t="str">
            <v>IOCL</v>
          </cell>
          <cell r="G1321" t="str">
            <v>Pune City RSA</v>
          </cell>
          <cell r="H1321">
            <v>25353</v>
          </cell>
          <cell r="I1321" t="str">
            <v>OPEN</v>
          </cell>
          <cell r="J1321" t="str">
            <v>GANESH KHIND ROAD</v>
          </cell>
          <cell r="K1321" t="str">
            <v>Pune</v>
          </cell>
          <cell r="L1321" t="str">
            <v>A</v>
          </cell>
          <cell r="O1321" t="str">
            <v>B</v>
          </cell>
          <cell r="P1321">
            <v>90</v>
          </cell>
          <cell r="Q1321">
            <v>114</v>
          </cell>
          <cell r="R1321">
            <v>87</v>
          </cell>
          <cell r="S1321">
            <v>93</v>
          </cell>
          <cell r="T1321">
            <v>3</v>
          </cell>
          <cell r="U1321">
            <v>21</v>
          </cell>
          <cell r="V1321">
            <v>171</v>
          </cell>
          <cell r="W1321">
            <v>225</v>
          </cell>
          <cell r="X1321">
            <v>168</v>
          </cell>
          <cell r="Y1321">
            <v>156</v>
          </cell>
          <cell r="Z1321">
            <v>3</v>
          </cell>
          <cell r="AA1321">
            <v>69</v>
          </cell>
          <cell r="AB1321">
            <v>204</v>
          </cell>
          <cell r="AC1321">
            <v>180</v>
          </cell>
          <cell r="AD1321">
            <v>24</v>
          </cell>
          <cell r="AE1321">
            <v>396</v>
          </cell>
          <cell r="AF1321">
            <v>324</v>
          </cell>
          <cell r="AG1321">
            <v>72</v>
          </cell>
        </row>
        <row r="1322">
          <cell r="C1322">
            <v>126361</v>
          </cell>
          <cell r="D1322" t="str">
            <v>SHROFF PETROLEUM</v>
          </cell>
          <cell r="E1322" t="str">
            <v>IOCL</v>
          </cell>
          <cell r="G1322" t="str">
            <v>Pune Tathawade RSA</v>
          </cell>
          <cell r="H1322">
            <v>24411</v>
          </cell>
          <cell r="I1322" t="str">
            <v>OPEN</v>
          </cell>
          <cell r="J1322" t="str">
            <v>BARAMATI TOWN ON UNDEWADI ROAD</v>
          </cell>
          <cell r="K1322" t="str">
            <v>Pune</v>
          </cell>
          <cell r="L1322" t="str">
            <v>D1</v>
          </cell>
          <cell r="M1322" t="str">
            <v>NH-160</v>
          </cell>
          <cell r="O1322" t="str">
            <v>A</v>
          </cell>
          <cell r="P1322">
            <v>57</v>
          </cell>
          <cell r="Q1322">
            <v>63</v>
          </cell>
          <cell r="R1322">
            <v>51</v>
          </cell>
          <cell r="S1322">
            <v>57</v>
          </cell>
          <cell r="T1322">
            <v>6</v>
          </cell>
          <cell r="U1322">
            <v>6</v>
          </cell>
          <cell r="V1322">
            <v>117</v>
          </cell>
          <cell r="W1322">
            <v>111</v>
          </cell>
          <cell r="X1322">
            <v>117</v>
          </cell>
          <cell r="Y1322">
            <v>111</v>
          </cell>
          <cell r="Z1322">
            <v>0</v>
          </cell>
          <cell r="AA1322">
            <v>0</v>
          </cell>
          <cell r="AB1322">
            <v>120</v>
          </cell>
          <cell r="AC1322">
            <v>108</v>
          </cell>
          <cell r="AD1322">
            <v>12</v>
          </cell>
          <cell r="AE1322">
            <v>228</v>
          </cell>
          <cell r="AF1322">
            <v>228</v>
          </cell>
          <cell r="AG1322">
            <v>0</v>
          </cell>
        </row>
        <row r="1323">
          <cell r="C1323">
            <v>126362</v>
          </cell>
          <cell r="D1323" t="str">
            <v>SHAH &amp; CO.</v>
          </cell>
          <cell r="E1323" t="str">
            <v>IOCL</v>
          </cell>
          <cell r="G1323" t="str">
            <v>Pimpri Chinchwad RSA</v>
          </cell>
          <cell r="H1323">
            <v>28398</v>
          </cell>
          <cell r="I1323" t="str">
            <v>OPEN</v>
          </cell>
          <cell r="J1323" t="str">
            <v>CHAKAN NH-60 RHS</v>
          </cell>
          <cell r="K1323" t="str">
            <v>Pune</v>
          </cell>
          <cell r="L1323" t="str">
            <v>D1</v>
          </cell>
          <cell r="M1323" t="str">
            <v>NH-60</v>
          </cell>
          <cell r="O1323" t="str">
            <v>B</v>
          </cell>
          <cell r="P1323">
            <v>45</v>
          </cell>
          <cell r="Q1323">
            <v>71</v>
          </cell>
          <cell r="R1323">
            <v>50</v>
          </cell>
          <cell r="S1323">
            <v>66</v>
          </cell>
          <cell r="T1323">
            <v>-5</v>
          </cell>
          <cell r="U1323">
            <v>5</v>
          </cell>
          <cell r="V1323">
            <v>95</v>
          </cell>
          <cell r="W1323">
            <v>141</v>
          </cell>
          <cell r="X1323">
            <v>95</v>
          </cell>
          <cell r="Y1323">
            <v>137</v>
          </cell>
          <cell r="Z1323">
            <v>0</v>
          </cell>
          <cell r="AA1323">
            <v>4</v>
          </cell>
          <cell r="AB1323">
            <v>116</v>
          </cell>
          <cell r="AC1323">
            <v>116</v>
          </cell>
          <cell r="AD1323">
            <v>0</v>
          </cell>
          <cell r="AE1323">
            <v>236</v>
          </cell>
          <cell r="AF1323">
            <v>232</v>
          </cell>
          <cell r="AG1323">
            <v>4</v>
          </cell>
        </row>
        <row r="1324">
          <cell r="C1324">
            <v>126365</v>
          </cell>
          <cell r="D1324" t="str">
            <v>SHIV PRIYANKA PETROLEUM</v>
          </cell>
          <cell r="E1324" t="str">
            <v>IOCL</v>
          </cell>
          <cell r="G1324" t="str">
            <v>Pune Saswad RSA</v>
          </cell>
          <cell r="H1324">
            <v>33325</v>
          </cell>
          <cell r="I1324" t="str">
            <v>OPEN</v>
          </cell>
          <cell r="J1324" t="str">
            <v>Saswad-Jejuri Road</v>
          </cell>
          <cell r="K1324" t="str">
            <v>Pune</v>
          </cell>
          <cell r="L1324" t="str">
            <v>D1</v>
          </cell>
          <cell r="M1324" t="str">
            <v>NH-965</v>
          </cell>
          <cell r="O1324" t="str">
            <v>A</v>
          </cell>
          <cell r="P1324">
            <v>0</v>
          </cell>
          <cell r="Q1324">
            <v>12</v>
          </cell>
          <cell r="R1324">
            <v>0</v>
          </cell>
          <cell r="S1324">
            <v>0</v>
          </cell>
          <cell r="T1324">
            <v>0</v>
          </cell>
          <cell r="U1324">
            <v>12</v>
          </cell>
          <cell r="V1324">
            <v>0</v>
          </cell>
          <cell r="W1324">
            <v>12</v>
          </cell>
          <cell r="X1324">
            <v>0</v>
          </cell>
          <cell r="Y1324">
            <v>0</v>
          </cell>
          <cell r="Z1324">
            <v>0</v>
          </cell>
          <cell r="AA1324">
            <v>12</v>
          </cell>
          <cell r="AB1324">
            <v>12</v>
          </cell>
          <cell r="AC1324">
            <v>0</v>
          </cell>
          <cell r="AD1324">
            <v>12</v>
          </cell>
          <cell r="AE1324">
            <v>12</v>
          </cell>
          <cell r="AF1324">
            <v>0</v>
          </cell>
          <cell r="AG1324">
            <v>12</v>
          </cell>
        </row>
        <row r="1325">
          <cell r="C1325">
            <v>126366</v>
          </cell>
          <cell r="D1325" t="str">
            <v>SHRIRAM PETROLEUM</v>
          </cell>
          <cell r="E1325" t="str">
            <v>IOCL</v>
          </cell>
          <cell r="G1325" t="str">
            <v>Pune Tathawade RSA</v>
          </cell>
          <cell r="H1325">
            <v>24912</v>
          </cell>
          <cell r="I1325" t="str">
            <v>OPEN</v>
          </cell>
          <cell r="J1325" t="str">
            <v>JAMBHULWADI TO KHED SHIVAPUR</v>
          </cell>
          <cell r="K1325" t="str">
            <v>Pune</v>
          </cell>
          <cell r="L1325" t="str">
            <v>D1</v>
          </cell>
          <cell r="M1325" t="str">
            <v>NH-48</v>
          </cell>
          <cell r="O1325" t="str">
            <v>A</v>
          </cell>
          <cell r="P1325">
            <v>95</v>
          </cell>
          <cell r="Q1325">
            <v>253</v>
          </cell>
          <cell r="R1325">
            <v>85</v>
          </cell>
          <cell r="S1325">
            <v>235</v>
          </cell>
          <cell r="T1325">
            <v>10</v>
          </cell>
          <cell r="U1325">
            <v>18</v>
          </cell>
          <cell r="V1325">
            <v>175</v>
          </cell>
          <cell r="W1325">
            <v>533</v>
          </cell>
          <cell r="X1325">
            <v>155</v>
          </cell>
          <cell r="Y1325">
            <v>425</v>
          </cell>
          <cell r="Z1325">
            <v>20</v>
          </cell>
          <cell r="AA1325">
            <v>108</v>
          </cell>
          <cell r="AB1325">
            <v>348</v>
          </cell>
          <cell r="AC1325">
            <v>320</v>
          </cell>
          <cell r="AD1325">
            <v>28</v>
          </cell>
          <cell r="AE1325">
            <v>708</v>
          </cell>
          <cell r="AF1325">
            <v>580</v>
          </cell>
          <cell r="AG1325">
            <v>128</v>
          </cell>
        </row>
        <row r="1326">
          <cell r="C1326">
            <v>126368</v>
          </cell>
          <cell r="D1326" t="str">
            <v>UNITY OIL &amp; TR SERVICES</v>
          </cell>
          <cell r="E1326" t="str">
            <v>IOCL</v>
          </cell>
          <cell r="G1326" t="str">
            <v>Satara East RSA</v>
          </cell>
          <cell r="H1326">
            <v>25874</v>
          </cell>
          <cell r="I1326" t="str">
            <v>OPEN</v>
          </cell>
          <cell r="J1326" t="str">
            <v>Phalton</v>
          </cell>
          <cell r="K1326" t="str">
            <v>Satara</v>
          </cell>
          <cell r="L1326" t="str">
            <v>D1</v>
          </cell>
          <cell r="M1326" t="str">
            <v>NH-965</v>
          </cell>
          <cell r="O1326" t="str">
            <v>B</v>
          </cell>
          <cell r="P1326">
            <v>175</v>
          </cell>
          <cell r="Q1326">
            <v>253</v>
          </cell>
          <cell r="R1326">
            <v>157</v>
          </cell>
          <cell r="S1326">
            <v>215</v>
          </cell>
          <cell r="T1326">
            <v>18</v>
          </cell>
          <cell r="U1326">
            <v>38</v>
          </cell>
          <cell r="V1326">
            <v>311</v>
          </cell>
          <cell r="W1326">
            <v>437</v>
          </cell>
          <cell r="X1326">
            <v>301</v>
          </cell>
          <cell r="Y1326">
            <v>427</v>
          </cell>
          <cell r="Z1326">
            <v>10</v>
          </cell>
          <cell r="AA1326">
            <v>10</v>
          </cell>
          <cell r="AB1326">
            <v>428</v>
          </cell>
          <cell r="AC1326">
            <v>372</v>
          </cell>
          <cell r="AD1326">
            <v>56</v>
          </cell>
          <cell r="AE1326">
            <v>748</v>
          </cell>
          <cell r="AF1326">
            <v>728</v>
          </cell>
          <cell r="AG1326">
            <v>20</v>
          </cell>
        </row>
        <row r="1327">
          <cell r="C1327">
            <v>126369</v>
          </cell>
          <cell r="D1327" t="str">
            <v>Uttam Agencies</v>
          </cell>
          <cell r="E1327" t="str">
            <v>IOCL</v>
          </cell>
          <cell r="G1327" t="str">
            <v>Ahmednagar East RSA</v>
          </cell>
          <cell r="H1327">
            <v>28352</v>
          </cell>
          <cell r="I1327" t="str">
            <v>OPEN</v>
          </cell>
          <cell r="J1327" t="str">
            <v>Sonai</v>
          </cell>
          <cell r="K1327" t="str">
            <v>Ahmednagar</v>
          </cell>
          <cell r="L1327" t="str">
            <v>D2</v>
          </cell>
          <cell r="O1327" t="str">
            <v>B</v>
          </cell>
          <cell r="P1327">
            <v>110</v>
          </cell>
          <cell r="Q1327">
            <v>130</v>
          </cell>
          <cell r="R1327">
            <v>75</v>
          </cell>
          <cell r="S1327">
            <v>105</v>
          </cell>
          <cell r="T1327">
            <v>35</v>
          </cell>
          <cell r="U1327">
            <v>25</v>
          </cell>
          <cell r="V1327">
            <v>170</v>
          </cell>
          <cell r="W1327">
            <v>226</v>
          </cell>
          <cell r="X1327">
            <v>150</v>
          </cell>
          <cell r="Y1327">
            <v>210</v>
          </cell>
          <cell r="Z1327">
            <v>20</v>
          </cell>
          <cell r="AA1327">
            <v>16</v>
          </cell>
          <cell r="AB1327">
            <v>240</v>
          </cell>
          <cell r="AC1327">
            <v>180</v>
          </cell>
          <cell r="AD1327">
            <v>60</v>
          </cell>
          <cell r="AE1327">
            <v>396</v>
          </cell>
          <cell r="AF1327">
            <v>360</v>
          </cell>
          <cell r="AG1327">
            <v>36</v>
          </cell>
        </row>
        <row r="1328">
          <cell r="C1328">
            <v>126370</v>
          </cell>
          <cell r="D1328" t="str">
            <v>VAIBHAV SERVICE CENTER</v>
          </cell>
          <cell r="E1328" t="str">
            <v>IOCL</v>
          </cell>
          <cell r="G1328" t="str">
            <v>Pimpri Chinchwad RSA</v>
          </cell>
          <cell r="H1328">
            <v>25932</v>
          </cell>
          <cell r="I1328" t="str">
            <v>OPEN</v>
          </cell>
          <cell r="J1328" t="str">
            <v>CHAKAN NH-60 LHS</v>
          </cell>
          <cell r="K1328" t="str">
            <v>Pune</v>
          </cell>
          <cell r="L1328" t="str">
            <v>D1</v>
          </cell>
          <cell r="M1328" t="str">
            <v>NH-60</v>
          </cell>
          <cell r="O1328" t="str">
            <v>A</v>
          </cell>
          <cell r="P1328">
            <v>93</v>
          </cell>
          <cell r="Q1328">
            <v>447</v>
          </cell>
          <cell r="R1328">
            <v>84</v>
          </cell>
          <cell r="S1328">
            <v>408</v>
          </cell>
          <cell r="T1328">
            <v>9</v>
          </cell>
          <cell r="U1328">
            <v>39</v>
          </cell>
          <cell r="V1328">
            <v>171</v>
          </cell>
          <cell r="W1328">
            <v>949</v>
          </cell>
          <cell r="X1328">
            <v>144</v>
          </cell>
          <cell r="Y1328">
            <v>832</v>
          </cell>
          <cell r="Z1328">
            <v>27</v>
          </cell>
          <cell r="AA1328">
            <v>117</v>
          </cell>
          <cell r="AB1328">
            <v>540</v>
          </cell>
          <cell r="AC1328">
            <v>492</v>
          </cell>
          <cell r="AD1328">
            <v>48</v>
          </cell>
          <cell r="AE1328">
            <v>1120</v>
          </cell>
          <cell r="AF1328">
            <v>976</v>
          </cell>
          <cell r="AG1328">
            <v>144</v>
          </cell>
        </row>
        <row r="1329">
          <cell r="C1329">
            <v>126372</v>
          </cell>
          <cell r="D1329" t="str">
            <v>VIKRAM AUTOMOBILES</v>
          </cell>
          <cell r="E1329" t="str">
            <v>IOCL</v>
          </cell>
          <cell r="G1329" t="str">
            <v>Satara East RSA</v>
          </cell>
          <cell r="H1329">
            <v>32539</v>
          </cell>
          <cell r="I1329" t="str">
            <v>SC</v>
          </cell>
          <cell r="J1329" t="str">
            <v>Barad</v>
          </cell>
          <cell r="K1329" t="str">
            <v>Satara</v>
          </cell>
          <cell r="L1329" t="str">
            <v>D1</v>
          </cell>
          <cell r="M1329" t="str">
            <v>NH-965</v>
          </cell>
          <cell r="O1329" t="str">
            <v>B</v>
          </cell>
          <cell r="P1329">
            <v>21</v>
          </cell>
          <cell r="Q1329">
            <v>51</v>
          </cell>
          <cell r="R1329">
            <v>28</v>
          </cell>
          <cell r="S1329">
            <v>34</v>
          </cell>
          <cell r="T1329">
            <v>-7</v>
          </cell>
          <cell r="U1329">
            <v>17</v>
          </cell>
          <cell r="V1329">
            <v>36</v>
          </cell>
          <cell r="W1329">
            <v>72</v>
          </cell>
          <cell r="X1329">
            <v>52</v>
          </cell>
          <cell r="Y1329">
            <v>70</v>
          </cell>
          <cell r="Z1329">
            <v>-16</v>
          </cell>
          <cell r="AA1329">
            <v>2</v>
          </cell>
          <cell r="AB1329">
            <v>72</v>
          </cell>
          <cell r="AC1329">
            <v>62</v>
          </cell>
          <cell r="AD1329">
            <v>10</v>
          </cell>
          <cell r="AE1329">
            <v>108</v>
          </cell>
          <cell r="AF1329">
            <v>122</v>
          </cell>
          <cell r="AG1329">
            <v>-14</v>
          </cell>
        </row>
        <row r="1330">
          <cell r="C1330">
            <v>126373</v>
          </cell>
          <cell r="D1330" t="str">
            <v>YADAV SERVICE STATION-LOHEGAON</v>
          </cell>
          <cell r="E1330" t="str">
            <v>IOCL</v>
          </cell>
          <cell r="G1330" t="str">
            <v>Pune City RSA</v>
          </cell>
          <cell r="H1330">
            <v>29885</v>
          </cell>
          <cell r="I1330" t="str">
            <v>DEF (OPEN)</v>
          </cell>
          <cell r="J1330" t="str">
            <v>VADGAON SHERI</v>
          </cell>
          <cell r="K1330" t="str">
            <v>Pune</v>
          </cell>
          <cell r="L1330" t="str">
            <v>A</v>
          </cell>
          <cell r="O1330" t="str">
            <v>B</v>
          </cell>
          <cell r="P1330">
            <v>394</v>
          </cell>
          <cell r="Q1330">
            <v>690</v>
          </cell>
          <cell r="R1330">
            <v>352</v>
          </cell>
          <cell r="S1330">
            <v>998</v>
          </cell>
          <cell r="T1330">
            <v>42</v>
          </cell>
          <cell r="U1330">
            <v>-308</v>
          </cell>
          <cell r="V1330">
            <v>768</v>
          </cell>
          <cell r="W1330">
            <v>1426</v>
          </cell>
          <cell r="X1330">
            <v>686</v>
          </cell>
          <cell r="Y1330">
            <v>2016</v>
          </cell>
          <cell r="Z1330">
            <v>82</v>
          </cell>
          <cell r="AA1330">
            <v>-590</v>
          </cell>
          <cell r="AB1330">
            <v>1084</v>
          </cell>
          <cell r="AC1330">
            <v>1350</v>
          </cell>
          <cell r="AD1330">
            <v>-266</v>
          </cell>
          <cell r="AE1330">
            <v>2194</v>
          </cell>
          <cell r="AF1330">
            <v>2702</v>
          </cell>
          <cell r="AG1330">
            <v>-508</v>
          </cell>
        </row>
        <row r="1331">
          <cell r="C1331">
            <v>126379</v>
          </cell>
          <cell r="D1331" t="str">
            <v>BEGAWALA FL.STN.</v>
          </cell>
          <cell r="E1331" t="str">
            <v>IOCL</v>
          </cell>
          <cell r="G1331" t="str">
            <v>Pune Tathawade RSA</v>
          </cell>
          <cell r="H1331">
            <v>30375</v>
          </cell>
          <cell r="I1331" t="str">
            <v>OPEN</v>
          </cell>
          <cell r="J1331" t="str">
            <v>KAMSHET TO VADGAON</v>
          </cell>
          <cell r="K1331" t="str">
            <v>Pune</v>
          </cell>
          <cell r="L1331" t="str">
            <v>D1</v>
          </cell>
          <cell r="M1331" t="str">
            <v>NH-48</v>
          </cell>
          <cell r="O1331" t="str">
            <v>B</v>
          </cell>
          <cell r="P1331">
            <v>91</v>
          </cell>
          <cell r="Q1331">
            <v>229</v>
          </cell>
          <cell r="R1331">
            <v>70</v>
          </cell>
          <cell r="S1331">
            <v>226</v>
          </cell>
          <cell r="T1331">
            <v>21</v>
          </cell>
          <cell r="U1331">
            <v>3</v>
          </cell>
          <cell r="V1331">
            <v>166</v>
          </cell>
          <cell r="W1331">
            <v>426</v>
          </cell>
          <cell r="X1331">
            <v>145</v>
          </cell>
          <cell r="Y1331">
            <v>451</v>
          </cell>
          <cell r="Z1331">
            <v>21</v>
          </cell>
          <cell r="AA1331">
            <v>-25</v>
          </cell>
          <cell r="AB1331">
            <v>320</v>
          </cell>
          <cell r="AC1331">
            <v>296</v>
          </cell>
          <cell r="AD1331">
            <v>24</v>
          </cell>
          <cell r="AE1331">
            <v>592</v>
          </cell>
          <cell r="AF1331">
            <v>596</v>
          </cell>
          <cell r="AG1331">
            <v>-4</v>
          </cell>
        </row>
        <row r="1332">
          <cell r="C1332">
            <v>126402</v>
          </cell>
          <cell r="D1332" t="str">
            <v>POONAMPETROLEUMCO. MS DEALER</v>
          </cell>
          <cell r="E1332" t="str">
            <v>IOCL</v>
          </cell>
          <cell r="G1332" t="str">
            <v>Pune Tathawade RSA</v>
          </cell>
          <cell r="H1332">
            <v>28094</v>
          </cell>
          <cell r="I1332" t="str">
            <v>OPEN</v>
          </cell>
          <cell r="J1332" t="str">
            <v>VADGAON TO KAMSHET</v>
          </cell>
          <cell r="K1332" t="str">
            <v>Pune</v>
          </cell>
          <cell r="L1332" t="str">
            <v>D1</v>
          </cell>
          <cell r="M1332" t="str">
            <v>NH-48</v>
          </cell>
          <cell r="O1332" t="str">
            <v>A</v>
          </cell>
          <cell r="P1332">
            <v>100</v>
          </cell>
          <cell r="Q1332">
            <v>380</v>
          </cell>
          <cell r="R1332">
            <v>80</v>
          </cell>
          <cell r="S1332">
            <v>388</v>
          </cell>
          <cell r="T1332">
            <v>20</v>
          </cell>
          <cell r="U1332">
            <v>-8</v>
          </cell>
          <cell r="V1332">
            <v>175</v>
          </cell>
          <cell r="W1332">
            <v>685</v>
          </cell>
          <cell r="X1332">
            <v>145</v>
          </cell>
          <cell r="Y1332">
            <v>707</v>
          </cell>
          <cell r="Z1332">
            <v>30</v>
          </cell>
          <cell r="AA1332">
            <v>-22</v>
          </cell>
          <cell r="AB1332">
            <v>480</v>
          </cell>
          <cell r="AC1332">
            <v>468</v>
          </cell>
          <cell r="AD1332">
            <v>12</v>
          </cell>
          <cell r="AE1332">
            <v>860</v>
          </cell>
          <cell r="AF1332">
            <v>852</v>
          </cell>
          <cell r="AG1332">
            <v>8</v>
          </cell>
        </row>
        <row r="1333">
          <cell r="C1333">
            <v>132007</v>
          </cell>
          <cell r="D1333" t="str">
            <v>NEW AUTO CORNER-SOMATANE</v>
          </cell>
          <cell r="E1333" t="str">
            <v>IOCL</v>
          </cell>
          <cell r="G1333" t="str">
            <v>Pune Tathawade RSA</v>
          </cell>
          <cell r="H1333">
            <v>34505</v>
          </cell>
          <cell r="I1333" t="str">
            <v>OPEN</v>
          </cell>
          <cell r="J1333" t="str">
            <v>DEHU ROAD TO TALEGAON DABHADE</v>
          </cell>
          <cell r="K1333" t="str">
            <v>Pune</v>
          </cell>
          <cell r="L1333" t="str">
            <v>D1</v>
          </cell>
          <cell r="M1333" t="str">
            <v>NH-48</v>
          </cell>
          <cell r="O1333" t="str">
            <v>B</v>
          </cell>
          <cell r="P1333">
            <v>166</v>
          </cell>
          <cell r="Q1333">
            <v>246</v>
          </cell>
          <cell r="R1333">
            <v>0</v>
          </cell>
          <cell r="S1333">
            <v>0</v>
          </cell>
          <cell r="T1333">
            <v>166</v>
          </cell>
          <cell r="U1333">
            <v>246</v>
          </cell>
          <cell r="V1333">
            <v>298</v>
          </cell>
          <cell r="W1333">
            <v>454</v>
          </cell>
          <cell r="X1333">
            <v>0</v>
          </cell>
          <cell r="Y1333">
            <v>0</v>
          </cell>
          <cell r="Z1333">
            <v>298</v>
          </cell>
          <cell r="AA1333">
            <v>454</v>
          </cell>
          <cell r="AB1333">
            <v>412</v>
          </cell>
          <cell r="AC1333">
            <v>0</v>
          </cell>
          <cell r="AD1333">
            <v>412</v>
          </cell>
          <cell r="AE1333">
            <v>752</v>
          </cell>
          <cell r="AF1333">
            <v>0</v>
          </cell>
          <cell r="AG1333">
            <v>752</v>
          </cell>
        </row>
        <row r="1334">
          <cell r="C1334">
            <v>133329</v>
          </cell>
          <cell r="D1334" t="str">
            <v>BADIYANI BROTHERS-KARAD</v>
          </cell>
          <cell r="E1334" t="str">
            <v>IOCL</v>
          </cell>
          <cell r="G1334" t="str">
            <v>Satara West RSA</v>
          </cell>
          <cell r="H1334">
            <v>24164</v>
          </cell>
          <cell r="I1334" t="str">
            <v>OPEN</v>
          </cell>
          <cell r="J1334" t="str">
            <v>KARAD ON NH 48 RHS</v>
          </cell>
          <cell r="K1334" t="str">
            <v>Satara</v>
          </cell>
          <cell r="L1334" t="str">
            <v>D1</v>
          </cell>
          <cell r="M1334" t="str">
            <v>NH-48</v>
          </cell>
          <cell r="O1334" t="str">
            <v>B</v>
          </cell>
          <cell r="P1334">
            <v>66.5</v>
          </cell>
          <cell r="Q1334">
            <v>143.5</v>
          </cell>
          <cell r="R1334">
            <v>59.5</v>
          </cell>
          <cell r="S1334">
            <v>108.5</v>
          </cell>
          <cell r="T1334">
            <v>7</v>
          </cell>
          <cell r="U1334">
            <v>35</v>
          </cell>
          <cell r="V1334">
            <v>126</v>
          </cell>
          <cell r="W1334">
            <v>280</v>
          </cell>
          <cell r="X1334">
            <v>108.5</v>
          </cell>
          <cell r="Y1334">
            <v>213.5</v>
          </cell>
          <cell r="Z1334">
            <v>17.5</v>
          </cell>
          <cell r="AA1334">
            <v>66.5</v>
          </cell>
          <cell r="AB1334">
            <v>210</v>
          </cell>
          <cell r="AC1334">
            <v>168</v>
          </cell>
          <cell r="AD1334">
            <v>42</v>
          </cell>
          <cell r="AE1334">
            <v>406</v>
          </cell>
          <cell r="AF1334">
            <v>322</v>
          </cell>
          <cell r="AG1334">
            <v>84</v>
          </cell>
        </row>
        <row r="1335">
          <cell r="C1335">
            <v>133393</v>
          </cell>
          <cell r="D1335" t="str">
            <v>NAMRATA SERVICE CENTRE</v>
          </cell>
          <cell r="E1335" t="str">
            <v>IOCL</v>
          </cell>
          <cell r="G1335" t="str">
            <v>Pune Saswad RSA</v>
          </cell>
          <cell r="H1335">
            <v>34942</v>
          </cell>
          <cell r="I1335" t="str">
            <v>SC</v>
          </cell>
          <cell r="J1335" t="str">
            <v>Jejuri - Nira Road</v>
          </cell>
          <cell r="K1335" t="str">
            <v>Pune</v>
          </cell>
          <cell r="L1335" t="str">
            <v>D1</v>
          </cell>
          <cell r="M1335" t="str">
            <v>NH-965</v>
          </cell>
          <cell r="O1335" t="str">
            <v>A</v>
          </cell>
          <cell r="P1335">
            <v>8</v>
          </cell>
          <cell r="Q1335">
            <v>20</v>
          </cell>
          <cell r="R1335">
            <v>0</v>
          </cell>
          <cell r="S1335">
            <v>0</v>
          </cell>
          <cell r="T1335">
            <v>8</v>
          </cell>
          <cell r="U1335">
            <v>20</v>
          </cell>
          <cell r="V1335">
            <v>8</v>
          </cell>
          <cell r="W1335">
            <v>20</v>
          </cell>
          <cell r="X1335">
            <v>0</v>
          </cell>
          <cell r="Y1335">
            <v>0</v>
          </cell>
          <cell r="Z1335">
            <v>8</v>
          </cell>
          <cell r="AA1335">
            <v>20</v>
          </cell>
          <cell r="AB1335">
            <v>28</v>
          </cell>
          <cell r="AC1335">
            <v>0</v>
          </cell>
          <cell r="AD1335">
            <v>28</v>
          </cell>
          <cell r="AE1335">
            <v>28</v>
          </cell>
          <cell r="AF1335">
            <v>0</v>
          </cell>
          <cell r="AG1335">
            <v>28</v>
          </cell>
        </row>
        <row r="1336">
          <cell r="C1336">
            <v>133421</v>
          </cell>
          <cell r="D1336" t="str">
            <v>SUBHASH SERVICE STATION</v>
          </cell>
          <cell r="E1336" t="str">
            <v>IOCL</v>
          </cell>
          <cell r="G1336" t="str">
            <v>Pune Saswad RSA</v>
          </cell>
          <cell r="H1336">
            <v>31866</v>
          </cell>
          <cell r="I1336" t="str">
            <v>ST</v>
          </cell>
          <cell r="J1336" t="str">
            <v>WALCHANDNAGAR</v>
          </cell>
          <cell r="K1336" t="str">
            <v>Pune</v>
          </cell>
          <cell r="L1336" t="str">
            <v>D2</v>
          </cell>
          <cell r="O1336" t="str">
            <v>B</v>
          </cell>
          <cell r="P1336">
            <v>57</v>
          </cell>
          <cell r="Q1336">
            <v>99</v>
          </cell>
          <cell r="R1336">
            <v>48</v>
          </cell>
          <cell r="S1336">
            <v>60</v>
          </cell>
          <cell r="T1336">
            <v>9</v>
          </cell>
          <cell r="U1336">
            <v>39</v>
          </cell>
          <cell r="V1336">
            <v>108</v>
          </cell>
          <cell r="W1336">
            <v>180</v>
          </cell>
          <cell r="X1336">
            <v>99</v>
          </cell>
          <cell r="Y1336">
            <v>129</v>
          </cell>
          <cell r="Z1336">
            <v>9</v>
          </cell>
          <cell r="AA1336">
            <v>51</v>
          </cell>
          <cell r="AB1336">
            <v>156</v>
          </cell>
          <cell r="AC1336">
            <v>108</v>
          </cell>
          <cell r="AD1336">
            <v>48</v>
          </cell>
          <cell r="AE1336">
            <v>288</v>
          </cell>
          <cell r="AF1336">
            <v>228</v>
          </cell>
          <cell r="AG1336">
            <v>60</v>
          </cell>
        </row>
        <row r="1337">
          <cell r="C1337">
            <v>135442</v>
          </cell>
          <cell r="D1337" t="str">
            <v>GANGA AUTO SERVICES-HADAPSAR</v>
          </cell>
          <cell r="E1337" t="str">
            <v>IOCL</v>
          </cell>
          <cell r="G1337" t="str">
            <v>Pune Hadapsar RSA</v>
          </cell>
          <cell r="H1337">
            <v>25996</v>
          </cell>
          <cell r="I1337" t="str">
            <v>DEF (OPEN)</v>
          </cell>
          <cell r="J1337" t="str">
            <v>Hadapsar RHS</v>
          </cell>
          <cell r="K1337" t="str">
            <v>Pune</v>
          </cell>
          <cell r="L1337" t="str">
            <v>A</v>
          </cell>
          <cell r="O1337" t="str">
            <v>A</v>
          </cell>
          <cell r="P1337">
            <v>128</v>
          </cell>
          <cell r="Q1337">
            <v>90</v>
          </cell>
          <cell r="R1337">
            <v>130</v>
          </cell>
          <cell r="S1337">
            <v>82</v>
          </cell>
          <cell r="T1337">
            <v>-2</v>
          </cell>
          <cell r="U1337">
            <v>8</v>
          </cell>
          <cell r="V1337">
            <v>251.5</v>
          </cell>
          <cell r="W1337">
            <v>168.5</v>
          </cell>
          <cell r="X1337">
            <v>259</v>
          </cell>
          <cell r="Y1337">
            <v>151</v>
          </cell>
          <cell r="Z1337">
            <v>-7.5</v>
          </cell>
          <cell r="AA1337">
            <v>17.5</v>
          </cell>
          <cell r="AB1337">
            <v>218</v>
          </cell>
          <cell r="AC1337">
            <v>212</v>
          </cell>
          <cell r="AD1337">
            <v>6</v>
          </cell>
          <cell r="AE1337">
            <v>420</v>
          </cell>
          <cell r="AF1337">
            <v>410</v>
          </cell>
          <cell r="AG1337">
            <v>10</v>
          </cell>
        </row>
        <row r="1338">
          <cell r="C1338">
            <v>135609</v>
          </cell>
          <cell r="D1338" t="str">
            <v>DEHU SERVICE STATION</v>
          </cell>
          <cell r="E1338" t="str">
            <v>IOCL</v>
          </cell>
          <cell r="G1338" t="str">
            <v>Pimpri Chinchwad RSA</v>
          </cell>
          <cell r="H1338">
            <v>24500</v>
          </cell>
          <cell r="I1338" t="str">
            <v>OPEN</v>
          </cell>
          <cell r="J1338" t="str">
            <v>Dehu Road</v>
          </cell>
          <cell r="K1338" t="str">
            <v>Pune</v>
          </cell>
          <cell r="L1338" t="str">
            <v>C</v>
          </cell>
          <cell r="O1338" t="str">
            <v>B</v>
          </cell>
          <cell r="P1338">
            <v>220</v>
          </cell>
          <cell r="Q1338">
            <v>80</v>
          </cell>
          <cell r="R1338">
            <v>243</v>
          </cell>
          <cell r="S1338">
            <v>78</v>
          </cell>
          <cell r="T1338">
            <v>-23</v>
          </cell>
          <cell r="U1338">
            <v>2</v>
          </cell>
          <cell r="V1338">
            <v>445</v>
          </cell>
          <cell r="W1338">
            <v>155</v>
          </cell>
          <cell r="X1338">
            <v>483.5</v>
          </cell>
          <cell r="Y1338">
            <v>149.5</v>
          </cell>
          <cell r="Z1338">
            <v>-38.5</v>
          </cell>
          <cell r="AA1338">
            <v>5.5</v>
          </cell>
          <cell r="AB1338">
            <v>300</v>
          </cell>
          <cell r="AC1338">
            <v>321</v>
          </cell>
          <cell r="AD1338">
            <v>-21</v>
          </cell>
          <cell r="AE1338">
            <v>600</v>
          </cell>
          <cell r="AF1338">
            <v>633</v>
          </cell>
          <cell r="AG1338">
            <v>-33</v>
          </cell>
        </row>
        <row r="1339">
          <cell r="C1339">
            <v>135645</v>
          </cell>
          <cell r="D1339" t="str">
            <v>SHRI SWAMI SAMARTH AUTO -KHARABWADI</v>
          </cell>
          <cell r="E1339" t="str">
            <v>IOCL</v>
          </cell>
          <cell r="G1339" t="str">
            <v>Pimpri Chinchwad RSA</v>
          </cell>
          <cell r="H1339">
            <v>37863</v>
          </cell>
          <cell r="I1339" t="str">
            <v>OPEN (W)</v>
          </cell>
          <cell r="J1339" t="str">
            <v>Kharabwadi</v>
          </cell>
          <cell r="K1339" t="str">
            <v>Pune</v>
          </cell>
          <cell r="L1339" t="str">
            <v>D1</v>
          </cell>
          <cell r="M1339" t="str">
            <v>NH-548D</v>
          </cell>
          <cell r="O1339" t="str">
            <v>A</v>
          </cell>
          <cell r="P1339">
            <v>105</v>
          </cell>
          <cell r="Q1339">
            <v>1349</v>
          </cell>
          <cell r="R1339">
            <v>85</v>
          </cell>
          <cell r="S1339">
            <v>1384</v>
          </cell>
          <cell r="T1339">
            <v>20</v>
          </cell>
          <cell r="U1339">
            <v>-35</v>
          </cell>
          <cell r="V1339">
            <v>200</v>
          </cell>
          <cell r="W1339">
            <v>2762</v>
          </cell>
          <cell r="X1339">
            <v>170</v>
          </cell>
          <cell r="Y1339">
            <v>2655</v>
          </cell>
          <cell r="Z1339">
            <v>30</v>
          </cell>
          <cell r="AA1339">
            <v>107</v>
          </cell>
          <cell r="AB1339">
            <v>1454</v>
          </cell>
          <cell r="AC1339">
            <v>1469</v>
          </cell>
          <cell r="AD1339">
            <v>-15</v>
          </cell>
          <cell r="AE1339">
            <v>2962</v>
          </cell>
          <cell r="AF1339">
            <v>2825</v>
          </cell>
          <cell r="AG1339">
            <v>137</v>
          </cell>
        </row>
        <row r="1340">
          <cell r="C1340">
            <v>135649</v>
          </cell>
          <cell r="D1340" t="str">
            <v>ABHAY PETROL PUMP-SANSAR</v>
          </cell>
          <cell r="E1340" t="str">
            <v>IOCL</v>
          </cell>
          <cell r="G1340" t="str">
            <v>Pune Hadapsar RSA</v>
          </cell>
          <cell r="H1340">
            <v>25568</v>
          </cell>
          <cell r="I1340" t="str">
            <v>OPEN</v>
          </cell>
          <cell r="J1340" t="str">
            <v>Varvand LHS</v>
          </cell>
          <cell r="K1340" t="str">
            <v>Pune</v>
          </cell>
          <cell r="L1340" t="str">
            <v>D1</v>
          </cell>
          <cell r="M1340" t="str">
            <v>NH-65</v>
          </cell>
          <cell r="O1340" t="str">
            <v>B</v>
          </cell>
          <cell r="P1340">
            <v>8.5</v>
          </cell>
          <cell r="Q1340">
            <v>123.5</v>
          </cell>
          <cell r="R1340">
            <v>6</v>
          </cell>
          <cell r="S1340">
            <v>18</v>
          </cell>
          <cell r="T1340">
            <v>2.5</v>
          </cell>
          <cell r="U1340">
            <v>105.5</v>
          </cell>
          <cell r="V1340">
            <v>16.5</v>
          </cell>
          <cell r="W1340">
            <v>221.5</v>
          </cell>
          <cell r="X1340">
            <v>9</v>
          </cell>
          <cell r="Y1340">
            <v>39</v>
          </cell>
          <cell r="Z1340">
            <v>7.5</v>
          </cell>
          <cell r="AA1340">
            <v>182.5</v>
          </cell>
          <cell r="AB1340">
            <v>132</v>
          </cell>
          <cell r="AC1340">
            <v>24</v>
          </cell>
          <cell r="AD1340">
            <v>108</v>
          </cell>
          <cell r="AE1340">
            <v>238</v>
          </cell>
          <cell r="AF1340">
            <v>48</v>
          </cell>
          <cell r="AG1340">
            <v>190</v>
          </cell>
        </row>
        <row r="1341">
          <cell r="C1341">
            <v>135698</v>
          </cell>
          <cell r="D1341" t="str">
            <v>PREMCHAND RATANCHAND &amp; CO.-PIMPRI</v>
          </cell>
          <cell r="E1341" t="str">
            <v>IOCL</v>
          </cell>
          <cell r="G1341" t="str">
            <v>Pune City RSA</v>
          </cell>
          <cell r="H1341">
            <v>24133</v>
          </cell>
          <cell r="I1341" t="str">
            <v>OPEN</v>
          </cell>
          <cell r="J1341" t="str">
            <v>Pimpri</v>
          </cell>
          <cell r="K1341" t="str">
            <v>Pune</v>
          </cell>
          <cell r="L1341" t="str">
            <v>A</v>
          </cell>
          <cell r="O1341" t="str">
            <v>A</v>
          </cell>
          <cell r="P1341">
            <v>93</v>
          </cell>
          <cell r="Q1341">
            <v>35</v>
          </cell>
          <cell r="R1341">
            <v>81</v>
          </cell>
          <cell r="S1341">
            <v>31</v>
          </cell>
          <cell r="T1341">
            <v>12</v>
          </cell>
          <cell r="U1341">
            <v>4</v>
          </cell>
          <cell r="V1341">
            <v>183</v>
          </cell>
          <cell r="W1341">
            <v>73</v>
          </cell>
          <cell r="X1341">
            <v>171</v>
          </cell>
          <cell r="Y1341">
            <v>65</v>
          </cell>
          <cell r="Z1341">
            <v>12</v>
          </cell>
          <cell r="AA1341">
            <v>8</v>
          </cell>
          <cell r="AB1341">
            <v>128</v>
          </cell>
          <cell r="AC1341">
            <v>112</v>
          </cell>
          <cell r="AD1341">
            <v>16</v>
          </cell>
          <cell r="AE1341">
            <v>256</v>
          </cell>
          <cell r="AF1341">
            <v>236</v>
          </cell>
          <cell r="AG1341">
            <v>20</v>
          </cell>
        </row>
        <row r="1342">
          <cell r="C1342">
            <v>141722</v>
          </cell>
          <cell r="D1342" t="str">
            <v>Samarth Petrol Pump-Talegaon</v>
          </cell>
          <cell r="E1342" t="str">
            <v>IOCL</v>
          </cell>
          <cell r="G1342" t="str">
            <v>Shirdi RSA</v>
          </cell>
          <cell r="H1342">
            <v>34935</v>
          </cell>
          <cell r="I1342" t="str">
            <v>PHP (OPEN)</v>
          </cell>
          <cell r="J1342" t="str">
            <v>TALEGAON SANGAMNER SH</v>
          </cell>
          <cell r="K1342" t="str">
            <v>Ahmednagar</v>
          </cell>
          <cell r="L1342" t="str">
            <v>D2</v>
          </cell>
          <cell r="O1342" t="str">
            <v>B</v>
          </cell>
          <cell r="P1342">
            <v>72</v>
          </cell>
          <cell r="Q1342">
            <v>176</v>
          </cell>
          <cell r="R1342">
            <v>43</v>
          </cell>
          <cell r="S1342">
            <v>97</v>
          </cell>
          <cell r="T1342">
            <v>29</v>
          </cell>
          <cell r="U1342">
            <v>79</v>
          </cell>
          <cell r="V1342">
            <v>119</v>
          </cell>
          <cell r="W1342">
            <v>305</v>
          </cell>
          <cell r="X1342">
            <v>82</v>
          </cell>
          <cell r="Y1342">
            <v>190</v>
          </cell>
          <cell r="Z1342">
            <v>37</v>
          </cell>
          <cell r="AA1342">
            <v>115</v>
          </cell>
          <cell r="AB1342">
            <v>248</v>
          </cell>
          <cell r="AC1342">
            <v>140</v>
          </cell>
          <cell r="AD1342">
            <v>108</v>
          </cell>
          <cell r="AE1342">
            <v>424</v>
          </cell>
          <cell r="AF1342">
            <v>272</v>
          </cell>
          <cell r="AG1342">
            <v>152</v>
          </cell>
        </row>
        <row r="1343">
          <cell r="C1343">
            <v>141790</v>
          </cell>
          <cell r="D1343" t="str">
            <v>Shri Sai Shivraj Petroleum</v>
          </cell>
          <cell r="E1343" t="str">
            <v>IOCL</v>
          </cell>
          <cell r="G1343" t="str">
            <v>Shirdi RSA</v>
          </cell>
          <cell r="H1343">
            <v>32233</v>
          </cell>
          <cell r="I1343" t="str">
            <v>SC</v>
          </cell>
          <cell r="J1343" t="str">
            <v>ASTAGAON</v>
          </cell>
          <cell r="K1343" t="str">
            <v>Ahmednagar</v>
          </cell>
          <cell r="L1343" t="str">
            <v>D1</v>
          </cell>
          <cell r="M1343" t="str">
            <v>NH-160</v>
          </cell>
          <cell r="O1343" t="str">
            <v>A</v>
          </cell>
          <cell r="P1343">
            <v>39</v>
          </cell>
          <cell r="Q1343">
            <v>105</v>
          </cell>
          <cell r="R1343">
            <v>30</v>
          </cell>
          <cell r="S1343">
            <v>54</v>
          </cell>
          <cell r="T1343">
            <v>9</v>
          </cell>
          <cell r="U1343">
            <v>51</v>
          </cell>
          <cell r="V1343">
            <v>60</v>
          </cell>
          <cell r="W1343">
            <v>168</v>
          </cell>
          <cell r="X1343">
            <v>51</v>
          </cell>
          <cell r="Y1343">
            <v>117</v>
          </cell>
          <cell r="Z1343">
            <v>9</v>
          </cell>
          <cell r="AA1343">
            <v>51</v>
          </cell>
          <cell r="AB1343">
            <v>144</v>
          </cell>
          <cell r="AC1343">
            <v>84</v>
          </cell>
          <cell r="AD1343">
            <v>60</v>
          </cell>
          <cell r="AE1343">
            <v>228</v>
          </cell>
          <cell r="AF1343">
            <v>168</v>
          </cell>
          <cell r="AG1343">
            <v>60</v>
          </cell>
        </row>
        <row r="1344">
          <cell r="C1344">
            <v>153499</v>
          </cell>
          <cell r="D1344" t="str">
            <v>Sewa Auto Centre</v>
          </cell>
          <cell r="E1344" t="str">
            <v>IOCL</v>
          </cell>
          <cell r="G1344" t="str">
            <v>Ahmednagar East RSA</v>
          </cell>
          <cell r="H1344">
            <v>25930</v>
          </cell>
          <cell r="I1344" t="str">
            <v>OPEN</v>
          </cell>
          <cell r="J1344" t="str">
            <v>Shevgaon</v>
          </cell>
          <cell r="K1344" t="str">
            <v>Ahmednagar</v>
          </cell>
          <cell r="L1344" t="str">
            <v>D2</v>
          </cell>
          <cell r="O1344" t="str">
            <v>B</v>
          </cell>
          <cell r="P1344">
            <v>72</v>
          </cell>
          <cell r="Q1344">
            <v>132</v>
          </cell>
          <cell r="R1344">
            <v>84</v>
          </cell>
          <cell r="S1344">
            <v>48</v>
          </cell>
          <cell r="T1344">
            <v>-12</v>
          </cell>
          <cell r="U1344">
            <v>84</v>
          </cell>
          <cell r="V1344">
            <v>142</v>
          </cell>
          <cell r="W1344">
            <v>182</v>
          </cell>
          <cell r="X1344">
            <v>148</v>
          </cell>
          <cell r="Y1344">
            <v>80</v>
          </cell>
          <cell r="Z1344">
            <v>-6</v>
          </cell>
          <cell r="AA1344">
            <v>102</v>
          </cell>
          <cell r="AB1344">
            <v>204</v>
          </cell>
          <cell r="AC1344">
            <v>132</v>
          </cell>
          <cell r="AD1344">
            <v>72</v>
          </cell>
          <cell r="AE1344">
            <v>324</v>
          </cell>
          <cell r="AF1344">
            <v>228</v>
          </cell>
          <cell r="AG1344">
            <v>96</v>
          </cell>
        </row>
        <row r="1345">
          <cell r="C1345">
            <v>162500</v>
          </cell>
          <cell r="D1345" t="str">
            <v>Ganesh Service Station</v>
          </cell>
          <cell r="E1345" t="str">
            <v>IOCL</v>
          </cell>
          <cell r="G1345" t="str">
            <v>Pune Wagholi RSA</v>
          </cell>
          <cell r="H1345">
            <v>38260</v>
          </cell>
          <cell r="I1345" t="str">
            <v>OPEN</v>
          </cell>
          <cell r="J1345" t="str">
            <v>LONIKAND to KOREGAON BHIMA RHS</v>
          </cell>
          <cell r="K1345" t="str">
            <v>Pune</v>
          </cell>
          <cell r="L1345" t="str">
            <v>D1</v>
          </cell>
          <cell r="M1345" t="str">
            <v>NH-753F</v>
          </cell>
          <cell r="O1345" t="str">
            <v>A</v>
          </cell>
          <cell r="P1345">
            <v>73.5</v>
          </cell>
          <cell r="Q1345">
            <v>220.5</v>
          </cell>
          <cell r="R1345">
            <v>66.5</v>
          </cell>
          <cell r="S1345">
            <v>255.5</v>
          </cell>
          <cell r="T1345">
            <v>7</v>
          </cell>
          <cell r="U1345">
            <v>-35</v>
          </cell>
          <cell r="V1345">
            <v>133</v>
          </cell>
          <cell r="W1345">
            <v>427</v>
          </cell>
          <cell r="X1345">
            <v>133</v>
          </cell>
          <cell r="Y1345">
            <v>455</v>
          </cell>
          <cell r="Z1345">
            <v>0</v>
          </cell>
          <cell r="AA1345">
            <v>-28</v>
          </cell>
          <cell r="AB1345">
            <v>294</v>
          </cell>
          <cell r="AC1345">
            <v>322</v>
          </cell>
          <cell r="AD1345">
            <v>-28</v>
          </cell>
          <cell r="AE1345">
            <v>560</v>
          </cell>
          <cell r="AF1345">
            <v>588</v>
          </cell>
          <cell r="AG1345">
            <v>-28</v>
          </cell>
        </row>
        <row r="1346">
          <cell r="C1346">
            <v>162505</v>
          </cell>
          <cell r="D1346" t="str">
            <v>Surya Petroleum</v>
          </cell>
          <cell r="E1346" t="str">
            <v>IOCL</v>
          </cell>
          <cell r="G1346" t="str">
            <v>Shirdi RSA</v>
          </cell>
          <cell r="H1346">
            <v>37986</v>
          </cell>
          <cell r="I1346" t="str">
            <v>OPEN</v>
          </cell>
          <cell r="J1346" t="str">
            <v>RAHURI NH</v>
          </cell>
          <cell r="K1346" t="str">
            <v>Ahmednagar</v>
          </cell>
          <cell r="L1346" t="str">
            <v>D1</v>
          </cell>
          <cell r="M1346" t="str">
            <v>NH-160</v>
          </cell>
          <cell r="O1346" t="str">
            <v>A</v>
          </cell>
          <cell r="P1346">
            <v>133</v>
          </cell>
          <cell r="Q1346">
            <v>245</v>
          </cell>
          <cell r="R1346">
            <v>98</v>
          </cell>
          <cell r="S1346">
            <v>126</v>
          </cell>
          <cell r="T1346">
            <v>35</v>
          </cell>
          <cell r="U1346">
            <v>119</v>
          </cell>
          <cell r="V1346">
            <v>234.5</v>
          </cell>
          <cell r="W1346">
            <v>395.5</v>
          </cell>
          <cell r="X1346">
            <v>189</v>
          </cell>
          <cell r="Y1346">
            <v>259</v>
          </cell>
          <cell r="Z1346">
            <v>45.5</v>
          </cell>
          <cell r="AA1346">
            <v>136.5</v>
          </cell>
          <cell r="AB1346">
            <v>378</v>
          </cell>
          <cell r="AC1346">
            <v>224</v>
          </cell>
          <cell r="AD1346">
            <v>154</v>
          </cell>
          <cell r="AE1346">
            <v>630</v>
          </cell>
          <cell r="AF1346">
            <v>448</v>
          </cell>
          <cell r="AG1346">
            <v>182</v>
          </cell>
        </row>
        <row r="1347">
          <cell r="C1347">
            <v>162507</v>
          </cell>
          <cell r="D1347" t="str">
            <v>Shri Balaji Petroleum</v>
          </cell>
          <cell r="E1347" t="str">
            <v>IOCL</v>
          </cell>
          <cell r="G1347" t="str">
            <v>Pimpri Chinchwad RSA</v>
          </cell>
          <cell r="H1347">
            <v>38352</v>
          </cell>
          <cell r="I1347" t="str">
            <v>OPEN</v>
          </cell>
          <cell r="J1347" t="str">
            <v>Akurdi</v>
          </cell>
          <cell r="K1347" t="str">
            <v>Pune</v>
          </cell>
          <cell r="L1347" t="str">
            <v>A</v>
          </cell>
          <cell r="O1347" t="str">
            <v>A</v>
          </cell>
          <cell r="P1347">
            <v>184</v>
          </cell>
          <cell r="Q1347">
            <v>222</v>
          </cell>
          <cell r="R1347">
            <v>200</v>
          </cell>
          <cell r="S1347">
            <v>230</v>
          </cell>
          <cell r="T1347">
            <v>-16</v>
          </cell>
          <cell r="U1347">
            <v>-8</v>
          </cell>
          <cell r="V1347">
            <v>384</v>
          </cell>
          <cell r="W1347">
            <v>454</v>
          </cell>
          <cell r="X1347">
            <v>384</v>
          </cell>
          <cell r="Y1347">
            <v>425</v>
          </cell>
          <cell r="Z1347">
            <v>0</v>
          </cell>
          <cell r="AA1347">
            <v>29</v>
          </cell>
          <cell r="AB1347">
            <v>406</v>
          </cell>
          <cell r="AC1347">
            <v>430</v>
          </cell>
          <cell r="AD1347">
            <v>-24</v>
          </cell>
          <cell r="AE1347">
            <v>838</v>
          </cell>
          <cell r="AF1347">
            <v>809</v>
          </cell>
          <cell r="AG1347">
            <v>29</v>
          </cell>
        </row>
        <row r="1348">
          <cell r="C1348">
            <v>162508</v>
          </cell>
          <cell r="D1348" t="str">
            <v>Sanjay Petroleum</v>
          </cell>
          <cell r="E1348" t="str">
            <v>IOCL</v>
          </cell>
          <cell r="G1348" t="str">
            <v>Satara West RSA</v>
          </cell>
          <cell r="H1348">
            <v>37894</v>
          </cell>
          <cell r="I1348" t="str">
            <v>OPEN</v>
          </cell>
          <cell r="J1348" t="str">
            <v>masur</v>
          </cell>
          <cell r="K1348" t="str">
            <v>Satara</v>
          </cell>
          <cell r="L1348" t="str">
            <v>D2</v>
          </cell>
          <cell r="O1348" t="str">
            <v>A</v>
          </cell>
          <cell r="P1348">
            <v>66.5</v>
          </cell>
          <cell r="Q1348">
            <v>101.5</v>
          </cell>
          <cell r="R1348">
            <v>66.5</v>
          </cell>
          <cell r="S1348">
            <v>73.5</v>
          </cell>
          <cell r="T1348">
            <v>0</v>
          </cell>
          <cell r="U1348">
            <v>28</v>
          </cell>
          <cell r="V1348">
            <v>122.5</v>
          </cell>
          <cell r="W1348">
            <v>185.5</v>
          </cell>
          <cell r="X1348">
            <v>122.5</v>
          </cell>
          <cell r="Y1348">
            <v>157.5</v>
          </cell>
          <cell r="Z1348">
            <v>0</v>
          </cell>
          <cell r="AA1348">
            <v>28</v>
          </cell>
          <cell r="AB1348">
            <v>168</v>
          </cell>
          <cell r="AC1348">
            <v>140</v>
          </cell>
          <cell r="AD1348">
            <v>28</v>
          </cell>
          <cell r="AE1348">
            <v>308</v>
          </cell>
          <cell r="AF1348">
            <v>280</v>
          </cell>
          <cell r="AG1348">
            <v>28</v>
          </cell>
        </row>
        <row r="1349">
          <cell r="C1349">
            <v>162509</v>
          </cell>
          <cell r="D1349" t="str">
            <v>Om Matoshri Petroleum</v>
          </cell>
          <cell r="E1349" t="str">
            <v>IOCL</v>
          </cell>
          <cell r="G1349" t="str">
            <v>Ahmednagar East RSA</v>
          </cell>
          <cell r="H1349">
            <v>37894</v>
          </cell>
          <cell r="I1349" t="str">
            <v>OPEN</v>
          </cell>
          <cell r="J1349" t="str">
            <v>Nagar city</v>
          </cell>
          <cell r="K1349" t="str">
            <v>Ahmednagar</v>
          </cell>
          <cell r="L1349" t="str">
            <v>D1</v>
          </cell>
          <cell r="M1349" t="str">
            <v>NH-753F</v>
          </cell>
          <cell r="O1349" t="str">
            <v>A</v>
          </cell>
          <cell r="P1349">
            <v>45</v>
          </cell>
          <cell r="Q1349">
            <v>15</v>
          </cell>
          <cell r="R1349">
            <v>40</v>
          </cell>
          <cell r="S1349">
            <v>20</v>
          </cell>
          <cell r="T1349">
            <v>5</v>
          </cell>
          <cell r="U1349">
            <v>-5</v>
          </cell>
          <cell r="V1349">
            <v>78</v>
          </cell>
          <cell r="W1349">
            <v>30</v>
          </cell>
          <cell r="X1349">
            <v>80</v>
          </cell>
          <cell r="Y1349">
            <v>40</v>
          </cell>
          <cell r="Z1349">
            <v>-2</v>
          </cell>
          <cell r="AA1349">
            <v>-10</v>
          </cell>
          <cell r="AB1349">
            <v>60</v>
          </cell>
          <cell r="AC1349">
            <v>60</v>
          </cell>
          <cell r="AD1349">
            <v>0</v>
          </cell>
          <cell r="AE1349">
            <v>108</v>
          </cell>
          <cell r="AF1349">
            <v>120</v>
          </cell>
          <cell r="AG1349">
            <v>-12</v>
          </cell>
        </row>
        <row r="1350">
          <cell r="C1350">
            <v>162510</v>
          </cell>
          <cell r="D1350" t="str">
            <v>3S Service Station</v>
          </cell>
          <cell r="E1350" t="str">
            <v>IOCL</v>
          </cell>
          <cell r="G1350" t="str">
            <v>Pune City RSA</v>
          </cell>
          <cell r="H1350">
            <v>38077</v>
          </cell>
          <cell r="I1350" t="str">
            <v>OPEN</v>
          </cell>
          <cell r="J1350" t="str">
            <v>SINGHAD ROAD (LHS)</v>
          </cell>
          <cell r="K1350" t="str">
            <v>Pune</v>
          </cell>
          <cell r="L1350" t="str">
            <v>A</v>
          </cell>
          <cell r="O1350" t="str">
            <v>A</v>
          </cell>
          <cell r="P1350">
            <v>428</v>
          </cell>
          <cell r="Q1350">
            <v>268</v>
          </cell>
          <cell r="R1350">
            <v>355</v>
          </cell>
          <cell r="S1350">
            <v>233</v>
          </cell>
          <cell r="T1350">
            <v>73</v>
          </cell>
          <cell r="U1350">
            <v>35</v>
          </cell>
          <cell r="V1350">
            <v>816</v>
          </cell>
          <cell r="W1350">
            <v>500</v>
          </cell>
          <cell r="X1350">
            <v>741</v>
          </cell>
          <cell r="Y1350">
            <v>433</v>
          </cell>
          <cell r="Z1350">
            <v>75</v>
          </cell>
          <cell r="AA1350">
            <v>67</v>
          </cell>
          <cell r="AB1350">
            <v>696</v>
          </cell>
          <cell r="AC1350">
            <v>588</v>
          </cell>
          <cell r="AD1350">
            <v>108</v>
          </cell>
          <cell r="AE1350">
            <v>1316</v>
          </cell>
          <cell r="AF1350">
            <v>1174</v>
          </cell>
          <cell r="AG1350">
            <v>142</v>
          </cell>
        </row>
        <row r="1351">
          <cell r="C1351">
            <v>162511</v>
          </cell>
          <cell r="D1351" t="str">
            <v>Om Gurudev Petroleum</v>
          </cell>
          <cell r="E1351" t="str">
            <v>IOCL</v>
          </cell>
          <cell r="G1351" t="str">
            <v>Shirdi RSA</v>
          </cell>
          <cell r="H1351">
            <v>37833</v>
          </cell>
          <cell r="I1351" t="str">
            <v>OPEN</v>
          </cell>
          <cell r="J1351" t="str">
            <v>JEUR KUMBHARI</v>
          </cell>
          <cell r="K1351" t="str">
            <v>Ahmednagar</v>
          </cell>
          <cell r="L1351" t="str">
            <v>D1</v>
          </cell>
          <cell r="M1351" t="str">
            <v>NH-752G</v>
          </cell>
          <cell r="O1351" t="str">
            <v>A</v>
          </cell>
          <cell r="P1351">
            <v>45</v>
          </cell>
          <cell r="Q1351">
            <v>135</v>
          </cell>
          <cell r="R1351">
            <v>48.5</v>
          </cell>
          <cell r="S1351">
            <v>85.5</v>
          </cell>
          <cell r="T1351">
            <v>-3.5</v>
          </cell>
          <cell r="U1351">
            <v>49.5</v>
          </cell>
          <cell r="V1351">
            <v>94</v>
          </cell>
          <cell r="W1351">
            <v>294</v>
          </cell>
          <cell r="X1351">
            <v>88.5</v>
          </cell>
          <cell r="Y1351">
            <v>167.5</v>
          </cell>
          <cell r="Z1351">
            <v>5.5</v>
          </cell>
          <cell r="AA1351">
            <v>126.5</v>
          </cell>
          <cell r="AB1351">
            <v>180</v>
          </cell>
          <cell r="AC1351">
            <v>134</v>
          </cell>
          <cell r="AD1351">
            <v>46</v>
          </cell>
          <cell r="AE1351">
            <v>388</v>
          </cell>
          <cell r="AF1351">
            <v>256</v>
          </cell>
          <cell r="AG1351">
            <v>132</v>
          </cell>
        </row>
        <row r="1352">
          <cell r="C1352">
            <v>162513</v>
          </cell>
          <cell r="D1352" t="str">
            <v>Bharne Petroleum</v>
          </cell>
          <cell r="E1352" t="str">
            <v>IOCL</v>
          </cell>
          <cell r="G1352" t="str">
            <v>Pune Saswad RSA</v>
          </cell>
          <cell r="H1352">
            <v>38352</v>
          </cell>
          <cell r="I1352" t="str">
            <v>OPEN</v>
          </cell>
          <cell r="J1352" t="str">
            <v>INDAPUR</v>
          </cell>
          <cell r="K1352" t="str">
            <v>Pune</v>
          </cell>
          <cell r="L1352" t="str">
            <v>C</v>
          </cell>
          <cell r="O1352" t="str">
            <v>A</v>
          </cell>
          <cell r="P1352">
            <v>25</v>
          </cell>
          <cell r="Q1352">
            <v>195</v>
          </cell>
          <cell r="R1352">
            <v>9</v>
          </cell>
          <cell r="S1352">
            <v>153</v>
          </cell>
          <cell r="T1352">
            <v>16</v>
          </cell>
          <cell r="U1352">
            <v>42</v>
          </cell>
          <cell r="V1352">
            <v>40</v>
          </cell>
          <cell r="W1352">
            <v>360</v>
          </cell>
          <cell r="X1352">
            <v>22.5</v>
          </cell>
          <cell r="Y1352">
            <v>337.5</v>
          </cell>
          <cell r="Z1352">
            <v>17.5</v>
          </cell>
          <cell r="AA1352">
            <v>22.5</v>
          </cell>
          <cell r="AB1352">
            <v>220</v>
          </cell>
          <cell r="AC1352">
            <v>162</v>
          </cell>
          <cell r="AD1352">
            <v>58</v>
          </cell>
          <cell r="AE1352">
            <v>400</v>
          </cell>
          <cell r="AF1352">
            <v>360</v>
          </cell>
          <cell r="AG1352">
            <v>40</v>
          </cell>
        </row>
        <row r="1353">
          <cell r="C1353">
            <v>162515</v>
          </cell>
          <cell r="D1353" t="str">
            <v>Taware Petroleum</v>
          </cell>
          <cell r="E1353" t="str">
            <v>IOCL</v>
          </cell>
          <cell r="G1353" t="str">
            <v>Ahmednagar East RSA</v>
          </cell>
          <cell r="H1353">
            <v>37894</v>
          </cell>
          <cell r="I1353" t="str">
            <v>OPEN</v>
          </cell>
          <cell r="J1353" t="str">
            <v>Chas</v>
          </cell>
          <cell r="K1353" t="str">
            <v>Ahmednagar</v>
          </cell>
          <cell r="L1353" t="str">
            <v>D1</v>
          </cell>
          <cell r="M1353" t="str">
            <v>NH-753F</v>
          </cell>
          <cell r="O1353" t="str">
            <v>A</v>
          </cell>
          <cell r="P1353">
            <v>21.5</v>
          </cell>
          <cell r="Q1353">
            <v>78.5</v>
          </cell>
          <cell r="R1353">
            <v>20</v>
          </cell>
          <cell r="S1353">
            <v>52</v>
          </cell>
          <cell r="T1353">
            <v>1.5</v>
          </cell>
          <cell r="U1353">
            <v>26.5</v>
          </cell>
          <cell r="V1353">
            <v>36.5</v>
          </cell>
          <cell r="W1353">
            <v>123.5</v>
          </cell>
          <cell r="X1353">
            <v>32</v>
          </cell>
          <cell r="Y1353">
            <v>100</v>
          </cell>
          <cell r="Z1353">
            <v>4.5</v>
          </cell>
          <cell r="AA1353">
            <v>23.5</v>
          </cell>
          <cell r="AB1353">
            <v>100</v>
          </cell>
          <cell r="AC1353">
            <v>72</v>
          </cell>
          <cell r="AD1353">
            <v>28</v>
          </cell>
          <cell r="AE1353">
            <v>160</v>
          </cell>
          <cell r="AF1353">
            <v>132</v>
          </cell>
          <cell r="AG1353">
            <v>28</v>
          </cell>
        </row>
        <row r="1354">
          <cell r="C1354">
            <v>164764</v>
          </cell>
          <cell r="D1354" t="str">
            <v>Green Park Petrol Pump</v>
          </cell>
          <cell r="E1354" t="str">
            <v>IOCL</v>
          </cell>
          <cell r="G1354" t="str">
            <v>Satara West RSA</v>
          </cell>
          <cell r="H1354">
            <v>38177</v>
          </cell>
          <cell r="I1354" t="str">
            <v>OPEN</v>
          </cell>
          <cell r="J1354" t="str">
            <v>Wadhe to Shivthar</v>
          </cell>
          <cell r="K1354" t="str">
            <v>Satara</v>
          </cell>
          <cell r="L1354" t="str">
            <v>D1</v>
          </cell>
          <cell r="M1354" t="str">
            <v>NH-965D</v>
          </cell>
          <cell r="O1354" t="str">
            <v>B</v>
          </cell>
          <cell r="P1354">
            <v>58</v>
          </cell>
          <cell r="Q1354">
            <v>98</v>
          </cell>
          <cell r="R1354">
            <v>54</v>
          </cell>
          <cell r="S1354">
            <v>66</v>
          </cell>
          <cell r="T1354">
            <v>4</v>
          </cell>
          <cell r="U1354">
            <v>32</v>
          </cell>
          <cell r="V1354">
            <v>114</v>
          </cell>
          <cell r="W1354">
            <v>196</v>
          </cell>
          <cell r="X1354">
            <v>102</v>
          </cell>
          <cell r="Y1354">
            <v>150</v>
          </cell>
          <cell r="Z1354">
            <v>12</v>
          </cell>
          <cell r="AA1354">
            <v>46</v>
          </cell>
          <cell r="AB1354">
            <v>156</v>
          </cell>
          <cell r="AC1354">
            <v>120</v>
          </cell>
          <cell r="AD1354">
            <v>36</v>
          </cell>
          <cell r="AE1354">
            <v>310</v>
          </cell>
          <cell r="AF1354">
            <v>252</v>
          </cell>
          <cell r="AG1354">
            <v>58</v>
          </cell>
        </row>
        <row r="1355">
          <cell r="C1355">
            <v>164767</v>
          </cell>
          <cell r="D1355" t="str">
            <v>Pathik Fuels</v>
          </cell>
          <cell r="E1355" t="str">
            <v>IOCL</v>
          </cell>
          <cell r="G1355" t="str">
            <v>Shirdi RSA</v>
          </cell>
          <cell r="H1355">
            <v>38168</v>
          </cell>
          <cell r="I1355" t="str">
            <v>OPEN</v>
          </cell>
          <cell r="J1355" t="str">
            <v>AURANGPUR</v>
          </cell>
          <cell r="K1355" t="str">
            <v>Ahmednagar</v>
          </cell>
          <cell r="L1355" t="str">
            <v>D2</v>
          </cell>
          <cell r="O1355" t="str">
            <v>B</v>
          </cell>
          <cell r="P1355">
            <v>49</v>
          </cell>
          <cell r="Q1355">
            <v>77</v>
          </cell>
          <cell r="R1355">
            <v>40</v>
          </cell>
          <cell r="S1355">
            <v>58</v>
          </cell>
          <cell r="T1355">
            <v>9</v>
          </cell>
          <cell r="U1355">
            <v>19</v>
          </cell>
          <cell r="V1355">
            <v>84</v>
          </cell>
          <cell r="W1355">
            <v>140</v>
          </cell>
          <cell r="X1355">
            <v>72</v>
          </cell>
          <cell r="Y1355">
            <v>110</v>
          </cell>
          <cell r="Z1355">
            <v>12</v>
          </cell>
          <cell r="AA1355">
            <v>30</v>
          </cell>
          <cell r="AB1355">
            <v>126</v>
          </cell>
          <cell r="AC1355">
            <v>98</v>
          </cell>
          <cell r="AD1355">
            <v>28</v>
          </cell>
          <cell r="AE1355">
            <v>224</v>
          </cell>
          <cell r="AF1355">
            <v>182</v>
          </cell>
          <cell r="AG1355">
            <v>42</v>
          </cell>
        </row>
        <row r="1356">
          <cell r="C1356">
            <v>164772</v>
          </cell>
          <cell r="D1356" t="str">
            <v>A.M. K. Enterprises</v>
          </cell>
          <cell r="E1356" t="str">
            <v>IOCL</v>
          </cell>
          <cell r="G1356" t="str">
            <v>Pune City RSA</v>
          </cell>
          <cell r="H1356">
            <v>38168</v>
          </cell>
          <cell r="I1356" t="str">
            <v>OPEN</v>
          </cell>
          <cell r="J1356" t="str">
            <v>KATRAJ KONDHWA ROAD</v>
          </cell>
          <cell r="K1356" t="str">
            <v>Pune</v>
          </cell>
          <cell r="L1356" t="str">
            <v>A</v>
          </cell>
          <cell r="O1356" t="str">
            <v>B</v>
          </cell>
          <cell r="P1356">
            <v>290</v>
          </cell>
          <cell r="Q1356">
            <v>350</v>
          </cell>
          <cell r="R1356">
            <v>277</v>
          </cell>
          <cell r="S1356">
            <v>295</v>
          </cell>
          <cell r="T1356">
            <v>13</v>
          </cell>
          <cell r="U1356">
            <v>55</v>
          </cell>
          <cell r="V1356">
            <v>530</v>
          </cell>
          <cell r="W1356">
            <v>710</v>
          </cell>
          <cell r="X1356">
            <v>537</v>
          </cell>
          <cell r="Y1356">
            <v>555</v>
          </cell>
          <cell r="Z1356">
            <v>-7</v>
          </cell>
          <cell r="AA1356">
            <v>155</v>
          </cell>
          <cell r="AB1356">
            <v>640</v>
          </cell>
          <cell r="AC1356">
            <v>572</v>
          </cell>
          <cell r="AD1356">
            <v>68</v>
          </cell>
          <cell r="AE1356">
            <v>1240</v>
          </cell>
          <cell r="AF1356">
            <v>1092</v>
          </cell>
          <cell r="AG1356">
            <v>148</v>
          </cell>
        </row>
        <row r="1357">
          <cell r="C1357">
            <v>174541</v>
          </cell>
          <cell r="D1357" t="str">
            <v>Jay Ganesh Petroleum</v>
          </cell>
          <cell r="E1357" t="str">
            <v>IOCL</v>
          </cell>
          <cell r="G1357" t="str">
            <v>Ahmednagar East RSA</v>
          </cell>
          <cell r="H1357">
            <v>38248</v>
          </cell>
          <cell r="I1357" t="str">
            <v>OPEN</v>
          </cell>
          <cell r="J1357" t="str">
            <v>Gavhenwadi</v>
          </cell>
          <cell r="K1357" t="str">
            <v>Ahmednagar</v>
          </cell>
          <cell r="L1357" t="str">
            <v>D1</v>
          </cell>
          <cell r="M1357" t="str">
            <v>NH-753F</v>
          </cell>
          <cell r="O1357" t="str">
            <v>B</v>
          </cell>
          <cell r="P1357">
            <v>32.5</v>
          </cell>
          <cell r="Q1357">
            <v>97.5</v>
          </cell>
          <cell r="R1357">
            <v>25</v>
          </cell>
          <cell r="S1357">
            <v>47</v>
          </cell>
          <cell r="T1357">
            <v>7.5</v>
          </cell>
          <cell r="U1357">
            <v>50.5</v>
          </cell>
          <cell r="V1357">
            <v>59.5</v>
          </cell>
          <cell r="W1357">
            <v>142.5</v>
          </cell>
          <cell r="X1357">
            <v>49</v>
          </cell>
          <cell r="Y1357">
            <v>101</v>
          </cell>
          <cell r="Z1357">
            <v>10.5</v>
          </cell>
          <cell r="AA1357">
            <v>41.5</v>
          </cell>
          <cell r="AB1357">
            <v>130</v>
          </cell>
          <cell r="AC1357">
            <v>72</v>
          </cell>
          <cell r="AD1357">
            <v>58</v>
          </cell>
          <cell r="AE1357">
            <v>202</v>
          </cell>
          <cell r="AF1357">
            <v>150</v>
          </cell>
          <cell r="AG1357">
            <v>52</v>
          </cell>
        </row>
        <row r="1358">
          <cell r="C1358">
            <v>174542</v>
          </cell>
          <cell r="D1358" t="str">
            <v>Jagdale Petroleum</v>
          </cell>
          <cell r="E1358" t="str">
            <v>IOCL</v>
          </cell>
          <cell r="G1358" t="str">
            <v>Satara East RSA</v>
          </cell>
          <cell r="H1358">
            <v>38255</v>
          </cell>
          <cell r="I1358" t="str">
            <v>OPEN</v>
          </cell>
          <cell r="J1358" t="str">
            <v>dahiwadi</v>
          </cell>
          <cell r="K1358" t="str">
            <v>Satara</v>
          </cell>
          <cell r="L1358" t="str">
            <v>D2</v>
          </cell>
          <cell r="O1358" t="str">
            <v>B</v>
          </cell>
          <cell r="P1358">
            <v>108</v>
          </cell>
          <cell r="Q1358">
            <v>252</v>
          </cell>
          <cell r="R1358">
            <v>63</v>
          </cell>
          <cell r="S1358">
            <v>198</v>
          </cell>
          <cell r="T1358">
            <v>45</v>
          </cell>
          <cell r="U1358">
            <v>54</v>
          </cell>
          <cell r="V1358">
            <v>180</v>
          </cell>
          <cell r="W1358">
            <v>414</v>
          </cell>
          <cell r="X1358">
            <v>121.5</v>
          </cell>
          <cell r="Y1358">
            <v>378</v>
          </cell>
          <cell r="Z1358">
            <v>58.5</v>
          </cell>
          <cell r="AA1358">
            <v>36</v>
          </cell>
          <cell r="AB1358">
            <v>360</v>
          </cell>
          <cell r="AC1358">
            <v>261</v>
          </cell>
          <cell r="AD1358">
            <v>99</v>
          </cell>
          <cell r="AE1358">
            <v>594</v>
          </cell>
          <cell r="AF1358">
            <v>499.5</v>
          </cell>
          <cell r="AG1358">
            <v>94.5</v>
          </cell>
        </row>
        <row r="1359">
          <cell r="C1359">
            <v>174550</v>
          </cell>
          <cell r="D1359" t="str">
            <v>Shubham Automobiles</v>
          </cell>
          <cell r="E1359" t="str">
            <v>IOCL</v>
          </cell>
          <cell r="G1359" t="str">
            <v>Satara West RSA</v>
          </cell>
          <cell r="H1359">
            <v>38075</v>
          </cell>
          <cell r="I1359" t="str">
            <v>OPEN</v>
          </cell>
          <cell r="J1359" t="str">
            <v>KASHIL TO KARAD</v>
          </cell>
          <cell r="K1359" t="str">
            <v>Satara</v>
          </cell>
          <cell r="L1359" t="str">
            <v>D1</v>
          </cell>
          <cell r="M1359" t="str">
            <v>NH-48</v>
          </cell>
          <cell r="O1359" t="str">
            <v>A</v>
          </cell>
          <cell r="P1359">
            <v>56</v>
          </cell>
          <cell r="Q1359">
            <v>56</v>
          </cell>
          <cell r="R1359">
            <v>45.5</v>
          </cell>
          <cell r="S1359">
            <v>38.5</v>
          </cell>
          <cell r="T1359">
            <v>10.5</v>
          </cell>
          <cell r="U1359">
            <v>17.5</v>
          </cell>
          <cell r="V1359">
            <v>105</v>
          </cell>
          <cell r="W1359">
            <v>119</v>
          </cell>
          <cell r="X1359">
            <v>87.5</v>
          </cell>
          <cell r="Y1359">
            <v>94.5</v>
          </cell>
          <cell r="Z1359">
            <v>17.5</v>
          </cell>
          <cell r="AA1359">
            <v>24.5</v>
          </cell>
          <cell r="AB1359">
            <v>112</v>
          </cell>
          <cell r="AC1359">
            <v>84</v>
          </cell>
          <cell r="AD1359">
            <v>28</v>
          </cell>
          <cell r="AE1359">
            <v>224</v>
          </cell>
          <cell r="AF1359">
            <v>182</v>
          </cell>
          <cell r="AG1359">
            <v>42</v>
          </cell>
        </row>
        <row r="1360">
          <cell r="C1360">
            <v>176113</v>
          </cell>
          <cell r="D1360" t="str">
            <v>ARMED FORCES EX OFFICERS' CO-OP</v>
          </cell>
          <cell r="E1360" t="str">
            <v>IOCL</v>
          </cell>
          <cell r="G1360" t="str">
            <v>Pimpri Chinchwad RSA</v>
          </cell>
          <cell r="H1360">
            <v>38321</v>
          </cell>
          <cell r="I1360" t="str">
            <v>OPEN</v>
          </cell>
          <cell r="J1360" t="str">
            <v>Chinchwad</v>
          </cell>
          <cell r="K1360" t="str">
            <v>Pune</v>
          </cell>
          <cell r="L1360" t="str">
            <v>A</v>
          </cell>
          <cell r="O1360" t="str">
            <v>B</v>
          </cell>
          <cell r="P1360">
            <v>195</v>
          </cell>
          <cell r="Q1360">
            <v>385</v>
          </cell>
          <cell r="R1360">
            <v>160</v>
          </cell>
          <cell r="S1360">
            <v>380</v>
          </cell>
          <cell r="T1360">
            <v>35</v>
          </cell>
          <cell r="U1360">
            <v>5</v>
          </cell>
          <cell r="V1360">
            <v>365</v>
          </cell>
          <cell r="W1360">
            <v>715</v>
          </cell>
          <cell r="X1360">
            <v>325</v>
          </cell>
          <cell r="Y1360">
            <v>735</v>
          </cell>
          <cell r="Z1360">
            <v>40</v>
          </cell>
          <cell r="AA1360">
            <v>-20</v>
          </cell>
          <cell r="AB1360">
            <v>580</v>
          </cell>
          <cell r="AC1360">
            <v>540</v>
          </cell>
          <cell r="AD1360">
            <v>40</v>
          </cell>
          <cell r="AE1360">
            <v>1080</v>
          </cell>
          <cell r="AF1360">
            <v>1060</v>
          </cell>
          <cell r="AG1360">
            <v>20</v>
          </cell>
        </row>
        <row r="1361">
          <cell r="C1361">
            <v>176189</v>
          </cell>
          <cell r="D1361" t="str">
            <v>MADHUPRAYAG SALES &amp; SERVI</v>
          </cell>
          <cell r="E1361" t="str">
            <v>IOCL</v>
          </cell>
          <cell r="G1361" t="str">
            <v>Pune Hadapsar RSA</v>
          </cell>
          <cell r="H1361">
            <v>38291</v>
          </cell>
          <cell r="I1361" t="str">
            <v>OPEN</v>
          </cell>
          <cell r="J1361" t="str">
            <v>Loni LHS</v>
          </cell>
          <cell r="K1361" t="str">
            <v>Pune</v>
          </cell>
          <cell r="L1361" t="str">
            <v>D1</v>
          </cell>
          <cell r="M1361" t="str">
            <v>NH-65</v>
          </cell>
          <cell r="O1361" t="str">
            <v>A</v>
          </cell>
          <cell r="P1361">
            <v>36</v>
          </cell>
          <cell r="Q1361">
            <v>36</v>
          </cell>
          <cell r="R1361">
            <v>32</v>
          </cell>
          <cell r="S1361">
            <v>64</v>
          </cell>
          <cell r="T1361">
            <v>4</v>
          </cell>
          <cell r="U1361">
            <v>-28</v>
          </cell>
          <cell r="V1361">
            <v>80</v>
          </cell>
          <cell r="W1361">
            <v>76</v>
          </cell>
          <cell r="X1361">
            <v>64</v>
          </cell>
          <cell r="Y1361">
            <v>128</v>
          </cell>
          <cell r="Z1361">
            <v>16</v>
          </cell>
          <cell r="AA1361">
            <v>-52</v>
          </cell>
          <cell r="AB1361">
            <v>72</v>
          </cell>
          <cell r="AC1361">
            <v>96</v>
          </cell>
          <cell r="AD1361">
            <v>-24</v>
          </cell>
          <cell r="AE1361">
            <v>156</v>
          </cell>
          <cell r="AF1361">
            <v>192</v>
          </cell>
          <cell r="AG1361">
            <v>-36</v>
          </cell>
        </row>
        <row r="1362">
          <cell r="C1362">
            <v>176684</v>
          </cell>
          <cell r="D1362" t="str">
            <v>PATAN TAL. SKVS -MHAVSHI</v>
          </cell>
          <cell r="E1362" t="str">
            <v>IOCL</v>
          </cell>
          <cell r="G1362" t="str">
            <v>Satara West RSA</v>
          </cell>
          <cell r="H1362">
            <v>38383</v>
          </cell>
          <cell r="I1362" t="str">
            <v>OPEN</v>
          </cell>
          <cell r="J1362" t="str">
            <v>PATAN</v>
          </cell>
          <cell r="K1362" t="str">
            <v>Satara</v>
          </cell>
          <cell r="L1362" t="str">
            <v>D1</v>
          </cell>
          <cell r="M1362" t="str">
            <v>NH-166E</v>
          </cell>
          <cell r="O1362" t="str">
            <v>A</v>
          </cell>
          <cell r="P1362">
            <v>101.5</v>
          </cell>
          <cell r="Q1362">
            <v>136.5</v>
          </cell>
          <cell r="R1362">
            <v>90</v>
          </cell>
          <cell r="S1362">
            <v>102</v>
          </cell>
          <cell r="T1362">
            <v>11.5</v>
          </cell>
          <cell r="U1362">
            <v>34.5</v>
          </cell>
          <cell r="V1362">
            <v>161</v>
          </cell>
          <cell r="W1362">
            <v>217</v>
          </cell>
          <cell r="X1362">
            <v>171</v>
          </cell>
          <cell r="Y1362">
            <v>201</v>
          </cell>
          <cell r="Z1362">
            <v>-10</v>
          </cell>
          <cell r="AA1362">
            <v>16</v>
          </cell>
          <cell r="AB1362">
            <v>238</v>
          </cell>
          <cell r="AC1362">
            <v>192</v>
          </cell>
          <cell r="AD1362">
            <v>46</v>
          </cell>
          <cell r="AE1362">
            <v>378</v>
          </cell>
          <cell r="AF1362">
            <v>372</v>
          </cell>
          <cell r="AG1362">
            <v>6</v>
          </cell>
        </row>
        <row r="1363">
          <cell r="C1363">
            <v>177369</v>
          </cell>
          <cell r="D1363" t="str">
            <v>Daulat Petroleum (Resitem</v>
          </cell>
          <cell r="E1363" t="str">
            <v>IOCL</v>
          </cell>
          <cell r="G1363" t="str">
            <v>Shirdi RSA</v>
          </cell>
          <cell r="H1363">
            <v>34607</v>
          </cell>
          <cell r="I1363" t="str">
            <v>DEF (W)</v>
          </cell>
          <cell r="J1363" t="str">
            <v>KASAR DHUMALA</v>
          </cell>
          <cell r="K1363" t="str">
            <v>Ahmednagar</v>
          </cell>
          <cell r="L1363" t="str">
            <v>D2</v>
          </cell>
          <cell r="O1363" t="str">
            <v>B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</row>
        <row r="1364">
          <cell r="C1364">
            <v>180555</v>
          </cell>
          <cell r="D1364" t="str">
            <v>BHOSALE SALES &amp; SERVICE</v>
          </cell>
          <cell r="E1364" t="str">
            <v>IOCL</v>
          </cell>
          <cell r="F1364" t="str">
            <v>2012-13</v>
          </cell>
          <cell r="G1364" t="str">
            <v>Pune Wagholi RSA</v>
          </cell>
          <cell r="H1364">
            <v>38503</v>
          </cell>
          <cell r="I1364" t="str">
            <v>OPEN</v>
          </cell>
          <cell r="J1364" t="str">
            <v>Narayangaon to Alephata RHS</v>
          </cell>
          <cell r="K1364" t="str">
            <v>Pune</v>
          </cell>
          <cell r="L1364" t="str">
            <v>D1</v>
          </cell>
          <cell r="M1364" t="str">
            <v>NH-60</v>
          </cell>
          <cell r="O1364" t="str">
            <v>B</v>
          </cell>
          <cell r="P1364">
            <v>45</v>
          </cell>
          <cell r="Q1364">
            <v>335</v>
          </cell>
          <cell r="R1364">
            <v>35</v>
          </cell>
          <cell r="S1364">
            <v>245</v>
          </cell>
          <cell r="T1364">
            <v>10</v>
          </cell>
          <cell r="U1364">
            <v>90</v>
          </cell>
          <cell r="V1364">
            <v>80</v>
          </cell>
          <cell r="W1364">
            <v>620</v>
          </cell>
          <cell r="X1364">
            <v>65</v>
          </cell>
          <cell r="Y1364">
            <v>495</v>
          </cell>
          <cell r="Z1364">
            <v>15</v>
          </cell>
          <cell r="AA1364">
            <v>125</v>
          </cell>
          <cell r="AB1364">
            <v>380</v>
          </cell>
          <cell r="AC1364">
            <v>280</v>
          </cell>
          <cell r="AD1364">
            <v>100</v>
          </cell>
          <cell r="AE1364">
            <v>700</v>
          </cell>
          <cell r="AF1364">
            <v>560</v>
          </cell>
          <cell r="AG1364">
            <v>140</v>
          </cell>
        </row>
        <row r="1365">
          <cell r="C1365">
            <v>180566</v>
          </cell>
          <cell r="D1365" t="str">
            <v>PRANAV SERVICE STATION</v>
          </cell>
          <cell r="E1365" t="str">
            <v>IOCL</v>
          </cell>
          <cell r="G1365" t="str">
            <v>Pune City RSA</v>
          </cell>
          <cell r="H1365">
            <v>38409</v>
          </cell>
          <cell r="I1365" t="str">
            <v>OPEN</v>
          </cell>
          <cell r="J1365" t="str">
            <v>SINGHAD ROAD (RHS)</v>
          </cell>
          <cell r="K1365" t="str">
            <v>Pune</v>
          </cell>
          <cell r="L1365" t="str">
            <v>A</v>
          </cell>
          <cell r="O1365" t="str">
            <v>A</v>
          </cell>
          <cell r="P1365">
            <v>159</v>
          </cell>
          <cell r="Q1365">
            <v>69</v>
          </cell>
          <cell r="R1365">
            <v>174</v>
          </cell>
          <cell r="S1365">
            <v>54</v>
          </cell>
          <cell r="T1365">
            <v>-15</v>
          </cell>
          <cell r="U1365">
            <v>15</v>
          </cell>
          <cell r="V1365">
            <v>315</v>
          </cell>
          <cell r="W1365">
            <v>129</v>
          </cell>
          <cell r="X1365">
            <v>354</v>
          </cell>
          <cell r="Y1365">
            <v>114</v>
          </cell>
          <cell r="Z1365">
            <v>-39</v>
          </cell>
          <cell r="AA1365">
            <v>15</v>
          </cell>
          <cell r="AB1365">
            <v>228</v>
          </cell>
          <cell r="AC1365">
            <v>228</v>
          </cell>
          <cell r="AD1365">
            <v>0</v>
          </cell>
          <cell r="AE1365">
            <v>444</v>
          </cell>
          <cell r="AF1365">
            <v>468</v>
          </cell>
          <cell r="AG1365">
            <v>-24</v>
          </cell>
        </row>
        <row r="1366">
          <cell r="C1366">
            <v>181638</v>
          </cell>
          <cell r="D1366" t="str">
            <v>SUKHWANI PETROLEUM</v>
          </cell>
          <cell r="E1366" t="str">
            <v>IOCL</v>
          </cell>
          <cell r="G1366" t="str">
            <v>Pune City RSA</v>
          </cell>
          <cell r="H1366">
            <v>38411</v>
          </cell>
          <cell r="I1366" t="str">
            <v>OPEN</v>
          </cell>
          <cell r="J1366" t="str">
            <v>WAKAD</v>
          </cell>
          <cell r="K1366" t="str">
            <v>Pune</v>
          </cell>
          <cell r="L1366" t="str">
            <v>A</v>
          </cell>
          <cell r="O1366" t="str">
            <v>A</v>
          </cell>
          <cell r="P1366">
            <v>746</v>
          </cell>
          <cell r="Q1366">
            <v>782</v>
          </cell>
          <cell r="R1366">
            <v>744</v>
          </cell>
          <cell r="S1366">
            <v>695</v>
          </cell>
          <cell r="T1366">
            <v>2</v>
          </cell>
          <cell r="U1366">
            <v>87</v>
          </cell>
          <cell r="V1366">
            <v>1431</v>
          </cell>
          <cell r="W1366">
            <v>1513</v>
          </cell>
          <cell r="X1366">
            <v>1459</v>
          </cell>
          <cell r="Y1366">
            <v>1308</v>
          </cell>
          <cell r="Z1366">
            <v>-28</v>
          </cell>
          <cell r="AA1366">
            <v>205</v>
          </cell>
          <cell r="AB1366">
            <v>1528</v>
          </cell>
          <cell r="AC1366">
            <v>1439</v>
          </cell>
          <cell r="AD1366">
            <v>89</v>
          </cell>
          <cell r="AE1366">
            <v>2944</v>
          </cell>
          <cell r="AF1366">
            <v>2767</v>
          </cell>
          <cell r="AG1366">
            <v>177</v>
          </cell>
        </row>
        <row r="1367">
          <cell r="C1367">
            <v>184284</v>
          </cell>
          <cell r="D1367" t="str">
            <v>TRINETRA PETROLEUM</v>
          </cell>
          <cell r="E1367" t="str">
            <v>IOCL</v>
          </cell>
          <cell r="G1367" t="str">
            <v>Pune Tathawade RSA</v>
          </cell>
          <cell r="H1367">
            <v>37825</v>
          </cell>
          <cell r="I1367" t="str">
            <v>OSP (W)</v>
          </cell>
          <cell r="J1367" t="str">
            <v>Lonavala</v>
          </cell>
          <cell r="K1367" t="str">
            <v>Pune</v>
          </cell>
          <cell r="L1367" t="str">
            <v>D1</v>
          </cell>
          <cell r="M1367" t="str">
            <v>NH-48</v>
          </cell>
          <cell r="O1367" t="str">
            <v>A</v>
          </cell>
          <cell r="P1367">
            <v>22.5</v>
          </cell>
          <cell r="Q1367">
            <v>53.5</v>
          </cell>
          <cell r="R1367">
            <v>41</v>
          </cell>
          <cell r="S1367">
            <v>95</v>
          </cell>
          <cell r="T1367">
            <v>-18.5</v>
          </cell>
          <cell r="U1367">
            <v>-41.5</v>
          </cell>
          <cell r="V1367">
            <v>59.5</v>
          </cell>
          <cell r="W1367">
            <v>126.5</v>
          </cell>
          <cell r="X1367">
            <v>68</v>
          </cell>
          <cell r="Y1367">
            <v>152</v>
          </cell>
          <cell r="Z1367">
            <v>-8.5</v>
          </cell>
          <cell r="AA1367">
            <v>-25.5</v>
          </cell>
          <cell r="AB1367">
            <v>76</v>
          </cell>
          <cell r="AC1367">
            <v>136</v>
          </cell>
          <cell r="AD1367">
            <v>-60</v>
          </cell>
          <cell r="AE1367">
            <v>186</v>
          </cell>
          <cell r="AF1367">
            <v>220</v>
          </cell>
          <cell r="AG1367">
            <v>-34</v>
          </cell>
        </row>
        <row r="1368">
          <cell r="C1368">
            <v>185624</v>
          </cell>
          <cell r="D1368" t="str">
            <v>AMIT HIGHWAY CENTRE</v>
          </cell>
          <cell r="E1368" t="str">
            <v>IOCL</v>
          </cell>
          <cell r="G1368" t="str">
            <v>Pune Tathawade RSA</v>
          </cell>
          <cell r="H1368">
            <v>38503</v>
          </cell>
          <cell r="I1368" t="str">
            <v>OPEN</v>
          </cell>
          <cell r="J1368" t="str">
            <v>VADGAON TO KAMSHET</v>
          </cell>
          <cell r="K1368" t="str">
            <v>Pune</v>
          </cell>
          <cell r="L1368" t="str">
            <v>D1</v>
          </cell>
          <cell r="M1368" t="str">
            <v>NH-48</v>
          </cell>
          <cell r="O1368" t="str">
            <v>B</v>
          </cell>
          <cell r="P1368">
            <v>0</v>
          </cell>
          <cell r="Q1368">
            <v>0</v>
          </cell>
          <cell r="R1368">
            <v>0</v>
          </cell>
          <cell r="S1368">
            <v>12</v>
          </cell>
          <cell r="T1368">
            <v>0</v>
          </cell>
          <cell r="U1368">
            <v>-12</v>
          </cell>
          <cell r="V1368">
            <v>0</v>
          </cell>
          <cell r="W1368">
            <v>0</v>
          </cell>
          <cell r="X1368">
            <v>0</v>
          </cell>
          <cell r="Y1368">
            <v>12</v>
          </cell>
          <cell r="Z1368">
            <v>0</v>
          </cell>
          <cell r="AA1368">
            <v>-12</v>
          </cell>
          <cell r="AB1368">
            <v>0</v>
          </cell>
          <cell r="AC1368">
            <v>12</v>
          </cell>
          <cell r="AD1368">
            <v>-12</v>
          </cell>
          <cell r="AE1368">
            <v>0</v>
          </cell>
          <cell r="AF1368">
            <v>12</v>
          </cell>
          <cell r="AG1368">
            <v>-12</v>
          </cell>
        </row>
        <row r="1369">
          <cell r="C1369">
            <v>185653</v>
          </cell>
          <cell r="D1369" t="str">
            <v>SHRINIDHI PETROLEUM</v>
          </cell>
          <cell r="E1369" t="str">
            <v>IOCL</v>
          </cell>
          <cell r="G1369" t="str">
            <v>Satara East RSA</v>
          </cell>
          <cell r="H1369">
            <v>38138</v>
          </cell>
          <cell r="I1369" t="str">
            <v>OPEN</v>
          </cell>
          <cell r="J1369" t="str">
            <v>Pusegaon</v>
          </cell>
          <cell r="K1369" t="str">
            <v>Satara</v>
          </cell>
          <cell r="L1369" t="str">
            <v>D1</v>
          </cell>
          <cell r="M1369" t="str">
            <v>NH-548C</v>
          </cell>
          <cell r="O1369" t="str">
            <v>A</v>
          </cell>
          <cell r="P1369">
            <v>98</v>
          </cell>
          <cell r="Q1369">
            <v>154</v>
          </cell>
          <cell r="R1369">
            <v>84</v>
          </cell>
          <cell r="S1369">
            <v>98</v>
          </cell>
          <cell r="T1369">
            <v>14</v>
          </cell>
          <cell r="U1369">
            <v>56</v>
          </cell>
          <cell r="V1369">
            <v>168</v>
          </cell>
          <cell r="W1369">
            <v>280</v>
          </cell>
          <cell r="X1369">
            <v>150.5</v>
          </cell>
          <cell r="Y1369">
            <v>199.5</v>
          </cell>
          <cell r="Z1369">
            <v>17.5</v>
          </cell>
          <cell r="AA1369">
            <v>80.5</v>
          </cell>
          <cell r="AB1369">
            <v>252</v>
          </cell>
          <cell r="AC1369">
            <v>182</v>
          </cell>
          <cell r="AD1369">
            <v>70</v>
          </cell>
          <cell r="AE1369">
            <v>448</v>
          </cell>
          <cell r="AF1369">
            <v>350</v>
          </cell>
          <cell r="AG1369">
            <v>98</v>
          </cell>
        </row>
        <row r="1370">
          <cell r="C1370">
            <v>192171</v>
          </cell>
          <cell r="D1370" t="str">
            <v>Jadhav Petroleum</v>
          </cell>
          <cell r="E1370" t="str">
            <v>IOCL</v>
          </cell>
          <cell r="G1370" t="str">
            <v>Ahmednagar East RSA</v>
          </cell>
          <cell r="H1370">
            <v>38566</v>
          </cell>
          <cell r="I1370" t="str">
            <v>OPEN</v>
          </cell>
          <cell r="J1370" t="str">
            <v>nalegaon</v>
          </cell>
          <cell r="K1370" t="str">
            <v>Ahmednagar</v>
          </cell>
          <cell r="L1370" t="str">
            <v>C</v>
          </cell>
          <cell r="O1370" t="str">
            <v>B</v>
          </cell>
          <cell r="P1370">
            <v>78</v>
          </cell>
          <cell r="Q1370">
            <v>66</v>
          </cell>
          <cell r="R1370">
            <v>75</v>
          </cell>
          <cell r="S1370">
            <v>71</v>
          </cell>
          <cell r="T1370">
            <v>3</v>
          </cell>
          <cell r="U1370">
            <v>-5</v>
          </cell>
          <cell r="V1370">
            <v>168</v>
          </cell>
          <cell r="W1370">
            <v>132</v>
          </cell>
          <cell r="X1370">
            <v>132</v>
          </cell>
          <cell r="Y1370">
            <v>122</v>
          </cell>
          <cell r="Z1370">
            <v>36</v>
          </cell>
          <cell r="AA1370">
            <v>10</v>
          </cell>
          <cell r="AB1370">
            <v>144</v>
          </cell>
          <cell r="AC1370">
            <v>146</v>
          </cell>
          <cell r="AD1370">
            <v>-2</v>
          </cell>
          <cell r="AE1370">
            <v>300</v>
          </cell>
          <cell r="AF1370">
            <v>254</v>
          </cell>
          <cell r="AG1370">
            <v>46</v>
          </cell>
        </row>
        <row r="1371">
          <cell r="C1371">
            <v>192206</v>
          </cell>
          <cell r="D1371" t="str">
            <v>ADITYA PETROLEUM</v>
          </cell>
          <cell r="E1371" t="str">
            <v>IOCL</v>
          </cell>
          <cell r="G1371" t="str">
            <v>Satara East RSA</v>
          </cell>
          <cell r="H1371">
            <v>37985</v>
          </cell>
          <cell r="I1371" t="str">
            <v>OPEN</v>
          </cell>
          <cell r="J1371" t="str">
            <v>Rahimatpur</v>
          </cell>
          <cell r="K1371" t="str">
            <v>Satara</v>
          </cell>
          <cell r="L1371" t="str">
            <v>E</v>
          </cell>
          <cell r="O1371" t="str">
            <v>B</v>
          </cell>
          <cell r="P1371">
            <v>69</v>
          </cell>
          <cell r="Q1371">
            <v>111</v>
          </cell>
          <cell r="R1371">
            <v>78</v>
          </cell>
          <cell r="S1371">
            <v>78</v>
          </cell>
          <cell r="T1371">
            <v>-9</v>
          </cell>
          <cell r="U1371">
            <v>33</v>
          </cell>
          <cell r="V1371">
            <v>138</v>
          </cell>
          <cell r="W1371">
            <v>198</v>
          </cell>
          <cell r="X1371">
            <v>153</v>
          </cell>
          <cell r="Y1371">
            <v>171</v>
          </cell>
          <cell r="Z1371">
            <v>-15</v>
          </cell>
          <cell r="AA1371">
            <v>27</v>
          </cell>
          <cell r="AB1371">
            <v>180</v>
          </cell>
          <cell r="AC1371">
            <v>156</v>
          </cell>
          <cell r="AD1371">
            <v>24</v>
          </cell>
          <cell r="AE1371">
            <v>336</v>
          </cell>
          <cell r="AF1371">
            <v>324</v>
          </cell>
          <cell r="AG1371">
            <v>12</v>
          </cell>
        </row>
        <row r="1372">
          <cell r="C1372">
            <v>192208</v>
          </cell>
          <cell r="D1372" t="str">
            <v>DWARKADHISH PETROLEUM</v>
          </cell>
          <cell r="E1372" t="str">
            <v>IOCL</v>
          </cell>
          <cell r="G1372" t="str">
            <v>Satara West RSA</v>
          </cell>
          <cell r="H1372">
            <v>38006</v>
          </cell>
          <cell r="I1372" t="str">
            <v>OPEN</v>
          </cell>
          <cell r="J1372" t="str">
            <v>Khandala to Bhuinj</v>
          </cell>
          <cell r="K1372" t="str">
            <v>Satara</v>
          </cell>
          <cell r="L1372" t="str">
            <v>D1</v>
          </cell>
          <cell r="M1372" t="str">
            <v>NH-48</v>
          </cell>
          <cell r="O1372" t="str">
            <v>B</v>
          </cell>
          <cell r="P1372">
            <v>87.5</v>
          </cell>
          <cell r="Q1372">
            <v>174.5</v>
          </cell>
          <cell r="R1372">
            <v>69</v>
          </cell>
          <cell r="S1372">
            <v>105</v>
          </cell>
          <cell r="T1372">
            <v>18.5</v>
          </cell>
          <cell r="U1372">
            <v>69.5</v>
          </cell>
          <cell r="V1372">
            <v>152.5</v>
          </cell>
          <cell r="W1372">
            <v>333.5</v>
          </cell>
          <cell r="X1372">
            <v>126</v>
          </cell>
          <cell r="Y1372">
            <v>250</v>
          </cell>
          <cell r="Z1372">
            <v>26.5</v>
          </cell>
          <cell r="AA1372">
            <v>83.5</v>
          </cell>
          <cell r="AB1372">
            <v>262</v>
          </cell>
          <cell r="AC1372">
            <v>174</v>
          </cell>
          <cell r="AD1372">
            <v>88</v>
          </cell>
          <cell r="AE1372">
            <v>486</v>
          </cell>
          <cell r="AF1372">
            <v>376</v>
          </cell>
          <cell r="AG1372">
            <v>110</v>
          </cell>
        </row>
        <row r="1373">
          <cell r="C1373">
            <v>192214</v>
          </cell>
          <cell r="D1373" t="str">
            <v>KUNJAN SERVICE CENTRE</v>
          </cell>
          <cell r="E1373" t="str">
            <v>IOCL</v>
          </cell>
          <cell r="G1373" t="str">
            <v>Satara East RSA</v>
          </cell>
          <cell r="H1373">
            <v>32963</v>
          </cell>
          <cell r="I1373" t="str">
            <v>PHP (OPEN)</v>
          </cell>
          <cell r="J1373" t="str">
            <v>Mhaswad</v>
          </cell>
          <cell r="K1373" t="str">
            <v>Satara</v>
          </cell>
          <cell r="L1373" t="str">
            <v>D1</v>
          </cell>
          <cell r="M1373" t="str">
            <v>NH-548C</v>
          </cell>
          <cell r="O1373" t="str">
            <v>B</v>
          </cell>
          <cell r="P1373">
            <v>100</v>
          </cell>
          <cell r="Q1373">
            <v>120</v>
          </cell>
          <cell r="R1373">
            <v>80</v>
          </cell>
          <cell r="S1373">
            <v>100</v>
          </cell>
          <cell r="T1373">
            <v>20</v>
          </cell>
          <cell r="U1373">
            <v>20</v>
          </cell>
          <cell r="V1373">
            <v>185</v>
          </cell>
          <cell r="W1373">
            <v>215</v>
          </cell>
          <cell r="X1373">
            <v>155</v>
          </cell>
          <cell r="Y1373">
            <v>185</v>
          </cell>
          <cell r="Z1373">
            <v>30</v>
          </cell>
          <cell r="AA1373">
            <v>30</v>
          </cell>
          <cell r="AB1373">
            <v>220</v>
          </cell>
          <cell r="AC1373">
            <v>180</v>
          </cell>
          <cell r="AD1373">
            <v>40</v>
          </cell>
          <cell r="AE1373">
            <v>400</v>
          </cell>
          <cell r="AF1373">
            <v>340</v>
          </cell>
          <cell r="AG1373">
            <v>60</v>
          </cell>
        </row>
        <row r="1374">
          <cell r="C1374">
            <v>192215</v>
          </cell>
          <cell r="D1374" t="str">
            <v>NISHNAI DEVI MSGSM</v>
          </cell>
          <cell r="E1374" t="str">
            <v>IOCL</v>
          </cell>
          <cell r="G1374" t="str">
            <v>Satara East RSA</v>
          </cell>
          <cell r="H1374">
            <v>37926</v>
          </cell>
          <cell r="I1374" t="str">
            <v>OPEN (W)</v>
          </cell>
          <cell r="J1374" t="str">
            <v>Wathar</v>
          </cell>
          <cell r="K1374" t="str">
            <v>Satara</v>
          </cell>
          <cell r="L1374" t="str">
            <v>D1</v>
          </cell>
          <cell r="M1374" t="str">
            <v>NH-965D</v>
          </cell>
          <cell r="O1374" t="str">
            <v>A</v>
          </cell>
          <cell r="P1374">
            <v>36</v>
          </cell>
          <cell r="Q1374">
            <v>96</v>
          </cell>
          <cell r="R1374">
            <v>39</v>
          </cell>
          <cell r="S1374">
            <v>81</v>
          </cell>
          <cell r="T1374">
            <v>-3</v>
          </cell>
          <cell r="U1374">
            <v>15</v>
          </cell>
          <cell r="V1374">
            <v>75</v>
          </cell>
          <cell r="W1374">
            <v>201</v>
          </cell>
          <cell r="X1374">
            <v>78</v>
          </cell>
          <cell r="Y1374">
            <v>159</v>
          </cell>
          <cell r="Z1374">
            <v>-3</v>
          </cell>
          <cell r="AA1374">
            <v>42</v>
          </cell>
          <cell r="AB1374">
            <v>132</v>
          </cell>
          <cell r="AC1374">
            <v>120</v>
          </cell>
          <cell r="AD1374">
            <v>12</v>
          </cell>
          <cell r="AE1374">
            <v>276</v>
          </cell>
          <cell r="AF1374">
            <v>237</v>
          </cell>
          <cell r="AG1374">
            <v>39</v>
          </cell>
        </row>
        <row r="1375">
          <cell r="C1375">
            <v>192251</v>
          </cell>
          <cell r="D1375" t="str">
            <v>Kopargaon Vividh Sahakari Society</v>
          </cell>
          <cell r="E1375" t="str">
            <v>IOCL</v>
          </cell>
          <cell r="G1375" t="str">
            <v>Shirdi RSA</v>
          </cell>
          <cell r="H1375">
            <v>25954</v>
          </cell>
          <cell r="I1375" t="str">
            <v>OPEN</v>
          </cell>
          <cell r="J1375" t="str">
            <v>KOPARGAON NH</v>
          </cell>
          <cell r="K1375" t="str">
            <v>Ahmednagar</v>
          </cell>
          <cell r="L1375" t="str">
            <v>D1</v>
          </cell>
          <cell r="M1375" t="str">
            <v>NH-752G</v>
          </cell>
          <cell r="O1375" t="str">
            <v>B</v>
          </cell>
          <cell r="P1375">
            <v>155</v>
          </cell>
          <cell r="Q1375">
            <v>221</v>
          </cell>
          <cell r="R1375">
            <v>131</v>
          </cell>
          <cell r="S1375">
            <v>169</v>
          </cell>
          <cell r="T1375">
            <v>24</v>
          </cell>
          <cell r="U1375">
            <v>52</v>
          </cell>
          <cell r="V1375">
            <v>264</v>
          </cell>
          <cell r="W1375">
            <v>376</v>
          </cell>
          <cell r="X1375">
            <v>250</v>
          </cell>
          <cell r="Y1375">
            <v>334</v>
          </cell>
          <cell r="Z1375">
            <v>14</v>
          </cell>
          <cell r="AA1375">
            <v>42</v>
          </cell>
          <cell r="AB1375">
            <v>376</v>
          </cell>
          <cell r="AC1375">
            <v>300</v>
          </cell>
          <cell r="AD1375">
            <v>76</v>
          </cell>
          <cell r="AE1375">
            <v>640</v>
          </cell>
          <cell r="AF1375">
            <v>584</v>
          </cell>
          <cell r="AG1375">
            <v>56</v>
          </cell>
        </row>
        <row r="1376">
          <cell r="C1376">
            <v>192252</v>
          </cell>
          <cell r="D1376" t="str">
            <v>Rajput Auto</v>
          </cell>
          <cell r="E1376" t="str">
            <v>IOCL</v>
          </cell>
          <cell r="G1376" t="str">
            <v>Ahmednagar East RSA</v>
          </cell>
          <cell r="H1376">
            <v>38017</v>
          </cell>
          <cell r="I1376" t="str">
            <v>OPEN</v>
          </cell>
          <cell r="J1376" t="str">
            <v>Khadka Phata</v>
          </cell>
          <cell r="K1376" t="str">
            <v>Ahmednagar</v>
          </cell>
          <cell r="L1376" t="str">
            <v>D1</v>
          </cell>
          <cell r="M1376" t="str">
            <v>NH-753F</v>
          </cell>
          <cell r="O1376" t="str">
            <v>B</v>
          </cell>
          <cell r="P1376">
            <v>42</v>
          </cell>
          <cell r="Q1376">
            <v>186</v>
          </cell>
          <cell r="R1376">
            <v>42</v>
          </cell>
          <cell r="S1376">
            <v>138</v>
          </cell>
          <cell r="T1376">
            <v>0</v>
          </cell>
          <cell r="U1376">
            <v>48</v>
          </cell>
          <cell r="V1376">
            <v>66</v>
          </cell>
          <cell r="W1376">
            <v>270</v>
          </cell>
          <cell r="X1376">
            <v>87</v>
          </cell>
          <cell r="Y1376">
            <v>249</v>
          </cell>
          <cell r="Z1376">
            <v>-21</v>
          </cell>
          <cell r="AA1376">
            <v>21</v>
          </cell>
          <cell r="AB1376">
            <v>228</v>
          </cell>
          <cell r="AC1376">
            <v>180</v>
          </cell>
          <cell r="AD1376">
            <v>48</v>
          </cell>
          <cell r="AE1376">
            <v>336</v>
          </cell>
          <cell r="AF1376">
            <v>336</v>
          </cell>
          <cell r="AG1376">
            <v>0</v>
          </cell>
        </row>
        <row r="1377">
          <cell r="C1377">
            <v>192253</v>
          </cell>
          <cell r="D1377" t="str">
            <v>Shree Sai Sunny Services</v>
          </cell>
          <cell r="E1377" t="str">
            <v>IOCL</v>
          </cell>
          <cell r="G1377" t="str">
            <v>Shirdi RSA</v>
          </cell>
          <cell r="H1377">
            <v>37621</v>
          </cell>
          <cell r="I1377" t="str">
            <v>OPEN</v>
          </cell>
          <cell r="J1377" t="str">
            <v xml:space="preserve">SHIRDI </v>
          </cell>
          <cell r="K1377" t="str">
            <v>Ahmednagar</v>
          </cell>
          <cell r="L1377" t="str">
            <v>D1</v>
          </cell>
          <cell r="M1377" t="str">
            <v>NH-160</v>
          </cell>
          <cell r="O1377" t="str">
            <v>A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</row>
        <row r="1378">
          <cell r="C1378">
            <v>192254</v>
          </cell>
          <cell r="D1378" t="str">
            <v>Shakti Auto Centre</v>
          </cell>
          <cell r="E1378" t="str">
            <v>IOCL</v>
          </cell>
          <cell r="G1378" t="str">
            <v>Ahmednagar West RSA</v>
          </cell>
          <cell r="H1378">
            <v>37315</v>
          </cell>
          <cell r="I1378" t="str">
            <v>OPEN</v>
          </cell>
          <cell r="J1378" t="str">
            <v>MIRAJGAON-NH</v>
          </cell>
          <cell r="K1378" t="str">
            <v>Ahmednagar</v>
          </cell>
          <cell r="L1378" t="str">
            <v>D1</v>
          </cell>
          <cell r="M1378" t="str">
            <v>NH-561A</v>
          </cell>
          <cell r="O1378" t="str">
            <v>A</v>
          </cell>
          <cell r="P1378">
            <v>13.5</v>
          </cell>
          <cell r="Q1378">
            <v>179.5</v>
          </cell>
          <cell r="R1378">
            <v>9.5</v>
          </cell>
          <cell r="S1378">
            <v>159.5</v>
          </cell>
          <cell r="T1378">
            <v>4</v>
          </cell>
          <cell r="U1378">
            <v>20</v>
          </cell>
          <cell r="V1378">
            <v>20</v>
          </cell>
          <cell r="W1378">
            <v>283</v>
          </cell>
          <cell r="X1378">
            <v>15.5</v>
          </cell>
          <cell r="Y1378">
            <v>333.5</v>
          </cell>
          <cell r="Z1378">
            <v>4.5</v>
          </cell>
          <cell r="AA1378">
            <v>-50.5</v>
          </cell>
          <cell r="AB1378">
            <v>193</v>
          </cell>
          <cell r="AC1378">
            <v>169</v>
          </cell>
          <cell r="AD1378">
            <v>24</v>
          </cell>
          <cell r="AE1378">
            <v>303</v>
          </cell>
          <cell r="AF1378">
            <v>349</v>
          </cell>
          <cell r="AG1378">
            <v>-46</v>
          </cell>
        </row>
        <row r="1379">
          <cell r="C1379">
            <v>192255</v>
          </cell>
          <cell r="D1379" t="str">
            <v>Yash Petroleum</v>
          </cell>
          <cell r="E1379" t="str">
            <v>IOCL</v>
          </cell>
          <cell r="G1379" t="str">
            <v>Ahmednagar East RSA</v>
          </cell>
          <cell r="H1379">
            <v>37649</v>
          </cell>
          <cell r="I1379" t="str">
            <v>OPEN</v>
          </cell>
          <cell r="J1379" t="str">
            <v>Sonai</v>
          </cell>
          <cell r="K1379" t="str">
            <v>Ahmednagar</v>
          </cell>
          <cell r="L1379" t="str">
            <v>D1</v>
          </cell>
          <cell r="M1379" t="str">
            <v>NH-160C</v>
          </cell>
          <cell r="O1379" t="str">
            <v>A</v>
          </cell>
          <cell r="P1379">
            <v>75</v>
          </cell>
          <cell r="Q1379">
            <v>165</v>
          </cell>
          <cell r="R1379">
            <v>64</v>
          </cell>
          <cell r="S1379">
            <v>104</v>
          </cell>
          <cell r="T1379">
            <v>11</v>
          </cell>
          <cell r="U1379">
            <v>61</v>
          </cell>
          <cell r="V1379">
            <v>133</v>
          </cell>
          <cell r="W1379">
            <v>265</v>
          </cell>
          <cell r="X1379">
            <v>130</v>
          </cell>
          <cell r="Y1379">
            <v>210</v>
          </cell>
          <cell r="Z1379">
            <v>3</v>
          </cell>
          <cell r="AA1379">
            <v>55</v>
          </cell>
          <cell r="AB1379">
            <v>240</v>
          </cell>
          <cell r="AC1379">
            <v>168</v>
          </cell>
          <cell r="AD1379">
            <v>72</v>
          </cell>
          <cell r="AE1379">
            <v>398</v>
          </cell>
          <cell r="AF1379">
            <v>340</v>
          </cell>
          <cell r="AG1379">
            <v>58</v>
          </cell>
        </row>
        <row r="1380">
          <cell r="C1380">
            <v>192256</v>
          </cell>
          <cell r="D1380" t="str">
            <v>ABC INDIA LTD</v>
          </cell>
          <cell r="E1380" t="str">
            <v>IOCL</v>
          </cell>
          <cell r="G1380" t="str">
            <v>Pune Tathawade RSA</v>
          </cell>
          <cell r="H1380">
            <v>20773</v>
          </cell>
          <cell r="I1380" t="str">
            <v>OPEN</v>
          </cell>
          <cell r="J1380" t="str">
            <v>DEHU ROAD TO TALEGAON DABHADE</v>
          </cell>
          <cell r="K1380" t="str">
            <v>Pune</v>
          </cell>
          <cell r="L1380" t="str">
            <v>D1</v>
          </cell>
          <cell r="M1380" t="str">
            <v>NH-48</v>
          </cell>
          <cell r="O1380" t="str">
            <v>A</v>
          </cell>
          <cell r="P1380">
            <v>240</v>
          </cell>
          <cell r="Q1380">
            <v>359</v>
          </cell>
          <cell r="R1380">
            <v>200</v>
          </cell>
          <cell r="S1380">
            <v>314</v>
          </cell>
          <cell r="T1380">
            <v>40</v>
          </cell>
          <cell r="U1380">
            <v>45</v>
          </cell>
          <cell r="V1380">
            <v>435</v>
          </cell>
          <cell r="W1380">
            <v>694</v>
          </cell>
          <cell r="X1380">
            <v>380</v>
          </cell>
          <cell r="Y1380">
            <v>657</v>
          </cell>
          <cell r="Z1380">
            <v>55</v>
          </cell>
          <cell r="AA1380">
            <v>37</v>
          </cell>
          <cell r="AB1380">
            <v>599</v>
          </cell>
          <cell r="AC1380">
            <v>514</v>
          </cell>
          <cell r="AD1380">
            <v>85</v>
          </cell>
          <cell r="AE1380">
            <v>1129</v>
          </cell>
          <cell r="AF1380">
            <v>1037</v>
          </cell>
          <cell r="AG1380">
            <v>92</v>
          </cell>
        </row>
        <row r="1381">
          <cell r="C1381">
            <v>192257</v>
          </cell>
          <cell r="D1381" t="str">
            <v>ALFA AUTOS</v>
          </cell>
          <cell r="E1381" t="str">
            <v>IOCL</v>
          </cell>
          <cell r="G1381" t="str">
            <v>Pune City RSA</v>
          </cell>
          <cell r="H1381">
            <v>26848</v>
          </cell>
          <cell r="I1381" t="str">
            <v>OPEN</v>
          </cell>
          <cell r="J1381" t="str">
            <v>Kasarwadi</v>
          </cell>
          <cell r="K1381" t="str">
            <v>Pune</v>
          </cell>
          <cell r="L1381" t="str">
            <v>A</v>
          </cell>
          <cell r="O1381" t="str">
            <v>A</v>
          </cell>
          <cell r="P1381">
            <v>189</v>
          </cell>
          <cell r="Q1381">
            <v>171</v>
          </cell>
          <cell r="R1381">
            <v>201</v>
          </cell>
          <cell r="S1381">
            <v>159</v>
          </cell>
          <cell r="T1381">
            <v>-12</v>
          </cell>
          <cell r="U1381">
            <v>12</v>
          </cell>
          <cell r="V1381">
            <v>375</v>
          </cell>
          <cell r="W1381">
            <v>333</v>
          </cell>
          <cell r="X1381">
            <v>394</v>
          </cell>
          <cell r="Y1381">
            <v>306</v>
          </cell>
          <cell r="Z1381">
            <v>-19</v>
          </cell>
          <cell r="AA1381">
            <v>27</v>
          </cell>
          <cell r="AB1381">
            <v>360</v>
          </cell>
          <cell r="AC1381">
            <v>360</v>
          </cell>
          <cell r="AD1381">
            <v>0</v>
          </cell>
          <cell r="AE1381">
            <v>708</v>
          </cell>
          <cell r="AF1381">
            <v>700</v>
          </cell>
          <cell r="AG1381">
            <v>8</v>
          </cell>
        </row>
        <row r="1382">
          <cell r="C1382">
            <v>192259</v>
          </cell>
          <cell r="D1382" t="str">
            <v>BAFNA BROTHERS (MS)</v>
          </cell>
          <cell r="E1382" t="str">
            <v>IOCL</v>
          </cell>
          <cell r="G1382" t="str">
            <v>Pune City RSA</v>
          </cell>
          <cell r="H1382">
            <v>24197</v>
          </cell>
          <cell r="I1382" t="str">
            <v>OPEN</v>
          </cell>
          <cell r="J1382" t="str">
            <v>NATUBAUG</v>
          </cell>
          <cell r="K1382" t="str">
            <v>Pune</v>
          </cell>
          <cell r="L1382" t="str">
            <v>A</v>
          </cell>
          <cell r="O1382" t="str">
            <v>A</v>
          </cell>
          <cell r="P1382">
            <v>278</v>
          </cell>
          <cell r="Q1382">
            <v>0</v>
          </cell>
          <cell r="R1382">
            <v>262</v>
          </cell>
          <cell r="S1382">
            <v>0</v>
          </cell>
          <cell r="T1382">
            <v>16</v>
          </cell>
          <cell r="U1382">
            <v>0</v>
          </cell>
          <cell r="V1382">
            <v>558</v>
          </cell>
          <cell r="W1382">
            <v>0</v>
          </cell>
          <cell r="X1382">
            <v>510</v>
          </cell>
          <cell r="Y1382">
            <v>0</v>
          </cell>
          <cell r="Z1382">
            <v>48</v>
          </cell>
          <cell r="AA1382">
            <v>0</v>
          </cell>
          <cell r="AB1382">
            <v>278</v>
          </cell>
          <cell r="AC1382">
            <v>262</v>
          </cell>
          <cell r="AD1382">
            <v>16</v>
          </cell>
          <cell r="AE1382">
            <v>558</v>
          </cell>
          <cell r="AF1382">
            <v>510</v>
          </cell>
          <cell r="AG1382">
            <v>48</v>
          </cell>
        </row>
        <row r="1383">
          <cell r="C1383">
            <v>192260</v>
          </cell>
          <cell r="D1383" t="str">
            <v>JYOTI PETROLEUM</v>
          </cell>
          <cell r="E1383" t="str">
            <v>IOCL</v>
          </cell>
          <cell r="G1383" t="str">
            <v>Pune City RSA</v>
          </cell>
          <cell r="H1383">
            <v>38283</v>
          </cell>
          <cell r="I1383" t="str">
            <v>OPEN</v>
          </cell>
          <cell r="J1383" t="str">
            <v>SINGHAD ROAD (RHS)</v>
          </cell>
          <cell r="K1383" t="str">
            <v>Pune</v>
          </cell>
          <cell r="L1383" t="str">
            <v>A</v>
          </cell>
          <cell r="O1383" t="str">
            <v>A</v>
          </cell>
          <cell r="P1383">
            <v>267</v>
          </cell>
          <cell r="Q1383">
            <v>81</v>
          </cell>
          <cell r="R1383">
            <v>237</v>
          </cell>
          <cell r="S1383">
            <v>63</v>
          </cell>
          <cell r="T1383">
            <v>30</v>
          </cell>
          <cell r="U1383">
            <v>18</v>
          </cell>
          <cell r="V1383">
            <v>510</v>
          </cell>
          <cell r="W1383">
            <v>138</v>
          </cell>
          <cell r="X1383">
            <v>465</v>
          </cell>
          <cell r="Y1383">
            <v>123</v>
          </cell>
          <cell r="Z1383">
            <v>45</v>
          </cell>
          <cell r="AA1383">
            <v>15</v>
          </cell>
          <cell r="AB1383">
            <v>348</v>
          </cell>
          <cell r="AC1383">
            <v>300</v>
          </cell>
          <cell r="AD1383">
            <v>48</v>
          </cell>
          <cell r="AE1383">
            <v>648</v>
          </cell>
          <cell r="AF1383">
            <v>588</v>
          </cell>
          <cell r="AG1383">
            <v>60</v>
          </cell>
        </row>
        <row r="1384">
          <cell r="C1384">
            <v>192262</v>
          </cell>
          <cell r="D1384" t="str">
            <v>KAJALE &amp; SONS (MS)</v>
          </cell>
          <cell r="E1384" t="str">
            <v>IOCL</v>
          </cell>
          <cell r="G1384" t="str">
            <v>Pune City RSA</v>
          </cell>
          <cell r="H1384">
            <v>20621</v>
          </cell>
          <cell r="I1384" t="str">
            <v>OPEN</v>
          </cell>
          <cell r="J1384" t="str">
            <v>SHIVAJINAGAR</v>
          </cell>
          <cell r="K1384" t="str">
            <v>Pune</v>
          </cell>
          <cell r="L1384" t="str">
            <v>A</v>
          </cell>
          <cell r="O1384" t="str">
            <v>A</v>
          </cell>
          <cell r="P1384">
            <v>98</v>
          </cell>
          <cell r="Q1384">
            <v>0</v>
          </cell>
          <cell r="R1384">
            <v>108</v>
          </cell>
          <cell r="S1384">
            <v>0</v>
          </cell>
          <cell r="T1384">
            <v>-10</v>
          </cell>
          <cell r="U1384">
            <v>0</v>
          </cell>
          <cell r="V1384">
            <v>196</v>
          </cell>
          <cell r="W1384">
            <v>0</v>
          </cell>
          <cell r="X1384">
            <v>206</v>
          </cell>
          <cell r="Y1384">
            <v>0</v>
          </cell>
          <cell r="Z1384">
            <v>-10</v>
          </cell>
          <cell r="AA1384">
            <v>0</v>
          </cell>
          <cell r="AB1384">
            <v>98</v>
          </cell>
          <cell r="AC1384">
            <v>108</v>
          </cell>
          <cell r="AD1384">
            <v>-10</v>
          </cell>
          <cell r="AE1384">
            <v>196</v>
          </cell>
          <cell r="AF1384">
            <v>206</v>
          </cell>
          <cell r="AG1384">
            <v>-10</v>
          </cell>
        </row>
        <row r="1385">
          <cell r="C1385">
            <v>192263</v>
          </cell>
          <cell r="D1385" t="str">
            <v>MAHADEVI PETROL DEPOT</v>
          </cell>
          <cell r="E1385" t="str">
            <v>IOCL</v>
          </cell>
          <cell r="G1385" t="str">
            <v>Pimpri Chinchwad RSA</v>
          </cell>
          <cell r="H1385">
            <v>37657</v>
          </cell>
          <cell r="I1385" t="str">
            <v>OPEN</v>
          </cell>
          <cell r="J1385" t="str">
            <v>Kharabwadi</v>
          </cell>
          <cell r="K1385" t="str">
            <v>Pune</v>
          </cell>
          <cell r="L1385" t="str">
            <v>D1</v>
          </cell>
          <cell r="M1385" t="str">
            <v>NH-548D</v>
          </cell>
          <cell r="O1385" t="str">
            <v>A</v>
          </cell>
          <cell r="P1385">
            <v>30</v>
          </cell>
          <cell r="Q1385">
            <v>450</v>
          </cell>
          <cell r="R1385">
            <v>40</v>
          </cell>
          <cell r="S1385">
            <v>474</v>
          </cell>
          <cell r="T1385">
            <v>-10</v>
          </cell>
          <cell r="U1385">
            <v>-24</v>
          </cell>
          <cell r="V1385">
            <v>60</v>
          </cell>
          <cell r="W1385">
            <v>860</v>
          </cell>
          <cell r="X1385">
            <v>70</v>
          </cell>
          <cell r="Y1385">
            <v>848</v>
          </cell>
          <cell r="Z1385">
            <v>-10</v>
          </cell>
          <cell r="AA1385">
            <v>12</v>
          </cell>
          <cell r="AB1385">
            <v>480</v>
          </cell>
          <cell r="AC1385">
            <v>514</v>
          </cell>
          <cell r="AD1385">
            <v>-34</v>
          </cell>
          <cell r="AE1385">
            <v>920</v>
          </cell>
          <cell r="AF1385">
            <v>918</v>
          </cell>
          <cell r="AG1385">
            <v>2</v>
          </cell>
        </row>
        <row r="1386">
          <cell r="C1386">
            <v>192265</v>
          </cell>
          <cell r="D1386" t="str">
            <v>PIMPLE PETROLEUM</v>
          </cell>
          <cell r="E1386" t="str">
            <v>IOCL</v>
          </cell>
          <cell r="G1386" t="str">
            <v>Pune City RSA</v>
          </cell>
          <cell r="H1386">
            <v>38014</v>
          </cell>
          <cell r="I1386" t="str">
            <v>OPEN</v>
          </cell>
          <cell r="J1386" t="str">
            <v>Pimpri</v>
          </cell>
          <cell r="K1386" t="str">
            <v>Pune</v>
          </cell>
          <cell r="L1386" t="str">
            <v>A</v>
          </cell>
          <cell r="O1386" t="str">
            <v>A</v>
          </cell>
          <cell r="P1386">
            <v>155</v>
          </cell>
          <cell r="Q1386">
            <v>59</v>
          </cell>
          <cell r="R1386">
            <v>128</v>
          </cell>
          <cell r="S1386">
            <v>56</v>
          </cell>
          <cell r="T1386">
            <v>27</v>
          </cell>
          <cell r="U1386">
            <v>3</v>
          </cell>
          <cell r="V1386">
            <v>275</v>
          </cell>
          <cell r="W1386">
            <v>119</v>
          </cell>
          <cell r="X1386">
            <v>251</v>
          </cell>
          <cell r="Y1386">
            <v>109</v>
          </cell>
          <cell r="Z1386">
            <v>24</v>
          </cell>
          <cell r="AA1386">
            <v>10</v>
          </cell>
          <cell r="AB1386">
            <v>214</v>
          </cell>
          <cell r="AC1386">
            <v>184</v>
          </cell>
          <cell r="AD1386">
            <v>30</v>
          </cell>
          <cell r="AE1386">
            <v>394</v>
          </cell>
          <cell r="AF1386">
            <v>360</v>
          </cell>
          <cell r="AG1386">
            <v>34</v>
          </cell>
        </row>
        <row r="1387">
          <cell r="C1387">
            <v>192267</v>
          </cell>
          <cell r="D1387" t="str">
            <v>SAI SAMARTHA PETROLEUM</v>
          </cell>
          <cell r="E1387" t="str">
            <v>IOCL</v>
          </cell>
          <cell r="G1387" t="str">
            <v>Pune City RSA</v>
          </cell>
          <cell r="H1387">
            <v>38031</v>
          </cell>
          <cell r="I1387" t="str">
            <v>OPEN</v>
          </cell>
          <cell r="J1387" t="str">
            <v>SANGAVI</v>
          </cell>
          <cell r="K1387" t="str">
            <v>Pune</v>
          </cell>
          <cell r="L1387" t="str">
            <v>A</v>
          </cell>
          <cell r="O1387" t="str">
            <v>A</v>
          </cell>
          <cell r="P1387">
            <v>238</v>
          </cell>
          <cell r="Q1387">
            <v>56</v>
          </cell>
          <cell r="R1387">
            <v>213.5</v>
          </cell>
          <cell r="S1387">
            <v>38.5</v>
          </cell>
          <cell r="T1387">
            <v>24.5</v>
          </cell>
          <cell r="U1387">
            <v>17.5</v>
          </cell>
          <cell r="V1387">
            <v>451.5</v>
          </cell>
          <cell r="W1387">
            <v>108.5</v>
          </cell>
          <cell r="X1387">
            <v>413</v>
          </cell>
          <cell r="Y1387">
            <v>77</v>
          </cell>
          <cell r="Z1387">
            <v>38.5</v>
          </cell>
          <cell r="AA1387">
            <v>31.5</v>
          </cell>
          <cell r="AB1387">
            <v>294</v>
          </cell>
          <cell r="AC1387">
            <v>252</v>
          </cell>
          <cell r="AD1387">
            <v>42</v>
          </cell>
          <cell r="AE1387">
            <v>560</v>
          </cell>
          <cell r="AF1387">
            <v>490</v>
          </cell>
          <cell r="AG1387">
            <v>70</v>
          </cell>
        </row>
        <row r="1388">
          <cell r="C1388">
            <v>192268</v>
          </cell>
          <cell r="D1388" t="str">
            <v>SAI PETRO HUB</v>
          </cell>
          <cell r="E1388" t="str">
            <v>IOCL</v>
          </cell>
          <cell r="G1388" t="str">
            <v>Pune City RSA</v>
          </cell>
          <cell r="H1388">
            <v>26738</v>
          </cell>
          <cell r="I1388" t="str">
            <v>OPEN</v>
          </cell>
          <cell r="J1388" t="str">
            <v>UNDRI</v>
          </cell>
          <cell r="K1388" t="str">
            <v>Pune</v>
          </cell>
          <cell r="L1388" t="str">
            <v>A</v>
          </cell>
          <cell r="O1388" t="str">
            <v>A</v>
          </cell>
          <cell r="P1388">
            <v>330</v>
          </cell>
          <cell r="Q1388">
            <v>132</v>
          </cell>
          <cell r="R1388">
            <v>310</v>
          </cell>
          <cell r="S1388">
            <v>130</v>
          </cell>
          <cell r="T1388">
            <v>20</v>
          </cell>
          <cell r="U1388">
            <v>2</v>
          </cell>
          <cell r="V1388">
            <v>642</v>
          </cell>
          <cell r="W1388">
            <v>260</v>
          </cell>
          <cell r="X1388">
            <v>620</v>
          </cell>
          <cell r="Y1388">
            <v>260</v>
          </cell>
          <cell r="Z1388">
            <v>22</v>
          </cell>
          <cell r="AA1388">
            <v>0</v>
          </cell>
          <cell r="AB1388">
            <v>462</v>
          </cell>
          <cell r="AC1388">
            <v>440</v>
          </cell>
          <cell r="AD1388">
            <v>22</v>
          </cell>
          <cell r="AE1388">
            <v>902</v>
          </cell>
          <cell r="AF1388">
            <v>880</v>
          </cell>
          <cell r="AG1388">
            <v>22</v>
          </cell>
        </row>
        <row r="1389">
          <cell r="C1389">
            <v>192269</v>
          </cell>
          <cell r="D1389" t="str">
            <v>SHRI BALAJI PETROLEUM</v>
          </cell>
          <cell r="E1389" t="str">
            <v>IOCL</v>
          </cell>
          <cell r="G1389" t="str">
            <v>Pune Hadapsar RSA</v>
          </cell>
          <cell r="H1389">
            <v>37670</v>
          </cell>
          <cell r="I1389" t="str">
            <v>OPEN</v>
          </cell>
          <cell r="J1389" t="str">
            <v>UrliDevachi</v>
          </cell>
          <cell r="K1389" t="str">
            <v>Pune</v>
          </cell>
          <cell r="L1389" t="str">
            <v>D1</v>
          </cell>
          <cell r="M1389" t="str">
            <v>NH-965</v>
          </cell>
          <cell r="O1389" t="str">
            <v>A</v>
          </cell>
          <cell r="P1389">
            <v>67</v>
          </cell>
          <cell r="Q1389">
            <v>141</v>
          </cell>
          <cell r="R1389">
            <v>43.5</v>
          </cell>
          <cell r="S1389">
            <v>136.5</v>
          </cell>
          <cell r="T1389">
            <v>23.5</v>
          </cell>
          <cell r="U1389">
            <v>4.5</v>
          </cell>
          <cell r="V1389">
            <v>111.5</v>
          </cell>
          <cell r="W1389">
            <v>250.5</v>
          </cell>
          <cell r="X1389">
            <v>102.5</v>
          </cell>
          <cell r="Y1389">
            <v>235.5</v>
          </cell>
          <cell r="Z1389">
            <v>9</v>
          </cell>
          <cell r="AA1389">
            <v>15</v>
          </cell>
          <cell r="AB1389">
            <v>208</v>
          </cell>
          <cell r="AC1389">
            <v>180</v>
          </cell>
          <cell r="AD1389">
            <v>28</v>
          </cell>
          <cell r="AE1389">
            <v>362</v>
          </cell>
          <cell r="AF1389">
            <v>338</v>
          </cell>
          <cell r="AG1389">
            <v>24</v>
          </cell>
        </row>
        <row r="1390">
          <cell r="C1390">
            <v>192271</v>
          </cell>
          <cell r="D1390" t="str">
            <v>ATHARVA PETROLEUM</v>
          </cell>
          <cell r="E1390" t="str">
            <v>IOCL</v>
          </cell>
          <cell r="G1390" t="str">
            <v>Satara West RSA</v>
          </cell>
          <cell r="H1390">
            <v>38380</v>
          </cell>
          <cell r="I1390" t="str">
            <v>OPEN (W)</v>
          </cell>
          <cell r="J1390" t="str">
            <v>Narayanwadi Not on NH</v>
          </cell>
          <cell r="K1390" t="str">
            <v>Satara</v>
          </cell>
          <cell r="L1390" t="str">
            <v>D2</v>
          </cell>
          <cell r="O1390" t="str">
            <v>A</v>
          </cell>
          <cell r="P1390">
            <v>12</v>
          </cell>
          <cell r="Q1390">
            <v>12</v>
          </cell>
          <cell r="R1390">
            <v>6</v>
          </cell>
          <cell r="S1390">
            <v>6</v>
          </cell>
          <cell r="T1390">
            <v>6</v>
          </cell>
          <cell r="U1390">
            <v>6</v>
          </cell>
          <cell r="V1390">
            <v>12</v>
          </cell>
          <cell r="W1390">
            <v>12</v>
          </cell>
          <cell r="X1390">
            <v>36</v>
          </cell>
          <cell r="Y1390">
            <v>36</v>
          </cell>
          <cell r="Z1390">
            <v>-24</v>
          </cell>
          <cell r="AA1390">
            <v>-24</v>
          </cell>
          <cell r="AB1390">
            <v>24</v>
          </cell>
          <cell r="AC1390">
            <v>12</v>
          </cell>
          <cell r="AD1390">
            <v>12</v>
          </cell>
          <cell r="AE1390">
            <v>24</v>
          </cell>
          <cell r="AF1390">
            <v>72</v>
          </cell>
          <cell r="AG1390">
            <v>-48</v>
          </cell>
        </row>
        <row r="1391">
          <cell r="C1391">
            <v>192273</v>
          </cell>
          <cell r="D1391" t="str">
            <v>GURUDEO  PETROLEUM</v>
          </cell>
          <cell r="E1391" t="str">
            <v>IOCL</v>
          </cell>
          <cell r="G1391" t="str">
            <v>Satara West RSA</v>
          </cell>
          <cell r="H1391">
            <v>38442</v>
          </cell>
          <cell r="I1391" t="str">
            <v>OPEN</v>
          </cell>
          <cell r="J1391" t="str">
            <v>Satara to Mahagaon</v>
          </cell>
          <cell r="K1391" t="str">
            <v>Satara</v>
          </cell>
          <cell r="L1391" t="str">
            <v>D1</v>
          </cell>
          <cell r="M1391" t="str">
            <v>NH-548C</v>
          </cell>
          <cell r="O1391" t="str">
            <v>B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</row>
        <row r="1392">
          <cell r="C1392">
            <v>192656</v>
          </cell>
          <cell r="D1392" t="str">
            <v>KARAD TALUKA KVS LTD. MARKET Y</v>
          </cell>
          <cell r="E1392" t="str">
            <v>IOCL</v>
          </cell>
          <cell r="G1392" t="str">
            <v>Satara West RSA</v>
          </cell>
          <cell r="H1392">
            <v>38624</v>
          </cell>
          <cell r="I1392" t="str">
            <v>OPEN</v>
          </cell>
          <cell r="J1392" t="str">
            <v>Karad City</v>
          </cell>
          <cell r="K1392" t="str">
            <v>Satara</v>
          </cell>
          <cell r="L1392" t="str">
            <v>C</v>
          </cell>
          <cell r="O1392" t="str">
            <v>A</v>
          </cell>
          <cell r="P1392">
            <v>101.5</v>
          </cell>
          <cell r="Q1392">
            <v>84.5</v>
          </cell>
          <cell r="R1392">
            <v>81</v>
          </cell>
          <cell r="S1392">
            <v>75</v>
          </cell>
          <cell r="T1392">
            <v>20.5</v>
          </cell>
          <cell r="U1392">
            <v>9.5</v>
          </cell>
          <cell r="V1392">
            <v>181.5</v>
          </cell>
          <cell r="W1392">
            <v>150.5</v>
          </cell>
          <cell r="X1392">
            <v>171</v>
          </cell>
          <cell r="Y1392">
            <v>141</v>
          </cell>
          <cell r="Z1392">
            <v>10.5</v>
          </cell>
          <cell r="AA1392">
            <v>9.5</v>
          </cell>
          <cell r="AB1392">
            <v>186</v>
          </cell>
          <cell r="AC1392">
            <v>156</v>
          </cell>
          <cell r="AD1392">
            <v>30</v>
          </cell>
          <cell r="AE1392">
            <v>332</v>
          </cell>
          <cell r="AF1392">
            <v>312</v>
          </cell>
          <cell r="AG1392">
            <v>20</v>
          </cell>
        </row>
        <row r="1393">
          <cell r="C1393">
            <v>192876</v>
          </cell>
          <cell r="D1393" t="str">
            <v>UNIQUE PETROLEUM</v>
          </cell>
          <cell r="E1393" t="str">
            <v>IOCL</v>
          </cell>
          <cell r="G1393" t="str">
            <v>Pune Wagholi RSA</v>
          </cell>
          <cell r="H1393">
            <v>38625</v>
          </cell>
          <cell r="I1393" t="str">
            <v>SC</v>
          </cell>
          <cell r="J1393" t="str">
            <v>LONIKAND to KOREGAON BHIMA LHS</v>
          </cell>
          <cell r="K1393" t="str">
            <v>Pune</v>
          </cell>
          <cell r="L1393" t="str">
            <v>D1</v>
          </cell>
          <cell r="M1393" t="str">
            <v>NH-753F</v>
          </cell>
          <cell r="O1393" t="str">
            <v>A</v>
          </cell>
          <cell r="P1393">
            <v>66</v>
          </cell>
          <cell r="Q1393">
            <v>138</v>
          </cell>
          <cell r="R1393">
            <v>57</v>
          </cell>
          <cell r="S1393">
            <v>99</v>
          </cell>
          <cell r="T1393">
            <v>9</v>
          </cell>
          <cell r="U1393">
            <v>39</v>
          </cell>
          <cell r="V1393">
            <v>114</v>
          </cell>
          <cell r="W1393">
            <v>246</v>
          </cell>
          <cell r="X1393">
            <v>114</v>
          </cell>
          <cell r="Y1393">
            <v>198</v>
          </cell>
          <cell r="Z1393">
            <v>0</v>
          </cell>
          <cell r="AA1393">
            <v>48</v>
          </cell>
          <cell r="AB1393">
            <v>204</v>
          </cell>
          <cell r="AC1393">
            <v>156</v>
          </cell>
          <cell r="AD1393">
            <v>48</v>
          </cell>
          <cell r="AE1393">
            <v>360</v>
          </cell>
          <cell r="AF1393">
            <v>312</v>
          </cell>
          <cell r="AG1393">
            <v>48</v>
          </cell>
        </row>
        <row r="1394">
          <cell r="C1394">
            <v>192877</v>
          </cell>
          <cell r="D1394" t="str">
            <v>MORYA PETROLEUM</v>
          </cell>
          <cell r="E1394" t="str">
            <v>IOCL</v>
          </cell>
          <cell r="G1394" t="str">
            <v>Pimpri Chinchwad RSA</v>
          </cell>
          <cell r="H1394">
            <v>38623</v>
          </cell>
          <cell r="I1394" t="str">
            <v>OPEN</v>
          </cell>
          <cell r="J1394" t="str">
            <v>Akurdi</v>
          </cell>
          <cell r="K1394" t="str">
            <v>Pune</v>
          </cell>
          <cell r="L1394" t="str">
            <v>A</v>
          </cell>
          <cell r="O1394" t="str">
            <v>B</v>
          </cell>
          <cell r="P1394">
            <v>335</v>
          </cell>
          <cell r="Q1394">
            <v>125</v>
          </cell>
          <cell r="R1394">
            <v>290</v>
          </cell>
          <cell r="S1394">
            <v>94</v>
          </cell>
          <cell r="T1394">
            <v>45</v>
          </cell>
          <cell r="U1394">
            <v>31</v>
          </cell>
          <cell r="V1394">
            <v>630</v>
          </cell>
          <cell r="W1394">
            <v>225</v>
          </cell>
          <cell r="X1394">
            <v>590</v>
          </cell>
          <cell r="Y1394">
            <v>184</v>
          </cell>
          <cell r="Z1394">
            <v>40</v>
          </cell>
          <cell r="AA1394">
            <v>41</v>
          </cell>
          <cell r="AB1394">
            <v>460</v>
          </cell>
          <cell r="AC1394">
            <v>384</v>
          </cell>
          <cell r="AD1394">
            <v>76</v>
          </cell>
          <cell r="AE1394">
            <v>855</v>
          </cell>
          <cell r="AF1394">
            <v>774</v>
          </cell>
          <cell r="AG1394">
            <v>81</v>
          </cell>
        </row>
        <row r="1395">
          <cell r="C1395">
            <v>193203</v>
          </cell>
          <cell r="D1395" t="str">
            <v>YOGESH SERVICE STATION</v>
          </cell>
          <cell r="E1395" t="str">
            <v>IOCL</v>
          </cell>
          <cell r="G1395" t="str">
            <v>Pune Wagholi RSA</v>
          </cell>
          <cell r="H1395">
            <v>38623</v>
          </cell>
          <cell r="I1395" t="str">
            <v>OPEN</v>
          </cell>
          <cell r="J1395" t="str">
            <v>LONIKAND to KOREGAON BHIMA RHS</v>
          </cell>
          <cell r="K1395" t="str">
            <v>Pune</v>
          </cell>
          <cell r="L1395" t="str">
            <v>D1</v>
          </cell>
          <cell r="M1395" t="str">
            <v>NH-753F</v>
          </cell>
          <cell r="O1395" t="str">
            <v>B</v>
          </cell>
          <cell r="P1395">
            <v>72</v>
          </cell>
          <cell r="Q1395">
            <v>836</v>
          </cell>
          <cell r="R1395">
            <v>70</v>
          </cell>
          <cell r="S1395">
            <v>843</v>
          </cell>
          <cell r="T1395">
            <v>2</v>
          </cell>
          <cell r="U1395">
            <v>-7</v>
          </cell>
          <cell r="V1395">
            <v>120</v>
          </cell>
          <cell r="W1395">
            <v>1523</v>
          </cell>
          <cell r="X1395">
            <v>127</v>
          </cell>
          <cell r="Y1395">
            <v>1718</v>
          </cell>
          <cell r="Z1395">
            <v>-7</v>
          </cell>
          <cell r="AA1395">
            <v>-195</v>
          </cell>
          <cell r="AB1395">
            <v>908</v>
          </cell>
          <cell r="AC1395">
            <v>913</v>
          </cell>
          <cell r="AD1395">
            <v>-5</v>
          </cell>
          <cell r="AE1395">
            <v>1643</v>
          </cell>
          <cell r="AF1395">
            <v>1845</v>
          </cell>
          <cell r="AG1395">
            <v>-202</v>
          </cell>
        </row>
        <row r="1396">
          <cell r="C1396">
            <v>193205</v>
          </cell>
          <cell r="D1396" t="str">
            <v>MALHAR PETROLUM</v>
          </cell>
          <cell r="E1396" t="str">
            <v>IOCL</v>
          </cell>
          <cell r="G1396" t="str">
            <v>Pune Wagholi RSA</v>
          </cell>
          <cell r="H1396">
            <v>38623</v>
          </cell>
          <cell r="I1396" t="str">
            <v>OPEN</v>
          </cell>
          <cell r="J1396" t="str">
            <v>Kasari</v>
          </cell>
          <cell r="K1396" t="str">
            <v>Pune</v>
          </cell>
          <cell r="L1396" t="str">
            <v>D1</v>
          </cell>
          <cell r="M1396" t="str">
            <v>NH-753F</v>
          </cell>
          <cell r="O1396" t="str">
            <v>B</v>
          </cell>
          <cell r="P1396">
            <v>36</v>
          </cell>
          <cell r="Q1396">
            <v>146</v>
          </cell>
          <cell r="R1396">
            <v>27</v>
          </cell>
          <cell r="S1396">
            <v>179</v>
          </cell>
          <cell r="T1396">
            <v>9</v>
          </cell>
          <cell r="U1396">
            <v>-33</v>
          </cell>
          <cell r="V1396">
            <v>68</v>
          </cell>
          <cell r="W1396">
            <v>296</v>
          </cell>
          <cell r="X1396">
            <v>51.5</v>
          </cell>
          <cell r="Y1396">
            <v>334.5</v>
          </cell>
          <cell r="Z1396">
            <v>16.5</v>
          </cell>
          <cell r="AA1396">
            <v>-38.5</v>
          </cell>
          <cell r="AB1396">
            <v>182</v>
          </cell>
          <cell r="AC1396">
            <v>206</v>
          </cell>
          <cell r="AD1396">
            <v>-24</v>
          </cell>
          <cell r="AE1396">
            <v>364</v>
          </cell>
          <cell r="AF1396">
            <v>386</v>
          </cell>
          <cell r="AG1396">
            <v>-22</v>
          </cell>
        </row>
        <row r="1397">
          <cell r="C1397">
            <v>194146</v>
          </cell>
          <cell r="D1397" t="str">
            <v>SHAHID LT.COL.PRAKASH PATIL PE</v>
          </cell>
          <cell r="E1397" t="str">
            <v>IOCL</v>
          </cell>
          <cell r="G1397" t="str">
            <v>Pune City RSA</v>
          </cell>
          <cell r="H1397">
            <v>38655</v>
          </cell>
          <cell r="I1397" t="str">
            <v>DISCRETIONARY-QUOTA</v>
          </cell>
          <cell r="J1397" t="str">
            <v>AMBEGAON/WARJE</v>
          </cell>
          <cell r="K1397" t="str">
            <v>Pune</v>
          </cell>
          <cell r="L1397" t="str">
            <v>A</v>
          </cell>
          <cell r="O1397" t="str">
            <v>A</v>
          </cell>
          <cell r="P1397">
            <v>355</v>
          </cell>
          <cell r="Q1397">
            <v>299</v>
          </cell>
          <cell r="R1397">
            <v>340</v>
          </cell>
          <cell r="S1397">
            <v>280</v>
          </cell>
          <cell r="T1397">
            <v>15</v>
          </cell>
          <cell r="U1397">
            <v>19</v>
          </cell>
          <cell r="V1397">
            <v>695</v>
          </cell>
          <cell r="W1397">
            <v>599</v>
          </cell>
          <cell r="X1397">
            <v>675</v>
          </cell>
          <cell r="Y1397">
            <v>585</v>
          </cell>
          <cell r="Z1397">
            <v>20</v>
          </cell>
          <cell r="AA1397">
            <v>14</v>
          </cell>
          <cell r="AB1397">
            <v>654</v>
          </cell>
          <cell r="AC1397">
            <v>620</v>
          </cell>
          <cell r="AD1397">
            <v>34</v>
          </cell>
          <cell r="AE1397">
            <v>1294</v>
          </cell>
          <cell r="AF1397">
            <v>1260</v>
          </cell>
          <cell r="AG1397">
            <v>34</v>
          </cell>
        </row>
        <row r="1398">
          <cell r="C1398">
            <v>194558</v>
          </cell>
          <cell r="D1398" t="str">
            <v>AKSHAYKIRAN PETROLEUM</v>
          </cell>
          <cell r="E1398" t="str">
            <v>IOCL</v>
          </cell>
          <cell r="G1398" t="str">
            <v>Pimpri Chinchwad RSA</v>
          </cell>
          <cell r="H1398">
            <v>38714</v>
          </cell>
          <cell r="I1398" t="str">
            <v>OPEN</v>
          </cell>
          <cell r="J1398" t="str">
            <v>CHAKAN NH-60 LHS</v>
          </cell>
          <cell r="K1398" t="str">
            <v>Pune</v>
          </cell>
          <cell r="L1398" t="str">
            <v>D1</v>
          </cell>
          <cell r="M1398" t="str">
            <v>NH-60</v>
          </cell>
          <cell r="O1398" t="str">
            <v>A</v>
          </cell>
          <cell r="P1398">
            <v>70</v>
          </cell>
          <cell r="Q1398">
            <v>229</v>
          </cell>
          <cell r="R1398">
            <v>70</v>
          </cell>
          <cell r="S1398">
            <v>160</v>
          </cell>
          <cell r="T1398">
            <v>0</v>
          </cell>
          <cell r="U1398">
            <v>69</v>
          </cell>
          <cell r="V1398">
            <v>135</v>
          </cell>
          <cell r="W1398">
            <v>417</v>
          </cell>
          <cell r="X1398">
            <v>135</v>
          </cell>
          <cell r="Y1398">
            <v>302</v>
          </cell>
          <cell r="Z1398">
            <v>0</v>
          </cell>
          <cell r="AA1398">
            <v>115</v>
          </cell>
          <cell r="AB1398">
            <v>299</v>
          </cell>
          <cell r="AC1398">
            <v>230</v>
          </cell>
          <cell r="AD1398">
            <v>69</v>
          </cell>
          <cell r="AE1398">
            <v>552</v>
          </cell>
          <cell r="AF1398">
            <v>437</v>
          </cell>
          <cell r="AG1398">
            <v>115</v>
          </cell>
        </row>
        <row r="1399">
          <cell r="C1399">
            <v>194979</v>
          </cell>
          <cell r="D1399" t="str">
            <v>SHRI SEVAGIRI PETROLEUM</v>
          </cell>
          <cell r="E1399" t="str">
            <v>IOCL</v>
          </cell>
          <cell r="G1399" t="str">
            <v>Satara East RSA</v>
          </cell>
          <cell r="H1399">
            <v>38713</v>
          </cell>
          <cell r="I1399" t="str">
            <v>OPEN (W)</v>
          </cell>
          <cell r="J1399" t="str">
            <v>Khatav</v>
          </cell>
          <cell r="K1399" t="str">
            <v>Satara</v>
          </cell>
          <cell r="L1399" t="str">
            <v>D2</v>
          </cell>
          <cell r="O1399" t="str">
            <v>B</v>
          </cell>
          <cell r="P1399">
            <v>49</v>
          </cell>
          <cell r="Q1399">
            <v>91</v>
          </cell>
          <cell r="R1399">
            <v>46</v>
          </cell>
          <cell r="S1399">
            <v>70</v>
          </cell>
          <cell r="T1399">
            <v>3</v>
          </cell>
          <cell r="U1399">
            <v>21</v>
          </cell>
          <cell r="V1399">
            <v>101</v>
          </cell>
          <cell r="W1399">
            <v>173</v>
          </cell>
          <cell r="X1399">
            <v>94</v>
          </cell>
          <cell r="Y1399">
            <v>178</v>
          </cell>
          <cell r="Z1399">
            <v>7</v>
          </cell>
          <cell r="AA1399">
            <v>-5</v>
          </cell>
          <cell r="AB1399">
            <v>140</v>
          </cell>
          <cell r="AC1399">
            <v>116</v>
          </cell>
          <cell r="AD1399">
            <v>24</v>
          </cell>
          <cell r="AE1399">
            <v>274</v>
          </cell>
          <cell r="AF1399">
            <v>272</v>
          </cell>
          <cell r="AG1399">
            <v>2</v>
          </cell>
        </row>
        <row r="1400">
          <cell r="C1400">
            <v>195390</v>
          </cell>
          <cell r="D1400" t="str">
            <v>SAI PETRO STATION</v>
          </cell>
          <cell r="E1400" t="str">
            <v>IOCL</v>
          </cell>
          <cell r="G1400" t="str">
            <v>Satara West RSA</v>
          </cell>
          <cell r="H1400">
            <v>39020</v>
          </cell>
          <cell r="I1400" t="str">
            <v>OPEN</v>
          </cell>
          <cell r="J1400" t="str">
            <v>WATHAR TO KARAD</v>
          </cell>
          <cell r="K1400" t="str">
            <v>Satara</v>
          </cell>
          <cell r="L1400" t="str">
            <v>D1</v>
          </cell>
          <cell r="M1400" t="str">
            <v>NH-48</v>
          </cell>
          <cell r="O1400" t="str">
            <v>B</v>
          </cell>
          <cell r="P1400">
            <v>71</v>
          </cell>
          <cell r="Q1400">
            <v>205</v>
          </cell>
          <cell r="R1400">
            <v>43.5</v>
          </cell>
          <cell r="S1400">
            <v>118.5</v>
          </cell>
          <cell r="T1400">
            <v>27.5</v>
          </cell>
          <cell r="U1400">
            <v>86.5</v>
          </cell>
          <cell r="V1400">
            <v>120</v>
          </cell>
          <cell r="W1400">
            <v>338</v>
          </cell>
          <cell r="X1400">
            <v>73.5</v>
          </cell>
          <cell r="Y1400">
            <v>244.5</v>
          </cell>
          <cell r="Z1400">
            <v>46.5</v>
          </cell>
          <cell r="AA1400">
            <v>93.5</v>
          </cell>
          <cell r="AB1400">
            <v>276</v>
          </cell>
          <cell r="AC1400">
            <v>162</v>
          </cell>
          <cell r="AD1400">
            <v>114</v>
          </cell>
          <cell r="AE1400">
            <v>458</v>
          </cell>
          <cell r="AF1400">
            <v>318</v>
          </cell>
          <cell r="AG1400">
            <v>140</v>
          </cell>
        </row>
        <row r="1401">
          <cell r="C1401">
            <v>195500</v>
          </cell>
          <cell r="D1401" t="str">
            <v>SHRI SAILEELA PETROLEUM</v>
          </cell>
          <cell r="E1401" t="str">
            <v>IOCL</v>
          </cell>
          <cell r="G1401" t="str">
            <v>Satara East RSA</v>
          </cell>
          <cell r="H1401">
            <v>38715</v>
          </cell>
          <cell r="I1401" t="str">
            <v>OPEN (W)</v>
          </cell>
          <cell r="J1401" t="str">
            <v>Chimangaon</v>
          </cell>
          <cell r="K1401" t="str">
            <v>Satara</v>
          </cell>
          <cell r="L1401" t="str">
            <v>D1</v>
          </cell>
          <cell r="M1401" t="str">
            <v>NH-548C</v>
          </cell>
          <cell r="O1401" t="str">
            <v>B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</row>
        <row r="1402">
          <cell r="C1402">
            <v>195588</v>
          </cell>
          <cell r="D1402" t="str">
            <v>Sai Samarth Petroleum</v>
          </cell>
          <cell r="E1402" t="str">
            <v>IOCL</v>
          </cell>
          <cell r="G1402" t="str">
            <v>Shirdi RSA</v>
          </cell>
          <cell r="H1402">
            <v>38804</v>
          </cell>
          <cell r="I1402" t="str">
            <v>OPEN</v>
          </cell>
          <cell r="J1402" t="str">
            <v xml:space="preserve">SHIRDI </v>
          </cell>
          <cell r="K1402" t="str">
            <v>Ahmednagar</v>
          </cell>
          <cell r="L1402" t="str">
            <v>D1</v>
          </cell>
          <cell r="M1402" t="str">
            <v>NH-160</v>
          </cell>
          <cell r="O1402" t="str">
            <v>A</v>
          </cell>
          <cell r="P1402">
            <v>0</v>
          </cell>
          <cell r="Q1402">
            <v>0</v>
          </cell>
          <cell r="R1402">
            <v>113</v>
          </cell>
          <cell r="S1402">
            <v>163</v>
          </cell>
          <cell r="T1402">
            <v>-113</v>
          </cell>
          <cell r="U1402">
            <v>-163</v>
          </cell>
          <cell r="V1402">
            <v>0</v>
          </cell>
          <cell r="W1402">
            <v>0</v>
          </cell>
          <cell r="X1402">
            <v>229</v>
          </cell>
          <cell r="Y1402">
            <v>299</v>
          </cell>
          <cell r="Z1402">
            <v>-229</v>
          </cell>
          <cell r="AA1402">
            <v>-299</v>
          </cell>
          <cell r="AB1402">
            <v>0</v>
          </cell>
          <cell r="AC1402">
            <v>276</v>
          </cell>
          <cell r="AD1402">
            <v>-276</v>
          </cell>
          <cell r="AE1402">
            <v>0</v>
          </cell>
          <cell r="AF1402">
            <v>528</v>
          </cell>
          <cell r="AG1402">
            <v>-528</v>
          </cell>
        </row>
        <row r="1403">
          <cell r="C1403">
            <v>195653</v>
          </cell>
          <cell r="D1403" t="str">
            <v>MORE PETROLEUM</v>
          </cell>
          <cell r="E1403" t="str">
            <v>IOCL</v>
          </cell>
          <cell r="G1403" t="str">
            <v>Pune Saswad RSA</v>
          </cell>
          <cell r="H1403">
            <v>38077</v>
          </cell>
          <cell r="I1403" t="str">
            <v>OPEN</v>
          </cell>
          <cell r="J1403" t="str">
            <v>Junction-Nimgaon Ketki Raod</v>
          </cell>
          <cell r="K1403" t="str">
            <v>Pune</v>
          </cell>
          <cell r="L1403" t="str">
            <v>D1</v>
          </cell>
          <cell r="M1403" t="str">
            <v>NH-965G</v>
          </cell>
          <cell r="O1403" t="str">
            <v>A</v>
          </cell>
          <cell r="P1403">
            <v>30</v>
          </cell>
          <cell r="Q1403">
            <v>42</v>
          </cell>
          <cell r="R1403">
            <v>24</v>
          </cell>
          <cell r="S1403">
            <v>24</v>
          </cell>
          <cell r="T1403">
            <v>6</v>
          </cell>
          <cell r="U1403">
            <v>18</v>
          </cell>
          <cell r="V1403">
            <v>57</v>
          </cell>
          <cell r="W1403">
            <v>75</v>
          </cell>
          <cell r="X1403">
            <v>39</v>
          </cell>
          <cell r="Y1403">
            <v>45</v>
          </cell>
          <cell r="Z1403">
            <v>18</v>
          </cell>
          <cell r="AA1403">
            <v>30</v>
          </cell>
          <cell r="AB1403">
            <v>72</v>
          </cell>
          <cell r="AC1403">
            <v>48</v>
          </cell>
          <cell r="AD1403">
            <v>24</v>
          </cell>
          <cell r="AE1403">
            <v>132</v>
          </cell>
          <cell r="AF1403">
            <v>84</v>
          </cell>
          <cell r="AG1403">
            <v>48</v>
          </cell>
        </row>
        <row r="1404">
          <cell r="C1404">
            <v>196164</v>
          </cell>
          <cell r="D1404" t="str">
            <v>Shivratna Petroleum</v>
          </cell>
          <cell r="E1404" t="str">
            <v>IOCL</v>
          </cell>
          <cell r="G1404" t="str">
            <v>Ahmednagar West RSA</v>
          </cell>
          <cell r="H1404">
            <v>38752</v>
          </cell>
          <cell r="I1404" t="str">
            <v>OPEN</v>
          </cell>
          <cell r="J1404" t="str">
            <v>KHARDA</v>
          </cell>
          <cell r="K1404" t="str">
            <v>Ahmednagar</v>
          </cell>
          <cell r="L1404" t="str">
            <v>D2</v>
          </cell>
          <cell r="O1404" t="str">
            <v>A</v>
          </cell>
          <cell r="P1404">
            <v>32</v>
          </cell>
          <cell r="Q1404">
            <v>70</v>
          </cell>
          <cell r="R1404">
            <v>37.5</v>
          </cell>
          <cell r="S1404">
            <v>86.5</v>
          </cell>
          <cell r="T1404">
            <v>-5.5</v>
          </cell>
          <cell r="U1404">
            <v>-16.5</v>
          </cell>
          <cell r="V1404">
            <v>51</v>
          </cell>
          <cell r="W1404">
            <v>123</v>
          </cell>
          <cell r="X1404">
            <v>59.5</v>
          </cell>
          <cell r="Y1404">
            <v>150.5</v>
          </cell>
          <cell r="Z1404">
            <v>-8.5</v>
          </cell>
          <cell r="AA1404">
            <v>-27.5</v>
          </cell>
          <cell r="AB1404">
            <v>102</v>
          </cell>
          <cell r="AC1404">
            <v>124</v>
          </cell>
          <cell r="AD1404">
            <v>-22</v>
          </cell>
          <cell r="AE1404">
            <v>174</v>
          </cell>
          <cell r="AF1404">
            <v>210</v>
          </cell>
          <cell r="AG1404">
            <v>-36</v>
          </cell>
        </row>
        <row r="1405">
          <cell r="C1405">
            <v>196197</v>
          </cell>
          <cell r="D1405" t="str">
            <v>Bhagyodaya Petroleum</v>
          </cell>
          <cell r="E1405" t="str">
            <v>IOCL</v>
          </cell>
          <cell r="G1405" t="str">
            <v>Shirdi RSA</v>
          </cell>
          <cell r="H1405">
            <v>38748</v>
          </cell>
          <cell r="I1405" t="str">
            <v>DEF (W)</v>
          </cell>
          <cell r="J1405" t="str">
            <v>SANGAMNER KHURD ON NH</v>
          </cell>
          <cell r="K1405" t="str">
            <v>Ahmednagar</v>
          </cell>
          <cell r="L1405" t="str">
            <v>D1</v>
          </cell>
          <cell r="M1405" t="str">
            <v>NH-60</v>
          </cell>
          <cell r="O1405" t="str">
            <v>A</v>
          </cell>
          <cell r="P1405">
            <v>24</v>
          </cell>
          <cell r="Q1405">
            <v>156</v>
          </cell>
          <cell r="R1405">
            <v>31</v>
          </cell>
          <cell r="S1405">
            <v>49</v>
          </cell>
          <cell r="T1405">
            <v>-7</v>
          </cell>
          <cell r="U1405">
            <v>107</v>
          </cell>
          <cell r="V1405">
            <v>30</v>
          </cell>
          <cell r="W1405">
            <v>222</v>
          </cell>
          <cell r="X1405">
            <v>56</v>
          </cell>
          <cell r="Y1405">
            <v>92</v>
          </cell>
          <cell r="Z1405">
            <v>-26</v>
          </cell>
          <cell r="AA1405">
            <v>130</v>
          </cell>
          <cell r="AB1405">
            <v>180</v>
          </cell>
          <cell r="AC1405">
            <v>80</v>
          </cell>
          <cell r="AD1405">
            <v>100</v>
          </cell>
          <cell r="AE1405">
            <v>252</v>
          </cell>
          <cell r="AF1405">
            <v>148</v>
          </cell>
          <cell r="AG1405">
            <v>104</v>
          </cell>
        </row>
        <row r="1406">
          <cell r="C1406">
            <v>197572</v>
          </cell>
          <cell r="D1406" t="str">
            <v>THE MALEGAON SSK PETROLEUM LTD</v>
          </cell>
          <cell r="E1406" t="str">
            <v>IOCL</v>
          </cell>
          <cell r="G1406" t="str">
            <v>Pune Tathawade RSA</v>
          </cell>
          <cell r="H1406">
            <v>38799</v>
          </cell>
          <cell r="I1406" t="str">
            <v>OPEN</v>
          </cell>
          <cell r="J1406" t="str">
            <v>MALEGAON BK VILLAGE</v>
          </cell>
          <cell r="K1406" t="str">
            <v>Pune</v>
          </cell>
          <cell r="L1406" t="str">
            <v>E</v>
          </cell>
          <cell r="O1406" t="str">
            <v>A</v>
          </cell>
          <cell r="P1406">
            <v>63</v>
          </cell>
          <cell r="Q1406">
            <v>99</v>
          </cell>
          <cell r="R1406">
            <v>58.5</v>
          </cell>
          <cell r="S1406">
            <v>85.5</v>
          </cell>
          <cell r="T1406">
            <v>4.5</v>
          </cell>
          <cell r="U1406">
            <v>13.5</v>
          </cell>
          <cell r="V1406">
            <v>126</v>
          </cell>
          <cell r="W1406">
            <v>180</v>
          </cell>
          <cell r="X1406">
            <v>112.5</v>
          </cell>
          <cell r="Y1406">
            <v>157.5</v>
          </cell>
          <cell r="Z1406">
            <v>13.5</v>
          </cell>
          <cell r="AA1406">
            <v>22.5</v>
          </cell>
          <cell r="AB1406">
            <v>162</v>
          </cell>
          <cell r="AC1406">
            <v>144</v>
          </cell>
          <cell r="AD1406">
            <v>18</v>
          </cell>
          <cell r="AE1406">
            <v>306</v>
          </cell>
          <cell r="AF1406">
            <v>270</v>
          </cell>
          <cell r="AG1406">
            <v>36</v>
          </cell>
        </row>
        <row r="1407">
          <cell r="C1407">
            <v>197645</v>
          </cell>
          <cell r="D1407" t="str">
            <v>BARAMATI TALUKA SAH. DUDH UTP.S.MRY</v>
          </cell>
          <cell r="E1407" t="str">
            <v>IOCL</v>
          </cell>
          <cell r="G1407" t="str">
            <v>Pune Tathawade RSA</v>
          </cell>
          <cell r="H1407">
            <v>38773</v>
          </cell>
          <cell r="I1407" t="str">
            <v>OPEN</v>
          </cell>
          <cell r="J1407" t="str">
            <v>BARAMATI NIRA ROAD</v>
          </cell>
          <cell r="K1407" t="str">
            <v>Pune</v>
          </cell>
          <cell r="L1407" t="str">
            <v>D2</v>
          </cell>
          <cell r="O1407" t="str">
            <v>B</v>
          </cell>
          <cell r="P1407">
            <v>85</v>
          </cell>
          <cell r="Q1407">
            <v>145</v>
          </cell>
          <cell r="R1407">
            <v>0</v>
          </cell>
          <cell r="S1407">
            <v>0</v>
          </cell>
          <cell r="T1407">
            <v>85</v>
          </cell>
          <cell r="U1407">
            <v>145</v>
          </cell>
          <cell r="V1407">
            <v>175</v>
          </cell>
          <cell r="W1407">
            <v>262</v>
          </cell>
          <cell r="X1407">
            <v>0</v>
          </cell>
          <cell r="Y1407">
            <v>0</v>
          </cell>
          <cell r="Z1407">
            <v>175</v>
          </cell>
          <cell r="AA1407">
            <v>262</v>
          </cell>
          <cell r="AB1407">
            <v>230</v>
          </cell>
          <cell r="AC1407">
            <v>0</v>
          </cell>
          <cell r="AD1407">
            <v>230</v>
          </cell>
          <cell r="AE1407">
            <v>437</v>
          </cell>
          <cell r="AF1407">
            <v>0</v>
          </cell>
          <cell r="AG1407">
            <v>437</v>
          </cell>
        </row>
        <row r="1408">
          <cell r="C1408">
            <v>197680</v>
          </cell>
          <cell r="D1408" t="str">
            <v>Shri Dnyaneshwar Ssk Ltd Petro</v>
          </cell>
          <cell r="E1408" t="str">
            <v>IOCL</v>
          </cell>
          <cell r="G1408" t="str">
            <v>Ahmednagar East RSA</v>
          </cell>
          <cell r="H1408">
            <v>38796</v>
          </cell>
          <cell r="I1408" t="str">
            <v>OPEN</v>
          </cell>
          <cell r="J1408" t="str">
            <v>Bhenda</v>
          </cell>
          <cell r="K1408" t="str">
            <v>Ahmednagar</v>
          </cell>
          <cell r="L1408" t="str">
            <v>D2</v>
          </cell>
          <cell r="O1408" t="str">
            <v>B</v>
          </cell>
          <cell r="P1408">
            <v>130</v>
          </cell>
          <cell r="Q1408">
            <v>310</v>
          </cell>
          <cell r="R1408">
            <v>130</v>
          </cell>
          <cell r="S1408">
            <v>210</v>
          </cell>
          <cell r="T1408">
            <v>0</v>
          </cell>
          <cell r="U1408">
            <v>100</v>
          </cell>
          <cell r="V1408">
            <v>240</v>
          </cell>
          <cell r="W1408">
            <v>480</v>
          </cell>
          <cell r="X1408">
            <v>250</v>
          </cell>
          <cell r="Y1408">
            <v>370</v>
          </cell>
          <cell r="Z1408">
            <v>-10</v>
          </cell>
          <cell r="AA1408">
            <v>110</v>
          </cell>
          <cell r="AB1408">
            <v>440</v>
          </cell>
          <cell r="AC1408">
            <v>340</v>
          </cell>
          <cell r="AD1408">
            <v>100</v>
          </cell>
          <cell r="AE1408">
            <v>720</v>
          </cell>
          <cell r="AF1408">
            <v>620</v>
          </cell>
          <cell r="AG1408">
            <v>100</v>
          </cell>
        </row>
        <row r="1409">
          <cell r="C1409">
            <v>197895</v>
          </cell>
          <cell r="D1409" t="str">
            <v>NATH KRUPA PETROLEUM</v>
          </cell>
          <cell r="E1409" t="str">
            <v>IOCL</v>
          </cell>
          <cell r="G1409" t="str">
            <v>Pune City RSA</v>
          </cell>
          <cell r="H1409">
            <v>38807</v>
          </cell>
          <cell r="I1409" t="str">
            <v>OPEN</v>
          </cell>
          <cell r="J1409" t="str">
            <v>PAUD ROAD</v>
          </cell>
          <cell r="K1409" t="str">
            <v>Pune</v>
          </cell>
          <cell r="L1409" t="str">
            <v>D1</v>
          </cell>
          <cell r="M1409" t="str">
            <v>NH-753F</v>
          </cell>
          <cell r="O1409" t="str">
            <v>B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</row>
        <row r="1410">
          <cell r="C1410">
            <v>198477</v>
          </cell>
          <cell r="D1410" t="str">
            <v>SOHAM PETROLEUM</v>
          </cell>
          <cell r="E1410" t="str">
            <v>IOCL</v>
          </cell>
          <cell r="G1410" t="str">
            <v>Satara West RSA</v>
          </cell>
          <cell r="H1410">
            <v>38807</v>
          </cell>
          <cell r="I1410" t="str">
            <v>OPEN</v>
          </cell>
          <cell r="J1410" t="str">
            <v>KASHIL TO KARAD</v>
          </cell>
          <cell r="K1410" t="str">
            <v>Satara</v>
          </cell>
          <cell r="L1410" t="str">
            <v>D1</v>
          </cell>
          <cell r="M1410" t="str">
            <v>NH-48</v>
          </cell>
          <cell r="O1410" t="str">
            <v>B</v>
          </cell>
          <cell r="P1410">
            <v>36</v>
          </cell>
          <cell r="Q1410">
            <v>72</v>
          </cell>
          <cell r="R1410">
            <v>30</v>
          </cell>
          <cell r="S1410">
            <v>66</v>
          </cell>
          <cell r="T1410">
            <v>6</v>
          </cell>
          <cell r="U1410">
            <v>6</v>
          </cell>
          <cell r="V1410">
            <v>57</v>
          </cell>
          <cell r="W1410">
            <v>123</v>
          </cell>
          <cell r="X1410">
            <v>60</v>
          </cell>
          <cell r="Y1410">
            <v>144</v>
          </cell>
          <cell r="Z1410">
            <v>-3</v>
          </cell>
          <cell r="AA1410">
            <v>-21</v>
          </cell>
          <cell r="AB1410">
            <v>108</v>
          </cell>
          <cell r="AC1410">
            <v>96</v>
          </cell>
          <cell r="AD1410">
            <v>12</v>
          </cell>
          <cell r="AE1410">
            <v>180</v>
          </cell>
          <cell r="AF1410">
            <v>204</v>
          </cell>
          <cell r="AG1410">
            <v>-24</v>
          </cell>
        </row>
        <row r="1411">
          <cell r="C1411">
            <v>198744</v>
          </cell>
          <cell r="D1411" t="str">
            <v>Varad Petroleum Kisan Seva Kendra</v>
          </cell>
          <cell r="E1411" t="str">
            <v>IOCL</v>
          </cell>
          <cell r="G1411" t="str">
            <v>Ahmednagar East RSA</v>
          </cell>
          <cell r="H1411">
            <v>38883</v>
          </cell>
          <cell r="I1411" t="str">
            <v>OPEN (W)</v>
          </cell>
          <cell r="J1411" t="str">
            <v>Manori</v>
          </cell>
          <cell r="K1411" t="str">
            <v>Ahmednagar</v>
          </cell>
          <cell r="L1411" t="str">
            <v>E</v>
          </cell>
          <cell r="O1411" t="str">
            <v>B</v>
          </cell>
          <cell r="P1411">
            <v>35</v>
          </cell>
          <cell r="Q1411">
            <v>67</v>
          </cell>
          <cell r="R1411">
            <v>36</v>
          </cell>
          <cell r="S1411">
            <v>48</v>
          </cell>
          <cell r="T1411">
            <v>-1</v>
          </cell>
          <cell r="U1411">
            <v>19</v>
          </cell>
          <cell r="V1411">
            <v>63</v>
          </cell>
          <cell r="W1411">
            <v>117</v>
          </cell>
          <cell r="X1411">
            <v>65</v>
          </cell>
          <cell r="Y1411">
            <v>89</v>
          </cell>
          <cell r="Z1411">
            <v>-2</v>
          </cell>
          <cell r="AA1411">
            <v>28</v>
          </cell>
          <cell r="AB1411">
            <v>102</v>
          </cell>
          <cell r="AC1411">
            <v>84</v>
          </cell>
          <cell r="AD1411">
            <v>18</v>
          </cell>
          <cell r="AE1411">
            <v>180</v>
          </cell>
          <cell r="AF1411">
            <v>154</v>
          </cell>
          <cell r="AG1411">
            <v>26</v>
          </cell>
        </row>
        <row r="1412">
          <cell r="C1412">
            <v>202488</v>
          </cell>
          <cell r="D1412" t="str">
            <v>LOKSEVA PETROLEUM</v>
          </cell>
          <cell r="E1412" t="str">
            <v>IOCL</v>
          </cell>
          <cell r="G1412" t="str">
            <v>Pimpri Chinchwad RSA</v>
          </cell>
          <cell r="H1412">
            <v>38929</v>
          </cell>
          <cell r="I1412" t="str">
            <v>OPEN</v>
          </cell>
          <cell r="J1412" t="str">
            <v>Spine Road</v>
          </cell>
          <cell r="K1412" t="str">
            <v>Pune</v>
          </cell>
          <cell r="L1412" t="str">
            <v>A</v>
          </cell>
          <cell r="O1412" t="str">
            <v>B</v>
          </cell>
          <cell r="P1412">
            <v>195.5</v>
          </cell>
          <cell r="Q1412">
            <v>152.5</v>
          </cell>
          <cell r="R1412">
            <v>176</v>
          </cell>
          <cell r="S1412">
            <v>88</v>
          </cell>
          <cell r="T1412">
            <v>19.5</v>
          </cell>
          <cell r="U1412">
            <v>64.5</v>
          </cell>
          <cell r="V1412">
            <v>358.5</v>
          </cell>
          <cell r="W1412">
            <v>273.5</v>
          </cell>
          <cell r="X1412">
            <v>335</v>
          </cell>
          <cell r="Y1412">
            <v>169</v>
          </cell>
          <cell r="Z1412">
            <v>23.5</v>
          </cell>
          <cell r="AA1412">
            <v>104.5</v>
          </cell>
          <cell r="AB1412">
            <v>348</v>
          </cell>
          <cell r="AC1412">
            <v>264</v>
          </cell>
          <cell r="AD1412">
            <v>84</v>
          </cell>
          <cell r="AE1412">
            <v>632</v>
          </cell>
          <cell r="AF1412">
            <v>504</v>
          </cell>
          <cell r="AG1412">
            <v>128</v>
          </cell>
        </row>
        <row r="1413">
          <cell r="C1413">
            <v>202494</v>
          </cell>
          <cell r="D1413" t="str">
            <v>Gajanan Kripa Petroleum</v>
          </cell>
          <cell r="E1413" t="str">
            <v>IOCL</v>
          </cell>
          <cell r="G1413" t="str">
            <v>Ahmednagar East RSA</v>
          </cell>
          <cell r="H1413">
            <v>38911</v>
          </cell>
          <cell r="I1413" t="str">
            <v>OPEN</v>
          </cell>
          <cell r="J1413" t="str">
            <v>Supe toll</v>
          </cell>
          <cell r="K1413" t="str">
            <v>Ahmednagar</v>
          </cell>
          <cell r="L1413" t="str">
            <v>D1</v>
          </cell>
          <cell r="M1413" t="str">
            <v>NH-753F</v>
          </cell>
          <cell r="O1413" t="str">
            <v>B</v>
          </cell>
          <cell r="P1413">
            <v>6</v>
          </cell>
          <cell r="Q1413">
            <v>18</v>
          </cell>
          <cell r="R1413">
            <v>10</v>
          </cell>
          <cell r="S1413">
            <v>86</v>
          </cell>
          <cell r="T1413">
            <v>-4</v>
          </cell>
          <cell r="U1413">
            <v>-68</v>
          </cell>
          <cell r="V1413">
            <v>9</v>
          </cell>
          <cell r="W1413">
            <v>51</v>
          </cell>
          <cell r="X1413">
            <v>10</v>
          </cell>
          <cell r="Y1413">
            <v>170</v>
          </cell>
          <cell r="Z1413">
            <v>-1</v>
          </cell>
          <cell r="AA1413">
            <v>-119</v>
          </cell>
          <cell r="AB1413">
            <v>24</v>
          </cell>
          <cell r="AC1413">
            <v>96</v>
          </cell>
          <cell r="AD1413">
            <v>-72</v>
          </cell>
          <cell r="AE1413">
            <v>60</v>
          </cell>
          <cell r="AF1413">
            <v>180</v>
          </cell>
          <cell r="AG1413">
            <v>-120</v>
          </cell>
        </row>
        <row r="1414">
          <cell r="C1414">
            <v>202941</v>
          </cell>
          <cell r="D1414" t="str">
            <v>SHREE ROHIT SERVICE STATION</v>
          </cell>
          <cell r="E1414" t="str">
            <v>IOCL</v>
          </cell>
          <cell r="G1414" t="str">
            <v>Pune City RSA</v>
          </cell>
          <cell r="H1414">
            <v>20519</v>
          </cell>
          <cell r="I1414" t="str">
            <v>OPEN</v>
          </cell>
          <cell r="J1414" t="str">
            <v>PAUD ROAD</v>
          </cell>
          <cell r="K1414" t="str">
            <v>Pune</v>
          </cell>
          <cell r="L1414" t="str">
            <v>D1</v>
          </cell>
          <cell r="M1414" t="str">
            <v>NH-753F</v>
          </cell>
          <cell r="O1414" t="str">
            <v>A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</row>
        <row r="1415">
          <cell r="C1415">
            <v>203201</v>
          </cell>
          <cell r="D1415" t="str">
            <v>SAI SAHARA PETROLEUM</v>
          </cell>
          <cell r="E1415" t="str">
            <v>IOCL</v>
          </cell>
          <cell r="G1415" t="str">
            <v>Pune Wagholi RSA</v>
          </cell>
          <cell r="H1415">
            <v>38990</v>
          </cell>
          <cell r="I1415" t="str">
            <v>OPEN</v>
          </cell>
          <cell r="J1415" t="str">
            <v>Koregaon Bhima to Shikrapur LHS</v>
          </cell>
          <cell r="K1415" t="str">
            <v>Pune</v>
          </cell>
          <cell r="L1415" t="str">
            <v>D1</v>
          </cell>
          <cell r="M1415" t="str">
            <v>NH-753F</v>
          </cell>
          <cell r="O1415" t="str">
            <v>B</v>
          </cell>
          <cell r="P1415">
            <v>88.5</v>
          </cell>
          <cell r="Q1415">
            <v>538.5</v>
          </cell>
          <cell r="R1415">
            <v>63.5</v>
          </cell>
          <cell r="S1415">
            <v>453.5</v>
          </cell>
          <cell r="T1415">
            <v>25</v>
          </cell>
          <cell r="U1415">
            <v>85</v>
          </cell>
          <cell r="V1415">
            <v>148</v>
          </cell>
          <cell r="W1415">
            <v>1040</v>
          </cell>
          <cell r="X1415">
            <v>128.5</v>
          </cell>
          <cell r="Y1415">
            <v>897.5</v>
          </cell>
          <cell r="Z1415">
            <v>19.5</v>
          </cell>
          <cell r="AA1415">
            <v>142.5</v>
          </cell>
          <cell r="AB1415">
            <v>627</v>
          </cell>
          <cell r="AC1415">
            <v>517</v>
          </cell>
          <cell r="AD1415">
            <v>110</v>
          </cell>
          <cell r="AE1415">
            <v>1188</v>
          </cell>
          <cell r="AF1415">
            <v>1026</v>
          </cell>
          <cell r="AG1415">
            <v>162</v>
          </cell>
        </row>
        <row r="1416">
          <cell r="C1416">
            <v>203450</v>
          </cell>
          <cell r="D1416" t="str">
            <v>Dwarka &amp; Sons Auto Service</v>
          </cell>
          <cell r="E1416" t="str">
            <v>IOCL</v>
          </cell>
          <cell r="G1416" t="str">
            <v>Ahmednagar East RSA</v>
          </cell>
          <cell r="H1416">
            <v>38990</v>
          </cell>
          <cell r="I1416" t="str">
            <v>SC</v>
          </cell>
          <cell r="J1416" t="str">
            <v>Newasa Budruk</v>
          </cell>
          <cell r="K1416" t="str">
            <v>Ahmednagar</v>
          </cell>
          <cell r="L1416" t="str">
            <v>D2</v>
          </cell>
          <cell r="O1416" t="str">
            <v>A</v>
          </cell>
          <cell r="P1416">
            <v>27</v>
          </cell>
          <cell r="Q1416">
            <v>69</v>
          </cell>
          <cell r="R1416">
            <v>18</v>
          </cell>
          <cell r="S1416">
            <v>42</v>
          </cell>
          <cell r="T1416">
            <v>9</v>
          </cell>
          <cell r="U1416">
            <v>27</v>
          </cell>
          <cell r="V1416">
            <v>42</v>
          </cell>
          <cell r="W1416">
            <v>102</v>
          </cell>
          <cell r="X1416">
            <v>36</v>
          </cell>
          <cell r="Y1416">
            <v>96</v>
          </cell>
          <cell r="Z1416">
            <v>6</v>
          </cell>
          <cell r="AA1416">
            <v>6</v>
          </cell>
          <cell r="AB1416">
            <v>96</v>
          </cell>
          <cell r="AC1416">
            <v>60</v>
          </cell>
          <cell r="AD1416">
            <v>36</v>
          </cell>
          <cell r="AE1416">
            <v>144</v>
          </cell>
          <cell r="AF1416">
            <v>132</v>
          </cell>
          <cell r="AG1416">
            <v>12</v>
          </cell>
        </row>
        <row r="1417">
          <cell r="C1417">
            <v>204098</v>
          </cell>
          <cell r="D1417" t="str">
            <v>ASHWAMEDH KISAN SEVA KENDRA</v>
          </cell>
          <cell r="E1417" t="str">
            <v>IOCL</v>
          </cell>
          <cell r="G1417" t="str">
            <v>Pune Wagholi RSA</v>
          </cell>
          <cell r="H1417">
            <v>39020</v>
          </cell>
          <cell r="I1417" t="str">
            <v>OPEN</v>
          </cell>
          <cell r="J1417" t="str">
            <v>Belhe-Bori Rd.</v>
          </cell>
          <cell r="K1417" t="str">
            <v>Pune</v>
          </cell>
          <cell r="L1417" t="str">
            <v>E</v>
          </cell>
          <cell r="O1417" t="str">
            <v>B</v>
          </cell>
          <cell r="P1417">
            <v>55</v>
          </cell>
          <cell r="Q1417">
            <v>125</v>
          </cell>
          <cell r="R1417">
            <v>65.5</v>
          </cell>
          <cell r="S1417">
            <v>100.5</v>
          </cell>
          <cell r="T1417">
            <v>-10.5</v>
          </cell>
          <cell r="U1417">
            <v>24.5</v>
          </cell>
          <cell r="V1417">
            <v>102</v>
          </cell>
          <cell r="W1417">
            <v>212</v>
          </cell>
          <cell r="X1417">
            <v>126</v>
          </cell>
          <cell r="Y1417">
            <v>205</v>
          </cell>
          <cell r="Z1417">
            <v>-24</v>
          </cell>
          <cell r="AA1417">
            <v>7</v>
          </cell>
          <cell r="AB1417">
            <v>180</v>
          </cell>
          <cell r="AC1417">
            <v>166</v>
          </cell>
          <cell r="AD1417">
            <v>14</v>
          </cell>
          <cell r="AE1417">
            <v>314</v>
          </cell>
          <cell r="AF1417">
            <v>331</v>
          </cell>
          <cell r="AG1417">
            <v>-17</v>
          </cell>
        </row>
        <row r="1418">
          <cell r="C1418">
            <v>205829</v>
          </cell>
          <cell r="D1418" t="str">
            <v>Pancharatna Petroleum</v>
          </cell>
          <cell r="E1418" t="str">
            <v>IOCL</v>
          </cell>
          <cell r="G1418" t="str">
            <v>Ahmednagar East RSA</v>
          </cell>
          <cell r="H1418">
            <v>39139</v>
          </cell>
          <cell r="I1418" t="str">
            <v>OPEN</v>
          </cell>
          <cell r="J1418" t="str">
            <v>Ghodegaon</v>
          </cell>
          <cell r="K1418" t="str">
            <v>Ahmednagar</v>
          </cell>
          <cell r="L1418" t="str">
            <v>D1</v>
          </cell>
          <cell r="M1418" t="str">
            <v>NH-753F</v>
          </cell>
          <cell r="O1418" t="str">
            <v>B</v>
          </cell>
          <cell r="P1418">
            <v>50</v>
          </cell>
          <cell r="Q1418">
            <v>110</v>
          </cell>
          <cell r="R1418">
            <v>60</v>
          </cell>
          <cell r="S1418">
            <v>108</v>
          </cell>
          <cell r="T1418">
            <v>-10</v>
          </cell>
          <cell r="U1418">
            <v>2</v>
          </cell>
          <cell r="V1418">
            <v>99</v>
          </cell>
          <cell r="W1418">
            <v>201</v>
          </cell>
          <cell r="X1418">
            <v>113</v>
          </cell>
          <cell r="Y1418">
            <v>203</v>
          </cell>
          <cell r="Z1418">
            <v>-14</v>
          </cell>
          <cell r="AA1418">
            <v>-2</v>
          </cell>
          <cell r="AB1418">
            <v>160</v>
          </cell>
          <cell r="AC1418">
            <v>168</v>
          </cell>
          <cell r="AD1418">
            <v>-8</v>
          </cell>
          <cell r="AE1418">
            <v>300</v>
          </cell>
          <cell r="AF1418">
            <v>316</v>
          </cell>
          <cell r="AG1418">
            <v>-16</v>
          </cell>
        </row>
        <row r="1419">
          <cell r="C1419">
            <v>205938</v>
          </cell>
          <cell r="D1419" t="str">
            <v>Prabhatrang Petroleum</v>
          </cell>
          <cell r="E1419" t="str">
            <v>IOCL</v>
          </cell>
          <cell r="G1419" t="str">
            <v>Ahmednagar East RSA</v>
          </cell>
          <cell r="H1419">
            <v>39297</v>
          </cell>
          <cell r="I1419" t="str">
            <v>OPEN</v>
          </cell>
          <cell r="J1419" t="str">
            <v>MIDC Nagapur</v>
          </cell>
          <cell r="K1419" t="str">
            <v>Ahmednagar</v>
          </cell>
          <cell r="L1419" t="str">
            <v>D2</v>
          </cell>
          <cell r="O1419" t="str">
            <v>B</v>
          </cell>
          <cell r="P1419">
            <v>34</v>
          </cell>
          <cell r="Q1419">
            <v>40</v>
          </cell>
          <cell r="R1419">
            <v>30</v>
          </cell>
          <cell r="S1419">
            <v>54</v>
          </cell>
          <cell r="T1419">
            <v>4</v>
          </cell>
          <cell r="U1419">
            <v>-14</v>
          </cell>
          <cell r="V1419">
            <v>61</v>
          </cell>
          <cell r="W1419">
            <v>73</v>
          </cell>
          <cell r="X1419">
            <v>63</v>
          </cell>
          <cell r="Y1419">
            <v>105</v>
          </cell>
          <cell r="Z1419">
            <v>-2</v>
          </cell>
          <cell r="AA1419">
            <v>-32</v>
          </cell>
          <cell r="AB1419">
            <v>74</v>
          </cell>
          <cell r="AC1419">
            <v>84</v>
          </cell>
          <cell r="AD1419">
            <v>-10</v>
          </cell>
          <cell r="AE1419">
            <v>134</v>
          </cell>
          <cell r="AF1419">
            <v>168</v>
          </cell>
          <cell r="AG1419">
            <v>-34</v>
          </cell>
        </row>
        <row r="1420">
          <cell r="C1420">
            <v>206324</v>
          </cell>
          <cell r="D1420" t="str">
            <v>Raj Petroleum</v>
          </cell>
          <cell r="E1420" t="str">
            <v>IOCL</v>
          </cell>
          <cell r="G1420" t="str">
            <v>Ahmednagar East RSA</v>
          </cell>
          <cell r="H1420">
            <v>39085</v>
          </cell>
          <cell r="I1420" t="str">
            <v>OPEN (W)</v>
          </cell>
          <cell r="J1420" t="str">
            <v>Shendi</v>
          </cell>
          <cell r="K1420" t="str">
            <v>Ahmednagar</v>
          </cell>
          <cell r="L1420" t="str">
            <v>D1</v>
          </cell>
          <cell r="M1420" t="str">
            <v>NH-753F</v>
          </cell>
          <cell r="O1420" t="str">
            <v>B</v>
          </cell>
          <cell r="P1420">
            <v>24.5</v>
          </cell>
          <cell r="Q1420">
            <v>61.5</v>
          </cell>
          <cell r="R1420">
            <v>31</v>
          </cell>
          <cell r="S1420">
            <v>77</v>
          </cell>
          <cell r="T1420">
            <v>-6.5</v>
          </cell>
          <cell r="U1420">
            <v>-15.5</v>
          </cell>
          <cell r="V1420">
            <v>46.5</v>
          </cell>
          <cell r="W1420">
            <v>123.5</v>
          </cell>
          <cell r="X1420">
            <v>59</v>
          </cell>
          <cell r="Y1420">
            <v>149</v>
          </cell>
          <cell r="Z1420">
            <v>-12.5</v>
          </cell>
          <cell r="AA1420">
            <v>-25.5</v>
          </cell>
          <cell r="AB1420">
            <v>86</v>
          </cell>
          <cell r="AC1420">
            <v>108</v>
          </cell>
          <cell r="AD1420">
            <v>-22</v>
          </cell>
          <cell r="AE1420">
            <v>170</v>
          </cell>
          <cell r="AF1420">
            <v>208</v>
          </cell>
          <cell r="AG1420">
            <v>-38</v>
          </cell>
        </row>
        <row r="1421">
          <cell r="C1421">
            <v>208043</v>
          </cell>
          <cell r="D1421" t="str">
            <v>DNYAN-GANGA PETROLEUM</v>
          </cell>
          <cell r="E1421" t="str">
            <v>IOCL</v>
          </cell>
          <cell r="G1421" t="str">
            <v>Pimpri Chinchwad RSA</v>
          </cell>
          <cell r="H1421">
            <v>39167</v>
          </cell>
          <cell r="I1421" t="str">
            <v>OPEN (W)</v>
          </cell>
          <cell r="J1421" t="str">
            <v>Alandi</v>
          </cell>
          <cell r="K1421" t="str">
            <v>Pune</v>
          </cell>
          <cell r="L1421" t="str">
            <v>A</v>
          </cell>
          <cell r="O1421" t="str">
            <v>B</v>
          </cell>
          <cell r="P1421">
            <v>112</v>
          </cell>
          <cell r="Q1421">
            <v>88</v>
          </cell>
          <cell r="R1421">
            <v>123</v>
          </cell>
          <cell r="S1421">
            <v>69</v>
          </cell>
          <cell r="T1421">
            <v>-11</v>
          </cell>
          <cell r="U1421">
            <v>19</v>
          </cell>
          <cell r="V1421">
            <v>220</v>
          </cell>
          <cell r="W1421">
            <v>160</v>
          </cell>
          <cell r="X1421">
            <v>234</v>
          </cell>
          <cell r="Y1421">
            <v>138</v>
          </cell>
          <cell r="Z1421">
            <v>-14</v>
          </cell>
          <cell r="AA1421">
            <v>22</v>
          </cell>
          <cell r="AB1421">
            <v>200</v>
          </cell>
          <cell r="AC1421">
            <v>192</v>
          </cell>
          <cell r="AD1421">
            <v>8</v>
          </cell>
          <cell r="AE1421">
            <v>380</v>
          </cell>
          <cell r="AF1421">
            <v>372</v>
          </cell>
          <cell r="AG1421">
            <v>8</v>
          </cell>
        </row>
        <row r="1422">
          <cell r="C1422">
            <v>208063</v>
          </cell>
          <cell r="D1422" t="str">
            <v>Indrayani Petro Sales</v>
          </cell>
          <cell r="E1422" t="str">
            <v>IOCL</v>
          </cell>
          <cell r="G1422" t="str">
            <v>Shirdi RSA</v>
          </cell>
          <cell r="H1422">
            <v>39297</v>
          </cell>
          <cell r="I1422" t="str">
            <v>OPEN</v>
          </cell>
          <cell r="J1422" t="str">
            <v>LONI PRAVARA SH</v>
          </cell>
          <cell r="K1422" t="str">
            <v>Ahmednagar</v>
          </cell>
          <cell r="L1422" t="str">
            <v>D2</v>
          </cell>
          <cell r="O1422" t="str">
            <v>B</v>
          </cell>
          <cell r="P1422">
            <v>126</v>
          </cell>
          <cell r="Q1422">
            <v>168</v>
          </cell>
          <cell r="R1422">
            <v>91</v>
          </cell>
          <cell r="S1422">
            <v>63</v>
          </cell>
          <cell r="T1422">
            <v>35</v>
          </cell>
          <cell r="U1422">
            <v>105</v>
          </cell>
          <cell r="V1422">
            <v>227.5</v>
          </cell>
          <cell r="W1422">
            <v>248.5</v>
          </cell>
          <cell r="X1422">
            <v>171.5</v>
          </cell>
          <cell r="Y1422">
            <v>122.5</v>
          </cell>
          <cell r="Z1422">
            <v>56</v>
          </cell>
          <cell r="AA1422">
            <v>126</v>
          </cell>
          <cell r="AB1422">
            <v>294</v>
          </cell>
          <cell r="AC1422">
            <v>154</v>
          </cell>
          <cell r="AD1422">
            <v>140</v>
          </cell>
          <cell r="AE1422">
            <v>476</v>
          </cell>
          <cell r="AF1422">
            <v>294</v>
          </cell>
          <cell r="AG1422">
            <v>182</v>
          </cell>
        </row>
        <row r="1423">
          <cell r="C1423">
            <v>208242</v>
          </cell>
          <cell r="D1423" t="str">
            <v>Hon. MLA Shri Radhakrishna</v>
          </cell>
          <cell r="E1423" t="str">
            <v>IOCL</v>
          </cell>
          <cell r="G1423" t="str">
            <v>Shirdi RSA</v>
          </cell>
          <cell r="H1423">
            <v>39297</v>
          </cell>
          <cell r="I1423" t="str">
            <v>OPEN</v>
          </cell>
          <cell r="J1423" t="str">
            <v>PRAVARA NAGAR</v>
          </cell>
          <cell r="K1423" t="str">
            <v>Ahmednagar</v>
          </cell>
          <cell r="L1423" t="str">
            <v>E</v>
          </cell>
          <cell r="O1423" t="str">
            <v>B</v>
          </cell>
          <cell r="P1423">
            <v>17</v>
          </cell>
          <cell r="Q1423">
            <v>39</v>
          </cell>
          <cell r="R1423">
            <v>19</v>
          </cell>
          <cell r="S1423">
            <v>37</v>
          </cell>
          <cell r="T1423">
            <v>-2</v>
          </cell>
          <cell r="U1423">
            <v>2</v>
          </cell>
          <cell r="V1423">
            <v>23</v>
          </cell>
          <cell r="W1423">
            <v>57</v>
          </cell>
          <cell r="X1423">
            <v>22</v>
          </cell>
          <cell r="Y1423">
            <v>70</v>
          </cell>
          <cell r="Z1423">
            <v>1</v>
          </cell>
          <cell r="AA1423">
            <v>-13</v>
          </cell>
          <cell r="AB1423">
            <v>56</v>
          </cell>
          <cell r="AC1423">
            <v>56</v>
          </cell>
          <cell r="AD1423">
            <v>0</v>
          </cell>
          <cell r="AE1423">
            <v>80</v>
          </cell>
          <cell r="AF1423">
            <v>92</v>
          </cell>
          <cell r="AG1423">
            <v>-12</v>
          </cell>
        </row>
        <row r="1424">
          <cell r="C1424">
            <v>208865</v>
          </cell>
          <cell r="D1424" t="str">
            <v>BHEGADE SERVICE STATION</v>
          </cell>
          <cell r="E1424" t="str">
            <v>IOCL</v>
          </cell>
          <cell r="G1424" t="str">
            <v>Pimpri Chinchwad RSA</v>
          </cell>
          <cell r="H1424">
            <v>39364</v>
          </cell>
          <cell r="I1424" t="str">
            <v>OPEN</v>
          </cell>
          <cell r="J1424" t="str">
            <v>Induri</v>
          </cell>
          <cell r="K1424" t="str">
            <v>Pune</v>
          </cell>
          <cell r="L1424" t="str">
            <v>D1</v>
          </cell>
          <cell r="M1424" t="str">
            <v>NH-548D</v>
          </cell>
          <cell r="O1424" t="str">
            <v>B</v>
          </cell>
          <cell r="P1424">
            <v>42</v>
          </cell>
          <cell r="Q1424">
            <v>258</v>
          </cell>
          <cell r="R1424">
            <v>33</v>
          </cell>
          <cell r="S1424">
            <v>183</v>
          </cell>
          <cell r="T1424">
            <v>9</v>
          </cell>
          <cell r="U1424">
            <v>75</v>
          </cell>
          <cell r="V1424">
            <v>75</v>
          </cell>
          <cell r="W1424">
            <v>537</v>
          </cell>
          <cell r="X1424">
            <v>63</v>
          </cell>
          <cell r="Y1424">
            <v>345</v>
          </cell>
          <cell r="Z1424">
            <v>12</v>
          </cell>
          <cell r="AA1424">
            <v>192</v>
          </cell>
          <cell r="AB1424">
            <v>300</v>
          </cell>
          <cell r="AC1424">
            <v>216</v>
          </cell>
          <cell r="AD1424">
            <v>84</v>
          </cell>
          <cell r="AE1424">
            <v>612</v>
          </cell>
          <cell r="AF1424">
            <v>408</v>
          </cell>
          <cell r="AG1424">
            <v>204</v>
          </cell>
        </row>
        <row r="1425">
          <cell r="C1425">
            <v>208883</v>
          </cell>
          <cell r="D1425" t="str">
            <v>KALBHOR PETROLEUM</v>
          </cell>
          <cell r="E1425" t="str">
            <v>IOCL</v>
          </cell>
          <cell r="G1425" t="str">
            <v>Pimpri Chinchwad RSA</v>
          </cell>
          <cell r="H1425">
            <v>39171</v>
          </cell>
          <cell r="I1425" t="str">
            <v>OPEN</v>
          </cell>
          <cell r="J1425" t="str">
            <v>Induri</v>
          </cell>
          <cell r="K1425" t="str">
            <v>Pune</v>
          </cell>
          <cell r="L1425" t="str">
            <v>D1</v>
          </cell>
          <cell r="M1425" t="str">
            <v>NH-548D</v>
          </cell>
          <cell r="O1425" t="str">
            <v>B</v>
          </cell>
          <cell r="P1425">
            <v>25</v>
          </cell>
          <cell r="Q1425">
            <v>826</v>
          </cell>
          <cell r="R1425">
            <v>35</v>
          </cell>
          <cell r="S1425">
            <v>724</v>
          </cell>
          <cell r="T1425">
            <v>-10</v>
          </cell>
          <cell r="U1425">
            <v>102</v>
          </cell>
          <cell r="V1425">
            <v>40</v>
          </cell>
          <cell r="W1425">
            <v>1731</v>
          </cell>
          <cell r="X1425">
            <v>60</v>
          </cell>
          <cell r="Y1425">
            <v>1458</v>
          </cell>
          <cell r="Z1425">
            <v>-20</v>
          </cell>
          <cell r="AA1425">
            <v>273</v>
          </cell>
          <cell r="AB1425">
            <v>851</v>
          </cell>
          <cell r="AC1425">
            <v>759</v>
          </cell>
          <cell r="AD1425">
            <v>92</v>
          </cell>
          <cell r="AE1425">
            <v>1771</v>
          </cell>
          <cell r="AF1425">
            <v>1518</v>
          </cell>
          <cell r="AG1425">
            <v>253</v>
          </cell>
        </row>
        <row r="1426">
          <cell r="C1426">
            <v>208886</v>
          </cell>
          <cell r="D1426" t="str">
            <v>SUMEGH PETROLEUM</v>
          </cell>
          <cell r="E1426" t="str">
            <v>IOCL</v>
          </cell>
          <cell r="G1426" t="str">
            <v>Pune Hadapsar RSA</v>
          </cell>
          <cell r="H1426">
            <v>39263</v>
          </cell>
          <cell r="I1426" t="str">
            <v>OPEN</v>
          </cell>
          <cell r="J1426" t="str">
            <v>CHOUFULLA-KHEDGAON</v>
          </cell>
          <cell r="K1426" t="str">
            <v>Pune</v>
          </cell>
          <cell r="L1426" t="str">
            <v>D2</v>
          </cell>
          <cell r="O1426" t="str">
            <v>B</v>
          </cell>
          <cell r="P1426">
            <v>36</v>
          </cell>
          <cell r="Q1426">
            <v>120</v>
          </cell>
          <cell r="R1426">
            <v>30</v>
          </cell>
          <cell r="S1426">
            <v>66</v>
          </cell>
          <cell r="T1426">
            <v>6</v>
          </cell>
          <cell r="U1426">
            <v>54</v>
          </cell>
          <cell r="V1426">
            <v>69</v>
          </cell>
          <cell r="W1426">
            <v>207</v>
          </cell>
          <cell r="X1426">
            <v>60</v>
          </cell>
          <cell r="Y1426">
            <v>120</v>
          </cell>
          <cell r="Z1426">
            <v>9</v>
          </cell>
          <cell r="AA1426">
            <v>87</v>
          </cell>
          <cell r="AB1426">
            <v>156</v>
          </cell>
          <cell r="AC1426">
            <v>96</v>
          </cell>
          <cell r="AD1426">
            <v>60</v>
          </cell>
          <cell r="AE1426">
            <v>276</v>
          </cell>
          <cell r="AF1426">
            <v>180</v>
          </cell>
          <cell r="AG1426">
            <v>96</v>
          </cell>
        </row>
        <row r="1427">
          <cell r="C1427">
            <v>209709</v>
          </cell>
          <cell r="D1427" t="str">
            <v xml:space="preserve">OM SHIVAM PETROLEUM SERVICES       </v>
          </cell>
          <cell r="E1427" t="str">
            <v>IOCL</v>
          </cell>
          <cell r="G1427" t="str">
            <v>Ahmednagar East RSA</v>
          </cell>
          <cell r="H1427">
            <v>39308</v>
          </cell>
          <cell r="I1427" t="str">
            <v>SC</v>
          </cell>
          <cell r="J1427" t="str">
            <v>Handinimgaon</v>
          </cell>
          <cell r="K1427" t="str">
            <v>Ahmednagar</v>
          </cell>
          <cell r="L1427" t="str">
            <v>D1</v>
          </cell>
          <cell r="M1427" t="str">
            <v>NH-753F</v>
          </cell>
          <cell r="O1427" t="str">
            <v>A</v>
          </cell>
          <cell r="P1427">
            <v>9.5</v>
          </cell>
          <cell r="Q1427">
            <v>70.5</v>
          </cell>
          <cell r="R1427">
            <v>10</v>
          </cell>
          <cell r="S1427">
            <v>26</v>
          </cell>
          <cell r="T1427">
            <v>-0.5</v>
          </cell>
          <cell r="U1427">
            <v>44.5</v>
          </cell>
          <cell r="V1427">
            <v>17.5</v>
          </cell>
          <cell r="W1427">
            <v>176.5</v>
          </cell>
          <cell r="X1427">
            <v>10</v>
          </cell>
          <cell r="Y1427">
            <v>38</v>
          </cell>
          <cell r="Z1427">
            <v>7.5</v>
          </cell>
          <cell r="AA1427">
            <v>138.5</v>
          </cell>
          <cell r="AB1427">
            <v>80</v>
          </cell>
          <cell r="AC1427">
            <v>36</v>
          </cell>
          <cell r="AD1427">
            <v>44</v>
          </cell>
          <cell r="AE1427">
            <v>194</v>
          </cell>
          <cell r="AF1427">
            <v>48</v>
          </cell>
          <cell r="AG1427">
            <v>146</v>
          </cell>
        </row>
        <row r="1428">
          <cell r="C1428">
            <v>209798</v>
          </cell>
          <cell r="D1428" t="str">
            <v>Yash Abhijeet Petroleum Service</v>
          </cell>
          <cell r="E1428" t="str">
            <v>IOCL</v>
          </cell>
          <cell r="G1428" t="str">
            <v>Ahmednagar West RSA</v>
          </cell>
          <cell r="H1428">
            <v>39478</v>
          </cell>
          <cell r="I1428" t="str">
            <v>OPEN</v>
          </cell>
          <cell r="J1428" t="str">
            <v>Parner</v>
          </cell>
          <cell r="K1428" t="str">
            <v>Ahmednagar</v>
          </cell>
          <cell r="L1428" t="str">
            <v>D2</v>
          </cell>
          <cell r="O1428" t="str">
            <v>B</v>
          </cell>
          <cell r="P1428">
            <v>48</v>
          </cell>
          <cell r="Q1428">
            <v>120</v>
          </cell>
          <cell r="R1428">
            <v>57</v>
          </cell>
          <cell r="S1428">
            <v>63</v>
          </cell>
          <cell r="T1428">
            <v>-9</v>
          </cell>
          <cell r="U1428">
            <v>57</v>
          </cell>
          <cell r="V1428">
            <v>87</v>
          </cell>
          <cell r="W1428">
            <v>165</v>
          </cell>
          <cell r="X1428">
            <v>99</v>
          </cell>
          <cell r="Y1428">
            <v>117</v>
          </cell>
          <cell r="Z1428">
            <v>-12</v>
          </cell>
          <cell r="AA1428">
            <v>48</v>
          </cell>
          <cell r="AB1428">
            <v>168</v>
          </cell>
          <cell r="AC1428">
            <v>120</v>
          </cell>
          <cell r="AD1428">
            <v>48</v>
          </cell>
          <cell r="AE1428">
            <v>252</v>
          </cell>
          <cell r="AF1428">
            <v>216</v>
          </cell>
          <cell r="AG1428">
            <v>36</v>
          </cell>
        </row>
        <row r="1429">
          <cell r="C1429">
            <v>210727</v>
          </cell>
          <cell r="D1429" t="str">
            <v>SHRI KANHOBA KISAN SEVA KENDRA</v>
          </cell>
          <cell r="E1429" t="str">
            <v>IOCL</v>
          </cell>
          <cell r="G1429" t="str">
            <v>Pune Wagholi RSA</v>
          </cell>
          <cell r="H1429">
            <v>39294</v>
          </cell>
          <cell r="I1429" t="str">
            <v>OPEN</v>
          </cell>
          <cell r="J1429" t="str">
            <v>Ranjani</v>
          </cell>
          <cell r="K1429" t="str">
            <v>Pune</v>
          </cell>
          <cell r="L1429" t="str">
            <v>E</v>
          </cell>
          <cell r="O1429" t="str">
            <v>B</v>
          </cell>
          <cell r="P1429">
            <v>21</v>
          </cell>
          <cell r="Q1429">
            <v>63</v>
          </cell>
          <cell r="R1429">
            <v>21.5</v>
          </cell>
          <cell r="S1429">
            <v>40.5</v>
          </cell>
          <cell r="T1429">
            <v>-0.5</v>
          </cell>
          <cell r="U1429">
            <v>22.5</v>
          </cell>
          <cell r="V1429">
            <v>39</v>
          </cell>
          <cell r="W1429">
            <v>105</v>
          </cell>
          <cell r="X1429">
            <v>46.5</v>
          </cell>
          <cell r="Y1429">
            <v>89.5</v>
          </cell>
          <cell r="Z1429">
            <v>-7.5</v>
          </cell>
          <cell r="AA1429">
            <v>15.5</v>
          </cell>
          <cell r="AB1429">
            <v>84</v>
          </cell>
          <cell r="AC1429">
            <v>62</v>
          </cell>
          <cell r="AD1429">
            <v>22</v>
          </cell>
          <cell r="AE1429">
            <v>144</v>
          </cell>
          <cell r="AF1429">
            <v>136</v>
          </cell>
          <cell r="AG1429">
            <v>8</v>
          </cell>
        </row>
        <row r="1430">
          <cell r="C1430">
            <v>211804</v>
          </cell>
          <cell r="D1430" t="str">
            <v>CHANDRABHAGA SERVICE STATION</v>
          </cell>
          <cell r="E1430" t="str">
            <v>IOCL</v>
          </cell>
          <cell r="F1430" t="str">
            <v>2012-13</v>
          </cell>
          <cell r="G1430" t="str">
            <v>Pune Hadapsar RSA</v>
          </cell>
          <cell r="H1430">
            <v>41364</v>
          </cell>
          <cell r="I1430" t="str">
            <v>OPEN</v>
          </cell>
          <cell r="J1430" t="str">
            <v>Yawat RHS</v>
          </cell>
          <cell r="K1430" t="str">
            <v>Pune</v>
          </cell>
          <cell r="L1430" t="str">
            <v>D1</v>
          </cell>
          <cell r="M1430" t="str">
            <v>NH-65</v>
          </cell>
          <cell r="O1430" t="str">
            <v>A</v>
          </cell>
          <cell r="P1430">
            <v>15</v>
          </cell>
          <cell r="Q1430">
            <v>57</v>
          </cell>
          <cell r="R1430">
            <v>15</v>
          </cell>
          <cell r="S1430">
            <v>45</v>
          </cell>
          <cell r="T1430">
            <v>0</v>
          </cell>
          <cell r="U1430">
            <v>12</v>
          </cell>
          <cell r="V1430">
            <v>24</v>
          </cell>
          <cell r="W1430">
            <v>204</v>
          </cell>
          <cell r="X1430">
            <v>24</v>
          </cell>
          <cell r="Y1430">
            <v>84</v>
          </cell>
          <cell r="Z1430">
            <v>0</v>
          </cell>
          <cell r="AA1430">
            <v>120</v>
          </cell>
          <cell r="AB1430">
            <v>72</v>
          </cell>
          <cell r="AC1430">
            <v>60</v>
          </cell>
          <cell r="AD1430">
            <v>12</v>
          </cell>
          <cell r="AE1430">
            <v>228</v>
          </cell>
          <cell r="AF1430">
            <v>108</v>
          </cell>
          <cell r="AG1430">
            <v>120</v>
          </cell>
        </row>
        <row r="1431">
          <cell r="C1431">
            <v>211844</v>
          </cell>
          <cell r="D1431" t="str">
            <v>Raghuvimal Petroleum</v>
          </cell>
          <cell r="E1431" t="str">
            <v>IOCL</v>
          </cell>
          <cell r="G1431" t="str">
            <v>Shirdi RSA</v>
          </cell>
          <cell r="H1431">
            <v>39537</v>
          </cell>
          <cell r="I1431" t="str">
            <v>OPEN</v>
          </cell>
          <cell r="J1431" t="str">
            <v>PUNTAMBA</v>
          </cell>
          <cell r="K1431" t="str">
            <v>Ahmednagar</v>
          </cell>
          <cell r="L1431" t="str">
            <v>E</v>
          </cell>
          <cell r="O1431" t="str">
            <v>B</v>
          </cell>
          <cell r="P1431">
            <v>46</v>
          </cell>
          <cell r="Q1431">
            <v>174</v>
          </cell>
          <cell r="R1431">
            <v>49</v>
          </cell>
          <cell r="S1431">
            <v>113</v>
          </cell>
          <cell r="T1431">
            <v>-3</v>
          </cell>
          <cell r="U1431">
            <v>61</v>
          </cell>
          <cell r="V1431">
            <v>91</v>
          </cell>
          <cell r="W1431">
            <v>297</v>
          </cell>
          <cell r="X1431">
            <v>92</v>
          </cell>
          <cell r="Y1431">
            <v>204</v>
          </cell>
          <cell r="Z1431">
            <v>-1</v>
          </cell>
          <cell r="AA1431">
            <v>93</v>
          </cell>
          <cell r="AB1431">
            <v>220</v>
          </cell>
          <cell r="AC1431">
            <v>162</v>
          </cell>
          <cell r="AD1431">
            <v>58</v>
          </cell>
          <cell r="AE1431">
            <v>388</v>
          </cell>
          <cell r="AF1431">
            <v>296</v>
          </cell>
          <cell r="AG1431">
            <v>92</v>
          </cell>
        </row>
        <row r="1432">
          <cell r="C1432">
            <v>211916</v>
          </cell>
          <cell r="D1432" t="str">
            <v>Yash Enterprises</v>
          </cell>
          <cell r="E1432" t="str">
            <v>IOCL</v>
          </cell>
          <cell r="G1432" t="str">
            <v>Ahmednagar West RSA</v>
          </cell>
          <cell r="H1432">
            <v>39325</v>
          </cell>
          <cell r="I1432" t="str">
            <v>OPEN</v>
          </cell>
          <cell r="J1432" t="str">
            <v>JAMKHED</v>
          </cell>
          <cell r="K1432" t="str">
            <v>Ahmednagar</v>
          </cell>
          <cell r="L1432" t="str">
            <v>D1</v>
          </cell>
          <cell r="M1432" t="str">
            <v>NH-548D</v>
          </cell>
          <cell r="O1432" t="str">
            <v>B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</row>
        <row r="1433">
          <cell r="C1433">
            <v>212785</v>
          </cell>
          <cell r="D1433" t="str">
            <v>JAYESH PETRO SERVICES</v>
          </cell>
          <cell r="E1433" t="str">
            <v>IOCL</v>
          </cell>
          <cell r="G1433" t="str">
            <v>Pune Tathawade RSA</v>
          </cell>
          <cell r="H1433">
            <v>39353</v>
          </cell>
          <cell r="I1433" t="str">
            <v>OPEN</v>
          </cell>
          <cell r="J1433" t="str">
            <v>LONAVALA TO KAMSHET</v>
          </cell>
          <cell r="K1433" t="str">
            <v>Pune</v>
          </cell>
          <cell r="L1433" t="str">
            <v>D1</v>
          </cell>
          <cell r="M1433" t="str">
            <v>NH-48</v>
          </cell>
          <cell r="O1433" t="str">
            <v>B</v>
          </cell>
          <cell r="P1433">
            <v>90</v>
          </cell>
          <cell r="Q1433">
            <v>168</v>
          </cell>
          <cell r="R1433">
            <v>80</v>
          </cell>
          <cell r="S1433">
            <v>116</v>
          </cell>
          <cell r="T1433">
            <v>10</v>
          </cell>
          <cell r="U1433">
            <v>52</v>
          </cell>
          <cell r="V1433">
            <v>170</v>
          </cell>
          <cell r="W1433">
            <v>292</v>
          </cell>
          <cell r="X1433">
            <v>141</v>
          </cell>
          <cell r="Y1433">
            <v>203</v>
          </cell>
          <cell r="Z1433">
            <v>29</v>
          </cell>
          <cell r="AA1433">
            <v>89</v>
          </cell>
          <cell r="AB1433">
            <v>258</v>
          </cell>
          <cell r="AC1433">
            <v>196</v>
          </cell>
          <cell r="AD1433">
            <v>62</v>
          </cell>
          <cell r="AE1433">
            <v>462</v>
          </cell>
          <cell r="AF1433">
            <v>344</v>
          </cell>
          <cell r="AG1433">
            <v>118</v>
          </cell>
        </row>
        <row r="1434">
          <cell r="C1434">
            <v>213863</v>
          </cell>
          <cell r="D1434" t="str">
            <v>S S Auto Services</v>
          </cell>
          <cell r="E1434" t="str">
            <v>IOCL</v>
          </cell>
          <cell r="G1434" t="str">
            <v>Shirdi RSA</v>
          </cell>
          <cell r="H1434">
            <v>39385</v>
          </cell>
          <cell r="I1434" t="str">
            <v>OPEN</v>
          </cell>
          <cell r="J1434" t="str">
            <v>SANGAMNER KHURD</v>
          </cell>
          <cell r="K1434" t="str">
            <v>Ahmednagar</v>
          </cell>
          <cell r="L1434" t="str">
            <v>E</v>
          </cell>
          <cell r="O1434" t="str">
            <v>B</v>
          </cell>
          <cell r="P1434">
            <v>12</v>
          </cell>
          <cell r="Q1434">
            <v>48</v>
          </cell>
          <cell r="R1434">
            <v>18</v>
          </cell>
          <cell r="S1434">
            <v>54</v>
          </cell>
          <cell r="T1434">
            <v>-6</v>
          </cell>
          <cell r="U1434">
            <v>-6</v>
          </cell>
          <cell r="V1434">
            <v>27</v>
          </cell>
          <cell r="W1434">
            <v>93</v>
          </cell>
          <cell r="X1434">
            <v>33</v>
          </cell>
          <cell r="Y1434">
            <v>99</v>
          </cell>
          <cell r="Z1434">
            <v>-6</v>
          </cell>
          <cell r="AA1434">
            <v>-6</v>
          </cell>
          <cell r="AB1434">
            <v>60</v>
          </cell>
          <cell r="AC1434">
            <v>72</v>
          </cell>
          <cell r="AD1434">
            <v>-12</v>
          </cell>
          <cell r="AE1434">
            <v>120</v>
          </cell>
          <cell r="AF1434">
            <v>132</v>
          </cell>
          <cell r="AG1434">
            <v>-12</v>
          </cell>
        </row>
        <row r="1435">
          <cell r="C1435">
            <v>214557</v>
          </cell>
          <cell r="D1435" t="str">
            <v>SARASWATI SERVICE STATION</v>
          </cell>
          <cell r="E1435" t="str">
            <v>IOCL</v>
          </cell>
          <cell r="G1435" t="str">
            <v>Pune City RSA</v>
          </cell>
          <cell r="H1435">
            <v>39416</v>
          </cell>
          <cell r="I1435" t="str">
            <v>OPEN (W)</v>
          </cell>
          <cell r="J1435" t="str">
            <v>Pimple Saudagar</v>
          </cell>
          <cell r="K1435" t="str">
            <v>Pune</v>
          </cell>
          <cell r="L1435" t="str">
            <v>A</v>
          </cell>
          <cell r="O1435" t="str">
            <v>B</v>
          </cell>
          <cell r="P1435">
            <v>215</v>
          </cell>
          <cell r="Q1435">
            <v>85</v>
          </cell>
          <cell r="R1435">
            <v>151.5</v>
          </cell>
          <cell r="S1435">
            <v>54.5</v>
          </cell>
          <cell r="T1435">
            <v>63.5</v>
          </cell>
          <cell r="U1435">
            <v>30.5</v>
          </cell>
          <cell r="V1435">
            <v>385</v>
          </cell>
          <cell r="W1435">
            <v>155</v>
          </cell>
          <cell r="X1435">
            <v>297.5</v>
          </cell>
          <cell r="Y1435">
            <v>92.5</v>
          </cell>
          <cell r="Z1435">
            <v>87.5</v>
          </cell>
          <cell r="AA1435">
            <v>62.5</v>
          </cell>
          <cell r="AB1435">
            <v>300</v>
          </cell>
          <cell r="AC1435">
            <v>206</v>
          </cell>
          <cell r="AD1435">
            <v>94</v>
          </cell>
          <cell r="AE1435">
            <v>540</v>
          </cell>
          <cell r="AF1435">
            <v>390</v>
          </cell>
          <cell r="AG1435">
            <v>150</v>
          </cell>
        </row>
        <row r="1436">
          <cell r="C1436">
            <v>215051</v>
          </cell>
          <cell r="D1436" t="str">
            <v>IMPERIAL PETROLEUM</v>
          </cell>
          <cell r="E1436" t="str">
            <v>IOCL</v>
          </cell>
          <cell r="G1436" t="str">
            <v>Pune City RSA</v>
          </cell>
          <cell r="H1436">
            <v>39447</v>
          </cell>
          <cell r="I1436" t="str">
            <v>OPEN</v>
          </cell>
          <cell r="J1436" t="str">
            <v>MUNDHWA/GHORPADI</v>
          </cell>
          <cell r="K1436" t="str">
            <v>Pune</v>
          </cell>
          <cell r="L1436" t="str">
            <v>A</v>
          </cell>
          <cell r="O1436" t="str">
            <v>A</v>
          </cell>
          <cell r="P1436">
            <v>198</v>
          </cell>
          <cell r="Q1436">
            <v>216</v>
          </cell>
          <cell r="R1436">
            <v>198</v>
          </cell>
          <cell r="S1436">
            <v>156</v>
          </cell>
          <cell r="T1436">
            <v>0</v>
          </cell>
          <cell r="U1436">
            <v>60</v>
          </cell>
          <cell r="V1436">
            <v>392</v>
          </cell>
          <cell r="W1436">
            <v>420</v>
          </cell>
          <cell r="X1436">
            <v>378</v>
          </cell>
          <cell r="Y1436">
            <v>408</v>
          </cell>
          <cell r="Z1436">
            <v>14</v>
          </cell>
          <cell r="AA1436">
            <v>12</v>
          </cell>
          <cell r="AB1436">
            <v>414</v>
          </cell>
          <cell r="AC1436">
            <v>354</v>
          </cell>
          <cell r="AD1436">
            <v>60</v>
          </cell>
          <cell r="AE1436">
            <v>812</v>
          </cell>
          <cell r="AF1436">
            <v>786</v>
          </cell>
          <cell r="AG1436">
            <v>26</v>
          </cell>
        </row>
        <row r="1437">
          <cell r="C1437">
            <v>215984</v>
          </cell>
          <cell r="D1437" t="str">
            <v>AWALE PETROLEUM</v>
          </cell>
          <cell r="E1437" t="str">
            <v>IOCL</v>
          </cell>
          <cell r="G1437" t="str">
            <v>Pune City RSA</v>
          </cell>
          <cell r="H1437">
            <v>39599</v>
          </cell>
          <cell r="I1437" t="str">
            <v>SC</v>
          </cell>
          <cell r="J1437" t="str">
            <v>WARJE/UTTAMNAGAR</v>
          </cell>
          <cell r="K1437" t="str">
            <v>Pune</v>
          </cell>
          <cell r="L1437" t="str">
            <v>A</v>
          </cell>
          <cell r="O1437" t="str">
            <v>A</v>
          </cell>
          <cell r="P1437">
            <v>249</v>
          </cell>
          <cell r="Q1437">
            <v>51</v>
          </cell>
          <cell r="R1437">
            <v>222</v>
          </cell>
          <cell r="S1437">
            <v>42</v>
          </cell>
          <cell r="T1437">
            <v>27</v>
          </cell>
          <cell r="U1437">
            <v>9</v>
          </cell>
          <cell r="V1437">
            <v>474</v>
          </cell>
          <cell r="W1437">
            <v>90</v>
          </cell>
          <cell r="X1437">
            <v>441</v>
          </cell>
          <cell r="Y1437">
            <v>75</v>
          </cell>
          <cell r="Z1437">
            <v>33</v>
          </cell>
          <cell r="AA1437">
            <v>15</v>
          </cell>
          <cell r="AB1437">
            <v>300</v>
          </cell>
          <cell r="AC1437">
            <v>264</v>
          </cell>
          <cell r="AD1437">
            <v>36</v>
          </cell>
          <cell r="AE1437">
            <v>564</v>
          </cell>
          <cell r="AF1437">
            <v>516</v>
          </cell>
          <cell r="AG1437">
            <v>48</v>
          </cell>
        </row>
        <row r="1438">
          <cell r="C1438">
            <v>216281</v>
          </cell>
          <cell r="D1438" t="str">
            <v>SIDDHI FUELS</v>
          </cell>
          <cell r="E1438" t="str">
            <v>IOCL</v>
          </cell>
          <cell r="G1438" t="str">
            <v>Ahmednagar East RSA</v>
          </cell>
          <cell r="H1438">
            <v>39478</v>
          </cell>
          <cell r="I1438" t="str">
            <v>SC</v>
          </cell>
          <cell r="J1438" t="str">
            <v>Shendi</v>
          </cell>
          <cell r="K1438" t="str">
            <v>Ahmednagar</v>
          </cell>
          <cell r="L1438" t="str">
            <v>D1</v>
          </cell>
          <cell r="M1438" t="str">
            <v>NH-753F</v>
          </cell>
          <cell r="O1438" t="str">
            <v>A</v>
          </cell>
          <cell r="P1438">
            <v>10</v>
          </cell>
          <cell r="Q1438">
            <v>26</v>
          </cell>
          <cell r="R1438">
            <v>0</v>
          </cell>
          <cell r="S1438">
            <v>0</v>
          </cell>
          <cell r="T1438">
            <v>10</v>
          </cell>
          <cell r="U1438">
            <v>26</v>
          </cell>
          <cell r="V1438">
            <v>17</v>
          </cell>
          <cell r="W1438">
            <v>43</v>
          </cell>
          <cell r="X1438">
            <v>0</v>
          </cell>
          <cell r="Y1438">
            <v>0</v>
          </cell>
          <cell r="Z1438">
            <v>17</v>
          </cell>
          <cell r="AA1438">
            <v>43</v>
          </cell>
          <cell r="AB1438">
            <v>36</v>
          </cell>
          <cell r="AC1438">
            <v>0</v>
          </cell>
          <cell r="AD1438">
            <v>36</v>
          </cell>
          <cell r="AE1438">
            <v>60</v>
          </cell>
          <cell r="AF1438">
            <v>0</v>
          </cell>
          <cell r="AG1438">
            <v>60</v>
          </cell>
        </row>
        <row r="1439">
          <cell r="C1439">
            <v>216783</v>
          </cell>
          <cell r="D1439" t="str">
            <v>KARAD TALUKA KHAREDI VIKRI S L</v>
          </cell>
          <cell r="E1439" t="str">
            <v>IOCL</v>
          </cell>
          <cell r="G1439" t="str">
            <v>Satara West RSA</v>
          </cell>
          <cell r="H1439">
            <v>39501</v>
          </cell>
          <cell r="I1439" t="str">
            <v>OPEN</v>
          </cell>
          <cell r="J1439" t="str">
            <v>PALI</v>
          </cell>
          <cell r="K1439" t="str">
            <v>Satara</v>
          </cell>
          <cell r="L1439" t="str">
            <v>E</v>
          </cell>
          <cell r="O1439" t="str">
            <v>B</v>
          </cell>
          <cell r="P1439">
            <v>36</v>
          </cell>
          <cell r="Q1439">
            <v>36</v>
          </cell>
          <cell r="R1439">
            <v>33</v>
          </cell>
          <cell r="S1439">
            <v>39</v>
          </cell>
          <cell r="T1439">
            <v>3</v>
          </cell>
          <cell r="U1439">
            <v>-3</v>
          </cell>
          <cell r="V1439">
            <v>69.5</v>
          </cell>
          <cell r="W1439">
            <v>76.5</v>
          </cell>
          <cell r="X1439">
            <v>63</v>
          </cell>
          <cell r="Y1439">
            <v>81</v>
          </cell>
          <cell r="Z1439">
            <v>6.5</v>
          </cell>
          <cell r="AA1439">
            <v>-4.5</v>
          </cell>
          <cell r="AB1439">
            <v>72</v>
          </cell>
          <cell r="AC1439">
            <v>72</v>
          </cell>
          <cell r="AD1439">
            <v>0</v>
          </cell>
          <cell r="AE1439">
            <v>146</v>
          </cell>
          <cell r="AF1439">
            <v>144</v>
          </cell>
          <cell r="AG1439">
            <v>2</v>
          </cell>
        </row>
        <row r="1440">
          <cell r="C1440">
            <v>216792</v>
          </cell>
          <cell r="D1440" t="str">
            <v>PATEL PETROLEUMS.</v>
          </cell>
          <cell r="E1440" t="str">
            <v>IOCL</v>
          </cell>
          <cell r="G1440" t="str">
            <v>Pune City RSA</v>
          </cell>
          <cell r="H1440">
            <v>39506</v>
          </cell>
          <cell r="I1440" t="str">
            <v>OPEN</v>
          </cell>
          <cell r="J1440" t="str">
            <v>MARKET YARD/LULLANAGAR</v>
          </cell>
          <cell r="K1440" t="str">
            <v>Pune</v>
          </cell>
          <cell r="L1440" t="str">
            <v>A</v>
          </cell>
          <cell r="O1440" t="str">
            <v>A</v>
          </cell>
          <cell r="P1440">
            <v>255</v>
          </cell>
          <cell r="Q1440">
            <v>69</v>
          </cell>
          <cell r="R1440">
            <v>213</v>
          </cell>
          <cell r="S1440">
            <v>63</v>
          </cell>
          <cell r="T1440">
            <v>42</v>
          </cell>
          <cell r="U1440">
            <v>6</v>
          </cell>
          <cell r="V1440">
            <v>492</v>
          </cell>
          <cell r="W1440">
            <v>132</v>
          </cell>
          <cell r="X1440">
            <v>429</v>
          </cell>
          <cell r="Y1440">
            <v>111</v>
          </cell>
          <cell r="Z1440">
            <v>63</v>
          </cell>
          <cell r="AA1440">
            <v>21</v>
          </cell>
          <cell r="AB1440">
            <v>324</v>
          </cell>
          <cell r="AC1440">
            <v>276</v>
          </cell>
          <cell r="AD1440">
            <v>48</v>
          </cell>
          <cell r="AE1440">
            <v>624</v>
          </cell>
          <cell r="AF1440">
            <v>540</v>
          </cell>
          <cell r="AG1440">
            <v>84</v>
          </cell>
        </row>
        <row r="1441">
          <cell r="C1441">
            <v>218041</v>
          </cell>
          <cell r="D1441" t="str">
            <v>BHAVANIDEVI PETROLEUM KSK</v>
          </cell>
          <cell r="E1441" t="str">
            <v>IOCL</v>
          </cell>
          <cell r="G1441" t="str">
            <v>Satara East RSA</v>
          </cell>
          <cell r="H1441">
            <v>39599</v>
          </cell>
          <cell r="I1441" t="str">
            <v>OPEN (W)</v>
          </cell>
          <cell r="J1441" t="str">
            <v>Aljapur</v>
          </cell>
          <cell r="K1441" t="str">
            <v>Satara</v>
          </cell>
          <cell r="L1441" t="str">
            <v>D2</v>
          </cell>
          <cell r="O1441" t="str">
            <v>B</v>
          </cell>
          <cell r="P1441">
            <v>12</v>
          </cell>
          <cell r="Q1441">
            <v>24</v>
          </cell>
          <cell r="R1441">
            <v>0</v>
          </cell>
          <cell r="S1441">
            <v>0</v>
          </cell>
          <cell r="T1441">
            <v>12</v>
          </cell>
          <cell r="U1441">
            <v>24</v>
          </cell>
          <cell r="V1441">
            <v>18</v>
          </cell>
          <cell r="W1441">
            <v>30</v>
          </cell>
          <cell r="X1441">
            <v>3</v>
          </cell>
          <cell r="Y1441">
            <v>0</v>
          </cell>
          <cell r="Z1441">
            <v>15</v>
          </cell>
          <cell r="AA1441">
            <v>30</v>
          </cell>
          <cell r="AB1441">
            <v>36</v>
          </cell>
          <cell r="AC1441">
            <v>0</v>
          </cell>
          <cell r="AD1441">
            <v>36</v>
          </cell>
          <cell r="AE1441">
            <v>48</v>
          </cell>
          <cell r="AF1441">
            <v>3</v>
          </cell>
          <cell r="AG1441">
            <v>45</v>
          </cell>
        </row>
        <row r="1442">
          <cell r="C1442">
            <v>219798</v>
          </cell>
          <cell r="D1442" t="str">
            <v>JRO Lonikand</v>
          </cell>
          <cell r="E1442" t="str">
            <v>IOCL</v>
          </cell>
          <cell r="G1442" t="str">
            <v>Pune Wagholi RSA</v>
          </cell>
          <cell r="H1442">
            <v>36604</v>
          </cell>
          <cell r="I1442" t="str">
            <v>OPEN</v>
          </cell>
          <cell r="J1442" t="str">
            <v>LONIKAND to KOREGAON BHIMA LHS</v>
          </cell>
          <cell r="K1442" t="str">
            <v>Pune</v>
          </cell>
          <cell r="L1442" t="str">
            <v>D1</v>
          </cell>
          <cell r="M1442" t="str">
            <v>NH-753F</v>
          </cell>
          <cell r="O1442" t="str">
            <v>A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</row>
        <row r="1443">
          <cell r="C1443">
            <v>221803</v>
          </cell>
          <cell r="D1443" t="str">
            <v>Viva &amp; Sons Petroleum</v>
          </cell>
          <cell r="E1443" t="str">
            <v>IOCL</v>
          </cell>
          <cell r="G1443" t="str">
            <v>Ahmednagar West RSA</v>
          </cell>
          <cell r="H1443">
            <v>39750</v>
          </cell>
          <cell r="I1443" t="str">
            <v>SC</v>
          </cell>
          <cell r="J1443" t="str">
            <v>Chichondi Patil</v>
          </cell>
          <cell r="K1443" t="str">
            <v>Ahmednagar</v>
          </cell>
          <cell r="L1443" t="str">
            <v>D1</v>
          </cell>
          <cell r="M1443" t="str">
            <v>NH-561</v>
          </cell>
          <cell r="O1443" t="str">
            <v>A</v>
          </cell>
          <cell r="P1443">
            <v>32</v>
          </cell>
          <cell r="Q1443">
            <v>124</v>
          </cell>
          <cell r="R1443">
            <v>25.5</v>
          </cell>
          <cell r="S1443">
            <v>84.5</v>
          </cell>
          <cell r="T1443">
            <v>6.5</v>
          </cell>
          <cell r="U1443">
            <v>39.5</v>
          </cell>
          <cell r="V1443">
            <v>53</v>
          </cell>
          <cell r="W1443">
            <v>211</v>
          </cell>
          <cell r="X1443">
            <v>44.5</v>
          </cell>
          <cell r="Y1443">
            <v>169.5</v>
          </cell>
          <cell r="Z1443">
            <v>8.5</v>
          </cell>
          <cell r="AA1443">
            <v>41.5</v>
          </cell>
          <cell r="AB1443">
            <v>156</v>
          </cell>
          <cell r="AC1443">
            <v>110</v>
          </cell>
          <cell r="AD1443">
            <v>46</v>
          </cell>
          <cell r="AE1443">
            <v>264</v>
          </cell>
          <cell r="AF1443">
            <v>214</v>
          </cell>
          <cell r="AG1443">
            <v>50</v>
          </cell>
        </row>
        <row r="1444">
          <cell r="C1444">
            <v>222319</v>
          </cell>
          <cell r="D1444" t="str">
            <v>Shree Sairaj Petroleum</v>
          </cell>
          <cell r="E1444" t="str">
            <v>IOCL</v>
          </cell>
          <cell r="G1444" t="str">
            <v>Pune Hadapsar RSA</v>
          </cell>
          <cell r="H1444">
            <v>39805</v>
          </cell>
          <cell r="I1444" t="str">
            <v>OPEN</v>
          </cell>
          <cell r="J1444" t="str">
            <v>Urlidevachi Undri Road</v>
          </cell>
          <cell r="K1444" t="str">
            <v>Pune</v>
          </cell>
          <cell r="L1444" t="str">
            <v>A</v>
          </cell>
          <cell r="O1444" t="str">
            <v>B</v>
          </cell>
          <cell r="P1444">
            <v>50</v>
          </cell>
          <cell r="Q1444">
            <v>230</v>
          </cell>
          <cell r="R1444">
            <v>35</v>
          </cell>
          <cell r="S1444">
            <v>225</v>
          </cell>
          <cell r="T1444">
            <v>15</v>
          </cell>
          <cell r="U1444">
            <v>5</v>
          </cell>
          <cell r="V1444">
            <v>100</v>
          </cell>
          <cell r="W1444">
            <v>500</v>
          </cell>
          <cell r="X1444">
            <v>80</v>
          </cell>
          <cell r="Y1444">
            <v>480</v>
          </cell>
          <cell r="Z1444">
            <v>20</v>
          </cell>
          <cell r="AA1444">
            <v>20</v>
          </cell>
          <cell r="AB1444">
            <v>280</v>
          </cell>
          <cell r="AC1444">
            <v>260</v>
          </cell>
          <cell r="AD1444">
            <v>20</v>
          </cell>
          <cell r="AE1444">
            <v>600</v>
          </cell>
          <cell r="AF1444">
            <v>560</v>
          </cell>
          <cell r="AG1444">
            <v>40</v>
          </cell>
        </row>
        <row r="1445">
          <cell r="C1445">
            <v>222515</v>
          </cell>
          <cell r="D1445" t="str">
            <v>BHONGLE PETROLEUM</v>
          </cell>
          <cell r="E1445" t="str">
            <v>IOCL</v>
          </cell>
          <cell r="G1445" t="str">
            <v>Pune Saswad RSA</v>
          </cell>
          <cell r="H1445">
            <v>39843</v>
          </cell>
          <cell r="I1445" t="str">
            <v>OPEN</v>
          </cell>
          <cell r="J1445" t="str">
            <v>SASWAD</v>
          </cell>
          <cell r="K1445" t="str">
            <v>Pune</v>
          </cell>
          <cell r="L1445" t="str">
            <v>C</v>
          </cell>
          <cell r="O1445" t="str">
            <v>B</v>
          </cell>
          <cell r="P1445">
            <v>120</v>
          </cell>
          <cell r="Q1445">
            <v>120</v>
          </cell>
          <cell r="R1445">
            <v>95</v>
          </cell>
          <cell r="S1445">
            <v>105</v>
          </cell>
          <cell r="T1445">
            <v>25</v>
          </cell>
          <cell r="U1445">
            <v>15</v>
          </cell>
          <cell r="V1445">
            <v>215</v>
          </cell>
          <cell r="W1445">
            <v>229</v>
          </cell>
          <cell r="X1445">
            <v>185</v>
          </cell>
          <cell r="Y1445">
            <v>195</v>
          </cell>
          <cell r="Z1445">
            <v>30</v>
          </cell>
          <cell r="AA1445">
            <v>34</v>
          </cell>
          <cell r="AB1445">
            <v>240</v>
          </cell>
          <cell r="AC1445">
            <v>200</v>
          </cell>
          <cell r="AD1445">
            <v>40</v>
          </cell>
          <cell r="AE1445">
            <v>444</v>
          </cell>
          <cell r="AF1445">
            <v>380</v>
          </cell>
          <cell r="AG1445">
            <v>64</v>
          </cell>
        </row>
        <row r="1446">
          <cell r="C1446">
            <v>222614</v>
          </cell>
          <cell r="D1446" t="str">
            <v>Vishwas Kisan Seva Kendra</v>
          </cell>
          <cell r="E1446" t="str">
            <v>IOCL</v>
          </cell>
          <cell r="G1446" t="str">
            <v>Ahmednagar West RSA</v>
          </cell>
          <cell r="H1446">
            <v>39781</v>
          </cell>
          <cell r="I1446" t="str">
            <v>OPEN</v>
          </cell>
          <cell r="J1446" t="str">
            <v>Kuldharan</v>
          </cell>
          <cell r="K1446" t="str">
            <v>Ahmednagar</v>
          </cell>
          <cell r="L1446" t="str">
            <v>D2</v>
          </cell>
          <cell r="O1446" t="str">
            <v>B</v>
          </cell>
          <cell r="P1446">
            <v>51</v>
          </cell>
          <cell r="Q1446">
            <v>205</v>
          </cell>
          <cell r="R1446">
            <v>48</v>
          </cell>
          <cell r="S1446">
            <v>112</v>
          </cell>
          <cell r="T1446">
            <v>3</v>
          </cell>
          <cell r="U1446">
            <v>93</v>
          </cell>
          <cell r="V1446">
            <v>95</v>
          </cell>
          <cell r="W1446">
            <v>379</v>
          </cell>
          <cell r="X1446">
            <v>85</v>
          </cell>
          <cell r="Y1446">
            <v>207</v>
          </cell>
          <cell r="Z1446">
            <v>10</v>
          </cell>
          <cell r="AA1446">
            <v>172</v>
          </cell>
          <cell r="AB1446">
            <v>256</v>
          </cell>
          <cell r="AC1446">
            <v>160</v>
          </cell>
          <cell r="AD1446">
            <v>96</v>
          </cell>
          <cell r="AE1446">
            <v>474</v>
          </cell>
          <cell r="AF1446">
            <v>292</v>
          </cell>
          <cell r="AG1446">
            <v>182</v>
          </cell>
        </row>
        <row r="1447">
          <cell r="C1447">
            <v>222615</v>
          </cell>
          <cell r="D1447" t="str">
            <v>Srinath Kisan Seva Kendra</v>
          </cell>
          <cell r="E1447" t="str">
            <v>IOCL</v>
          </cell>
          <cell r="G1447" t="str">
            <v>Ahmednagar West RSA</v>
          </cell>
          <cell r="H1447">
            <v>39781</v>
          </cell>
          <cell r="I1447" t="str">
            <v>PHP (W)</v>
          </cell>
          <cell r="J1447" t="str">
            <v>Belwandi</v>
          </cell>
          <cell r="K1447" t="str">
            <v>Ahmednagar</v>
          </cell>
          <cell r="L1447" t="str">
            <v>D2</v>
          </cell>
          <cell r="O1447" t="str">
            <v>B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</row>
        <row r="1448">
          <cell r="C1448">
            <v>223995</v>
          </cell>
          <cell r="D1448" t="str">
            <v>Guruji Petroleum</v>
          </cell>
          <cell r="E1448" t="str">
            <v>IOCL</v>
          </cell>
          <cell r="G1448" t="str">
            <v>Pimpri Chinchwad RSA</v>
          </cell>
          <cell r="H1448">
            <v>39840</v>
          </cell>
          <cell r="I1448" t="str">
            <v>SC (W)</v>
          </cell>
          <cell r="J1448" t="str">
            <v>Chakan Bhose</v>
          </cell>
          <cell r="K1448" t="str">
            <v>Pune</v>
          </cell>
          <cell r="L1448" t="str">
            <v>D1</v>
          </cell>
          <cell r="M1448" t="str">
            <v>NH-548D</v>
          </cell>
          <cell r="O1448" t="str">
            <v>A</v>
          </cell>
          <cell r="P1448">
            <v>35</v>
          </cell>
          <cell r="Q1448">
            <v>345</v>
          </cell>
          <cell r="R1448">
            <v>36.5</v>
          </cell>
          <cell r="S1448">
            <v>361.5</v>
          </cell>
          <cell r="T1448">
            <v>-1.5</v>
          </cell>
          <cell r="U1448">
            <v>-16.5</v>
          </cell>
          <cell r="V1448">
            <v>60</v>
          </cell>
          <cell r="W1448">
            <v>680</v>
          </cell>
          <cell r="X1448">
            <v>59</v>
          </cell>
          <cell r="Y1448">
            <v>717</v>
          </cell>
          <cell r="Z1448">
            <v>1</v>
          </cell>
          <cell r="AA1448">
            <v>-37</v>
          </cell>
          <cell r="AB1448">
            <v>380</v>
          </cell>
          <cell r="AC1448">
            <v>398</v>
          </cell>
          <cell r="AD1448">
            <v>-18</v>
          </cell>
          <cell r="AE1448">
            <v>740</v>
          </cell>
          <cell r="AF1448">
            <v>776</v>
          </cell>
          <cell r="AG1448">
            <v>-36</v>
          </cell>
        </row>
        <row r="1449">
          <cell r="C1449">
            <v>224590</v>
          </cell>
          <cell r="D1449" t="str">
            <v>MAHADEV PETROLEUM KSK</v>
          </cell>
          <cell r="E1449" t="str">
            <v>IOCL</v>
          </cell>
          <cell r="G1449" t="str">
            <v>Satara East RSA</v>
          </cell>
          <cell r="H1449">
            <v>39844</v>
          </cell>
          <cell r="I1449" t="str">
            <v>OPEN</v>
          </cell>
          <cell r="J1449" t="str">
            <v>Shingnapur</v>
          </cell>
          <cell r="K1449" t="str">
            <v>Satara</v>
          </cell>
          <cell r="L1449" t="str">
            <v>E</v>
          </cell>
          <cell r="O1449" t="str">
            <v>B</v>
          </cell>
          <cell r="P1449">
            <v>31.5</v>
          </cell>
          <cell r="Q1449">
            <v>38.5</v>
          </cell>
          <cell r="R1449">
            <v>21</v>
          </cell>
          <cell r="S1449">
            <v>21</v>
          </cell>
          <cell r="T1449">
            <v>10.5</v>
          </cell>
          <cell r="U1449">
            <v>17.5</v>
          </cell>
          <cell r="V1449">
            <v>63</v>
          </cell>
          <cell r="W1449">
            <v>77</v>
          </cell>
          <cell r="X1449">
            <v>52.5</v>
          </cell>
          <cell r="Y1449">
            <v>45.5</v>
          </cell>
          <cell r="Z1449">
            <v>10.5</v>
          </cell>
          <cell r="AA1449">
            <v>31.5</v>
          </cell>
          <cell r="AB1449">
            <v>70</v>
          </cell>
          <cell r="AC1449">
            <v>42</v>
          </cell>
          <cell r="AD1449">
            <v>28</v>
          </cell>
          <cell r="AE1449">
            <v>140</v>
          </cell>
          <cell r="AF1449">
            <v>98</v>
          </cell>
          <cell r="AG1449">
            <v>42</v>
          </cell>
        </row>
        <row r="1450">
          <cell r="C1450">
            <v>224595</v>
          </cell>
          <cell r="D1450" t="str">
            <v>Shree Sai Anand Petroleum</v>
          </cell>
          <cell r="E1450" t="str">
            <v>IOCL</v>
          </cell>
          <cell r="G1450" t="str">
            <v>Ahmednagar West RSA</v>
          </cell>
          <cell r="H1450">
            <v>39844</v>
          </cell>
          <cell r="I1450" t="str">
            <v>OPEN</v>
          </cell>
          <cell r="J1450" t="str">
            <v>Ruichattisi</v>
          </cell>
          <cell r="K1450" t="str">
            <v>Ahmednagar</v>
          </cell>
          <cell r="L1450" t="str">
            <v>D1</v>
          </cell>
          <cell r="M1450" t="str">
            <v>NH-561A</v>
          </cell>
          <cell r="O1450" t="str">
            <v>B</v>
          </cell>
          <cell r="P1450">
            <v>38.5</v>
          </cell>
          <cell r="Q1450">
            <v>358.5</v>
          </cell>
          <cell r="R1450">
            <v>21</v>
          </cell>
          <cell r="S1450">
            <v>231</v>
          </cell>
          <cell r="T1450">
            <v>17.5</v>
          </cell>
          <cell r="U1450">
            <v>127.5</v>
          </cell>
          <cell r="V1450">
            <v>63</v>
          </cell>
          <cell r="W1450">
            <v>628</v>
          </cell>
          <cell r="X1450">
            <v>38.5</v>
          </cell>
          <cell r="Y1450">
            <v>409.5</v>
          </cell>
          <cell r="Z1450">
            <v>24.5</v>
          </cell>
          <cell r="AA1450">
            <v>218.5</v>
          </cell>
          <cell r="AB1450">
            <v>397</v>
          </cell>
          <cell r="AC1450">
            <v>252</v>
          </cell>
          <cell r="AD1450">
            <v>145</v>
          </cell>
          <cell r="AE1450">
            <v>691</v>
          </cell>
          <cell r="AF1450">
            <v>448</v>
          </cell>
          <cell r="AG1450">
            <v>243</v>
          </cell>
        </row>
        <row r="1451">
          <cell r="C1451">
            <v>225490</v>
          </cell>
          <cell r="D1451" t="str">
            <v>Tanishq Petroleum Ksk</v>
          </cell>
          <cell r="E1451" t="str">
            <v>IOCL</v>
          </cell>
          <cell r="G1451" t="str">
            <v>Shirdi RSA</v>
          </cell>
          <cell r="H1451">
            <v>39872</v>
          </cell>
          <cell r="I1451" t="str">
            <v>OPEN (W)</v>
          </cell>
          <cell r="J1451" t="str">
            <v>PRATAPPUR ASHWI</v>
          </cell>
          <cell r="K1451" t="str">
            <v>Ahmednagar</v>
          </cell>
          <cell r="L1451" t="str">
            <v>E</v>
          </cell>
          <cell r="O1451" t="str">
            <v>B</v>
          </cell>
          <cell r="P1451">
            <v>66</v>
          </cell>
          <cell r="Q1451">
            <v>138</v>
          </cell>
          <cell r="R1451">
            <v>45</v>
          </cell>
          <cell r="S1451">
            <v>63</v>
          </cell>
          <cell r="T1451">
            <v>21</v>
          </cell>
          <cell r="U1451">
            <v>75</v>
          </cell>
          <cell r="V1451">
            <v>114</v>
          </cell>
          <cell r="W1451">
            <v>198</v>
          </cell>
          <cell r="X1451">
            <v>99</v>
          </cell>
          <cell r="Y1451">
            <v>117</v>
          </cell>
          <cell r="Z1451">
            <v>15</v>
          </cell>
          <cell r="AA1451">
            <v>81</v>
          </cell>
          <cell r="AB1451">
            <v>204</v>
          </cell>
          <cell r="AC1451">
            <v>108</v>
          </cell>
          <cell r="AD1451">
            <v>96</v>
          </cell>
          <cell r="AE1451">
            <v>312</v>
          </cell>
          <cell r="AF1451">
            <v>216</v>
          </cell>
          <cell r="AG1451">
            <v>96</v>
          </cell>
        </row>
        <row r="1452">
          <cell r="C1452">
            <v>225492</v>
          </cell>
          <cell r="D1452" t="str">
            <v>A.P.M.C. Kisan Seva Kendra</v>
          </cell>
          <cell r="E1452" t="str">
            <v>IOCL</v>
          </cell>
          <cell r="G1452" t="str">
            <v>Ahmednagar West RSA</v>
          </cell>
          <cell r="H1452">
            <v>39852</v>
          </cell>
          <cell r="I1452" t="str">
            <v>OPEN</v>
          </cell>
          <cell r="J1452" t="str">
            <v>Parner Balavani Rd</v>
          </cell>
          <cell r="K1452" t="str">
            <v>Ahmednagar</v>
          </cell>
          <cell r="L1452" t="str">
            <v>E</v>
          </cell>
          <cell r="O1452" t="str">
            <v>B</v>
          </cell>
          <cell r="P1452">
            <v>48.5</v>
          </cell>
          <cell r="Q1452">
            <v>61.5</v>
          </cell>
          <cell r="R1452">
            <v>51</v>
          </cell>
          <cell r="S1452">
            <v>57</v>
          </cell>
          <cell r="T1452">
            <v>-2.5</v>
          </cell>
          <cell r="U1452">
            <v>4.5</v>
          </cell>
          <cell r="V1452">
            <v>97.5</v>
          </cell>
          <cell r="W1452">
            <v>100.5</v>
          </cell>
          <cell r="X1452">
            <v>94</v>
          </cell>
          <cell r="Y1452">
            <v>106</v>
          </cell>
          <cell r="Z1452">
            <v>3.5</v>
          </cell>
          <cell r="AA1452">
            <v>-5.5</v>
          </cell>
          <cell r="AB1452">
            <v>110</v>
          </cell>
          <cell r="AC1452">
            <v>108</v>
          </cell>
          <cell r="AD1452">
            <v>2</v>
          </cell>
          <cell r="AE1452">
            <v>198</v>
          </cell>
          <cell r="AF1452">
            <v>200</v>
          </cell>
          <cell r="AG1452">
            <v>-2</v>
          </cell>
        </row>
        <row r="1453">
          <cell r="C1453">
            <v>226104</v>
          </cell>
          <cell r="D1453" t="str">
            <v>Yogiraj Petroleum Ksk</v>
          </cell>
          <cell r="E1453" t="str">
            <v>IOCL</v>
          </cell>
          <cell r="G1453" t="str">
            <v>Ahmednagar West RSA</v>
          </cell>
          <cell r="H1453">
            <v>39900</v>
          </cell>
          <cell r="I1453" t="str">
            <v>OPEN</v>
          </cell>
          <cell r="J1453" t="str">
            <v>Sakur</v>
          </cell>
          <cell r="K1453" t="str">
            <v>Ahmednagar</v>
          </cell>
          <cell r="L1453" t="str">
            <v>D2</v>
          </cell>
          <cell r="O1453" t="str">
            <v>B</v>
          </cell>
          <cell r="P1453">
            <v>32.5</v>
          </cell>
          <cell r="Q1453">
            <v>39.5</v>
          </cell>
          <cell r="R1453">
            <v>48</v>
          </cell>
          <cell r="S1453">
            <v>60</v>
          </cell>
          <cell r="T1453">
            <v>-15.5</v>
          </cell>
          <cell r="U1453">
            <v>-20.5</v>
          </cell>
          <cell r="V1453">
            <v>52.5</v>
          </cell>
          <cell r="W1453">
            <v>61.5</v>
          </cell>
          <cell r="X1453">
            <v>94</v>
          </cell>
          <cell r="Y1453">
            <v>112</v>
          </cell>
          <cell r="Z1453">
            <v>-41.5</v>
          </cell>
          <cell r="AA1453">
            <v>-50.5</v>
          </cell>
          <cell r="AB1453">
            <v>72</v>
          </cell>
          <cell r="AC1453">
            <v>108</v>
          </cell>
          <cell r="AD1453">
            <v>-36</v>
          </cell>
          <cell r="AE1453">
            <v>114</v>
          </cell>
          <cell r="AF1453">
            <v>206</v>
          </cell>
          <cell r="AG1453">
            <v>-92</v>
          </cell>
        </row>
        <row r="1454">
          <cell r="C1454">
            <v>226334</v>
          </cell>
          <cell r="D1454" t="str">
            <v>Shri Radhakrishna Vikhe Patil</v>
          </cell>
          <cell r="E1454" t="str">
            <v>IOCL</v>
          </cell>
          <cell r="G1454" t="str">
            <v>Shirdi RSA</v>
          </cell>
          <cell r="H1454">
            <v>39898</v>
          </cell>
          <cell r="I1454" t="str">
            <v>OPEN</v>
          </cell>
          <cell r="J1454" t="str">
            <v>RAHATA</v>
          </cell>
          <cell r="K1454" t="str">
            <v>Ahmednagar</v>
          </cell>
          <cell r="L1454" t="str">
            <v>D1</v>
          </cell>
          <cell r="M1454" t="str">
            <v>NH-160</v>
          </cell>
          <cell r="O1454" t="str">
            <v>B</v>
          </cell>
          <cell r="P1454">
            <v>61</v>
          </cell>
          <cell r="Q1454">
            <v>135</v>
          </cell>
          <cell r="R1454">
            <v>36</v>
          </cell>
          <cell r="S1454">
            <v>76</v>
          </cell>
          <cell r="T1454">
            <v>25</v>
          </cell>
          <cell r="U1454">
            <v>59</v>
          </cell>
          <cell r="V1454">
            <v>86</v>
          </cell>
          <cell r="W1454">
            <v>198</v>
          </cell>
          <cell r="X1454">
            <v>69</v>
          </cell>
          <cell r="Y1454">
            <v>137</v>
          </cell>
          <cell r="Z1454">
            <v>17</v>
          </cell>
          <cell r="AA1454">
            <v>61</v>
          </cell>
          <cell r="AB1454">
            <v>196</v>
          </cell>
          <cell r="AC1454">
            <v>112</v>
          </cell>
          <cell r="AD1454">
            <v>84</v>
          </cell>
          <cell r="AE1454">
            <v>284</v>
          </cell>
          <cell r="AF1454">
            <v>206</v>
          </cell>
          <cell r="AG1454">
            <v>78</v>
          </cell>
        </row>
        <row r="1455">
          <cell r="C1455">
            <v>226485</v>
          </cell>
          <cell r="D1455" t="str">
            <v>Shri Mulik Petroleum(29.4.09)</v>
          </cell>
          <cell r="E1455" t="str">
            <v>IOCL</v>
          </cell>
          <cell r="G1455" t="str">
            <v>Satara West RSA</v>
          </cell>
          <cell r="H1455">
            <v>39932</v>
          </cell>
          <cell r="I1455" t="str">
            <v>OPEN (W)</v>
          </cell>
          <cell r="J1455" t="str">
            <v>Karad City</v>
          </cell>
          <cell r="K1455" t="str">
            <v>Satara</v>
          </cell>
          <cell r="L1455" t="str">
            <v>C</v>
          </cell>
          <cell r="O1455" t="str">
            <v>B</v>
          </cell>
          <cell r="P1455">
            <v>108.5</v>
          </cell>
          <cell r="Q1455">
            <v>31.5</v>
          </cell>
          <cell r="R1455">
            <v>111</v>
          </cell>
          <cell r="S1455">
            <v>33</v>
          </cell>
          <cell r="T1455">
            <v>-2.5</v>
          </cell>
          <cell r="U1455">
            <v>-1.5</v>
          </cell>
          <cell r="V1455">
            <v>210</v>
          </cell>
          <cell r="W1455">
            <v>56</v>
          </cell>
          <cell r="X1455">
            <v>222</v>
          </cell>
          <cell r="Y1455">
            <v>66</v>
          </cell>
          <cell r="Z1455">
            <v>-12</v>
          </cell>
          <cell r="AA1455">
            <v>-10</v>
          </cell>
          <cell r="AB1455">
            <v>140</v>
          </cell>
          <cell r="AC1455">
            <v>144</v>
          </cell>
          <cell r="AD1455">
            <v>-4</v>
          </cell>
          <cell r="AE1455">
            <v>266</v>
          </cell>
          <cell r="AF1455">
            <v>288</v>
          </cell>
          <cell r="AG1455">
            <v>-22</v>
          </cell>
        </row>
        <row r="1456">
          <cell r="C1456">
            <v>226494</v>
          </cell>
          <cell r="D1456" t="str">
            <v>SAI DWARAKA PETROLEUM</v>
          </cell>
          <cell r="E1456" t="str">
            <v>IOCL</v>
          </cell>
          <cell r="G1456" t="str">
            <v>Pune Wagholi RSA</v>
          </cell>
          <cell r="H1456">
            <v>39903</v>
          </cell>
          <cell r="I1456" t="str">
            <v>OPEN (W)</v>
          </cell>
          <cell r="J1456" t="str">
            <v>Manchar bypass LHS</v>
          </cell>
          <cell r="K1456" t="str">
            <v>Pune</v>
          </cell>
          <cell r="L1456" t="str">
            <v>D1</v>
          </cell>
          <cell r="M1456" t="str">
            <v>NH-60</v>
          </cell>
          <cell r="O1456" t="str">
            <v>B</v>
          </cell>
          <cell r="P1456">
            <v>70</v>
          </cell>
          <cell r="Q1456">
            <v>150</v>
          </cell>
          <cell r="R1456">
            <v>70</v>
          </cell>
          <cell r="S1456">
            <v>150</v>
          </cell>
          <cell r="T1456">
            <v>0</v>
          </cell>
          <cell r="U1456">
            <v>0</v>
          </cell>
          <cell r="V1456">
            <v>120</v>
          </cell>
          <cell r="W1456">
            <v>280</v>
          </cell>
          <cell r="X1456">
            <v>120</v>
          </cell>
          <cell r="Y1456">
            <v>284</v>
          </cell>
          <cell r="Z1456">
            <v>0</v>
          </cell>
          <cell r="AA1456">
            <v>-4</v>
          </cell>
          <cell r="AB1456">
            <v>220</v>
          </cell>
          <cell r="AC1456">
            <v>220</v>
          </cell>
          <cell r="AD1456">
            <v>0</v>
          </cell>
          <cell r="AE1456">
            <v>400</v>
          </cell>
          <cell r="AF1456">
            <v>404</v>
          </cell>
          <cell r="AG1456">
            <v>-4</v>
          </cell>
        </row>
        <row r="1457">
          <cell r="C1457">
            <v>227265</v>
          </cell>
          <cell r="D1457" t="str">
            <v>Amruttara Kisan Seva Kendra</v>
          </cell>
          <cell r="E1457" t="str">
            <v>IOCL</v>
          </cell>
          <cell r="G1457" t="str">
            <v>Ahmednagar East RSA</v>
          </cell>
          <cell r="H1457">
            <v>39933</v>
          </cell>
          <cell r="I1457" t="str">
            <v>OPEN</v>
          </cell>
          <cell r="J1457" t="str">
            <v>Salbatpur</v>
          </cell>
          <cell r="K1457" t="str">
            <v>Ahmednagar</v>
          </cell>
          <cell r="L1457" t="str">
            <v>E</v>
          </cell>
          <cell r="O1457" t="str">
            <v>B</v>
          </cell>
          <cell r="P1457">
            <v>31</v>
          </cell>
          <cell r="Q1457">
            <v>81</v>
          </cell>
          <cell r="R1457">
            <v>34</v>
          </cell>
          <cell r="S1457">
            <v>42</v>
          </cell>
          <cell r="T1457">
            <v>-3</v>
          </cell>
          <cell r="U1457">
            <v>39</v>
          </cell>
          <cell r="V1457">
            <v>46</v>
          </cell>
          <cell r="W1457">
            <v>106</v>
          </cell>
          <cell r="X1457">
            <v>55</v>
          </cell>
          <cell r="Y1457">
            <v>69</v>
          </cell>
          <cell r="Z1457">
            <v>-9</v>
          </cell>
          <cell r="AA1457">
            <v>37</v>
          </cell>
          <cell r="AB1457">
            <v>112</v>
          </cell>
          <cell r="AC1457">
            <v>76</v>
          </cell>
          <cell r="AD1457">
            <v>36</v>
          </cell>
          <cell r="AE1457">
            <v>152</v>
          </cell>
          <cell r="AF1457">
            <v>124</v>
          </cell>
          <cell r="AG1457">
            <v>28</v>
          </cell>
        </row>
        <row r="1458">
          <cell r="C1458">
            <v>227915</v>
          </cell>
          <cell r="D1458" t="str">
            <v>Preetam Service Station</v>
          </cell>
          <cell r="E1458" t="str">
            <v>IOCL</v>
          </cell>
          <cell r="G1458" t="str">
            <v>Ahmednagar West RSA</v>
          </cell>
          <cell r="H1458">
            <v>39960</v>
          </cell>
          <cell r="I1458" t="str">
            <v>OPEN</v>
          </cell>
          <cell r="J1458" t="str">
            <v>Ruichattisi</v>
          </cell>
          <cell r="K1458" t="str">
            <v>Ahmednagar</v>
          </cell>
          <cell r="L1458" t="str">
            <v>D1</v>
          </cell>
          <cell r="M1458" t="str">
            <v>NH-561A</v>
          </cell>
          <cell r="O1458" t="str">
            <v>B</v>
          </cell>
          <cell r="P1458">
            <v>63</v>
          </cell>
          <cell r="Q1458">
            <v>212</v>
          </cell>
          <cell r="R1458">
            <v>52.5</v>
          </cell>
          <cell r="S1458">
            <v>121.5</v>
          </cell>
          <cell r="T1458">
            <v>10.5</v>
          </cell>
          <cell r="U1458">
            <v>90.5</v>
          </cell>
          <cell r="V1458">
            <v>117.5</v>
          </cell>
          <cell r="W1458">
            <v>327.5</v>
          </cell>
          <cell r="X1458">
            <v>98</v>
          </cell>
          <cell r="Y1458">
            <v>244</v>
          </cell>
          <cell r="Z1458">
            <v>19.5</v>
          </cell>
          <cell r="AA1458">
            <v>83.5</v>
          </cell>
          <cell r="AB1458">
            <v>275</v>
          </cell>
          <cell r="AC1458">
            <v>174</v>
          </cell>
          <cell r="AD1458">
            <v>101</v>
          </cell>
          <cell r="AE1458">
            <v>445</v>
          </cell>
          <cell r="AF1458">
            <v>342</v>
          </cell>
          <cell r="AG1458">
            <v>103</v>
          </cell>
        </row>
        <row r="1459">
          <cell r="C1459">
            <v>229160</v>
          </cell>
          <cell r="D1459" t="str">
            <v>Shahid Ambadas Pawar Service</v>
          </cell>
          <cell r="E1459" t="str">
            <v>IOCL</v>
          </cell>
          <cell r="G1459" t="str">
            <v>Ahmednagar West RSA</v>
          </cell>
          <cell r="H1459">
            <v>40011</v>
          </cell>
          <cell r="I1459" t="str">
            <v>DISCRETIONARY-QUOTA</v>
          </cell>
          <cell r="J1459" t="str">
            <v>KOLGAON</v>
          </cell>
          <cell r="K1459" t="str">
            <v>Ahmednagar</v>
          </cell>
          <cell r="L1459" t="str">
            <v>D1</v>
          </cell>
          <cell r="M1459" t="str">
            <v>NH-160</v>
          </cell>
          <cell r="O1459" t="str">
            <v>A</v>
          </cell>
          <cell r="P1459">
            <v>21</v>
          </cell>
          <cell r="Q1459">
            <v>77</v>
          </cell>
          <cell r="R1459">
            <v>24</v>
          </cell>
          <cell r="S1459">
            <v>51</v>
          </cell>
          <cell r="T1459">
            <v>-3</v>
          </cell>
          <cell r="U1459">
            <v>26</v>
          </cell>
          <cell r="V1459">
            <v>41</v>
          </cell>
          <cell r="W1459">
            <v>125</v>
          </cell>
          <cell r="X1459">
            <v>48.5</v>
          </cell>
          <cell r="Y1459">
            <v>96.5</v>
          </cell>
          <cell r="Z1459">
            <v>-7.5</v>
          </cell>
          <cell r="AA1459">
            <v>28.5</v>
          </cell>
          <cell r="AB1459">
            <v>98</v>
          </cell>
          <cell r="AC1459">
            <v>75</v>
          </cell>
          <cell r="AD1459">
            <v>23</v>
          </cell>
          <cell r="AE1459">
            <v>166</v>
          </cell>
          <cell r="AF1459">
            <v>145</v>
          </cell>
          <cell r="AG1459">
            <v>21</v>
          </cell>
        </row>
        <row r="1460">
          <cell r="C1460">
            <v>230276</v>
          </cell>
          <cell r="D1460" t="str">
            <v>Rohan Petroleum</v>
          </cell>
          <cell r="E1460" t="str">
            <v>IOCL</v>
          </cell>
          <cell r="G1460" t="str">
            <v>Ahmednagar East RSA</v>
          </cell>
          <cell r="H1460">
            <v>40080</v>
          </cell>
          <cell r="I1460" t="str">
            <v>OPEN</v>
          </cell>
          <cell r="J1460" t="str">
            <v>bhatkudgaon</v>
          </cell>
          <cell r="K1460" t="str">
            <v>Ahmednagar</v>
          </cell>
          <cell r="L1460" t="str">
            <v>D2</v>
          </cell>
          <cell r="O1460" t="str">
            <v>B</v>
          </cell>
          <cell r="P1460">
            <v>0</v>
          </cell>
          <cell r="Q1460">
            <v>0</v>
          </cell>
          <cell r="R1460">
            <v>30</v>
          </cell>
          <cell r="S1460">
            <v>54</v>
          </cell>
          <cell r="T1460">
            <v>-30</v>
          </cell>
          <cell r="U1460">
            <v>-54</v>
          </cell>
          <cell r="V1460">
            <v>0</v>
          </cell>
          <cell r="W1460">
            <v>0</v>
          </cell>
          <cell r="X1460">
            <v>51</v>
          </cell>
          <cell r="Y1460">
            <v>105</v>
          </cell>
          <cell r="Z1460">
            <v>-51</v>
          </cell>
          <cell r="AA1460">
            <v>-105</v>
          </cell>
          <cell r="AB1460">
            <v>0</v>
          </cell>
          <cell r="AC1460">
            <v>84</v>
          </cell>
          <cell r="AD1460">
            <v>-84</v>
          </cell>
          <cell r="AE1460">
            <v>0</v>
          </cell>
          <cell r="AF1460">
            <v>156</v>
          </cell>
          <cell r="AG1460">
            <v>-156</v>
          </cell>
        </row>
        <row r="1461">
          <cell r="C1461">
            <v>231151</v>
          </cell>
          <cell r="D1461" t="str">
            <v>KAMAL SAMPATTI PETROLEUM</v>
          </cell>
          <cell r="E1461" t="str">
            <v>IOCL</v>
          </cell>
          <cell r="G1461" t="str">
            <v>Satara East RSA</v>
          </cell>
          <cell r="H1461">
            <v>40117</v>
          </cell>
          <cell r="I1461" t="str">
            <v>SC (W)</v>
          </cell>
          <cell r="J1461" t="str">
            <v>Lonand</v>
          </cell>
          <cell r="K1461" t="str">
            <v>Satara</v>
          </cell>
          <cell r="L1461" t="str">
            <v>D1</v>
          </cell>
          <cell r="M1461" t="str">
            <v>NH-965D</v>
          </cell>
          <cell r="O1461" t="str">
            <v>A</v>
          </cell>
          <cell r="P1461">
            <v>50</v>
          </cell>
          <cell r="Q1461">
            <v>102</v>
          </cell>
          <cell r="R1461">
            <v>60</v>
          </cell>
          <cell r="S1461">
            <v>96</v>
          </cell>
          <cell r="T1461">
            <v>-10</v>
          </cell>
          <cell r="U1461">
            <v>6</v>
          </cell>
          <cell r="V1461">
            <v>106</v>
          </cell>
          <cell r="W1461">
            <v>170</v>
          </cell>
          <cell r="X1461">
            <v>126</v>
          </cell>
          <cell r="Y1461">
            <v>186</v>
          </cell>
          <cell r="Z1461">
            <v>-20</v>
          </cell>
          <cell r="AA1461">
            <v>-16</v>
          </cell>
          <cell r="AB1461">
            <v>152</v>
          </cell>
          <cell r="AC1461">
            <v>156</v>
          </cell>
          <cell r="AD1461">
            <v>-4</v>
          </cell>
          <cell r="AE1461">
            <v>276</v>
          </cell>
          <cell r="AF1461">
            <v>312</v>
          </cell>
          <cell r="AG1461">
            <v>-36</v>
          </cell>
        </row>
        <row r="1462">
          <cell r="C1462">
            <v>232661</v>
          </cell>
          <cell r="D1462" t="str">
            <v>COCO Rajgurunagar</v>
          </cell>
          <cell r="E1462" t="str">
            <v>IOCL</v>
          </cell>
          <cell r="G1462" t="str">
            <v>Pimpri Chinchwad RSA</v>
          </cell>
          <cell r="H1462">
            <v>38622</v>
          </cell>
          <cell r="I1462" t="str">
            <v>OPEN</v>
          </cell>
          <cell r="J1462" t="str">
            <v>Rajgurunagar Town</v>
          </cell>
          <cell r="K1462" t="str">
            <v>Pune</v>
          </cell>
          <cell r="L1462" t="str">
            <v>C</v>
          </cell>
          <cell r="O1462" t="str">
            <v>A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</row>
        <row r="1463">
          <cell r="C1463">
            <v>233737</v>
          </cell>
          <cell r="D1463" t="str">
            <v>WANKHEDE PETRO SERVICES</v>
          </cell>
          <cell r="E1463" t="str">
            <v>IOCL</v>
          </cell>
          <cell r="G1463" t="str">
            <v>Pune City RSA</v>
          </cell>
          <cell r="H1463">
            <v>37820</v>
          </cell>
          <cell r="I1463" t="str">
            <v>SC (W)</v>
          </cell>
          <cell r="J1463" t="str">
            <v>Wagholi</v>
          </cell>
          <cell r="K1463" t="str">
            <v>Pune</v>
          </cell>
          <cell r="L1463" t="str">
            <v>A</v>
          </cell>
          <cell r="O1463" t="str">
            <v>A</v>
          </cell>
          <cell r="P1463">
            <v>122</v>
          </cell>
          <cell r="Q1463">
            <v>366</v>
          </cell>
          <cell r="R1463">
            <v>107</v>
          </cell>
          <cell r="S1463">
            <v>273</v>
          </cell>
          <cell r="T1463">
            <v>15</v>
          </cell>
          <cell r="U1463">
            <v>93</v>
          </cell>
          <cell r="V1463">
            <v>236</v>
          </cell>
          <cell r="W1463">
            <v>660</v>
          </cell>
          <cell r="X1463">
            <v>218</v>
          </cell>
          <cell r="Y1463">
            <v>546</v>
          </cell>
          <cell r="Z1463">
            <v>18</v>
          </cell>
          <cell r="AA1463">
            <v>114</v>
          </cell>
          <cell r="AB1463">
            <v>488</v>
          </cell>
          <cell r="AC1463">
            <v>380</v>
          </cell>
          <cell r="AD1463">
            <v>108</v>
          </cell>
          <cell r="AE1463">
            <v>896</v>
          </cell>
          <cell r="AF1463">
            <v>764</v>
          </cell>
          <cell r="AG1463">
            <v>132</v>
          </cell>
        </row>
        <row r="1464">
          <cell r="C1464">
            <v>234891</v>
          </cell>
          <cell r="D1464" t="str">
            <v>SARHAAN PETROLEUM</v>
          </cell>
          <cell r="E1464" t="str">
            <v>IOCL</v>
          </cell>
          <cell r="G1464" t="str">
            <v>Pimpri Chinchwad RSA</v>
          </cell>
          <cell r="H1464">
            <v>40268</v>
          </cell>
          <cell r="I1464" t="str">
            <v>OPEN (W)</v>
          </cell>
          <cell r="J1464" t="str">
            <v>Bhosari</v>
          </cell>
          <cell r="K1464" t="str">
            <v>Pune</v>
          </cell>
          <cell r="L1464" t="str">
            <v>A</v>
          </cell>
          <cell r="O1464" t="str">
            <v>A</v>
          </cell>
          <cell r="P1464">
            <v>144</v>
          </cell>
          <cell r="Q1464">
            <v>84</v>
          </cell>
          <cell r="R1464">
            <v>120</v>
          </cell>
          <cell r="S1464">
            <v>36</v>
          </cell>
          <cell r="T1464">
            <v>24</v>
          </cell>
          <cell r="U1464">
            <v>48</v>
          </cell>
          <cell r="V1464">
            <v>262</v>
          </cell>
          <cell r="W1464">
            <v>150</v>
          </cell>
          <cell r="X1464">
            <v>231</v>
          </cell>
          <cell r="Y1464">
            <v>81</v>
          </cell>
          <cell r="Z1464">
            <v>31</v>
          </cell>
          <cell r="AA1464">
            <v>69</v>
          </cell>
          <cell r="AB1464">
            <v>228</v>
          </cell>
          <cell r="AC1464">
            <v>156</v>
          </cell>
          <cell r="AD1464">
            <v>72</v>
          </cell>
          <cell r="AE1464">
            <v>412</v>
          </cell>
          <cell r="AF1464">
            <v>312</v>
          </cell>
          <cell r="AG1464">
            <v>100</v>
          </cell>
        </row>
        <row r="1465">
          <cell r="C1465">
            <v>234958</v>
          </cell>
          <cell r="D1465" t="str">
            <v>Om Mangal Shanti Petroleum</v>
          </cell>
          <cell r="E1465" t="str">
            <v>IOCL</v>
          </cell>
          <cell r="G1465" t="str">
            <v>Ahmednagar East RSA</v>
          </cell>
          <cell r="H1465">
            <v>40268</v>
          </cell>
          <cell r="I1465" t="str">
            <v>OPEN</v>
          </cell>
          <cell r="J1465" t="str">
            <v>Dhangarwadi</v>
          </cell>
          <cell r="K1465" t="str">
            <v>Ahmednagar</v>
          </cell>
          <cell r="L1465" t="str">
            <v>D1</v>
          </cell>
          <cell r="M1465" t="str">
            <v>NH-753F</v>
          </cell>
          <cell r="O1465" t="str">
            <v>B</v>
          </cell>
          <cell r="P1465">
            <v>0</v>
          </cell>
          <cell r="Q1465">
            <v>0</v>
          </cell>
          <cell r="R1465">
            <v>18</v>
          </cell>
          <cell r="S1465">
            <v>30</v>
          </cell>
          <cell r="T1465">
            <v>-18</v>
          </cell>
          <cell r="U1465">
            <v>-30</v>
          </cell>
          <cell r="V1465">
            <v>4</v>
          </cell>
          <cell r="W1465">
            <v>8</v>
          </cell>
          <cell r="X1465">
            <v>33</v>
          </cell>
          <cell r="Y1465">
            <v>63</v>
          </cell>
          <cell r="Z1465">
            <v>-29</v>
          </cell>
          <cell r="AA1465">
            <v>-55</v>
          </cell>
          <cell r="AB1465">
            <v>0</v>
          </cell>
          <cell r="AC1465">
            <v>48</v>
          </cell>
          <cell r="AD1465">
            <v>-48</v>
          </cell>
          <cell r="AE1465">
            <v>12</v>
          </cell>
          <cell r="AF1465">
            <v>96</v>
          </cell>
          <cell r="AG1465">
            <v>-84</v>
          </cell>
        </row>
        <row r="1466">
          <cell r="C1466">
            <v>234970</v>
          </cell>
          <cell r="D1466" t="str">
            <v>PHADTARE KRUSHI SEVA KENDRA</v>
          </cell>
          <cell r="E1466" t="str">
            <v>IOCL</v>
          </cell>
          <cell r="G1466" t="str">
            <v>Pune Saswad RSA</v>
          </cell>
          <cell r="H1466">
            <v>40358</v>
          </cell>
          <cell r="I1466" t="str">
            <v>OPEN</v>
          </cell>
          <cell r="J1466" t="str">
            <v>Kurvali</v>
          </cell>
          <cell r="K1466" t="str">
            <v>Pune</v>
          </cell>
          <cell r="L1466" t="str">
            <v>E</v>
          </cell>
          <cell r="O1466" t="str">
            <v>B</v>
          </cell>
          <cell r="P1466">
            <v>17</v>
          </cell>
          <cell r="Q1466">
            <v>21</v>
          </cell>
          <cell r="R1466">
            <v>15</v>
          </cell>
          <cell r="S1466">
            <v>33</v>
          </cell>
          <cell r="T1466">
            <v>2</v>
          </cell>
          <cell r="U1466">
            <v>-12</v>
          </cell>
          <cell r="V1466">
            <v>41</v>
          </cell>
          <cell r="W1466">
            <v>45</v>
          </cell>
          <cell r="X1466">
            <v>39</v>
          </cell>
          <cell r="Y1466">
            <v>69</v>
          </cell>
          <cell r="Z1466">
            <v>2</v>
          </cell>
          <cell r="AA1466">
            <v>-24</v>
          </cell>
          <cell r="AB1466">
            <v>38</v>
          </cell>
          <cell r="AC1466">
            <v>48</v>
          </cell>
          <cell r="AD1466">
            <v>-10</v>
          </cell>
          <cell r="AE1466">
            <v>86</v>
          </cell>
          <cell r="AF1466">
            <v>108</v>
          </cell>
          <cell r="AG1466">
            <v>-22</v>
          </cell>
        </row>
        <row r="1467">
          <cell r="C1467">
            <v>241522</v>
          </cell>
          <cell r="D1467" t="str">
            <v>Simratmal Kundanmal &amp; Sons</v>
          </cell>
          <cell r="E1467" t="str">
            <v>IOCL</v>
          </cell>
          <cell r="G1467" t="str">
            <v>Ahmednagar East RSA</v>
          </cell>
          <cell r="H1467">
            <v>40421</v>
          </cell>
          <cell r="I1467" t="str">
            <v>OPEN</v>
          </cell>
          <cell r="J1467" t="str">
            <v>Chas</v>
          </cell>
          <cell r="K1467" t="str">
            <v>Ahmednagar</v>
          </cell>
          <cell r="L1467" t="str">
            <v>D1</v>
          </cell>
          <cell r="M1467" t="str">
            <v>NH-753F</v>
          </cell>
          <cell r="O1467" t="str">
            <v>B</v>
          </cell>
          <cell r="P1467">
            <v>0</v>
          </cell>
          <cell r="Q1467">
            <v>0</v>
          </cell>
          <cell r="R1467">
            <v>3</v>
          </cell>
          <cell r="S1467">
            <v>9</v>
          </cell>
          <cell r="T1467">
            <v>-3</v>
          </cell>
          <cell r="U1467">
            <v>-9</v>
          </cell>
          <cell r="V1467">
            <v>0</v>
          </cell>
          <cell r="W1467">
            <v>0</v>
          </cell>
          <cell r="X1467">
            <v>3</v>
          </cell>
          <cell r="Y1467">
            <v>9</v>
          </cell>
          <cell r="Z1467">
            <v>-3</v>
          </cell>
          <cell r="AA1467">
            <v>-9</v>
          </cell>
          <cell r="AB1467">
            <v>0</v>
          </cell>
          <cell r="AC1467">
            <v>12</v>
          </cell>
          <cell r="AD1467">
            <v>-12</v>
          </cell>
          <cell r="AE1467">
            <v>0</v>
          </cell>
          <cell r="AF1467">
            <v>12</v>
          </cell>
          <cell r="AG1467">
            <v>-12</v>
          </cell>
        </row>
        <row r="1468">
          <cell r="C1468">
            <v>242000</v>
          </cell>
          <cell r="D1468" t="str">
            <v>DHAMALE PETROLEUM KISAN SEVA K</v>
          </cell>
          <cell r="E1468" t="str">
            <v>IOCL</v>
          </cell>
          <cell r="G1468" t="str">
            <v>Pimpri Chinchwad RSA</v>
          </cell>
          <cell r="H1468">
            <v>40421</v>
          </cell>
          <cell r="I1468" t="str">
            <v>OPEN</v>
          </cell>
          <cell r="J1468" t="str">
            <v>Bebedohol</v>
          </cell>
          <cell r="K1468" t="str">
            <v>Pune</v>
          </cell>
          <cell r="L1468" t="str">
            <v>E</v>
          </cell>
          <cell r="O1468" t="str">
            <v>B</v>
          </cell>
          <cell r="P1468">
            <v>55</v>
          </cell>
          <cell r="Q1468">
            <v>145</v>
          </cell>
          <cell r="R1468">
            <v>50</v>
          </cell>
          <cell r="S1468">
            <v>130</v>
          </cell>
          <cell r="T1468">
            <v>5</v>
          </cell>
          <cell r="U1468">
            <v>15</v>
          </cell>
          <cell r="V1468">
            <v>100</v>
          </cell>
          <cell r="W1468">
            <v>260</v>
          </cell>
          <cell r="X1468">
            <v>100</v>
          </cell>
          <cell r="Y1468">
            <v>260</v>
          </cell>
          <cell r="Z1468">
            <v>0</v>
          </cell>
          <cell r="AA1468">
            <v>0</v>
          </cell>
          <cell r="AB1468">
            <v>200</v>
          </cell>
          <cell r="AC1468">
            <v>180</v>
          </cell>
          <cell r="AD1468">
            <v>20</v>
          </cell>
          <cell r="AE1468">
            <v>360</v>
          </cell>
          <cell r="AF1468">
            <v>360</v>
          </cell>
          <cell r="AG1468">
            <v>0</v>
          </cell>
        </row>
        <row r="1469">
          <cell r="C1469">
            <v>243557</v>
          </cell>
          <cell r="D1469" t="str">
            <v>MANGALMURTI KISAN SEVA KENDRA</v>
          </cell>
          <cell r="E1469" t="str">
            <v>IOCL</v>
          </cell>
          <cell r="G1469" t="str">
            <v>Satara West RSA</v>
          </cell>
          <cell r="H1469">
            <v>40451</v>
          </cell>
          <cell r="I1469" t="str">
            <v>OPEN</v>
          </cell>
          <cell r="J1469" t="str">
            <v>Harchandi</v>
          </cell>
          <cell r="K1469" t="str">
            <v>Satara</v>
          </cell>
          <cell r="L1469" t="str">
            <v>E</v>
          </cell>
          <cell r="O1469" t="str">
            <v>B</v>
          </cell>
          <cell r="P1469">
            <v>31</v>
          </cell>
          <cell r="Q1469">
            <v>41</v>
          </cell>
          <cell r="R1469">
            <v>41</v>
          </cell>
          <cell r="S1469">
            <v>49</v>
          </cell>
          <cell r="T1469">
            <v>-10</v>
          </cell>
          <cell r="U1469">
            <v>-8</v>
          </cell>
          <cell r="V1469">
            <v>55</v>
          </cell>
          <cell r="W1469">
            <v>89</v>
          </cell>
          <cell r="X1469">
            <v>65</v>
          </cell>
          <cell r="Y1469">
            <v>97</v>
          </cell>
          <cell r="Z1469">
            <v>-10</v>
          </cell>
          <cell r="AA1469">
            <v>-8</v>
          </cell>
          <cell r="AB1469">
            <v>72</v>
          </cell>
          <cell r="AC1469">
            <v>90</v>
          </cell>
          <cell r="AD1469">
            <v>-18</v>
          </cell>
          <cell r="AE1469">
            <v>144</v>
          </cell>
          <cell r="AF1469">
            <v>162</v>
          </cell>
          <cell r="AG1469">
            <v>-18</v>
          </cell>
        </row>
        <row r="1470">
          <cell r="C1470">
            <v>244722</v>
          </cell>
          <cell r="D1470" t="str">
            <v>Vipul Fuel Station</v>
          </cell>
          <cell r="E1470" t="str">
            <v>IOCL</v>
          </cell>
          <cell r="G1470" t="str">
            <v>Shirdi RSA</v>
          </cell>
          <cell r="H1470">
            <v>40481</v>
          </cell>
          <cell r="I1470" t="str">
            <v>OPEN (W)</v>
          </cell>
          <cell r="J1470" t="str">
            <v>DILLI NAKA SANGAMNER</v>
          </cell>
          <cell r="K1470" t="str">
            <v>Ahmednagar</v>
          </cell>
          <cell r="L1470" t="str">
            <v>D2</v>
          </cell>
          <cell r="O1470" t="str">
            <v>B</v>
          </cell>
          <cell r="P1470">
            <v>60</v>
          </cell>
          <cell r="Q1470">
            <v>240</v>
          </cell>
          <cell r="R1470">
            <v>45</v>
          </cell>
          <cell r="S1470">
            <v>115</v>
          </cell>
          <cell r="T1470">
            <v>15</v>
          </cell>
          <cell r="U1470">
            <v>125</v>
          </cell>
          <cell r="V1470">
            <v>100</v>
          </cell>
          <cell r="W1470">
            <v>420</v>
          </cell>
          <cell r="X1470">
            <v>95</v>
          </cell>
          <cell r="Y1470">
            <v>225</v>
          </cell>
          <cell r="Z1470">
            <v>5</v>
          </cell>
          <cell r="AA1470">
            <v>195</v>
          </cell>
          <cell r="AB1470">
            <v>300</v>
          </cell>
          <cell r="AC1470">
            <v>160</v>
          </cell>
          <cell r="AD1470">
            <v>140</v>
          </cell>
          <cell r="AE1470">
            <v>520</v>
          </cell>
          <cell r="AF1470">
            <v>320</v>
          </cell>
          <cell r="AG1470">
            <v>200</v>
          </cell>
        </row>
        <row r="1471">
          <cell r="C1471">
            <v>244733</v>
          </cell>
          <cell r="D1471" t="str">
            <v>VYANKATESH PETROLEUM</v>
          </cell>
          <cell r="E1471" t="str">
            <v>IOCL</v>
          </cell>
          <cell r="G1471" t="str">
            <v>Pune Hadapsar RSA</v>
          </cell>
          <cell r="H1471">
            <v>40481</v>
          </cell>
          <cell r="I1471" t="str">
            <v>OPEN (W)</v>
          </cell>
          <cell r="J1471" t="str">
            <v>Mandavgaon Farata</v>
          </cell>
          <cell r="K1471" t="str">
            <v>Pune</v>
          </cell>
          <cell r="L1471" t="str">
            <v>E</v>
          </cell>
          <cell r="O1471" t="str">
            <v>B</v>
          </cell>
          <cell r="P1471">
            <v>9</v>
          </cell>
          <cell r="Q1471">
            <v>27</v>
          </cell>
          <cell r="R1471">
            <v>18</v>
          </cell>
          <cell r="S1471">
            <v>42</v>
          </cell>
          <cell r="T1471">
            <v>-9</v>
          </cell>
          <cell r="U1471">
            <v>-15</v>
          </cell>
          <cell r="V1471">
            <v>18</v>
          </cell>
          <cell r="W1471">
            <v>54</v>
          </cell>
          <cell r="X1471">
            <v>27</v>
          </cell>
          <cell r="Y1471">
            <v>81</v>
          </cell>
          <cell r="Z1471">
            <v>-9</v>
          </cell>
          <cell r="AA1471">
            <v>-27</v>
          </cell>
          <cell r="AB1471">
            <v>36</v>
          </cell>
          <cell r="AC1471">
            <v>60</v>
          </cell>
          <cell r="AD1471">
            <v>-24</v>
          </cell>
          <cell r="AE1471">
            <v>72</v>
          </cell>
          <cell r="AF1471">
            <v>108</v>
          </cell>
          <cell r="AG1471">
            <v>-36</v>
          </cell>
        </row>
        <row r="1472">
          <cell r="C1472">
            <v>246627</v>
          </cell>
          <cell r="D1472" t="str">
            <v>SMK PETROLEUM (B.K.PETROLEUM (359707 Adhoc- Sai Petro Hub))</v>
          </cell>
          <cell r="E1472" t="str">
            <v>IOCL</v>
          </cell>
          <cell r="G1472" t="str">
            <v>Pune City RSA</v>
          </cell>
          <cell r="H1472">
            <v>45159</v>
          </cell>
          <cell r="I1472" t="str">
            <v>OPEN</v>
          </cell>
          <cell r="J1472" t="str">
            <v>HINJEWADI</v>
          </cell>
          <cell r="K1472" t="str">
            <v>Pune</v>
          </cell>
          <cell r="L1472" t="str">
            <v>A</v>
          </cell>
          <cell r="O1472" t="str">
            <v>A</v>
          </cell>
          <cell r="P1472">
            <v>292</v>
          </cell>
          <cell r="Q1472">
            <v>92</v>
          </cell>
          <cell r="R1472">
            <v>274</v>
          </cell>
          <cell r="S1472">
            <v>92</v>
          </cell>
          <cell r="T1472">
            <v>18</v>
          </cell>
          <cell r="U1472">
            <v>0</v>
          </cell>
          <cell r="V1472">
            <v>599</v>
          </cell>
          <cell r="W1472">
            <v>205</v>
          </cell>
          <cell r="X1472">
            <v>550.5</v>
          </cell>
          <cell r="Y1472">
            <v>189.5</v>
          </cell>
          <cell r="Z1472">
            <v>48.5</v>
          </cell>
          <cell r="AA1472">
            <v>15.5</v>
          </cell>
          <cell r="AB1472">
            <v>384</v>
          </cell>
          <cell r="AC1472">
            <v>366</v>
          </cell>
          <cell r="AD1472">
            <v>18</v>
          </cell>
          <cell r="AE1472">
            <v>804</v>
          </cell>
          <cell r="AF1472">
            <v>740</v>
          </cell>
          <cell r="AG1472">
            <v>64</v>
          </cell>
        </row>
        <row r="1473">
          <cell r="C1473">
            <v>247371</v>
          </cell>
          <cell r="D1473" t="str">
            <v>JAI MALHAR KISAN SEVA KENDRA</v>
          </cell>
          <cell r="E1473" t="str">
            <v>IOCL</v>
          </cell>
          <cell r="G1473" t="str">
            <v>Pune Tathawade RSA</v>
          </cell>
          <cell r="H1473">
            <v>40574</v>
          </cell>
          <cell r="I1473" t="str">
            <v>OPEN</v>
          </cell>
          <cell r="J1473" t="str">
            <v>NIRWAGAJ</v>
          </cell>
          <cell r="K1473" t="str">
            <v>Pune</v>
          </cell>
          <cell r="L1473" t="str">
            <v>E</v>
          </cell>
          <cell r="O1473" t="str">
            <v>B</v>
          </cell>
          <cell r="P1473">
            <v>32</v>
          </cell>
          <cell r="Q1473">
            <v>48</v>
          </cell>
          <cell r="R1473">
            <v>21</v>
          </cell>
          <cell r="S1473">
            <v>27</v>
          </cell>
          <cell r="T1473">
            <v>11</v>
          </cell>
          <cell r="U1473">
            <v>21</v>
          </cell>
          <cell r="V1473">
            <v>66.5</v>
          </cell>
          <cell r="W1473">
            <v>89.5</v>
          </cell>
          <cell r="X1473">
            <v>27</v>
          </cell>
          <cell r="Y1473">
            <v>33</v>
          </cell>
          <cell r="Z1473">
            <v>39.5</v>
          </cell>
          <cell r="AA1473">
            <v>56.5</v>
          </cell>
          <cell r="AB1473">
            <v>80</v>
          </cell>
          <cell r="AC1473">
            <v>48</v>
          </cell>
          <cell r="AD1473">
            <v>32</v>
          </cell>
          <cell r="AE1473">
            <v>156</v>
          </cell>
          <cell r="AF1473">
            <v>60</v>
          </cell>
          <cell r="AG1473">
            <v>96</v>
          </cell>
        </row>
        <row r="1474">
          <cell r="C1474">
            <v>247496</v>
          </cell>
          <cell r="D1474" t="str">
            <v>SHREE SANT MUKTABAI KSK</v>
          </cell>
          <cell r="E1474" t="str">
            <v>IOCL</v>
          </cell>
          <cell r="G1474" t="str">
            <v>Pune Saswad RSA</v>
          </cell>
          <cell r="H1474">
            <v>40574</v>
          </cell>
          <cell r="I1474" t="str">
            <v>OPEN</v>
          </cell>
          <cell r="J1474" t="str">
            <v>SHELGAON</v>
          </cell>
          <cell r="K1474" t="str">
            <v>Pune</v>
          </cell>
          <cell r="L1474" t="str">
            <v>E</v>
          </cell>
          <cell r="O1474" t="str">
            <v>B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</row>
        <row r="1475">
          <cell r="C1475">
            <v>247504</v>
          </cell>
          <cell r="D1475" t="str">
            <v>SHRI GANESH SEVA KENDRA</v>
          </cell>
          <cell r="E1475" t="str">
            <v>IOCL</v>
          </cell>
          <cell r="G1475" t="str">
            <v>Pune Tathawade RSA</v>
          </cell>
          <cell r="H1475">
            <v>40574</v>
          </cell>
          <cell r="I1475" t="str">
            <v>OPEN (W)</v>
          </cell>
          <cell r="J1475" t="str">
            <v>MORGAON</v>
          </cell>
          <cell r="K1475" t="str">
            <v>Pune</v>
          </cell>
          <cell r="L1475" t="str">
            <v>D1</v>
          </cell>
          <cell r="M1475" t="str">
            <v>NH-965D</v>
          </cell>
          <cell r="O1475" t="str">
            <v>B</v>
          </cell>
          <cell r="P1475">
            <v>32</v>
          </cell>
          <cell r="Q1475">
            <v>120</v>
          </cell>
          <cell r="R1475">
            <v>33</v>
          </cell>
          <cell r="S1475">
            <v>75</v>
          </cell>
          <cell r="T1475">
            <v>-1</v>
          </cell>
          <cell r="U1475">
            <v>45</v>
          </cell>
          <cell r="V1475">
            <v>66.5</v>
          </cell>
          <cell r="W1475">
            <v>265.5</v>
          </cell>
          <cell r="X1475">
            <v>66</v>
          </cell>
          <cell r="Y1475">
            <v>138</v>
          </cell>
          <cell r="Z1475">
            <v>0.5</v>
          </cell>
          <cell r="AA1475">
            <v>127.5</v>
          </cell>
          <cell r="AB1475">
            <v>152</v>
          </cell>
          <cell r="AC1475">
            <v>108</v>
          </cell>
          <cell r="AD1475">
            <v>44</v>
          </cell>
          <cell r="AE1475">
            <v>332</v>
          </cell>
          <cell r="AF1475">
            <v>204</v>
          </cell>
          <cell r="AG1475">
            <v>128</v>
          </cell>
        </row>
        <row r="1476">
          <cell r="C1476">
            <v>248455</v>
          </cell>
          <cell r="D1476" t="str">
            <v>KRUSHNA PETROLEUM</v>
          </cell>
          <cell r="E1476" t="str">
            <v>IOCL</v>
          </cell>
          <cell r="G1476" t="str">
            <v>Pune Tathawade RSA</v>
          </cell>
          <cell r="H1476">
            <v>40602</v>
          </cell>
          <cell r="I1476" t="str">
            <v>OPEN</v>
          </cell>
          <cell r="J1476" t="str">
            <v>BARAMATI PATAS ROAD</v>
          </cell>
          <cell r="K1476" t="str">
            <v>Pune</v>
          </cell>
          <cell r="L1476" t="str">
            <v>D1</v>
          </cell>
          <cell r="M1476" t="str">
            <v>NH-160</v>
          </cell>
          <cell r="O1476" t="str">
            <v>B</v>
          </cell>
          <cell r="P1476">
            <v>12</v>
          </cell>
          <cell r="Q1476">
            <v>24</v>
          </cell>
          <cell r="R1476">
            <v>0</v>
          </cell>
          <cell r="S1476">
            <v>12</v>
          </cell>
          <cell r="T1476">
            <v>12</v>
          </cell>
          <cell r="U1476">
            <v>12</v>
          </cell>
          <cell r="V1476">
            <v>18</v>
          </cell>
          <cell r="W1476">
            <v>42</v>
          </cell>
          <cell r="X1476">
            <v>0</v>
          </cell>
          <cell r="Y1476">
            <v>12</v>
          </cell>
          <cell r="Z1476">
            <v>18</v>
          </cell>
          <cell r="AA1476">
            <v>30</v>
          </cell>
          <cell r="AB1476">
            <v>36</v>
          </cell>
          <cell r="AC1476">
            <v>12</v>
          </cell>
          <cell r="AD1476">
            <v>24</v>
          </cell>
          <cell r="AE1476">
            <v>60</v>
          </cell>
          <cell r="AF1476">
            <v>12</v>
          </cell>
          <cell r="AG1476">
            <v>48</v>
          </cell>
        </row>
        <row r="1477">
          <cell r="C1477">
            <v>251092</v>
          </cell>
          <cell r="D1477" t="str">
            <v>Mahesh Highway Services</v>
          </cell>
          <cell r="E1477" t="str">
            <v>IOCL</v>
          </cell>
          <cell r="G1477" t="str">
            <v>Ahmednagar East RSA</v>
          </cell>
          <cell r="H1477">
            <v>40661</v>
          </cell>
          <cell r="I1477" t="str">
            <v>OPEN</v>
          </cell>
          <cell r="J1477" t="str">
            <v>MIDC Nagapur</v>
          </cell>
          <cell r="K1477" t="str">
            <v>Ahmednagar</v>
          </cell>
          <cell r="L1477" t="str">
            <v>D2</v>
          </cell>
          <cell r="O1477" t="str">
            <v>B</v>
          </cell>
          <cell r="P1477">
            <v>24.5</v>
          </cell>
          <cell r="Q1477">
            <v>73.5</v>
          </cell>
          <cell r="R1477">
            <v>34</v>
          </cell>
          <cell r="S1477">
            <v>64</v>
          </cell>
          <cell r="T1477">
            <v>-9.5</v>
          </cell>
          <cell r="U1477">
            <v>9.5</v>
          </cell>
          <cell r="V1477">
            <v>51.5</v>
          </cell>
          <cell r="W1477">
            <v>130.5</v>
          </cell>
          <cell r="X1477">
            <v>64</v>
          </cell>
          <cell r="Y1477">
            <v>118</v>
          </cell>
          <cell r="Z1477">
            <v>-12.5</v>
          </cell>
          <cell r="AA1477">
            <v>12.5</v>
          </cell>
          <cell r="AB1477">
            <v>98</v>
          </cell>
          <cell r="AC1477">
            <v>98</v>
          </cell>
          <cell r="AD1477">
            <v>0</v>
          </cell>
          <cell r="AE1477">
            <v>182</v>
          </cell>
          <cell r="AF1477">
            <v>182</v>
          </cell>
          <cell r="AG1477">
            <v>0</v>
          </cell>
        </row>
        <row r="1478">
          <cell r="C1478">
            <v>253797</v>
          </cell>
          <cell r="D1478" t="str">
            <v>SAI PETRO LINKS</v>
          </cell>
          <cell r="E1478" t="str">
            <v>IOCL</v>
          </cell>
          <cell r="G1478" t="str">
            <v>Satara West RSA</v>
          </cell>
          <cell r="H1478">
            <v>40782</v>
          </cell>
          <cell r="I1478" t="str">
            <v>OPEN</v>
          </cell>
          <cell r="J1478" t="str">
            <v>KARAD TO WATHAR</v>
          </cell>
          <cell r="K1478" t="str">
            <v>Satara</v>
          </cell>
          <cell r="L1478" t="str">
            <v>D1</v>
          </cell>
          <cell r="M1478" t="str">
            <v>NH-48</v>
          </cell>
          <cell r="O1478" t="str">
            <v>B</v>
          </cell>
          <cell r="P1478">
            <v>76.5</v>
          </cell>
          <cell r="Q1478">
            <v>183.5</v>
          </cell>
          <cell r="R1478">
            <v>61</v>
          </cell>
          <cell r="S1478">
            <v>115</v>
          </cell>
          <cell r="T1478">
            <v>15.5</v>
          </cell>
          <cell r="U1478">
            <v>68.5</v>
          </cell>
          <cell r="V1478">
            <v>119.5</v>
          </cell>
          <cell r="W1478">
            <v>298.5</v>
          </cell>
          <cell r="X1478">
            <v>113.5</v>
          </cell>
          <cell r="Y1478">
            <v>228.5</v>
          </cell>
          <cell r="Z1478">
            <v>6</v>
          </cell>
          <cell r="AA1478">
            <v>70</v>
          </cell>
          <cell r="AB1478">
            <v>260</v>
          </cell>
          <cell r="AC1478">
            <v>176</v>
          </cell>
          <cell r="AD1478">
            <v>84</v>
          </cell>
          <cell r="AE1478">
            <v>418</v>
          </cell>
          <cell r="AF1478">
            <v>342</v>
          </cell>
          <cell r="AG1478">
            <v>76</v>
          </cell>
        </row>
        <row r="1479">
          <cell r="C1479">
            <v>254378</v>
          </cell>
          <cell r="D1479" t="str">
            <v>BOLAI MATA PETROLEUM KSK</v>
          </cell>
          <cell r="E1479" t="str">
            <v>IOCL</v>
          </cell>
          <cell r="G1479" t="str">
            <v>Pune Hadapsar RSA</v>
          </cell>
          <cell r="H1479">
            <v>40816</v>
          </cell>
          <cell r="I1479" t="str">
            <v>OPEN (W)</v>
          </cell>
          <cell r="J1479" t="str">
            <v>Pimpri Sandaz</v>
          </cell>
          <cell r="K1479" t="str">
            <v>Pune</v>
          </cell>
          <cell r="L1479" t="str">
            <v>D2</v>
          </cell>
          <cell r="O1479" t="str">
            <v>B</v>
          </cell>
          <cell r="P1479">
            <v>0</v>
          </cell>
          <cell r="Q1479">
            <v>0</v>
          </cell>
          <cell r="R1479">
            <v>36</v>
          </cell>
          <cell r="S1479">
            <v>96</v>
          </cell>
          <cell r="T1479">
            <v>-36</v>
          </cell>
          <cell r="U1479">
            <v>-96</v>
          </cell>
          <cell r="V1479">
            <v>0</v>
          </cell>
          <cell r="W1479">
            <v>0</v>
          </cell>
          <cell r="X1479">
            <v>69</v>
          </cell>
          <cell r="Y1479">
            <v>207</v>
          </cell>
          <cell r="Z1479">
            <v>-69</v>
          </cell>
          <cell r="AA1479">
            <v>-207</v>
          </cell>
          <cell r="AB1479">
            <v>0</v>
          </cell>
          <cell r="AC1479">
            <v>132</v>
          </cell>
          <cell r="AD1479">
            <v>-132</v>
          </cell>
          <cell r="AE1479">
            <v>0</v>
          </cell>
          <cell r="AF1479">
            <v>276</v>
          </cell>
          <cell r="AG1479">
            <v>-276</v>
          </cell>
        </row>
        <row r="1480">
          <cell r="C1480">
            <v>255618</v>
          </cell>
          <cell r="D1480" t="str">
            <v>NEW PHALTAN SUGAR KSK</v>
          </cell>
          <cell r="E1480" t="str">
            <v>IOCL</v>
          </cell>
          <cell r="G1480" t="str">
            <v>Satara East RSA</v>
          </cell>
          <cell r="H1480">
            <v>40877</v>
          </cell>
          <cell r="I1480" t="str">
            <v>OPEN</v>
          </cell>
          <cell r="J1480" t="str">
            <v>Pimpalwadi</v>
          </cell>
          <cell r="K1480" t="str">
            <v>Satara</v>
          </cell>
          <cell r="L1480" t="str">
            <v>E</v>
          </cell>
          <cell r="O1480" t="str">
            <v>B</v>
          </cell>
          <cell r="P1480">
            <v>52</v>
          </cell>
          <cell r="Q1480">
            <v>100</v>
          </cell>
          <cell r="R1480">
            <v>46</v>
          </cell>
          <cell r="S1480">
            <v>86</v>
          </cell>
          <cell r="T1480">
            <v>6</v>
          </cell>
          <cell r="U1480">
            <v>14</v>
          </cell>
          <cell r="V1480">
            <v>107</v>
          </cell>
          <cell r="W1480">
            <v>213</v>
          </cell>
          <cell r="X1480">
            <v>95</v>
          </cell>
          <cell r="Y1480">
            <v>161</v>
          </cell>
          <cell r="Z1480">
            <v>12</v>
          </cell>
          <cell r="AA1480">
            <v>52</v>
          </cell>
          <cell r="AB1480">
            <v>152</v>
          </cell>
          <cell r="AC1480">
            <v>132</v>
          </cell>
          <cell r="AD1480">
            <v>20</v>
          </cell>
          <cell r="AE1480">
            <v>320</v>
          </cell>
          <cell r="AF1480">
            <v>256</v>
          </cell>
          <cell r="AG1480">
            <v>64</v>
          </cell>
        </row>
        <row r="1481">
          <cell r="C1481">
            <v>255667</v>
          </cell>
          <cell r="D1481" t="str">
            <v>Kharde Patil &amp; Sons</v>
          </cell>
          <cell r="E1481" t="str">
            <v>IOCL</v>
          </cell>
          <cell r="G1481" t="str">
            <v>Shirdi RSA</v>
          </cell>
          <cell r="H1481">
            <v>40877</v>
          </cell>
          <cell r="I1481" t="str">
            <v>OPEN</v>
          </cell>
          <cell r="J1481" t="str">
            <v>KOLHAR</v>
          </cell>
          <cell r="K1481" t="str">
            <v>Ahmednagar</v>
          </cell>
          <cell r="L1481" t="str">
            <v>D1</v>
          </cell>
          <cell r="M1481" t="str">
            <v>NH-160</v>
          </cell>
          <cell r="O1481" t="str">
            <v>B</v>
          </cell>
          <cell r="P1481">
            <v>98</v>
          </cell>
          <cell r="Q1481">
            <v>182</v>
          </cell>
          <cell r="R1481">
            <v>65</v>
          </cell>
          <cell r="S1481">
            <v>93</v>
          </cell>
          <cell r="T1481">
            <v>33</v>
          </cell>
          <cell r="U1481">
            <v>89</v>
          </cell>
          <cell r="V1481">
            <v>154</v>
          </cell>
          <cell r="W1481">
            <v>308</v>
          </cell>
          <cell r="X1481">
            <v>123.5</v>
          </cell>
          <cell r="Y1481">
            <v>200.5</v>
          </cell>
          <cell r="Z1481">
            <v>30.5</v>
          </cell>
          <cell r="AA1481">
            <v>107.5</v>
          </cell>
          <cell r="AB1481">
            <v>280</v>
          </cell>
          <cell r="AC1481">
            <v>158</v>
          </cell>
          <cell r="AD1481">
            <v>122</v>
          </cell>
          <cell r="AE1481">
            <v>462</v>
          </cell>
          <cell r="AF1481">
            <v>324</v>
          </cell>
          <cell r="AG1481">
            <v>138</v>
          </cell>
        </row>
        <row r="1482">
          <cell r="C1482">
            <v>256437</v>
          </cell>
          <cell r="D1482" t="str">
            <v>Baba Petroleum Kisan Seva Kend</v>
          </cell>
          <cell r="E1482" t="str">
            <v>IOCL</v>
          </cell>
          <cell r="G1482" t="str">
            <v>Shirdi RSA</v>
          </cell>
          <cell r="H1482">
            <v>40907</v>
          </cell>
          <cell r="I1482" t="str">
            <v>OPEN</v>
          </cell>
          <cell r="J1482" t="str">
            <v>BHAIRAVNATH NAGAR</v>
          </cell>
          <cell r="K1482" t="str">
            <v>Ahmednagar</v>
          </cell>
          <cell r="L1482" t="str">
            <v>D2</v>
          </cell>
          <cell r="O1482" t="str">
            <v>B</v>
          </cell>
          <cell r="P1482">
            <v>39</v>
          </cell>
          <cell r="Q1482">
            <v>93</v>
          </cell>
          <cell r="R1482">
            <v>39</v>
          </cell>
          <cell r="S1482">
            <v>45</v>
          </cell>
          <cell r="T1482">
            <v>0</v>
          </cell>
          <cell r="U1482">
            <v>48</v>
          </cell>
          <cell r="V1482">
            <v>72</v>
          </cell>
          <cell r="W1482">
            <v>144</v>
          </cell>
          <cell r="X1482">
            <v>78</v>
          </cell>
          <cell r="Y1482">
            <v>90</v>
          </cell>
          <cell r="Z1482">
            <v>-6</v>
          </cell>
          <cell r="AA1482">
            <v>54</v>
          </cell>
          <cell r="AB1482">
            <v>132</v>
          </cell>
          <cell r="AC1482">
            <v>84</v>
          </cell>
          <cell r="AD1482">
            <v>48</v>
          </cell>
          <cell r="AE1482">
            <v>216</v>
          </cell>
          <cell r="AF1482">
            <v>168</v>
          </cell>
          <cell r="AG1482">
            <v>48</v>
          </cell>
        </row>
        <row r="1483">
          <cell r="C1483">
            <v>256443</v>
          </cell>
          <cell r="D1483" t="str">
            <v>Yeola Service Centre</v>
          </cell>
          <cell r="E1483" t="str">
            <v>IOCL</v>
          </cell>
          <cell r="G1483" t="str">
            <v>Shirdi RSA</v>
          </cell>
          <cell r="H1483">
            <v>40907</v>
          </cell>
          <cell r="I1483" t="str">
            <v>OPEN</v>
          </cell>
          <cell r="J1483" t="str">
            <v>YESGAON</v>
          </cell>
          <cell r="K1483" t="str">
            <v>Ahmednagar</v>
          </cell>
          <cell r="L1483" t="str">
            <v>D1</v>
          </cell>
          <cell r="M1483" t="str">
            <v>NH-160</v>
          </cell>
          <cell r="O1483" t="str">
            <v>B</v>
          </cell>
          <cell r="P1483">
            <v>28</v>
          </cell>
          <cell r="Q1483">
            <v>128</v>
          </cell>
          <cell r="R1483">
            <v>12</v>
          </cell>
          <cell r="S1483">
            <v>72</v>
          </cell>
          <cell r="T1483">
            <v>16</v>
          </cell>
          <cell r="U1483">
            <v>56</v>
          </cell>
          <cell r="V1483">
            <v>37</v>
          </cell>
          <cell r="W1483">
            <v>203</v>
          </cell>
          <cell r="X1483">
            <v>21</v>
          </cell>
          <cell r="Y1483">
            <v>135</v>
          </cell>
          <cell r="Z1483">
            <v>16</v>
          </cell>
          <cell r="AA1483">
            <v>68</v>
          </cell>
          <cell r="AB1483">
            <v>156</v>
          </cell>
          <cell r="AC1483">
            <v>84</v>
          </cell>
          <cell r="AD1483">
            <v>72</v>
          </cell>
          <cell r="AE1483">
            <v>240</v>
          </cell>
          <cell r="AF1483">
            <v>156</v>
          </cell>
          <cell r="AG1483">
            <v>84</v>
          </cell>
        </row>
        <row r="1484">
          <cell r="C1484">
            <v>256518</v>
          </cell>
          <cell r="D1484" t="str">
            <v>YASHRAJ PETROLEUM KSK</v>
          </cell>
          <cell r="E1484" t="str">
            <v>IOCL</v>
          </cell>
          <cell r="G1484" t="str">
            <v>Pune Saswad RSA</v>
          </cell>
          <cell r="H1484">
            <v>40906</v>
          </cell>
          <cell r="I1484" t="str">
            <v>OPEN</v>
          </cell>
          <cell r="J1484" t="str">
            <v>WALCHANDNAGAR-BAVDA ROAD</v>
          </cell>
          <cell r="K1484" t="str">
            <v>Pune</v>
          </cell>
          <cell r="L1484" t="str">
            <v>D2</v>
          </cell>
          <cell r="O1484" t="str">
            <v>B</v>
          </cell>
          <cell r="P1484">
            <v>40.5</v>
          </cell>
          <cell r="Q1484">
            <v>63.5</v>
          </cell>
          <cell r="R1484">
            <v>44</v>
          </cell>
          <cell r="S1484">
            <v>68</v>
          </cell>
          <cell r="T1484">
            <v>-3.5</v>
          </cell>
          <cell r="U1484">
            <v>-4.5</v>
          </cell>
          <cell r="V1484">
            <v>73.5</v>
          </cell>
          <cell r="W1484">
            <v>120.5</v>
          </cell>
          <cell r="X1484">
            <v>93.5</v>
          </cell>
          <cell r="Y1484">
            <v>158.5</v>
          </cell>
          <cell r="Z1484">
            <v>-20</v>
          </cell>
          <cell r="AA1484">
            <v>-38</v>
          </cell>
          <cell r="AB1484">
            <v>104</v>
          </cell>
          <cell r="AC1484">
            <v>112</v>
          </cell>
          <cell r="AD1484">
            <v>-8</v>
          </cell>
          <cell r="AE1484">
            <v>194</v>
          </cell>
          <cell r="AF1484">
            <v>252</v>
          </cell>
          <cell r="AG1484">
            <v>-58</v>
          </cell>
        </row>
        <row r="1485">
          <cell r="C1485">
            <v>257379</v>
          </cell>
          <cell r="D1485" t="str">
            <v>SHRI HUMJAI KISAN SEVA KENDRA</v>
          </cell>
          <cell r="E1485" t="str">
            <v>IOCL</v>
          </cell>
          <cell r="G1485" t="str">
            <v>Satara West RSA</v>
          </cell>
          <cell r="H1485">
            <v>40939</v>
          </cell>
          <cell r="I1485" t="str">
            <v>OPEN (W)</v>
          </cell>
          <cell r="J1485" t="str">
            <v>Humgaon</v>
          </cell>
          <cell r="K1485" t="str">
            <v>Satara</v>
          </cell>
          <cell r="L1485" t="str">
            <v>E</v>
          </cell>
          <cell r="O1485" t="str">
            <v>B</v>
          </cell>
          <cell r="P1485">
            <v>30</v>
          </cell>
          <cell r="Q1485">
            <v>36</v>
          </cell>
          <cell r="R1485">
            <v>21</v>
          </cell>
          <cell r="S1485">
            <v>27</v>
          </cell>
          <cell r="T1485">
            <v>9</v>
          </cell>
          <cell r="U1485">
            <v>9</v>
          </cell>
          <cell r="V1485">
            <v>57</v>
          </cell>
          <cell r="W1485">
            <v>69</v>
          </cell>
          <cell r="X1485">
            <v>48</v>
          </cell>
          <cell r="Y1485">
            <v>60</v>
          </cell>
          <cell r="Z1485">
            <v>9</v>
          </cell>
          <cell r="AA1485">
            <v>9</v>
          </cell>
          <cell r="AB1485">
            <v>66</v>
          </cell>
          <cell r="AC1485">
            <v>48</v>
          </cell>
          <cell r="AD1485">
            <v>18</v>
          </cell>
          <cell r="AE1485">
            <v>126</v>
          </cell>
          <cell r="AF1485">
            <v>108</v>
          </cell>
          <cell r="AG1485">
            <v>18</v>
          </cell>
        </row>
        <row r="1486">
          <cell r="C1486">
            <v>257425</v>
          </cell>
          <cell r="D1486" t="str">
            <v>APMC BARAMATI PETROLEUM</v>
          </cell>
          <cell r="E1486" t="str">
            <v>IOCL</v>
          </cell>
          <cell r="G1486" t="str">
            <v>Pune Tathawade RSA</v>
          </cell>
          <cell r="H1486">
            <v>40939</v>
          </cell>
          <cell r="I1486" t="str">
            <v>OPEN</v>
          </cell>
          <cell r="J1486" t="str">
            <v>BARAMATI INDAPUR ROAD</v>
          </cell>
          <cell r="K1486" t="str">
            <v>Pune</v>
          </cell>
          <cell r="L1486" t="str">
            <v>D1</v>
          </cell>
          <cell r="M1486" t="str">
            <v>NH-965G</v>
          </cell>
          <cell r="O1486" t="str">
            <v>A</v>
          </cell>
          <cell r="P1486">
            <v>80</v>
          </cell>
          <cell r="Q1486">
            <v>120</v>
          </cell>
          <cell r="R1486">
            <v>75</v>
          </cell>
          <cell r="S1486">
            <v>145</v>
          </cell>
          <cell r="T1486">
            <v>5</v>
          </cell>
          <cell r="U1486">
            <v>-25</v>
          </cell>
          <cell r="V1486">
            <v>160</v>
          </cell>
          <cell r="W1486">
            <v>220</v>
          </cell>
          <cell r="X1486">
            <v>165</v>
          </cell>
          <cell r="Y1486">
            <v>275</v>
          </cell>
          <cell r="Z1486">
            <v>-5</v>
          </cell>
          <cell r="AA1486">
            <v>-55</v>
          </cell>
          <cell r="AB1486">
            <v>200</v>
          </cell>
          <cell r="AC1486">
            <v>220</v>
          </cell>
          <cell r="AD1486">
            <v>-20</v>
          </cell>
          <cell r="AE1486">
            <v>380</v>
          </cell>
          <cell r="AF1486">
            <v>440</v>
          </cell>
          <cell r="AG1486">
            <v>-60</v>
          </cell>
        </row>
        <row r="1487">
          <cell r="C1487">
            <v>258692</v>
          </cell>
          <cell r="D1487" t="str">
            <v>SADGURU KISAN SEVA KENDRA</v>
          </cell>
          <cell r="E1487" t="str">
            <v>IOCL</v>
          </cell>
          <cell r="G1487" t="str">
            <v>Pune Hadapsar RSA</v>
          </cell>
          <cell r="H1487">
            <v>40968</v>
          </cell>
          <cell r="I1487" t="str">
            <v>OPEN</v>
          </cell>
          <cell r="J1487" t="str">
            <v>SAHAJPUR</v>
          </cell>
          <cell r="K1487" t="str">
            <v>Pune</v>
          </cell>
          <cell r="L1487" t="str">
            <v>E</v>
          </cell>
          <cell r="O1487" t="str">
            <v>B</v>
          </cell>
          <cell r="P1487">
            <v>18</v>
          </cell>
          <cell r="Q1487">
            <v>78</v>
          </cell>
          <cell r="R1487">
            <v>15</v>
          </cell>
          <cell r="S1487">
            <v>83</v>
          </cell>
          <cell r="T1487">
            <v>3</v>
          </cell>
          <cell r="U1487">
            <v>-5</v>
          </cell>
          <cell r="V1487">
            <v>32</v>
          </cell>
          <cell r="W1487">
            <v>132</v>
          </cell>
          <cell r="X1487">
            <v>27</v>
          </cell>
          <cell r="Y1487">
            <v>155</v>
          </cell>
          <cell r="Z1487">
            <v>5</v>
          </cell>
          <cell r="AA1487">
            <v>-23</v>
          </cell>
          <cell r="AB1487">
            <v>96</v>
          </cell>
          <cell r="AC1487">
            <v>98</v>
          </cell>
          <cell r="AD1487">
            <v>-2</v>
          </cell>
          <cell r="AE1487">
            <v>164</v>
          </cell>
          <cell r="AF1487">
            <v>182</v>
          </cell>
          <cell r="AG1487">
            <v>-18</v>
          </cell>
        </row>
        <row r="1488">
          <cell r="C1488">
            <v>258697</v>
          </cell>
          <cell r="D1488" t="str">
            <v>MANJULAI PETROLEUM KSK</v>
          </cell>
          <cell r="E1488" t="str">
            <v>IOCL</v>
          </cell>
          <cell r="G1488" t="str">
            <v>Pimpri Chinchwad RSA</v>
          </cell>
          <cell r="H1488">
            <v>40968</v>
          </cell>
          <cell r="I1488" t="str">
            <v>OPEN</v>
          </cell>
          <cell r="J1488" t="str">
            <v>Moi</v>
          </cell>
          <cell r="K1488" t="str">
            <v>Pune</v>
          </cell>
          <cell r="L1488" t="str">
            <v>E</v>
          </cell>
          <cell r="O1488" t="str">
            <v>B</v>
          </cell>
          <cell r="P1488">
            <v>39.5</v>
          </cell>
          <cell r="Q1488">
            <v>178.5</v>
          </cell>
          <cell r="R1488">
            <v>27</v>
          </cell>
          <cell r="S1488">
            <v>201</v>
          </cell>
          <cell r="T1488">
            <v>12.5</v>
          </cell>
          <cell r="U1488">
            <v>-22.5</v>
          </cell>
          <cell r="V1488">
            <v>63.5</v>
          </cell>
          <cell r="W1488">
            <v>334.5</v>
          </cell>
          <cell r="X1488">
            <v>54</v>
          </cell>
          <cell r="Y1488">
            <v>378</v>
          </cell>
          <cell r="Z1488">
            <v>9.5</v>
          </cell>
          <cell r="AA1488">
            <v>-43.5</v>
          </cell>
          <cell r="AB1488">
            <v>218</v>
          </cell>
          <cell r="AC1488">
            <v>228</v>
          </cell>
          <cell r="AD1488">
            <v>-10</v>
          </cell>
          <cell r="AE1488">
            <v>398</v>
          </cell>
          <cell r="AF1488">
            <v>432</v>
          </cell>
          <cell r="AG1488">
            <v>-34</v>
          </cell>
        </row>
        <row r="1489">
          <cell r="C1489">
            <v>258712</v>
          </cell>
          <cell r="D1489" t="str">
            <v xml:space="preserve">Shivlaxmi Petroleum </v>
          </cell>
          <cell r="E1489" t="str">
            <v>IOCL</v>
          </cell>
          <cell r="G1489" t="str">
            <v>Ahmednagar East RSA</v>
          </cell>
          <cell r="H1489">
            <v>40968</v>
          </cell>
          <cell r="I1489" t="str">
            <v>OPEN</v>
          </cell>
          <cell r="J1489" t="str">
            <v>MIDC Nagapur</v>
          </cell>
          <cell r="K1489" t="str">
            <v>Ahmednagar</v>
          </cell>
          <cell r="L1489" t="str">
            <v>D2</v>
          </cell>
          <cell r="O1489" t="str">
            <v>B</v>
          </cell>
          <cell r="P1489">
            <v>49.5</v>
          </cell>
          <cell r="Q1489">
            <v>160.5</v>
          </cell>
          <cell r="R1489">
            <v>43</v>
          </cell>
          <cell r="S1489">
            <v>129</v>
          </cell>
          <cell r="T1489">
            <v>6.5</v>
          </cell>
          <cell r="U1489">
            <v>31.5</v>
          </cell>
          <cell r="V1489">
            <v>92.5</v>
          </cell>
          <cell r="W1489">
            <v>269.5</v>
          </cell>
          <cell r="X1489">
            <v>83</v>
          </cell>
          <cell r="Y1489">
            <v>249</v>
          </cell>
          <cell r="Z1489">
            <v>9.5</v>
          </cell>
          <cell r="AA1489">
            <v>20.5</v>
          </cell>
          <cell r="AB1489">
            <v>210</v>
          </cell>
          <cell r="AC1489">
            <v>172</v>
          </cell>
          <cell r="AD1489">
            <v>38</v>
          </cell>
          <cell r="AE1489">
            <v>362</v>
          </cell>
          <cell r="AF1489">
            <v>332</v>
          </cell>
          <cell r="AG1489">
            <v>30</v>
          </cell>
        </row>
        <row r="1490">
          <cell r="C1490">
            <v>260035</v>
          </cell>
          <cell r="D1490" t="str">
            <v>Satguru Fuels Ksk</v>
          </cell>
          <cell r="E1490" t="str">
            <v>IOCL</v>
          </cell>
          <cell r="G1490" t="str">
            <v>Ahmednagar West RSA</v>
          </cell>
          <cell r="H1490">
            <v>40997</v>
          </cell>
          <cell r="I1490" t="str">
            <v>OPEN</v>
          </cell>
          <cell r="J1490" t="str">
            <v>SHRIGONDA-SH</v>
          </cell>
          <cell r="K1490" t="str">
            <v>Ahmednagar</v>
          </cell>
          <cell r="L1490" t="str">
            <v>D2</v>
          </cell>
          <cell r="O1490" t="str">
            <v>B</v>
          </cell>
          <cell r="P1490">
            <v>44</v>
          </cell>
          <cell r="Q1490">
            <v>184</v>
          </cell>
          <cell r="R1490">
            <v>40</v>
          </cell>
          <cell r="S1490">
            <v>68</v>
          </cell>
          <cell r="T1490">
            <v>4</v>
          </cell>
          <cell r="U1490">
            <v>116</v>
          </cell>
          <cell r="V1490">
            <v>88</v>
          </cell>
          <cell r="W1490">
            <v>296</v>
          </cell>
          <cell r="X1490">
            <v>68</v>
          </cell>
          <cell r="Y1490">
            <v>124</v>
          </cell>
          <cell r="Z1490">
            <v>20</v>
          </cell>
          <cell r="AA1490">
            <v>172</v>
          </cell>
          <cell r="AB1490">
            <v>228</v>
          </cell>
          <cell r="AC1490">
            <v>108</v>
          </cell>
          <cell r="AD1490">
            <v>120</v>
          </cell>
          <cell r="AE1490">
            <v>384</v>
          </cell>
          <cell r="AF1490">
            <v>192</v>
          </cell>
          <cell r="AG1490">
            <v>192</v>
          </cell>
        </row>
        <row r="1491">
          <cell r="C1491">
            <v>260244</v>
          </cell>
          <cell r="D1491" t="str">
            <v>Mahalaxmi Auto KSK</v>
          </cell>
          <cell r="E1491" t="str">
            <v>IOCL</v>
          </cell>
          <cell r="G1491" t="str">
            <v>Pune Tathawade RSA</v>
          </cell>
          <cell r="H1491">
            <v>40999</v>
          </cell>
          <cell r="I1491" t="str">
            <v>OPEN</v>
          </cell>
          <cell r="J1491" t="str">
            <v>NIMBODI INDAPUR</v>
          </cell>
          <cell r="K1491" t="str">
            <v>Pune</v>
          </cell>
          <cell r="L1491" t="str">
            <v>E</v>
          </cell>
          <cell r="O1491" t="str">
            <v>B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</row>
        <row r="1492">
          <cell r="C1492">
            <v>260257</v>
          </cell>
          <cell r="D1492" t="str">
            <v>Sriniwas Petrloleum KSK</v>
          </cell>
          <cell r="E1492" t="str">
            <v>IOCL</v>
          </cell>
          <cell r="G1492" t="str">
            <v>Pune Hadapsar RSA</v>
          </cell>
          <cell r="H1492">
            <v>40999</v>
          </cell>
          <cell r="I1492" t="str">
            <v>OPEN (W)</v>
          </cell>
          <cell r="J1492" t="str">
            <v>Pimpalgaon</v>
          </cell>
          <cell r="K1492" t="str">
            <v>Pune</v>
          </cell>
          <cell r="L1492" t="str">
            <v>D2</v>
          </cell>
          <cell r="O1492" t="str">
            <v>B</v>
          </cell>
          <cell r="P1492">
            <v>31</v>
          </cell>
          <cell r="Q1492">
            <v>77</v>
          </cell>
          <cell r="R1492">
            <v>27</v>
          </cell>
          <cell r="S1492">
            <v>57</v>
          </cell>
          <cell r="T1492">
            <v>4</v>
          </cell>
          <cell r="U1492">
            <v>20</v>
          </cell>
          <cell r="V1492">
            <v>56</v>
          </cell>
          <cell r="W1492">
            <v>136</v>
          </cell>
          <cell r="X1492">
            <v>48.5</v>
          </cell>
          <cell r="Y1492">
            <v>109.5</v>
          </cell>
          <cell r="Z1492">
            <v>7.5</v>
          </cell>
          <cell r="AA1492">
            <v>26.5</v>
          </cell>
          <cell r="AB1492">
            <v>108</v>
          </cell>
          <cell r="AC1492">
            <v>84</v>
          </cell>
          <cell r="AD1492">
            <v>24</v>
          </cell>
          <cell r="AE1492">
            <v>192</v>
          </cell>
          <cell r="AF1492">
            <v>158</v>
          </cell>
          <cell r="AG1492">
            <v>34</v>
          </cell>
        </row>
        <row r="1493">
          <cell r="C1493">
            <v>260333</v>
          </cell>
          <cell r="D1493" t="str">
            <v>Yash Petroleum KSK</v>
          </cell>
          <cell r="E1493" t="str">
            <v>IOCL</v>
          </cell>
          <cell r="G1493" t="str">
            <v>Pune Saswad RSA</v>
          </cell>
          <cell r="H1493">
            <v>40999</v>
          </cell>
          <cell r="I1493" t="str">
            <v>PMP/Govt Pers (Open)</v>
          </cell>
          <cell r="J1493" t="str">
            <v>PIMPRI BUDRUK</v>
          </cell>
          <cell r="K1493" t="str">
            <v>Pune</v>
          </cell>
          <cell r="L1493" t="str">
            <v>E</v>
          </cell>
          <cell r="O1493" t="str">
            <v>B</v>
          </cell>
          <cell r="P1493">
            <v>24</v>
          </cell>
          <cell r="Q1493">
            <v>60</v>
          </cell>
          <cell r="R1493">
            <v>18</v>
          </cell>
          <cell r="S1493">
            <v>30</v>
          </cell>
          <cell r="T1493">
            <v>6</v>
          </cell>
          <cell r="U1493">
            <v>30</v>
          </cell>
          <cell r="V1493">
            <v>45</v>
          </cell>
          <cell r="W1493">
            <v>99</v>
          </cell>
          <cell r="X1493">
            <v>36</v>
          </cell>
          <cell r="Y1493">
            <v>60</v>
          </cell>
          <cell r="Z1493">
            <v>9</v>
          </cell>
          <cell r="AA1493">
            <v>39</v>
          </cell>
          <cell r="AB1493">
            <v>84</v>
          </cell>
          <cell r="AC1493">
            <v>48</v>
          </cell>
          <cell r="AD1493">
            <v>36</v>
          </cell>
          <cell r="AE1493">
            <v>144</v>
          </cell>
          <cell r="AF1493">
            <v>96</v>
          </cell>
          <cell r="AG1493">
            <v>48</v>
          </cell>
        </row>
        <row r="1494">
          <cell r="C1494">
            <v>260363</v>
          </cell>
          <cell r="D1494" t="str">
            <v>Vighnahar Petroleum KSK</v>
          </cell>
          <cell r="E1494" t="str">
            <v>IOCL</v>
          </cell>
          <cell r="G1494" t="str">
            <v>Pune Wagholi RSA</v>
          </cell>
          <cell r="H1494">
            <v>40999</v>
          </cell>
          <cell r="I1494" t="str">
            <v>OPEN (W)</v>
          </cell>
          <cell r="J1494" t="str">
            <v>Peth Rural</v>
          </cell>
          <cell r="K1494" t="str">
            <v>Pune</v>
          </cell>
          <cell r="L1494" t="str">
            <v>E</v>
          </cell>
          <cell r="O1494" t="str">
            <v>B</v>
          </cell>
          <cell r="P1494">
            <v>22.5</v>
          </cell>
          <cell r="Q1494">
            <v>67.5</v>
          </cell>
          <cell r="R1494">
            <v>21</v>
          </cell>
          <cell r="S1494">
            <v>51</v>
          </cell>
          <cell r="T1494">
            <v>1.5</v>
          </cell>
          <cell r="U1494">
            <v>16.5</v>
          </cell>
          <cell r="V1494">
            <v>43</v>
          </cell>
          <cell r="W1494">
            <v>117</v>
          </cell>
          <cell r="X1494">
            <v>41.5</v>
          </cell>
          <cell r="Y1494">
            <v>98.5</v>
          </cell>
          <cell r="Z1494">
            <v>1.5</v>
          </cell>
          <cell r="AA1494">
            <v>18.5</v>
          </cell>
          <cell r="AB1494">
            <v>90</v>
          </cell>
          <cell r="AC1494">
            <v>72</v>
          </cell>
          <cell r="AD1494">
            <v>18</v>
          </cell>
          <cell r="AE1494">
            <v>160</v>
          </cell>
          <cell r="AF1494">
            <v>140</v>
          </cell>
          <cell r="AG1494">
            <v>20</v>
          </cell>
        </row>
        <row r="1495">
          <cell r="C1495">
            <v>260966</v>
          </cell>
          <cell r="D1495" t="str">
            <v>Jaywant Petroleum KSK</v>
          </cell>
          <cell r="E1495" t="str">
            <v>IOCL</v>
          </cell>
          <cell r="F1495" t="str">
            <v>2012-13</v>
          </cell>
          <cell r="G1495" t="str">
            <v>Satara East RSA</v>
          </cell>
          <cell r="H1495">
            <v>41029</v>
          </cell>
          <cell r="I1495" t="str">
            <v>OPEN (W)</v>
          </cell>
          <cell r="J1495" t="str">
            <v>RAJALE</v>
          </cell>
          <cell r="K1495" t="str">
            <v>Satara</v>
          </cell>
          <cell r="L1495" t="str">
            <v>E</v>
          </cell>
          <cell r="O1495" t="str">
            <v>B</v>
          </cell>
          <cell r="P1495">
            <v>46</v>
          </cell>
          <cell r="Q1495">
            <v>46</v>
          </cell>
          <cell r="R1495">
            <v>33</v>
          </cell>
          <cell r="S1495">
            <v>39</v>
          </cell>
          <cell r="T1495">
            <v>13</v>
          </cell>
          <cell r="U1495">
            <v>7</v>
          </cell>
          <cell r="V1495">
            <v>58</v>
          </cell>
          <cell r="W1495">
            <v>58</v>
          </cell>
          <cell r="X1495">
            <v>72</v>
          </cell>
          <cell r="Y1495">
            <v>84</v>
          </cell>
          <cell r="Z1495">
            <v>-14</v>
          </cell>
          <cell r="AA1495">
            <v>-26</v>
          </cell>
          <cell r="AB1495">
            <v>92</v>
          </cell>
          <cell r="AC1495">
            <v>72</v>
          </cell>
          <cell r="AD1495">
            <v>20</v>
          </cell>
          <cell r="AE1495">
            <v>116</v>
          </cell>
          <cell r="AF1495">
            <v>156</v>
          </cell>
          <cell r="AG1495">
            <v>-40</v>
          </cell>
        </row>
        <row r="1496">
          <cell r="C1496">
            <v>260987</v>
          </cell>
          <cell r="D1496" t="str">
            <v>PIONEER PETROLEUM</v>
          </cell>
          <cell r="E1496" t="str">
            <v>IOCL</v>
          </cell>
          <cell r="F1496" t="str">
            <v>2012-13</v>
          </cell>
          <cell r="G1496" t="str">
            <v>Satara East RSA</v>
          </cell>
          <cell r="H1496">
            <v>41037</v>
          </cell>
          <cell r="I1496" t="str">
            <v>OPEN</v>
          </cell>
          <cell r="J1496" t="str">
            <v>Mayani</v>
          </cell>
          <cell r="K1496" t="str">
            <v>Satara</v>
          </cell>
          <cell r="L1496" t="str">
            <v>D1</v>
          </cell>
          <cell r="M1496" t="str">
            <v>NH-160</v>
          </cell>
          <cell r="O1496" t="str">
            <v>B</v>
          </cell>
          <cell r="P1496">
            <v>42</v>
          </cell>
          <cell r="Q1496">
            <v>66</v>
          </cell>
          <cell r="R1496">
            <v>27</v>
          </cell>
          <cell r="S1496">
            <v>57</v>
          </cell>
          <cell r="T1496">
            <v>15</v>
          </cell>
          <cell r="U1496">
            <v>9</v>
          </cell>
          <cell r="V1496">
            <v>69</v>
          </cell>
          <cell r="W1496">
            <v>111</v>
          </cell>
          <cell r="X1496">
            <v>54</v>
          </cell>
          <cell r="Y1496">
            <v>102</v>
          </cell>
          <cell r="Z1496">
            <v>15</v>
          </cell>
          <cell r="AA1496">
            <v>9</v>
          </cell>
          <cell r="AB1496">
            <v>108</v>
          </cell>
          <cell r="AC1496">
            <v>84</v>
          </cell>
          <cell r="AD1496">
            <v>24</v>
          </cell>
          <cell r="AE1496">
            <v>180</v>
          </cell>
          <cell r="AF1496">
            <v>156</v>
          </cell>
          <cell r="AG1496">
            <v>24</v>
          </cell>
        </row>
        <row r="1497">
          <cell r="C1497">
            <v>262399</v>
          </cell>
          <cell r="D1497" t="str">
            <v>JAIHIND PETROLEUM KSK</v>
          </cell>
          <cell r="E1497" t="str">
            <v>IOCL</v>
          </cell>
          <cell r="F1497" t="str">
            <v>2012-13</v>
          </cell>
          <cell r="G1497" t="str">
            <v>Pune Wagholi RSA</v>
          </cell>
          <cell r="H1497">
            <v>41090</v>
          </cell>
          <cell r="I1497" t="str">
            <v>OPEN</v>
          </cell>
          <cell r="J1497" t="str">
            <v>Savargaon</v>
          </cell>
          <cell r="K1497" t="str">
            <v>Pune</v>
          </cell>
          <cell r="L1497" t="str">
            <v>E</v>
          </cell>
          <cell r="O1497" t="str">
            <v>B</v>
          </cell>
          <cell r="P1497">
            <v>27</v>
          </cell>
          <cell r="Q1497">
            <v>81</v>
          </cell>
          <cell r="R1497">
            <v>41</v>
          </cell>
          <cell r="S1497">
            <v>63</v>
          </cell>
          <cell r="T1497">
            <v>-14</v>
          </cell>
          <cell r="U1497">
            <v>18</v>
          </cell>
          <cell r="V1497">
            <v>66</v>
          </cell>
          <cell r="W1497">
            <v>150</v>
          </cell>
          <cell r="X1497">
            <v>61</v>
          </cell>
          <cell r="Y1497">
            <v>111</v>
          </cell>
          <cell r="Z1497">
            <v>5</v>
          </cell>
          <cell r="AA1497">
            <v>39</v>
          </cell>
          <cell r="AB1497">
            <v>108</v>
          </cell>
          <cell r="AC1497">
            <v>104</v>
          </cell>
          <cell r="AD1497">
            <v>4</v>
          </cell>
          <cell r="AE1497">
            <v>216</v>
          </cell>
          <cell r="AF1497">
            <v>172</v>
          </cell>
          <cell r="AG1497">
            <v>44</v>
          </cell>
        </row>
        <row r="1498">
          <cell r="C1498">
            <v>262928</v>
          </cell>
          <cell r="D1498" t="str">
            <v>UNDRE PETROLEUM KSK</v>
          </cell>
          <cell r="E1498" t="str">
            <v>IOCL</v>
          </cell>
          <cell r="F1498" t="str">
            <v>2012-13</v>
          </cell>
          <cell r="G1498" t="str">
            <v>Pune Hadapsar RSA</v>
          </cell>
          <cell r="H1498">
            <v>41147</v>
          </cell>
          <cell r="I1498" t="str">
            <v>OPEN</v>
          </cell>
          <cell r="J1498" t="str">
            <v>Manjari Khurd</v>
          </cell>
          <cell r="K1498" t="str">
            <v>Pune</v>
          </cell>
          <cell r="L1498" t="str">
            <v>E</v>
          </cell>
          <cell r="O1498" t="str">
            <v>B</v>
          </cell>
          <cell r="P1498">
            <v>70</v>
          </cell>
          <cell r="Q1498">
            <v>140</v>
          </cell>
          <cell r="R1498">
            <v>49</v>
          </cell>
          <cell r="S1498">
            <v>105</v>
          </cell>
          <cell r="T1498">
            <v>21</v>
          </cell>
          <cell r="U1498">
            <v>35</v>
          </cell>
          <cell r="V1498">
            <v>137</v>
          </cell>
          <cell r="W1498">
            <v>269</v>
          </cell>
          <cell r="X1498">
            <v>92.5</v>
          </cell>
          <cell r="Y1498">
            <v>235.5</v>
          </cell>
          <cell r="Z1498">
            <v>44.5</v>
          </cell>
          <cell r="AA1498">
            <v>33.5</v>
          </cell>
          <cell r="AB1498">
            <v>210</v>
          </cell>
          <cell r="AC1498">
            <v>154</v>
          </cell>
          <cell r="AD1498">
            <v>56</v>
          </cell>
          <cell r="AE1498">
            <v>406</v>
          </cell>
          <cell r="AF1498">
            <v>328</v>
          </cell>
          <cell r="AG1498">
            <v>78</v>
          </cell>
        </row>
        <row r="1499">
          <cell r="C1499">
            <v>263450</v>
          </cell>
          <cell r="D1499" t="str">
            <v>VISHWAJEET LOKHANDE PETRO KSK</v>
          </cell>
          <cell r="E1499" t="str">
            <v>IOCL</v>
          </cell>
          <cell r="F1499" t="str">
            <v>2012-13</v>
          </cell>
          <cell r="G1499" t="str">
            <v>Pune Hadapsar RSA</v>
          </cell>
          <cell r="H1499">
            <v>41151</v>
          </cell>
          <cell r="I1499" t="str">
            <v>OPEN (W)</v>
          </cell>
          <cell r="J1499" t="str">
            <v>Ranjangaon Sandas</v>
          </cell>
          <cell r="K1499" t="str">
            <v>Pune</v>
          </cell>
          <cell r="L1499" t="str">
            <v>E</v>
          </cell>
          <cell r="O1499" t="str">
            <v>B</v>
          </cell>
          <cell r="P1499">
            <v>18</v>
          </cell>
          <cell r="Q1499">
            <v>54</v>
          </cell>
          <cell r="R1499">
            <v>18</v>
          </cell>
          <cell r="S1499">
            <v>42</v>
          </cell>
          <cell r="T1499">
            <v>0</v>
          </cell>
          <cell r="U1499">
            <v>12</v>
          </cell>
          <cell r="V1499">
            <v>28</v>
          </cell>
          <cell r="W1499">
            <v>88</v>
          </cell>
          <cell r="X1499">
            <v>24</v>
          </cell>
          <cell r="Y1499">
            <v>72</v>
          </cell>
          <cell r="Z1499">
            <v>4</v>
          </cell>
          <cell r="AA1499">
            <v>16</v>
          </cell>
          <cell r="AB1499">
            <v>72</v>
          </cell>
          <cell r="AC1499">
            <v>60</v>
          </cell>
          <cell r="AD1499">
            <v>12</v>
          </cell>
          <cell r="AE1499">
            <v>116</v>
          </cell>
          <cell r="AF1499">
            <v>96</v>
          </cell>
          <cell r="AG1499">
            <v>20</v>
          </cell>
        </row>
        <row r="1500">
          <cell r="C1500">
            <v>264117</v>
          </cell>
          <cell r="D1500" t="str">
            <v>BHAGYARAJA PETROLEUM KSK</v>
          </cell>
          <cell r="E1500" t="str">
            <v>IOCL</v>
          </cell>
          <cell r="F1500" t="str">
            <v>2012-13</v>
          </cell>
          <cell r="G1500" t="str">
            <v>Satara West RSA</v>
          </cell>
          <cell r="H1500">
            <v>41213</v>
          </cell>
          <cell r="I1500" t="str">
            <v>OPEN</v>
          </cell>
          <cell r="J1500" t="str">
            <v>Satara City</v>
          </cell>
          <cell r="K1500" t="str">
            <v>Satara</v>
          </cell>
          <cell r="L1500" t="str">
            <v>C</v>
          </cell>
          <cell r="O1500" t="str">
            <v>B</v>
          </cell>
          <cell r="P1500">
            <v>147</v>
          </cell>
          <cell r="Q1500">
            <v>69</v>
          </cell>
          <cell r="R1500">
            <v>126</v>
          </cell>
          <cell r="S1500">
            <v>66</v>
          </cell>
          <cell r="T1500">
            <v>21</v>
          </cell>
          <cell r="U1500">
            <v>3</v>
          </cell>
          <cell r="V1500">
            <v>261</v>
          </cell>
          <cell r="W1500">
            <v>123</v>
          </cell>
          <cell r="X1500">
            <v>234</v>
          </cell>
          <cell r="Y1500">
            <v>114</v>
          </cell>
          <cell r="Z1500">
            <v>27</v>
          </cell>
          <cell r="AA1500">
            <v>9</v>
          </cell>
          <cell r="AB1500">
            <v>216</v>
          </cell>
          <cell r="AC1500">
            <v>192</v>
          </cell>
          <cell r="AD1500">
            <v>24</v>
          </cell>
          <cell r="AE1500">
            <v>384</v>
          </cell>
          <cell r="AF1500">
            <v>348</v>
          </cell>
          <cell r="AG1500">
            <v>36</v>
          </cell>
        </row>
        <row r="1501">
          <cell r="C1501">
            <v>264152</v>
          </cell>
          <cell r="D1501" t="str">
            <v>MAA GANGA PETROLEUM KSK</v>
          </cell>
          <cell r="E1501" t="str">
            <v>IOCL</v>
          </cell>
          <cell r="F1501" t="str">
            <v>2012-13</v>
          </cell>
          <cell r="G1501" t="str">
            <v>Pune Wagholi RSA</v>
          </cell>
          <cell r="H1501">
            <v>41182</v>
          </cell>
          <cell r="I1501" t="str">
            <v>OPEN (W)</v>
          </cell>
          <cell r="J1501" t="str">
            <v>Amdabad</v>
          </cell>
          <cell r="K1501" t="str">
            <v>Pune</v>
          </cell>
          <cell r="L1501" t="str">
            <v>E</v>
          </cell>
          <cell r="O1501" t="str">
            <v>B</v>
          </cell>
          <cell r="P1501">
            <v>23</v>
          </cell>
          <cell r="Q1501">
            <v>63</v>
          </cell>
          <cell r="R1501">
            <v>24</v>
          </cell>
          <cell r="S1501">
            <v>116</v>
          </cell>
          <cell r="T1501">
            <v>-1</v>
          </cell>
          <cell r="U1501">
            <v>-53</v>
          </cell>
          <cell r="V1501">
            <v>56</v>
          </cell>
          <cell r="W1501">
            <v>126</v>
          </cell>
          <cell r="X1501">
            <v>45</v>
          </cell>
          <cell r="Y1501">
            <v>215</v>
          </cell>
          <cell r="Z1501">
            <v>11</v>
          </cell>
          <cell r="AA1501">
            <v>-89</v>
          </cell>
          <cell r="AB1501">
            <v>86</v>
          </cell>
          <cell r="AC1501">
            <v>140</v>
          </cell>
          <cell r="AD1501">
            <v>-54</v>
          </cell>
          <cell r="AE1501">
            <v>182</v>
          </cell>
          <cell r="AF1501">
            <v>260</v>
          </cell>
          <cell r="AG1501">
            <v>-78</v>
          </cell>
        </row>
        <row r="1502">
          <cell r="C1502">
            <v>264781</v>
          </cell>
          <cell r="D1502" t="str">
            <v>KADAM PATIL PETROLEUM KSK</v>
          </cell>
          <cell r="E1502" t="str">
            <v>IOCL</v>
          </cell>
          <cell r="F1502" t="str">
            <v>2012-13</v>
          </cell>
          <cell r="G1502" t="str">
            <v>Pune Hadapsar RSA</v>
          </cell>
          <cell r="H1502">
            <v>41212</v>
          </cell>
          <cell r="I1502" t="str">
            <v>OPEN (W)</v>
          </cell>
          <cell r="J1502" t="str">
            <v>Pilanwadi</v>
          </cell>
          <cell r="K1502" t="str">
            <v>Pune</v>
          </cell>
          <cell r="L1502" t="str">
            <v>D2</v>
          </cell>
          <cell r="O1502" t="str">
            <v>B</v>
          </cell>
          <cell r="P1502">
            <v>65</v>
          </cell>
          <cell r="Q1502">
            <v>221</v>
          </cell>
          <cell r="R1502">
            <v>55</v>
          </cell>
          <cell r="S1502">
            <v>165</v>
          </cell>
          <cell r="T1502">
            <v>10</v>
          </cell>
          <cell r="U1502">
            <v>56</v>
          </cell>
          <cell r="V1502">
            <v>125</v>
          </cell>
          <cell r="W1502">
            <v>381</v>
          </cell>
          <cell r="X1502">
            <v>100</v>
          </cell>
          <cell r="Y1502">
            <v>312</v>
          </cell>
          <cell r="Z1502">
            <v>25</v>
          </cell>
          <cell r="AA1502">
            <v>69</v>
          </cell>
          <cell r="AB1502">
            <v>286</v>
          </cell>
          <cell r="AC1502">
            <v>220</v>
          </cell>
          <cell r="AD1502">
            <v>66</v>
          </cell>
          <cell r="AE1502">
            <v>506</v>
          </cell>
          <cell r="AF1502">
            <v>412</v>
          </cell>
          <cell r="AG1502">
            <v>94</v>
          </cell>
        </row>
        <row r="1503">
          <cell r="C1503">
            <v>264805</v>
          </cell>
          <cell r="D1503" t="str">
            <v>USHA PETROLEUM KSK</v>
          </cell>
          <cell r="E1503" t="str">
            <v>IOCL</v>
          </cell>
          <cell r="F1503" t="str">
            <v>2012-13</v>
          </cell>
          <cell r="G1503" t="str">
            <v>Pune Tathawade RSA</v>
          </cell>
          <cell r="H1503">
            <v>41274</v>
          </cell>
          <cell r="I1503" t="str">
            <v>OPEN</v>
          </cell>
          <cell r="J1503" t="str">
            <v>MORGAON-BARAMATI RD</v>
          </cell>
          <cell r="K1503" t="str">
            <v>Pune</v>
          </cell>
          <cell r="L1503" t="str">
            <v>D2</v>
          </cell>
          <cell r="O1503" t="str">
            <v>B</v>
          </cell>
          <cell r="P1503">
            <v>23</v>
          </cell>
          <cell r="Q1503">
            <v>61</v>
          </cell>
          <cell r="R1503">
            <v>0</v>
          </cell>
          <cell r="S1503">
            <v>0</v>
          </cell>
          <cell r="T1503">
            <v>23</v>
          </cell>
          <cell r="U1503">
            <v>61</v>
          </cell>
          <cell r="V1503">
            <v>48.5</v>
          </cell>
          <cell r="W1503">
            <v>115.5</v>
          </cell>
          <cell r="X1503">
            <v>0</v>
          </cell>
          <cell r="Y1503">
            <v>0</v>
          </cell>
          <cell r="Z1503">
            <v>48.5</v>
          </cell>
          <cell r="AA1503">
            <v>115.5</v>
          </cell>
          <cell r="AB1503">
            <v>84</v>
          </cell>
          <cell r="AC1503">
            <v>0</v>
          </cell>
          <cell r="AD1503">
            <v>84</v>
          </cell>
          <cell r="AE1503">
            <v>164</v>
          </cell>
          <cell r="AF1503">
            <v>0</v>
          </cell>
          <cell r="AG1503">
            <v>164</v>
          </cell>
        </row>
        <row r="1504">
          <cell r="C1504">
            <v>264823</v>
          </cell>
          <cell r="D1504" t="str">
            <v>GANRAJ PETROLEUM KSK</v>
          </cell>
          <cell r="E1504" t="str">
            <v>IOCL</v>
          </cell>
          <cell r="F1504" t="str">
            <v>2012-13</v>
          </cell>
          <cell r="G1504" t="str">
            <v>Pune Wagholi RSA</v>
          </cell>
          <cell r="H1504">
            <v>41210</v>
          </cell>
          <cell r="I1504" t="str">
            <v>OPEN</v>
          </cell>
          <cell r="J1504" t="str">
            <v>Mengdewadi</v>
          </cell>
          <cell r="K1504" t="str">
            <v>Pune</v>
          </cell>
          <cell r="L1504" t="str">
            <v>E</v>
          </cell>
          <cell r="O1504" t="str">
            <v>B</v>
          </cell>
          <cell r="P1504">
            <v>33</v>
          </cell>
          <cell r="Q1504">
            <v>87</v>
          </cell>
          <cell r="R1504">
            <v>40</v>
          </cell>
          <cell r="S1504">
            <v>88</v>
          </cell>
          <cell r="T1504">
            <v>-7</v>
          </cell>
          <cell r="U1504">
            <v>-1</v>
          </cell>
          <cell r="V1504">
            <v>57</v>
          </cell>
          <cell r="W1504">
            <v>159</v>
          </cell>
          <cell r="X1504">
            <v>79</v>
          </cell>
          <cell r="Y1504">
            <v>181</v>
          </cell>
          <cell r="Z1504">
            <v>-22</v>
          </cell>
          <cell r="AA1504">
            <v>-22</v>
          </cell>
          <cell r="AB1504">
            <v>120</v>
          </cell>
          <cell r="AC1504">
            <v>128</v>
          </cell>
          <cell r="AD1504">
            <v>-8</v>
          </cell>
          <cell r="AE1504">
            <v>216</v>
          </cell>
          <cell r="AF1504">
            <v>260</v>
          </cell>
          <cell r="AG1504">
            <v>-44</v>
          </cell>
        </row>
        <row r="1505">
          <cell r="C1505">
            <v>265345</v>
          </cell>
          <cell r="D1505" t="str">
            <v>Venus Petroleum KSK</v>
          </cell>
          <cell r="E1505" t="str">
            <v>IOCL</v>
          </cell>
          <cell r="F1505" t="str">
            <v>2012-13</v>
          </cell>
          <cell r="G1505" t="str">
            <v>Satara East RSA</v>
          </cell>
          <cell r="H1505">
            <v>41240</v>
          </cell>
          <cell r="I1505" t="str">
            <v>OPEN (W)</v>
          </cell>
          <cell r="J1505" t="str">
            <v>pusegaon phaltan road</v>
          </cell>
          <cell r="K1505" t="str">
            <v>Satara</v>
          </cell>
          <cell r="L1505" t="str">
            <v>D2</v>
          </cell>
          <cell r="O1505" t="str">
            <v>B</v>
          </cell>
          <cell r="P1505">
            <v>84</v>
          </cell>
          <cell r="Q1505">
            <v>168</v>
          </cell>
          <cell r="R1505">
            <v>49</v>
          </cell>
          <cell r="S1505">
            <v>77</v>
          </cell>
          <cell r="T1505">
            <v>35</v>
          </cell>
          <cell r="U1505">
            <v>91</v>
          </cell>
          <cell r="V1505">
            <v>147</v>
          </cell>
          <cell r="W1505">
            <v>287</v>
          </cell>
          <cell r="X1505">
            <v>91</v>
          </cell>
          <cell r="Y1505">
            <v>175</v>
          </cell>
          <cell r="Z1505">
            <v>56</v>
          </cell>
          <cell r="AA1505">
            <v>112</v>
          </cell>
          <cell r="AB1505">
            <v>252</v>
          </cell>
          <cell r="AC1505">
            <v>126</v>
          </cell>
          <cell r="AD1505">
            <v>126</v>
          </cell>
          <cell r="AE1505">
            <v>434</v>
          </cell>
          <cell r="AF1505">
            <v>266</v>
          </cell>
          <cell r="AG1505">
            <v>168</v>
          </cell>
        </row>
        <row r="1506">
          <cell r="C1506">
            <v>265363</v>
          </cell>
          <cell r="D1506" t="str">
            <v>Shri Nandadevi Petroleum</v>
          </cell>
          <cell r="E1506" t="str">
            <v>IOCL</v>
          </cell>
          <cell r="F1506" t="str">
            <v>2012-13</v>
          </cell>
          <cell r="G1506" t="str">
            <v>Ahmednagar West RSA</v>
          </cell>
          <cell r="H1506">
            <v>41243</v>
          </cell>
          <cell r="I1506" t="str">
            <v>OPEN</v>
          </cell>
          <cell r="J1506" t="str">
            <v>Nannaj</v>
          </cell>
          <cell r="K1506" t="str">
            <v>Ahmednagar</v>
          </cell>
          <cell r="L1506" t="str">
            <v>D2</v>
          </cell>
          <cell r="O1506" t="str">
            <v>B</v>
          </cell>
          <cell r="P1506">
            <v>66.5</v>
          </cell>
          <cell r="Q1506">
            <v>195.5</v>
          </cell>
          <cell r="R1506">
            <v>55.5</v>
          </cell>
          <cell r="S1506">
            <v>134.5</v>
          </cell>
          <cell r="T1506">
            <v>11</v>
          </cell>
          <cell r="U1506">
            <v>61</v>
          </cell>
          <cell r="V1506">
            <v>112</v>
          </cell>
          <cell r="W1506">
            <v>360</v>
          </cell>
          <cell r="X1506">
            <v>88.5</v>
          </cell>
          <cell r="Y1506">
            <v>269.5</v>
          </cell>
          <cell r="Z1506">
            <v>23.5</v>
          </cell>
          <cell r="AA1506">
            <v>90.5</v>
          </cell>
          <cell r="AB1506">
            <v>262</v>
          </cell>
          <cell r="AC1506">
            <v>190</v>
          </cell>
          <cell r="AD1506">
            <v>72</v>
          </cell>
          <cell r="AE1506">
            <v>472</v>
          </cell>
          <cell r="AF1506">
            <v>358</v>
          </cell>
          <cell r="AG1506">
            <v>114</v>
          </cell>
        </row>
        <row r="1507">
          <cell r="C1507">
            <v>265453</v>
          </cell>
          <cell r="D1507" t="str">
            <v>Daund Sugar Petroleum KSK</v>
          </cell>
          <cell r="E1507" t="str">
            <v>IOCL</v>
          </cell>
          <cell r="F1507" t="str">
            <v>2012-13</v>
          </cell>
          <cell r="G1507" t="str">
            <v>Pune Hadapsar RSA</v>
          </cell>
          <cell r="H1507">
            <v>41243</v>
          </cell>
          <cell r="I1507" t="str">
            <v>OPEN</v>
          </cell>
          <cell r="J1507" t="str">
            <v>DAUND</v>
          </cell>
          <cell r="K1507" t="str">
            <v>Pune</v>
          </cell>
          <cell r="L1507" t="str">
            <v>E</v>
          </cell>
          <cell r="O1507" t="str">
            <v>B</v>
          </cell>
          <cell r="P1507">
            <v>20</v>
          </cell>
          <cell r="Q1507">
            <v>100</v>
          </cell>
          <cell r="R1507">
            <v>20</v>
          </cell>
          <cell r="S1507">
            <v>80</v>
          </cell>
          <cell r="T1507">
            <v>0</v>
          </cell>
          <cell r="U1507">
            <v>20</v>
          </cell>
          <cell r="V1507">
            <v>35</v>
          </cell>
          <cell r="W1507">
            <v>165</v>
          </cell>
          <cell r="X1507">
            <v>30</v>
          </cell>
          <cell r="Y1507">
            <v>150</v>
          </cell>
          <cell r="Z1507">
            <v>5</v>
          </cell>
          <cell r="AA1507">
            <v>15</v>
          </cell>
          <cell r="AB1507">
            <v>120</v>
          </cell>
          <cell r="AC1507">
            <v>100</v>
          </cell>
          <cell r="AD1507">
            <v>20</v>
          </cell>
          <cell r="AE1507">
            <v>200</v>
          </cell>
          <cell r="AF1507">
            <v>180</v>
          </cell>
          <cell r="AG1507">
            <v>20</v>
          </cell>
        </row>
        <row r="1508">
          <cell r="C1508">
            <v>265455</v>
          </cell>
          <cell r="D1508" t="str">
            <v>Shri Vighnhar Petroleum KSK</v>
          </cell>
          <cell r="E1508" t="str">
            <v>IOCL</v>
          </cell>
          <cell r="F1508" t="str">
            <v>2012-13</v>
          </cell>
          <cell r="G1508" t="str">
            <v>Pune Wagholi RSA</v>
          </cell>
          <cell r="H1508">
            <v>41243</v>
          </cell>
          <cell r="I1508" t="str">
            <v>OPEN (W)</v>
          </cell>
          <cell r="J1508" t="str">
            <v>Nimgaon Sava</v>
          </cell>
          <cell r="K1508" t="str">
            <v>Pune</v>
          </cell>
          <cell r="L1508" t="str">
            <v>E</v>
          </cell>
          <cell r="O1508" t="str">
            <v>B</v>
          </cell>
          <cell r="P1508">
            <v>42</v>
          </cell>
          <cell r="Q1508">
            <v>78</v>
          </cell>
          <cell r="R1508">
            <v>39</v>
          </cell>
          <cell r="S1508">
            <v>81</v>
          </cell>
          <cell r="T1508">
            <v>3</v>
          </cell>
          <cell r="U1508">
            <v>-3</v>
          </cell>
          <cell r="V1508">
            <v>75</v>
          </cell>
          <cell r="W1508">
            <v>117</v>
          </cell>
          <cell r="X1508">
            <v>78</v>
          </cell>
          <cell r="Y1508">
            <v>162</v>
          </cell>
          <cell r="Z1508">
            <v>-3</v>
          </cell>
          <cell r="AA1508">
            <v>-45</v>
          </cell>
          <cell r="AB1508">
            <v>120</v>
          </cell>
          <cell r="AC1508">
            <v>120</v>
          </cell>
          <cell r="AD1508">
            <v>0</v>
          </cell>
          <cell r="AE1508">
            <v>192</v>
          </cell>
          <cell r="AF1508">
            <v>240</v>
          </cell>
          <cell r="AG1508">
            <v>-48</v>
          </cell>
        </row>
        <row r="1509">
          <cell r="C1509">
            <v>265522</v>
          </cell>
          <cell r="D1509" t="str">
            <v>Dhanashree Petroleum KSK</v>
          </cell>
          <cell r="E1509" t="str">
            <v>IOCL</v>
          </cell>
          <cell r="F1509" t="str">
            <v>2012-13</v>
          </cell>
          <cell r="G1509" t="str">
            <v>Pune Tathawade RSA</v>
          </cell>
          <cell r="H1509">
            <v>41243</v>
          </cell>
          <cell r="I1509" t="str">
            <v>OPEN</v>
          </cell>
          <cell r="J1509" t="str">
            <v>MORGAON-BARAMATI RD</v>
          </cell>
          <cell r="K1509" t="str">
            <v>Pune</v>
          </cell>
          <cell r="L1509" t="str">
            <v>D2</v>
          </cell>
          <cell r="O1509" t="str">
            <v>B</v>
          </cell>
          <cell r="P1509">
            <v>36</v>
          </cell>
          <cell r="Q1509">
            <v>74</v>
          </cell>
          <cell r="R1509">
            <v>41</v>
          </cell>
          <cell r="S1509">
            <v>71</v>
          </cell>
          <cell r="T1509">
            <v>-5</v>
          </cell>
          <cell r="U1509">
            <v>3</v>
          </cell>
          <cell r="V1509">
            <v>57.5</v>
          </cell>
          <cell r="W1509">
            <v>114.5</v>
          </cell>
          <cell r="X1509">
            <v>68</v>
          </cell>
          <cell r="Y1509">
            <v>152</v>
          </cell>
          <cell r="Z1509">
            <v>-10.5</v>
          </cell>
          <cell r="AA1509">
            <v>-37.5</v>
          </cell>
          <cell r="AB1509">
            <v>110</v>
          </cell>
          <cell r="AC1509">
            <v>112</v>
          </cell>
          <cell r="AD1509">
            <v>-2</v>
          </cell>
          <cell r="AE1509">
            <v>172</v>
          </cell>
          <cell r="AF1509">
            <v>220</v>
          </cell>
          <cell r="AG1509">
            <v>-48</v>
          </cell>
        </row>
        <row r="1510">
          <cell r="C1510">
            <v>265541</v>
          </cell>
          <cell r="D1510" t="str">
            <v>B D Petroleum</v>
          </cell>
          <cell r="E1510" t="str">
            <v>IOCL</v>
          </cell>
          <cell r="F1510" t="str">
            <v>2012-13</v>
          </cell>
          <cell r="G1510" t="str">
            <v>Pimpri Chinchwad RSA</v>
          </cell>
          <cell r="H1510">
            <v>41242</v>
          </cell>
          <cell r="I1510" t="str">
            <v>OPEN</v>
          </cell>
          <cell r="J1510" t="str">
            <v>Chakan Bhose</v>
          </cell>
          <cell r="K1510" t="str">
            <v>Pune</v>
          </cell>
          <cell r="L1510" t="str">
            <v>D1</v>
          </cell>
          <cell r="M1510" t="str">
            <v>NH-548D</v>
          </cell>
          <cell r="O1510" t="str">
            <v>A</v>
          </cell>
          <cell r="P1510">
            <v>15</v>
          </cell>
          <cell r="Q1510">
            <v>665</v>
          </cell>
          <cell r="R1510">
            <v>25</v>
          </cell>
          <cell r="S1510">
            <v>783</v>
          </cell>
          <cell r="T1510">
            <v>-10</v>
          </cell>
          <cell r="U1510">
            <v>-118</v>
          </cell>
          <cell r="V1510">
            <v>30</v>
          </cell>
          <cell r="W1510">
            <v>1290</v>
          </cell>
          <cell r="X1510">
            <v>40</v>
          </cell>
          <cell r="Y1510">
            <v>1442</v>
          </cell>
          <cell r="Z1510">
            <v>-10</v>
          </cell>
          <cell r="AA1510">
            <v>-152</v>
          </cell>
          <cell r="AB1510">
            <v>680</v>
          </cell>
          <cell r="AC1510">
            <v>808</v>
          </cell>
          <cell r="AD1510">
            <v>-128</v>
          </cell>
          <cell r="AE1510">
            <v>1320</v>
          </cell>
          <cell r="AF1510">
            <v>1482</v>
          </cell>
          <cell r="AG1510">
            <v>-162</v>
          </cell>
        </row>
        <row r="1511">
          <cell r="C1511">
            <v>265564</v>
          </cell>
          <cell r="D1511" t="str">
            <v>Bhimashankar Krishi KSK</v>
          </cell>
          <cell r="E1511" t="str">
            <v>IOCL</v>
          </cell>
          <cell r="F1511" t="str">
            <v>2012-13</v>
          </cell>
          <cell r="G1511" t="str">
            <v>Pune Wagholi RSA</v>
          </cell>
          <cell r="H1511">
            <v>41243</v>
          </cell>
          <cell r="I1511" t="str">
            <v>OPEN</v>
          </cell>
          <cell r="J1511" t="str">
            <v>Pargaon Tarfe</v>
          </cell>
          <cell r="K1511" t="str">
            <v>Pune</v>
          </cell>
          <cell r="L1511" t="str">
            <v>E</v>
          </cell>
          <cell r="O1511" t="str">
            <v>B</v>
          </cell>
          <cell r="P1511">
            <v>55</v>
          </cell>
          <cell r="Q1511">
            <v>125</v>
          </cell>
          <cell r="R1511">
            <v>70</v>
          </cell>
          <cell r="S1511">
            <v>90</v>
          </cell>
          <cell r="T1511">
            <v>-15</v>
          </cell>
          <cell r="U1511">
            <v>35</v>
          </cell>
          <cell r="V1511">
            <v>105</v>
          </cell>
          <cell r="W1511">
            <v>235</v>
          </cell>
          <cell r="X1511">
            <v>120</v>
          </cell>
          <cell r="Y1511">
            <v>300</v>
          </cell>
          <cell r="Z1511">
            <v>-15</v>
          </cell>
          <cell r="AA1511">
            <v>-65</v>
          </cell>
          <cell r="AB1511">
            <v>180</v>
          </cell>
          <cell r="AC1511">
            <v>160</v>
          </cell>
          <cell r="AD1511">
            <v>20</v>
          </cell>
          <cell r="AE1511">
            <v>340</v>
          </cell>
          <cell r="AF1511">
            <v>420</v>
          </cell>
          <cell r="AG1511">
            <v>-80</v>
          </cell>
        </row>
        <row r="1512">
          <cell r="C1512">
            <v>265916</v>
          </cell>
          <cell r="D1512" t="str">
            <v>KRIPA PETROLEUM KSK</v>
          </cell>
          <cell r="E1512" t="str">
            <v>IOCL</v>
          </cell>
          <cell r="F1512" t="str">
            <v>2012-13</v>
          </cell>
          <cell r="G1512" t="str">
            <v>Pune Wagholi RSA</v>
          </cell>
          <cell r="H1512">
            <v>41274</v>
          </cell>
          <cell r="I1512" t="str">
            <v>OPEN (W)</v>
          </cell>
          <cell r="J1512" t="str">
            <v>Wafgaon</v>
          </cell>
          <cell r="K1512" t="str">
            <v>Pune</v>
          </cell>
          <cell r="L1512" t="str">
            <v>E</v>
          </cell>
          <cell r="O1512" t="str">
            <v>B</v>
          </cell>
          <cell r="P1512">
            <v>21.5</v>
          </cell>
          <cell r="Q1512">
            <v>40.5</v>
          </cell>
          <cell r="R1512">
            <v>21</v>
          </cell>
          <cell r="S1512">
            <v>51</v>
          </cell>
          <cell r="T1512">
            <v>0.5</v>
          </cell>
          <cell r="U1512">
            <v>-10.5</v>
          </cell>
          <cell r="V1512">
            <v>31.5</v>
          </cell>
          <cell r="W1512">
            <v>68.5</v>
          </cell>
          <cell r="X1512">
            <v>36</v>
          </cell>
          <cell r="Y1512">
            <v>84</v>
          </cell>
          <cell r="Z1512">
            <v>-4.5</v>
          </cell>
          <cell r="AA1512">
            <v>-15.5</v>
          </cell>
          <cell r="AB1512">
            <v>62</v>
          </cell>
          <cell r="AC1512">
            <v>72</v>
          </cell>
          <cell r="AD1512">
            <v>-10</v>
          </cell>
          <cell r="AE1512">
            <v>100</v>
          </cell>
          <cell r="AF1512">
            <v>120</v>
          </cell>
          <cell r="AG1512">
            <v>-20</v>
          </cell>
        </row>
        <row r="1513">
          <cell r="C1513">
            <v>266145</v>
          </cell>
          <cell r="D1513" t="str">
            <v>K.K.PETROLEUM</v>
          </cell>
          <cell r="E1513" t="str">
            <v>IOCL</v>
          </cell>
          <cell r="F1513" t="str">
            <v>2012-13</v>
          </cell>
          <cell r="G1513" t="str">
            <v>Satara East RSA</v>
          </cell>
          <cell r="H1513">
            <v>41270</v>
          </cell>
          <cell r="I1513" t="str">
            <v>OPEN (W)</v>
          </cell>
          <cell r="J1513" t="str">
            <v>Taradgaon</v>
          </cell>
          <cell r="K1513" t="str">
            <v>Satara</v>
          </cell>
          <cell r="L1513" t="str">
            <v>D1</v>
          </cell>
          <cell r="M1513" t="str">
            <v>NH-965</v>
          </cell>
          <cell r="O1513" t="str">
            <v>B</v>
          </cell>
          <cell r="P1513">
            <v>51</v>
          </cell>
          <cell r="Q1513">
            <v>105</v>
          </cell>
          <cell r="R1513">
            <v>48</v>
          </cell>
          <cell r="S1513">
            <v>84</v>
          </cell>
          <cell r="T1513">
            <v>3</v>
          </cell>
          <cell r="U1513">
            <v>21</v>
          </cell>
          <cell r="V1513">
            <v>87</v>
          </cell>
          <cell r="W1513">
            <v>177</v>
          </cell>
          <cell r="X1513">
            <v>96</v>
          </cell>
          <cell r="Y1513">
            <v>168</v>
          </cell>
          <cell r="Z1513">
            <v>-9</v>
          </cell>
          <cell r="AA1513">
            <v>9</v>
          </cell>
          <cell r="AB1513">
            <v>156</v>
          </cell>
          <cell r="AC1513">
            <v>132</v>
          </cell>
          <cell r="AD1513">
            <v>24</v>
          </cell>
          <cell r="AE1513">
            <v>264</v>
          </cell>
          <cell r="AF1513">
            <v>264</v>
          </cell>
          <cell r="AG1513">
            <v>0</v>
          </cell>
        </row>
        <row r="1514">
          <cell r="C1514">
            <v>266147</v>
          </cell>
          <cell r="D1514" t="str">
            <v>DESHMUKH PETROLEUM KSK</v>
          </cell>
          <cell r="E1514" t="str">
            <v>IOCL</v>
          </cell>
          <cell r="F1514" t="str">
            <v>2012-13</v>
          </cell>
          <cell r="G1514" t="str">
            <v>Satara East RSA</v>
          </cell>
          <cell r="H1514">
            <v>41274</v>
          </cell>
          <cell r="I1514" t="str">
            <v>OPEN</v>
          </cell>
          <cell r="J1514" t="str">
            <v>AUNDH</v>
          </cell>
          <cell r="K1514" t="str">
            <v>Satara</v>
          </cell>
          <cell r="L1514" t="str">
            <v>E</v>
          </cell>
          <cell r="O1514" t="str">
            <v>B</v>
          </cell>
          <cell r="P1514">
            <v>43</v>
          </cell>
          <cell r="Q1514">
            <v>61</v>
          </cell>
          <cell r="R1514">
            <v>45</v>
          </cell>
          <cell r="S1514">
            <v>39</v>
          </cell>
          <cell r="T1514">
            <v>-2</v>
          </cell>
          <cell r="U1514">
            <v>22</v>
          </cell>
          <cell r="V1514">
            <v>78</v>
          </cell>
          <cell r="W1514">
            <v>130</v>
          </cell>
          <cell r="X1514">
            <v>69</v>
          </cell>
          <cell r="Y1514">
            <v>89</v>
          </cell>
          <cell r="Z1514">
            <v>9</v>
          </cell>
          <cell r="AA1514">
            <v>41</v>
          </cell>
          <cell r="AB1514">
            <v>104</v>
          </cell>
          <cell r="AC1514">
            <v>84</v>
          </cell>
          <cell r="AD1514">
            <v>20</v>
          </cell>
          <cell r="AE1514">
            <v>208</v>
          </cell>
          <cell r="AF1514">
            <v>158</v>
          </cell>
          <cell r="AG1514">
            <v>50</v>
          </cell>
        </row>
        <row r="1515">
          <cell r="C1515">
            <v>266148</v>
          </cell>
          <cell r="D1515" t="str">
            <v>ROYALE AUTOMOBILES</v>
          </cell>
          <cell r="E1515" t="str">
            <v>IOCL</v>
          </cell>
          <cell r="F1515" t="str">
            <v>2012-13</v>
          </cell>
          <cell r="G1515" t="str">
            <v>Satara West RSA</v>
          </cell>
          <cell r="H1515">
            <v>41272</v>
          </cell>
          <cell r="I1515" t="str">
            <v>OPEN (W)</v>
          </cell>
          <cell r="J1515" t="str">
            <v>Wadhe to Shivthar</v>
          </cell>
          <cell r="K1515" t="str">
            <v>Satara</v>
          </cell>
          <cell r="L1515" t="str">
            <v>D1</v>
          </cell>
          <cell r="M1515" t="str">
            <v>NH-965D</v>
          </cell>
          <cell r="O1515" t="str">
            <v>B</v>
          </cell>
          <cell r="P1515">
            <v>3</v>
          </cell>
          <cell r="Q1515">
            <v>9</v>
          </cell>
          <cell r="R1515">
            <v>0</v>
          </cell>
          <cell r="S1515">
            <v>0</v>
          </cell>
          <cell r="T1515">
            <v>3</v>
          </cell>
          <cell r="U1515">
            <v>9</v>
          </cell>
          <cell r="V1515">
            <v>3</v>
          </cell>
          <cell r="W1515">
            <v>9</v>
          </cell>
          <cell r="X1515">
            <v>0</v>
          </cell>
          <cell r="Y1515">
            <v>0</v>
          </cell>
          <cell r="Z1515">
            <v>3</v>
          </cell>
          <cell r="AA1515">
            <v>9</v>
          </cell>
          <cell r="AB1515">
            <v>12</v>
          </cell>
          <cell r="AC1515">
            <v>0</v>
          </cell>
          <cell r="AD1515">
            <v>12</v>
          </cell>
          <cell r="AE1515">
            <v>12</v>
          </cell>
          <cell r="AF1515">
            <v>0</v>
          </cell>
          <cell r="AG1515">
            <v>12</v>
          </cell>
        </row>
        <row r="1516">
          <cell r="C1516">
            <v>266382</v>
          </cell>
          <cell r="D1516" t="str">
            <v>SHARVIL PETROLEUM KSK</v>
          </cell>
          <cell r="E1516" t="str">
            <v>IOCL</v>
          </cell>
          <cell r="F1516" t="str">
            <v>2012-13</v>
          </cell>
          <cell r="G1516" t="str">
            <v>Pune Wagholi RSA</v>
          </cell>
          <cell r="H1516">
            <v>41274</v>
          </cell>
          <cell r="I1516" t="str">
            <v>OPEN (W)</v>
          </cell>
          <cell r="J1516" t="str">
            <v>Hivretarfe</v>
          </cell>
          <cell r="K1516" t="str">
            <v>Pune</v>
          </cell>
          <cell r="L1516" t="str">
            <v>E</v>
          </cell>
          <cell r="O1516" t="str">
            <v>B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</row>
        <row r="1517">
          <cell r="C1517">
            <v>266517</v>
          </cell>
          <cell r="D1517" t="str">
            <v>PATIL PETROLEUM KSK</v>
          </cell>
          <cell r="E1517" t="str">
            <v>IOCL</v>
          </cell>
          <cell r="F1517" t="str">
            <v>2012-13</v>
          </cell>
          <cell r="G1517" t="str">
            <v>Ahmednagar East RSA</v>
          </cell>
          <cell r="H1517">
            <v>41274</v>
          </cell>
          <cell r="I1517" t="str">
            <v>PHP (OPEN)</v>
          </cell>
          <cell r="J1517" t="str">
            <v>manjari</v>
          </cell>
          <cell r="K1517" t="str">
            <v>Ahmednagar</v>
          </cell>
          <cell r="L1517" t="str">
            <v>E</v>
          </cell>
          <cell r="O1517" t="str">
            <v>B</v>
          </cell>
          <cell r="P1517">
            <v>35.5</v>
          </cell>
          <cell r="Q1517">
            <v>78.5</v>
          </cell>
          <cell r="R1517">
            <v>43</v>
          </cell>
          <cell r="S1517">
            <v>53</v>
          </cell>
          <cell r="T1517">
            <v>-7.5</v>
          </cell>
          <cell r="U1517">
            <v>25.5</v>
          </cell>
          <cell r="V1517">
            <v>59</v>
          </cell>
          <cell r="W1517">
            <v>121</v>
          </cell>
          <cell r="X1517">
            <v>76</v>
          </cell>
          <cell r="Y1517">
            <v>104</v>
          </cell>
          <cell r="Z1517">
            <v>-17</v>
          </cell>
          <cell r="AA1517">
            <v>17</v>
          </cell>
          <cell r="AB1517">
            <v>114</v>
          </cell>
          <cell r="AC1517">
            <v>96</v>
          </cell>
          <cell r="AD1517">
            <v>18</v>
          </cell>
          <cell r="AE1517">
            <v>180</v>
          </cell>
          <cell r="AF1517">
            <v>180</v>
          </cell>
          <cell r="AG1517">
            <v>0</v>
          </cell>
        </row>
        <row r="1518">
          <cell r="C1518">
            <v>266553</v>
          </cell>
          <cell r="D1518" t="str">
            <v>SWAMI KRUPA PETROLEUM</v>
          </cell>
          <cell r="E1518" t="str">
            <v>IOCL</v>
          </cell>
          <cell r="F1518" t="str">
            <v>2012-13</v>
          </cell>
          <cell r="G1518" t="str">
            <v>Pune Hadapsar RSA</v>
          </cell>
          <cell r="H1518">
            <v>41274</v>
          </cell>
          <cell r="I1518" t="str">
            <v>OPEN</v>
          </cell>
          <cell r="J1518" t="str">
            <v>Patas RHS</v>
          </cell>
          <cell r="K1518" t="str">
            <v>Pune</v>
          </cell>
          <cell r="L1518" t="str">
            <v>D1</v>
          </cell>
          <cell r="M1518" t="str">
            <v>NH-65</v>
          </cell>
          <cell r="O1518" t="str">
            <v>B</v>
          </cell>
          <cell r="P1518">
            <v>24</v>
          </cell>
          <cell r="Q1518">
            <v>60</v>
          </cell>
          <cell r="R1518">
            <v>27</v>
          </cell>
          <cell r="S1518">
            <v>69</v>
          </cell>
          <cell r="T1518">
            <v>-3</v>
          </cell>
          <cell r="U1518">
            <v>-9</v>
          </cell>
          <cell r="V1518">
            <v>48</v>
          </cell>
          <cell r="W1518">
            <v>108</v>
          </cell>
          <cell r="X1518">
            <v>45</v>
          </cell>
          <cell r="Y1518">
            <v>135</v>
          </cell>
          <cell r="Z1518">
            <v>3</v>
          </cell>
          <cell r="AA1518">
            <v>-27</v>
          </cell>
          <cell r="AB1518">
            <v>84</v>
          </cell>
          <cell r="AC1518">
            <v>96</v>
          </cell>
          <cell r="AD1518">
            <v>-12</v>
          </cell>
          <cell r="AE1518">
            <v>156</v>
          </cell>
          <cell r="AF1518">
            <v>180</v>
          </cell>
          <cell r="AG1518">
            <v>-24</v>
          </cell>
        </row>
        <row r="1519">
          <cell r="C1519">
            <v>266557</v>
          </cell>
          <cell r="D1519" t="str">
            <v>SANGRAM PETROLEUM</v>
          </cell>
          <cell r="E1519" t="str">
            <v>IOCL</v>
          </cell>
          <cell r="F1519" t="str">
            <v>2012-13</v>
          </cell>
          <cell r="G1519" t="str">
            <v>Satara East RSA</v>
          </cell>
          <cell r="H1519">
            <v>41274</v>
          </cell>
          <cell r="I1519" t="str">
            <v>OPEN (W)</v>
          </cell>
          <cell r="J1519" t="str">
            <v>Nimbhore RHS</v>
          </cell>
          <cell r="K1519" t="str">
            <v>Satara</v>
          </cell>
          <cell r="L1519" t="str">
            <v>D1</v>
          </cell>
          <cell r="M1519" t="str">
            <v>NH-965</v>
          </cell>
          <cell r="O1519" t="str">
            <v>B</v>
          </cell>
          <cell r="P1519">
            <v>27</v>
          </cell>
          <cell r="Q1519">
            <v>57</v>
          </cell>
          <cell r="R1519">
            <v>18</v>
          </cell>
          <cell r="S1519">
            <v>42</v>
          </cell>
          <cell r="T1519">
            <v>9</v>
          </cell>
          <cell r="U1519">
            <v>15</v>
          </cell>
          <cell r="V1519">
            <v>45</v>
          </cell>
          <cell r="W1519">
            <v>99</v>
          </cell>
          <cell r="X1519">
            <v>35</v>
          </cell>
          <cell r="Y1519">
            <v>93</v>
          </cell>
          <cell r="Z1519">
            <v>10</v>
          </cell>
          <cell r="AA1519">
            <v>6</v>
          </cell>
          <cell r="AB1519">
            <v>84</v>
          </cell>
          <cell r="AC1519">
            <v>60</v>
          </cell>
          <cell r="AD1519">
            <v>24</v>
          </cell>
          <cell r="AE1519">
            <v>144</v>
          </cell>
          <cell r="AF1519">
            <v>128</v>
          </cell>
          <cell r="AG1519">
            <v>16</v>
          </cell>
        </row>
        <row r="1520">
          <cell r="C1520">
            <v>267352</v>
          </cell>
          <cell r="D1520" t="str">
            <v>YASH PETROLEUM KISAN SEVA KEND</v>
          </cell>
          <cell r="E1520" t="str">
            <v>IOCL</v>
          </cell>
          <cell r="F1520" t="str">
            <v>2012-13</v>
          </cell>
          <cell r="G1520" t="str">
            <v>Satara East RSA</v>
          </cell>
          <cell r="H1520">
            <v>41303</v>
          </cell>
          <cell r="I1520" t="str">
            <v>OPEN</v>
          </cell>
          <cell r="J1520" t="str">
            <v>Thakurki</v>
          </cell>
          <cell r="K1520" t="str">
            <v>Satara</v>
          </cell>
          <cell r="L1520" t="str">
            <v>D2</v>
          </cell>
          <cell r="O1520" t="str">
            <v>B</v>
          </cell>
          <cell r="P1520">
            <v>90</v>
          </cell>
          <cell r="Q1520">
            <v>102</v>
          </cell>
          <cell r="R1520">
            <v>72</v>
          </cell>
          <cell r="S1520">
            <v>72</v>
          </cell>
          <cell r="T1520">
            <v>18</v>
          </cell>
          <cell r="U1520">
            <v>30</v>
          </cell>
          <cell r="V1520">
            <v>184</v>
          </cell>
          <cell r="W1520">
            <v>196</v>
          </cell>
          <cell r="X1520">
            <v>135</v>
          </cell>
          <cell r="Y1520">
            <v>141</v>
          </cell>
          <cell r="Z1520">
            <v>49</v>
          </cell>
          <cell r="AA1520">
            <v>55</v>
          </cell>
          <cell r="AB1520">
            <v>192</v>
          </cell>
          <cell r="AC1520">
            <v>144</v>
          </cell>
          <cell r="AD1520">
            <v>48</v>
          </cell>
          <cell r="AE1520">
            <v>380</v>
          </cell>
          <cell r="AF1520">
            <v>276</v>
          </cell>
          <cell r="AG1520">
            <v>104</v>
          </cell>
        </row>
        <row r="1521">
          <cell r="C1521">
            <v>267359</v>
          </cell>
          <cell r="D1521" t="str">
            <v>RIYA PETROLEUM KSK</v>
          </cell>
          <cell r="E1521" t="str">
            <v>IOCL</v>
          </cell>
          <cell r="F1521" t="str">
            <v>2012-13</v>
          </cell>
          <cell r="G1521" t="str">
            <v>Pune Wagholi RSA</v>
          </cell>
          <cell r="H1521">
            <v>41304</v>
          </cell>
          <cell r="I1521" t="str">
            <v>OPEN</v>
          </cell>
          <cell r="J1521" t="str">
            <v>Chandoli Khurd</v>
          </cell>
          <cell r="K1521" t="str">
            <v>Pune</v>
          </cell>
          <cell r="L1521" t="str">
            <v>E</v>
          </cell>
          <cell r="O1521" t="str">
            <v>B</v>
          </cell>
          <cell r="P1521">
            <v>22</v>
          </cell>
          <cell r="Q1521">
            <v>28</v>
          </cell>
          <cell r="R1521">
            <v>27</v>
          </cell>
          <cell r="S1521">
            <v>37</v>
          </cell>
          <cell r="T1521">
            <v>-5</v>
          </cell>
          <cell r="U1521">
            <v>-9</v>
          </cell>
          <cell r="V1521">
            <v>40</v>
          </cell>
          <cell r="W1521">
            <v>58</v>
          </cell>
          <cell r="X1521">
            <v>48</v>
          </cell>
          <cell r="Y1521">
            <v>76</v>
          </cell>
          <cell r="Z1521">
            <v>-8</v>
          </cell>
          <cell r="AA1521">
            <v>-18</v>
          </cell>
          <cell r="AB1521">
            <v>50</v>
          </cell>
          <cell r="AC1521">
            <v>64</v>
          </cell>
          <cell r="AD1521">
            <v>-14</v>
          </cell>
          <cell r="AE1521">
            <v>98</v>
          </cell>
          <cell r="AF1521">
            <v>124</v>
          </cell>
          <cell r="AG1521">
            <v>-26</v>
          </cell>
        </row>
        <row r="1522">
          <cell r="C1522">
            <v>267555</v>
          </cell>
          <cell r="D1522" t="str">
            <v>VYAWAHARE PETROLEUM KSK</v>
          </cell>
          <cell r="E1522" t="str">
            <v>IOCL</v>
          </cell>
          <cell r="F1522" t="str">
            <v>2012-13</v>
          </cell>
          <cell r="G1522" t="str">
            <v>Pune Saswad RSA</v>
          </cell>
          <cell r="H1522">
            <v>41305</v>
          </cell>
          <cell r="I1522" t="str">
            <v>OPEN</v>
          </cell>
          <cell r="J1522" t="str">
            <v>SHIRSODI</v>
          </cell>
          <cell r="K1522" t="str">
            <v>Pune</v>
          </cell>
          <cell r="L1522" t="str">
            <v>E</v>
          </cell>
          <cell r="O1522" t="str">
            <v>B</v>
          </cell>
          <cell r="P1522">
            <v>27</v>
          </cell>
          <cell r="Q1522">
            <v>69</v>
          </cell>
          <cell r="R1522">
            <v>21</v>
          </cell>
          <cell r="S1522">
            <v>27</v>
          </cell>
          <cell r="T1522">
            <v>6</v>
          </cell>
          <cell r="U1522">
            <v>42</v>
          </cell>
          <cell r="V1522">
            <v>51</v>
          </cell>
          <cell r="W1522">
            <v>117</v>
          </cell>
          <cell r="X1522">
            <v>40</v>
          </cell>
          <cell r="Y1522">
            <v>58</v>
          </cell>
          <cell r="Z1522">
            <v>11</v>
          </cell>
          <cell r="AA1522">
            <v>59</v>
          </cell>
          <cell r="AB1522">
            <v>96</v>
          </cell>
          <cell r="AC1522">
            <v>48</v>
          </cell>
          <cell r="AD1522">
            <v>48</v>
          </cell>
          <cell r="AE1522">
            <v>168</v>
          </cell>
          <cell r="AF1522">
            <v>98</v>
          </cell>
          <cell r="AG1522">
            <v>70</v>
          </cell>
        </row>
        <row r="1523">
          <cell r="C1523">
            <v>268059</v>
          </cell>
          <cell r="D1523" t="str">
            <v>BALAJI VISHWA PETROLEUM</v>
          </cell>
          <cell r="E1523" t="str">
            <v>IOCL</v>
          </cell>
          <cell r="F1523" t="str">
            <v>2012-13</v>
          </cell>
          <cell r="G1523" t="str">
            <v>Pune Wagholi RSA</v>
          </cell>
          <cell r="H1523">
            <v>41364</v>
          </cell>
          <cell r="I1523" t="str">
            <v>OPEN (W)</v>
          </cell>
          <cell r="J1523" t="str">
            <v>Ranjangaon to Shirur LHS</v>
          </cell>
          <cell r="K1523" t="str">
            <v>Pune</v>
          </cell>
          <cell r="L1523" t="str">
            <v>D1</v>
          </cell>
          <cell r="M1523" t="str">
            <v>NH-753F</v>
          </cell>
          <cell r="O1523" t="str">
            <v>B</v>
          </cell>
          <cell r="P1523">
            <v>21</v>
          </cell>
          <cell r="Q1523">
            <v>87</v>
          </cell>
          <cell r="R1523">
            <v>18</v>
          </cell>
          <cell r="S1523">
            <v>102</v>
          </cell>
          <cell r="T1523">
            <v>3</v>
          </cell>
          <cell r="U1523">
            <v>-15</v>
          </cell>
          <cell r="V1523">
            <v>39</v>
          </cell>
          <cell r="W1523">
            <v>153</v>
          </cell>
          <cell r="X1523">
            <v>36</v>
          </cell>
          <cell r="Y1523">
            <v>192</v>
          </cell>
          <cell r="Z1523">
            <v>3</v>
          </cell>
          <cell r="AA1523">
            <v>-39</v>
          </cell>
          <cell r="AB1523">
            <v>108</v>
          </cell>
          <cell r="AC1523">
            <v>120</v>
          </cell>
          <cell r="AD1523">
            <v>-12</v>
          </cell>
          <cell r="AE1523">
            <v>192</v>
          </cell>
          <cell r="AF1523">
            <v>228</v>
          </cell>
          <cell r="AG1523">
            <v>-36</v>
          </cell>
        </row>
        <row r="1524">
          <cell r="C1524">
            <v>268457</v>
          </cell>
          <cell r="D1524" t="str">
            <v>SHRI DATTAKRUPA PETRO AGENCY</v>
          </cell>
          <cell r="E1524" t="str">
            <v>IOCL</v>
          </cell>
          <cell r="F1524" t="str">
            <v>2012-13</v>
          </cell>
          <cell r="G1524" t="str">
            <v>Satara West RSA</v>
          </cell>
          <cell r="H1524">
            <v>41333</v>
          </cell>
          <cell r="I1524" t="str">
            <v>OPEN (W)</v>
          </cell>
          <cell r="J1524" t="str">
            <v>SAKURDI</v>
          </cell>
          <cell r="K1524" t="str">
            <v>Satara</v>
          </cell>
          <cell r="L1524" t="str">
            <v>D1</v>
          </cell>
          <cell r="M1524" t="str">
            <v>NH-166E</v>
          </cell>
          <cell r="O1524" t="str">
            <v>B</v>
          </cell>
          <cell r="P1524">
            <v>45</v>
          </cell>
          <cell r="Q1524">
            <v>67</v>
          </cell>
          <cell r="R1524">
            <v>48</v>
          </cell>
          <cell r="S1524">
            <v>64</v>
          </cell>
          <cell r="T1524">
            <v>-3</v>
          </cell>
          <cell r="U1524">
            <v>3</v>
          </cell>
          <cell r="V1524">
            <v>85</v>
          </cell>
          <cell r="W1524">
            <v>125</v>
          </cell>
          <cell r="X1524">
            <v>87.5</v>
          </cell>
          <cell r="Y1524">
            <v>114.5</v>
          </cell>
          <cell r="Z1524">
            <v>-2.5</v>
          </cell>
          <cell r="AA1524">
            <v>10.5</v>
          </cell>
          <cell r="AB1524">
            <v>112</v>
          </cell>
          <cell r="AC1524">
            <v>112</v>
          </cell>
          <cell r="AD1524">
            <v>0</v>
          </cell>
          <cell r="AE1524">
            <v>210</v>
          </cell>
          <cell r="AF1524">
            <v>202</v>
          </cell>
          <cell r="AG1524">
            <v>8</v>
          </cell>
        </row>
        <row r="1525">
          <cell r="C1525">
            <v>268479</v>
          </cell>
          <cell r="D1525" t="str">
            <v>HANGESHWAR KISAN SEVA KENDRA</v>
          </cell>
          <cell r="E1525" t="str">
            <v>IOCL</v>
          </cell>
          <cell r="F1525" t="str">
            <v>2012-13</v>
          </cell>
          <cell r="G1525" t="str">
            <v>Ahmednagar West RSA</v>
          </cell>
          <cell r="H1525">
            <v>41333</v>
          </cell>
          <cell r="I1525" t="str">
            <v>OPEN (W)</v>
          </cell>
          <cell r="J1525" t="str">
            <v>Hangewadi</v>
          </cell>
          <cell r="K1525" t="str">
            <v>Ahmednagar</v>
          </cell>
          <cell r="L1525" t="str">
            <v>E</v>
          </cell>
          <cell r="O1525" t="str">
            <v>B</v>
          </cell>
          <cell r="P1525">
            <v>15.5</v>
          </cell>
          <cell r="Q1525">
            <v>34.5</v>
          </cell>
          <cell r="R1525">
            <v>15</v>
          </cell>
          <cell r="S1525">
            <v>33</v>
          </cell>
          <cell r="T1525">
            <v>0.5</v>
          </cell>
          <cell r="U1525">
            <v>1.5</v>
          </cell>
          <cell r="V1525">
            <v>30.5</v>
          </cell>
          <cell r="W1525">
            <v>55.5</v>
          </cell>
          <cell r="X1525">
            <v>33</v>
          </cell>
          <cell r="Y1525">
            <v>63</v>
          </cell>
          <cell r="Z1525">
            <v>-2.5</v>
          </cell>
          <cell r="AA1525">
            <v>-7.5</v>
          </cell>
          <cell r="AB1525">
            <v>50</v>
          </cell>
          <cell r="AC1525">
            <v>48</v>
          </cell>
          <cell r="AD1525">
            <v>2</v>
          </cell>
          <cell r="AE1525">
            <v>86</v>
          </cell>
          <cell r="AF1525">
            <v>96</v>
          </cell>
          <cell r="AG1525">
            <v>-10</v>
          </cell>
        </row>
        <row r="1526">
          <cell r="C1526">
            <v>268525</v>
          </cell>
          <cell r="D1526" t="str">
            <v>SAMRUDDHI PETROLEUM KSK</v>
          </cell>
          <cell r="E1526" t="str">
            <v>IOCL</v>
          </cell>
          <cell r="F1526" t="str">
            <v>2012-13</v>
          </cell>
          <cell r="G1526" t="str">
            <v>Shirdi RSA</v>
          </cell>
          <cell r="H1526">
            <v>41333</v>
          </cell>
          <cell r="I1526" t="str">
            <v>OPEN</v>
          </cell>
          <cell r="J1526" t="str">
            <v>VIRGAON</v>
          </cell>
          <cell r="K1526" t="str">
            <v>Ahmednagar</v>
          </cell>
          <cell r="L1526" t="str">
            <v>D2</v>
          </cell>
          <cell r="O1526" t="str">
            <v>B</v>
          </cell>
          <cell r="P1526">
            <v>42</v>
          </cell>
          <cell r="Q1526">
            <v>98</v>
          </cell>
          <cell r="R1526">
            <v>25</v>
          </cell>
          <cell r="S1526">
            <v>43</v>
          </cell>
          <cell r="T1526">
            <v>17</v>
          </cell>
          <cell r="U1526">
            <v>55</v>
          </cell>
          <cell r="V1526">
            <v>77</v>
          </cell>
          <cell r="W1526">
            <v>159</v>
          </cell>
          <cell r="X1526">
            <v>47</v>
          </cell>
          <cell r="Y1526">
            <v>77</v>
          </cell>
          <cell r="Z1526">
            <v>30</v>
          </cell>
          <cell r="AA1526">
            <v>82</v>
          </cell>
          <cell r="AB1526">
            <v>140</v>
          </cell>
          <cell r="AC1526">
            <v>68</v>
          </cell>
          <cell r="AD1526">
            <v>72</v>
          </cell>
          <cell r="AE1526">
            <v>236</v>
          </cell>
          <cell r="AF1526">
            <v>124</v>
          </cell>
          <cell r="AG1526">
            <v>112</v>
          </cell>
        </row>
        <row r="1527">
          <cell r="C1527">
            <v>268527</v>
          </cell>
          <cell r="D1527" t="str">
            <v>SAI PETROLEUM KSK</v>
          </cell>
          <cell r="E1527" t="str">
            <v>IOCL</v>
          </cell>
          <cell r="F1527" t="str">
            <v>2012-13</v>
          </cell>
          <cell r="G1527" t="str">
            <v>Pune Hadapsar RSA</v>
          </cell>
          <cell r="H1527">
            <v>41333</v>
          </cell>
          <cell r="I1527" t="str">
            <v>OPEN</v>
          </cell>
          <cell r="J1527" t="str">
            <v>P5_Pargaon</v>
          </cell>
          <cell r="K1527" t="str">
            <v>Pune</v>
          </cell>
          <cell r="L1527" t="str">
            <v>D2</v>
          </cell>
          <cell r="O1527" t="str">
            <v>B</v>
          </cell>
          <cell r="P1527">
            <v>22</v>
          </cell>
          <cell r="Q1527">
            <v>54</v>
          </cell>
          <cell r="R1527">
            <v>21</v>
          </cell>
          <cell r="S1527">
            <v>59</v>
          </cell>
          <cell r="T1527">
            <v>1</v>
          </cell>
          <cell r="U1527">
            <v>-5</v>
          </cell>
          <cell r="V1527">
            <v>33</v>
          </cell>
          <cell r="W1527">
            <v>83</v>
          </cell>
          <cell r="X1527">
            <v>33</v>
          </cell>
          <cell r="Y1527">
            <v>81</v>
          </cell>
          <cell r="Z1527">
            <v>0</v>
          </cell>
          <cell r="AA1527">
            <v>2</v>
          </cell>
          <cell r="AB1527">
            <v>76</v>
          </cell>
          <cell r="AC1527">
            <v>80</v>
          </cell>
          <cell r="AD1527">
            <v>-4</v>
          </cell>
          <cell r="AE1527">
            <v>116</v>
          </cell>
          <cell r="AF1527">
            <v>114</v>
          </cell>
          <cell r="AG1527">
            <v>2</v>
          </cell>
        </row>
        <row r="1528">
          <cell r="C1528">
            <v>268560</v>
          </cell>
          <cell r="D1528" t="str">
            <v>S. P. PETROLEUM</v>
          </cell>
          <cell r="E1528" t="str">
            <v>IOCL</v>
          </cell>
          <cell r="F1528" t="str">
            <v>2012-13</v>
          </cell>
          <cell r="G1528" t="str">
            <v>Pune Wagholi RSA</v>
          </cell>
          <cell r="H1528">
            <v>41333</v>
          </cell>
          <cell r="I1528" t="str">
            <v>OPEN (W)</v>
          </cell>
          <cell r="J1528" t="str">
            <v>Takli Hazi</v>
          </cell>
          <cell r="K1528" t="str">
            <v>Pune</v>
          </cell>
          <cell r="L1528" t="str">
            <v>E</v>
          </cell>
          <cell r="O1528" t="str">
            <v>B</v>
          </cell>
          <cell r="P1528">
            <v>23</v>
          </cell>
          <cell r="Q1528">
            <v>69</v>
          </cell>
          <cell r="R1528">
            <v>28</v>
          </cell>
          <cell r="S1528">
            <v>72</v>
          </cell>
          <cell r="T1528">
            <v>-5</v>
          </cell>
          <cell r="U1528">
            <v>-3</v>
          </cell>
          <cell r="V1528">
            <v>47</v>
          </cell>
          <cell r="W1528">
            <v>117</v>
          </cell>
          <cell r="X1528">
            <v>61</v>
          </cell>
          <cell r="Y1528">
            <v>135</v>
          </cell>
          <cell r="Z1528">
            <v>-14</v>
          </cell>
          <cell r="AA1528">
            <v>-18</v>
          </cell>
          <cell r="AB1528">
            <v>92</v>
          </cell>
          <cell r="AC1528">
            <v>100</v>
          </cell>
          <cell r="AD1528">
            <v>-8</v>
          </cell>
          <cell r="AE1528">
            <v>164</v>
          </cell>
          <cell r="AF1528">
            <v>196</v>
          </cell>
          <cell r="AG1528">
            <v>-32</v>
          </cell>
        </row>
        <row r="1529">
          <cell r="C1529">
            <v>268569</v>
          </cell>
          <cell r="D1529" t="str">
            <v>G. P. PETROLEUM KSK</v>
          </cell>
          <cell r="E1529" t="str">
            <v>IOCL</v>
          </cell>
          <cell r="F1529" t="str">
            <v>2012-13</v>
          </cell>
          <cell r="G1529" t="str">
            <v>Shirdi RSA</v>
          </cell>
          <cell r="H1529">
            <v>41333</v>
          </cell>
          <cell r="I1529" t="str">
            <v>OPEN</v>
          </cell>
          <cell r="J1529" t="str">
            <v>DEVGAON</v>
          </cell>
          <cell r="K1529" t="str">
            <v>Ahmednagar</v>
          </cell>
          <cell r="L1529" t="str">
            <v>E</v>
          </cell>
          <cell r="O1529" t="str">
            <v>B</v>
          </cell>
          <cell r="P1529">
            <v>48</v>
          </cell>
          <cell r="Q1529">
            <v>84</v>
          </cell>
          <cell r="R1529">
            <v>36</v>
          </cell>
          <cell r="S1529">
            <v>60</v>
          </cell>
          <cell r="T1529">
            <v>12</v>
          </cell>
          <cell r="U1529">
            <v>24</v>
          </cell>
          <cell r="V1529">
            <v>84</v>
          </cell>
          <cell r="W1529">
            <v>144</v>
          </cell>
          <cell r="X1529">
            <v>66</v>
          </cell>
          <cell r="Y1529">
            <v>114</v>
          </cell>
          <cell r="Z1529">
            <v>18</v>
          </cell>
          <cell r="AA1529">
            <v>30</v>
          </cell>
          <cell r="AB1529">
            <v>132</v>
          </cell>
          <cell r="AC1529">
            <v>96</v>
          </cell>
          <cell r="AD1529">
            <v>36</v>
          </cell>
          <cell r="AE1529">
            <v>228</v>
          </cell>
          <cell r="AF1529">
            <v>180</v>
          </cell>
          <cell r="AG1529">
            <v>48</v>
          </cell>
        </row>
        <row r="1530">
          <cell r="C1530">
            <v>268571</v>
          </cell>
          <cell r="D1530" t="str">
            <v>HARIYALI FUELS</v>
          </cell>
          <cell r="E1530" t="str">
            <v>IOCL</v>
          </cell>
          <cell r="F1530" t="str">
            <v>2012-13</v>
          </cell>
          <cell r="G1530" t="str">
            <v>Shirdi RSA</v>
          </cell>
          <cell r="H1530">
            <v>41333</v>
          </cell>
          <cell r="I1530" t="str">
            <v>OPEN (W)</v>
          </cell>
          <cell r="J1530" t="str">
            <v>KALAS AKOLE</v>
          </cell>
          <cell r="K1530" t="str">
            <v>Ahmednagar</v>
          </cell>
          <cell r="L1530" t="str">
            <v>D2</v>
          </cell>
          <cell r="O1530" t="str">
            <v>B</v>
          </cell>
          <cell r="P1530">
            <v>49</v>
          </cell>
          <cell r="Q1530">
            <v>91</v>
          </cell>
          <cell r="R1530">
            <v>35</v>
          </cell>
          <cell r="S1530">
            <v>49</v>
          </cell>
          <cell r="T1530">
            <v>14</v>
          </cell>
          <cell r="U1530">
            <v>42</v>
          </cell>
          <cell r="V1530">
            <v>73.5</v>
          </cell>
          <cell r="W1530">
            <v>150.5</v>
          </cell>
          <cell r="X1530">
            <v>56</v>
          </cell>
          <cell r="Y1530">
            <v>98</v>
          </cell>
          <cell r="Z1530">
            <v>17.5</v>
          </cell>
          <cell r="AA1530">
            <v>52.5</v>
          </cell>
          <cell r="AB1530">
            <v>140</v>
          </cell>
          <cell r="AC1530">
            <v>84</v>
          </cell>
          <cell r="AD1530">
            <v>56</v>
          </cell>
          <cell r="AE1530">
            <v>224</v>
          </cell>
          <cell r="AF1530">
            <v>154</v>
          </cell>
          <cell r="AG1530">
            <v>70</v>
          </cell>
        </row>
        <row r="1531">
          <cell r="C1531">
            <v>268574</v>
          </cell>
          <cell r="D1531" t="str">
            <v>DEOKAR PETROLEUM</v>
          </cell>
          <cell r="E1531" t="str">
            <v>IOCL</v>
          </cell>
          <cell r="F1531" t="str">
            <v>2012-13</v>
          </cell>
          <cell r="G1531" t="str">
            <v>Pune Saswad RSA</v>
          </cell>
          <cell r="H1531">
            <v>41333</v>
          </cell>
          <cell r="I1531" t="str">
            <v>OPEN</v>
          </cell>
          <cell r="J1531" t="str">
            <v>LONI DEOKAR</v>
          </cell>
          <cell r="K1531" t="str">
            <v>Pune</v>
          </cell>
          <cell r="L1531" t="str">
            <v>D1</v>
          </cell>
          <cell r="M1531" t="str">
            <v>NH-65</v>
          </cell>
          <cell r="O1531" t="str">
            <v>B</v>
          </cell>
          <cell r="P1531">
            <v>33</v>
          </cell>
          <cell r="Q1531">
            <v>63</v>
          </cell>
          <cell r="R1531">
            <v>27</v>
          </cell>
          <cell r="S1531">
            <v>57</v>
          </cell>
          <cell r="T1531">
            <v>6</v>
          </cell>
          <cell r="U1531">
            <v>6</v>
          </cell>
          <cell r="V1531">
            <v>60</v>
          </cell>
          <cell r="W1531">
            <v>108</v>
          </cell>
          <cell r="X1531">
            <v>57</v>
          </cell>
          <cell r="Y1531">
            <v>111</v>
          </cell>
          <cell r="Z1531">
            <v>3</v>
          </cell>
          <cell r="AA1531">
            <v>-3</v>
          </cell>
          <cell r="AB1531">
            <v>96</v>
          </cell>
          <cell r="AC1531">
            <v>84</v>
          </cell>
          <cell r="AD1531">
            <v>12</v>
          </cell>
          <cell r="AE1531">
            <v>168</v>
          </cell>
          <cell r="AF1531">
            <v>168</v>
          </cell>
          <cell r="AG1531">
            <v>0</v>
          </cell>
        </row>
        <row r="1532">
          <cell r="C1532">
            <v>268955</v>
          </cell>
          <cell r="D1532" t="str">
            <v>YASHODEEP PETROLEUM</v>
          </cell>
          <cell r="E1532" t="str">
            <v>IOCL</v>
          </cell>
          <cell r="F1532" t="str">
            <v>2012-13</v>
          </cell>
          <cell r="G1532" t="str">
            <v>Satara East RSA</v>
          </cell>
          <cell r="H1532">
            <v>41352</v>
          </cell>
          <cell r="I1532" t="str">
            <v>OPEN</v>
          </cell>
          <cell r="J1532" t="str">
            <v>Padali</v>
          </cell>
          <cell r="K1532" t="str">
            <v>Satara</v>
          </cell>
          <cell r="L1532" t="str">
            <v>D2</v>
          </cell>
          <cell r="O1532" t="str">
            <v>B</v>
          </cell>
          <cell r="P1532">
            <v>36</v>
          </cell>
          <cell r="Q1532">
            <v>60</v>
          </cell>
          <cell r="R1532">
            <v>15</v>
          </cell>
          <cell r="S1532">
            <v>21</v>
          </cell>
          <cell r="T1532">
            <v>21</v>
          </cell>
          <cell r="U1532">
            <v>39</v>
          </cell>
          <cell r="V1532">
            <v>60</v>
          </cell>
          <cell r="W1532">
            <v>108</v>
          </cell>
          <cell r="X1532">
            <v>54</v>
          </cell>
          <cell r="Y1532">
            <v>78</v>
          </cell>
          <cell r="Z1532">
            <v>6</v>
          </cell>
          <cell r="AA1532">
            <v>30</v>
          </cell>
          <cell r="AB1532">
            <v>96</v>
          </cell>
          <cell r="AC1532">
            <v>36</v>
          </cell>
          <cell r="AD1532">
            <v>60</v>
          </cell>
          <cell r="AE1532">
            <v>168</v>
          </cell>
          <cell r="AF1532">
            <v>132</v>
          </cell>
          <cell r="AG1532">
            <v>36</v>
          </cell>
        </row>
        <row r="1533">
          <cell r="C1533">
            <v>269348</v>
          </cell>
          <cell r="D1533" t="str">
            <v>SANT KRUPA PETROLEUM KSK</v>
          </cell>
          <cell r="E1533" t="str">
            <v>IOCL</v>
          </cell>
          <cell r="F1533" t="str">
            <v>2012-13</v>
          </cell>
          <cell r="G1533" t="str">
            <v>Pune City RSA</v>
          </cell>
          <cell r="H1533">
            <v>41356</v>
          </cell>
          <cell r="I1533" t="str">
            <v>OPEN</v>
          </cell>
          <cell r="J1533" t="str">
            <v>LOHAGAON WAGHOLI ROAD</v>
          </cell>
          <cell r="K1533" t="str">
            <v>Pune</v>
          </cell>
          <cell r="L1533" t="str">
            <v>A</v>
          </cell>
          <cell r="O1533" t="str">
            <v>B</v>
          </cell>
          <cell r="P1533">
            <v>136.5</v>
          </cell>
          <cell r="Q1533">
            <v>59.5</v>
          </cell>
          <cell r="R1533">
            <v>136.5</v>
          </cell>
          <cell r="S1533">
            <v>73.5</v>
          </cell>
          <cell r="T1533">
            <v>0</v>
          </cell>
          <cell r="U1533">
            <v>-14</v>
          </cell>
          <cell r="V1533">
            <v>276.5</v>
          </cell>
          <cell r="W1533">
            <v>115.5</v>
          </cell>
          <cell r="X1533">
            <v>252</v>
          </cell>
          <cell r="Y1533">
            <v>140</v>
          </cell>
          <cell r="Z1533">
            <v>24.5</v>
          </cell>
          <cell r="AA1533">
            <v>-24.5</v>
          </cell>
          <cell r="AB1533">
            <v>196</v>
          </cell>
          <cell r="AC1533">
            <v>210</v>
          </cell>
          <cell r="AD1533">
            <v>-14</v>
          </cell>
          <cell r="AE1533">
            <v>392</v>
          </cell>
          <cell r="AF1533">
            <v>392</v>
          </cell>
          <cell r="AG1533">
            <v>0</v>
          </cell>
        </row>
        <row r="1534">
          <cell r="C1534">
            <v>269385</v>
          </cell>
          <cell r="D1534" t="str">
            <v>VITTHAL PETROLEUM</v>
          </cell>
          <cell r="E1534" t="str">
            <v>IOCL</v>
          </cell>
          <cell r="F1534" t="str">
            <v>2012-13</v>
          </cell>
          <cell r="G1534" t="str">
            <v>Pune Saswad RSA</v>
          </cell>
          <cell r="H1534">
            <v>41362</v>
          </cell>
          <cell r="I1534" t="str">
            <v>OPEN</v>
          </cell>
          <cell r="J1534" t="str">
            <v>JUNCTION</v>
          </cell>
          <cell r="K1534" t="str">
            <v>Pune</v>
          </cell>
          <cell r="L1534" t="str">
            <v>D1</v>
          </cell>
          <cell r="M1534" t="str">
            <v>NH-965G</v>
          </cell>
          <cell r="O1534" t="str">
            <v>A</v>
          </cell>
          <cell r="P1534">
            <v>45</v>
          </cell>
          <cell r="Q1534">
            <v>90</v>
          </cell>
          <cell r="R1534">
            <v>40.5</v>
          </cell>
          <cell r="S1534">
            <v>67.5</v>
          </cell>
          <cell r="T1534">
            <v>4.5</v>
          </cell>
          <cell r="U1534">
            <v>22.5</v>
          </cell>
          <cell r="V1534">
            <v>85</v>
          </cell>
          <cell r="W1534">
            <v>170</v>
          </cell>
          <cell r="X1534">
            <v>72</v>
          </cell>
          <cell r="Y1534">
            <v>126</v>
          </cell>
          <cell r="Z1534">
            <v>13</v>
          </cell>
          <cell r="AA1534">
            <v>44</v>
          </cell>
          <cell r="AB1534">
            <v>135</v>
          </cell>
          <cell r="AC1534">
            <v>108</v>
          </cell>
          <cell r="AD1534">
            <v>27</v>
          </cell>
          <cell r="AE1534">
            <v>255</v>
          </cell>
          <cell r="AF1534">
            <v>198</v>
          </cell>
          <cell r="AG1534">
            <v>57</v>
          </cell>
        </row>
        <row r="1535">
          <cell r="C1535">
            <v>269389</v>
          </cell>
          <cell r="D1535" t="str">
            <v>SHREE SAIRAJ PETROLEUM KSK</v>
          </cell>
          <cell r="E1535" t="str">
            <v>IOCL</v>
          </cell>
          <cell r="F1535" t="str">
            <v>2012-13</v>
          </cell>
          <cell r="G1535" t="str">
            <v>Shirdi RSA</v>
          </cell>
          <cell r="H1535">
            <v>41358</v>
          </cell>
          <cell r="I1535" t="str">
            <v>OPEN (W)</v>
          </cell>
          <cell r="J1535" t="str">
            <v>TAKLI PHATA</v>
          </cell>
          <cell r="K1535" t="str">
            <v>Ahmednagar</v>
          </cell>
          <cell r="L1535" t="str">
            <v>E</v>
          </cell>
          <cell r="O1535" t="str">
            <v>B</v>
          </cell>
          <cell r="P1535">
            <v>54</v>
          </cell>
          <cell r="Q1535">
            <v>78</v>
          </cell>
          <cell r="R1535">
            <v>37.5</v>
          </cell>
          <cell r="S1535">
            <v>44.5</v>
          </cell>
          <cell r="T1535">
            <v>16.5</v>
          </cell>
          <cell r="U1535">
            <v>33.5</v>
          </cell>
          <cell r="V1535">
            <v>96</v>
          </cell>
          <cell r="W1535">
            <v>120</v>
          </cell>
          <cell r="X1535">
            <v>76.5</v>
          </cell>
          <cell r="Y1535">
            <v>83.5</v>
          </cell>
          <cell r="Z1535">
            <v>19.5</v>
          </cell>
          <cell r="AA1535">
            <v>36.5</v>
          </cell>
          <cell r="AB1535">
            <v>132</v>
          </cell>
          <cell r="AC1535">
            <v>82</v>
          </cell>
          <cell r="AD1535">
            <v>50</v>
          </cell>
          <cell r="AE1535">
            <v>216</v>
          </cell>
          <cell r="AF1535">
            <v>160</v>
          </cell>
          <cell r="AG1535">
            <v>56</v>
          </cell>
        </row>
        <row r="1536">
          <cell r="C1536">
            <v>269488</v>
          </cell>
          <cell r="D1536" t="str">
            <v>DATTARAJ PETROLEUM KSK</v>
          </cell>
          <cell r="E1536" t="str">
            <v>IOCL</v>
          </cell>
          <cell r="F1536" t="str">
            <v>2012-13</v>
          </cell>
          <cell r="G1536" t="str">
            <v>Satara East RSA</v>
          </cell>
          <cell r="H1536">
            <v>41361</v>
          </cell>
          <cell r="I1536" t="str">
            <v>OPEN</v>
          </cell>
          <cell r="J1536" t="str">
            <v>Pawarwadi</v>
          </cell>
          <cell r="K1536" t="str">
            <v>Satara</v>
          </cell>
          <cell r="L1536" t="str">
            <v>E</v>
          </cell>
          <cell r="O1536" t="str">
            <v>B</v>
          </cell>
          <cell r="P1536">
            <v>12</v>
          </cell>
          <cell r="Q1536">
            <v>12</v>
          </cell>
          <cell r="R1536">
            <v>6</v>
          </cell>
          <cell r="S1536">
            <v>6</v>
          </cell>
          <cell r="T1536">
            <v>6</v>
          </cell>
          <cell r="U1536">
            <v>6</v>
          </cell>
          <cell r="V1536">
            <v>24</v>
          </cell>
          <cell r="W1536">
            <v>24</v>
          </cell>
          <cell r="X1536">
            <v>18</v>
          </cell>
          <cell r="Y1536">
            <v>18</v>
          </cell>
          <cell r="Z1536">
            <v>6</v>
          </cell>
          <cell r="AA1536">
            <v>6</v>
          </cell>
          <cell r="AB1536">
            <v>24</v>
          </cell>
          <cell r="AC1536">
            <v>12</v>
          </cell>
          <cell r="AD1536">
            <v>12</v>
          </cell>
          <cell r="AE1536">
            <v>48</v>
          </cell>
          <cell r="AF1536">
            <v>36</v>
          </cell>
          <cell r="AG1536">
            <v>12</v>
          </cell>
        </row>
        <row r="1537">
          <cell r="C1537">
            <v>269890</v>
          </cell>
          <cell r="D1537" t="str">
            <v>SHREE BALAJI FILLING STATION</v>
          </cell>
          <cell r="E1537" t="str">
            <v>IOCL</v>
          </cell>
          <cell r="F1537" t="str">
            <v>2012-13</v>
          </cell>
          <cell r="G1537" t="str">
            <v>Pimpri Chinchwad RSA</v>
          </cell>
          <cell r="H1537">
            <v>41363</v>
          </cell>
          <cell r="I1537" t="str">
            <v>OPEN</v>
          </cell>
          <cell r="J1537" t="str">
            <v>Talegaon MIDC</v>
          </cell>
          <cell r="K1537" t="str">
            <v>Pune</v>
          </cell>
          <cell r="L1537" t="str">
            <v>C</v>
          </cell>
          <cell r="O1537" t="str">
            <v>A</v>
          </cell>
          <cell r="P1537">
            <v>17</v>
          </cell>
          <cell r="Q1537">
            <v>51</v>
          </cell>
          <cell r="R1537">
            <v>26.5</v>
          </cell>
          <cell r="S1537">
            <v>179.5</v>
          </cell>
          <cell r="T1537">
            <v>-9.5</v>
          </cell>
          <cell r="U1537">
            <v>-128.5</v>
          </cell>
          <cell r="V1537">
            <v>37</v>
          </cell>
          <cell r="W1537">
            <v>119</v>
          </cell>
          <cell r="X1537">
            <v>52.5</v>
          </cell>
          <cell r="Y1537">
            <v>327.5</v>
          </cell>
          <cell r="Z1537">
            <v>-15.5</v>
          </cell>
          <cell r="AA1537">
            <v>-208.5</v>
          </cell>
          <cell r="AB1537">
            <v>68</v>
          </cell>
          <cell r="AC1537">
            <v>206</v>
          </cell>
          <cell r="AD1537">
            <v>-138</v>
          </cell>
          <cell r="AE1537">
            <v>156</v>
          </cell>
          <cell r="AF1537">
            <v>380</v>
          </cell>
          <cell r="AG1537">
            <v>-224</v>
          </cell>
        </row>
        <row r="1538">
          <cell r="C1538">
            <v>269896</v>
          </cell>
          <cell r="D1538" t="str">
            <v>PRATIK FUELLING CENTRE</v>
          </cell>
          <cell r="E1538" t="str">
            <v>IOCL</v>
          </cell>
          <cell r="F1538" t="str">
            <v>2012-13</v>
          </cell>
          <cell r="G1538" t="str">
            <v>Ahmednagar West RSA</v>
          </cell>
          <cell r="H1538">
            <v>41363</v>
          </cell>
          <cell r="I1538" t="str">
            <v>OPEN</v>
          </cell>
          <cell r="J1538" t="str">
            <v>LONI VYNKNATH-KASHTI (NH)</v>
          </cell>
          <cell r="K1538" t="str">
            <v>Ahmednagar</v>
          </cell>
          <cell r="L1538" t="str">
            <v>D1</v>
          </cell>
          <cell r="M1538" t="str">
            <v>NH-160</v>
          </cell>
          <cell r="O1538" t="str">
            <v>B</v>
          </cell>
          <cell r="P1538">
            <v>32</v>
          </cell>
          <cell r="Q1538">
            <v>108</v>
          </cell>
          <cell r="R1538">
            <v>29.5</v>
          </cell>
          <cell r="S1538">
            <v>76.5</v>
          </cell>
          <cell r="T1538">
            <v>2.5</v>
          </cell>
          <cell r="U1538">
            <v>31.5</v>
          </cell>
          <cell r="V1538">
            <v>53</v>
          </cell>
          <cell r="W1538">
            <v>183</v>
          </cell>
          <cell r="X1538">
            <v>51.5</v>
          </cell>
          <cell r="Y1538">
            <v>128.5</v>
          </cell>
          <cell r="Z1538">
            <v>1.5</v>
          </cell>
          <cell r="AA1538">
            <v>54.5</v>
          </cell>
          <cell r="AB1538">
            <v>140</v>
          </cell>
          <cell r="AC1538">
            <v>106</v>
          </cell>
          <cell r="AD1538">
            <v>34</v>
          </cell>
          <cell r="AE1538">
            <v>236</v>
          </cell>
          <cell r="AF1538">
            <v>180</v>
          </cell>
          <cell r="AG1538">
            <v>56</v>
          </cell>
        </row>
        <row r="1539">
          <cell r="C1539">
            <v>271058</v>
          </cell>
          <cell r="D1539" t="str">
            <v>KAVERI PETROLEUM</v>
          </cell>
          <cell r="E1539" t="str">
            <v>IOCL</v>
          </cell>
          <cell r="F1539" t="str">
            <v>2013-14</v>
          </cell>
          <cell r="G1539" t="str">
            <v>Pimpri Chinchwad RSA</v>
          </cell>
          <cell r="H1539">
            <v>41425</v>
          </cell>
          <cell r="I1539" t="str">
            <v>OPEN</v>
          </cell>
          <cell r="J1539" t="str">
            <v>NIGHOJE</v>
          </cell>
          <cell r="K1539" t="str">
            <v>Pune</v>
          </cell>
          <cell r="L1539" t="str">
            <v>C</v>
          </cell>
          <cell r="O1539" t="str">
            <v>B</v>
          </cell>
          <cell r="P1539">
            <v>60</v>
          </cell>
          <cell r="Q1539">
            <v>260</v>
          </cell>
          <cell r="R1539">
            <v>45</v>
          </cell>
          <cell r="S1539">
            <v>235</v>
          </cell>
          <cell r="T1539">
            <v>15</v>
          </cell>
          <cell r="U1539">
            <v>25</v>
          </cell>
          <cell r="V1539">
            <v>110</v>
          </cell>
          <cell r="W1539">
            <v>554</v>
          </cell>
          <cell r="X1539">
            <v>70</v>
          </cell>
          <cell r="Y1539">
            <v>450</v>
          </cell>
          <cell r="Z1539">
            <v>40</v>
          </cell>
          <cell r="AA1539">
            <v>104</v>
          </cell>
          <cell r="AB1539">
            <v>320</v>
          </cell>
          <cell r="AC1539">
            <v>280</v>
          </cell>
          <cell r="AD1539">
            <v>40</v>
          </cell>
          <cell r="AE1539">
            <v>664</v>
          </cell>
          <cell r="AF1539">
            <v>520</v>
          </cell>
          <cell r="AG1539">
            <v>144</v>
          </cell>
        </row>
        <row r="1540">
          <cell r="C1540">
            <v>271059</v>
          </cell>
          <cell r="D1540" t="str">
            <v>RAM LAXMAN PETROLEUM KSK</v>
          </cell>
          <cell r="E1540" t="str">
            <v>IOCL</v>
          </cell>
          <cell r="F1540" t="str">
            <v>2013-14</v>
          </cell>
          <cell r="G1540" t="str">
            <v>Pimpri Chinchwad RSA</v>
          </cell>
          <cell r="H1540">
            <v>41454</v>
          </cell>
          <cell r="I1540" t="str">
            <v>OPEN</v>
          </cell>
          <cell r="J1540" t="str">
            <v>Ambethan</v>
          </cell>
          <cell r="K1540" t="str">
            <v>Pune</v>
          </cell>
          <cell r="L1540" t="str">
            <v>E</v>
          </cell>
          <cell r="O1540" t="str">
            <v>A</v>
          </cell>
          <cell r="P1540">
            <v>48</v>
          </cell>
          <cell r="Q1540">
            <v>180</v>
          </cell>
          <cell r="R1540">
            <v>45</v>
          </cell>
          <cell r="S1540">
            <v>171</v>
          </cell>
          <cell r="T1540">
            <v>3</v>
          </cell>
          <cell r="U1540">
            <v>9</v>
          </cell>
          <cell r="V1540">
            <v>89</v>
          </cell>
          <cell r="W1540">
            <v>339</v>
          </cell>
          <cell r="X1540">
            <v>82</v>
          </cell>
          <cell r="Y1540">
            <v>298</v>
          </cell>
          <cell r="Z1540">
            <v>7</v>
          </cell>
          <cell r="AA1540">
            <v>41</v>
          </cell>
          <cell r="AB1540">
            <v>228</v>
          </cell>
          <cell r="AC1540">
            <v>216</v>
          </cell>
          <cell r="AD1540">
            <v>12</v>
          </cell>
          <cell r="AE1540">
            <v>428</v>
          </cell>
          <cell r="AF1540">
            <v>380</v>
          </cell>
          <cell r="AG1540">
            <v>48</v>
          </cell>
        </row>
        <row r="1541">
          <cell r="C1541">
            <v>271657</v>
          </cell>
          <cell r="D1541" t="str">
            <v>KUSUM PETROLEUM KSK</v>
          </cell>
          <cell r="E1541" t="str">
            <v>IOCL</v>
          </cell>
          <cell r="F1541" t="str">
            <v>2013-14</v>
          </cell>
          <cell r="G1541" t="str">
            <v>Satara East RSA</v>
          </cell>
          <cell r="H1541">
            <v>41454</v>
          </cell>
          <cell r="I1541" t="str">
            <v>OPEN</v>
          </cell>
          <cell r="J1541" t="str">
            <v>Pimpode</v>
          </cell>
          <cell r="K1541" t="str">
            <v>Satara</v>
          </cell>
          <cell r="L1541" t="str">
            <v>E</v>
          </cell>
          <cell r="O1541" t="str">
            <v>B</v>
          </cell>
          <cell r="P1541">
            <v>60</v>
          </cell>
          <cell r="Q1541">
            <v>98</v>
          </cell>
          <cell r="R1541">
            <v>54</v>
          </cell>
          <cell r="S1541">
            <v>78</v>
          </cell>
          <cell r="T1541">
            <v>6</v>
          </cell>
          <cell r="U1541">
            <v>20</v>
          </cell>
          <cell r="V1541">
            <v>118</v>
          </cell>
          <cell r="W1541">
            <v>174</v>
          </cell>
          <cell r="X1541">
            <v>111</v>
          </cell>
          <cell r="Y1541">
            <v>153</v>
          </cell>
          <cell r="Z1541">
            <v>7</v>
          </cell>
          <cell r="AA1541">
            <v>21</v>
          </cell>
          <cell r="AB1541">
            <v>158</v>
          </cell>
          <cell r="AC1541">
            <v>132</v>
          </cell>
          <cell r="AD1541">
            <v>26</v>
          </cell>
          <cell r="AE1541">
            <v>292</v>
          </cell>
          <cell r="AF1541">
            <v>264</v>
          </cell>
          <cell r="AG1541">
            <v>28</v>
          </cell>
        </row>
        <row r="1542">
          <cell r="C1542">
            <v>271759</v>
          </cell>
          <cell r="D1542" t="str">
            <v>OM PETROLEUM KSK</v>
          </cell>
          <cell r="E1542" t="str">
            <v>IOCL</v>
          </cell>
          <cell r="F1542" t="str">
            <v>2013-14</v>
          </cell>
          <cell r="G1542" t="str">
            <v>Shirdi RSA</v>
          </cell>
          <cell r="H1542">
            <v>41455</v>
          </cell>
          <cell r="I1542" t="str">
            <v>OPEN</v>
          </cell>
          <cell r="J1542" t="str">
            <v>SAKURI</v>
          </cell>
          <cell r="K1542" t="str">
            <v>Ahmednagar</v>
          </cell>
          <cell r="L1542" t="str">
            <v>E</v>
          </cell>
          <cell r="O1542" t="str">
            <v>B</v>
          </cell>
          <cell r="P1542">
            <v>54</v>
          </cell>
          <cell r="Q1542">
            <v>126</v>
          </cell>
          <cell r="R1542">
            <v>52</v>
          </cell>
          <cell r="S1542">
            <v>76</v>
          </cell>
          <cell r="T1542">
            <v>2</v>
          </cell>
          <cell r="U1542">
            <v>50</v>
          </cell>
          <cell r="V1542">
            <v>105</v>
          </cell>
          <cell r="W1542">
            <v>207</v>
          </cell>
          <cell r="X1542">
            <v>92</v>
          </cell>
          <cell r="Y1542">
            <v>140</v>
          </cell>
          <cell r="Z1542">
            <v>13</v>
          </cell>
          <cell r="AA1542">
            <v>67</v>
          </cell>
          <cell r="AB1542">
            <v>180</v>
          </cell>
          <cell r="AC1542">
            <v>128</v>
          </cell>
          <cell r="AD1542">
            <v>52</v>
          </cell>
          <cell r="AE1542">
            <v>312</v>
          </cell>
          <cell r="AF1542">
            <v>232</v>
          </cell>
          <cell r="AG1542">
            <v>80</v>
          </cell>
        </row>
        <row r="1543">
          <cell r="C1543">
            <v>271784</v>
          </cell>
          <cell r="D1543" t="str">
            <v>KAD PETROL DEPOT</v>
          </cell>
          <cell r="E1543" t="str">
            <v>IOCL</v>
          </cell>
          <cell r="F1543" t="str">
            <v>2013-14</v>
          </cell>
          <cell r="G1543" t="str">
            <v>Pimpri Chinchwad RSA</v>
          </cell>
          <cell r="H1543">
            <v>41455</v>
          </cell>
          <cell r="I1543" t="str">
            <v>OPEN</v>
          </cell>
          <cell r="J1543" t="str">
            <v>Chakan MIDC</v>
          </cell>
          <cell r="K1543" t="str">
            <v>Pune</v>
          </cell>
          <cell r="L1543" t="str">
            <v>C</v>
          </cell>
          <cell r="O1543" t="str">
            <v>B</v>
          </cell>
          <cell r="P1543">
            <v>40</v>
          </cell>
          <cell r="Q1543">
            <v>260</v>
          </cell>
          <cell r="R1543">
            <v>55</v>
          </cell>
          <cell r="S1543">
            <v>325</v>
          </cell>
          <cell r="T1543">
            <v>-15</v>
          </cell>
          <cell r="U1543">
            <v>-65</v>
          </cell>
          <cell r="V1543">
            <v>75</v>
          </cell>
          <cell r="W1543">
            <v>509</v>
          </cell>
          <cell r="X1543">
            <v>90</v>
          </cell>
          <cell r="Y1543">
            <v>610</v>
          </cell>
          <cell r="Z1543">
            <v>-15</v>
          </cell>
          <cell r="AA1543">
            <v>-101</v>
          </cell>
          <cell r="AB1543">
            <v>300</v>
          </cell>
          <cell r="AC1543">
            <v>380</v>
          </cell>
          <cell r="AD1543">
            <v>-80</v>
          </cell>
          <cell r="AE1543">
            <v>584</v>
          </cell>
          <cell r="AF1543">
            <v>700</v>
          </cell>
          <cell r="AG1543">
            <v>-116</v>
          </cell>
        </row>
        <row r="1544">
          <cell r="C1544">
            <v>271800</v>
          </cell>
          <cell r="D1544" t="str">
            <v>VARIJA SERVICE STATION</v>
          </cell>
          <cell r="E1544" t="str">
            <v>IOCL</v>
          </cell>
          <cell r="F1544" t="str">
            <v>2013-14</v>
          </cell>
          <cell r="G1544" t="str">
            <v>Satara East RSA</v>
          </cell>
          <cell r="H1544">
            <v>41453</v>
          </cell>
          <cell r="I1544" t="str">
            <v>OPEN</v>
          </cell>
          <cell r="J1544" t="str">
            <v>Nimbhore</v>
          </cell>
          <cell r="K1544" t="str">
            <v>Satara</v>
          </cell>
          <cell r="L1544" t="str">
            <v>D1</v>
          </cell>
          <cell r="M1544" t="str">
            <v>NH-965</v>
          </cell>
          <cell r="O1544" t="str">
            <v>B</v>
          </cell>
          <cell r="P1544">
            <v>70</v>
          </cell>
          <cell r="Q1544">
            <v>230</v>
          </cell>
          <cell r="R1544">
            <v>50</v>
          </cell>
          <cell r="S1544">
            <v>150</v>
          </cell>
          <cell r="T1544">
            <v>20</v>
          </cell>
          <cell r="U1544">
            <v>80</v>
          </cell>
          <cell r="V1544">
            <v>140</v>
          </cell>
          <cell r="W1544">
            <v>440</v>
          </cell>
          <cell r="X1544">
            <v>105</v>
          </cell>
          <cell r="Y1544">
            <v>295</v>
          </cell>
          <cell r="Z1544">
            <v>35</v>
          </cell>
          <cell r="AA1544">
            <v>145</v>
          </cell>
          <cell r="AB1544">
            <v>300</v>
          </cell>
          <cell r="AC1544">
            <v>200</v>
          </cell>
          <cell r="AD1544">
            <v>100</v>
          </cell>
          <cell r="AE1544">
            <v>580</v>
          </cell>
          <cell r="AF1544">
            <v>400</v>
          </cell>
          <cell r="AG1544">
            <v>180</v>
          </cell>
        </row>
        <row r="1545">
          <cell r="C1545">
            <v>272281</v>
          </cell>
          <cell r="D1545" t="str">
            <v>SAI SAMRAT PETROLEUM</v>
          </cell>
          <cell r="E1545" t="str">
            <v>IOCL</v>
          </cell>
          <cell r="F1545" t="str">
            <v>2013-14</v>
          </cell>
          <cell r="G1545" t="str">
            <v>Satara West RSA</v>
          </cell>
          <cell r="H1545">
            <v>41486</v>
          </cell>
          <cell r="I1545" t="str">
            <v>OPEN</v>
          </cell>
          <cell r="J1545" t="str">
            <v>Kodoli to Ghojegaon</v>
          </cell>
          <cell r="K1545" t="str">
            <v>Satara</v>
          </cell>
          <cell r="L1545" t="str">
            <v>D2</v>
          </cell>
          <cell r="O1545" t="str">
            <v>B</v>
          </cell>
          <cell r="P1545">
            <v>39</v>
          </cell>
          <cell r="Q1545">
            <v>93</v>
          </cell>
          <cell r="R1545">
            <v>40</v>
          </cell>
          <cell r="S1545">
            <v>46</v>
          </cell>
          <cell r="T1545">
            <v>-1</v>
          </cell>
          <cell r="U1545">
            <v>47</v>
          </cell>
          <cell r="V1545">
            <v>78</v>
          </cell>
          <cell r="W1545">
            <v>150</v>
          </cell>
          <cell r="X1545">
            <v>82</v>
          </cell>
          <cell r="Y1545">
            <v>88</v>
          </cell>
          <cell r="Z1545">
            <v>-4</v>
          </cell>
          <cell r="AA1545">
            <v>62</v>
          </cell>
          <cell r="AB1545">
            <v>132</v>
          </cell>
          <cell r="AC1545">
            <v>86</v>
          </cell>
          <cell r="AD1545">
            <v>46</v>
          </cell>
          <cell r="AE1545">
            <v>228</v>
          </cell>
          <cell r="AF1545">
            <v>170</v>
          </cell>
          <cell r="AG1545">
            <v>58</v>
          </cell>
        </row>
        <row r="1546">
          <cell r="C1546">
            <v>272296</v>
          </cell>
          <cell r="D1546" t="str">
            <v>KRUSHNAI PETROLEUM KSK</v>
          </cell>
          <cell r="E1546" t="str">
            <v>IOCL</v>
          </cell>
          <cell r="F1546" t="str">
            <v>2013-14</v>
          </cell>
          <cell r="G1546" t="str">
            <v>Pune Hadapsar RSA</v>
          </cell>
          <cell r="H1546">
            <v>41517</v>
          </cell>
          <cell r="I1546" t="str">
            <v>OPEN</v>
          </cell>
          <cell r="J1546" t="str">
            <v>Manjari</v>
          </cell>
          <cell r="K1546" t="str">
            <v>Pune</v>
          </cell>
          <cell r="L1546" t="str">
            <v>A</v>
          </cell>
          <cell r="O1546" t="str">
            <v>B</v>
          </cell>
          <cell r="P1546">
            <v>33</v>
          </cell>
          <cell r="Q1546">
            <v>183</v>
          </cell>
          <cell r="R1546">
            <v>45</v>
          </cell>
          <cell r="S1546">
            <v>75</v>
          </cell>
          <cell r="T1546">
            <v>-12</v>
          </cell>
          <cell r="U1546">
            <v>108</v>
          </cell>
          <cell r="V1546">
            <v>72</v>
          </cell>
          <cell r="W1546">
            <v>300</v>
          </cell>
          <cell r="X1546">
            <v>75</v>
          </cell>
          <cell r="Y1546">
            <v>165</v>
          </cell>
          <cell r="Z1546">
            <v>-3</v>
          </cell>
          <cell r="AA1546">
            <v>135</v>
          </cell>
          <cell r="AB1546">
            <v>216</v>
          </cell>
          <cell r="AC1546">
            <v>120</v>
          </cell>
          <cell r="AD1546">
            <v>96</v>
          </cell>
          <cell r="AE1546">
            <v>372</v>
          </cell>
          <cell r="AF1546">
            <v>240</v>
          </cell>
          <cell r="AG1546">
            <v>132</v>
          </cell>
        </row>
        <row r="1547">
          <cell r="C1547">
            <v>272298</v>
          </cell>
          <cell r="D1547" t="str">
            <v>SRISHTI PETROLEUM KSK</v>
          </cell>
          <cell r="E1547" t="str">
            <v>IOCL</v>
          </cell>
          <cell r="F1547" t="str">
            <v>2013-14</v>
          </cell>
          <cell r="G1547" t="str">
            <v>Pune Saswad RSA</v>
          </cell>
          <cell r="H1547">
            <v>41486</v>
          </cell>
          <cell r="I1547" t="str">
            <v>PMP/Govt Pers (Open)</v>
          </cell>
          <cell r="J1547" t="str">
            <v>WALCHANDNAGAR-BAVDA ROAD</v>
          </cell>
          <cell r="K1547" t="str">
            <v>Pune</v>
          </cell>
          <cell r="L1547" t="str">
            <v>D2</v>
          </cell>
          <cell r="O1547" t="str">
            <v>B</v>
          </cell>
          <cell r="P1547">
            <v>42</v>
          </cell>
          <cell r="Q1547">
            <v>138</v>
          </cell>
          <cell r="R1547">
            <v>36</v>
          </cell>
          <cell r="S1547">
            <v>96</v>
          </cell>
          <cell r="T1547">
            <v>6</v>
          </cell>
          <cell r="U1547">
            <v>42</v>
          </cell>
          <cell r="V1547">
            <v>69</v>
          </cell>
          <cell r="W1547">
            <v>231</v>
          </cell>
          <cell r="X1547">
            <v>66</v>
          </cell>
          <cell r="Y1547">
            <v>198</v>
          </cell>
          <cell r="Z1547">
            <v>3</v>
          </cell>
          <cell r="AA1547">
            <v>33</v>
          </cell>
          <cell r="AB1547">
            <v>180</v>
          </cell>
          <cell r="AC1547">
            <v>132</v>
          </cell>
          <cell r="AD1547">
            <v>48</v>
          </cell>
          <cell r="AE1547">
            <v>300</v>
          </cell>
          <cell r="AF1547">
            <v>264</v>
          </cell>
          <cell r="AG1547">
            <v>36</v>
          </cell>
        </row>
        <row r="1548">
          <cell r="C1548">
            <v>272312</v>
          </cell>
          <cell r="D1548" t="str">
            <v>SHRI SIDDHESHWAR PETROLEUM KSK</v>
          </cell>
          <cell r="E1548" t="str">
            <v>IOCL</v>
          </cell>
          <cell r="F1548" t="str">
            <v>2013-14</v>
          </cell>
          <cell r="G1548" t="str">
            <v>Pune Saswad RSA</v>
          </cell>
          <cell r="H1548">
            <v>41486</v>
          </cell>
          <cell r="I1548" t="str">
            <v>OPEN (W)</v>
          </cell>
          <cell r="J1548" t="str">
            <v>NAIGAON</v>
          </cell>
          <cell r="K1548" t="str">
            <v>Pune</v>
          </cell>
          <cell r="L1548" t="str">
            <v>E</v>
          </cell>
          <cell r="O1548" t="str">
            <v>B</v>
          </cell>
          <cell r="P1548">
            <v>19</v>
          </cell>
          <cell r="Q1548">
            <v>41</v>
          </cell>
          <cell r="R1548">
            <v>15</v>
          </cell>
          <cell r="S1548">
            <v>33</v>
          </cell>
          <cell r="T1548">
            <v>4</v>
          </cell>
          <cell r="U1548">
            <v>8</v>
          </cell>
          <cell r="V1548">
            <v>40</v>
          </cell>
          <cell r="W1548">
            <v>92</v>
          </cell>
          <cell r="X1548">
            <v>36</v>
          </cell>
          <cell r="Y1548">
            <v>84</v>
          </cell>
          <cell r="Z1548">
            <v>4</v>
          </cell>
          <cell r="AA1548">
            <v>8</v>
          </cell>
          <cell r="AB1548">
            <v>60</v>
          </cell>
          <cell r="AC1548">
            <v>48</v>
          </cell>
          <cell r="AD1548">
            <v>12</v>
          </cell>
          <cell r="AE1548">
            <v>132</v>
          </cell>
          <cell r="AF1548">
            <v>120</v>
          </cell>
          <cell r="AG1548">
            <v>12</v>
          </cell>
        </row>
        <row r="1549">
          <cell r="C1549">
            <v>272317</v>
          </cell>
          <cell r="D1549" t="str">
            <v>SHRIRAM PETROLEUM KSK</v>
          </cell>
          <cell r="E1549" t="str">
            <v>IOCL</v>
          </cell>
          <cell r="F1549" t="str">
            <v>2013-14</v>
          </cell>
          <cell r="G1549" t="str">
            <v>Pune Wagholi RSA</v>
          </cell>
          <cell r="H1549">
            <v>41486</v>
          </cell>
          <cell r="I1549" t="str">
            <v>OPEN</v>
          </cell>
          <cell r="J1549" t="str">
            <v>Pabal</v>
          </cell>
          <cell r="K1549" t="str">
            <v>Pune</v>
          </cell>
          <cell r="L1549" t="str">
            <v>E</v>
          </cell>
          <cell r="O1549" t="str">
            <v>B</v>
          </cell>
          <cell r="P1549">
            <v>24</v>
          </cell>
          <cell r="Q1549">
            <v>36</v>
          </cell>
          <cell r="R1549">
            <v>21</v>
          </cell>
          <cell r="S1549">
            <v>27</v>
          </cell>
          <cell r="T1549">
            <v>3</v>
          </cell>
          <cell r="U1549">
            <v>9</v>
          </cell>
          <cell r="V1549">
            <v>45</v>
          </cell>
          <cell r="W1549">
            <v>63</v>
          </cell>
          <cell r="X1549">
            <v>48</v>
          </cell>
          <cell r="Y1549">
            <v>60</v>
          </cell>
          <cell r="Z1549">
            <v>-3</v>
          </cell>
          <cell r="AA1549">
            <v>3</v>
          </cell>
          <cell r="AB1549">
            <v>60</v>
          </cell>
          <cell r="AC1549">
            <v>48</v>
          </cell>
          <cell r="AD1549">
            <v>12</v>
          </cell>
          <cell r="AE1549">
            <v>108</v>
          </cell>
          <cell r="AF1549">
            <v>108</v>
          </cell>
          <cell r="AG1549">
            <v>0</v>
          </cell>
        </row>
        <row r="1550">
          <cell r="C1550">
            <v>272759</v>
          </cell>
          <cell r="D1550" t="str">
            <v>BAVDHAN VIKAS PETROLEUM KSK</v>
          </cell>
          <cell r="E1550" t="str">
            <v>IOCL</v>
          </cell>
          <cell r="F1550" t="str">
            <v>2013-14</v>
          </cell>
          <cell r="G1550" t="str">
            <v>Satara West RSA</v>
          </cell>
          <cell r="H1550">
            <v>41517</v>
          </cell>
          <cell r="I1550" t="str">
            <v>OPEN</v>
          </cell>
          <cell r="J1550" t="str">
            <v>Bavdhan</v>
          </cell>
          <cell r="K1550" t="str">
            <v>Satara</v>
          </cell>
          <cell r="L1550" t="str">
            <v>E</v>
          </cell>
          <cell r="O1550" t="str">
            <v>B</v>
          </cell>
          <cell r="P1550">
            <v>45</v>
          </cell>
          <cell r="Q1550">
            <v>45</v>
          </cell>
          <cell r="R1550">
            <v>36.5</v>
          </cell>
          <cell r="S1550">
            <v>43.5</v>
          </cell>
          <cell r="T1550">
            <v>8.5</v>
          </cell>
          <cell r="U1550">
            <v>1.5</v>
          </cell>
          <cell r="V1550">
            <v>87.5</v>
          </cell>
          <cell r="W1550">
            <v>96.5</v>
          </cell>
          <cell r="X1550">
            <v>75</v>
          </cell>
          <cell r="Y1550">
            <v>95</v>
          </cell>
          <cell r="Z1550">
            <v>12.5</v>
          </cell>
          <cell r="AA1550">
            <v>1.5</v>
          </cell>
          <cell r="AB1550">
            <v>90</v>
          </cell>
          <cell r="AC1550">
            <v>80</v>
          </cell>
          <cell r="AD1550">
            <v>10</v>
          </cell>
          <cell r="AE1550">
            <v>184</v>
          </cell>
          <cell r="AF1550">
            <v>170</v>
          </cell>
          <cell r="AG1550">
            <v>14</v>
          </cell>
        </row>
        <row r="1551">
          <cell r="C1551">
            <v>272815</v>
          </cell>
          <cell r="D1551" t="str">
            <v>GAJENDRA PETROLEUM</v>
          </cell>
          <cell r="E1551" t="str">
            <v>IOCL</v>
          </cell>
          <cell r="F1551" t="str">
            <v>2013-14</v>
          </cell>
          <cell r="G1551" t="str">
            <v>Satara West RSA</v>
          </cell>
          <cell r="H1551">
            <v>41517</v>
          </cell>
          <cell r="I1551" t="str">
            <v>OPEN</v>
          </cell>
          <cell r="J1551" t="str">
            <v>Khandala to Shirwal</v>
          </cell>
          <cell r="K1551" t="str">
            <v>Satara</v>
          </cell>
          <cell r="L1551" t="str">
            <v>D1</v>
          </cell>
          <cell r="M1551" t="str">
            <v>NH-48</v>
          </cell>
          <cell r="O1551" t="str">
            <v>B</v>
          </cell>
          <cell r="P1551">
            <v>9</v>
          </cell>
          <cell r="Q1551">
            <v>27</v>
          </cell>
          <cell r="R1551">
            <v>21</v>
          </cell>
          <cell r="S1551">
            <v>63</v>
          </cell>
          <cell r="T1551">
            <v>-12</v>
          </cell>
          <cell r="U1551">
            <v>-36</v>
          </cell>
          <cell r="V1551">
            <v>21</v>
          </cell>
          <cell r="W1551">
            <v>63</v>
          </cell>
          <cell r="X1551">
            <v>44</v>
          </cell>
          <cell r="Y1551">
            <v>130</v>
          </cell>
          <cell r="Z1551">
            <v>-23</v>
          </cell>
          <cell r="AA1551">
            <v>-67</v>
          </cell>
          <cell r="AB1551">
            <v>36</v>
          </cell>
          <cell r="AC1551">
            <v>84</v>
          </cell>
          <cell r="AD1551">
            <v>-48</v>
          </cell>
          <cell r="AE1551">
            <v>84</v>
          </cell>
          <cell r="AF1551">
            <v>174</v>
          </cell>
          <cell r="AG1551">
            <v>-90</v>
          </cell>
        </row>
        <row r="1552">
          <cell r="C1552">
            <v>272823</v>
          </cell>
          <cell r="D1552" t="str">
            <v>TAWARE PETROLEUM SERVICES</v>
          </cell>
          <cell r="E1552" t="str">
            <v>IOCL</v>
          </cell>
          <cell r="F1552" t="str">
            <v>2013-14</v>
          </cell>
          <cell r="G1552" t="str">
            <v>Pune Tathawade RSA</v>
          </cell>
          <cell r="H1552">
            <v>41517</v>
          </cell>
          <cell r="I1552" t="str">
            <v>OPEN (W)</v>
          </cell>
          <cell r="J1552" t="str">
            <v>BARAMATI PHALTAN ROAD</v>
          </cell>
          <cell r="K1552" t="str">
            <v>Pune</v>
          </cell>
          <cell r="L1552" t="str">
            <v>D1</v>
          </cell>
          <cell r="M1552" t="str">
            <v>NH-160</v>
          </cell>
          <cell r="O1552" t="str">
            <v>B</v>
          </cell>
          <cell r="P1552">
            <v>33</v>
          </cell>
          <cell r="Q1552">
            <v>312</v>
          </cell>
          <cell r="R1552">
            <v>28</v>
          </cell>
          <cell r="S1552">
            <v>140</v>
          </cell>
          <cell r="T1552">
            <v>5</v>
          </cell>
          <cell r="U1552">
            <v>172</v>
          </cell>
          <cell r="V1552">
            <v>64.5</v>
          </cell>
          <cell r="W1552">
            <v>574.5</v>
          </cell>
          <cell r="X1552">
            <v>59.5</v>
          </cell>
          <cell r="Y1552">
            <v>262.5</v>
          </cell>
          <cell r="Z1552">
            <v>5</v>
          </cell>
          <cell r="AA1552">
            <v>312</v>
          </cell>
          <cell r="AB1552">
            <v>345</v>
          </cell>
          <cell r="AC1552">
            <v>168</v>
          </cell>
          <cell r="AD1552">
            <v>177</v>
          </cell>
          <cell r="AE1552">
            <v>639</v>
          </cell>
          <cell r="AF1552">
            <v>322</v>
          </cell>
          <cell r="AG1552">
            <v>317</v>
          </cell>
        </row>
        <row r="1553">
          <cell r="C1553">
            <v>272876</v>
          </cell>
          <cell r="D1553" t="str">
            <v>MAYURESH PETROLEUM</v>
          </cell>
          <cell r="E1553" t="str">
            <v>IOCL</v>
          </cell>
          <cell r="F1553" t="str">
            <v>2013-14</v>
          </cell>
          <cell r="G1553" t="str">
            <v>Pune Saswad RSA</v>
          </cell>
          <cell r="H1553">
            <v>41517</v>
          </cell>
          <cell r="I1553" t="str">
            <v>OPEN</v>
          </cell>
          <cell r="J1553" t="str">
            <v>Bhigwan - Baramati Road</v>
          </cell>
          <cell r="K1553" t="str">
            <v>Pune</v>
          </cell>
          <cell r="L1553" t="str">
            <v>D2</v>
          </cell>
          <cell r="O1553" t="str">
            <v>B</v>
          </cell>
          <cell r="P1553">
            <v>24</v>
          </cell>
          <cell r="Q1553">
            <v>100</v>
          </cell>
          <cell r="R1553">
            <v>9</v>
          </cell>
          <cell r="S1553">
            <v>27</v>
          </cell>
          <cell r="T1553">
            <v>15</v>
          </cell>
          <cell r="U1553">
            <v>73</v>
          </cell>
          <cell r="V1553">
            <v>47.5</v>
          </cell>
          <cell r="W1553">
            <v>184.5</v>
          </cell>
          <cell r="X1553">
            <v>9</v>
          </cell>
          <cell r="Y1553">
            <v>27</v>
          </cell>
          <cell r="Z1553">
            <v>38.5</v>
          </cell>
          <cell r="AA1553">
            <v>157.5</v>
          </cell>
          <cell r="AB1553">
            <v>124</v>
          </cell>
          <cell r="AC1553">
            <v>36</v>
          </cell>
          <cell r="AD1553">
            <v>88</v>
          </cell>
          <cell r="AE1553">
            <v>232</v>
          </cell>
          <cell r="AF1553">
            <v>36</v>
          </cell>
          <cell r="AG1553">
            <v>196</v>
          </cell>
        </row>
        <row r="1554">
          <cell r="C1554">
            <v>272878</v>
          </cell>
          <cell r="D1554" t="str">
            <v>DNYANADA PETROLEUM</v>
          </cell>
          <cell r="E1554" t="str">
            <v>IOCL</v>
          </cell>
          <cell r="F1554" t="str">
            <v>2013-14</v>
          </cell>
          <cell r="G1554" t="str">
            <v>Pimpri Chinchwad RSA</v>
          </cell>
          <cell r="H1554">
            <v>41517</v>
          </cell>
          <cell r="I1554" t="str">
            <v>OPEN (W)</v>
          </cell>
          <cell r="J1554" t="str">
            <v>Rajgurunagar to Ghodegaon</v>
          </cell>
          <cell r="K1554" t="str">
            <v>Pune</v>
          </cell>
          <cell r="L1554" t="str">
            <v>D2</v>
          </cell>
          <cell r="O1554" t="str">
            <v>B</v>
          </cell>
          <cell r="P1554">
            <v>39</v>
          </cell>
          <cell r="Q1554">
            <v>57</v>
          </cell>
          <cell r="R1554">
            <v>39</v>
          </cell>
          <cell r="S1554">
            <v>45</v>
          </cell>
          <cell r="T1554">
            <v>0</v>
          </cell>
          <cell r="U1554">
            <v>12</v>
          </cell>
          <cell r="V1554">
            <v>72</v>
          </cell>
          <cell r="W1554">
            <v>96</v>
          </cell>
          <cell r="X1554">
            <v>63</v>
          </cell>
          <cell r="Y1554">
            <v>81</v>
          </cell>
          <cell r="Z1554">
            <v>9</v>
          </cell>
          <cell r="AA1554">
            <v>15</v>
          </cell>
          <cell r="AB1554">
            <v>96</v>
          </cell>
          <cell r="AC1554">
            <v>84</v>
          </cell>
          <cell r="AD1554">
            <v>12</v>
          </cell>
          <cell r="AE1554">
            <v>168</v>
          </cell>
          <cell r="AF1554">
            <v>144</v>
          </cell>
          <cell r="AG1554">
            <v>24</v>
          </cell>
        </row>
        <row r="1555">
          <cell r="C1555">
            <v>273082</v>
          </cell>
          <cell r="D1555" t="str">
            <v>MAULI PETROLEUM KSK</v>
          </cell>
          <cell r="E1555" t="str">
            <v>IOCL</v>
          </cell>
          <cell r="F1555" t="str">
            <v>2013-14</v>
          </cell>
          <cell r="G1555" t="str">
            <v>Pune City RSA</v>
          </cell>
          <cell r="H1555">
            <v>41533</v>
          </cell>
          <cell r="I1555" t="str">
            <v>OPEN (W)</v>
          </cell>
          <cell r="J1555" t="str">
            <v>LOHAGOAN RURAL</v>
          </cell>
          <cell r="K1555" t="str">
            <v>Pune</v>
          </cell>
          <cell r="L1555" t="str">
            <v>A</v>
          </cell>
          <cell r="O1555" t="str">
            <v>B</v>
          </cell>
          <cell r="P1555">
            <v>36.5</v>
          </cell>
          <cell r="Q1555">
            <v>171.5</v>
          </cell>
          <cell r="R1555">
            <v>34</v>
          </cell>
          <cell r="S1555">
            <v>174</v>
          </cell>
          <cell r="T1555">
            <v>2.5</v>
          </cell>
          <cell r="U1555">
            <v>-2.5</v>
          </cell>
          <cell r="V1555">
            <v>57.5</v>
          </cell>
          <cell r="W1555">
            <v>330.5</v>
          </cell>
          <cell r="X1555">
            <v>67</v>
          </cell>
          <cell r="Y1555">
            <v>341</v>
          </cell>
          <cell r="Z1555">
            <v>-9.5</v>
          </cell>
          <cell r="AA1555">
            <v>-10.5</v>
          </cell>
          <cell r="AB1555">
            <v>208</v>
          </cell>
          <cell r="AC1555">
            <v>208</v>
          </cell>
          <cell r="AD1555">
            <v>0</v>
          </cell>
          <cell r="AE1555">
            <v>388</v>
          </cell>
          <cell r="AF1555">
            <v>408</v>
          </cell>
          <cell r="AG1555">
            <v>-20</v>
          </cell>
        </row>
        <row r="1556">
          <cell r="C1556">
            <v>273370</v>
          </cell>
          <cell r="D1556" t="str">
            <v>D S PETROLEUM KSK</v>
          </cell>
          <cell r="E1556" t="str">
            <v>IOCL</v>
          </cell>
          <cell r="F1556" t="str">
            <v>2013-14</v>
          </cell>
          <cell r="G1556" t="str">
            <v>Pimpri Chinchwad RSA</v>
          </cell>
          <cell r="H1556">
            <v>41547</v>
          </cell>
          <cell r="I1556" t="str">
            <v>OPEN (W)</v>
          </cell>
          <cell r="J1556" t="str">
            <v>Kalus</v>
          </cell>
          <cell r="K1556" t="str">
            <v>Pune</v>
          </cell>
          <cell r="L1556" t="str">
            <v>E</v>
          </cell>
          <cell r="O1556" t="str">
            <v>B</v>
          </cell>
          <cell r="P1556">
            <v>6</v>
          </cell>
          <cell r="Q1556">
            <v>32</v>
          </cell>
          <cell r="R1556">
            <v>12</v>
          </cell>
          <cell r="S1556">
            <v>24</v>
          </cell>
          <cell r="T1556">
            <v>-6</v>
          </cell>
          <cell r="U1556">
            <v>8</v>
          </cell>
          <cell r="V1556">
            <v>16</v>
          </cell>
          <cell r="W1556">
            <v>46</v>
          </cell>
          <cell r="X1556">
            <v>22</v>
          </cell>
          <cell r="Y1556">
            <v>38</v>
          </cell>
          <cell r="Z1556">
            <v>-6</v>
          </cell>
          <cell r="AA1556">
            <v>8</v>
          </cell>
          <cell r="AB1556">
            <v>38</v>
          </cell>
          <cell r="AC1556">
            <v>36</v>
          </cell>
          <cell r="AD1556">
            <v>2</v>
          </cell>
          <cell r="AE1556">
            <v>62</v>
          </cell>
          <cell r="AF1556">
            <v>60</v>
          </cell>
          <cell r="AG1556">
            <v>2</v>
          </cell>
        </row>
        <row r="1557">
          <cell r="C1557">
            <v>273395</v>
          </cell>
          <cell r="D1557" t="str">
            <v>SWARAJ PETROLEUM</v>
          </cell>
          <cell r="E1557" t="str">
            <v>IOCL</v>
          </cell>
          <cell r="F1557" t="str">
            <v>2013-14</v>
          </cell>
          <cell r="G1557" t="str">
            <v>Satara East RSA</v>
          </cell>
          <cell r="H1557">
            <v>41547</v>
          </cell>
          <cell r="I1557" t="str">
            <v>OPEN</v>
          </cell>
          <cell r="J1557" t="str">
            <v>Nimbhore RHS</v>
          </cell>
          <cell r="K1557" t="str">
            <v>Satara</v>
          </cell>
          <cell r="L1557" t="str">
            <v>D1</v>
          </cell>
          <cell r="M1557" t="str">
            <v>NH-965</v>
          </cell>
          <cell r="O1557" t="str">
            <v>B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</row>
        <row r="1558">
          <cell r="C1558">
            <v>273418</v>
          </cell>
          <cell r="D1558" t="str">
            <v>SHRIRAM SAMARTH PETROLEUM</v>
          </cell>
          <cell r="E1558" t="str">
            <v>IOCL</v>
          </cell>
          <cell r="F1558" t="str">
            <v>2013-14</v>
          </cell>
          <cell r="G1558" t="str">
            <v>Pune Tathawade RSA</v>
          </cell>
          <cell r="H1558">
            <v>41547</v>
          </cell>
          <cell r="I1558" t="str">
            <v>OPEN</v>
          </cell>
          <cell r="J1558" t="str">
            <v>BHOR</v>
          </cell>
          <cell r="K1558" t="str">
            <v>Pune</v>
          </cell>
          <cell r="L1558" t="str">
            <v>D1</v>
          </cell>
          <cell r="M1558" t="str">
            <v>NH-965DD</v>
          </cell>
          <cell r="O1558" t="str">
            <v>B</v>
          </cell>
          <cell r="P1558">
            <v>48</v>
          </cell>
          <cell r="Q1558">
            <v>134</v>
          </cell>
          <cell r="R1558">
            <v>57</v>
          </cell>
          <cell r="S1558">
            <v>75</v>
          </cell>
          <cell r="T1558">
            <v>-9</v>
          </cell>
          <cell r="U1558">
            <v>59</v>
          </cell>
          <cell r="V1558">
            <v>84</v>
          </cell>
          <cell r="W1558">
            <v>206</v>
          </cell>
          <cell r="X1558">
            <v>105</v>
          </cell>
          <cell r="Y1558">
            <v>147</v>
          </cell>
          <cell r="Z1558">
            <v>-21</v>
          </cell>
          <cell r="AA1558">
            <v>59</v>
          </cell>
          <cell r="AB1558">
            <v>182</v>
          </cell>
          <cell r="AC1558">
            <v>132</v>
          </cell>
          <cell r="AD1558">
            <v>50</v>
          </cell>
          <cell r="AE1558">
            <v>290</v>
          </cell>
          <cell r="AF1558">
            <v>252</v>
          </cell>
          <cell r="AG1558">
            <v>38</v>
          </cell>
        </row>
        <row r="1559">
          <cell r="C1559">
            <v>273554</v>
          </cell>
          <cell r="D1559" t="str">
            <v>SHITOLE PETROLEUM KSK</v>
          </cell>
          <cell r="E1559" t="str">
            <v>IOCL</v>
          </cell>
          <cell r="F1559" t="str">
            <v>2013-14</v>
          </cell>
          <cell r="G1559" t="str">
            <v>Pune City RSA</v>
          </cell>
          <cell r="H1559">
            <v>41556</v>
          </cell>
          <cell r="I1559" t="str">
            <v>OPEN (W)</v>
          </cell>
          <cell r="J1559" t="str">
            <v>KASARSAI</v>
          </cell>
          <cell r="K1559" t="str">
            <v>Pune</v>
          </cell>
          <cell r="L1559" t="str">
            <v>D2</v>
          </cell>
          <cell r="O1559" t="str">
            <v>B</v>
          </cell>
          <cell r="P1559">
            <v>150</v>
          </cell>
          <cell r="Q1559">
            <v>430</v>
          </cell>
          <cell r="R1559">
            <v>131</v>
          </cell>
          <cell r="S1559">
            <v>273</v>
          </cell>
          <cell r="T1559">
            <v>19</v>
          </cell>
          <cell r="U1559">
            <v>157</v>
          </cell>
          <cell r="V1559">
            <v>273</v>
          </cell>
          <cell r="W1559">
            <v>763</v>
          </cell>
          <cell r="X1559">
            <v>253</v>
          </cell>
          <cell r="Y1559">
            <v>543</v>
          </cell>
          <cell r="Z1559">
            <v>20</v>
          </cell>
          <cell r="AA1559">
            <v>220</v>
          </cell>
          <cell r="AB1559">
            <v>580</v>
          </cell>
          <cell r="AC1559">
            <v>404</v>
          </cell>
          <cell r="AD1559">
            <v>176</v>
          </cell>
          <cell r="AE1559">
            <v>1036</v>
          </cell>
          <cell r="AF1559">
            <v>796</v>
          </cell>
          <cell r="AG1559">
            <v>240</v>
          </cell>
        </row>
        <row r="1560">
          <cell r="C1560">
            <v>273826</v>
          </cell>
          <cell r="D1560" t="str">
            <v>NIKITA PETROLEUM</v>
          </cell>
          <cell r="E1560" t="str">
            <v>IOCL</v>
          </cell>
          <cell r="F1560" t="str">
            <v>2013-14</v>
          </cell>
          <cell r="G1560" t="str">
            <v>Pune Saswad RSA</v>
          </cell>
          <cell r="H1560">
            <v>41576</v>
          </cell>
          <cell r="I1560" t="str">
            <v>OPEN</v>
          </cell>
          <cell r="J1560" t="str">
            <v>INDAPUR</v>
          </cell>
          <cell r="K1560" t="str">
            <v>Pune</v>
          </cell>
          <cell r="L1560" t="str">
            <v>C</v>
          </cell>
          <cell r="O1560" t="str">
            <v>B</v>
          </cell>
          <cell r="P1560">
            <v>61</v>
          </cell>
          <cell r="Q1560">
            <v>61</v>
          </cell>
          <cell r="R1560">
            <v>48.5</v>
          </cell>
          <cell r="S1560">
            <v>41.5</v>
          </cell>
          <cell r="T1560">
            <v>12.5</v>
          </cell>
          <cell r="U1560">
            <v>19.5</v>
          </cell>
          <cell r="V1560">
            <v>130.5</v>
          </cell>
          <cell r="W1560">
            <v>123.5</v>
          </cell>
          <cell r="X1560">
            <v>114</v>
          </cell>
          <cell r="Y1560">
            <v>90</v>
          </cell>
          <cell r="Z1560">
            <v>16.5</v>
          </cell>
          <cell r="AA1560">
            <v>33.5</v>
          </cell>
          <cell r="AB1560">
            <v>122</v>
          </cell>
          <cell r="AC1560">
            <v>90</v>
          </cell>
          <cell r="AD1560">
            <v>32</v>
          </cell>
          <cell r="AE1560">
            <v>254</v>
          </cell>
          <cell r="AF1560">
            <v>204</v>
          </cell>
          <cell r="AG1560">
            <v>50</v>
          </cell>
        </row>
        <row r="1561">
          <cell r="C1561">
            <v>273926</v>
          </cell>
          <cell r="D1561" t="str">
            <v>TAMBE &amp; SONS KSK</v>
          </cell>
          <cell r="E1561" t="str">
            <v>IOCL</v>
          </cell>
          <cell r="F1561" t="str">
            <v>2013-14</v>
          </cell>
          <cell r="G1561" t="str">
            <v>Ahmednagar East RSA</v>
          </cell>
          <cell r="H1561">
            <v>41578</v>
          </cell>
          <cell r="I1561" t="str">
            <v>OPEN</v>
          </cell>
          <cell r="J1561" t="str">
            <v>Sonai</v>
          </cell>
          <cell r="K1561" t="str">
            <v>Ahmednagar</v>
          </cell>
          <cell r="L1561" t="str">
            <v>D1</v>
          </cell>
          <cell r="M1561" t="str">
            <v>NH-160C</v>
          </cell>
          <cell r="O1561" t="str">
            <v>B</v>
          </cell>
          <cell r="P1561">
            <v>56</v>
          </cell>
          <cell r="Q1561">
            <v>196</v>
          </cell>
          <cell r="R1561">
            <v>73</v>
          </cell>
          <cell r="S1561">
            <v>115</v>
          </cell>
          <cell r="T1561">
            <v>-17</v>
          </cell>
          <cell r="U1561">
            <v>81</v>
          </cell>
          <cell r="V1561">
            <v>115.5</v>
          </cell>
          <cell r="W1561">
            <v>304.5</v>
          </cell>
          <cell r="X1561">
            <v>137.5</v>
          </cell>
          <cell r="Y1561">
            <v>224.5</v>
          </cell>
          <cell r="Z1561">
            <v>-22</v>
          </cell>
          <cell r="AA1561">
            <v>80</v>
          </cell>
          <cell r="AB1561">
            <v>252</v>
          </cell>
          <cell r="AC1561">
            <v>188</v>
          </cell>
          <cell r="AD1561">
            <v>64</v>
          </cell>
          <cell r="AE1561">
            <v>420</v>
          </cell>
          <cell r="AF1561">
            <v>362</v>
          </cell>
          <cell r="AG1561">
            <v>58</v>
          </cell>
        </row>
        <row r="1562">
          <cell r="C1562">
            <v>274012</v>
          </cell>
          <cell r="D1562" t="str">
            <v>VEER PETROLEUM,</v>
          </cell>
          <cell r="E1562" t="str">
            <v>IOCL</v>
          </cell>
          <cell r="F1562" t="str">
            <v>2013-14</v>
          </cell>
          <cell r="G1562" t="str">
            <v>Pune Tathawade RSA</v>
          </cell>
          <cell r="H1562">
            <v>41578</v>
          </cell>
          <cell r="I1562" t="str">
            <v>OPEN</v>
          </cell>
          <cell r="J1562" t="str">
            <v>HARISHCHANDRI TO KHED SHIVAPUR</v>
          </cell>
          <cell r="K1562" t="str">
            <v>Pune</v>
          </cell>
          <cell r="L1562" t="str">
            <v>D1</v>
          </cell>
          <cell r="M1562" t="str">
            <v>NH-48</v>
          </cell>
          <cell r="O1562" t="str">
            <v>A</v>
          </cell>
          <cell r="P1562">
            <v>27.5</v>
          </cell>
          <cell r="Q1562">
            <v>53</v>
          </cell>
          <cell r="R1562">
            <v>0</v>
          </cell>
          <cell r="S1562">
            <v>0</v>
          </cell>
          <cell r="T1562">
            <v>27.5</v>
          </cell>
          <cell r="U1562">
            <v>53</v>
          </cell>
          <cell r="V1562">
            <v>48</v>
          </cell>
          <cell r="W1562">
            <v>102.5</v>
          </cell>
          <cell r="X1562">
            <v>9</v>
          </cell>
          <cell r="Y1562">
            <v>15</v>
          </cell>
          <cell r="Z1562">
            <v>39</v>
          </cell>
          <cell r="AA1562">
            <v>87.5</v>
          </cell>
          <cell r="AB1562">
            <v>80.5</v>
          </cell>
          <cell r="AC1562">
            <v>0</v>
          </cell>
          <cell r="AD1562">
            <v>80.5</v>
          </cell>
          <cell r="AE1562">
            <v>150.5</v>
          </cell>
          <cell r="AF1562">
            <v>24</v>
          </cell>
          <cell r="AG1562">
            <v>126.5</v>
          </cell>
        </row>
        <row r="1563">
          <cell r="C1563">
            <v>274584</v>
          </cell>
          <cell r="D1563" t="str">
            <v>INDU PETROLEUM KSK</v>
          </cell>
          <cell r="E1563" t="str">
            <v>IOCL</v>
          </cell>
          <cell r="F1563" t="str">
            <v>2013-14</v>
          </cell>
          <cell r="G1563" t="str">
            <v>Ahmednagar East RSA</v>
          </cell>
          <cell r="H1563">
            <v>41608</v>
          </cell>
          <cell r="I1563" t="str">
            <v>OPEN (W)</v>
          </cell>
          <cell r="J1563" t="str">
            <v>WAMBHORI</v>
          </cell>
          <cell r="K1563" t="str">
            <v>Ahmednagar</v>
          </cell>
          <cell r="L1563" t="str">
            <v>E</v>
          </cell>
          <cell r="O1563" t="str">
            <v>B</v>
          </cell>
          <cell r="P1563">
            <v>35</v>
          </cell>
          <cell r="Q1563">
            <v>77</v>
          </cell>
          <cell r="R1563">
            <v>31.5</v>
          </cell>
          <cell r="S1563">
            <v>38.5</v>
          </cell>
          <cell r="T1563">
            <v>3.5</v>
          </cell>
          <cell r="U1563">
            <v>38.5</v>
          </cell>
          <cell r="V1563">
            <v>77</v>
          </cell>
          <cell r="W1563">
            <v>119</v>
          </cell>
          <cell r="X1563">
            <v>66.5</v>
          </cell>
          <cell r="Y1563">
            <v>73.5</v>
          </cell>
          <cell r="Z1563">
            <v>10.5</v>
          </cell>
          <cell r="AA1563">
            <v>45.5</v>
          </cell>
          <cell r="AB1563">
            <v>112</v>
          </cell>
          <cell r="AC1563">
            <v>70</v>
          </cell>
          <cell r="AD1563">
            <v>42</v>
          </cell>
          <cell r="AE1563">
            <v>196</v>
          </cell>
          <cell r="AF1563">
            <v>140</v>
          </cell>
          <cell r="AG1563">
            <v>56</v>
          </cell>
        </row>
        <row r="1564">
          <cell r="C1564">
            <v>274636</v>
          </cell>
          <cell r="D1564" t="str">
            <v>DHARMNATH PETROLEUM</v>
          </cell>
          <cell r="E1564" t="str">
            <v>IOCL</v>
          </cell>
          <cell r="F1564" t="str">
            <v>2013-14</v>
          </cell>
          <cell r="G1564" t="str">
            <v>Ahmednagar West RSA</v>
          </cell>
          <cell r="H1564">
            <v>41608</v>
          </cell>
          <cell r="I1564" t="str">
            <v>OPEN</v>
          </cell>
          <cell r="J1564" t="str">
            <v>JAWALA</v>
          </cell>
          <cell r="K1564" t="str">
            <v>Ahmednagar</v>
          </cell>
          <cell r="L1564" t="str">
            <v>D1</v>
          </cell>
          <cell r="M1564" t="str">
            <v>NH-761</v>
          </cell>
          <cell r="O1564" t="str">
            <v>B</v>
          </cell>
          <cell r="P1564">
            <v>33</v>
          </cell>
          <cell r="Q1564">
            <v>99</v>
          </cell>
          <cell r="R1564">
            <v>47</v>
          </cell>
          <cell r="S1564">
            <v>81</v>
          </cell>
          <cell r="T1564">
            <v>-14</v>
          </cell>
          <cell r="U1564">
            <v>18</v>
          </cell>
          <cell r="V1564">
            <v>66</v>
          </cell>
          <cell r="W1564">
            <v>162</v>
          </cell>
          <cell r="X1564">
            <v>77.5</v>
          </cell>
          <cell r="Y1564">
            <v>160.5</v>
          </cell>
          <cell r="Z1564">
            <v>-11.5</v>
          </cell>
          <cell r="AA1564">
            <v>1.5</v>
          </cell>
          <cell r="AB1564">
            <v>132</v>
          </cell>
          <cell r="AC1564">
            <v>128</v>
          </cell>
          <cell r="AD1564">
            <v>4</v>
          </cell>
          <cell r="AE1564">
            <v>228</v>
          </cell>
          <cell r="AF1564">
            <v>238</v>
          </cell>
          <cell r="AG1564">
            <v>-10</v>
          </cell>
        </row>
        <row r="1565">
          <cell r="C1565">
            <v>274637</v>
          </cell>
          <cell r="D1565" t="str">
            <v>OM NATH PETROL PUMP</v>
          </cell>
          <cell r="E1565" t="str">
            <v>IOCL</v>
          </cell>
          <cell r="F1565" t="str">
            <v>2013-14</v>
          </cell>
          <cell r="G1565" t="str">
            <v>Ahmednagar West RSA</v>
          </cell>
          <cell r="H1565">
            <v>41608</v>
          </cell>
          <cell r="I1565" t="str">
            <v>OPEN</v>
          </cell>
          <cell r="J1565" t="str">
            <v>Ghogargoan</v>
          </cell>
          <cell r="K1565" t="str">
            <v>Ahmednagar</v>
          </cell>
          <cell r="L1565" t="str">
            <v>D1</v>
          </cell>
          <cell r="M1565" t="str">
            <v>NH-561A</v>
          </cell>
          <cell r="O1565" t="str">
            <v>B</v>
          </cell>
          <cell r="P1565">
            <v>38.5</v>
          </cell>
          <cell r="Q1565">
            <v>171.5</v>
          </cell>
          <cell r="R1565">
            <v>21</v>
          </cell>
          <cell r="S1565">
            <v>91</v>
          </cell>
          <cell r="T1565">
            <v>17.5</v>
          </cell>
          <cell r="U1565">
            <v>80.5</v>
          </cell>
          <cell r="V1565">
            <v>59.5</v>
          </cell>
          <cell r="W1565">
            <v>262.5</v>
          </cell>
          <cell r="X1565">
            <v>42</v>
          </cell>
          <cell r="Y1565">
            <v>168</v>
          </cell>
          <cell r="Z1565">
            <v>17.5</v>
          </cell>
          <cell r="AA1565">
            <v>94.5</v>
          </cell>
          <cell r="AB1565">
            <v>210</v>
          </cell>
          <cell r="AC1565">
            <v>112</v>
          </cell>
          <cell r="AD1565">
            <v>98</v>
          </cell>
          <cell r="AE1565">
            <v>322</v>
          </cell>
          <cell r="AF1565">
            <v>210</v>
          </cell>
          <cell r="AG1565">
            <v>112</v>
          </cell>
        </row>
        <row r="1566">
          <cell r="C1566">
            <v>275174</v>
          </cell>
          <cell r="D1566" t="str">
            <v>KRISHI UTPANNA BAZAAR SAM KSK</v>
          </cell>
          <cell r="E1566" t="str">
            <v>IOCL</v>
          </cell>
          <cell r="F1566" t="str">
            <v>2013-14</v>
          </cell>
          <cell r="G1566" t="str">
            <v>Pimpri Chinchwad RSA</v>
          </cell>
          <cell r="H1566">
            <v>41639</v>
          </cell>
          <cell r="I1566" t="str">
            <v>OPEN</v>
          </cell>
          <cell r="J1566" t="str">
            <v>Pait</v>
          </cell>
          <cell r="K1566" t="str">
            <v>Pune</v>
          </cell>
          <cell r="L1566" t="str">
            <v>E</v>
          </cell>
          <cell r="O1566" t="str">
            <v>B</v>
          </cell>
          <cell r="P1566">
            <v>47</v>
          </cell>
          <cell r="Q1566">
            <v>169</v>
          </cell>
          <cell r="R1566">
            <v>56.5</v>
          </cell>
          <cell r="S1566">
            <v>169.5</v>
          </cell>
          <cell r="T1566">
            <v>-9.5</v>
          </cell>
          <cell r="U1566">
            <v>-0.5</v>
          </cell>
          <cell r="V1566">
            <v>81.5</v>
          </cell>
          <cell r="W1566">
            <v>308.5</v>
          </cell>
          <cell r="X1566">
            <v>99</v>
          </cell>
          <cell r="Y1566">
            <v>297</v>
          </cell>
          <cell r="Z1566">
            <v>-17.5</v>
          </cell>
          <cell r="AA1566">
            <v>11.5</v>
          </cell>
          <cell r="AB1566">
            <v>216</v>
          </cell>
          <cell r="AC1566">
            <v>226</v>
          </cell>
          <cell r="AD1566">
            <v>-10</v>
          </cell>
          <cell r="AE1566">
            <v>390</v>
          </cell>
          <cell r="AF1566">
            <v>396</v>
          </cell>
          <cell r="AG1566">
            <v>-6</v>
          </cell>
        </row>
        <row r="1567">
          <cell r="C1567">
            <v>275203</v>
          </cell>
          <cell r="D1567" t="str">
            <v>SHREE SAI DATTA KISAN SEVA KEN</v>
          </cell>
          <cell r="E1567" t="str">
            <v>IOCL</v>
          </cell>
          <cell r="F1567" t="str">
            <v>2013-14</v>
          </cell>
          <cell r="G1567" t="str">
            <v>Pune City RSA</v>
          </cell>
          <cell r="H1567">
            <v>41639</v>
          </cell>
          <cell r="I1567" t="str">
            <v>OPEN</v>
          </cell>
          <cell r="J1567" t="str">
            <v>GHOTAWADE</v>
          </cell>
          <cell r="K1567" t="str">
            <v>Pune</v>
          </cell>
          <cell r="L1567" t="str">
            <v>D2</v>
          </cell>
          <cell r="O1567" t="str">
            <v>B</v>
          </cell>
          <cell r="P1567">
            <v>0</v>
          </cell>
          <cell r="Q1567">
            <v>0</v>
          </cell>
          <cell r="R1567">
            <v>3</v>
          </cell>
          <cell r="S1567">
            <v>9</v>
          </cell>
          <cell r="T1567">
            <v>-3</v>
          </cell>
          <cell r="U1567">
            <v>-9</v>
          </cell>
          <cell r="V1567">
            <v>0</v>
          </cell>
          <cell r="W1567">
            <v>0</v>
          </cell>
          <cell r="X1567">
            <v>3</v>
          </cell>
          <cell r="Y1567">
            <v>9</v>
          </cell>
          <cell r="Z1567">
            <v>-3</v>
          </cell>
          <cell r="AA1567">
            <v>-9</v>
          </cell>
          <cell r="AB1567">
            <v>0</v>
          </cell>
          <cell r="AC1567">
            <v>12</v>
          </cell>
          <cell r="AD1567">
            <v>-12</v>
          </cell>
          <cell r="AE1567">
            <v>0</v>
          </cell>
          <cell r="AF1567">
            <v>12</v>
          </cell>
          <cell r="AG1567">
            <v>-12</v>
          </cell>
        </row>
        <row r="1568">
          <cell r="C1568">
            <v>386713</v>
          </cell>
          <cell r="D1568" t="str">
            <v>COCO BALUPATLACHIWADI ADHOC BACHAL (BAGWAN PETROLEUM-275207)</v>
          </cell>
          <cell r="E1568" t="str">
            <v>IOCL</v>
          </cell>
          <cell r="F1568" t="str">
            <v>2013-14</v>
          </cell>
          <cell r="G1568" t="str">
            <v>Satara East RSA</v>
          </cell>
          <cell r="H1568">
            <v>41639</v>
          </cell>
          <cell r="I1568" t="str">
            <v>OPEN (W)</v>
          </cell>
          <cell r="J1568" t="str">
            <v>Lonand</v>
          </cell>
          <cell r="K1568" t="str">
            <v>Satara</v>
          </cell>
          <cell r="L1568" t="str">
            <v>D1</v>
          </cell>
          <cell r="M1568" t="str">
            <v>NH-965D</v>
          </cell>
          <cell r="O1568" t="str">
            <v>B</v>
          </cell>
          <cell r="P1568">
            <v>9</v>
          </cell>
          <cell r="Q1568">
            <v>27</v>
          </cell>
          <cell r="R1568">
            <v>0</v>
          </cell>
          <cell r="S1568">
            <v>0</v>
          </cell>
          <cell r="T1568">
            <v>9</v>
          </cell>
          <cell r="U1568">
            <v>27</v>
          </cell>
          <cell r="V1568">
            <v>12</v>
          </cell>
          <cell r="W1568">
            <v>36</v>
          </cell>
          <cell r="X1568">
            <v>0</v>
          </cell>
          <cell r="Y1568">
            <v>0</v>
          </cell>
          <cell r="Z1568">
            <v>12</v>
          </cell>
          <cell r="AA1568">
            <v>36</v>
          </cell>
          <cell r="AB1568">
            <v>36</v>
          </cell>
          <cell r="AC1568">
            <v>0</v>
          </cell>
          <cell r="AD1568">
            <v>36</v>
          </cell>
          <cell r="AE1568">
            <v>48</v>
          </cell>
          <cell r="AF1568">
            <v>0</v>
          </cell>
          <cell r="AG1568">
            <v>48</v>
          </cell>
        </row>
        <row r="1569">
          <cell r="C1569">
            <v>275379</v>
          </cell>
          <cell r="D1569" t="str">
            <v>BHAMA PETROLEUM</v>
          </cell>
          <cell r="E1569" t="str">
            <v>IOCL</v>
          </cell>
          <cell r="F1569" t="str">
            <v>2013-14</v>
          </cell>
          <cell r="G1569" t="str">
            <v>Pimpri Chinchwad RSA</v>
          </cell>
          <cell r="H1569">
            <v>41639</v>
          </cell>
          <cell r="I1569" t="str">
            <v>OPEN (W)</v>
          </cell>
          <cell r="J1569" t="str">
            <v>Dawadmala</v>
          </cell>
          <cell r="K1569" t="str">
            <v>Pune</v>
          </cell>
          <cell r="L1569" t="str">
            <v>C</v>
          </cell>
          <cell r="O1569" t="str">
            <v>B</v>
          </cell>
          <cell r="P1569">
            <v>63</v>
          </cell>
          <cell r="Q1569">
            <v>153</v>
          </cell>
          <cell r="R1569">
            <v>51.5</v>
          </cell>
          <cell r="S1569">
            <v>106.5</v>
          </cell>
          <cell r="T1569">
            <v>11.5</v>
          </cell>
          <cell r="U1569">
            <v>46.5</v>
          </cell>
          <cell r="V1569">
            <v>112.5</v>
          </cell>
          <cell r="W1569">
            <v>283.5</v>
          </cell>
          <cell r="X1569">
            <v>105.5</v>
          </cell>
          <cell r="Y1569">
            <v>214.5</v>
          </cell>
          <cell r="Z1569">
            <v>7</v>
          </cell>
          <cell r="AA1569">
            <v>69</v>
          </cell>
          <cell r="AB1569">
            <v>216</v>
          </cell>
          <cell r="AC1569">
            <v>158</v>
          </cell>
          <cell r="AD1569">
            <v>58</v>
          </cell>
          <cell r="AE1569">
            <v>396</v>
          </cell>
          <cell r="AF1569">
            <v>320</v>
          </cell>
          <cell r="AG1569">
            <v>76</v>
          </cell>
        </row>
        <row r="1570">
          <cell r="C1570">
            <v>275380</v>
          </cell>
          <cell r="D1570" t="str">
            <v>SHREE SRUSHTI PETROLEUM</v>
          </cell>
          <cell r="E1570" t="str">
            <v>IOCL</v>
          </cell>
          <cell r="F1570" t="str">
            <v>2013-14</v>
          </cell>
          <cell r="G1570" t="str">
            <v>Satara West RSA</v>
          </cell>
          <cell r="H1570">
            <v>41639</v>
          </cell>
          <cell r="I1570" t="str">
            <v>OPEN</v>
          </cell>
          <cell r="J1570" t="str">
            <v>Satara to Bhuinj</v>
          </cell>
          <cell r="K1570" t="str">
            <v>Satara</v>
          </cell>
          <cell r="L1570" t="str">
            <v>D1</v>
          </cell>
          <cell r="M1570" t="str">
            <v>NH-48</v>
          </cell>
          <cell r="O1570" t="str">
            <v>B</v>
          </cell>
          <cell r="P1570">
            <v>10.5</v>
          </cell>
          <cell r="Q1570">
            <v>17.5</v>
          </cell>
          <cell r="R1570">
            <v>8.5</v>
          </cell>
          <cell r="S1570">
            <v>15.5</v>
          </cell>
          <cell r="T1570">
            <v>2</v>
          </cell>
          <cell r="U1570">
            <v>2</v>
          </cell>
          <cell r="V1570">
            <v>15.5</v>
          </cell>
          <cell r="W1570">
            <v>17.5</v>
          </cell>
          <cell r="X1570">
            <v>8.5</v>
          </cell>
          <cell r="Y1570">
            <v>25.5</v>
          </cell>
          <cell r="Z1570">
            <v>7</v>
          </cell>
          <cell r="AA1570">
            <v>-8</v>
          </cell>
          <cell r="AB1570">
            <v>28</v>
          </cell>
          <cell r="AC1570">
            <v>24</v>
          </cell>
          <cell r="AD1570">
            <v>4</v>
          </cell>
          <cell r="AE1570">
            <v>33</v>
          </cell>
          <cell r="AF1570">
            <v>34</v>
          </cell>
          <cell r="AG1570">
            <v>-1</v>
          </cell>
        </row>
        <row r="1571">
          <cell r="C1571">
            <v>275849</v>
          </cell>
          <cell r="D1571" t="str">
            <v>VENKATESHWARA PETROLEUM KSK</v>
          </cell>
          <cell r="E1571" t="str">
            <v>IOCL</v>
          </cell>
          <cell r="F1571" t="str">
            <v>2013-14</v>
          </cell>
          <cell r="G1571" t="str">
            <v>Pimpri Chinchwad RSA</v>
          </cell>
          <cell r="H1571">
            <v>41670</v>
          </cell>
          <cell r="I1571" t="str">
            <v>OPEN</v>
          </cell>
          <cell r="J1571" t="str">
            <v>Takve Budruk</v>
          </cell>
          <cell r="K1571" t="str">
            <v>Pune</v>
          </cell>
          <cell r="L1571" t="str">
            <v>E</v>
          </cell>
          <cell r="O1571" t="str">
            <v>B</v>
          </cell>
          <cell r="P1571">
            <v>66</v>
          </cell>
          <cell r="Q1571">
            <v>210</v>
          </cell>
          <cell r="R1571">
            <v>62</v>
          </cell>
          <cell r="S1571">
            <v>122</v>
          </cell>
          <cell r="T1571">
            <v>4</v>
          </cell>
          <cell r="U1571">
            <v>88</v>
          </cell>
          <cell r="V1571">
            <v>114</v>
          </cell>
          <cell r="W1571">
            <v>402</v>
          </cell>
          <cell r="X1571">
            <v>128</v>
          </cell>
          <cell r="Y1571">
            <v>248</v>
          </cell>
          <cell r="Z1571">
            <v>-14</v>
          </cell>
          <cell r="AA1571">
            <v>154</v>
          </cell>
          <cell r="AB1571">
            <v>276</v>
          </cell>
          <cell r="AC1571">
            <v>184</v>
          </cell>
          <cell r="AD1571">
            <v>92</v>
          </cell>
          <cell r="AE1571">
            <v>516</v>
          </cell>
          <cell r="AF1571">
            <v>376</v>
          </cell>
          <cell r="AG1571">
            <v>140</v>
          </cell>
        </row>
        <row r="1572">
          <cell r="C1572">
            <v>383650</v>
          </cell>
          <cell r="D1572" t="str">
            <v>COCO DEVLALI (275980 SANKHESHWAR PETROLEUM)</v>
          </cell>
          <cell r="E1572" t="str">
            <v>IOCL</v>
          </cell>
          <cell r="F1572" t="str">
            <v>2013-14</v>
          </cell>
          <cell r="G1572" t="str">
            <v>Shirdi RSA</v>
          </cell>
          <cell r="H1572">
            <v>41670</v>
          </cell>
          <cell r="I1572" t="str">
            <v>OPEN (W)</v>
          </cell>
          <cell r="J1572" t="str">
            <v>RAHURI FACTORY LHS</v>
          </cell>
          <cell r="K1572" t="str">
            <v>Ahmednagar</v>
          </cell>
          <cell r="L1572" t="str">
            <v>D1</v>
          </cell>
          <cell r="M1572" t="str">
            <v>NH-160</v>
          </cell>
          <cell r="O1572" t="str">
            <v>B</v>
          </cell>
          <cell r="P1572">
            <v>3.5</v>
          </cell>
          <cell r="Q1572">
            <v>136.5</v>
          </cell>
          <cell r="R1572">
            <v>3.5</v>
          </cell>
          <cell r="S1572">
            <v>10.5</v>
          </cell>
          <cell r="T1572">
            <v>0</v>
          </cell>
          <cell r="U1572">
            <v>126</v>
          </cell>
          <cell r="V1572">
            <v>7</v>
          </cell>
          <cell r="W1572">
            <v>147</v>
          </cell>
          <cell r="X1572">
            <v>7</v>
          </cell>
          <cell r="Y1572">
            <v>21</v>
          </cell>
          <cell r="Z1572">
            <v>0</v>
          </cell>
          <cell r="AA1572">
            <v>126</v>
          </cell>
          <cell r="AB1572">
            <v>140</v>
          </cell>
          <cell r="AC1572">
            <v>14</v>
          </cell>
          <cell r="AD1572">
            <v>126</v>
          </cell>
          <cell r="AE1572">
            <v>154</v>
          </cell>
          <cell r="AF1572">
            <v>28</v>
          </cell>
          <cell r="AG1572">
            <v>126</v>
          </cell>
        </row>
        <row r="1573">
          <cell r="C1573">
            <v>276583</v>
          </cell>
          <cell r="D1573" t="str">
            <v>UMA PETROLEUM</v>
          </cell>
          <cell r="E1573" t="str">
            <v>IOCL</v>
          </cell>
          <cell r="F1573" t="str">
            <v>2013-14</v>
          </cell>
          <cell r="G1573" t="str">
            <v>Satara West RSA</v>
          </cell>
          <cell r="H1573">
            <v>41698</v>
          </cell>
          <cell r="I1573" t="str">
            <v>OPEN (W)</v>
          </cell>
          <cell r="J1573" t="str">
            <v>MALHARPETH TO NADE</v>
          </cell>
          <cell r="K1573" t="str">
            <v>Satara</v>
          </cell>
          <cell r="L1573" t="str">
            <v>D1</v>
          </cell>
          <cell r="M1573" t="str">
            <v>NH-166E</v>
          </cell>
          <cell r="O1573" t="str">
            <v>B</v>
          </cell>
          <cell r="P1573">
            <v>92</v>
          </cell>
          <cell r="Q1573">
            <v>208</v>
          </cell>
          <cell r="R1573">
            <v>64</v>
          </cell>
          <cell r="S1573">
            <v>176</v>
          </cell>
          <cell r="T1573">
            <v>28</v>
          </cell>
          <cell r="U1573">
            <v>32</v>
          </cell>
          <cell r="V1573">
            <v>155</v>
          </cell>
          <cell r="W1573">
            <v>371</v>
          </cell>
          <cell r="X1573">
            <v>125</v>
          </cell>
          <cell r="Y1573">
            <v>351</v>
          </cell>
          <cell r="Z1573">
            <v>30</v>
          </cell>
          <cell r="AA1573">
            <v>20</v>
          </cell>
          <cell r="AB1573">
            <v>300</v>
          </cell>
          <cell r="AC1573">
            <v>240</v>
          </cell>
          <cell r="AD1573">
            <v>60</v>
          </cell>
          <cell r="AE1573">
            <v>526</v>
          </cell>
          <cell r="AF1573">
            <v>476</v>
          </cell>
          <cell r="AG1573">
            <v>50</v>
          </cell>
        </row>
        <row r="1574">
          <cell r="C1574">
            <v>276635</v>
          </cell>
          <cell r="D1574" t="str">
            <v>YASHODA PETROLEUM</v>
          </cell>
          <cell r="E1574" t="str">
            <v>IOCL</v>
          </cell>
          <cell r="F1574" t="str">
            <v>2013-14</v>
          </cell>
          <cell r="G1574" t="str">
            <v>Pune Hadapsar RSA</v>
          </cell>
          <cell r="H1574">
            <v>41698</v>
          </cell>
          <cell r="I1574" t="str">
            <v>OPEN</v>
          </cell>
          <cell r="J1574" t="str">
            <v>Yawat RHS</v>
          </cell>
          <cell r="K1574" t="str">
            <v>Pune</v>
          </cell>
          <cell r="L1574" t="str">
            <v>D1</v>
          </cell>
          <cell r="M1574" t="str">
            <v>NH-65</v>
          </cell>
          <cell r="O1574" t="str">
            <v>B</v>
          </cell>
          <cell r="P1574">
            <v>57.5</v>
          </cell>
          <cell r="Q1574">
            <v>636.5</v>
          </cell>
          <cell r="R1574">
            <v>55</v>
          </cell>
          <cell r="S1574">
            <v>621</v>
          </cell>
          <cell r="T1574">
            <v>2.5</v>
          </cell>
          <cell r="U1574">
            <v>15.5</v>
          </cell>
          <cell r="V1574">
            <v>99.5</v>
          </cell>
          <cell r="W1574">
            <v>1298.5</v>
          </cell>
          <cell r="X1574">
            <v>93.5</v>
          </cell>
          <cell r="Y1574">
            <v>1178.5</v>
          </cell>
          <cell r="Z1574">
            <v>6</v>
          </cell>
          <cell r="AA1574">
            <v>120</v>
          </cell>
          <cell r="AB1574">
            <v>694</v>
          </cell>
          <cell r="AC1574">
            <v>676</v>
          </cell>
          <cell r="AD1574">
            <v>18</v>
          </cell>
          <cell r="AE1574">
            <v>1398</v>
          </cell>
          <cell r="AF1574">
            <v>1272</v>
          </cell>
          <cell r="AG1574">
            <v>126</v>
          </cell>
        </row>
        <row r="1575">
          <cell r="C1575">
            <v>276665</v>
          </cell>
          <cell r="D1575" t="str">
            <v>SHRI DHANAI PETROLEUM</v>
          </cell>
          <cell r="E1575" t="str">
            <v>IOCL</v>
          </cell>
          <cell r="F1575" t="str">
            <v>2013-14</v>
          </cell>
          <cell r="G1575" t="str">
            <v>Satara West RSA</v>
          </cell>
          <cell r="H1575">
            <v>41698</v>
          </cell>
          <cell r="I1575" t="str">
            <v>OPEN</v>
          </cell>
          <cell r="J1575" t="str">
            <v>Karad Shenoli Road</v>
          </cell>
          <cell r="K1575" t="str">
            <v>Satara</v>
          </cell>
          <cell r="L1575" t="str">
            <v>D1</v>
          </cell>
          <cell r="M1575" t="str">
            <v>NH-266</v>
          </cell>
          <cell r="O1575" t="str">
            <v>B</v>
          </cell>
          <cell r="P1575">
            <v>66</v>
          </cell>
          <cell r="Q1575">
            <v>102</v>
          </cell>
          <cell r="R1575">
            <v>57</v>
          </cell>
          <cell r="S1575">
            <v>87</v>
          </cell>
          <cell r="T1575">
            <v>9</v>
          </cell>
          <cell r="U1575">
            <v>15</v>
          </cell>
          <cell r="V1575">
            <v>117</v>
          </cell>
          <cell r="W1575">
            <v>171</v>
          </cell>
          <cell r="X1575">
            <v>111</v>
          </cell>
          <cell r="Y1575">
            <v>177</v>
          </cell>
          <cell r="Z1575">
            <v>6</v>
          </cell>
          <cell r="AA1575">
            <v>-6</v>
          </cell>
          <cell r="AB1575">
            <v>168</v>
          </cell>
          <cell r="AC1575">
            <v>144</v>
          </cell>
          <cell r="AD1575">
            <v>24</v>
          </cell>
          <cell r="AE1575">
            <v>288</v>
          </cell>
          <cell r="AF1575">
            <v>288</v>
          </cell>
          <cell r="AG1575">
            <v>0</v>
          </cell>
        </row>
        <row r="1576">
          <cell r="C1576">
            <v>276696</v>
          </cell>
          <cell r="D1576" t="str">
            <v>SHRI SIDDHIVINAYAK PET. KSK</v>
          </cell>
          <cell r="E1576" t="str">
            <v>IOCL</v>
          </cell>
          <cell r="F1576" t="str">
            <v>2013-14</v>
          </cell>
          <cell r="G1576" t="str">
            <v>Ahmednagar West RSA</v>
          </cell>
          <cell r="H1576">
            <v>41698</v>
          </cell>
          <cell r="I1576" t="str">
            <v>PHP (W)</v>
          </cell>
          <cell r="J1576" t="str">
            <v>Ambijalgaon</v>
          </cell>
          <cell r="K1576" t="str">
            <v>Ahmednagar</v>
          </cell>
          <cell r="L1576" t="str">
            <v>D2</v>
          </cell>
          <cell r="O1576" t="str">
            <v>B</v>
          </cell>
          <cell r="P1576">
            <v>24</v>
          </cell>
          <cell r="Q1576">
            <v>132</v>
          </cell>
          <cell r="R1576">
            <v>24</v>
          </cell>
          <cell r="S1576">
            <v>72</v>
          </cell>
          <cell r="T1576">
            <v>0</v>
          </cell>
          <cell r="U1576">
            <v>60</v>
          </cell>
          <cell r="V1576">
            <v>45</v>
          </cell>
          <cell r="W1576">
            <v>195</v>
          </cell>
          <cell r="X1576">
            <v>39</v>
          </cell>
          <cell r="Y1576">
            <v>117</v>
          </cell>
          <cell r="Z1576">
            <v>6</v>
          </cell>
          <cell r="AA1576">
            <v>78</v>
          </cell>
          <cell r="AB1576">
            <v>156</v>
          </cell>
          <cell r="AC1576">
            <v>96</v>
          </cell>
          <cell r="AD1576">
            <v>60</v>
          </cell>
          <cell r="AE1576">
            <v>240</v>
          </cell>
          <cell r="AF1576">
            <v>156</v>
          </cell>
          <cell r="AG1576">
            <v>84</v>
          </cell>
        </row>
        <row r="1577">
          <cell r="C1577">
            <v>276717</v>
          </cell>
          <cell r="D1577" t="str">
            <v>SAI PUJA PETROLEUM</v>
          </cell>
          <cell r="E1577" t="str">
            <v>IOCL</v>
          </cell>
          <cell r="F1577" t="str">
            <v>2013-14</v>
          </cell>
          <cell r="G1577" t="str">
            <v>Pune Wagholi RSA</v>
          </cell>
          <cell r="H1577">
            <v>41698</v>
          </cell>
          <cell r="I1577" t="str">
            <v>OPEN</v>
          </cell>
          <cell r="J1577" t="str">
            <v>Pargaon Tarfe</v>
          </cell>
          <cell r="K1577" t="str">
            <v>Pune</v>
          </cell>
          <cell r="L1577" t="str">
            <v>E</v>
          </cell>
          <cell r="O1577" t="str">
            <v>B</v>
          </cell>
          <cell r="P1577">
            <v>54</v>
          </cell>
          <cell r="Q1577">
            <v>102</v>
          </cell>
          <cell r="R1577">
            <v>57</v>
          </cell>
          <cell r="S1577">
            <v>99</v>
          </cell>
          <cell r="T1577">
            <v>-3</v>
          </cell>
          <cell r="U1577">
            <v>3</v>
          </cell>
          <cell r="V1577">
            <v>105</v>
          </cell>
          <cell r="W1577">
            <v>195</v>
          </cell>
          <cell r="X1577">
            <v>120</v>
          </cell>
          <cell r="Y1577">
            <v>240</v>
          </cell>
          <cell r="Z1577">
            <v>-15</v>
          </cell>
          <cell r="AA1577">
            <v>-45</v>
          </cell>
          <cell r="AB1577">
            <v>156</v>
          </cell>
          <cell r="AC1577">
            <v>156</v>
          </cell>
          <cell r="AD1577">
            <v>0</v>
          </cell>
          <cell r="AE1577">
            <v>300</v>
          </cell>
          <cell r="AF1577">
            <v>360</v>
          </cell>
          <cell r="AG1577">
            <v>-60</v>
          </cell>
        </row>
        <row r="1578">
          <cell r="C1578">
            <v>277396</v>
          </cell>
          <cell r="D1578" t="str">
            <v>ANAND PETROLEUM</v>
          </cell>
          <cell r="E1578" t="str">
            <v>IOCL</v>
          </cell>
          <cell r="F1578" t="str">
            <v>2013-14</v>
          </cell>
          <cell r="G1578" t="str">
            <v>Pune Saswad RSA</v>
          </cell>
          <cell r="H1578">
            <v>41729</v>
          </cell>
          <cell r="I1578" t="str">
            <v>OPEN</v>
          </cell>
          <cell r="J1578" t="str">
            <v>Bhigwan - Baramati Road</v>
          </cell>
          <cell r="K1578" t="str">
            <v>Pune</v>
          </cell>
          <cell r="L1578" t="str">
            <v>D2</v>
          </cell>
          <cell r="O1578" t="str">
            <v>B</v>
          </cell>
          <cell r="P1578">
            <v>33</v>
          </cell>
          <cell r="Q1578">
            <v>63</v>
          </cell>
          <cell r="R1578">
            <v>30</v>
          </cell>
          <cell r="S1578">
            <v>78</v>
          </cell>
          <cell r="T1578">
            <v>3</v>
          </cell>
          <cell r="U1578">
            <v>-15</v>
          </cell>
          <cell r="V1578">
            <v>57</v>
          </cell>
          <cell r="W1578">
            <v>123</v>
          </cell>
          <cell r="X1578">
            <v>57</v>
          </cell>
          <cell r="Y1578">
            <v>147</v>
          </cell>
          <cell r="Z1578">
            <v>0</v>
          </cell>
          <cell r="AA1578">
            <v>-24</v>
          </cell>
          <cell r="AB1578">
            <v>96</v>
          </cell>
          <cell r="AC1578">
            <v>108</v>
          </cell>
          <cell r="AD1578">
            <v>-12</v>
          </cell>
          <cell r="AE1578">
            <v>180</v>
          </cell>
          <cell r="AF1578">
            <v>204</v>
          </cell>
          <cell r="AG1578">
            <v>-24</v>
          </cell>
        </row>
        <row r="1579">
          <cell r="C1579">
            <v>277399</v>
          </cell>
          <cell r="D1579" t="str">
            <v>SONAI PETROLEUM SERVICES</v>
          </cell>
          <cell r="E1579" t="str">
            <v>IOCL</v>
          </cell>
          <cell r="F1579" t="str">
            <v>2013-14</v>
          </cell>
          <cell r="G1579" t="str">
            <v>Pune Saswad RSA</v>
          </cell>
          <cell r="H1579">
            <v>41728</v>
          </cell>
          <cell r="I1579" t="str">
            <v>OPEN (W)</v>
          </cell>
          <cell r="J1579" t="str">
            <v>HINGANGAON</v>
          </cell>
          <cell r="K1579" t="str">
            <v>Pune</v>
          </cell>
          <cell r="L1579" t="str">
            <v>D1</v>
          </cell>
          <cell r="M1579" t="str">
            <v>NH-65</v>
          </cell>
          <cell r="O1579" t="str">
            <v>B</v>
          </cell>
          <cell r="P1579">
            <v>70</v>
          </cell>
          <cell r="Q1579">
            <v>550</v>
          </cell>
          <cell r="R1579">
            <v>60</v>
          </cell>
          <cell r="S1579">
            <v>480</v>
          </cell>
          <cell r="T1579">
            <v>10</v>
          </cell>
          <cell r="U1579">
            <v>70</v>
          </cell>
          <cell r="V1579">
            <v>130</v>
          </cell>
          <cell r="W1579">
            <v>1030</v>
          </cell>
          <cell r="X1579">
            <v>125</v>
          </cell>
          <cell r="Y1579">
            <v>875</v>
          </cell>
          <cell r="Z1579">
            <v>5</v>
          </cell>
          <cell r="AA1579">
            <v>155</v>
          </cell>
          <cell r="AB1579">
            <v>620</v>
          </cell>
          <cell r="AC1579">
            <v>540</v>
          </cell>
          <cell r="AD1579">
            <v>80</v>
          </cell>
          <cell r="AE1579">
            <v>1160</v>
          </cell>
          <cell r="AF1579">
            <v>1000</v>
          </cell>
          <cell r="AG1579">
            <v>160</v>
          </cell>
        </row>
        <row r="1580">
          <cell r="C1580">
            <v>277554</v>
          </cell>
          <cell r="D1580" t="str">
            <v>VISHWAS PETROLEUM KSK</v>
          </cell>
          <cell r="E1580" t="str">
            <v>IOCL</v>
          </cell>
          <cell r="F1580" t="str">
            <v>2013-14</v>
          </cell>
          <cell r="G1580" t="str">
            <v>Pune Hadapsar RSA</v>
          </cell>
          <cell r="H1580">
            <v>41729</v>
          </cell>
          <cell r="I1580" t="str">
            <v>OPEN</v>
          </cell>
          <cell r="J1580" t="str">
            <v>DAUND</v>
          </cell>
          <cell r="K1580" t="str">
            <v>Pune</v>
          </cell>
          <cell r="L1580" t="str">
            <v>D2</v>
          </cell>
          <cell r="O1580" t="str">
            <v>B</v>
          </cell>
          <cell r="P1580">
            <v>45</v>
          </cell>
          <cell r="Q1580">
            <v>159</v>
          </cell>
          <cell r="R1580">
            <v>48</v>
          </cell>
          <cell r="S1580">
            <v>120</v>
          </cell>
          <cell r="T1580">
            <v>-3</v>
          </cell>
          <cell r="U1580">
            <v>39</v>
          </cell>
          <cell r="V1580">
            <v>93</v>
          </cell>
          <cell r="W1580">
            <v>279</v>
          </cell>
          <cell r="X1580">
            <v>99</v>
          </cell>
          <cell r="Y1580">
            <v>225</v>
          </cell>
          <cell r="Z1580">
            <v>-6</v>
          </cell>
          <cell r="AA1580">
            <v>54</v>
          </cell>
          <cell r="AB1580">
            <v>204</v>
          </cell>
          <cell r="AC1580">
            <v>168</v>
          </cell>
          <cell r="AD1580">
            <v>36</v>
          </cell>
          <cell r="AE1580">
            <v>372</v>
          </cell>
          <cell r="AF1580">
            <v>324</v>
          </cell>
          <cell r="AG1580">
            <v>48</v>
          </cell>
        </row>
        <row r="1581">
          <cell r="C1581">
            <v>277559</v>
          </cell>
          <cell r="D1581" t="str">
            <v>SHIVRAJ PETROLEUM</v>
          </cell>
          <cell r="E1581" t="str">
            <v>IOCL</v>
          </cell>
          <cell r="F1581" t="str">
            <v>2013-14</v>
          </cell>
          <cell r="G1581" t="str">
            <v>Pune Tathawade RSA</v>
          </cell>
          <cell r="H1581">
            <v>41728</v>
          </cell>
          <cell r="I1581" t="str">
            <v>OPEN</v>
          </cell>
          <cell r="J1581" t="str">
            <v>BHOR</v>
          </cell>
          <cell r="K1581" t="str">
            <v>Pune</v>
          </cell>
          <cell r="L1581" t="str">
            <v>D1</v>
          </cell>
          <cell r="M1581" t="str">
            <v>NH-965DD</v>
          </cell>
          <cell r="O1581" t="str">
            <v>B</v>
          </cell>
          <cell r="P1581">
            <v>108</v>
          </cell>
          <cell r="Q1581">
            <v>302</v>
          </cell>
          <cell r="R1581">
            <v>59.5</v>
          </cell>
          <cell r="S1581">
            <v>130.5</v>
          </cell>
          <cell r="T1581">
            <v>48.5</v>
          </cell>
          <cell r="U1581">
            <v>171.5</v>
          </cell>
          <cell r="V1581">
            <v>197.5</v>
          </cell>
          <cell r="W1581">
            <v>582.5</v>
          </cell>
          <cell r="X1581">
            <v>118.5</v>
          </cell>
          <cell r="Y1581">
            <v>279.5</v>
          </cell>
          <cell r="Z1581">
            <v>79</v>
          </cell>
          <cell r="AA1581">
            <v>303</v>
          </cell>
          <cell r="AB1581">
            <v>410</v>
          </cell>
          <cell r="AC1581">
            <v>190</v>
          </cell>
          <cell r="AD1581">
            <v>220</v>
          </cell>
          <cell r="AE1581">
            <v>780</v>
          </cell>
          <cell r="AF1581">
            <v>398</v>
          </cell>
          <cell r="AG1581">
            <v>382</v>
          </cell>
        </row>
        <row r="1582">
          <cell r="C1582">
            <v>277563</v>
          </cell>
          <cell r="D1582" t="str">
            <v>GHOSALE PETROLEUM</v>
          </cell>
          <cell r="E1582" t="str">
            <v>IOCL</v>
          </cell>
          <cell r="F1582" t="str">
            <v>2013-14</v>
          </cell>
          <cell r="G1582" t="str">
            <v>Pune Tathawade RSA</v>
          </cell>
          <cell r="H1582">
            <v>41729</v>
          </cell>
          <cell r="I1582" t="str">
            <v>OPEN (W)</v>
          </cell>
          <cell r="J1582" t="str">
            <v>KAPURHOL TO SAROLA</v>
          </cell>
          <cell r="K1582" t="str">
            <v>Pune</v>
          </cell>
          <cell r="L1582" t="str">
            <v>D1</v>
          </cell>
          <cell r="M1582" t="str">
            <v>NH-48</v>
          </cell>
          <cell r="O1582" t="str">
            <v>A</v>
          </cell>
          <cell r="P1582">
            <v>21</v>
          </cell>
          <cell r="Q1582">
            <v>123</v>
          </cell>
          <cell r="R1582">
            <v>15.5</v>
          </cell>
          <cell r="S1582">
            <v>94.5</v>
          </cell>
          <cell r="T1582">
            <v>5.5</v>
          </cell>
          <cell r="U1582">
            <v>28.5</v>
          </cell>
          <cell r="V1582">
            <v>36</v>
          </cell>
          <cell r="W1582">
            <v>216</v>
          </cell>
          <cell r="X1582">
            <v>24.5</v>
          </cell>
          <cell r="Y1582">
            <v>171.5</v>
          </cell>
          <cell r="Z1582">
            <v>11.5</v>
          </cell>
          <cell r="AA1582">
            <v>44.5</v>
          </cell>
          <cell r="AB1582">
            <v>144</v>
          </cell>
          <cell r="AC1582">
            <v>110</v>
          </cell>
          <cell r="AD1582">
            <v>34</v>
          </cell>
          <cell r="AE1582">
            <v>252</v>
          </cell>
          <cell r="AF1582">
            <v>196</v>
          </cell>
          <cell r="AG1582">
            <v>56</v>
          </cell>
        </row>
        <row r="1583">
          <cell r="C1583">
            <v>277568</v>
          </cell>
          <cell r="D1583" t="str">
            <v>Shri Ambika Petroleum KSK</v>
          </cell>
          <cell r="E1583" t="str">
            <v>IOCL</v>
          </cell>
          <cell r="F1583" t="str">
            <v>2014-15</v>
          </cell>
          <cell r="G1583" t="str">
            <v>Satara East RSA</v>
          </cell>
          <cell r="H1583">
            <v>41912</v>
          </cell>
          <cell r="I1583" t="str">
            <v>OPEN (W)</v>
          </cell>
          <cell r="J1583" t="str">
            <v>WATHAR KIROLI</v>
          </cell>
          <cell r="K1583" t="str">
            <v>Satara</v>
          </cell>
          <cell r="L1583" t="str">
            <v>E</v>
          </cell>
          <cell r="O1583" t="str">
            <v>B</v>
          </cell>
          <cell r="P1583">
            <v>63</v>
          </cell>
          <cell r="Q1583">
            <v>81</v>
          </cell>
          <cell r="R1583">
            <v>54</v>
          </cell>
          <cell r="S1583">
            <v>66</v>
          </cell>
          <cell r="T1583">
            <v>9</v>
          </cell>
          <cell r="U1583">
            <v>15</v>
          </cell>
          <cell r="V1583">
            <v>117</v>
          </cell>
          <cell r="W1583">
            <v>147</v>
          </cell>
          <cell r="X1583">
            <v>111</v>
          </cell>
          <cell r="Y1583">
            <v>129</v>
          </cell>
          <cell r="Z1583">
            <v>6</v>
          </cell>
          <cell r="AA1583">
            <v>18</v>
          </cell>
          <cell r="AB1583">
            <v>144</v>
          </cell>
          <cell r="AC1583">
            <v>120</v>
          </cell>
          <cell r="AD1583">
            <v>24</v>
          </cell>
          <cell r="AE1583">
            <v>264</v>
          </cell>
          <cell r="AF1583">
            <v>240</v>
          </cell>
          <cell r="AG1583">
            <v>24</v>
          </cell>
        </row>
        <row r="1584">
          <cell r="C1584">
            <v>277636</v>
          </cell>
          <cell r="D1584" t="str">
            <v>GAYATRI PETROLEUM KSK</v>
          </cell>
          <cell r="E1584" t="str">
            <v>IOCL</v>
          </cell>
          <cell r="F1584" t="str">
            <v>2013-14</v>
          </cell>
          <cell r="G1584" t="str">
            <v>Pune City RSA</v>
          </cell>
          <cell r="H1584">
            <v>41728</v>
          </cell>
          <cell r="I1584" t="str">
            <v>OPEN</v>
          </cell>
          <cell r="J1584" t="str">
            <v>HINJEWADI MANN ROAD</v>
          </cell>
          <cell r="K1584" t="str">
            <v>Pune</v>
          </cell>
          <cell r="L1584" t="str">
            <v>A</v>
          </cell>
          <cell r="O1584" t="str">
            <v>B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0</v>
          </cell>
          <cell r="AE1584">
            <v>0</v>
          </cell>
          <cell r="AF1584">
            <v>0</v>
          </cell>
          <cell r="AG1584">
            <v>0</v>
          </cell>
        </row>
        <row r="1585">
          <cell r="C1585">
            <v>278146</v>
          </cell>
          <cell r="D1585" t="str">
            <v>SADGURU PETROLEUM</v>
          </cell>
          <cell r="E1585" t="str">
            <v>IOCL</v>
          </cell>
          <cell r="F1585" t="str">
            <v>2014-15</v>
          </cell>
          <cell r="G1585" t="str">
            <v>Satara West RSA</v>
          </cell>
          <cell r="H1585">
            <v>41759</v>
          </cell>
          <cell r="I1585" t="str">
            <v>OPEN</v>
          </cell>
          <cell r="J1585" t="str">
            <v>Khandala to Shirwal</v>
          </cell>
          <cell r="K1585" t="str">
            <v>Satara</v>
          </cell>
          <cell r="L1585" t="str">
            <v>D1</v>
          </cell>
          <cell r="M1585" t="str">
            <v>NH-48</v>
          </cell>
          <cell r="O1585" t="str">
            <v>B</v>
          </cell>
          <cell r="P1585">
            <v>149</v>
          </cell>
          <cell r="Q1585">
            <v>423</v>
          </cell>
          <cell r="R1585">
            <v>126</v>
          </cell>
          <cell r="S1585">
            <v>426</v>
          </cell>
          <cell r="T1585">
            <v>23</v>
          </cell>
          <cell r="U1585">
            <v>-3</v>
          </cell>
          <cell r="V1585">
            <v>267</v>
          </cell>
          <cell r="W1585">
            <v>825</v>
          </cell>
          <cell r="X1585">
            <v>252</v>
          </cell>
          <cell r="Y1585">
            <v>832</v>
          </cell>
          <cell r="Z1585">
            <v>15</v>
          </cell>
          <cell r="AA1585">
            <v>-7</v>
          </cell>
          <cell r="AB1585">
            <v>572</v>
          </cell>
          <cell r="AC1585">
            <v>552</v>
          </cell>
          <cell r="AD1585">
            <v>20</v>
          </cell>
          <cell r="AE1585">
            <v>1092</v>
          </cell>
          <cell r="AF1585">
            <v>1084</v>
          </cell>
          <cell r="AG1585">
            <v>8</v>
          </cell>
        </row>
        <row r="1586">
          <cell r="C1586">
            <v>278147</v>
          </cell>
          <cell r="D1586" t="str">
            <v>P G PETROLEUM</v>
          </cell>
          <cell r="E1586" t="str">
            <v>IOCL</v>
          </cell>
          <cell r="F1586" t="str">
            <v>2014-15</v>
          </cell>
          <cell r="G1586" t="str">
            <v>Satara East RSA</v>
          </cell>
          <cell r="H1586">
            <v>41759</v>
          </cell>
          <cell r="I1586" t="str">
            <v>OPEN</v>
          </cell>
          <cell r="J1586" t="str">
            <v>Wakalwadi</v>
          </cell>
          <cell r="K1586" t="str">
            <v>Satara</v>
          </cell>
          <cell r="L1586" t="str">
            <v>D2</v>
          </cell>
          <cell r="O1586" t="str">
            <v>B</v>
          </cell>
          <cell r="P1586">
            <v>15</v>
          </cell>
          <cell r="Q1586">
            <v>45</v>
          </cell>
          <cell r="R1586">
            <v>15</v>
          </cell>
          <cell r="S1586">
            <v>21</v>
          </cell>
          <cell r="T1586">
            <v>0</v>
          </cell>
          <cell r="U1586">
            <v>24</v>
          </cell>
          <cell r="V1586">
            <v>27</v>
          </cell>
          <cell r="W1586">
            <v>81</v>
          </cell>
          <cell r="X1586">
            <v>21</v>
          </cell>
          <cell r="Y1586">
            <v>39</v>
          </cell>
          <cell r="Z1586">
            <v>6</v>
          </cell>
          <cell r="AA1586">
            <v>42</v>
          </cell>
          <cell r="AB1586">
            <v>60</v>
          </cell>
          <cell r="AC1586">
            <v>36</v>
          </cell>
          <cell r="AD1586">
            <v>24</v>
          </cell>
          <cell r="AE1586">
            <v>108</v>
          </cell>
          <cell r="AF1586">
            <v>60</v>
          </cell>
          <cell r="AG1586">
            <v>48</v>
          </cell>
        </row>
        <row r="1587">
          <cell r="C1587">
            <v>278694</v>
          </cell>
          <cell r="D1587" t="str">
            <v>Shri Gajanan Maharaj Petroleum</v>
          </cell>
          <cell r="E1587" t="str">
            <v>IOCL</v>
          </cell>
          <cell r="F1587" t="str">
            <v>2014-15</v>
          </cell>
          <cell r="G1587" t="str">
            <v>Pune Saswad RSA</v>
          </cell>
          <cell r="H1587">
            <v>41790</v>
          </cell>
          <cell r="I1587" t="str">
            <v>OPEN (W)</v>
          </cell>
          <cell r="J1587" t="str">
            <v>INDAPUR</v>
          </cell>
          <cell r="K1587" t="str">
            <v>Pune</v>
          </cell>
          <cell r="L1587" t="str">
            <v>C</v>
          </cell>
          <cell r="O1587" t="str">
            <v>B</v>
          </cell>
          <cell r="P1587">
            <v>12</v>
          </cell>
          <cell r="Q1587">
            <v>24</v>
          </cell>
          <cell r="R1587">
            <v>12</v>
          </cell>
          <cell r="S1587">
            <v>24</v>
          </cell>
          <cell r="T1587">
            <v>0</v>
          </cell>
          <cell r="U1587">
            <v>0</v>
          </cell>
          <cell r="V1587">
            <v>24</v>
          </cell>
          <cell r="W1587">
            <v>36</v>
          </cell>
          <cell r="X1587">
            <v>18</v>
          </cell>
          <cell r="Y1587">
            <v>54</v>
          </cell>
          <cell r="Z1587">
            <v>6</v>
          </cell>
          <cell r="AA1587">
            <v>-18</v>
          </cell>
          <cell r="AB1587">
            <v>36</v>
          </cell>
          <cell r="AC1587">
            <v>36</v>
          </cell>
          <cell r="AD1587">
            <v>0</v>
          </cell>
          <cell r="AE1587">
            <v>60</v>
          </cell>
          <cell r="AF1587">
            <v>72</v>
          </cell>
          <cell r="AG1587">
            <v>-12</v>
          </cell>
        </row>
        <row r="1588">
          <cell r="C1588">
            <v>278696</v>
          </cell>
          <cell r="D1588" t="str">
            <v>Kaka Tambe Petroleum</v>
          </cell>
          <cell r="E1588" t="str">
            <v>IOCL</v>
          </cell>
          <cell r="F1588" t="str">
            <v>2014-15</v>
          </cell>
          <cell r="G1588" t="str">
            <v>Ahmednagar East RSA</v>
          </cell>
          <cell r="H1588">
            <v>41790</v>
          </cell>
          <cell r="I1588" t="str">
            <v>OPEN (W)</v>
          </cell>
          <cell r="J1588" t="str">
            <v>WAMBHORI PHATA ON NH160</v>
          </cell>
          <cell r="K1588" t="str">
            <v>Ahmednagar</v>
          </cell>
          <cell r="L1588" t="str">
            <v>D1</v>
          </cell>
          <cell r="M1588" t="str">
            <v>NH-160</v>
          </cell>
          <cell r="O1588" t="str">
            <v>B</v>
          </cell>
          <cell r="P1588">
            <v>13</v>
          </cell>
          <cell r="Q1588">
            <v>59</v>
          </cell>
          <cell r="R1588">
            <v>19</v>
          </cell>
          <cell r="S1588">
            <v>43</v>
          </cell>
          <cell r="T1588">
            <v>-6</v>
          </cell>
          <cell r="U1588">
            <v>16</v>
          </cell>
          <cell r="V1588">
            <v>22</v>
          </cell>
          <cell r="W1588">
            <v>110</v>
          </cell>
          <cell r="X1588">
            <v>37</v>
          </cell>
          <cell r="Y1588">
            <v>85</v>
          </cell>
          <cell r="Z1588">
            <v>-15</v>
          </cell>
          <cell r="AA1588">
            <v>25</v>
          </cell>
          <cell r="AB1588">
            <v>72</v>
          </cell>
          <cell r="AC1588">
            <v>62</v>
          </cell>
          <cell r="AD1588">
            <v>10</v>
          </cell>
          <cell r="AE1588">
            <v>132</v>
          </cell>
          <cell r="AF1588">
            <v>122</v>
          </cell>
          <cell r="AG1588">
            <v>10</v>
          </cell>
        </row>
        <row r="1589">
          <cell r="C1589">
            <v>279185</v>
          </cell>
          <cell r="D1589" t="str">
            <v>SHREE SAI PETROLEUM</v>
          </cell>
          <cell r="E1589" t="str">
            <v>IOCL</v>
          </cell>
          <cell r="F1589" t="str">
            <v>2014-15</v>
          </cell>
          <cell r="G1589" t="str">
            <v>Pune Saswad RSA</v>
          </cell>
          <cell r="H1589">
            <v>41820</v>
          </cell>
          <cell r="I1589" t="str">
            <v>OPEN (W)</v>
          </cell>
          <cell r="J1589" t="str">
            <v>badalwadi</v>
          </cell>
          <cell r="K1589" t="str">
            <v>Pune</v>
          </cell>
          <cell r="L1589" t="str">
            <v>D1</v>
          </cell>
          <cell r="M1589" t="str">
            <v>NH-65</v>
          </cell>
          <cell r="O1589" t="str">
            <v>B</v>
          </cell>
          <cell r="P1589">
            <v>42</v>
          </cell>
          <cell r="Q1589">
            <v>114</v>
          </cell>
          <cell r="R1589">
            <v>39</v>
          </cell>
          <cell r="S1589">
            <v>81</v>
          </cell>
          <cell r="T1589">
            <v>3</v>
          </cell>
          <cell r="U1589">
            <v>33</v>
          </cell>
          <cell r="V1589">
            <v>90</v>
          </cell>
          <cell r="W1589">
            <v>198</v>
          </cell>
          <cell r="X1589">
            <v>81</v>
          </cell>
          <cell r="Y1589">
            <v>159</v>
          </cell>
          <cell r="Z1589">
            <v>9</v>
          </cell>
          <cell r="AA1589">
            <v>39</v>
          </cell>
          <cell r="AB1589">
            <v>156</v>
          </cell>
          <cell r="AC1589">
            <v>120</v>
          </cell>
          <cell r="AD1589">
            <v>36</v>
          </cell>
          <cell r="AE1589">
            <v>288</v>
          </cell>
          <cell r="AF1589">
            <v>240</v>
          </cell>
          <cell r="AG1589">
            <v>48</v>
          </cell>
        </row>
        <row r="1590">
          <cell r="C1590">
            <v>279738</v>
          </cell>
          <cell r="D1590" t="str">
            <v>S R MOTE FUEL STATION</v>
          </cell>
          <cell r="E1590" t="str">
            <v>IOCL</v>
          </cell>
          <cell r="F1590" t="str">
            <v>2014-15</v>
          </cell>
          <cell r="G1590" t="str">
            <v>Ahmednagar East RSA</v>
          </cell>
          <cell r="H1590">
            <v>41851</v>
          </cell>
          <cell r="I1590" t="str">
            <v>OPEN (W)</v>
          </cell>
          <cell r="J1590" t="str">
            <v>Kangoni</v>
          </cell>
          <cell r="K1590" t="str">
            <v>Ahmednagar</v>
          </cell>
          <cell r="L1590" t="str">
            <v>D1</v>
          </cell>
          <cell r="M1590" t="str">
            <v>NH-753F</v>
          </cell>
          <cell r="O1590" t="str">
            <v>B</v>
          </cell>
          <cell r="P1590">
            <v>28</v>
          </cell>
          <cell r="Q1590">
            <v>74</v>
          </cell>
          <cell r="R1590">
            <v>0</v>
          </cell>
          <cell r="S1590">
            <v>0</v>
          </cell>
          <cell r="T1590">
            <v>28</v>
          </cell>
          <cell r="U1590">
            <v>74</v>
          </cell>
          <cell r="V1590">
            <v>44.5</v>
          </cell>
          <cell r="W1590">
            <v>107.5</v>
          </cell>
          <cell r="X1590">
            <v>0</v>
          </cell>
          <cell r="Y1590">
            <v>0</v>
          </cell>
          <cell r="Z1590">
            <v>44.5</v>
          </cell>
          <cell r="AA1590">
            <v>107.5</v>
          </cell>
          <cell r="AB1590">
            <v>102</v>
          </cell>
          <cell r="AC1590">
            <v>0</v>
          </cell>
          <cell r="AD1590">
            <v>102</v>
          </cell>
          <cell r="AE1590">
            <v>152</v>
          </cell>
          <cell r="AF1590">
            <v>0</v>
          </cell>
          <cell r="AG1590">
            <v>152</v>
          </cell>
        </row>
        <row r="1591">
          <cell r="C1591">
            <v>280151</v>
          </cell>
          <cell r="D1591" t="str">
            <v>Sathe Petroleum</v>
          </cell>
          <cell r="E1591" t="str">
            <v>IOCL</v>
          </cell>
          <cell r="F1591" t="str">
            <v>2014-15</v>
          </cell>
          <cell r="G1591" t="str">
            <v>Pune Hadapsar RSA</v>
          </cell>
          <cell r="H1591">
            <v>41881</v>
          </cell>
          <cell r="I1591" t="str">
            <v>OPEN</v>
          </cell>
          <cell r="J1591" t="str">
            <v>Nagargaon</v>
          </cell>
          <cell r="K1591" t="str">
            <v>Pune</v>
          </cell>
          <cell r="L1591" t="str">
            <v>D2</v>
          </cell>
          <cell r="O1591" t="str">
            <v>B</v>
          </cell>
          <cell r="P1591">
            <v>30</v>
          </cell>
          <cell r="Q1591">
            <v>182</v>
          </cell>
          <cell r="R1591">
            <v>35.5</v>
          </cell>
          <cell r="S1591">
            <v>166.5</v>
          </cell>
          <cell r="T1591">
            <v>-5.5</v>
          </cell>
          <cell r="U1591">
            <v>15.5</v>
          </cell>
          <cell r="V1591">
            <v>56</v>
          </cell>
          <cell r="W1591">
            <v>332</v>
          </cell>
          <cell r="X1591">
            <v>61.5</v>
          </cell>
          <cell r="Y1591">
            <v>318.5</v>
          </cell>
          <cell r="Z1591">
            <v>-5.5</v>
          </cell>
          <cell r="AA1591">
            <v>13.5</v>
          </cell>
          <cell r="AB1591">
            <v>212</v>
          </cell>
          <cell r="AC1591">
            <v>202</v>
          </cell>
          <cell r="AD1591">
            <v>10</v>
          </cell>
          <cell r="AE1591">
            <v>388</v>
          </cell>
          <cell r="AF1591">
            <v>380</v>
          </cell>
          <cell r="AG1591">
            <v>8</v>
          </cell>
        </row>
        <row r="1592">
          <cell r="C1592">
            <v>280302</v>
          </cell>
          <cell r="D1592" t="str">
            <v>Malhar Petrol Centre</v>
          </cell>
          <cell r="E1592" t="str">
            <v>IOCL</v>
          </cell>
          <cell r="F1592" t="str">
            <v>2014-15</v>
          </cell>
          <cell r="G1592" t="str">
            <v>Pune Hadapsar RSA</v>
          </cell>
          <cell r="H1592">
            <v>41882</v>
          </cell>
          <cell r="I1592" t="str">
            <v>OPEN (W)</v>
          </cell>
          <cell r="J1592" t="str">
            <v>SHINDAWANE</v>
          </cell>
          <cell r="K1592" t="str">
            <v>Pune</v>
          </cell>
          <cell r="L1592" t="str">
            <v>D2</v>
          </cell>
          <cell r="O1592" t="str">
            <v>B</v>
          </cell>
          <cell r="P1592">
            <v>12</v>
          </cell>
          <cell r="Q1592">
            <v>24</v>
          </cell>
          <cell r="R1592">
            <v>3</v>
          </cell>
          <cell r="S1592">
            <v>9</v>
          </cell>
          <cell r="T1592">
            <v>9</v>
          </cell>
          <cell r="U1592">
            <v>15</v>
          </cell>
          <cell r="V1592">
            <v>18</v>
          </cell>
          <cell r="W1592">
            <v>42</v>
          </cell>
          <cell r="X1592">
            <v>9</v>
          </cell>
          <cell r="Y1592">
            <v>27</v>
          </cell>
          <cell r="Z1592">
            <v>9</v>
          </cell>
          <cell r="AA1592">
            <v>15</v>
          </cell>
          <cell r="AB1592">
            <v>36</v>
          </cell>
          <cell r="AC1592">
            <v>12</v>
          </cell>
          <cell r="AD1592">
            <v>24</v>
          </cell>
          <cell r="AE1592">
            <v>60</v>
          </cell>
          <cell r="AF1592">
            <v>36</v>
          </cell>
          <cell r="AG1592">
            <v>24</v>
          </cell>
        </row>
        <row r="1593">
          <cell r="C1593">
            <v>280303</v>
          </cell>
          <cell r="D1593" t="str">
            <v>Shreenath Petroleum</v>
          </cell>
          <cell r="E1593" t="str">
            <v>IOCL</v>
          </cell>
          <cell r="F1593" t="str">
            <v>2014-15</v>
          </cell>
          <cell r="G1593" t="str">
            <v>Pune Saswad RSA</v>
          </cell>
          <cell r="H1593">
            <v>41882</v>
          </cell>
          <cell r="I1593" t="str">
            <v>OPEN</v>
          </cell>
          <cell r="J1593" t="str">
            <v>HINGANGAON</v>
          </cell>
          <cell r="K1593" t="str">
            <v>Pune</v>
          </cell>
          <cell r="L1593" t="str">
            <v>D1</v>
          </cell>
          <cell r="M1593" t="str">
            <v>NH-65</v>
          </cell>
          <cell r="O1593" t="str">
            <v>B</v>
          </cell>
          <cell r="P1593">
            <v>33</v>
          </cell>
          <cell r="Q1593">
            <v>51</v>
          </cell>
          <cell r="R1593">
            <v>23</v>
          </cell>
          <cell r="S1593">
            <v>33</v>
          </cell>
          <cell r="T1593">
            <v>10</v>
          </cell>
          <cell r="U1593">
            <v>18</v>
          </cell>
          <cell r="V1593">
            <v>54</v>
          </cell>
          <cell r="W1593">
            <v>90</v>
          </cell>
          <cell r="X1593">
            <v>59</v>
          </cell>
          <cell r="Y1593">
            <v>93</v>
          </cell>
          <cell r="Z1593">
            <v>-5</v>
          </cell>
          <cell r="AA1593">
            <v>-3</v>
          </cell>
          <cell r="AB1593">
            <v>84</v>
          </cell>
          <cell r="AC1593">
            <v>56</v>
          </cell>
          <cell r="AD1593">
            <v>28</v>
          </cell>
          <cell r="AE1593">
            <v>144</v>
          </cell>
          <cell r="AF1593">
            <v>152</v>
          </cell>
          <cell r="AG1593">
            <v>-8</v>
          </cell>
        </row>
        <row r="1594">
          <cell r="C1594">
            <v>280306</v>
          </cell>
          <cell r="D1594" t="str">
            <v>Yash Ganga Petroleum</v>
          </cell>
          <cell r="E1594" t="str">
            <v>IOCL</v>
          </cell>
          <cell r="F1594" t="str">
            <v>2014-15</v>
          </cell>
          <cell r="G1594" t="str">
            <v>Satara East RSA</v>
          </cell>
          <cell r="H1594">
            <v>41911</v>
          </cell>
          <cell r="I1594" t="str">
            <v>OPEN</v>
          </cell>
          <cell r="J1594" t="str">
            <v>Lonand Shirval Road</v>
          </cell>
          <cell r="K1594" t="str">
            <v>Satara</v>
          </cell>
          <cell r="L1594" t="str">
            <v>D1</v>
          </cell>
          <cell r="M1594" t="str">
            <v>NH-965DD</v>
          </cell>
          <cell r="O1594" t="str">
            <v>B</v>
          </cell>
          <cell r="P1594">
            <v>33</v>
          </cell>
          <cell r="Q1594">
            <v>183</v>
          </cell>
          <cell r="R1594">
            <v>33</v>
          </cell>
          <cell r="S1594">
            <v>99</v>
          </cell>
          <cell r="T1594">
            <v>0</v>
          </cell>
          <cell r="U1594">
            <v>84</v>
          </cell>
          <cell r="V1594">
            <v>60</v>
          </cell>
          <cell r="W1594">
            <v>276</v>
          </cell>
          <cell r="X1594">
            <v>63</v>
          </cell>
          <cell r="Y1594">
            <v>213</v>
          </cell>
          <cell r="Z1594">
            <v>-3</v>
          </cell>
          <cell r="AA1594">
            <v>63</v>
          </cell>
          <cell r="AB1594">
            <v>216</v>
          </cell>
          <cell r="AC1594">
            <v>132</v>
          </cell>
          <cell r="AD1594">
            <v>84</v>
          </cell>
          <cell r="AE1594">
            <v>336</v>
          </cell>
          <cell r="AF1594">
            <v>276</v>
          </cell>
          <cell r="AG1594">
            <v>60</v>
          </cell>
        </row>
        <row r="1595">
          <cell r="C1595">
            <v>280994</v>
          </cell>
          <cell r="D1595" t="str">
            <v>Subhodini Petroleum</v>
          </cell>
          <cell r="E1595" t="str">
            <v>IOCL</v>
          </cell>
          <cell r="F1595" t="str">
            <v>2014-15</v>
          </cell>
          <cell r="G1595" t="str">
            <v>Ahmednagar East RSA</v>
          </cell>
          <cell r="H1595">
            <v>41912</v>
          </cell>
          <cell r="I1595" t="str">
            <v>OPEN (W)</v>
          </cell>
          <cell r="J1595" t="str">
            <v>Nagar-Manmad Bypass</v>
          </cell>
          <cell r="K1595" t="str">
            <v>Ahmednagar</v>
          </cell>
          <cell r="L1595" t="str">
            <v>D1</v>
          </cell>
          <cell r="M1595" t="str">
            <v>NH-160</v>
          </cell>
          <cell r="O1595" t="str">
            <v>B</v>
          </cell>
          <cell r="P1595">
            <v>9</v>
          </cell>
          <cell r="Q1595">
            <v>87</v>
          </cell>
          <cell r="R1595">
            <v>18</v>
          </cell>
          <cell r="S1595">
            <v>102</v>
          </cell>
          <cell r="T1595">
            <v>-9</v>
          </cell>
          <cell r="U1595">
            <v>-15</v>
          </cell>
          <cell r="V1595">
            <v>18</v>
          </cell>
          <cell r="W1595">
            <v>150</v>
          </cell>
          <cell r="X1595">
            <v>24</v>
          </cell>
          <cell r="Y1595">
            <v>180</v>
          </cell>
          <cell r="Z1595">
            <v>-6</v>
          </cell>
          <cell r="AA1595">
            <v>-30</v>
          </cell>
          <cell r="AB1595">
            <v>96</v>
          </cell>
          <cell r="AC1595">
            <v>120</v>
          </cell>
          <cell r="AD1595">
            <v>-24</v>
          </cell>
          <cell r="AE1595">
            <v>168</v>
          </cell>
          <cell r="AF1595">
            <v>204</v>
          </cell>
          <cell r="AG1595">
            <v>-36</v>
          </cell>
        </row>
        <row r="1596">
          <cell r="C1596">
            <v>281539</v>
          </cell>
          <cell r="D1596" t="str">
            <v>BACHAL PETROELUM</v>
          </cell>
          <cell r="E1596" t="str">
            <v>IOCL</v>
          </cell>
          <cell r="F1596" t="str">
            <v>2014-15</v>
          </cell>
          <cell r="G1596" t="str">
            <v>Satara East RSA</v>
          </cell>
          <cell r="H1596">
            <v>41943</v>
          </cell>
          <cell r="I1596" t="str">
            <v>OPEN</v>
          </cell>
          <cell r="J1596" t="str">
            <v>Koregaon</v>
          </cell>
          <cell r="K1596" t="str">
            <v>Satara</v>
          </cell>
          <cell r="L1596" t="str">
            <v>D1</v>
          </cell>
          <cell r="M1596" t="str">
            <v>NH-548C</v>
          </cell>
          <cell r="O1596" t="str">
            <v>B</v>
          </cell>
          <cell r="P1596">
            <v>87</v>
          </cell>
          <cell r="Q1596">
            <v>105</v>
          </cell>
          <cell r="R1596">
            <v>39</v>
          </cell>
          <cell r="S1596">
            <v>69</v>
          </cell>
          <cell r="T1596">
            <v>48</v>
          </cell>
          <cell r="U1596">
            <v>36</v>
          </cell>
          <cell r="V1596">
            <v>138</v>
          </cell>
          <cell r="W1596">
            <v>174</v>
          </cell>
          <cell r="X1596">
            <v>81</v>
          </cell>
          <cell r="Y1596">
            <v>135</v>
          </cell>
          <cell r="Z1596">
            <v>57</v>
          </cell>
          <cell r="AA1596">
            <v>39</v>
          </cell>
          <cell r="AB1596">
            <v>192</v>
          </cell>
          <cell r="AC1596">
            <v>108</v>
          </cell>
          <cell r="AD1596">
            <v>84</v>
          </cell>
          <cell r="AE1596">
            <v>312</v>
          </cell>
          <cell r="AF1596">
            <v>216</v>
          </cell>
          <cell r="AG1596">
            <v>96</v>
          </cell>
        </row>
        <row r="1597">
          <cell r="C1597">
            <v>282170</v>
          </cell>
          <cell r="D1597" t="str">
            <v>TRIMURTI PETROLEUM</v>
          </cell>
          <cell r="E1597" t="str">
            <v>IOCL</v>
          </cell>
          <cell r="F1597" t="str">
            <v>2014-15</v>
          </cell>
          <cell r="G1597" t="str">
            <v>Satara West RSA</v>
          </cell>
          <cell r="H1597">
            <v>41974</v>
          </cell>
          <cell r="I1597" t="str">
            <v>OPEN</v>
          </cell>
          <cell r="J1597" t="str">
            <v>Satara City</v>
          </cell>
          <cell r="K1597" t="str">
            <v>Satara</v>
          </cell>
          <cell r="L1597" t="str">
            <v>C</v>
          </cell>
          <cell r="O1597" t="str">
            <v>B</v>
          </cell>
          <cell r="P1597">
            <v>96</v>
          </cell>
          <cell r="Q1597">
            <v>84</v>
          </cell>
          <cell r="R1597">
            <v>78</v>
          </cell>
          <cell r="S1597">
            <v>66</v>
          </cell>
          <cell r="T1597">
            <v>18</v>
          </cell>
          <cell r="U1597">
            <v>18</v>
          </cell>
          <cell r="V1597">
            <v>180</v>
          </cell>
          <cell r="W1597">
            <v>168</v>
          </cell>
          <cell r="X1597">
            <v>138</v>
          </cell>
          <cell r="Y1597">
            <v>138</v>
          </cell>
          <cell r="Z1597">
            <v>42</v>
          </cell>
          <cell r="AA1597">
            <v>30</v>
          </cell>
          <cell r="AB1597">
            <v>180</v>
          </cell>
          <cell r="AC1597">
            <v>144</v>
          </cell>
          <cell r="AD1597">
            <v>36</v>
          </cell>
          <cell r="AE1597">
            <v>348</v>
          </cell>
          <cell r="AF1597">
            <v>276</v>
          </cell>
          <cell r="AG1597">
            <v>72</v>
          </cell>
        </row>
        <row r="1598">
          <cell r="C1598">
            <v>282740</v>
          </cell>
          <cell r="D1598" t="str">
            <v>SHIV KAILASH PETROLEUM</v>
          </cell>
          <cell r="E1598" t="str">
            <v>IOCL</v>
          </cell>
          <cell r="F1598" t="str">
            <v>2014-15</v>
          </cell>
          <cell r="G1598" t="str">
            <v>Pune Saswad RSA</v>
          </cell>
          <cell r="H1598">
            <v>42004</v>
          </cell>
          <cell r="I1598" t="str">
            <v>OPEN</v>
          </cell>
          <cell r="J1598" t="str">
            <v>Jejuri Morgaon Road</v>
          </cell>
          <cell r="K1598" t="str">
            <v>Pune</v>
          </cell>
          <cell r="L1598" t="str">
            <v>D2</v>
          </cell>
          <cell r="O1598" t="str">
            <v>B</v>
          </cell>
          <cell r="P1598">
            <v>31</v>
          </cell>
          <cell r="Q1598">
            <v>103</v>
          </cell>
          <cell r="R1598">
            <v>29</v>
          </cell>
          <cell r="S1598">
            <v>73</v>
          </cell>
          <cell r="T1598">
            <v>2</v>
          </cell>
          <cell r="U1598">
            <v>30</v>
          </cell>
          <cell r="V1598">
            <v>56</v>
          </cell>
          <cell r="W1598">
            <v>192</v>
          </cell>
          <cell r="X1598">
            <v>51</v>
          </cell>
          <cell r="Y1598">
            <v>121</v>
          </cell>
          <cell r="Z1598">
            <v>5</v>
          </cell>
          <cell r="AA1598">
            <v>71</v>
          </cell>
          <cell r="AB1598">
            <v>134</v>
          </cell>
          <cell r="AC1598">
            <v>102</v>
          </cell>
          <cell r="AD1598">
            <v>32</v>
          </cell>
          <cell r="AE1598">
            <v>248</v>
          </cell>
          <cell r="AF1598">
            <v>172</v>
          </cell>
          <cell r="AG1598">
            <v>76</v>
          </cell>
        </row>
        <row r="1599">
          <cell r="C1599">
            <v>282747</v>
          </cell>
          <cell r="D1599" t="str">
            <v>RAMKUVAR PETROLEUM</v>
          </cell>
          <cell r="E1599" t="str">
            <v>IOCL</v>
          </cell>
          <cell r="F1599" t="str">
            <v>2014-15</v>
          </cell>
          <cell r="G1599" t="str">
            <v>Pune Saswad RSA</v>
          </cell>
          <cell r="H1599">
            <v>42004</v>
          </cell>
          <cell r="I1599" t="str">
            <v>OPEN</v>
          </cell>
          <cell r="J1599" t="str">
            <v>walhe</v>
          </cell>
          <cell r="K1599" t="str">
            <v>Pune</v>
          </cell>
          <cell r="L1599" t="str">
            <v>D1</v>
          </cell>
          <cell r="M1599" t="str">
            <v>NH-965</v>
          </cell>
          <cell r="O1599" t="str">
            <v>B</v>
          </cell>
          <cell r="P1599">
            <v>54.5</v>
          </cell>
          <cell r="Q1599">
            <v>75.5</v>
          </cell>
          <cell r="R1599">
            <v>49.5</v>
          </cell>
          <cell r="S1599">
            <v>56.5</v>
          </cell>
          <cell r="T1599">
            <v>5</v>
          </cell>
          <cell r="U1599">
            <v>19</v>
          </cell>
          <cell r="V1599">
            <v>99.5</v>
          </cell>
          <cell r="W1599">
            <v>134.5</v>
          </cell>
          <cell r="X1599">
            <v>84.5</v>
          </cell>
          <cell r="Y1599">
            <v>101.5</v>
          </cell>
          <cell r="Z1599">
            <v>15</v>
          </cell>
          <cell r="AA1599">
            <v>33</v>
          </cell>
          <cell r="AB1599">
            <v>130</v>
          </cell>
          <cell r="AC1599">
            <v>106</v>
          </cell>
          <cell r="AD1599">
            <v>24</v>
          </cell>
          <cell r="AE1599">
            <v>234</v>
          </cell>
          <cell r="AF1599">
            <v>186</v>
          </cell>
          <cell r="AG1599">
            <v>48</v>
          </cell>
        </row>
        <row r="1600">
          <cell r="C1600">
            <v>282762</v>
          </cell>
          <cell r="D1600" t="str">
            <v>KHANDELWAL PETROLEUM</v>
          </cell>
          <cell r="E1600" t="str">
            <v>IOCL</v>
          </cell>
          <cell r="F1600" t="str">
            <v>2014-15</v>
          </cell>
          <cell r="G1600" t="str">
            <v>Satara East RSA</v>
          </cell>
          <cell r="H1600">
            <v>42004</v>
          </cell>
          <cell r="I1600" t="str">
            <v>OPEN</v>
          </cell>
          <cell r="J1600" t="str">
            <v>Phaltan Baramati Road</v>
          </cell>
          <cell r="K1600" t="str">
            <v>Satara</v>
          </cell>
          <cell r="L1600" t="str">
            <v>D1</v>
          </cell>
          <cell r="M1600" t="str">
            <v>NH-160</v>
          </cell>
          <cell r="O1600" t="str">
            <v>B</v>
          </cell>
          <cell r="P1600">
            <v>15.5</v>
          </cell>
          <cell r="Q1600">
            <v>72.5</v>
          </cell>
          <cell r="R1600">
            <v>0</v>
          </cell>
          <cell r="S1600">
            <v>0</v>
          </cell>
          <cell r="T1600">
            <v>15.5</v>
          </cell>
          <cell r="U1600">
            <v>72.5</v>
          </cell>
          <cell r="V1600">
            <v>26</v>
          </cell>
          <cell r="W1600">
            <v>132</v>
          </cell>
          <cell r="X1600">
            <v>0</v>
          </cell>
          <cell r="Y1600">
            <v>0</v>
          </cell>
          <cell r="Z1600">
            <v>26</v>
          </cell>
          <cell r="AA1600">
            <v>132</v>
          </cell>
          <cell r="AB1600">
            <v>88</v>
          </cell>
          <cell r="AC1600">
            <v>0</v>
          </cell>
          <cell r="AD1600">
            <v>88</v>
          </cell>
          <cell r="AE1600">
            <v>158</v>
          </cell>
          <cell r="AF1600">
            <v>0</v>
          </cell>
          <cell r="AG1600">
            <v>158</v>
          </cell>
        </row>
        <row r="1601">
          <cell r="C1601">
            <v>282776</v>
          </cell>
          <cell r="D1601" t="str">
            <v>UNDRE PATIL PETROLEUM</v>
          </cell>
          <cell r="E1601" t="str">
            <v>IOCL</v>
          </cell>
          <cell r="F1601" t="str">
            <v>2014-15</v>
          </cell>
          <cell r="G1601" t="str">
            <v>Pune Wagholi RSA</v>
          </cell>
          <cell r="H1601">
            <v>42004</v>
          </cell>
          <cell r="I1601" t="str">
            <v>OPEN</v>
          </cell>
          <cell r="J1601" t="str">
            <v>Koregaon Bhima to Shikrapur LHS</v>
          </cell>
          <cell r="K1601" t="str">
            <v>Pune</v>
          </cell>
          <cell r="L1601" t="str">
            <v>D1</v>
          </cell>
          <cell r="M1601" t="str">
            <v>NH-753F</v>
          </cell>
          <cell r="O1601" t="str">
            <v>B</v>
          </cell>
          <cell r="P1601">
            <v>54</v>
          </cell>
          <cell r="Q1601">
            <v>210</v>
          </cell>
          <cell r="R1601">
            <v>57.5</v>
          </cell>
          <cell r="S1601">
            <v>211.5</v>
          </cell>
          <cell r="T1601">
            <v>-3.5</v>
          </cell>
          <cell r="U1601">
            <v>-1.5</v>
          </cell>
          <cell r="V1601">
            <v>99</v>
          </cell>
          <cell r="W1601">
            <v>384</v>
          </cell>
          <cell r="X1601">
            <v>102.5</v>
          </cell>
          <cell r="Y1601">
            <v>366.5</v>
          </cell>
          <cell r="Z1601">
            <v>-3.5</v>
          </cell>
          <cell r="AA1601">
            <v>17.5</v>
          </cell>
          <cell r="AB1601">
            <v>264</v>
          </cell>
          <cell r="AC1601">
            <v>269</v>
          </cell>
          <cell r="AD1601">
            <v>-5</v>
          </cell>
          <cell r="AE1601">
            <v>483</v>
          </cell>
          <cell r="AF1601">
            <v>469</v>
          </cell>
          <cell r="AG1601">
            <v>14</v>
          </cell>
        </row>
        <row r="1602">
          <cell r="C1602">
            <v>282784</v>
          </cell>
          <cell r="D1602" t="str">
            <v>SIDDHI VINAYAK PETROLEUM</v>
          </cell>
          <cell r="E1602" t="str">
            <v>IOCL</v>
          </cell>
          <cell r="F1602" t="str">
            <v>2014-15</v>
          </cell>
          <cell r="G1602" t="str">
            <v>Pune City RSA</v>
          </cell>
          <cell r="H1602">
            <v>42004</v>
          </cell>
          <cell r="I1602" t="str">
            <v>OPEN</v>
          </cell>
          <cell r="J1602" t="str">
            <v>HINJEWADI MANN ROAD</v>
          </cell>
          <cell r="K1602" t="str">
            <v>Pune</v>
          </cell>
          <cell r="L1602" t="str">
            <v>A</v>
          </cell>
          <cell r="O1602" t="str">
            <v>B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</row>
        <row r="1603">
          <cell r="C1603">
            <v>283241</v>
          </cell>
          <cell r="D1603" t="str">
            <v>OM SAI PETROLEUM</v>
          </cell>
          <cell r="E1603" t="str">
            <v>IOCL</v>
          </cell>
          <cell r="F1603" t="str">
            <v>2014-15</v>
          </cell>
          <cell r="G1603" t="str">
            <v>Ahmednagar West RSA</v>
          </cell>
          <cell r="H1603">
            <v>42033</v>
          </cell>
          <cell r="I1603" t="str">
            <v>OPEN</v>
          </cell>
          <cell r="J1603" t="str">
            <v>Pimpri Kolander</v>
          </cell>
          <cell r="K1603" t="str">
            <v>Ahmednagar</v>
          </cell>
          <cell r="L1603" t="str">
            <v>D2</v>
          </cell>
          <cell r="O1603" t="str">
            <v>B</v>
          </cell>
          <cell r="P1603">
            <v>35</v>
          </cell>
          <cell r="Q1603">
            <v>245</v>
          </cell>
          <cell r="R1603">
            <v>38.5</v>
          </cell>
          <cell r="S1603">
            <v>143.5</v>
          </cell>
          <cell r="T1603">
            <v>-3.5</v>
          </cell>
          <cell r="U1603">
            <v>101.5</v>
          </cell>
          <cell r="V1603">
            <v>56</v>
          </cell>
          <cell r="W1603">
            <v>448</v>
          </cell>
          <cell r="X1603">
            <v>71</v>
          </cell>
          <cell r="Y1603">
            <v>311</v>
          </cell>
          <cell r="Z1603">
            <v>-15</v>
          </cell>
          <cell r="AA1603">
            <v>137</v>
          </cell>
          <cell r="AB1603">
            <v>280</v>
          </cell>
          <cell r="AC1603">
            <v>182</v>
          </cell>
          <cell r="AD1603">
            <v>98</v>
          </cell>
          <cell r="AE1603">
            <v>504</v>
          </cell>
          <cell r="AF1603">
            <v>382</v>
          </cell>
          <cell r="AG1603">
            <v>122</v>
          </cell>
        </row>
        <row r="1604">
          <cell r="C1604">
            <v>283332</v>
          </cell>
          <cell r="D1604" t="str">
            <v>Dhawan Patil Kisan Seva Kendra</v>
          </cell>
          <cell r="E1604" t="str">
            <v>IOCL</v>
          </cell>
          <cell r="F1604" t="str">
            <v>2014-15</v>
          </cell>
          <cell r="G1604" t="str">
            <v>Pune Tathawade RSA</v>
          </cell>
          <cell r="H1604">
            <v>42044</v>
          </cell>
          <cell r="I1604" t="str">
            <v>OPEN (W)</v>
          </cell>
          <cell r="J1604" t="str">
            <v>BARAMATI TOWN ON MORGAON RD</v>
          </cell>
          <cell r="K1604" t="str">
            <v>Pune</v>
          </cell>
          <cell r="L1604" t="str">
            <v>D2</v>
          </cell>
          <cell r="O1604" t="str">
            <v>B</v>
          </cell>
          <cell r="P1604">
            <v>6</v>
          </cell>
          <cell r="Q1604">
            <v>30</v>
          </cell>
          <cell r="R1604">
            <v>3</v>
          </cell>
          <cell r="S1604">
            <v>9</v>
          </cell>
          <cell r="T1604">
            <v>3</v>
          </cell>
          <cell r="U1604">
            <v>21</v>
          </cell>
          <cell r="V1604">
            <v>6</v>
          </cell>
          <cell r="W1604">
            <v>54</v>
          </cell>
          <cell r="X1604">
            <v>3</v>
          </cell>
          <cell r="Y1604">
            <v>9</v>
          </cell>
          <cell r="Z1604">
            <v>3</v>
          </cell>
          <cell r="AA1604">
            <v>45</v>
          </cell>
          <cell r="AB1604">
            <v>36</v>
          </cell>
          <cell r="AC1604">
            <v>12</v>
          </cell>
          <cell r="AD1604">
            <v>24</v>
          </cell>
          <cell r="AE1604">
            <v>60</v>
          </cell>
          <cell r="AF1604">
            <v>12</v>
          </cell>
          <cell r="AG1604">
            <v>48</v>
          </cell>
        </row>
        <row r="1605">
          <cell r="C1605">
            <v>283735</v>
          </cell>
          <cell r="D1605" t="str">
            <v>H R Bhusari &amp; Sons</v>
          </cell>
          <cell r="E1605" t="str">
            <v>IOCL</v>
          </cell>
          <cell r="F1605" t="str">
            <v>2014-15</v>
          </cell>
          <cell r="G1605" t="str">
            <v>Ahmednagar East RSA</v>
          </cell>
          <cell r="H1605">
            <v>42063</v>
          </cell>
          <cell r="I1605" t="str">
            <v>OPEN</v>
          </cell>
          <cell r="J1605" t="str">
            <v>Newasa Budruk</v>
          </cell>
          <cell r="K1605" t="str">
            <v>Ahmednagar</v>
          </cell>
          <cell r="L1605" t="str">
            <v>D2</v>
          </cell>
          <cell r="O1605" t="str">
            <v>B</v>
          </cell>
          <cell r="P1605">
            <v>10</v>
          </cell>
          <cell r="Q1605">
            <v>62</v>
          </cell>
          <cell r="R1605">
            <v>9</v>
          </cell>
          <cell r="S1605">
            <v>27</v>
          </cell>
          <cell r="T1605">
            <v>1</v>
          </cell>
          <cell r="U1605">
            <v>35</v>
          </cell>
          <cell r="V1605">
            <v>22</v>
          </cell>
          <cell r="W1605">
            <v>86</v>
          </cell>
          <cell r="X1605">
            <v>18</v>
          </cell>
          <cell r="Y1605">
            <v>54</v>
          </cell>
          <cell r="Z1605">
            <v>4</v>
          </cell>
          <cell r="AA1605">
            <v>32</v>
          </cell>
          <cell r="AB1605">
            <v>72</v>
          </cell>
          <cell r="AC1605">
            <v>36</v>
          </cell>
          <cell r="AD1605">
            <v>36</v>
          </cell>
          <cell r="AE1605">
            <v>108</v>
          </cell>
          <cell r="AF1605">
            <v>72</v>
          </cell>
          <cell r="AG1605">
            <v>36</v>
          </cell>
        </row>
        <row r="1606">
          <cell r="C1606">
            <v>283999</v>
          </cell>
          <cell r="D1606" t="str">
            <v>Rushi Petroleum</v>
          </cell>
          <cell r="E1606" t="str">
            <v>IOCL</v>
          </cell>
          <cell r="F1606" t="str">
            <v>2014-15</v>
          </cell>
          <cell r="G1606" t="str">
            <v>Pune Wagholi RSA</v>
          </cell>
          <cell r="H1606">
            <v>42094</v>
          </cell>
          <cell r="I1606" t="str">
            <v>OPEN (W)</v>
          </cell>
          <cell r="J1606" t="str">
            <v>Peth on NH LHS</v>
          </cell>
          <cell r="K1606" t="str">
            <v>Pune</v>
          </cell>
          <cell r="L1606" t="str">
            <v>D1</v>
          </cell>
          <cell r="M1606" t="str">
            <v>NH-60</v>
          </cell>
          <cell r="O1606" t="str">
            <v>B</v>
          </cell>
          <cell r="P1606">
            <v>60</v>
          </cell>
          <cell r="Q1606">
            <v>520</v>
          </cell>
          <cell r="R1606">
            <v>50</v>
          </cell>
          <cell r="S1606">
            <v>430</v>
          </cell>
          <cell r="T1606">
            <v>10</v>
          </cell>
          <cell r="U1606">
            <v>90</v>
          </cell>
          <cell r="V1606">
            <v>110</v>
          </cell>
          <cell r="W1606">
            <v>1010</v>
          </cell>
          <cell r="X1606">
            <v>110</v>
          </cell>
          <cell r="Y1606">
            <v>810</v>
          </cell>
          <cell r="Z1606">
            <v>0</v>
          </cell>
          <cell r="AA1606">
            <v>200</v>
          </cell>
          <cell r="AB1606">
            <v>580</v>
          </cell>
          <cell r="AC1606">
            <v>480</v>
          </cell>
          <cell r="AD1606">
            <v>100</v>
          </cell>
          <cell r="AE1606">
            <v>1120</v>
          </cell>
          <cell r="AF1606">
            <v>920</v>
          </cell>
          <cell r="AG1606">
            <v>200</v>
          </cell>
        </row>
        <row r="1607">
          <cell r="C1607">
            <v>284034</v>
          </cell>
          <cell r="D1607" t="str">
            <v>Waradraj Petroleum</v>
          </cell>
          <cell r="E1607" t="str">
            <v>IOCL</v>
          </cell>
          <cell r="F1607" t="str">
            <v>2014-15</v>
          </cell>
          <cell r="G1607" t="str">
            <v>Satara West RSA</v>
          </cell>
          <cell r="H1607">
            <v>42094</v>
          </cell>
          <cell r="I1607" t="str">
            <v>OPEN</v>
          </cell>
          <cell r="J1607" t="str">
            <v>ATIT TO KASHIL</v>
          </cell>
          <cell r="K1607" t="str">
            <v>Satara</v>
          </cell>
          <cell r="L1607" t="str">
            <v>D1</v>
          </cell>
          <cell r="M1607" t="str">
            <v>NH-48</v>
          </cell>
          <cell r="O1607" t="str">
            <v>B</v>
          </cell>
          <cell r="P1607">
            <v>42</v>
          </cell>
          <cell r="Q1607">
            <v>112</v>
          </cell>
          <cell r="R1607">
            <v>80.5</v>
          </cell>
          <cell r="S1607">
            <v>115.5</v>
          </cell>
          <cell r="T1607">
            <v>-38.5</v>
          </cell>
          <cell r="U1607">
            <v>-3.5</v>
          </cell>
          <cell r="V1607">
            <v>91</v>
          </cell>
          <cell r="W1607">
            <v>203</v>
          </cell>
          <cell r="X1607">
            <v>154</v>
          </cell>
          <cell r="Y1607">
            <v>224</v>
          </cell>
          <cell r="Z1607">
            <v>-63</v>
          </cell>
          <cell r="AA1607">
            <v>-21</v>
          </cell>
          <cell r="AB1607">
            <v>154</v>
          </cell>
          <cell r="AC1607">
            <v>196</v>
          </cell>
          <cell r="AD1607">
            <v>-42</v>
          </cell>
          <cell r="AE1607">
            <v>294</v>
          </cell>
          <cell r="AF1607">
            <v>378</v>
          </cell>
          <cell r="AG1607">
            <v>-84</v>
          </cell>
        </row>
        <row r="1608">
          <cell r="C1608">
            <v>284827</v>
          </cell>
          <cell r="D1608" t="str">
            <v>Khot Petroluem KSK</v>
          </cell>
          <cell r="E1608" t="str">
            <v>IOCL</v>
          </cell>
          <cell r="F1608" t="str">
            <v>2014-15</v>
          </cell>
          <cell r="G1608" t="str">
            <v>Pune Wagholi RSA</v>
          </cell>
          <cell r="H1608">
            <v>42094</v>
          </cell>
          <cell r="I1608" t="str">
            <v>OPEN</v>
          </cell>
          <cell r="J1608" t="str">
            <v>Pimpalgaon Siddhnath</v>
          </cell>
          <cell r="K1608" t="str">
            <v>Pune</v>
          </cell>
          <cell r="L1608" t="str">
            <v>E</v>
          </cell>
          <cell r="O1608" t="str">
            <v>B</v>
          </cell>
          <cell r="P1608">
            <v>63</v>
          </cell>
          <cell r="Q1608">
            <v>129</v>
          </cell>
          <cell r="R1608">
            <v>73</v>
          </cell>
          <cell r="S1608">
            <v>128</v>
          </cell>
          <cell r="T1608">
            <v>-10</v>
          </cell>
          <cell r="U1608">
            <v>1</v>
          </cell>
          <cell r="V1608">
            <v>120</v>
          </cell>
          <cell r="W1608">
            <v>264</v>
          </cell>
          <cell r="X1608">
            <v>134</v>
          </cell>
          <cell r="Y1608">
            <v>231</v>
          </cell>
          <cell r="Z1608">
            <v>-14</v>
          </cell>
          <cell r="AA1608">
            <v>33</v>
          </cell>
          <cell r="AB1608">
            <v>192</v>
          </cell>
          <cell r="AC1608">
            <v>201</v>
          </cell>
          <cell r="AD1608">
            <v>-9</v>
          </cell>
          <cell r="AE1608">
            <v>384</v>
          </cell>
          <cell r="AF1608">
            <v>365</v>
          </cell>
          <cell r="AG1608">
            <v>19</v>
          </cell>
        </row>
        <row r="1609">
          <cell r="C1609">
            <v>284991</v>
          </cell>
          <cell r="D1609" t="str">
            <v>Shri Shirsai Petroleum</v>
          </cell>
          <cell r="E1609" t="str">
            <v>IOCL</v>
          </cell>
          <cell r="F1609" t="str">
            <v>2014-15</v>
          </cell>
          <cell r="G1609" t="str">
            <v>Pune Hadapsar RSA</v>
          </cell>
          <cell r="H1609">
            <v>42094</v>
          </cell>
          <cell r="I1609" t="str">
            <v>OPEN</v>
          </cell>
          <cell r="J1609" t="str">
            <v>Ravangaon RHS</v>
          </cell>
          <cell r="K1609" t="str">
            <v>Pune</v>
          </cell>
          <cell r="L1609" t="str">
            <v>D1</v>
          </cell>
          <cell r="M1609" t="str">
            <v>NH-65</v>
          </cell>
          <cell r="O1609" t="str">
            <v>A</v>
          </cell>
          <cell r="P1609">
            <v>15</v>
          </cell>
          <cell r="Q1609">
            <v>81</v>
          </cell>
          <cell r="R1609">
            <v>9</v>
          </cell>
          <cell r="S1609">
            <v>51</v>
          </cell>
          <cell r="T1609">
            <v>6</v>
          </cell>
          <cell r="U1609">
            <v>30</v>
          </cell>
          <cell r="V1609">
            <v>30</v>
          </cell>
          <cell r="W1609">
            <v>138</v>
          </cell>
          <cell r="X1609">
            <v>21</v>
          </cell>
          <cell r="Y1609">
            <v>111</v>
          </cell>
          <cell r="Z1609">
            <v>9</v>
          </cell>
          <cell r="AA1609">
            <v>27</v>
          </cell>
          <cell r="AB1609">
            <v>96</v>
          </cell>
          <cell r="AC1609">
            <v>60</v>
          </cell>
          <cell r="AD1609">
            <v>36</v>
          </cell>
          <cell r="AE1609">
            <v>168</v>
          </cell>
          <cell r="AF1609">
            <v>132</v>
          </cell>
          <cell r="AG1609">
            <v>36</v>
          </cell>
        </row>
        <row r="1610">
          <cell r="C1610">
            <v>285018</v>
          </cell>
          <cell r="D1610" t="str">
            <v>Shri Sai Ganesh Petroleum</v>
          </cell>
          <cell r="E1610" t="str">
            <v>IOCL</v>
          </cell>
          <cell r="F1610" t="str">
            <v>2015-16</v>
          </cell>
          <cell r="G1610" t="str">
            <v>Ahmednagar West RSA</v>
          </cell>
          <cell r="H1610">
            <v>42153</v>
          </cell>
          <cell r="I1610" t="str">
            <v>OPEN</v>
          </cell>
          <cell r="J1610" t="str">
            <v>JAWALA</v>
          </cell>
          <cell r="K1610" t="str">
            <v>Ahmednagar</v>
          </cell>
          <cell r="L1610" t="str">
            <v>D1</v>
          </cell>
          <cell r="M1610" t="str">
            <v>NH-761</v>
          </cell>
          <cell r="O1610" t="str">
            <v>B</v>
          </cell>
          <cell r="P1610">
            <v>22</v>
          </cell>
          <cell r="Q1610">
            <v>66</v>
          </cell>
          <cell r="R1610">
            <v>16</v>
          </cell>
          <cell r="S1610">
            <v>32</v>
          </cell>
          <cell r="T1610">
            <v>6</v>
          </cell>
          <cell r="U1610">
            <v>34</v>
          </cell>
          <cell r="V1610">
            <v>43</v>
          </cell>
          <cell r="W1610">
            <v>105</v>
          </cell>
          <cell r="X1610">
            <v>32</v>
          </cell>
          <cell r="Y1610">
            <v>76</v>
          </cell>
          <cell r="Z1610">
            <v>11</v>
          </cell>
          <cell r="AA1610">
            <v>29</v>
          </cell>
          <cell r="AB1610">
            <v>88</v>
          </cell>
          <cell r="AC1610">
            <v>48</v>
          </cell>
          <cell r="AD1610">
            <v>40</v>
          </cell>
          <cell r="AE1610">
            <v>148</v>
          </cell>
          <cell r="AF1610">
            <v>108</v>
          </cell>
          <cell r="AG1610">
            <v>40</v>
          </cell>
        </row>
        <row r="1611">
          <cell r="C1611">
            <v>285030</v>
          </cell>
          <cell r="D1611" t="str">
            <v>Sai Petroleum KSK</v>
          </cell>
          <cell r="E1611" t="str">
            <v>IOCL</v>
          </cell>
          <cell r="F1611" t="str">
            <v>2014-15</v>
          </cell>
          <cell r="G1611" t="str">
            <v>Ahmednagar West RSA</v>
          </cell>
          <cell r="H1611">
            <v>42094</v>
          </cell>
          <cell r="I1611" t="str">
            <v>OPEN</v>
          </cell>
          <cell r="J1611" t="str">
            <v>Visapur</v>
          </cell>
          <cell r="K1611" t="str">
            <v>Ahmednagar</v>
          </cell>
          <cell r="L1611" t="str">
            <v>E</v>
          </cell>
          <cell r="O1611" t="str">
            <v>B</v>
          </cell>
          <cell r="P1611">
            <v>28</v>
          </cell>
          <cell r="Q1611">
            <v>110</v>
          </cell>
          <cell r="R1611">
            <v>6</v>
          </cell>
          <cell r="S1611">
            <v>18</v>
          </cell>
          <cell r="T1611">
            <v>22</v>
          </cell>
          <cell r="U1611">
            <v>92</v>
          </cell>
          <cell r="V1611">
            <v>52.5</v>
          </cell>
          <cell r="W1611">
            <v>181.5</v>
          </cell>
          <cell r="X1611">
            <v>18</v>
          </cell>
          <cell r="Y1611">
            <v>30</v>
          </cell>
          <cell r="Z1611">
            <v>34.5</v>
          </cell>
          <cell r="AA1611">
            <v>151.5</v>
          </cell>
          <cell r="AB1611">
            <v>138</v>
          </cell>
          <cell r="AC1611">
            <v>24</v>
          </cell>
          <cell r="AD1611">
            <v>114</v>
          </cell>
          <cell r="AE1611">
            <v>234</v>
          </cell>
          <cell r="AF1611">
            <v>48</v>
          </cell>
          <cell r="AG1611">
            <v>186</v>
          </cell>
        </row>
        <row r="1612">
          <cell r="C1612">
            <v>285032</v>
          </cell>
          <cell r="D1612" t="str">
            <v>Prasad Petroleum</v>
          </cell>
          <cell r="E1612" t="str">
            <v>IOCL</v>
          </cell>
          <cell r="F1612" t="str">
            <v>2014-15</v>
          </cell>
          <cell r="G1612" t="str">
            <v>Shirdi RSA</v>
          </cell>
          <cell r="H1612">
            <v>42094</v>
          </cell>
          <cell r="I1612" t="str">
            <v>OPEN</v>
          </cell>
          <cell r="J1612" t="str">
            <v>RAHATA</v>
          </cell>
          <cell r="K1612" t="str">
            <v>Ahmednagar</v>
          </cell>
          <cell r="L1612" t="str">
            <v>D1</v>
          </cell>
          <cell r="M1612" t="str">
            <v>NH-160</v>
          </cell>
          <cell r="O1612" t="str">
            <v>B</v>
          </cell>
          <cell r="P1612">
            <v>39</v>
          </cell>
          <cell r="Q1612">
            <v>69</v>
          </cell>
          <cell r="R1612">
            <v>37</v>
          </cell>
          <cell r="S1612">
            <v>59</v>
          </cell>
          <cell r="T1612">
            <v>2</v>
          </cell>
          <cell r="U1612">
            <v>10</v>
          </cell>
          <cell r="V1612">
            <v>63</v>
          </cell>
          <cell r="W1612">
            <v>105</v>
          </cell>
          <cell r="X1612">
            <v>69</v>
          </cell>
          <cell r="Y1612">
            <v>111</v>
          </cell>
          <cell r="Z1612">
            <v>-6</v>
          </cell>
          <cell r="AA1612">
            <v>-6</v>
          </cell>
          <cell r="AB1612">
            <v>108</v>
          </cell>
          <cell r="AC1612">
            <v>96</v>
          </cell>
          <cell r="AD1612">
            <v>12</v>
          </cell>
          <cell r="AE1612">
            <v>168</v>
          </cell>
          <cell r="AF1612">
            <v>180</v>
          </cell>
          <cell r="AG1612">
            <v>-12</v>
          </cell>
        </row>
        <row r="1613">
          <cell r="C1613">
            <v>285568</v>
          </cell>
          <cell r="D1613" t="str">
            <v>Baba Petrol Pump</v>
          </cell>
          <cell r="E1613" t="str">
            <v>IOCL</v>
          </cell>
          <cell r="F1613" t="str">
            <v>2015-16</v>
          </cell>
          <cell r="G1613" t="str">
            <v>Ahmednagar West RSA</v>
          </cell>
          <cell r="H1613">
            <v>42124</v>
          </cell>
          <cell r="I1613" t="str">
            <v>OPEN</v>
          </cell>
          <cell r="J1613" t="str">
            <v>PATHARDI-NH</v>
          </cell>
          <cell r="K1613" t="str">
            <v>Ahmednagar</v>
          </cell>
          <cell r="L1613" t="str">
            <v>D1</v>
          </cell>
          <cell r="M1613" t="str">
            <v>NH-61</v>
          </cell>
          <cell r="O1613" t="str">
            <v>B</v>
          </cell>
          <cell r="P1613">
            <v>61</v>
          </cell>
          <cell r="Q1613">
            <v>107</v>
          </cell>
          <cell r="R1613">
            <v>64.5</v>
          </cell>
          <cell r="S1613">
            <v>107.5</v>
          </cell>
          <cell r="T1613">
            <v>-3.5</v>
          </cell>
          <cell r="U1613">
            <v>-0.5</v>
          </cell>
          <cell r="V1613">
            <v>114.5</v>
          </cell>
          <cell r="W1613">
            <v>185.5</v>
          </cell>
          <cell r="X1613">
            <v>122.5</v>
          </cell>
          <cell r="Y1613">
            <v>193.5</v>
          </cell>
          <cell r="Z1613">
            <v>-8</v>
          </cell>
          <cell r="AA1613">
            <v>-8</v>
          </cell>
          <cell r="AB1613">
            <v>168</v>
          </cell>
          <cell r="AC1613">
            <v>172</v>
          </cell>
          <cell r="AD1613">
            <v>-4</v>
          </cell>
          <cell r="AE1613">
            <v>300</v>
          </cell>
          <cell r="AF1613">
            <v>316</v>
          </cell>
          <cell r="AG1613">
            <v>-16</v>
          </cell>
        </row>
        <row r="1614">
          <cell r="C1614">
            <v>286127</v>
          </cell>
          <cell r="D1614" t="str">
            <v>Sai Ganesh Petroleum</v>
          </cell>
          <cell r="E1614" t="str">
            <v>IOCL</v>
          </cell>
          <cell r="F1614" t="str">
            <v>2015-16</v>
          </cell>
          <cell r="G1614" t="str">
            <v>Pune Wagholi RSA</v>
          </cell>
          <cell r="H1614">
            <v>42154</v>
          </cell>
          <cell r="I1614" t="str">
            <v>OPEN (W)</v>
          </cell>
          <cell r="J1614" t="str">
            <v>Ranjangaon LHS</v>
          </cell>
          <cell r="K1614" t="str">
            <v>Pune</v>
          </cell>
          <cell r="L1614" t="str">
            <v>D1</v>
          </cell>
          <cell r="M1614" t="str">
            <v>NH-753F</v>
          </cell>
          <cell r="O1614" t="str">
            <v>B</v>
          </cell>
          <cell r="P1614">
            <v>50.5</v>
          </cell>
          <cell r="Q1614">
            <v>556.5</v>
          </cell>
          <cell r="R1614">
            <v>42.5</v>
          </cell>
          <cell r="S1614">
            <v>327.5</v>
          </cell>
          <cell r="T1614">
            <v>8</v>
          </cell>
          <cell r="U1614">
            <v>229</v>
          </cell>
          <cell r="V1614">
            <v>87.5</v>
          </cell>
          <cell r="W1614">
            <v>1068.5</v>
          </cell>
          <cell r="X1614">
            <v>84</v>
          </cell>
          <cell r="Y1614">
            <v>632</v>
          </cell>
          <cell r="Z1614">
            <v>3.5</v>
          </cell>
          <cell r="AA1614">
            <v>436.5</v>
          </cell>
          <cell r="AB1614">
            <v>607</v>
          </cell>
          <cell r="AC1614">
            <v>370</v>
          </cell>
          <cell r="AD1614">
            <v>237</v>
          </cell>
          <cell r="AE1614">
            <v>1156</v>
          </cell>
          <cell r="AF1614">
            <v>716</v>
          </cell>
          <cell r="AG1614">
            <v>440</v>
          </cell>
        </row>
        <row r="1615">
          <cell r="C1615">
            <v>286691</v>
          </cell>
          <cell r="D1615" t="str">
            <v>Pais Petroleum</v>
          </cell>
          <cell r="E1615" t="str">
            <v>IOCL</v>
          </cell>
          <cell r="F1615" t="str">
            <v>2015-16</v>
          </cell>
          <cell r="G1615" t="str">
            <v>Shirdi RSA</v>
          </cell>
          <cell r="H1615">
            <v>42185</v>
          </cell>
          <cell r="I1615" t="str">
            <v>OPEN (W)</v>
          </cell>
          <cell r="J1615" t="str">
            <v>NIMGAON JALI</v>
          </cell>
          <cell r="K1615" t="str">
            <v>Ahmednagar</v>
          </cell>
          <cell r="L1615" t="str">
            <v>D2</v>
          </cell>
          <cell r="O1615" t="str">
            <v>B</v>
          </cell>
          <cell r="P1615">
            <v>24.5</v>
          </cell>
          <cell r="Q1615">
            <v>59.5</v>
          </cell>
          <cell r="R1615">
            <v>14</v>
          </cell>
          <cell r="S1615">
            <v>14</v>
          </cell>
          <cell r="T1615">
            <v>10.5</v>
          </cell>
          <cell r="U1615">
            <v>45.5</v>
          </cell>
          <cell r="V1615">
            <v>38.5</v>
          </cell>
          <cell r="W1615">
            <v>87.5</v>
          </cell>
          <cell r="X1615">
            <v>28</v>
          </cell>
          <cell r="Y1615">
            <v>28</v>
          </cell>
          <cell r="Z1615">
            <v>10.5</v>
          </cell>
          <cell r="AA1615">
            <v>59.5</v>
          </cell>
          <cell r="AB1615">
            <v>84</v>
          </cell>
          <cell r="AC1615">
            <v>28</v>
          </cell>
          <cell r="AD1615">
            <v>56</v>
          </cell>
          <cell r="AE1615">
            <v>126</v>
          </cell>
          <cell r="AF1615">
            <v>56</v>
          </cell>
          <cell r="AG1615">
            <v>70</v>
          </cell>
        </row>
        <row r="1616">
          <cell r="C1616">
            <v>288112</v>
          </cell>
          <cell r="D1616" t="str">
            <v>BANESHWAR PETROLEUM KSK</v>
          </cell>
          <cell r="E1616" t="str">
            <v>IOCL</v>
          </cell>
          <cell r="F1616" t="str">
            <v>2015-16</v>
          </cell>
          <cell r="G1616" t="str">
            <v>Ahmednagar East RSA</v>
          </cell>
          <cell r="H1616">
            <v>42268</v>
          </cell>
          <cell r="I1616" t="str">
            <v>OPEN (W)</v>
          </cell>
          <cell r="J1616" t="str">
            <v>Nagardeole</v>
          </cell>
          <cell r="K1616" t="str">
            <v>Ahmednagar</v>
          </cell>
          <cell r="L1616" t="str">
            <v>E</v>
          </cell>
          <cell r="O1616" t="str">
            <v>B</v>
          </cell>
          <cell r="P1616">
            <v>81</v>
          </cell>
          <cell r="Q1616">
            <v>87</v>
          </cell>
          <cell r="R1616">
            <v>78</v>
          </cell>
          <cell r="S1616">
            <v>54</v>
          </cell>
          <cell r="T1616">
            <v>3</v>
          </cell>
          <cell r="U1616">
            <v>33</v>
          </cell>
          <cell r="V1616">
            <v>150</v>
          </cell>
          <cell r="W1616">
            <v>150</v>
          </cell>
          <cell r="X1616">
            <v>150</v>
          </cell>
          <cell r="Y1616">
            <v>114</v>
          </cell>
          <cell r="Z1616">
            <v>0</v>
          </cell>
          <cell r="AA1616">
            <v>36</v>
          </cell>
          <cell r="AB1616">
            <v>168</v>
          </cell>
          <cell r="AC1616">
            <v>132</v>
          </cell>
          <cell r="AD1616">
            <v>36</v>
          </cell>
          <cell r="AE1616">
            <v>300</v>
          </cell>
          <cell r="AF1616">
            <v>264</v>
          </cell>
          <cell r="AG1616">
            <v>36</v>
          </cell>
        </row>
        <row r="1617">
          <cell r="C1617">
            <v>288293</v>
          </cell>
          <cell r="D1617" t="str">
            <v>GURU KRUPA PETROLEUM</v>
          </cell>
          <cell r="E1617" t="str">
            <v>IOCL</v>
          </cell>
          <cell r="F1617" t="str">
            <v>2015-16</v>
          </cell>
          <cell r="G1617" t="str">
            <v>Pune Tathawade RSA</v>
          </cell>
          <cell r="H1617">
            <v>42277</v>
          </cell>
          <cell r="I1617" t="str">
            <v>OPEN</v>
          </cell>
          <cell r="J1617" t="str">
            <v>KHEDSHIVAPUR TO HARISHCHANDRI</v>
          </cell>
          <cell r="K1617" t="str">
            <v>Pune</v>
          </cell>
          <cell r="L1617" t="str">
            <v>D1</v>
          </cell>
          <cell r="M1617" t="str">
            <v>NH-48</v>
          </cell>
          <cell r="O1617" t="str">
            <v>A</v>
          </cell>
          <cell r="P1617">
            <v>36</v>
          </cell>
          <cell r="Q1617">
            <v>191.5</v>
          </cell>
          <cell r="R1617">
            <v>0</v>
          </cell>
          <cell r="S1617">
            <v>0</v>
          </cell>
          <cell r="T1617">
            <v>36</v>
          </cell>
          <cell r="U1617">
            <v>191.5</v>
          </cell>
          <cell r="V1617">
            <v>58</v>
          </cell>
          <cell r="W1617">
            <v>337.5</v>
          </cell>
          <cell r="X1617">
            <v>9</v>
          </cell>
          <cell r="Y1617">
            <v>27</v>
          </cell>
          <cell r="Z1617">
            <v>49</v>
          </cell>
          <cell r="AA1617">
            <v>310.5</v>
          </cell>
          <cell r="AB1617">
            <v>227.5</v>
          </cell>
          <cell r="AC1617">
            <v>0</v>
          </cell>
          <cell r="AD1617">
            <v>227.5</v>
          </cell>
          <cell r="AE1617">
            <v>395.5</v>
          </cell>
          <cell r="AF1617">
            <v>36</v>
          </cell>
          <cell r="AG1617">
            <v>359.5</v>
          </cell>
        </row>
        <row r="1618">
          <cell r="C1618">
            <v>288339</v>
          </cell>
          <cell r="D1618" t="str">
            <v>SWARA PETROLEUM</v>
          </cell>
          <cell r="E1618" t="str">
            <v>IOCL</v>
          </cell>
          <cell r="F1618" t="str">
            <v>2015-16</v>
          </cell>
          <cell r="G1618" t="str">
            <v>Pune Hadapsar RSA</v>
          </cell>
          <cell r="H1618">
            <v>42296</v>
          </cell>
          <cell r="I1618" t="str">
            <v>OPEN (W)</v>
          </cell>
          <cell r="J1618" t="str">
            <v>Varvand LHS</v>
          </cell>
          <cell r="K1618" t="str">
            <v>Pune</v>
          </cell>
          <cell r="L1618" t="str">
            <v>D1</v>
          </cell>
          <cell r="M1618" t="str">
            <v>NH-65</v>
          </cell>
          <cell r="O1618" t="str">
            <v>B</v>
          </cell>
          <cell r="P1618">
            <v>23.5</v>
          </cell>
          <cell r="Q1618">
            <v>166.5</v>
          </cell>
          <cell r="R1618">
            <v>25</v>
          </cell>
          <cell r="S1618">
            <v>139</v>
          </cell>
          <cell r="T1618">
            <v>-1.5</v>
          </cell>
          <cell r="U1618">
            <v>27.5</v>
          </cell>
          <cell r="V1618">
            <v>42</v>
          </cell>
          <cell r="W1618">
            <v>380</v>
          </cell>
          <cell r="X1618">
            <v>48.5</v>
          </cell>
          <cell r="Y1618">
            <v>289.5</v>
          </cell>
          <cell r="Z1618">
            <v>-6.5</v>
          </cell>
          <cell r="AA1618">
            <v>90.5</v>
          </cell>
          <cell r="AB1618">
            <v>190</v>
          </cell>
          <cell r="AC1618">
            <v>164</v>
          </cell>
          <cell r="AD1618">
            <v>26</v>
          </cell>
          <cell r="AE1618">
            <v>422</v>
          </cell>
          <cell r="AF1618">
            <v>338</v>
          </cell>
          <cell r="AG1618">
            <v>84</v>
          </cell>
        </row>
        <row r="1619">
          <cell r="C1619">
            <v>288855</v>
          </cell>
          <cell r="D1619" t="str">
            <v>ADITYA PETRO CORPORATION</v>
          </cell>
          <cell r="E1619" t="str">
            <v>IOCL</v>
          </cell>
          <cell r="F1619" t="str">
            <v>2015-16</v>
          </cell>
          <cell r="G1619" t="str">
            <v>Pimpri Chinchwad RSA</v>
          </cell>
          <cell r="H1619">
            <v>42308</v>
          </cell>
          <cell r="I1619" t="str">
            <v>OPEN (W)</v>
          </cell>
          <cell r="J1619" t="str">
            <v xml:space="preserve">Sablewadi to shikhrapur </v>
          </cell>
          <cell r="K1619" t="str">
            <v>Pune</v>
          </cell>
          <cell r="L1619" t="str">
            <v>D1</v>
          </cell>
          <cell r="M1619" t="str">
            <v>NH-548D</v>
          </cell>
          <cell r="O1619" t="str">
            <v>B</v>
          </cell>
          <cell r="P1619">
            <v>20.5</v>
          </cell>
          <cell r="Q1619">
            <v>103.5</v>
          </cell>
          <cell r="R1619">
            <v>12.5</v>
          </cell>
          <cell r="S1619">
            <v>143.5</v>
          </cell>
          <cell r="T1619">
            <v>8</v>
          </cell>
          <cell r="U1619">
            <v>-40</v>
          </cell>
          <cell r="V1619">
            <v>29</v>
          </cell>
          <cell r="W1619">
            <v>237</v>
          </cell>
          <cell r="X1619">
            <v>31.5</v>
          </cell>
          <cell r="Y1619">
            <v>280.5</v>
          </cell>
          <cell r="Z1619">
            <v>-2.5</v>
          </cell>
          <cell r="AA1619">
            <v>-43.5</v>
          </cell>
          <cell r="AB1619">
            <v>124</v>
          </cell>
          <cell r="AC1619">
            <v>156</v>
          </cell>
          <cell r="AD1619">
            <v>-32</v>
          </cell>
          <cell r="AE1619">
            <v>266</v>
          </cell>
          <cell r="AF1619">
            <v>312</v>
          </cell>
          <cell r="AG1619">
            <v>-46</v>
          </cell>
        </row>
        <row r="1620">
          <cell r="C1620">
            <v>289408</v>
          </cell>
          <cell r="D1620" t="str">
            <v>SIDDHIVINAYAK KISAN SEVA KENDRA</v>
          </cell>
          <cell r="E1620" t="str">
            <v>IOCL</v>
          </cell>
          <cell r="F1620" t="str">
            <v>2015-16</v>
          </cell>
          <cell r="G1620" t="str">
            <v>Pune Saswad RSA</v>
          </cell>
          <cell r="H1620">
            <v>42336</v>
          </cell>
          <cell r="I1620" t="str">
            <v>OPEN</v>
          </cell>
          <cell r="J1620" t="str">
            <v>Jejuri Morgaon Road</v>
          </cell>
          <cell r="K1620" t="str">
            <v>Pune</v>
          </cell>
          <cell r="L1620" t="str">
            <v>D2</v>
          </cell>
          <cell r="O1620" t="str">
            <v>B</v>
          </cell>
          <cell r="P1620">
            <v>12</v>
          </cell>
          <cell r="Q1620">
            <v>48</v>
          </cell>
          <cell r="R1620">
            <v>9</v>
          </cell>
          <cell r="S1620">
            <v>27</v>
          </cell>
          <cell r="T1620">
            <v>3</v>
          </cell>
          <cell r="U1620">
            <v>21</v>
          </cell>
          <cell r="V1620">
            <v>37</v>
          </cell>
          <cell r="W1620">
            <v>97</v>
          </cell>
          <cell r="X1620">
            <v>18</v>
          </cell>
          <cell r="Y1620">
            <v>54</v>
          </cell>
          <cell r="Z1620">
            <v>19</v>
          </cell>
          <cell r="AA1620">
            <v>43</v>
          </cell>
          <cell r="AB1620">
            <v>60</v>
          </cell>
          <cell r="AC1620">
            <v>36</v>
          </cell>
          <cell r="AD1620">
            <v>24</v>
          </cell>
          <cell r="AE1620">
            <v>134</v>
          </cell>
          <cell r="AF1620">
            <v>72</v>
          </cell>
          <cell r="AG1620">
            <v>62</v>
          </cell>
        </row>
        <row r="1621">
          <cell r="C1621">
            <v>289411</v>
          </cell>
          <cell r="D1621" t="str">
            <v>HARIDAS PETROLEUM</v>
          </cell>
          <cell r="E1621" t="str">
            <v>IOCL</v>
          </cell>
          <cell r="F1621" t="str">
            <v>2015-16</v>
          </cell>
          <cell r="G1621" t="str">
            <v>Ahmednagar East RSA</v>
          </cell>
          <cell r="H1621">
            <v>42338</v>
          </cell>
          <cell r="I1621" t="str">
            <v>OPEN</v>
          </cell>
          <cell r="J1621" t="str">
            <v>Supe</v>
          </cell>
          <cell r="K1621" t="str">
            <v>Ahmednagar</v>
          </cell>
          <cell r="L1621" t="str">
            <v>D1</v>
          </cell>
          <cell r="M1621" t="str">
            <v>NH-753F</v>
          </cell>
          <cell r="O1621" t="str">
            <v>B</v>
          </cell>
          <cell r="P1621">
            <v>14</v>
          </cell>
          <cell r="Q1621">
            <v>34</v>
          </cell>
          <cell r="R1621">
            <v>22</v>
          </cell>
          <cell r="S1621">
            <v>38</v>
          </cell>
          <cell r="T1621">
            <v>-8</v>
          </cell>
          <cell r="U1621">
            <v>-4</v>
          </cell>
          <cell r="V1621">
            <v>23</v>
          </cell>
          <cell r="W1621">
            <v>61</v>
          </cell>
          <cell r="X1621">
            <v>44</v>
          </cell>
          <cell r="Y1621">
            <v>72</v>
          </cell>
          <cell r="Z1621">
            <v>-21</v>
          </cell>
          <cell r="AA1621">
            <v>-11</v>
          </cell>
          <cell r="AB1621">
            <v>48</v>
          </cell>
          <cell r="AC1621">
            <v>60</v>
          </cell>
          <cell r="AD1621">
            <v>-12</v>
          </cell>
          <cell r="AE1621">
            <v>84</v>
          </cell>
          <cell r="AF1621">
            <v>116</v>
          </cell>
          <cell r="AG1621">
            <v>-32</v>
          </cell>
        </row>
        <row r="1622">
          <cell r="C1622">
            <v>289431</v>
          </cell>
          <cell r="D1622" t="str">
            <v>JEDHE PETROLEUM</v>
          </cell>
          <cell r="E1622" t="str">
            <v>IOCL</v>
          </cell>
          <cell r="F1622" t="str">
            <v>2015-16</v>
          </cell>
          <cell r="G1622" t="str">
            <v>Pune Hadapsar RSA</v>
          </cell>
          <cell r="H1622">
            <v>42338</v>
          </cell>
          <cell r="I1622" t="str">
            <v>OPEN</v>
          </cell>
          <cell r="J1622" t="str">
            <v>P5_Pargaon</v>
          </cell>
          <cell r="K1622" t="str">
            <v>Pune</v>
          </cell>
          <cell r="L1622" t="str">
            <v>D2</v>
          </cell>
          <cell r="O1622" t="str">
            <v>B</v>
          </cell>
          <cell r="P1622">
            <v>20.5</v>
          </cell>
          <cell r="Q1622">
            <v>89.5</v>
          </cell>
          <cell r="R1622">
            <v>12</v>
          </cell>
          <cell r="S1622">
            <v>86</v>
          </cell>
          <cell r="T1622">
            <v>8.5</v>
          </cell>
          <cell r="U1622">
            <v>3.5</v>
          </cell>
          <cell r="V1622">
            <v>27.5</v>
          </cell>
          <cell r="W1622">
            <v>186.5</v>
          </cell>
          <cell r="X1622">
            <v>23</v>
          </cell>
          <cell r="Y1622">
            <v>157</v>
          </cell>
          <cell r="Z1622">
            <v>4.5</v>
          </cell>
          <cell r="AA1622">
            <v>29.5</v>
          </cell>
          <cell r="AB1622">
            <v>110</v>
          </cell>
          <cell r="AC1622">
            <v>98</v>
          </cell>
          <cell r="AD1622">
            <v>12</v>
          </cell>
          <cell r="AE1622">
            <v>214</v>
          </cell>
          <cell r="AF1622">
            <v>180</v>
          </cell>
          <cell r="AG1622">
            <v>34</v>
          </cell>
        </row>
        <row r="1623">
          <cell r="C1623">
            <v>290590</v>
          </cell>
          <cell r="D1623" t="str">
            <v>Suma Petroleum</v>
          </cell>
          <cell r="E1623" t="str">
            <v>IOCL</v>
          </cell>
          <cell r="F1623" t="str">
            <v>2015-16</v>
          </cell>
          <cell r="G1623" t="str">
            <v>Shirdi RSA</v>
          </cell>
          <cell r="H1623">
            <v>42400</v>
          </cell>
          <cell r="I1623" t="str">
            <v>OPEN</v>
          </cell>
          <cell r="J1623" t="str">
            <v>SAVLIHIR</v>
          </cell>
          <cell r="K1623" t="str">
            <v>Ahmednagar</v>
          </cell>
          <cell r="L1623" t="str">
            <v>D1</v>
          </cell>
          <cell r="M1623" t="str">
            <v>NH-160</v>
          </cell>
          <cell r="O1623" t="str">
            <v>B</v>
          </cell>
          <cell r="P1623">
            <v>56</v>
          </cell>
          <cell r="Q1623">
            <v>176</v>
          </cell>
          <cell r="R1623">
            <v>27</v>
          </cell>
          <cell r="S1623">
            <v>129</v>
          </cell>
          <cell r="T1623">
            <v>29</v>
          </cell>
          <cell r="U1623">
            <v>47</v>
          </cell>
          <cell r="V1623">
            <v>70</v>
          </cell>
          <cell r="W1623">
            <v>292</v>
          </cell>
          <cell r="X1623">
            <v>46</v>
          </cell>
          <cell r="Y1623">
            <v>248</v>
          </cell>
          <cell r="Z1623">
            <v>24</v>
          </cell>
          <cell r="AA1623">
            <v>44</v>
          </cell>
          <cell r="AB1623">
            <v>232</v>
          </cell>
          <cell r="AC1623">
            <v>156</v>
          </cell>
          <cell r="AD1623">
            <v>76</v>
          </cell>
          <cell r="AE1623">
            <v>362</v>
          </cell>
          <cell r="AF1623">
            <v>294</v>
          </cell>
          <cell r="AG1623">
            <v>68</v>
          </cell>
        </row>
        <row r="1624">
          <cell r="C1624">
            <v>291500</v>
          </cell>
          <cell r="D1624" t="str">
            <v>SWAMI PETROLEUM</v>
          </cell>
          <cell r="E1624" t="str">
            <v>IOCL</v>
          </cell>
          <cell r="F1624" t="str">
            <v>2015-16</v>
          </cell>
          <cell r="G1624" t="str">
            <v>Pune Wagholi RSA</v>
          </cell>
          <cell r="H1624">
            <v>42432</v>
          </cell>
          <cell r="I1624" t="str">
            <v>PHP (OPEN)</v>
          </cell>
          <cell r="J1624" t="str">
            <v>Ane</v>
          </cell>
          <cell r="K1624" t="str">
            <v>Pune</v>
          </cell>
          <cell r="L1624" t="str">
            <v>D1</v>
          </cell>
          <cell r="M1624" t="str">
            <v>NH-61</v>
          </cell>
          <cell r="O1624" t="str">
            <v>B</v>
          </cell>
          <cell r="P1624">
            <v>70</v>
          </cell>
          <cell r="Q1624">
            <v>170</v>
          </cell>
          <cell r="R1624">
            <v>64.5</v>
          </cell>
          <cell r="S1624">
            <v>175.5</v>
          </cell>
          <cell r="T1624">
            <v>5.5</v>
          </cell>
          <cell r="U1624">
            <v>-5.5</v>
          </cell>
          <cell r="V1624">
            <v>127.5</v>
          </cell>
          <cell r="W1624">
            <v>332.5</v>
          </cell>
          <cell r="X1624">
            <v>115.5</v>
          </cell>
          <cell r="Y1624">
            <v>324.5</v>
          </cell>
          <cell r="Z1624">
            <v>12</v>
          </cell>
          <cell r="AA1624">
            <v>8</v>
          </cell>
          <cell r="AB1624">
            <v>240</v>
          </cell>
          <cell r="AC1624">
            <v>240</v>
          </cell>
          <cell r="AD1624">
            <v>0</v>
          </cell>
          <cell r="AE1624">
            <v>460</v>
          </cell>
          <cell r="AF1624">
            <v>440</v>
          </cell>
          <cell r="AG1624">
            <v>20</v>
          </cell>
        </row>
        <row r="1625">
          <cell r="C1625">
            <v>291503</v>
          </cell>
          <cell r="D1625" t="str">
            <v>TEJASVI PETROLEUM KISAN SEVA KENDRA</v>
          </cell>
          <cell r="E1625" t="str">
            <v>IOCL</v>
          </cell>
          <cell r="F1625" t="str">
            <v>2015-16</v>
          </cell>
          <cell r="G1625" t="str">
            <v>Satara East RSA</v>
          </cell>
          <cell r="H1625">
            <v>42430</v>
          </cell>
          <cell r="I1625" t="str">
            <v>OPEN</v>
          </cell>
          <cell r="J1625" t="str">
            <v>UPALVE</v>
          </cell>
          <cell r="K1625" t="str">
            <v>Satara</v>
          </cell>
          <cell r="L1625" t="str">
            <v>E</v>
          </cell>
          <cell r="O1625" t="str">
            <v>B</v>
          </cell>
          <cell r="P1625">
            <v>3</v>
          </cell>
          <cell r="Q1625">
            <v>9</v>
          </cell>
          <cell r="R1625">
            <v>0</v>
          </cell>
          <cell r="S1625">
            <v>0</v>
          </cell>
          <cell r="T1625">
            <v>3</v>
          </cell>
          <cell r="U1625">
            <v>9</v>
          </cell>
          <cell r="V1625">
            <v>3</v>
          </cell>
          <cell r="W1625">
            <v>9</v>
          </cell>
          <cell r="X1625">
            <v>3</v>
          </cell>
          <cell r="Y1625">
            <v>9</v>
          </cell>
          <cell r="Z1625">
            <v>0</v>
          </cell>
          <cell r="AA1625">
            <v>0</v>
          </cell>
          <cell r="AB1625">
            <v>12</v>
          </cell>
          <cell r="AC1625">
            <v>0</v>
          </cell>
          <cell r="AD1625">
            <v>12</v>
          </cell>
          <cell r="AE1625">
            <v>12</v>
          </cell>
          <cell r="AF1625">
            <v>12</v>
          </cell>
          <cell r="AG1625">
            <v>0</v>
          </cell>
        </row>
        <row r="1626">
          <cell r="C1626">
            <v>292104</v>
          </cell>
          <cell r="D1626" t="str">
            <v>KADAM PETROLEUM</v>
          </cell>
          <cell r="E1626" t="str">
            <v>IOCL</v>
          </cell>
          <cell r="F1626" t="str">
            <v>2015-16</v>
          </cell>
          <cell r="G1626" t="str">
            <v>Satara East RSA</v>
          </cell>
          <cell r="H1626">
            <v>42460</v>
          </cell>
          <cell r="I1626" t="str">
            <v>OPEN</v>
          </cell>
          <cell r="J1626" t="str">
            <v>Phaltan Baramati Road</v>
          </cell>
          <cell r="K1626" t="str">
            <v>Satara</v>
          </cell>
          <cell r="L1626" t="str">
            <v>D1</v>
          </cell>
          <cell r="M1626" t="str">
            <v>NH-160</v>
          </cell>
          <cell r="O1626" t="str">
            <v>B</v>
          </cell>
          <cell r="P1626">
            <v>26</v>
          </cell>
          <cell r="Q1626">
            <v>22</v>
          </cell>
          <cell r="R1626">
            <v>21</v>
          </cell>
          <cell r="S1626">
            <v>21</v>
          </cell>
          <cell r="T1626">
            <v>5</v>
          </cell>
          <cell r="U1626">
            <v>1</v>
          </cell>
          <cell r="V1626">
            <v>48</v>
          </cell>
          <cell r="W1626">
            <v>38</v>
          </cell>
          <cell r="X1626">
            <v>44.5</v>
          </cell>
          <cell r="Y1626">
            <v>37.5</v>
          </cell>
          <cell r="Z1626">
            <v>3.5</v>
          </cell>
          <cell r="AA1626">
            <v>0.5</v>
          </cell>
          <cell r="AB1626">
            <v>48</v>
          </cell>
          <cell r="AC1626">
            <v>42</v>
          </cell>
          <cell r="AD1626">
            <v>6</v>
          </cell>
          <cell r="AE1626">
            <v>86</v>
          </cell>
          <cell r="AF1626">
            <v>82</v>
          </cell>
          <cell r="AG1626">
            <v>4</v>
          </cell>
        </row>
        <row r="1627">
          <cell r="C1627">
            <v>292403</v>
          </cell>
          <cell r="D1627" t="str">
            <v>JADHAV SERVICES</v>
          </cell>
          <cell r="E1627" t="str">
            <v>IOCL</v>
          </cell>
          <cell r="F1627" t="str">
            <v>2015-16</v>
          </cell>
          <cell r="G1627" t="str">
            <v>Satara West RSA</v>
          </cell>
          <cell r="H1627">
            <v>42460</v>
          </cell>
          <cell r="I1627" t="str">
            <v>OPEN</v>
          </cell>
          <cell r="J1627" t="str">
            <v>Karad Oglewadi Road</v>
          </cell>
          <cell r="K1627" t="str">
            <v>Satara</v>
          </cell>
          <cell r="L1627" t="str">
            <v>D1</v>
          </cell>
          <cell r="M1627" t="str">
            <v>NH-166E</v>
          </cell>
          <cell r="O1627" t="str">
            <v>B</v>
          </cell>
          <cell r="P1627">
            <v>13</v>
          </cell>
          <cell r="Q1627">
            <v>35</v>
          </cell>
          <cell r="R1627">
            <v>0</v>
          </cell>
          <cell r="S1627">
            <v>0</v>
          </cell>
          <cell r="T1627">
            <v>13</v>
          </cell>
          <cell r="U1627">
            <v>35</v>
          </cell>
          <cell r="V1627">
            <v>21</v>
          </cell>
          <cell r="W1627">
            <v>95</v>
          </cell>
          <cell r="X1627">
            <v>0</v>
          </cell>
          <cell r="Y1627">
            <v>0</v>
          </cell>
          <cell r="Z1627">
            <v>21</v>
          </cell>
          <cell r="AA1627">
            <v>95</v>
          </cell>
          <cell r="AB1627">
            <v>48</v>
          </cell>
          <cell r="AC1627">
            <v>0</v>
          </cell>
          <cell r="AD1627">
            <v>48</v>
          </cell>
          <cell r="AE1627">
            <v>116</v>
          </cell>
          <cell r="AF1627">
            <v>0</v>
          </cell>
          <cell r="AG1627">
            <v>116</v>
          </cell>
        </row>
        <row r="1628">
          <cell r="C1628">
            <v>292473</v>
          </cell>
          <cell r="D1628" t="str">
            <v>SAMIR PETROLEUM</v>
          </cell>
          <cell r="E1628" t="str">
            <v>IOCL</v>
          </cell>
          <cell r="F1628" t="str">
            <v>2015-16</v>
          </cell>
          <cell r="G1628" t="str">
            <v>Pune Saswad RSA</v>
          </cell>
          <cell r="H1628">
            <v>42460</v>
          </cell>
          <cell r="I1628" t="str">
            <v>PHP (OPEN)</v>
          </cell>
          <cell r="J1628" t="str">
            <v>Jejuri Morgaon Road</v>
          </cell>
          <cell r="K1628" t="str">
            <v>Pune</v>
          </cell>
          <cell r="L1628" t="str">
            <v>D2</v>
          </cell>
          <cell r="O1628" t="str">
            <v>B</v>
          </cell>
          <cell r="P1628">
            <v>0</v>
          </cell>
          <cell r="Q1628">
            <v>0</v>
          </cell>
          <cell r="R1628">
            <v>27</v>
          </cell>
          <cell r="S1628">
            <v>81</v>
          </cell>
          <cell r="T1628">
            <v>-27</v>
          </cell>
          <cell r="U1628">
            <v>-81</v>
          </cell>
          <cell r="V1628">
            <v>0</v>
          </cell>
          <cell r="W1628">
            <v>0</v>
          </cell>
          <cell r="X1628">
            <v>52</v>
          </cell>
          <cell r="Y1628">
            <v>176</v>
          </cell>
          <cell r="Z1628">
            <v>-52</v>
          </cell>
          <cell r="AA1628">
            <v>-176</v>
          </cell>
          <cell r="AB1628">
            <v>0</v>
          </cell>
          <cell r="AC1628">
            <v>108</v>
          </cell>
          <cell r="AD1628">
            <v>-108</v>
          </cell>
          <cell r="AE1628">
            <v>0</v>
          </cell>
          <cell r="AF1628">
            <v>228</v>
          </cell>
          <cell r="AG1628">
            <v>-228</v>
          </cell>
        </row>
        <row r="1629">
          <cell r="C1629">
            <v>292488</v>
          </cell>
          <cell r="D1629" t="str">
            <v>PADMAVATI PETROLEUM</v>
          </cell>
          <cell r="E1629" t="str">
            <v>IOCL</v>
          </cell>
          <cell r="F1629" t="str">
            <v>2015-16</v>
          </cell>
          <cell r="G1629" t="str">
            <v>Pimpri Chinchwad RSA</v>
          </cell>
          <cell r="H1629">
            <v>42460</v>
          </cell>
          <cell r="I1629" t="str">
            <v>OPEN</v>
          </cell>
          <cell r="J1629" t="str">
            <v>Urse</v>
          </cell>
          <cell r="K1629" t="str">
            <v>Pune</v>
          </cell>
          <cell r="L1629" t="str">
            <v>E</v>
          </cell>
          <cell r="O1629" t="str">
            <v>B</v>
          </cell>
          <cell r="P1629">
            <v>29.5</v>
          </cell>
          <cell r="Q1629">
            <v>56.5</v>
          </cell>
          <cell r="R1629">
            <v>31.5</v>
          </cell>
          <cell r="S1629">
            <v>66.5</v>
          </cell>
          <cell r="T1629">
            <v>-2</v>
          </cell>
          <cell r="U1629">
            <v>-10</v>
          </cell>
          <cell r="V1629">
            <v>54.5</v>
          </cell>
          <cell r="W1629">
            <v>101.5</v>
          </cell>
          <cell r="X1629">
            <v>59.5</v>
          </cell>
          <cell r="Y1629">
            <v>144.5</v>
          </cell>
          <cell r="Z1629">
            <v>-5</v>
          </cell>
          <cell r="AA1629">
            <v>-43</v>
          </cell>
          <cell r="AB1629">
            <v>86</v>
          </cell>
          <cell r="AC1629">
            <v>98</v>
          </cell>
          <cell r="AD1629">
            <v>-12</v>
          </cell>
          <cell r="AE1629">
            <v>156</v>
          </cell>
          <cell r="AF1629">
            <v>204</v>
          </cell>
          <cell r="AG1629">
            <v>-48</v>
          </cell>
        </row>
        <row r="1630">
          <cell r="C1630">
            <v>292810</v>
          </cell>
          <cell r="D1630" t="str">
            <v>SAI BABA PETROLEUM</v>
          </cell>
          <cell r="E1630" t="str">
            <v>IOCL</v>
          </cell>
          <cell r="G1630" t="str">
            <v>Satara West RSA</v>
          </cell>
          <cell r="H1630">
            <v>37772</v>
          </cell>
          <cell r="I1630" t="str">
            <v>SC (W)</v>
          </cell>
          <cell r="J1630" t="str">
            <v>Gharewadi</v>
          </cell>
          <cell r="K1630" t="str">
            <v>Satara</v>
          </cell>
          <cell r="L1630" t="str">
            <v>E</v>
          </cell>
          <cell r="O1630" t="str">
            <v>A</v>
          </cell>
          <cell r="P1630">
            <v>87</v>
          </cell>
          <cell r="Q1630">
            <v>201</v>
          </cell>
          <cell r="R1630">
            <v>66</v>
          </cell>
          <cell r="S1630">
            <v>138</v>
          </cell>
          <cell r="T1630">
            <v>21</v>
          </cell>
          <cell r="U1630">
            <v>63</v>
          </cell>
          <cell r="V1630">
            <v>150</v>
          </cell>
          <cell r="W1630">
            <v>342</v>
          </cell>
          <cell r="X1630">
            <v>132</v>
          </cell>
          <cell r="Y1630">
            <v>276</v>
          </cell>
          <cell r="Z1630">
            <v>18</v>
          </cell>
          <cell r="AA1630">
            <v>66</v>
          </cell>
          <cell r="AB1630">
            <v>288</v>
          </cell>
          <cell r="AC1630">
            <v>204</v>
          </cell>
          <cell r="AD1630">
            <v>84</v>
          </cell>
          <cell r="AE1630">
            <v>492</v>
          </cell>
          <cell r="AF1630">
            <v>408</v>
          </cell>
          <cell r="AG1630">
            <v>84</v>
          </cell>
        </row>
        <row r="1631">
          <cell r="C1631">
            <v>292987</v>
          </cell>
          <cell r="D1631" t="str">
            <v>DUDHANE PETROLEUM</v>
          </cell>
          <cell r="E1631" t="str">
            <v>IOCL</v>
          </cell>
          <cell r="F1631" t="str">
            <v>2016-17</v>
          </cell>
          <cell r="G1631" t="str">
            <v>Pune City RSA</v>
          </cell>
          <cell r="H1631">
            <v>42493</v>
          </cell>
          <cell r="I1631" t="str">
            <v>OPEN</v>
          </cell>
          <cell r="J1631" t="str">
            <v>WARJE/UTTAMNAGAR</v>
          </cell>
          <cell r="K1631" t="str">
            <v>Pune</v>
          </cell>
          <cell r="L1631" t="str">
            <v>A</v>
          </cell>
          <cell r="O1631" t="str">
            <v>A</v>
          </cell>
          <cell r="P1631">
            <v>335</v>
          </cell>
          <cell r="Q1631">
            <v>345</v>
          </cell>
          <cell r="R1631">
            <v>365</v>
          </cell>
          <cell r="S1631">
            <v>175</v>
          </cell>
          <cell r="T1631">
            <v>-30</v>
          </cell>
          <cell r="U1631">
            <v>170</v>
          </cell>
          <cell r="V1631">
            <v>670</v>
          </cell>
          <cell r="W1631">
            <v>590</v>
          </cell>
          <cell r="X1631">
            <v>740</v>
          </cell>
          <cell r="Y1631">
            <v>364</v>
          </cell>
          <cell r="Z1631">
            <v>-70</v>
          </cell>
          <cell r="AA1631">
            <v>226</v>
          </cell>
          <cell r="AB1631">
            <v>680</v>
          </cell>
          <cell r="AC1631">
            <v>540</v>
          </cell>
          <cell r="AD1631">
            <v>140</v>
          </cell>
          <cell r="AE1631">
            <v>1260</v>
          </cell>
          <cell r="AF1631">
            <v>1104</v>
          </cell>
          <cell r="AG1631">
            <v>156</v>
          </cell>
        </row>
        <row r="1632">
          <cell r="C1632">
            <v>293084</v>
          </cell>
          <cell r="D1632" t="str">
            <v>JAYASHREE PETROLEUM</v>
          </cell>
          <cell r="E1632" t="str">
            <v>IOCL</v>
          </cell>
          <cell r="G1632" t="str">
            <v>Pune Wagholi RSA</v>
          </cell>
          <cell r="H1632">
            <v>42735</v>
          </cell>
          <cell r="I1632" t="str">
            <v>OPEN (W)</v>
          </cell>
          <cell r="J1632" t="str">
            <v>Shirur</v>
          </cell>
          <cell r="K1632" t="str">
            <v>Pune</v>
          </cell>
          <cell r="L1632" t="str">
            <v>C</v>
          </cell>
          <cell r="O1632" t="str">
            <v>A</v>
          </cell>
          <cell r="P1632">
            <v>48</v>
          </cell>
          <cell r="Q1632">
            <v>12</v>
          </cell>
          <cell r="R1632">
            <v>63</v>
          </cell>
          <cell r="S1632">
            <v>9</v>
          </cell>
          <cell r="T1632">
            <v>-15</v>
          </cell>
          <cell r="U1632">
            <v>3</v>
          </cell>
          <cell r="V1632">
            <v>108</v>
          </cell>
          <cell r="W1632">
            <v>24</v>
          </cell>
          <cell r="X1632">
            <v>114</v>
          </cell>
          <cell r="Y1632">
            <v>18</v>
          </cell>
          <cell r="Z1632">
            <v>-6</v>
          </cell>
          <cell r="AA1632">
            <v>6</v>
          </cell>
          <cell r="AB1632">
            <v>60</v>
          </cell>
          <cell r="AC1632">
            <v>72</v>
          </cell>
          <cell r="AD1632">
            <v>-12</v>
          </cell>
          <cell r="AE1632">
            <v>132</v>
          </cell>
          <cell r="AF1632">
            <v>132</v>
          </cell>
          <cell r="AG1632">
            <v>0</v>
          </cell>
        </row>
        <row r="1633">
          <cell r="C1633">
            <v>293485</v>
          </cell>
          <cell r="D1633" t="str">
            <v>Yashshri Agro Fueling KSK</v>
          </cell>
          <cell r="E1633" t="str">
            <v>IOCL</v>
          </cell>
          <cell r="F1633" t="str">
            <v>2016-17</v>
          </cell>
          <cell r="G1633" t="str">
            <v>Ahmednagar West RSA</v>
          </cell>
          <cell r="H1633">
            <v>42524</v>
          </cell>
          <cell r="I1633" t="str">
            <v>OPEN</v>
          </cell>
          <cell r="J1633" t="str">
            <v>Pargaon Sudrik</v>
          </cell>
          <cell r="K1633" t="str">
            <v>Ahmednagar</v>
          </cell>
          <cell r="L1633" t="str">
            <v>D2</v>
          </cell>
          <cell r="O1633" t="str">
            <v>B</v>
          </cell>
          <cell r="P1633">
            <v>17.5</v>
          </cell>
          <cell r="Q1633">
            <v>62.5</v>
          </cell>
          <cell r="R1633">
            <v>16</v>
          </cell>
          <cell r="S1633">
            <v>32</v>
          </cell>
          <cell r="T1633">
            <v>1.5</v>
          </cell>
          <cell r="U1633">
            <v>30.5</v>
          </cell>
          <cell r="V1633">
            <v>33</v>
          </cell>
          <cell r="W1633">
            <v>111</v>
          </cell>
          <cell r="X1633">
            <v>32</v>
          </cell>
          <cell r="Y1633">
            <v>64</v>
          </cell>
          <cell r="Z1633">
            <v>1</v>
          </cell>
          <cell r="AA1633">
            <v>47</v>
          </cell>
          <cell r="AB1633">
            <v>80</v>
          </cell>
          <cell r="AC1633">
            <v>48</v>
          </cell>
          <cell r="AD1633">
            <v>32</v>
          </cell>
          <cell r="AE1633">
            <v>144</v>
          </cell>
          <cell r="AF1633">
            <v>96</v>
          </cell>
          <cell r="AG1633">
            <v>48</v>
          </cell>
        </row>
        <row r="1634">
          <cell r="C1634">
            <v>294669</v>
          </cell>
          <cell r="D1634" t="str">
            <v>MACHHINDRANATH &amp; SONS PETROLEUM,</v>
          </cell>
          <cell r="E1634" t="str">
            <v>IOCL</v>
          </cell>
          <cell r="F1634" t="str">
            <v>2016-17</v>
          </cell>
          <cell r="G1634" t="str">
            <v>Ahmednagar West RSA</v>
          </cell>
          <cell r="H1634">
            <v>42581</v>
          </cell>
          <cell r="I1634" t="str">
            <v>OPEN</v>
          </cell>
          <cell r="J1634" t="str">
            <v>Karanji</v>
          </cell>
          <cell r="K1634" t="str">
            <v>Ahmednagar</v>
          </cell>
          <cell r="L1634" t="str">
            <v>D1</v>
          </cell>
          <cell r="M1634" t="str">
            <v>NH-61</v>
          </cell>
          <cell r="O1634" t="str">
            <v>B</v>
          </cell>
          <cell r="P1634">
            <v>27</v>
          </cell>
          <cell r="Q1634">
            <v>41</v>
          </cell>
          <cell r="R1634">
            <v>34</v>
          </cell>
          <cell r="S1634">
            <v>54</v>
          </cell>
          <cell r="T1634">
            <v>-7</v>
          </cell>
          <cell r="U1634">
            <v>-13</v>
          </cell>
          <cell r="V1634">
            <v>46</v>
          </cell>
          <cell r="W1634">
            <v>70</v>
          </cell>
          <cell r="X1634">
            <v>48</v>
          </cell>
          <cell r="Y1634">
            <v>88</v>
          </cell>
          <cell r="Z1634">
            <v>-2</v>
          </cell>
          <cell r="AA1634">
            <v>-18</v>
          </cell>
          <cell r="AB1634">
            <v>68</v>
          </cell>
          <cell r="AC1634">
            <v>88</v>
          </cell>
          <cell r="AD1634">
            <v>-20</v>
          </cell>
          <cell r="AE1634">
            <v>116</v>
          </cell>
          <cell r="AF1634">
            <v>136</v>
          </cell>
          <cell r="AG1634">
            <v>-20</v>
          </cell>
        </row>
        <row r="1635">
          <cell r="C1635">
            <v>295142</v>
          </cell>
          <cell r="D1635" t="str">
            <v>Satav Petroleum</v>
          </cell>
          <cell r="E1635" t="str">
            <v>IOCL</v>
          </cell>
          <cell r="F1635" t="str">
            <v>2016-17</v>
          </cell>
          <cell r="G1635" t="str">
            <v>Pune Tathawade RSA</v>
          </cell>
          <cell r="H1635">
            <v>42613</v>
          </cell>
          <cell r="I1635" t="str">
            <v>OPEN (W)</v>
          </cell>
          <cell r="J1635" t="str">
            <v>BARAMATI NIRA ROAD</v>
          </cell>
          <cell r="K1635" t="str">
            <v>Pune</v>
          </cell>
          <cell r="L1635" t="str">
            <v>D2</v>
          </cell>
          <cell r="O1635" t="str">
            <v>B</v>
          </cell>
          <cell r="P1635">
            <v>19</v>
          </cell>
          <cell r="Q1635">
            <v>201</v>
          </cell>
          <cell r="R1635">
            <v>17.5</v>
          </cell>
          <cell r="S1635">
            <v>24.5</v>
          </cell>
          <cell r="T1635">
            <v>1.5</v>
          </cell>
          <cell r="U1635">
            <v>176.5</v>
          </cell>
          <cell r="V1635">
            <v>36</v>
          </cell>
          <cell r="W1635">
            <v>426</v>
          </cell>
          <cell r="X1635">
            <v>31.5</v>
          </cell>
          <cell r="Y1635">
            <v>38.5</v>
          </cell>
          <cell r="Z1635">
            <v>4.5</v>
          </cell>
          <cell r="AA1635">
            <v>387.5</v>
          </cell>
          <cell r="AB1635">
            <v>220</v>
          </cell>
          <cell r="AC1635">
            <v>42</v>
          </cell>
          <cell r="AD1635">
            <v>178</v>
          </cell>
          <cell r="AE1635">
            <v>462</v>
          </cell>
          <cell r="AF1635">
            <v>70</v>
          </cell>
          <cell r="AG1635">
            <v>392</v>
          </cell>
        </row>
        <row r="1636">
          <cell r="C1636">
            <v>295696</v>
          </cell>
          <cell r="D1636" t="str">
            <v>Suhas Prasad Petroleum</v>
          </cell>
          <cell r="E1636" t="str">
            <v>IOCL</v>
          </cell>
          <cell r="F1636" t="str">
            <v>2016-17</v>
          </cell>
          <cell r="G1636" t="str">
            <v>Pune Hadapsar RSA</v>
          </cell>
          <cell r="H1636">
            <v>42643</v>
          </cell>
          <cell r="I1636" t="str">
            <v>OPEN</v>
          </cell>
          <cell r="J1636" t="str">
            <v>KURKUMBH</v>
          </cell>
          <cell r="K1636" t="str">
            <v>Pune</v>
          </cell>
          <cell r="L1636" t="str">
            <v>D2</v>
          </cell>
          <cell r="O1636" t="str">
            <v>B</v>
          </cell>
          <cell r="P1636">
            <v>36</v>
          </cell>
          <cell r="Q1636">
            <v>156</v>
          </cell>
          <cell r="R1636">
            <v>36</v>
          </cell>
          <cell r="S1636">
            <v>96</v>
          </cell>
          <cell r="T1636">
            <v>0</v>
          </cell>
          <cell r="U1636">
            <v>60</v>
          </cell>
          <cell r="V1636">
            <v>69</v>
          </cell>
          <cell r="W1636">
            <v>279</v>
          </cell>
          <cell r="X1636">
            <v>66</v>
          </cell>
          <cell r="Y1636">
            <v>186</v>
          </cell>
          <cell r="Z1636">
            <v>3</v>
          </cell>
          <cell r="AA1636">
            <v>93</v>
          </cell>
          <cell r="AB1636">
            <v>192</v>
          </cell>
          <cell r="AC1636">
            <v>132</v>
          </cell>
          <cell r="AD1636">
            <v>60</v>
          </cell>
          <cell r="AE1636">
            <v>348</v>
          </cell>
          <cell r="AF1636">
            <v>252</v>
          </cell>
          <cell r="AG1636">
            <v>96</v>
          </cell>
        </row>
        <row r="1637">
          <cell r="C1637">
            <v>295698</v>
          </cell>
          <cell r="D1637" t="str">
            <v>Wadkar Petroleum</v>
          </cell>
          <cell r="E1637" t="str">
            <v>IOCL</v>
          </cell>
          <cell r="F1637" t="str">
            <v>2016-17</v>
          </cell>
          <cell r="G1637" t="str">
            <v>Pune City RSA</v>
          </cell>
          <cell r="H1637">
            <v>42643</v>
          </cell>
          <cell r="I1637" t="str">
            <v>OPEN</v>
          </cell>
          <cell r="J1637" t="str">
            <v>PAUD ROAD</v>
          </cell>
          <cell r="K1637" t="str">
            <v>Pune</v>
          </cell>
          <cell r="L1637" t="str">
            <v>D1</v>
          </cell>
          <cell r="M1637" t="str">
            <v>NH-753F</v>
          </cell>
          <cell r="O1637" t="str">
            <v>B</v>
          </cell>
          <cell r="P1637">
            <v>178</v>
          </cell>
          <cell r="Q1637">
            <v>518</v>
          </cell>
          <cell r="R1637">
            <v>168</v>
          </cell>
          <cell r="S1637">
            <v>384</v>
          </cell>
          <cell r="T1637">
            <v>10</v>
          </cell>
          <cell r="U1637">
            <v>134</v>
          </cell>
          <cell r="V1637">
            <v>338</v>
          </cell>
          <cell r="W1637">
            <v>978</v>
          </cell>
          <cell r="X1637">
            <v>323</v>
          </cell>
          <cell r="Y1637">
            <v>765</v>
          </cell>
          <cell r="Z1637">
            <v>15</v>
          </cell>
          <cell r="AA1637">
            <v>213</v>
          </cell>
          <cell r="AB1637">
            <v>696</v>
          </cell>
          <cell r="AC1637">
            <v>552</v>
          </cell>
          <cell r="AD1637">
            <v>144</v>
          </cell>
          <cell r="AE1637">
            <v>1316</v>
          </cell>
          <cell r="AF1637">
            <v>1088</v>
          </cell>
          <cell r="AG1637">
            <v>228</v>
          </cell>
        </row>
        <row r="1638">
          <cell r="C1638">
            <v>296138</v>
          </cell>
          <cell r="D1638" t="str">
            <v>Dubash Petroleum</v>
          </cell>
          <cell r="E1638" t="str">
            <v>IOCL</v>
          </cell>
          <cell r="F1638" t="str">
            <v>2016-17</v>
          </cell>
          <cell r="G1638" t="str">
            <v>Satara West RSA</v>
          </cell>
          <cell r="H1638">
            <v>42704</v>
          </cell>
          <cell r="I1638" t="str">
            <v>OPEN</v>
          </cell>
          <cell r="J1638" t="str">
            <v>Mahabaleswar Panchgani</v>
          </cell>
          <cell r="K1638" t="str">
            <v>Satara</v>
          </cell>
          <cell r="L1638" t="str">
            <v>D2</v>
          </cell>
          <cell r="O1638" t="str">
            <v>B</v>
          </cell>
          <cell r="P1638">
            <v>313</v>
          </cell>
          <cell r="Q1638">
            <v>323</v>
          </cell>
          <cell r="R1638">
            <v>240</v>
          </cell>
          <cell r="S1638">
            <v>272</v>
          </cell>
          <cell r="T1638">
            <v>73</v>
          </cell>
          <cell r="U1638">
            <v>51</v>
          </cell>
          <cell r="V1638">
            <v>488</v>
          </cell>
          <cell r="W1638">
            <v>548</v>
          </cell>
          <cell r="X1638">
            <v>405</v>
          </cell>
          <cell r="Y1638">
            <v>467</v>
          </cell>
          <cell r="Z1638">
            <v>83</v>
          </cell>
          <cell r="AA1638">
            <v>81</v>
          </cell>
          <cell r="AB1638">
            <v>636</v>
          </cell>
          <cell r="AC1638">
            <v>512</v>
          </cell>
          <cell r="AD1638">
            <v>124</v>
          </cell>
          <cell r="AE1638">
            <v>1036</v>
          </cell>
          <cell r="AF1638">
            <v>872</v>
          </cell>
          <cell r="AG1638">
            <v>164</v>
          </cell>
        </row>
        <row r="1639">
          <cell r="C1639">
            <v>296171</v>
          </cell>
          <cell r="D1639" t="str">
            <v>SWARAJ PETROL &amp; DIESEL PUMP</v>
          </cell>
          <cell r="E1639" t="str">
            <v>IOCL</v>
          </cell>
          <cell r="F1639" t="str">
            <v>2016-17</v>
          </cell>
          <cell r="G1639" t="str">
            <v>Satara West RSA</v>
          </cell>
          <cell r="H1639">
            <v>42673</v>
          </cell>
          <cell r="I1639" t="str">
            <v>OPEN</v>
          </cell>
          <cell r="J1639" t="str">
            <v>Kondhve</v>
          </cell>
          <cell r="K1639" t="str">
            <v>Satara</v>
          </cell>
          <cell r="L1639" t="str">
            <v>D2</v>
          </cell>
          <cell r="O1639" t="str">
            <v>B</v>
          </cell>
          <cell r="P1639">
            <v>164.5</v>
          </cell>
          <cell r="Q1639">
            <v>143.5</v>
          </cell>
          <cell r="R1639">
            <v>136.5</v>
          </cell>
          <cell r="S1639">
            <v>115.5</v>
          </cell>
          <cell r="T1639">
            <v>28</v>
          </cell>
          <cell r="U1639">
            <v>28</v>
          </cell>
          <cell r="V1639">
            <v>290.5</v>
          </cell>
          <cell r="W1639">
            <v>255.5</v>
          </cell>
          <cell r="X1639">
            <v>252</v>
          </cell>
          <cell r="Y1639">
            <v>224</v>
          </cell>
          <cell r="Z1639">
            <v>38.5</v>
          </cell>
          <cell r="AA1639">
            <v>31.5</v>
          </cell>
          <cell r="AB1639">
            <v>308</v>
          </cell>
          <cell r="AC1639">
            <v>252</v>
          </cell>
          <cell r="AD1639">
            <v>56</v>
          </cell>
          <cell r="AE1639">
            <v>546</v>
          </cell>
          <cell r="AF1639">
            <v>476</v>
          </cell>
          <cell r="AG1639">
            <v>70</v>
          </cell>
        </row>
        <row r="1640">
          <cell r="C1640">
            <v>296308</v>
          </cell>
          <cell r="D1640" t="str">
            <v>Aditi Petroleum Kisan Seva Kendra</v>
          </cell>
          <cell r="E1640" t="str">
            <v>IOCL</v>
          </cell>
          <cell r="F1640" t="str">
            <v>2016-17</v>
          </cell>
          <cell r="G1640" t="str">
            <v>Pune Wagholi RSA</v>
          </cell>
          <cell r="H1640">
            <v>42697</v>
          </cell>
          <cell r="I1640" t="str">
            <v>OPEN (W)</v>
          </cell>
          <cell r="J1640" t="str">
            <v>Pimpalgaon Tarfe</v>
          </cell>
          <cell r="K1640" t="str">
            <v>Pune</v>
          </cell>
          <cell r="L1640" t="str">
            <v>E</v>
          </cell>
          <cell r="O1640" t="str">
            <v>B</v>
          </cell>
          <cell r="P1640">
            <v>33</v>
          </cell>
          <cell r="Q1640">
            <v>75</v>
          </cell>
          <cell r="R1640">
            <v>33</v>
          </cell>
          <cell r="S1640">
            <v>63</v>
          </cell>
          <cell r="T1640">
            <v>0</v>
          </cell>
          <cell r="U1640">
            <v>12</v>
          </cell>
          <cell r="V1640">
            <v>63</v>
          </cell>
          <cell r="W1640">
            <v>141</v>
          </cell>
          <cell r="X1640">
            <v>63</v>
          </cell>
          <cell r="Y1640">
            <v>129</v>
          </cell>
          <cell r="Z1640">
            <v>0</v>
          </cell>
          <cell r="AA1640">
            <v>12</v>
          </cell>
          <cell r="AB1640">
            <v>108</v>
          </cell>
          <cell r="AC1640">
            <v>96</v>
          </cell>
          <cell r="AD1640">
            <v>12</v>
          </cell>
          <cell r="AE1640">
            <v>204</v>
          </cell>
          <cell r="AF1640">
            <v>192</v>
          </cell>
          <cell r="AG1640">
            <v>12</v>
          </cell>
        </row>
        <row r="1641">
          <cell r="C1641">
            <v>296747</v>
          </cell>
          <cell r="D1641" t="str">
            <v>Regal Petroleum</v>
          </cell>
          <cell r="E1641" t="str">
            <v>IOCL</v>
          </cell>
          <cell r="F1641" t="str">
            <v>2016-17</v>
          </cell>
          <cell r="G1641" t="str">
            <v>Pimpri Chinchwad RSA</v>
          </cell>
          <cell r="H1641">
            <v>42721</v>
          </cell>
          <cell r="I1641" t="str">
            <v>OPEN</v>
          </cell>
          <cell r="J1641" t="str">
            <v>Moshi</v>
          </cell>
          <cell r="K1641" t="str">
            <v>Pune</v>
          </cell>
          <cell r="L1641" t="str">
            <v>A</v>
          </cell>
          <cell r="O1641" t="str">
            <v>B</v>
          </cell>
          <cell r="P1641">
            <v>225</v>
          </cell>
          <cell r="Q1641">
            <v>575</v>
          </cell>
          <cell r="R1641">
            <v>175</v>
          </cell>
          <cell r="S1641">
            <v>425</v>
          </cell>
          <cell r="T1641">
            <v>50</v>
          </cell>
          <cell r="U1641">
            <v>150</v>
          </cell>
          <cell r="V1641">
            <v>445</v>
          </cell>
          <cell r="W1641">
            <v>1155</v>
          </cell>
          <cell r="X1641">
            <v>340</v>
          </cell>
          <cell r="Y1641">
            <v>860</v>
          </cell>
          <cell r="Z1641">
            <v>105</v>
          </cell>
          <cell r="AA1641">
            <v>295</v>
          </cell>
          <cell r="AB1641">
            <v>800</v>
          </cell>
          <cell r="AC1641">
            <v>600</v>
          </cell>
          <cell r="AD1641">
            <v>200</v>
          </cell>
          <cell r="AE1641">
            <v>1600</v>
          </cell>
          <cell r="AF1641">
            <v>1200</v>
          </cell>
          <cell r="AG1641">
            <v>400</v>
          </cell>
        </row>
        <row r="1642">
          <cell r="C1642">
            <v>297159</v>
          </cell>
          <cell r="D1642" t="str">
            <v>KULASWAMINI PETROLEUM KSK</v>
          </cell>
          <cell r="E1642" t="str">
            <v>IOCL</v>
          </cell>
          <cell r="F1642" t="str">
            <v>2016-17</v>
          </cell>
          <cell r="G1642" t="str">
            <v>Pune Wagholi RSA</v>
          </cell>
          <cell r="H1642">
            <v>42765</v>
          </cell>
          <cell r="I1642" t="str">
            <v>OPEN</v>
          </cell>
          <cell r="J1642" t="str">
            <v>Landewadi</v>
          </cell>
          <cell r="K1642" t="str">
            <v>Pune</v>
          </cell>
          <cell r="L1642" t="str">
            <v>E</v>
          </cell>
          <cell r="O1642" t="str">
            <v>B</v>
          </cell>
          <cell r="P1642">
            <v>12.5</v>
          </cell>
          <cell r="Q1642">
            <v>25.5</v>
          </cell>
          <cell r="R1642">
            <v>34</v>
          </cell>
          <cell r="S1642">
            <v>48</v>
          </cell>
          <cell r="T1642">
            <v>-21.5</v>
          </cell>
          <cell r="U1642">
            <v>-22.5</v>
          </cell>
          <cell r="V1642">
            <v>30</v>
          </cell>
          <cell r="W1642">
            <v>50</v>
          </cell>
          <cell r="X1642">
            <v>72.5</v>
          </cell>
          <cell r="Y1642">
            <v>93.5</v>
          </cell>
          <cell r="Z1642">
            <v>-42.5</v>
          </cell>
          <cell r="AA1642">
            <v>-43.5</v>
          </cell>
          <cell r="AB1642">
            <v>38</v>
          </cell>
          <cell r="AC1642">
            <v>82</v>
          </cell>
          <cell r="AD1642">
            <v>-44</v>
          </cell>
          <cell r="AE1642">
            <v>80</v>
          </cell>
          <cell r="AF1642">
            <v>166</v>
          </cell>
          <cell r="AG1642">
            <v>-86</v>
          </cell>
        </row>
        <row r="1643">
          <cell r="C1643">
            <v>297758</v>
          </cell>
          <cell r="D1643" t="str">
            <v>Ajinkya Petroleum KSK</v>
          </cell>
          <cell r="E1643" t="str">
            <v>IOCL</v>
          </cell>
          <cell r="F1643" t="str">
            <v>2016-17</v>
          </cell>
          <cell r="G1643" t="str">
            <v>Pune Wagholi RSA</v>
          </cell>
          <cell r="H1643">
            <v>42803</v>
          </cell>
          <cell r="I1643" t="str">
            <v>OPEN</v>
          </cell>
          <cell r="J1643" t="str">
            <v>Shiroli Bk</v>
          </cell>
          <cell r="K1643" t="str">
            <v>Pune</v>
          </cell>
          <cell r="L1643" t="str">
            <v>E</v>
          </cell>
          <cell r="O1643" t="str">
            <v>B</v>
          </cell>
          <cell r="P1643">
            <v>7</v>
          </cell>
          <cell r="Q1643">
            <v>17</v>
          </cell>
          <cell r="R1643">
            <v>9</v>
          </cell>
          <cell r="S1643">
            <v>29</v>
          </cell>
          <cell r="T1643">
            <v>-2</v>
          </cell>
          <cell r="U1643">
            <v>-12</v>
          </cell>
          <cell r="V1643">
            <v>14</v>
          </cell>
          <cell r="W1643">
            <v>34</v>
          </cell>
          <cell r="X1643">
            <v>24</v>
          </cell>
          <cell r="Y1643">
            <v>64</v>
          </cell>
          <cell r="Z1643">
            <v>-10</v>
          </cell>
          <cell r="AA1643">
            <v>-30</v>
          </cell>
          <cell r="AB1643">
            <v>24</v>
          </cell>
          <cell r="AC1643">
            <v>38</v>
          </cell>
          <cell r="AD1643">
            <v>-14</v>
          </cell>
          <cell r="AE1643">
            <v>48</v>
          </cell>
          <cell r="AF1643">
            <v>88</v>
          </cell>
          <cell r="AG1643">
            <v>-40</v>
          </cell>
        </row>
        <row r="1644">
          <cell r="C1644">
            <v>298395</v>
          </cell>
          <cell r="D1644" t="str">
            <v>Sanskar Petroleum</v>
          </cell>
          <cell r="E1644" t="str">
            <v>IOCL</v>
          </cell>
          <cell r="F1644" t="str">
            <v>2016-17</v>
          </cell>
          <cell r="G1644" t="str">
            <v>Ahmednagar West RSA</v>
          </cell>
          <cell r="H1644">
            <v>42825</v>
          </cell>
          <cell r="I1644" t="str">
            <v>OPEN</v>
          </cell>
          <cell r="J1644" t="str">
            <v>Deodaithan</v>
          </cell>
          <cell r="K1644" t="str">
            <v>Ahmednagar</v>
          </cell>
          <cell r="L1644" t="str">
            <v>D2</v>
          </cell>
          <cell r="O1644" t="str">
            <v>B</v>
          </cell>
          <cell r="P1644">
            <v>20</v>
          </cell>
          <cell r="Q1644">
            <v>64</v>
          </cell>
          <cell r="R1644">
            <v>27</v>
          </cell>
          <cell r="S1644">
            <v>61</v>
          </cell>
          <cell r="T1644">
            <v>-7</v>
          </cell>
          <cell r="U1644">
            <v>3</v>
          </cell>
          <cell r="V1644">
            <v>37.5</v>
          </cell>
          <cell r="W1644">
            <v>88.5</v>
          </cell>
          <cell r="X1644">
            <v>44.5</v>
          </cell>
          <cell r="Y1644">
            <v>111.5</v>
          </cell>
          <cell r="Z1644">
            <v>-7</v>
          </cell>
          <cell r="AA1644">
            <v>-23</v>
          </cell>
          <cell r="AB1644">
            <v>84</v>
          </cell>
          <cell r="AC1644">
            <v>88</v>
          </cell>
          <cell r="AD1644">
            <v>-4</v>
          </cell>
          <cell r="AE1644">
            <v>126</v>
          </cell>
          <cell r="AF1644">
            <v>156</v>
          </cell>
          <cell r="AG1644">
            <v>-30</v>
          </cell>
        </row>
        <row r="1645">
          <cell r="C1645">
            <v>298396</v>
          </cell>
          <cell r="D1645" t="str">
            <v>Bbalaji Petrolinks</v>
          </cell>
          <cell r="E1645" t="str">
            <v>IOCL</v>
          </cell>
          <cell r="F1645" t="str">
            <v>2016-17</v>
          </cell>
          <cell r="G1645" t="str">
            <v>Pune City RSA</v>
          </cell>
          <cell r="H1645">
            <v>42794</v>
          </cell>
          <cell r="I1645" t="str">
            <v>OPEN</v>
          </cell>
          <cell r="J1645" t="str">
            <v>SUS ROAD</v>
          </cell>
          <cell r="K1645" t="str">
            <v>Pune</v>
          </cell>
          <cell r="L1645" t="str">
            <v>D2</v>
          </cell>
          <cell r="O1645" t="str">
            <v>B</v>
          </cell>
          <cell r="P1645">
            <v>137</v>
          </cell>
          <cell r="Q1645">
            <v>217</v>
          </cell>
          <cell r="R1645">
            <v>99</v>
          </cell>
          <cell r="S1645">
            <v>165</v>
          </cell>
          <cell r="T1645">
            <v>38</v>
          </cell>
          <cell r="U1645">
            <v>52</v>
          </cell>
          <cell r="V1645">
            <v>243.5</v>
          </cell>
          <cell r="W1645">
            <v>412.5</v>
          </cell>
          <cell r="X1645">
            <v>190</v>
          </cell>
          <cell r="Y1645">
            <v>330</v>
          </cell>
          <cell r="Z1645">
            <v>53.5</v>
          </cell>
          <cell r="AA1645">
            <v>82.5</v>
          </cell>
          <cell r="AB1645">
            <v>354</v>
          </cell>
          <cell r="AC1645">
            <v>264</v>
          </cell>
          <cell r="AD1645">
            <v>90</v>
          </cell>
          <cell r="AE1645">
            <v>656</v>
          </cell>
          <cell r="AF1645">
            <v>520</v>
          </cell>
          <cell r="AG1645">
            <v>136</v>
          </cell>
        </row>
        <row r="1646">
          <cell r="C1646">
            <v>298886</v>
          </cell>
          <cell r="D1646" t="str">
            <v>Gade Petroleum Kisan Seva Kendra</v>
          </cell>
          <cell r="E1646" t="str">
            <v>IOCL</v>
          </cell>
          <cell r="F1646" t="str">
            <v>2016-17</v>
          </cell>
          <cell r="G1646" t="str">
            <v>Satara East RSA</v>
          </cell>
          <cell r="H1646">
            <v>42824</v>
          </cell>
          <cell r="I1646" t="str">
            <v>OBC</v>
          </cell>
          <cell r="J1646" t="str">
            <v>Budh</v>
          </cell>
          <cell r="K1646" t="str">
            <v>Satara</v>
          </cell>
          <cell r="L1646" t="str">
            <v>E</v>
          </cell>
          <cell r="O1646" t="str">
            <v>B</v>
          </cell>
          <cell r="P1646">
            <v>57</v>
          </cell>
          <cell r="Q1646">
            <v>123</v>
          </cell>
          <cell r="R1646">
            <v>36</v>
          </cell>
          <cell r="S1646">
            <v>60</v>
          </cell>
          <cell r="T1646">
            <v>21</v>
          </cell>
          <cell r="U1646">
            <v>63</v>
          </cell>
          <cell r="V1646">
            <v>117</v>
          </cell>
          <cell r="W1646">
            <v>255</v>
          </cell>
          <cell r="X1646">
            <v>63</v>
          </cell>
          <cell r="Y1646">
            <v>105</v>
          </cell>
          <cell r="Z1646">
            <v>54</v>
          </cell>
          <cell r="AA1646">
            <v>150</v>
          </cell>
          <cell r="AB1646">
            <v>180</v>
          </cell>
          <cell r="AC1646">
            <v>96</v>
          </cell>
          <cell r="AD1646">
            <v>84</v>
          </cell>
          <cell r="AE1646">
            <v>372</v>
          </cell>
          <cell r="AF1646">
            <v>168</v>
          </cell>
          <cell r="AG1646">
            <v>204</v>
          </cell>
        </row>
        <row r="1647">
          <cell r="C1647">
            <v>298930</v>
          </cell>
          <cell r="D1647" t="str">
            <v>Shri Kalika Petroleum</v>
          </cell>
          <cell r="E1647" t="str">
            <v>IOCL</v>
          </cell>
          <cell r="F1647" t="str">
            <v>2016-17</v>
          </cell>
          <cell r="G1647" t="str">
            <v>Ahmednagar East RSA</v>
          </cell>
          <cell r="H1647">
            <v>42825</v>
          </cell>
          <cell r="I1647" t="str">
            <v>OPEN (W)</v>
          </cell>
          <cell r="J1647" t="str">
            <v>Amrapur</v>
          </cell>
          <cell r="K1647" t="str">
            <v>Ahmednagar</v>
          </cell>
          <cell r="L1647" t="str">
            <v>D2</v>
          </cell>
          <cell r="O1647" t="str">
            <v>B</v>
          </cell>
          <cell r="P1647">
            <v>41</v>
          </cell>
          <cell r="Q1647">
            <v>117</v>
          </cell>
          <cell r="R1647">
            <v>36</v>
          </cell>
          <cell r="S1647">
            <v>72</v>
          </cell>
          <cell r="T1647">
            <v>5</v>
          </cell>
          <cell r="U1647">
            <v>45</v>
          </cell>
          <cell r="V1647">
            <v>62</v>
          </cell>
          <cell r="W1647">
            <v>158</v>
          </cell>
          <cell r="X1647">
            <v>68</v>
          </cell>
          <cell r="Y1647">
            <v>148</v>
          </cell>
          <cell r="Z1647">
            <v>-6</v>
          </cell>
          <cell r="AA1647">
            <v>10</v>
          </cell>
          <cell r="AB1647">
            <v>158</v>
          </cell>
          <cell r="AC1647">
            <v>108</v>
          </cell>
          <cell r="AD1647">
            <v>50</v>
          </cell>
          <cell r="AE1647">
            <v>220</v>
          </cell>
          <cell r="AF1647">
            <v>216</v>
          </cell>
          <cell r="AG1647">
            <v>4</v>
          </cell>
        </row>
        <row r="1648">
          <cell r="C1648">
            <v>299250</v>
          </cell>
          <cell r="D1648" t="str">
            <v>Darshan Petroleum</v>
          </cell>
          <cell r="E1648" t="str">
            <v>IOCL</v>
          </cell>
          <cell r="F1648" t="str">
            <v>2016-17</v>
          </cell>
          <cell r="G1648" t="str">
            <v>Pune Hadapsar RSA</v>
          </cell>
          <cell r="H1648">
            <v>42825</v>
          </cell>
          <cell r="I1648" t="str">
            <v>OPEN</v>
          </cell>
          <cell r="J1648" t="str">
            <v>Kedgaon-Supe</v>
          </cell>
          <cell r="K1648" t="str">
            <v>Pune</v>
          </cell>
          <cell r="L1648" t="str">
            <v>D1</v>
          </cell>
          <cell r="M1648" t="str">
            <v>NH-965D</v>
          </cell>
          <cell r="O1648" t="str">
            <v>B</v>
          </cell>
          <cell r="P1648">
            <v>6</v>
          </cell>
          <cell r="Q1648">
            <v>42</v>
          </cell>
          <cell r="R1648">
            <v>3</v>
          </cell>
          <cell r="S1648">
            <v>9</v>
          </cell>
          <cell r="T1648">
            <v>3</v>
          </cell>
          <cell r="U1648">
            <v>33</v>
          </cell>
          <cell r="V1648">
            <v>18</v>
          </cell>
          <cell r="W1648">
            <v>78</v>
          </cell>
          <cell r="X1648">
            <v>6</v>
          </cell>
          <cell r="Y1648">
            <v>18</v>
          </cell>
          <cell r="Z1648">
            <v>12</v>
          </cell>
          <cell r="AA1648">
            <v>60</v>
          </cell>
          <cell r="AB1648">
            <v>48</v>
          </cell>
          <cell r="AC1648">
            <v>12</v>
          </cell>
          <cell r="AD1648">
            <v>36</v>
          </cell>
          <cell r="AE1648">
            <v>96</v>
          </cell>
          <cell r="AF1648">
            <v>24</v>
          </cell>
          <cell r="AG1648">
            <v>72</v>
          </cell>
        </row>
        <row r="1649">
          <cell r="C1649">
            <v>299293</v>
          </cell>
          <cell r="D1649" t="str">
            <v>Vighnaharta Petroleum KSK</v>
          </cell>
          <cell r="E1649" t="str">
            <v>IOCL</v>
          </cell>
          <cell r="F1649" t="str">
            <v>2017-18</v>
          </cell>
          <cell r="G1649" t="str">
            <v>Pune Saswad RSA</v>
          </cell>
          <cell r="H1649">
            <v>42854</v>
          </cell>
          <cell r="I1649" t="str">
            <v>OPEN</v>
          </cell>
          <cell r="J1649" t="str">
            <v>NIMBODI</v>
          </cell>
          <cell r="K1649" t="str">
            <v>Pune</v>
          </cell>
          <cell r="L1649" t="str">
            <v>E</v>
          </cell>
          <cell r="O1649" t="str">
            <v>B</v>
          </cell>
          <cell r="P1649">
            <v>18</v>
          </cell>
          <cell r="Q1649">
            <v>30</v>
          </cell>
          <cell r="R1649">
            <v>21</v>
          </cell>
          <cell r="S1649">
            <v>39</v>
          </cell>
          <cell r="T1649">
            <v>-3</v>
          </cell>
          <cell r="U1649">
            <v>-9</v>
          </cell>
          <cell r="V1649">
            <v>27</v>
          </cell>
          <cell r="W1649">
            <v>57</v>
          </cell>
          <cell r="X1649">
            <v>36</v>
          </cell>
          <cell r="Y1649">
            <v>84</v>
          </cell>
          <cell r="Z1649">
            <v>-9</v>
          </cell>
          <cell r="AA1649">
            <v>-27</v>
          </cell>
          <cell r="AB1649">
            <v>48</v>
          </cell>
          <cell r="AC1649">
            <v>60</v>
          </cell>
          <cell r="AD1649">
            <v>-12</v>
          </cell>
          <cell r="AE1649">
            <v>84</v>
          </cell>
          <cell r="AF1649">
            <v>120</v>
          </cell>
          <cell r="AG1649">
            <v>-36</v>
          </cell>
        </row>
        <row r="1650">
          <cell r="C1650">
            <v>299301</v>
          </cell>
          <cell r="D1650" t="str">
            <v>Shree Narayan Maharaj Petroleum</v>
          </cell>
          <cell r="E1650" t="str">
            <v>IOCL</v>
          </cell>
          <cell r="F1650" t="str">
            <v>2016-17</v>
          </cell>
          <cell r="G1650" t="str">
            <v>Pune Hadapsar RSA</v>
          </cell>
          <cell r="H1650">
            <v>42825</v>
          </cell>
          <cell r="I1650" t="str">
            <v>OPEN</v>
          </cell>
          <cell r="J1650" t="str">
            <v>Kedgaon-Supe</v>
          </cell>
          <cell r="K1650" t="str">
            <v>Pune</v>
          </cell>
          <cell r="L1650" t="str">
            <v>D1</v>
          </cell>
          <cell r="M1650" t="str">
            <v>NH-965D</v>
          </cell>
          <cell r="O1650" t="str">
            <v>B</v>
          </cell>
          <cell r="P1650">
            <v>27</v>
          </cell>
          <cell r="Q1650">
            <v>241</v>
          </cell>
          <cell r="R1650">
            <v>23</v>
          </cell>
          <cell r="S1650">
            <v>183</v>
          </cell>
          <cell r="T1650">
            <v>4</v>
          </cell>
          <cell r="U1650">
            <v>58</v>
          </cell>
          <cell r="V1650">
            <v>49.5</v>
          </cell>
          <cell r="W1650">
            <v>478.5</v>
          </cell>
          <cell r="X1650">
            <v>45.5</v>
          </cell>
          <cell r="Y1650">
            <v>348.5</v>
          </cell>
          <cell r="Z1650">
            <v>4</v>
          </cell>
          <cell r="AA1650">
            <v>130</v>
          </cell>
          <cell r="AB1650">
            <v>268</v>
          </cell>
          <cell r="AC1650">
            <v>206</v>
          </cell>
          <cell r="AD1650">
            <v>62</v>
          </cell>
          <cell r="AE1650">
            <v>528</v>
          </cell>
          <cell r="AF1650">
            <v>394</v>
          </cell>
          <cell r="AG1650">
            <v>134</v>
          </cell>
        </row>
        <row r="1651">
          <cell r="C1651">
            <v>304691</v>
          </cell>
          <cell r="D1651" t="str">
            <v>J Patil Petroleum</v>
          </cell>
          <cell r="E1651" t="str">
            <v>IOCL</v>
          </cell>
          <cell r="F1651" t="str">
            <v>2017-18</v>
          </cell>
          <cell r="G1651" t="str">
            <v>Pune City RSA</v>
          </cell>
          <cell r="H1651">
            <v>42916</v>
          </cell>
          <cell r="I1651" t="str">
            <v>OPEN</v>
          </cell>
          <cell r="J1651" t="str">
            <v>KASARSAI</v>
          </cell>
          <cell r="K1651" t="str">
            <v>Pune</v>
          </cell>
          <cell r="L1651" t="str">
            <v>D2</v>
          </cell>
          <cell r="O1651" t="str">
            <v>B</v>
          </cell>
          <cell r="P1651">
            <v>258</v>
          </cell>
          <cell r="Q1651">
            <v>294</v>
          </cell>
          <cell r="R1651">
            <v>176</v>
          </cell>
          <cell r="S1651">
            <v>204</v>
          </cell>
          <cell r="T1651">
            <v>82</v>
          </cell>
          <cell r="U1651">
            <v>90</v>
          </cell>
          <cell r="V1651">
            <v>498</v>
          </cell>
          <cell r="W1651">
            <v>582</v>
          </cell>
          <cell r="X1651">
            <v>339</v>
          </cell>
          <cell r="Y1651">
            <v>409</v>
          </cell>
          <cell r="Z1651">
            <v>159</v>
          </cell>
          <cell r="AA1651">
            <v>173</v>
          </cell>
          <cell r="AB1651">
            <v>552</v>
          </cell>
          <cell r="AC1651">
            <v>380</v>
          </cell>
          <cell r="AD1651">
            <v>172</v>
          </cell>
          <cell r="AE1651">
            <v>1080</v>
          </cell>
          <cell r="AF1651">
            <v>748</v>
          </cell>
          <cell r="AG1651">
            <v>332</v>
          </cell>
        </row>
        <row r="1652">
          <cell r="C1652">
            <v>304744</v>
          </cell>
          <cell r="D1652" t="str">
            <v>Om Sai Petroleum</v>
          </cell>
          <cell r="E1652" t="str">
            <v>IOCL</v>
          </cell>
          <cell r="F1652" t="str">
            <v>2017-18</v>
          </cell>
          <cell r="G1652" t="str">
            <v>Pimpri Chinchwad RSA</v>
          </cell>
          <cell r="H1652">
            <v>42937</v>
          </cell>
          <cell r="I1652" t="str">
            <v>OPEN</v>
          </cell>
          <cell r="J1652" t="str">
            <v>Rajgurunagar on SH</v>
          </cell>
          <cell r="K1652" t="str">
            <v>Pune</v>
          </cell>
          <cell r="L1652" t="str">
            <v>D2</v>
          </cell>
          <cell r="O1652" t="str">
            <v>B</v>
          </cell>
          <cell r="P1652">
            <v>75</v>
          </cell>
          <cell r="Q1652">
            <v>185</v>
          </cell>
          <cell r="R1652">
            <v>60</v>
          </cell>
          <cell r="S1652">
            <v>120</v>
          </cell>
          <cell r="T1652">
            <v>15</v>
          </cell>
          <cell r="U1652">
            <v>65</v>
          </cell>
          <cell r="V1652">
            <v>140</v>
          </cell>
          <cell r="W1652">
            <v>340</v>
          </cell>
          <cell r="X1652">
            <v>130</v>
          </cell>
          <cell r="Y1652">
            <v>250</v>
          </cell>
          <cell r="Z1652">
            <v>10</v>
          </cell>
          <cell r="AA1652">
            <v>90</v>
          </cell>
          <cell r="AB1652">
            <v>260</v>
          </cell>
          <cell r="AC1652">
            <v>180</v>
          </cell>
          <cell r="AD1652">
            <v>80</v>
          </cell>
          <cell r="AE1652">
            <v>480</v>
          </cell>
          <cell r="AF1652">
            <v>380</v>
          </cell>
          <cell r="AG1652">
            <v>100</v>
          </cell>
        </row>
        <row r="1653">
          <cell r="C1653">
            <v>304746</v>
          </cell>
          <cell r="D1653" t="str">
            <v>Saksham Petroleum</v>
          </cell>
          <cell r="E1653" t="str">
            <v>IOCL</v>
          </cell>
          <cell r="F1653" t="str">
            <v>2017-18</v>
          </cell>
          <cell r="G1653" t="str">
            <v>Pimpri Chinchwad RSA</v>
          </cell>
          <cell r="H1653">
            <v>42916</v>
          </cell>
          <cell r="I1653" t="str">
            <v>OPEN</v>
          </cell>
          <cell r="J1653" t="str">
            <v>Rajgurunagar to Ghodegaon</v>
          </cell>
          <cell r="K1653" t="str">
            <v>Pune</v>
          </cell>
          <cell r="L1653" t="str">
            <v>D2</v>
          </cell>
          <cell r="O1653" t="str">
            <v>B</v>
          </cell>
          <cell r="P1653">
            <v>36</v>
          </cell>
          <cell r="Q1653">
            <v>84</v>
          </cell>
          <cell r="R1653">
            <v>27</v>
          </cell>
          <cell r="S1653">
            <v>57</v>
          </cell>
          <cell r="T1653">
            <v>9</v>
          </cell>
          <cell r="U1653">
            <v>27</v>
          </cell>
          <cell r="V1653">
            <v>63</v>
          </cell>
          <cell r="W1653">
            <v>141</v>
          </cell>
          <cell r="X1653">
            <v>66</v>
          </cell>
          <cell r="Y1653">
            <v>126</v>
          </cell>
          <cell r="Z1653">
            <v>-3</v>
          </cell>
          <cell r="AA1653">
            <v>15</v>
          </cell>
          <cell r="AB1653">
            <v>120</v>
          </cell>
          <cell r="AC1653">
            <v>84</v>
          </cell>
          <cell r="AD1653">
            <v>36</v>
          </cell>
          <cell r="AE1653">
            <v>204</v>
          </cell>
          <cell r="AF1653">
            <v>192</v>
          </cell>
          <cell r="AG1653">
            <v>12</v>
          </cell>
        </row>
        <row r="1654">
          <cell r="C1654">
            <v>305176</v>
          </cell>
          <cell r="D1654" t="str">
            <v>Anand Petrol and Diesels</v>
          </cell>
          <cell r="E1654" t="str">
            <v>IOCL</v>
          </cell>
          <cell r="F1654" t="str">
            <v>2017-18</v>
          </cell>
          <cell r="G1654" t="str">
            <v>Satara West RSA</v>
          </cell>
          <cell r="H1654">
            <v>42944</v>
          </cell>
          <cell r="I1654" t="str">
            <v>OPEN</v>
          </cell>
          <cell r="J1654" t="str">
            <v>Umbraj on Patan SH</v>
          </cell>
          <cell r="K1654" t="str">
            <v>Satara</v>
          </cell>
          <cell r="L1654" t="str">
            <v>D2</v>
          </cell>
          <cell r="O1654" t="str">
            <v>B</v>
          </cell>
          <cell r="P1654">
            <v>27</v>
          </cell>
          <cell r="Q1654">
            <v>41</v>
          </cell>
          <cell r="R1654">
            <v>33</v>
          </cell>
          <cell r="S1654">
            <v>51</v>
          </cell>
          <cell r="T1654">
            <v>-6</v>
          </cell>
          <cell r="U1654">
            <v>-10</v>
          </cell>
          <cell r="V1654">
            <v>46</v>
          </cell>
          <cell r="W1654">
            <v>86</v>
          </cell>
          <cell r="X1654">
            <v>63</v>
          </cell>
          <cell r="Y1654">
            <v>105</v>
          </cell>
          <cell r="Z1654">
            <v>-17</v>
          </cell>
          <cell r="AA1654">
            <v>-19</v>
          </cell>
          <cell r="AB1654">
            <v>68</v>
          </cell>
          <cell r="AC1654">
            <v>84</v>
          </cell>
          <cell r="AD1654">
            <v>-16</v>
          </cell>
          <cell r="AE1654">
            <v>132</v>
          </cell>
          <cell r="AF1654">
            <v>168</v>
          </cell>
          <cell r="AG1654">
            <v>-36</v>
          </cell>
        </row>
        <row r="1655">
          <cell r="C1655">
            <v>306123</v>
          </cell>
          <cell r="D1655" t="str">
            <v>SHREE SADBHAVANA PETROLEUM</v>
          </cell>
          <cell r="E1655" t="str">
            <v>IOCL</v>
          </cell>
          <cell r="F1655" t="str">
            <v>2017-18</v>
          </cell>
          <cell r="G1655" t="str">
            <v>Pune Wagholi RSA</v>
          </cell>
          <cell r="H1655">
            <v>43007</v>
          </cell>
          <cell r="I1655" t="str">
            <v>OPEN</v>
          </cell>
          <cell r="J1655" t="str">
            <v>Narayangaon to Alephata RHS</v>
          </cell>
          <cell r="K1655" t="str">
            <v>Pune</v>
          </cell>
          <cell r="L1655" t="str">
            <v>D1</v>
          </cell>
          <cell r="M1655" t="str">
            <v>NH-60</v>
          </cell>
          <cell r="O1655" t="str">
            <v>B</v>
          </cell>
          <cell r="P1655">
            <v>39</v>
          </cell>
          <cell r="Q1655">
            <v>93</v>
          </cell>
          <cell r="R1655">
            <v>31.5</v>
          </cell>
          <cell r="S1655">
            <v>96.5</v>
          </cell>
          <cell r="T1655">
            <v>7.5</v>
          </cell>
          <cell r="U1655">
            <v>-3.5</v>
          </cell>
          <cell r="V1655">
            <v>63</v>
          </cell>
          <cell r="W1655">
            <v>165</v>
          </cell>
          <cell r="X1655">
            <v>59</v>
          </cell>
          <cell r="Y1655">
            <v>205</v>
          </cell>
          <cell r="Z1655">
            <v>4</v>
          </cell>
          <cell r="AA1655">
            <v>-40</v>
          </cell>
          <cell r="AB1655">
            <v>132</v>
          </cell>
          <cell r="AC1655">
            <v>128</v>
          </cell>
          <cell r="AD1655">
            <v>4</v>
          </cell>
          <cell r="AE1655">
            <v>228</v>
          </cell>
          <cell r="AF1655">
            <v>264</v>
          </cell>
          <cell r="AG1655">
            <v>-36</v>
          </cell>
        </row>
        <row r="1656">
          <cell r="C1656">
            <v>306380</v>
          </cell>
          <cell r="D1656" t="str">
            <v>SHIVKRUPA PETROLEUM KSK</v>
          </cell>
          <cell r="E1656" t="str">
            <v>IOCL</v>
          </cell>
          <cell r="F1656" t="str">
            <v>2017-18</v>
          </cell>
          <cell r="G1656" t="str">
            <v>Pune Wagholi RSA</v>
          </cell>
          <cell r="H1656">
            <v>43007</v>
          </cell>
          <cell r="I1656" t="str">
            <v>OPEN</v>
          </cell>
          <cell r="J1656" t="str">
            <v>Pargaon Tarfe Ale</v>
          </cell>
          <cell r="K1656" t="str">
            <v>Pune</v>
          </cell>
          <cell r="L1656" t="str">
            <v>E</v>
          </cell>
          <cell r="O1656" t="str">
            <v>B</v>
          </cell>
          <cell r="P1656">
            <v>42.5</v>
          </cell>
          <cell r="Q1656">
            <v>91.5</v>
          </cell>
          <cell r="R1656">
            <v>59</v>
          </cell>
          <cell r="S1656">
            <v>105</v>
          </cell>
          <cell r="T1656">
            <v>-16.5</v>
          </cell>
          <cell r="U1656">
            <v>-13.5</v>
          </cell>
          <cell r="V1656">
            <v>72.5</v>
          </cell>
          <cell r="W1656">
            <v>145.5</v>
          </cell>
          <cell r="X1656">
            <v>113</v>
          </cell>
          <cell r="Y1656">
            <v>206</v>
          </cell>
          <cell r="Z1656">
            <v>-40.5</v>
          </cell>
          <cell r="AA1656">
            <v>-60.5</v>
          </cell>
          <cell r="AB1656">
            <v>134</v>
          </cell>
          <cell r="AC1656">
            <v>164</v>
          </cell>
          <cell r="AD1656">
            <v>-30</v>
          </cell>
          <cell r="AE1656">
            <v>218</v>
          </cell>
          <cell r="AF1656">
            <v>319</v>
          </cell>
          <cell r="AG1656">
            <v>-101</v>
          </cell>
        </row>
        <row r="1657">
          <cell r="C1657">
            <v>306971</v>
          </cell>
          <cell r="D1657" t="str">
            <v>S K Petroleum</v>
          </cell>
          <cell r="E1657" t="str">
            <v>IOCL</v>
          </cell>
          <cell r="F1657" t="str">
            <v>2017-18</v>
          </cell>
          <cell r="G1657" t="str">
            <v>Pune Saswad RSA</v>
          </cell>
          <cell r="H1657">
            <v>43039</v>
          </cell>
          <cell r="I1657" t="str">
            <v>OPEN</v>
          </cell>
          <cell r="J1657" t="str">
            <v>Malshiras Purandar</v>
          </cell>
          <cell r="K1657" t="str">
            <v>Pune</v>
          </cell>
          <cell r="L1657" t="str">
            <v>D2</v>
          </cell>
          <cell r="O1657" t="str">
            <v>B</v>
          </cell>
          <cell r="P1657">
            <v>12</v>
          </cell>
          <cell r="Q1657">
            <v>24</v>
          </cell>
          <cell r="R1657">
            <v>6</v>
          </cell>
          <cell r="S1657">
            <v>18</v>
          </cell>
          <cell r="T1657">
            <v>6</v>
          </cell>
          <cell r="U1657">
            <v>6</v>
          </cell>
          <cell r="V1657">
            <v>18</v>
          </cell>
          <cell r="W1657">
            <v>42</v>
          </cell>
          <cell r="X1657">
            <v>12</v>
          </cell>
          <cell r="Y1657">
            <v>36</v>
          </cell>
          <cell r="Z1657">
            <v>6</v>
          </cell>
          <cell r="AA1657">
            <v>6</v>
          </cell>
          <cell r="AB1657">
            <v>36</v>
          </cell>
          <cell r="AC1657">
            <v>24</v>
          </cell>
          <cell r="AD1657">
            <v>12</v>
          </cell>
          <cell r="AE1657">
            <v>60</v>
          </cell>
          <cell r="AF1657">
            <v>48</v>
          </cell>
          <cell r="AG1657">
            <v>12</v>
          </cell>
        </row>
        <row r="1658">
          <cell r="C1658">
            <v>307928</v>
          </cell>
          <cell r="D1658" t="str">
            <v>Rajlaxmi Petrohub</v>
          </cell>
          <cell r="E1658" t="str">
            <v>IOCL</v>
          </cell>
          <cell r="F1658" t="str">
            <v>2017-18</v>
          </cell>
          <cell r="G1658" t="str">
            <v>Pune City RSA</v>
          </cell>
          <cell r="H1658">
            <v>43069</v>
          </cell>
          <cell r="I1658" t="str">
            <v>OPEN</v>
          </cell>
          <cell r="J1658" t="str">
            <v>HINJEWADI</v>
          </cell>
          <cell r="K1658" t="str">
            <v>Pune</v>
          </cell>
          <cell r="L1658" t="str">
            <v>A</v>
          </cell>
          <cell r="O1658" t="str">
            <v>A</v>
          </cell>
          <cell r="P1658">
            <v>240</v>
          </cell>
          <cell r="Q1658">
            <v>144</v>
          </cell>
          <cell r="R1658">
            <v>225</v>
          </cell>
          <cell r="S1658">
            <v>135</v>
          </cell>
          <cell r="T1658">
            <v>15</v>
          </cell>
          <cell r="U1658">
            <v>9</v>
          </cell>
          <cell r="V1658">
            <v>410</v>
          </cell>
          <cell r="W1658">
            <v>262</v>
          </cell>
          <cell r="X1658">
            <v>405</v>
          </cell>
          <cell r="Y1658">
            <v>267</v>
          </cell>
          <cell r="Z1658">
            <v>5</v>
          </cell>
          <cell r="AA1658">
            <v>-5</v>
          </cell>
          <cell r="AB1658">
            <v>384</v>
          </cell>
          <cell r="AC1658">
            <v>360</v>
          </cell>
          <cell r="AD1658">
            <v>24</v>
          </cell>
          <cell r="AE1658">
            <v>672</v>
          </cell>
          <cell r="AF1658">
            <v>672</v>
          </cell>
          <cell r="AG1658">
            <v>0</v>
          </cell>
        </row>
        <row r="1659">
          <cell r="C1659">
            <v>308514</v>
          </cell>
          <cell r="D1659" t="str">
            <v>SARVESH PETROLEUM</v>
          </cell>
          <cell r="E1659" t="str">
            <v>IOCL</v>
          </cell>
          <cell r="F1659" t="str">
            <v>2017-18</v>
          </cell>
          <cell r="G1659" t="str">
            <v>Pune Saswad RSA</v>
          </cell>
          <cell r="H1659">
            <v>43099</v>
          </cell>
          <cell r="I1659" t="str">
            <v>OPEN</v>
          </cell>
          <cell r="J1659" t="str">
            <v>Jejuri -Belsar-Urulikanchan Road</v>
          </cell>
          <cell r="K1659" t="str">
            <v>Pune</v>
          </cell>
          <cell r="L1659" t="str">
            <v>D2</v>
          </cell>
          <cell r="O1659" t="str">
            <v>B</v>
          </cell>
          <cell r="P1659">
            <v>30</v>
          </cell>
          <cell r="Q1659">
            <v>66</v>
          </cell>
          <cell r="R1659">
            <v>26.5</v>
          </cell>
          <cell r="S1659">
            <v>57.5</v>
          </cell>
          <cell r="T1659">
            <v>3.5</v>
          </cell>
          <cell r="U1659">
            <v>8.5</v>
          </cell>
          <cell r="V1659">
            <v>55.5</v>
          </cell>
          <cell r="W1659">
            <v>126.5</v>
          </cell>
          <cell r="X1659">
            <v>47</v>
          </cell>
          <cell r="Y1659">
            <v>115</v>
          </cell>
          <cell r="Z1659">
            <v>8.5</v>
          </cell>
          <cell r="AA1659">
            <v>11.5</v>
          </cell>
          <cell r="AB1659">
            <v>96</v>
          </cell>
          <cell r="AC1659">
            <v>84</v>
          </cell>
          <cell r="AD1659">
            <v>12</v>
          </cell>
          <cell r="AE1659">
            <v>182</v>
          </cell>
          <cell r="AF1659">
            <v>162</v>
          </cell>
          <cell r="AG1659">
            <v>20</v>
          </cell>
        </row>
        <row r="1660">
          <cell r="C1660">
            <v>308570</v>
          </cell>
          <cell r="D1660" t="str">
            <v xml:space="preserve"> SAARTHSHAURYA AGENCIES</v>
          </cell>
          <cell r="E1660" t="str">
            <v>IOCL</v>
          </cell>
          <cell r="F1660" t="str">
            <v>2017-18</v>
          </cell>
          <cell r="G1660" t="str">
            <v>Pune Tathawade RSA</v>
          </cell>
          <cell r="H1660">
            <v>43099</v>
          </cell>
          <cell r="I1660" t="str">
            <v>OPEN</v>
          </cell>
          <cell r="J1660" t="str">
            <v>JAMBHULWADI TO KHED SHIVAPUR</v>
          </cell>
          <cell r="K1660" t="str">
            <v>Pune</v>
          </cell>
          <cell r="L1660" t="str">
            <v>D1</v>
          </cell>
          <cell r="M1660" t="str">
            <v>NH-48</v>
          </cell>
          <cell r="O1660" t="str">
            <v>B</v>
          </cell>
          <cell r="P1660">
            <v>124</v>
          </cell>
          <cell r="Q1660">
            <v>154</v>
          </cell>
          <cell r="R1660">
            <v>118</v>
          </cell>
          <cell r="S1660">
            <v>130</v>
          </cell>
          <cell r="T1660">
            <v>6</v>
          </cell>
          <cell r="U1660">
            <v>24</v>
          </cell>
          <cell r="V1660">
            <v>226.5</v>
          </cell>
          <cell r="W1660">
            <v>279.5</v>
          </cell>
          <cell r="X1660">
            <v>201</v>
          </cell>
          <cell r="Y1660">
            <v>223</v>
          </cell>
          <cell r="Z1660">
            <v>25.5</v>
          </cell>
          <cell r="AA1660">
            <v>56.5</v>
          </cell>
          <cell r="AB1660">
            <v>278</v>
          </cell>
          <cell r="AC1660">
            <v>248</v>
          </cell>
          <cell r="AD1660">
            <v>30</v>
          </cell>
          <cell r="AE1660">
            <v>506</v>
          </cell>
          <cell r="AF1660">
            <v>424</v>
          </cell>
          <cell r="AG1660">
            <v>82</v>
          </cell>
        </row>
        <row r="1661">
          <cell r="C1661">
            <v>308586</v>
          </cell>
          <cell r="D1661" t="str">
            <v>MORAYA PETROL PUMP</v>
          </cell>
          <cell r="E1661" t="str">
            <v>IOCL</v>
          </cell>
          <cell r="F1661" t="str">
            <v>2017-18</v>
          </cell>
          <cell r="G1661" t="str">
            <v>Ahmednagar West RSA</v>
          </cell>
          <cell r="H1661">
            <v>43124</v>
          </cell>
          <cell r="I1661" t="str">
            <v>OPEN</v>
          </cell>
          <cell r="J1661" t="str">
            <v>TAKLI KAZI</v>
          </cell>
          <cell r="K1661" t="str">
            <v>Ahmednagar</v>
          </cell>
          <cell r="L1661" t="str">
            <v>D1</v>
          </cell>
          <cell r="M1661" t="str">
            <v>NH-561</v>
          </cell>
          <cell r="O1661" t="str">
            <v>B</v>
          </cell>
          <cell r="P1661">
            <v>33</v>
          </cell>
          <cell r="Q1661">
            <v>99</v>
          </cell>
          <cell r="R1661">
            <v>27</v>
          </cell>
          <cell r="S1661">
            <v>107</v>
          </cell>
          <cell r="T1661">
            <v>6</v>
          </cell>
          <cell r="U1661">
            <v>-8</v>
          </cell>
          <cell r="V1661">
            <v>57</v>
          </cell>
          <cell r="W1661">
            <v>171</v>
          </cell>
          <cell r="X1661">
            <v>45</v>
          </cell>
          <cell r="Y1661">
            <v>197</v>
          </cell>
          <cell r="Z1661">
            <v>12</v>
          </cell>
          <cell r="AA1661">
            <v>-26</v>
          </cell>
          <cell r="AB1661">
            <v>132</v>
          </cell>
          <cell r="AC1661">
            <v>134</v>
          </cell>
          <cell r="AD1661">
            <v>-2</v>
          </cell>
          <cell r="AE1661">
            <v>228</v>
          </cell>
          <cell r="AF1661">
            <v>242</v>
          </cell>
          <cell r="AG1661">
            <v>-14</v>
          </cell>
        </row>
        <row r="1662">
          <cell r="C1662">
            <v>308595</v>
          </cell>
          <cell r="D1662" t="str">
            <v>Mllikarjuneshwar Petrolem</v>
          </cell>
          <cell r="E1662" t="str">
            <v>IOCL</v>
          </cell>
          <cell r="F1662" t="str">
            <v>2017-18</v>
          </cell>
          <cell r="G1662" t="str">
            <v>Ahmednagar East RSA</v>
          </cell>
          <cell r="H1662">
            <v>43159</v>
          </cell>
          <cell r="I1662" t="str">
            <v>OPEN</v>
          </cell>
          <cell r="J1662" t="str">
            <v>GHOTAN</v>
          </cell>
          <cell r="K1662" t="str">
            <v>Ahmednagar</v>
          </cell>
          <cell r="L1662" t="str">
            <v>D2</v>
          </cell>
          <cell r="O1662" t="str">
            <v>B</v>
          </cell>
          <cell r="P1662">
            <v>24</v>
          </cell>
          <cell r="Q1662">
            <v>64</v>
          </cell>
          <cell r="R1662">
            <v>33</v>
          </cell>
          <cell r="S1662">
            <v>77</v>
          </cell>
          <cell r="T1662">
            <v>-9</v>
          </cell>
          <cell r="U1662">
            <v>-13</v>
          </cell>
          <cell r="V1662">
            <v>46</v>
          </cell>
          <cell r="W1662">
            <v>114</v>
          </cell>
          <cell r="X1662">
            <v>64</v>
          </cell>
          <cell r="Y1662">
            <v>140</v>
          </cell>
          <cell r="Z1662">
            <v>-18</v>
          </cell>
          <cell r="AA1662">
            <v>-26</v>
          </cell>
          <cell r="AB1662">
            <v>88</v>
          </cell>
          <cell r="AC1662">
            <v>110</v>
          </cell>
          <cell r="AD1662">
            <v>-22</v>
          </cell>
          <cell r="AE1662">
            <v>160</v>
          </cell>
          <cell r="AF1662">
            <v>204</v>
          </cell>
          <cell r="AG1662">
            <v>-44</v>
          </cell>
        </row>
        <row r="1663">
          <cell r="C1663">
            <v>308603</v>
          </cell>
          <cell r="D1663" t="str">
            <v xml:space="preserve"> SHRI VRIDHESWAR SAHAKARI SAKHAR KAR</v>
          </cell>
          <cell r="E1663" t="str">
            <v>IOCL</v>
          </cell>
          <cell r="F1663" t="str">
            <v>2017-18</v>
          </cell>
          <cell r="G1663" t="str">
            <v>Ahmednagar West RSA</v>
          </cell>
          <cell r="H1663">
            <v>43100</v>
          </cell>
          <cell r="I1663" t="str">
            <v>OPEN</v>
          </cell>
          <cell r="J1663" t="str">
            <v>Kasar Pimpalgaon</v>
          </cell>
          <cell r="K1663" t="str">
            <v>Ahmednagar</v>
          </cell>
          <cell r="L1663" t="str">
            <v>D2</v>
          </cell>
          <cell r="O1663" t="str">
            <v>B</v>
          </cell>
          <cell r="P1663">
            <v>55.5</v>
          </cell>
          <cell r="Q1663">
            <v>89.5</v>
          </cell>
          <cell r="R1663">
            <v>57.5</v>
          </cell>
          <cell r="S1663">
            <v>122.5</v>
          </cell>
          <cell r="T1663">
            <v>-2</v>
          </cell>
          <cell r="U1663">
            <v>-33</v>
          </cell>
          <cell r="V1663">
            <v>103.5</v>
          </cell>
          <cell r="W1663">
            <v>135.5</v>
          </cell>
          <cell r="X1663">
            <v>87.5</v>
          </cell>
          <cell r="Y1663">
            <v>208.5</v>
          </cell>
          <cell r="Z1663">
            <v>16</v>
          </cell>
          <cell r="AA1663">
            <v>-73</v>
          </cell>
          <cell r="AB1663">
            <v>145</v>
          </cell>
          <cell r="AC1663">
            <v>180</v>
          </cell>
          <cell r="AD1663">
            <v>-35</v>
          </cell>
          <cell r="AE1663">
            <v>239</v>
          </cell>
          <cell r="AF1663">
            <v>296</v>
          </cell>
          <cell r="AG1663">
            <v>-57</v>
          </cell>
        </row>
        <row r="1664">
          <cell r="C1664">
            <v>308905</v>
          </cell>
          <cell r="D1664" t="str">
            <v>KHAMBESHWAR PETROLEUM KSK</v>
          </cell>
          <cell r="E1664" t="str">
            <v>IOCL</v>
          </cell>
          <cell r="F1664" t="str">
            <v>2017-18</v>
          </cell>
          <cell r="G1664" t="str">
            <v>Pune Hadapsar RSA</v>
          </cell>
          <cell r="H1664">
            <v>43118</v>
          </cell>
          <cell r="I1664" t="str">
            <v>OPEN</v>
          </cell>
          <cell r="J1664" t="str">
            <v>Khamgaon</v>
          </cell>
          <cell r="K1664" t="str">
            <v>Pune</v>
          </cell>
          <cell r="L1664" t="str">
            <v>E</v>
          </cell>
          <cell r="O1664" t="str">
            <v>B</v>
          </cell>
          <cell r="P1664">
            <v>24</v>
          </cell>
          <cell r="Q1664">
            <v>84</v>
          </cell>
          <cell r="R1664">
            <v>26</v>
          </cell>
          <cell r="S1664">
            <v>58</v>
          </cell>
          <cell r="T1664">
            <v>-2</v>
          </cell>
          <cell r="U1664">
            <v>26</v>
          </cell>
          <cell r="V1664">
            <v>51</v>
          </cell>
          <cell r="W1664">
            <v>165</v>
          </cell>
          <cell r="X1664">
            <v>52</v>
          </cell>
          <cell r="Y1664">
            <v>128</v>
          </cell>
          <cell r="Z1664">
            <v>-1</v>
          </cell>
          <cell r="AA1664">
            <v>37</v>
          </cell>
          <cell r="AB1664">
            <v>108</v>
          </cell>
          <cell r="AC1664">
            <v>84</v>
          </cell>
          <cell r="AD1664">
            <v>24</v>
          </cell>
          <cell r="AE1664">
            <v>216</v>
          </cell>
          <cell r="AF1664">
            <v>180</v>
          </cell>
          <cell r="AG1664">
            <v>36</v>
          </cell>
        </row>
        <row r="1665">
          <cell r="C1665">
            <v>309051</v>
          </cell>
          <cell r="D1665" t="str">
            <v>Janai Petroleum</v>
          </cell>
          <cell r="E1665" t="str">
            <v>IOCL</v>
          </cell>
          <cell r="F1665" t="str">
            <v>2017-18</v>
          </cell>
          <cell r="G1665" t="str">
            <v>Satara West RSA</v>
          </cell>
          <cell r="H1665">
            <v>43133</v>
          </cell>
          <cell r="I1665" t="str">
            <v>OPEN</v>
          </cell>
          <cell r="J1665" t="str">
            <v>KARAD TO KASHIL</v>
          </cell>
          <cell r="K1665" t="str">
            <v>Satara</v>
          </cell>
          <cell r="L1665" t="str">
            <v>D1</v>
          </cell>
          <cell r="M1665" t="str">
            <v>NH-48</v>
          </cell>
          <cell r="O1665" t="str">
            <v>B</v>
          </cell>
          <cell r="P1665">
            <v>49</v>
          </cell>
          <cell r="Q1665">
            <v>175</v>
          </cell>
          <cell r="R1665">
            <v>66.5</v>
          </cell>
          <cell r="S1665">
            <v>143.5</v>
          </cell>
          <cell r="T1665">
            <v>-17.5</v>
          </cell>
          <cell r="U1665">
            <v>31.5</v>
          </cell>
          <cell r="V1665">
            <v>87.5</v>
          </cell>
          <cell r="W1665">
            <v>318.5</v>
          </cell>
          <cell r="X1665">
            <v>119</v>
          </cell>
          <cell r="Y1665">
            <v>259</v>
          </cell>
          <cell r="Z1665">
            <v>-31.5</v>
          </cell>
          <cell r="AA1665">
            <v>59.5</v>
          </cell>
          <cell r="AB1665">
            <v>224</v>
          </cell>
          <cell r="AC1665">
            <v>210</v>
          </cell>
          <cell r="AD1665">
            <v>14</v>
          </cell>
          <cell r="AE1665">
            <v>406</v>
          </cell>
          <cell r="AF1665">
            <v>378</v>
          </cell>
          <cell r="AG1665">
            <v>28</v>
          </cell>
        </row>
        <row r="1666">
          <cell r="C1666">
            <v>310993</v>
          </cell>
          <cell r="D1666" t="str">
            <v>MATOSHRI SERVICE STATION</v>
          </cell>
          <cell r="E1666" t="str">
            <v>IOCL</v>
          </cell>
          <cell r="F1666" t="str">
            <v>2017-18</v>
          </cell>
          <cell r="G1666" t="str">
            <v>Satara West RSA</v>
          </cell>
          <cell r="H1666">
            <v>43190</v>
          </cell>
          <cell r="I1666" t="str">
            <v>SC</v>
          </cell>
          <cell r="J1666" t="str">
            <v>Umbraj Masur Road</v>
          </cell>
          <cell r="K1666" t="str">
            <v>Satara</v>
          </cell>
          <cell r="L1666" t="str">
            <v>D2</v>
          </cell>
          <cell r="O1666" t="str">
            <v>A</v>
          </cell>
          <cell r="P1666">
            <v>42</v>
          </cell>
          <cell r="Q1666">
            <v>70</v>
          </cell>
          <cell r="R1666">
            <v>49</v>
          </cell>
          <cell r="S1666">
            <v>63</v>
          </cell>
          <cell r="T1666">
            <v>-7</v>
          </cell>
          <cell r="U1666">
            <v>7</v>
          </cell>
          <cell r="V1666">
            <v>80.5</v>
          </cell>
          <cell r="W1666">
            <v>143.5</v>
          </cell>
          <cell r="X1666">
            <v>87.5</v>
          </cell>
          <cell r="Y1666">
            <v>136.5</v>
          </cell>
          <cell r="Z1666">
            <v>-7</v>
          </cell>
          <cell r="AA1666">
            <v>7</v>
          </cell>
          <cell r="AB1666">
            <v>112</v>
          </cell>
          <cell r="AC1666">
            <v>112</v>
          </cell>
          <cell r="AD1666">
            <v>0</v>
          </cell>
          <cell r="AE1666">
            <v>224</v>
          </cell>
          <cell r="AF1666">
            <v>224</v>
          </cell>
          <cell r="AG1666">
            <v>0</v>
          </cell>
        </row>
        <row r="1667">
          <cell r="C1667">
            <v>311268</v>
          </cell>
          <cell r="D1667" t="str">
            <v>RAMLING PETROLEUM</v>
          </cell>
          <cell r="E1667" t="str">
            <v>IOCL</v>
          </cell>
          <cell r="F1667" t="str">
            <v>2017-18</v>
          </cell>
          <cell r="G1667" t="str">
            <v>Pune Wagholi RSA</v>
          </cell>
          <cell r="H1667">
            <v>43131</v>
          </cell>
          <cell r="I1667" t="str">
            <v>ST</v>
          </cell>
          <cell r="J1667" t="str">
            <v>Golegaon</v>
          </cell>
          <cell r="K1667" t="str">
            <v>Pune</v>
          </cell>
          <cell r="L1667" t="str">
            <v>E</v>
          </cell>
          <cell r="O1667" t="str">
            <v>A</v>
          </cell>
          <cell r="P1667">
            <v>21</v>
          </cell>
          <cell r="Q1667">
            <v>75</v>
          </cell>
          <cell r="R1667">
            <v>24</v>
          </cell>
          <cell r="S1667">
            <v>48</v>
          </cell>
          <cell r="T1667">
            <v>-3</v>
          </cell>
          <cell r="U1667">
            <v>27</v>
          </cell>
          <cell r="V1667">
            <v>33</v>
          </cell>
          <cell r="W1667">
            <v>111</v>
          </cell>
          <cell r="X1667">
            <v>45</v>
          </cell>
          <cell r="Y1667">
            <v>87</v>
          </cell>
          <cell r="Z1667">
            <v>-12</v>
          </cell>
          <cell r="AA1667">
            <v>24</v>
          </cell>
          <cell r="AB1667">
            <v>96</v>
          </cell>
          <cell r="AC1667">
            <v>72</v>
          </cell>
          <cell r="AD1667">
            <v>24</v>
          </cell>
          <cell r="AE1667">
            <v>144</v>
          </cell>
          <cell r="AF1667">
            <v>132</v>
          </cell>
          <cell r="AG1667">
            <v>12</v>
          </cell>
        </row>
        <row r="1668">
          <cell r="C1668">
            <v>311309</v>
          </cell>
          <cell r="D1668" t="str">
            <v>KUSUM PETROLINK</v>
          </cell>
          <cell r="E1668" t="str">
            <v>IOCL</v>
          </cell>
          <cell r="F1668" t="str">
            <v>2017-18</v>
          </cell>
          <cell r="G1668" t="str">
            <v>Satara West RSA</v>
          </cell>
          <cell r="H1668">
            <v>43190</v>
          </cell>
          <cell r="I1668" t="str">
            <v>OPEN</v>
          </cell>
          <cell r="J1668" t="str">
            <v>Bhuinj to Satara</v>
          </cell>
          <cell r="K1668" t="str">
            <v>Satara</v>
          </cell>
          <cell r="L1668" t="str">
            <v>D1</v>
          </cell>
          <cell r="M1668" t="str">
            <v>NH-48</v>
          </cell>
          <cell r="O1668" t="str">
            <v>B</v>
          </cell>
          <cell r="P1668">
            <v>96</v>
          </cell>
          <cell r="Q1668">
            <v>162</v>
          </cell>
          <cell r="R1668">
            <v>52.5</v>
          </cell>
          <cell r="S1668">
            <v>87.5</v>
          </cell>
          <cell r="T1668">
            <v>43.5</v>
          </cell>
          <cell r="U1668">
            <v>74.5</v>
          </cell>
          <cell r="V1668">
            <v>164</v>
          </cell>
          <cell r="W1668">
            <v>272</v>
          </cell>
          <cell r="X1668">
            <v>105</v>
          </cell>
          <cell r="Y1668">
            <v>175</v>
          </cell>
          <cell r="Z1668">
            <v>59</v>
          </cell>
          <cell r="AA1668">
            <v>97</v>
          </cell>
          <cell r="AB1668">
            <v>258</v>
          </cell>
          <cell r="AC1668">
            <v>140</v>
          </cell>
          <cell r="AD1668">
            <v>118</v>
          </cell>
          <cell r="AE1668">
            <v>436</v>
          </cell>
          <cell r="AF1668">
            <v>280</v>
          </cell>
          <cell r="AG1668">
            <v>156</v>
          </cell>
        </row>
        <row r="1669">
          <cell r="C1669">
            <v>311568</v>
          </cell>
          <cell r="D1669" t="str">
            <v>AAI PETROLEUM</v>
          </cell>
          <cell r="E1669" t="str">
            <v>IOCL</v>
          </cell>
          <cell r="F1669" t="str">
            <v>2017-18</v>
          </cell>
          <cell r="G1669" t="str">
            <v>Pune Wagholi RSA</v>
          </cell>
          <cell r="H1669">
            <v>43190</v>
          </cell>
          <cell r="I1669" t="str">
            <v>ST</v>
          </cell>
          <cell r="J1669" t="str">
            <v>Junnar</v>
          </cell>
          <cell r="K1669" t="str">
            <v>Pune</v>
          </cell>
          <cell r="L1669" t="str">
            <v>D2</v>
          </cell>
          <cell r="O1669" t="str">
            <v>A</v>
          </cell>
          <cell r="P1669">
            <v>0</v>
          </cell>
          <cell r="Q1669">
            <v>0</v>
          </cell>
          <cell r="R1669">
            <v>6</v>
          </cell>
          <cell r="S1669">
            <v>18</v>
          </cell>
          <cell r="T1669">
            <v>-6</v>
          </cell>
          <cell r="U1669">
            <v>-18</v>
          </cell>
          <cell r="V1669">
            <v>3</v>
          </cell>
          <cell r="W1669">
            <v>9</v>
          </cell>
          <cell r="X1669">
            <v>6</v>
          </cell>
          <cell r="Y1669">
            <v>30</v>
          </cell>
          <cell r="Z1669">
            <v>-3</v>
          </cell>
          <cell r="AA1669">
            <v>-21</v>
          </cell>
          <cell r="AB1669">
            <v>0</v>
          </cell>
          <cell r="AC1669">
            <v>24</v>
          </cell>
          <cell r="AD1669">
            <v>-24</v>
          </cell>
          <cell r="AE1669">
            <v>12</v>
          </cell>
          <cell r="AF1669">
            <v>36</v>
          </cell>
          <cell r="AG1669">
            <v>-24</v>
          </cell>
        </row>
        <row r="1670">
          <cell r="C1670">
            <v>311572</v>
          </cell>
          <cell r="D1670" t="str">
            <v>AHER PATIL &amp; SONS</v>
          </cell>
          <cell r="E1670" t="str">
            <v>IOCL</v>
          </cell>
          <cell r="F1670" t="str">
            <v>2017-18</v>
          </cell>
          <cell r="G1670" t="str">
            <v>Shirdi RSA</v>
          </cell>
          <cell r="H1670">
            <v>43190</v>
          </cell>
          <cell r="I1670" t="str">
            <v>OPEN</v>
          </cell>
          <cell r="J1670" t="str">
            <v>GHARGAON Nashik-Pune RHS</v>
          </cell>
          <cell r="K1670" t="str">
            <v>Ahmednagar</v>
          </cell>
          <cell r="L1670" t="str">
            <v>D1</v>
          </cell>
          <cell r="M1670" t="str">
            <v>NH-60</v>
          </cell>
          <cell r="O1670" t="str">
            <v>B</v>
          </cell>
          <cell r="P1670">
            <v>95</v>
          </cell>
          <cell r="Q1670">
            <v>369</v>
          </cell>
          <cell r="R1670">
            <v>66</v>
          </cell>
          <cell r="S1670">
            <v>281</v>
          </cell>
          <cell r="T1670">
            <v>29</v>
          </cell>
          <cell r="U1670">
            <v>88</v>
          </cell>
          <cell r="V1670">
            <v>171</v>
          </cell>
          <cell r="W1670">
            <v>653</v>
          </cell>
          <cell r="X1670">
            <v>117</v>
          </cell>
          <cell r="Y1670">
            <v>542</v>
          </cell>
          <cell r="Z1670">
            <v>54</v>
          </cell>
          <cell r="AA1670">
            <v>111</v>
          </cell>
          <cell r="AB1670">
            <v>464</v>
          </cell>
          <cell r="AC1670">
            <v>347</v>
          </cell>
          <cell r="AD1670">
            <v>117</v>
          </cell>
          <cell r="AE1670">
            <v>824</v>
          </cell>
          <cell r="AF1670">
            <v>659</v>
          </cell>
          <cell r="AG1670">
            <v>165</v>
          </cell>
        </row>
        <row r="1671">
          <cell r="C1671">
            <v>311580</v>
          </cell>
          <cell r="D1671" t="str">
            <v>TIRUPATI BALAJI PETROLEUM</v>
          </cell>
          <cell r="E1671" t="str">
            <v>IOCL</v>
          </cell>
          <cell r="F1671" t="str">
            <v>2017-18</v>
          </cell>
          <cell r="G1671" t="str">
            <v>Shirdi RSA</v>
          </cell>
          <cell r="H1671">
            <v>43190</v>
          </cell>
          <cell r="I1671" t="str">
            <v>SC</v>
          </cell>
          <cell r="J1671" t="str">
            <v>TALEGAON SANGAMNER NH</v>
          </cell>
          <cell r="K1671" t="str">
            <v>Ahmednagar</v>
          </cell>
          <cell r="L1671" t="str">
            <v>D1</v>
          </cell>
          <cell r="M1671" t="str">
            <v>NH-160D</v>
          </cell>
          <cell r="O1671" t="str">
            <v>A</v>
          </cell>
          <cell r="P1671">
            <v>39</v>
          </cell>
          <cell r="Q1671">
            <v>93</v>
          </cell>
          <cell r="R1671">
            <v>55</v>
          </cell>
          <cell r="S1671">
            <v>101</v>
          </cell>
          <cell r="T1671">
            <v>-16</v>
          </cell>
          <cell r="U1671">
            <v>-8</v>
          </cell>
          <cell r="V1671">
            <v>75</v>
          </cell>
          <cell r="W1671">
            <v>165</v>
          </cell>
          <cell r="X1671">
            <v>100</v>
          </cell>
          <cell r="Y1671">
            <v>192</v>
          </cell>
          <cell r="Z1671">
            <v>-25</v>
          </cell>
          <cell r="AA1671">
            <v>-27</v>
          </cell>
          <cell r="AB1671">
            <v>132</v>
          </cell>
          <cell r="AC1671">
            <v>156</v>
          </cell>
          <cell r="AD1671">
            <v>-24</v>
          </cell>
          <cell r="AE1671">
            <v>240</v>
          </cell>
          <cell r="AF1671">
            <v>292</v>
          </cell>
          <cell r="AG1671">
            <v>-52</v>
          </cell>
        </row>
        <row r="1672">
          <cell r="C1672">
            <v>312274</v>
          </cell>
          <cell r="D1672" t="str">
            <v>Maitri Petroleum</v>
          </cell>
          <cell r="E1672" t="str">
            <v>IOCL</v>
          </cell>
          <cell r="F1672" t="str">
            <v>2018-19</v>
          </cell>
          <cell r="G1672" t="str">
            <v>Ahmednagar West RSA</v>
          </cell>
          <cell r="H1672">
            <v>43251</v>
          </cell>
          <cell r="I1672" t="str">
            <v>OPEN</v>
          </cell>
          <cell r="J1672" t="str">
            <v>MANIKDAUNDI-SH</v>
          </cell>
          <cell r="K1672" t="str">
            <v>Ahmednagar</v>
          </cell>
          <cell r="L1672" t="str">
            <v>D2</v>
          </cell>
          <cell r="O1672" t="str">
            <v>B</v>
          </cell>
          <cell r="P1672">
            <v>30</v>
          </cell>
          <cell r="Q1672">
            <v>76</v>
          </cell>
          <cell r="R1672">
            <v>32.5</v>
          </cell>
          <cell r="S1672">
            <v>75.5</v>
          </cell>
          <cell r="T1672">
            <v>-2.5</v>
          </cell>
          <cell r="U1672">
            <v>0.5</v>
          </cell>
          <cell r="V1672">
            <v>54</v>
          </cell>
          <cell r="W1672">
            <v>130</v>
          </cell>
          <cell r="X1672">
            <v>55.5</v>
          </cell>
          <cell r="Y1672">
            <v>154.5</v>
          </cell>
          <cell r="Z1672">
            <v>-1.5</v>
          </cell>
          <cell r="AA1672">
            <v>-24.5</v>
          </cell>
          <cell r="AB1672">
            <v>106</v>
          </cell>
          <cell r="AC1672">
            <v>108</v>
          </cell>
          <cell r="AD1672">
            <v>-2</v>
          </cell>
          <cell r="AE1672">
            <v>184</v>
          </cell>
          <cell r="AF1672">
            <v>210</v>
          </cell>
          <cell r="AG1672">
            <v>-26</v>
          </cell>
        </row>
        <row r="1673">
          <cell r="C1673">
            <v>312338</v>
          </cell>
          <cell r="D1673" t="str">
            <v>Shri Dattakrupa Petroleum</v>
          </cell>
          <cell r="E1673" t="str">
            <v>IOCL</v>
          </cell>
          <cell r="F1673" t="str">
            <v>2018-19</v>
          </cell>
          <cell r="G1673" t="str">
            <v>Ahmednagar West RSA</v>
          </cell>
          <cell r="H1673">
            <v>43258</v>
          </cell>
          <cell r="I1673" t="str">
            <v>OBC</v>
          </cell>
          <cell r="J1673" t="str">
            <v>Ghargaon</v>
          </cell>
          <cell r="K1673" t="str">
            <v>Ahmednagar</v>
          </cell>
          <cell r="L1673" t="str">
            <v>E</v>
          </cell>
          <cell r="O1673" t="str">
            <v>B</v>
          </cell>
          <cell r="P1673">
            <v>12</v>
          </cell>
          <cell r="Q1673">
            <v>36</v>
          </cell>
          <cell r="R1673">
            <v>18</v>
          </cell>
          <cell r="S1673">
            <v>30</v>
          </cell>
          <cell r="T1673">
            <v>-6</v>
          </cell>
          <cell r="U1673">
            <v>6</v>
          </cell>
          <cell r="V1673">
            <v>21</v>
          </cell>
          <cell r="W1673">
            <v>51</v>
          </cell>
          <cell r="X1673">
            <v>27</v>
          </cell>
          <cell r="Y1673">
            <v>45</v>
          </cell>
          <cell r="Z1673">
            <v>-6</v>
          </cell>
          <cell r="AA1673">
            <v>6</v>
          </cell>
          <cell r="AB1673">
            <v>48</v>
          </cell>
          <cell r="AC1673">
            <v>48</v>
          </cell>
          <cell r="AD1673">
            <v>0</v>
          </cell>
          <cell r="AE1673">
            <v>72</v>
          </cell>
          <cell r="AF1673">
            <v>72</v>
          </cell>
          <cell r="AG1673">
            <v>0</v>
          </cell>
        </row>
        <row r="1674">
          <cell r="C1674">
            <v>312681</v>
          </cell>
          <cell r="D1674" t="str">
            <v>Vilas Petroleum</v>
          </cell>
          <cell r="E1674" t="str">
            <v>IOCL</v>
          </cell>
          <cell r="F1674" t="str">
            <v>2018-19</v>
          </cell>
          <cell r="G1674" t="str">
            <v>Pune City RSA</v>
          </cell>
          <cell r="H1674">
            <v>43250</v>
          </cell>
          <cell r="I1674" t="str">
            <v>SC</v>
          </cell>
          <cell r="J1674" t="str">
            <v>WANWORIE</v>
          </cell>
          <cell r="K1674" t="str">
            <v>Pune</v>
          </cell>
          <cell r="L1674" t="str">
            <v>A</v>
          </cell>
          <cell r="O1674" t="str">
            <v>A</v>
          </cell>
          <cell r="P1674">
            <v>225</v>
          </cell>
          <cell r="Q1674">
            <v>375</v>
          </cell>
          <cell r="R1674">
            <v>198</v>
          </cell>
          <cell r="S1674">
            <v>246</v>
          </cell>
          <cell r="T1674">
            <v>27</v>
          </cell>
          <cell r="U1674">
            <v>129</v>
          </cell>
          <cell r="V1674">
            <v>438</v>
          </cell>
          <cell r="W1674">
            <v>750</v>
          </cell>
          <cell r="X1674">
            <v>394</v>
          </cell>
          <cell r="Y1674">
            <v>514</v>
          </cell>
          <cell r="Z1674">
            <v>44</v>
          </cell>
          <cell r="AA1674">
            <v>236</v>
          </cell>
          <cell r="AB1674">
            <v>600</v>
          </cell>
          <cell r="AC1674">
            <v>444</v>
          </cell>
          <cell r="AD1674">
            <v>156</v>
          </cell>
          <cell r="AE1674">
            <v>1188</v>
          </cell>
          <cell r="AF1674">
            <v>908</v>
          </cell>
          <cell r="AG1674">
            <v>280</v>
          </cell>
        </row>
        <row r="1675">
          <cell r="C1675">
            <v>312828</v>
          </cell>
          <cell r="D1675" t="str">
            <v>Pawar Petroleum</v>
          </cell>
          <cell r="E1675" t="str">
            <v>IOCL</v>
          </cell>
          <cell r="F1675" t="str">
            <v>2018-19</v>
          </cell>
          <cell r="G1675" t="str">
            <v>Pimpri Chinchwad RSA</v>
          </cell>
          <cell r="H1675">
            <v>43276</v>
          </cell>
          <cell r="I1675" t="str">
            <v>OPEN</v>
          </cell>
          <cell r="J1675" t="str">
            <v>Nehru Nagar</v>
          </cell>
          <cell r="K1675" t="str">
            <v>Pune</v>
          </cell>
          <cell r="L1675" t="str">
            <v>A</v>
          </cell>
          <cell r="O1675" t="str">
            <v>B</v>
          </cell>
          <cell r="P1675">
            <v>106</v>
          </cell>
          <cell r="Q1675">
            <v>42</v>
          </cell>
          <cell r="R1675">
            <v>113</v>
          </cell>
          <cell r="S1675">
            <v>17</v>
          </cell>
          <cell r="T1675">
            <v>-7</v>
          </cell>
          <cell r="U1675">
            <v>25</v>
          </cell>
          <cell r="V1675">
            <v>215.5</v>
          </cell>
          <cell r="W1675">
            <v>66.5</v>
          </cell>
          <cell r="X1675">
            <v>239</v>
          </cell>
          <cell r="Y1675">
            <v>47</v>
          </cell>
          <cell r="Z1675">
            <v>-23.5</v>
          </cell>
          <cell r="AA1675">
            <v>19.5</v>
          </cell>
          <cell r="AB1675">
            <v>148</v>
          </cell>
          <cell r="AC1675">
            <v>130</v>
          </cell>
          <cell r="AD1675">
            <v>18</v>
          </cell>
          <cell r="AE1675">
            <v>282</v>
          </cell>
          <cell r="AF1675">
            <v>286</v>
          </cell>
          <cell r="AG1675">
            <v>-4</v>
          </cell>
        </row>
        <row r="1676">
          <cell r="C1676">
            <v>313338</v>
          </cell>
          <cell r="D1676" t="str">
            <v>Jadhav Petro Park</v>
          </cell>
          <cell r="E1676" t="str">
            <v>IOCL</v>
          </cell>
          <cell r="F1676" t="str">
            <v>2018-19</v>
          </cell>
          <cell r="G1676" t="str">
            <v>Pune Hadapsar RSA</v>
          </cell>
          <cell r="H1676">
            <v>43312</v>
          </cell>
          <cell r="I1676" t="str">
            <v>OBC</v>
          </cell>
          <cell r="J1676" t="str">
            <v>Kurkumbh RHS</v>
          </cell>
          <cell r="K1676" t="str">
            <v>Pune</v>
          </cell>
          <cell r="L1676" t="str">
            <v>D1</v>
          </cell>
          <cell r="M1676" t="str">
            <v>NH-65</v>
          </cell>
          <cell r="O1676" t="str">
            <v>A</v>
          </cell>
          <cell r="P1676">
            <v>39</v>
          </cell>
          <cell r="Q1676">
            <v>177</v>
          </cell>
          <cell r="R1676">
            <v>30</v>
          </cell>
          <cell r="S1676">
            <v>138</v>
          </cell>
          <cell r="T1676">
            <v>9</v>
          </cell>
          <cell r="U1676">
            <v>39</v>
          </cell>
          <cell r="V1676">
            <v>69</v>
          </cell>
          <cell r="W1676">
            <v>375</v>
          </cell>
          <cell r="X1676">
            <v>48</v>
          </cell>
          <cell r="Y1676">
            <v>276</v>
          </cell>
          <cell r="Z1676">
            <v>21</v>
          </cell>
          <cell r="AA1676">
            <v>99</v>
          </cell>
          <cell r="AB1676">
            <v>216</v>
          </cell>
          <cell r="AC1676">
            <v>168</v>
          </cell>
          <cell r="AD1676">
            <v>48</v>
          </cell>
          <cell r="AE1676">
            <v>444</v>
          </cell>
          <cell r="AF1676">
            <v>324</v>
          </cell>
          <cell r="AG1676">
            <v>120</v>
          </cell>
        </row>
        <row r="1677">
          <cell r="C1677">
            <v>313960</v>
          </cell>
          <cell r="D1677" t="str">
            <v>Saubhagya Petroleum</v>
          </cell>
          <cell r="E1677" t="str">
            <v>IOCL</v>
          </cell>
          <cell r="F1677" t="str">
            <v>2018-19</v>
          </cell>
          <cell r="G1677" t="str">
            <v>Pune Hadapsar RSA</v>
          </cell>
          <cell r="H1677">
            <v>43311</v>
          </cell>
          <cell r="I1677" t="str">
            <v>OBC</v>
          </cell>
          <cell r="J1677" t="str">
            <v>Mandhavgaon-pharata</v>
          </cell>
          <cell r="K1677" t="str">
            <v>Pune</v>
          </cell>
          <cell r="L1677" t="str">
            <v>E</v>
          </cell>
          <cell r="O1677" t="str">
            <v>B</v>
          </cell>
          <cell r="P1677">
            <v>6</v>
          </cell>
          <cell r="Q1677">
            <v>42</v>
          </cell>
          <cell r="R1677">
            <v>24</v>
          </cell>
          <cell r="S1677">
            <v>72</v>
          </cell>
          <cell r="T1677">
            <v>-18</v>
          </cell>
          <cell r="U1677">
            <v>-30</v>
          </cell>
          <cell r="V1677">
            <v>9</v>
          </cell>
          <cell r="W1677">
            <v>65</v>
          </cell>
          <cell r="X1677">
            <v>39</v>
          </cell>
          <cell r="Y1677">
            <v>129</v>
          </cell>
          <cell r="Z1677">
            <v>-30</v>
          </cell>
          <cell r="AA1677">
            <v>-64</v>
          </cell>
          <cell r="AB1677">
            <v>48</v>
          </cell>
          <cell r="AC1677">
            <v>96</v>
          </cell>
          <cell r="AD1677">
            <v>-48</v>
          </cell>
          <cell r="AE1677">
            <v>74</v>
          </cell>
          <cell r="AF1677">
            <v>168</v>
          </cell>
          <cell r="AG1677">
            <v>-94</v>
          </cell>
        </row>
        <row r="1678">
          <cell r="C1678">
            <v>315103</v>
          </cell>
          <cell r="D1678" t="str">
            <v>VAIBHAV PETRO HUB</v>
          </cell>
          <cell r="E1678" t="str">
            <v>IOCL</v>
          </cell>
          <cell r="F1678" t="str">
            <v>2018-19</v>
          </cell>
          <cell r="G1678" t="str">
            <v>Pune Hadapsar RSA</v>
          </cell>
          <cell r="H1678">
            <v>43373</v>
          </cell>
          <cell r="I1678" t="str">
            <v>OPEN</v>
          </cell>
          <cell r="J1678" t="str">
            <v>Varvand RHS</v>
          </cell>
          <cell r="K1678" t="str">
            <v>Pune</v>
          </cell>
          <cell r="L1678" t="str">
            <v>D1</v>
          </cell>
          <cell r="M1678" t="str">
            <v>NH-65</v>
          </cell>
          <cell r="O1678" t="str">
            <v>A</v>
          </cell>
          <cell r="P1678">
            <v>18</v>
          </cell>
          <cell r="Q1678">
            <v>66</v>
          </cell>
          <cell r="R1678">
            <v>21</v>
          </cell>
          <cell r="S1678">
            <v>63</v>
          </cell>
          <cell r="T1678">
            <v>-3</v>
          </cell>
          <cell r="U1678">
            <v>3</v>
          </cell>
          <cell r="V1678">
            <v>33</v>
          </cell>
          <cell r="W1678">
            <v>135</v>
          </cell>
          <cell r="X1678">
            <v>36</v>
          </cell>
          <cell r="Y1678">
            <v>108</v>
          </cell>
          <cell r="Z1678">
            <v>-3</v>
          </cell>
          <cell r="AA1678">
            <v>27</v>
          </cell>
          <cell r="AB1678">
            <v>84</v>
          </cell>
          <cell r="AC1678">
            <v>84</v>
          </cell>
          <cell r="AD1678">
            <v>0</v>
          </cell>
          <cell r="AE1678">
            <v>168</v>
          </cell>
          <cell r="AF1678">
            <v>144</v>
          </cell>
          <cell r="AG1678">
            <v>24</v>
          </cell>
        </row>
        <row r="1679">
          <cell r="C1679">
            <v>315209</v>
          </cell>
          <cell r="D1679" t="str">
            <v>COMMANDANT SRPF GR.V</v>
          </cell>
          <cell r="E1679" t="str">
            <v>IOCL</v>
          </cell>
          <cell r="F1679" t="str">
            <v>2018-19</v>
          </cell>
          <cell r="G1679" t="str">
            <v>Pune Hadapsar RSA</v>
          </cell>
          <cell r="H1679">
            <v>43369</v>
          </cell>
          <cell r="I1679" t="str">
            <v>Govt Agency</v>
          </cell>
          <cell r="J1679" t="str">
            <v>Daund-City</v>
          </cell>
          <cell r="K1679" t="str">
            <v>Pune</v>
          </cell>
          <cell r="L1679" t="str">
            <v>D2</v>
          </cell>
          <cell r="O1679" t="str">
            <v>B</v>
          </cell>
          <cell r="P1679">
            <v>72</v>
          </cell>
          <cell r="Q1679">
            <v>46</v>
          </cell>
          <cell r="R1679">
            <v>72</v>
          </cell>
          <cell r="S1679">
            <v>36</v>
          </cell>
          <cell r="T1679">
            <v>0</v>
          </cell>
          <cell r="U1679">
            <v>10</v>
          </cell>
          <cell r="V1679">
            <v>151.5</v>
          </cell>
          <cell r="W1679">
            <v>74.5</v>
          </cell>
          <cell r="X1679">
            <v>135</v>
          </cell>
          <cell r="Y1679">
            <v>57</v>
          </cell>
          <cell r="Z1679">
            <v>16.5</v>
          </cell>
          <cell r="AA1679">
            <v>17.5</v>
          </cell>
          <cell r="AB1679">
            <v>118</v>
          </cell>
          <cell r="AC1679">
            <v>108</v>
          </cell>
          <cell r="AD1679">
            <v>10</v>
          </cell>
          <cell r="AE1679">
            <v>226</v>
          </cell>
          <cell r="AF1679">
            <v>192</v>
          </cell>
          <cell r="AG1679">
            <v>34</v>
          </cell>
        </row>
        <row r="1680">
          <cell r="C1680">
            <v>316807</v>
          </cell>
          <cell r="D1680" t="str">
            <v>Dhiwar Petroleum</v>
          </cell>
          <cell r="E1680" t="str">
            <v>IOCL</v>
          </cell>
          <cell r="F1680" t="str">
            <v>2018-19</v>
          </cell>
          <cell r="G1680" t="str">
            <v>Pune Tathawade RSA</v>
          </cell>
          <cell r="H1680">
            <v>43434</v>
          </cell>
          <cell r="I1680" t="str">
            <v>SC</v>
          </cell>
          <cell r="J1680" t="str">
            <v>KAPURHOL TO SAROLA</v>
          </cell>
          <cell r="K1680" t="str">
            <v>Pune</v>
          </cell>
          <cell r="L1680" t="str">
            <v>D1</v>
          </cell>
          <cell r="M1680" t="str">
            <v>NH-48</v>
          </cell>
          <cell r="O1680" t="str">
            <v>A</v>
          </cell>
          <cell r="P1680">
            <v>29</v>
          </cell>
          <cell r="Q1680">
            <v>37</v>
          </cell>
          <cell r="R1680">
            <v>24</v>
          </cell>
          <cell r="S1680">
            <v>36</v>
          </cell>
          <cell r="T1680">
            <v>5</v>
          </cell>
          <cell r="U1680">
            <v>1</v>
          </cell>
          <cell r="V1680">
            <v>52</v>
          </cell>
          <cell r="W1680">
            <v>86</v>
          </cell>
          <cell r="X1680">
            <v>57.5</v>
          </cell>
          <cell r="Y1680">
            <v>100.5</v>
          </cell>
          <cell r="Z1680">
            <v>-5.5</v>
          </cell>
          <cell r="AA1680">
            <v>-14.5</v>
          </cell>
          <cell r="AB1680">
            <v>66</v>
          </cell>
          <cell r="AC1680">
            <v>60</v>
          </cell>
          <cell r="AD1680">
            <v>6</v>
          </cell>
          <cell r="AE1680">
            <v>138</v>
          </cell>
          <cell r="AF1680">
            <v>158</v>
          </cell>
          <cell r="AG1680">
            <v>-20</v>
          </cell>
        </row>
        <row r="1681">
          <cell r="C1681">
            <v>319406</v>
          </cell>
          <cell r="D1681" t="str">
            <v>MAHALAXMI PETROLINK</v>
          </cell>
          <cell r="E1681" t="str">
            <v>IOCL</v>
          </cell>
          <cell r="F1681" t="str">
            <v>2018-19</v>
          </cell>
          <cell r="G1681" t="str">
            <v>Pune Wagholi RSA</v>
          </cell>
          <cell r="H1681">
            <v>43524</v>
          </cell>
          <cell r="I1681" t="str">
            <v>SC</v>
          </cell>
          <cell r="J1681" t="str">
            <v>SOMATHWADI</v>
          </cell>
          <cell r="K1681" t="str">
            <v>Pune</v>
          </cell>
          <cell r="L1681" t="str">
            <v>E</v>
          </cell>
          <cell r="O1681" t="str">
            <v>A</v>
          </cell>
          <cell r="P1681">
            <v>21</v>
          </cell>
          <cell r="Q1681">
            <v>27</v>
          </cell>
          <cell r="R1681">
            <v>6</v>
          </cell>
          <cell r="S1681">
            <v>6</v>
          </cell>
          <cell r="T1681">
            <v>15</v>
          </cell>
          <cell r="U1681">
            <v>21</v>
          </cell>
          <cell r="V1681">
            <v>51</v>
          </cell>
          <cell r="W1681">
            <v>57</v>
          </cell>
          <cell r="X1681">
            <v>18</v>
          </cell>
          <cell r="Y1681">
            <v>18</v>
          </cell>
          <cell r="Z1681">
            <v>33</v>
          </cell>
          <cell r="AA1681">
            <v>39</v>
          </cell>
          <cell r="AB1681">
            <v>48</v>
          </cell>
          <cell r="AC1681">
            <v>12</v>
          </cell>
          <cell r="AD1681">
            <v>36</v>
          </cell>
          <cell r="AE1681">
            <v>108</v>
          </cell>
          <cell r="AF1681">
            <v>36</v>
          </cell>
          <cell r="AG1681">
            <v>72</v>
          </cell>
        </row>
        <row r="1682">
          <cell r="C1682">
            <v>319411</v>
          </cell>
          <cell r="D1682" t="str">
            <v>SHREE YASHWANTRAY PETROLEUM</v>
          </cell>
          <cell r="E1682" t="str">
            <v>IOCL</v>
          </cell>
          <cell r="F1682" t="str">
            <v>2018-19</v>
          </cell>
          <cell r="G1682" t="str">
            <v>Pune Tathawade RSA</v>
          </cell>
          <cell r="H1682">
            <v>43524</v>
          </cell>
          <cell r="I1682" t="str">
            <v>OPEN</v>
          </cell>
          <cell r="J1682" t="str">
            <v>SUPE BARAMATI</v>
          </cell>
          <cell r="K1682" t="str">
            <v>Pune</v>
          </cell>
          <cell r="L1682" t="str">
            <v>D1</v>
          </cell>
          <cell r="M1682" t="str">
            <v>NH-965D</v>
          </cell>
          <cell r="O1682" t="str">
            <v>B</v>
          </cell>
          <cell r="P1682">
            <v>36</v>
          </cell>
          <cell r="Q1682">
            <v>70</v>
          </cell>
          <cell r="R1682">
            <v>27</v>
          </cell>
          <cell r="S1682">
            <v>57</v>
          </cell>
          <cell r="T1682">
            <v>9</v>
          </cell>
          <cell r="U1682">
            <v>13</v>
          </cell>
          <cell r="V1682">
            <v>71</v>
          </cell>
          <cell r="W1682">
            <v>151</v>
          </cell>
          <cell r="X1682">
            <v>57</v>
          </cell>
          <cell r="Y1682">
            <v>135</v>
          </cell>
          <cell r="Z1682">
            <v>14</v>
          </cell>
          <cell r="AA1682">
            <v>16</v>
          </cell>
          <cell r="AB1682">
            <v>106</v>
          </cell>
          <cell r="AC1682">
            <v>84</v>
          </cell>
          <cell r="AD1682">
            <v>22</v>
          </cell>
          <cell r="AE1682">
            <v>222</v>
          </cell>
          <cell r="AF1682">
            <v>192</v>
          </cell>
          <cell r="AG1682">
            <v>30</v>
          </cell>
        </row>
        <row r="1683">
          <cell r="C1683">
            <v>320001</v>
          </cell>
          <cell r="D1683" t="str">
            <v>Om Saidatta Petroleum</v>
          </cell>
          <cell r="E1683" t="str">
            <v>IOCL</v>
          </cell>
          <cell r="F1683" t="str">
            <v>2018-19</v>
          </cell>
          <cell r="G1683" t="str">
            <v>Shirdi RSA</v>
          </cell>
          <cell r="H1683">
            <v>43553</v>
          </cell>
          <cell r="I1683" t="str">
            <v>OPEN (W)</v>
          </cell>
          <cell r="J1683" t="str">
            <v>BHERADAPUR</v>
          </cell>
          <cell r="K1683" t="str">
            <v>Ahmednagar</v>
          </cell>
          <cell r="L1683" t="str">
            <v>E</v>
          </cell>
          <cell r="O1683" t="str">
            <v>B</v>
          </cell>
          <cell r="P1683">
            <v>19</v>
          </cell>
          <cell r="Q1683">
            <v>43</v>
          </cell>
          <cell r="R1683">
            <v>33</v>
          </cell>
          <cell r="S1683">
            <v>51</v>
          </cell>
          <cell r="T1683">
            <v>-14</v>
          </cell>
          <cell r="U1683">
            <v>-8</v>
          </cell>
          <cell r="V1683">
            <v>37</v>
          </cell>
          <cell r="W1683">
            <v>61</v>
          </cell>
          <cell r="X1683">
            <v>55</v>
          </cell>
          <cell r="Y1683">
            <v>91</v>
          </cell>
          <cell r="Z1683">
            <v>-18</v>
          </cell>
          <cell r="AA1683">
            <v>-30</v>
          </cell>
          <cell r="AB1683">
            <v>62</v>
          </cell>
          <cell r="AC1683">
            <v>84</v>
          </cell>
          <cell r="AD1683">
            <v>-22</v>
          </cell>
          <cell r="AE1683">
            <v>98</v>
          </cell>
          <cell r="AF1683">
            <v>146</v>
          </cell>
          <cell r="AG1683">
            <v>-48</v>
          </cell>
        </row>
        <row r="1684">
          <cell r="C1684">
            <v>322509</v>
          </cell>
          <cell r="D1684" t="str">
            <v>MATOBA PETROLEUM</v>
          </cell>
          <cell r="E1684" t="str">
            <v>IOCL</v>
          </cell>
          <cell r="F1684" t="str">
            <v>2019-20</v>
          </cell>
          <cell r="G1684" t="str">
            <v>Pune Hadapsar RSA</v>
          </cell>
          <cell r="H1684">
            <v>43646</v>
          </cell>
          <cell r="I1684" t="str">
            <v>OPEN</v>
          </cell>
          <cell r="J1684" t="str">
            <v>Pimpalgaon</v>
          </cell>
          <cell r="K1684" t="str">
            <v>Pune</v>
          </cell>
          <cell r="L1684" t="str">
            <v>E</v>
          </cell>
          <cell r="O1684" t="str">
            <v>B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B1684">
            <v>0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</row>
        <row r="1685">
          <cell r="C1685">
            <v>323139</v>
          </cell>
          <cell r="D1685" t="str">
            <v>NALANDA PETROLEUM KSK</v>
          </cell>
          <cell r="E1685" t="str">
            <v>IOCL</v>
          </cell>
          <cell r="F1685" t="str">
            <v>2019-20</v>
          </cell>
          <cell r="G1685" t="str">
            <v>Pune Wagholi RSA</v>
          </cell>
          <cell r="H1685">
            <v>43677</v>
          </cell>
          <cell r="I1685" t="str">
            <v>SC</v>
          </cell>
          <cell r="J1685" t="str">
            <v>Jambut</v>
          </cell>
          <cell r="K1685" t="str">
            <v>Pune</v>
          </cell>
          <cell r="L1685" t="str">
            <v>E</v>
          </cell>
          <cell r="O1685" t="str">
            <v>A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B1685">
            <v>0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</row>
        <row r="1686">
          <cell r="C1686">
            <v>323570</v>
          </cell>
          <cell r="D1686" t="str">
            <v>COCO Velhe</v>
          </cell>
          <cell r="E1686" t="str">
            <v>IOCL</v>
          </cell>
          <cell r="G1686" t="str">
            <v>Satara West RSA</v>
          </cell>
          <cell r="H1686">
            <v>43712</v>
          </cell>
          <cell r="I1686" t="str">
            <v>OPEN</v>
          </cell>
          <cell r="J1686" t="str">
            <v>Khandala to Bhuinj</v>
          </cell>
          <cell r="K1686" t="str">
            <v>Satara</v>
          </cell>
          <cell r="L1686" t="str">
            <v>D1</v>
          </cell>
          <cell r="M1686" t="str">
            <v>NH-48</v>
          </cell>
          <cell r="O1686" t="str">
            <v>A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</row>
        <row r="1687">
          <cell r="C1687">
            <v>323650</v>
          </cell>
          <cell r="D1687" t="str">
            <v>KG Petroleum</v>
          </cell>
          <cell r="E1687" t="str">
            <v>IOCL</v>
          </cell>
          <cell r="F1687" t="str">
            <v>2019-20</v>
          </cell>
          <cell r="G1687" t="str">
            <v>Ahmednagar East RSA</v>
          </cell>
          <cell r="H1687">
            <v>43708</v>
          </cell>
          <cell r="I1687" t="str">
            <v>OPEN</v>
          </cell>
          <cell r="J1687" t="str">
            <v>Ghodegaon</v>
          </cell>
          <cell r="K1687" t="str">
            <v>Ahmednagar</v>
          </cell>
          <cell r="L1687" t="str">
            <v>D1</v>
          </cell>
          <cell r="M1687" t="str">
            <v>NH-753F</v>
          </cell>
          <cell r="O1687" t="str">
            <v>B</v>
          </cell>
          <cell r="P1687">
            <v>40</v>
          </cell>
          <cell r="Q1687">
            <v>128</v>
          </cell>
          <cell r="R1687">
            <v>16</v>
          </cell>
          <cell r="S1687">
            <v>34</v>
          </cell>
          <cell r="T1687">
            <v>24</v>
          </cell>
          <cell r="U1687">
            <v>94</v>
          </cell>
          <cell r="V1687">
            <v>67</v>
          </cell>
          <cell r="W1687">
            <v>197</v>
          </cell>
          <cell r="X1687">
            <v>32</v>
          </cell>
          <cell r="Y1687">
            <v>68</v>
          </cell>
          <cell r="Z1687">
            <v>35</v>
          </cell>
          <cell r="AA1687">
            <v>129</v>
          </cell>
          <cell r="AB1687">
            <v>168</v>
          </cell>
          <cell r="AC1687">
            <v>50</v>
          </cell>
          <cell r="AD1687">
            <v>118</v>
          </cell>
          <cell r="AE1687">
            <v>264</v>
          </cell>
          <cell r="AF1687">
            <v>100</v>
          </cell>
          <cell r="AG1687">
            <v>164</v>
          </cell>
        </row>
        <row r="1688">
          <cell r="C1688">
            <v>324304</v>
          </cell>
          <cell r="D1688" t="str">
            <v>Jotirling Petroleum</v>
          </cell>
          <cell r="E1688" t="str">
            <v>IOCL</v>
          </cell>
          <cell r="F1688" t="str">
            <v>2019-20</v>
          </cell>
          <cell r="G1688" t="str">
            <v>Satara East RSA</v>
          </cell>
          <cell r="H1688">
            <v>43738</v>
          </cell>
          <cell r="I1688" t="str">
            <v>OPEN</v>
          </cell>
          <cell r="J1688" t="str">
            <v>Nhavi Budruk</v>
          </cell>
          <cell r="K1688" t="str">
            <v>Satara</v>
          </cell>
          <cell r="L1688" t="str">
            <v>D2</v>
          </cell>
          <cell r="O1688" t="str">
            <v>B</v>
          </cell>
          <cell r="P1688">
            <v>80.5</v>
          </cell>
          <cell r="Q1688">
            <v>171.5</v>
          </cell>
          <cell r="R1688">
            <v>59.5</v>
          </cell>
          <cell r="S1688">
            <v>122.5</v>
          </cell>
          <cell r="T1688">
            <v>21</v>
          </cell>
          <cell r="U1688">
            <v>49</v>
          </cell>
          <cell r="V1688">
            <v>136.5</v>
          </cell>
          <cell r="W1688">
            <v>311.5</v>
          </cell>
          <cell r="X1688">
            <v>112</v>
          </cell>
          <cell r="Y1688">
            <v>280</v>
          </cell>
          <cell r="Z1688">
            <v>24.5</v>
          </cell>
          <cell r="AA1688">
            <v>31.5</v>
          </cell>
          <cell r="AB1688">
            <v>252</v>
          </cell>
          <cell r="AC1688">
            <v>182</v>
          </cell>
          <cell r="AD1688">
            <v>70</v>
          </cell>
          <cell r="AE1688">
            <v>448</v>
          </cell>
          <cell r="AF1688">
            <v>392</v>
          </cell>
          <cell r="AG1688">
            <v>56</v>
          </cell>
        </row>
        <row r="1689">
          <cell r="C1689">
            <v>325050</v>
          </cell>
          <cell r="D1689" t="str">
            <v>Laxmi Energy &amp; Fuels</v>
          </cell>
          <cell r="E1689" t="str">
            <v>IOCL</v>
          </cell>
          <cell r="F1689" t="str">
            <v>2019-20</v>
          </cell>
          <cell r="G1689" t="str">
            <v>Pimpri Chinchwad RSA</v>
          </cell>
          <cell r="H1689">
            <v>43796</v>
          </cell>
          <cell r="I1689" t="str">
            <v>OPEN</v>
          </cell>
          <cell r="J1689" t="str">
            <v>Bhosari</v>
          </cell>
          <cell r="K1689" t="str">
            <v>Pune</v>
          </cell>
          <cell r="L1689" t="str">
            <v>A</v>
          </cell>
          <cell r="O1689" t="str">
            <v>B</v>
          </cell>
          <cell r="P1689">
            <v>306</v>
          </cell>
          <cell r="Q1689">
            <v>288</v>
          </cell>
          <cell r="R1689">
            <v>233</v>
          </cell>
          <cell r="S1689">
            <v>293</v>
          </cell>
          <cell r="T1689">
            <v>73</v>
          </cell>
          <cell r="U1689">
            <v>-5</v>
          </cell>
          <cell r="V1689">
            <v>600</v>
          </cell>
          <cell r="W1689">
            <v>544</v>
          </cell>
          <cell r="X1689">
            <v>457</v>
          </cell>
          <cell r="Y1689">
            <v>595</v>
          </cell>
          <cell r="Z1689">
            <v>143</v>
          </cell>
          <cell r="AA1689">
            <v>-51</v>
          </cell>
          <cell r="AB1689">
            <v>594</v>
          </cell>
          <cell r="AC1689">
            <v>526</v>
          </cell>
          <cell r="AD1689">
            <v>68</v>
          </cell>
          <cell r="AE1689">
            <v>1144</v>
          </cell>
          <cell r="AF1689">
            <v>1052</v>
          </cell>
          <cell r="AG1689">
            <v>92</v>
          </cell>
        </row>
        <row r="1690">
          <cell r="C1690">
            <v>325054</v>
          </cell>
          <cell r="D1690" t="str">
            <v>GAURAV PETROLEUMS</v>
          </cell>
          <cell r="E1690" t="str">
            <v>IOCL</v>
          </cell>
          <cell r="F1690" t="str">
            <v>2019-20</v>
          </cell>
          <cell r="G1690" t="str">
            <v>Pune Saswad RSA</v>
          </cell>
          <cell r="H1690">
            <v>43768</v>
          </cell>
          <cell r="I1690" t="str">
            <v>ST</v>
          </cell>
          <cell r="J1690" t="str">
            <v>WALCHANDNAGAR-BAVDA ROAD</v>
          </cell>
          <cell r="K1690" t="str">
            <v>Pune</v>
          </cell>
          <cell r="L1690" t="str">
            <v>D2</v>
          </cell>
          <cell r="O1690" t="str">
            <v>A</v>
          </cell>
          <cell r="P1690">
            <v>38.5</v>
          </cell>
          <cell r="Q1690">
            <v>63.5</v>
          </cell>
          <cell r="R1690">
            <v>31</v>
          </cell>
          <cell r="S1690">
            <v>41</v>
          </cell>
          <cell r="T1690">
            <v>7.5</v>
          </cell>
          <cell r="U1690">
            <v>22.5</v>
          </cell>
          <cell r="V1690">
            <v>75</v>
          </cell>
          <cell r="W1690">
            <v>113</v>
          </cell>
          <cell r="X1690">
            <v>55</v>
          </cell>
          <cell r="Y1690">
            <v>77</v>
          </cell>
          <cell r="Z1690">
            <v>20</v>
          </cell>
          <cell r="AA1690">
            <v>36</v>
          </cell>
          <cell r="AB1690">
            <v>102</v>
          </cell>
          <cell r="AC1690">
            <v>72</v>
          </cell>
          <cell r="AD1690">
            <v>30</v>
          </cell>
          <cell r="AE1690">
            <v>188</v>
          </cell>
          <cell r="AF1690">
            <v>132</v>
          </cell>
          <cell r="AG1690">
            <v>56</v>
          </cell>
        </row>
        <row r="1691">
          <cell r="C1691">
            <v>325871</v>
          </cell>
          <cell r="D1691" t="str">
            <v>COMMANDANT SRPF GR.VII</v>
          </cell>
          <cell r="E1691" t="str">
            <v>IOCL</v>
          </cell>
          <cell r="F1691" t="str">
            <v>2019-20</v>
          </cell>
          <cell r="G1691" t="str">
            <v>Pune Hadapsar RSA</v>
          </cell>
          <cell r="H1691">
            <v>43853</v>
          </cell>
          <cell r="I1691" t="str">
            <v>Govt Agency</v>
          </cell>
          <cell r="J1691" t="str">
            <v>Daund-City</v>
          </cell>
          <cell r="K1691" t="str">
            <v>Pune</v>
          </cell>
          <cell r="L1691" t="str">
            <v>D2</v>
          </cell>
          <cell r="O1691" t="str">
            <v>B</v>
          </cell>
          <cell r="P1691">
            <v>34.5</v>
          </cell>
          <cell r="Q1691">
            <v>39.5</v>
          </cell>
          <cell r="R1691">
            <v>42</v>
          </cell>
          <cell r="S1691">
            <v>38</v>
          </cell>
          <cell r="T1691">
            <v>-7.5</v>
          </cell>
          <cell r="U1691">
            <v>1.5</v>
          </cell>
          <cell r="V1691">
            <v>71.5</v>
          </cell>
          <cell r="W1691">
            <v>76.5</v>
          </cell>
          <cell r="X1691">
            <v>81</v>
          </cell>
          <cell r="Y1691">
            <v>77</v>
          </cell>
          <cell r="Z1691">
            <v>-9.5</v>
          </cell>
          <cell r="AA1691">
            <v>-0.5</v>
          </cell>
          <cell r="AB1691">
            <v>74</v>
          </cell>
          <cell r="AC1691">
            <v>80</v>
          </cell>
          <cell r="AD1691">
            <v>-6</v>
          </cell>
          <cell r="AE1691">
            <v>148</v>
          </cell>
          <cell r="AF1691">
            <v>158</v>
          </cell>
          <cell r="AG1691">
            <v>-10</v>
          </cell>
        </row>
        <row r="1692">
          <cell r="C1692">
            <v>325976</v>
          </cell>
          <cell r="D1692" t="str">
            <v>Shree Nilkantheshwar Petroleum</v>
          </cell>
          <cell r="E1692" t="str">
            <v>IOCL</v>
          </cell>
          <cell r="F1692" t="str">
            <v>2019-20</v>
          </cell>
          <cell r="G1692" t="str">
            <v>Pune Saswad RSA</v>
          </cell>
          <cell r="H1692">
            <v>43799</v>
          </cell>
          <cell r="I1692" t="str">
            <v>OPEN</v>
          </cell>
          <cell r="J1692" t="str">
            <v>JUNCTION</v>
          </cell>
          <cell r="K1692" t="str">
            <v>Pune</v>
          </cell>
          <cell r="L1692" t="str">
            <v>D1</v>
          </cell>
          <cell r="M1692" t="str">
            <v>NH-965G</v>
          </cell>
          <cell r="O1692" t="str">
            <v>B</v>
          </cell>
          <cell r="P1692">
            <v>40.5</v>
          </cell>
          <cell r="Q1692">
            <v>63.5</v>
          </cell>
          <cell r="R1692">
            <v>39</v>
          </cell>
          <cell r="S1692">
            <v>45</v>
          </cell>
          <cell r="T1692">
            <v>1.5</v>
          </cell>
          <cell r="U1692">
            <v>18.5</v>
          </cell>
          <cell r="V1692">
            <v>77.5</v>
          </cell>
          <cell r="W1692">
            <v>112.5</v>
          </cell>
          <cell r="X1692">
            <v>78</v>
          </cell>
          <cell r="Y1692">
            <v>102</v>
          </cell>
          <cell r="Z1692">
            <v>-0.5</v>
          </cell>
          <cell r="AA1692">
            <v>10.5</v>
          </cell>
          <cell r="AB1692">
            <v>104</v>
          </cell>
          <cell r="AC1692">
            <v>84</v>
          </cell>
          <cell r="AD1692">
            <v>20</v>
          </cell>
          <cell r="AE1692">
            <v>190</v>
          </cell>
          <cell r="AF1692">
            <v>180</v>
          </cell>
          <cell r="AG1692">
            <v>10</v>
          </cell>
        </row>
        <row r="1693">
          <cell r="C1693">
            <v>326616</v>
          </cell>
          <cell r="D1693" t="str">
            <v>Suryawanshi Petroleum</v>
          </cell>
          <cell r="E1693" t="str">
            <v>IOCL</v>
          </cell>
          <cell r="F1693" t="str">
            <v>2019-20</v>
          </cell>
          <cell r="G1693" t="str">
            <v>Pune Saswad RSA</v>
          </cell>
          <cell r="H1693">
            <v>43841</v>
          </cell>
          <cell r="I1693" t="str">
            <v>OPEN</v>
          </cell>
          <cell r="J1693" t="str">
            <v>BAVDA</v>
          </cell>
          <cell r="K1693" t="str">
            <v>Pune</v>
          </cell>
          <cell r="L1693" t="str">
            <v>D1</v>
          </cell>
          <cell r="M1693" t="str">
            <v>NH-965G</v>
          </cell>
          <cell r="O1693" t="str">
            <v>B</v>
          </cell>
          <cell r="P1693">
            <v>33</v>
          </cell>
          <cell r="Q1693">
            <v>41</v>
          </cell>
          <cell r="R1693">
            <v>28</v>
          </cell>
          <cell r="S1693">
            <v>34</v>
          </cell>
          <cell r="T1693">
            <v>5</v>
          </cell>
          <cell r="U1693">
            <v>7</v>
          </cell>
          <cell r="V1693">
            <v>55</v>
          </cell>
          <cell r="W1693">
            <v>79</v>
          </cell>
          <cell r="X1693">
            <v>59</v>
          </cell>
          <cell r="Y1693">
            <v>75</v>
          </cell>
          <cell r="Z1693">
            <v>-4</v>
          </cell>
          <cell r="AA1693">
            <v>4</v>
          </cell>
          <cell r="AB1693">
            <v>74</v>
          </cell>
          <cell r="AC1693">
            <v>62</v>
          </cell>
          <cell r="AD1693">
            <v>12</v>
          </cell>
          <cell r="AE1693">
            <v>134</v>
          </cell>
          <cell r="AF1693">
            <v>134</v>
          </cell>
          <cell r="AG1693">
            <v>0</v>
          </cell>
        </row>
        <row r="1694">
          <cell r="C1694">
            <v>326627</v>
          </cell>
          <cell r="D1694" t="str">
            <v>G J Petroleum</v>
          </cell>
          <cell r="E1694" t="str">
            <v>IOCL</v>
          </cell>
          <cell r="F1694" t="str">
            <v>2019-20</v>
          </cell>
          <cell r="G1694" t="str">
            <v>Pune Saswad RSA</v>
          </cell>
          <cell r="H1694">
            <v>43830</v>
          </cell>
          <cell r="I1694" t="str">
            <v>OBC</v>
          </cell>
          <cell r="J1694" t="str">
            <v>Vadapuri</v>
          </cell>
          <cell r="K1694" t="str">
            <v>Pune</v>
          </cell>
          <cell r="L1694" t="str">
            <v>D1</v>
          </cell>
          <cell r="M1694" t="str">
            <v>NH-965G</v>
          </cell>
          <cell r="O1694" t="str">
            <v>B</v>
          </cell>
          <cell r="P1694">
            <v>47.5</v>
          </cell>
          <cell r="Q1694">
            <v>88.5</v>
          </cell>
          <cell r="R1694">
            <v>35</v>
          </cell>
          <cell r="S1694">
            <v>65</v>
          </cell>
          <cell r="T1694">
            <v>12.5</v>
          </cell>
          <cell r="U1694">
            <v>23.5</v>
          </cell>
          <cell r="V1694">
            <v>86</v>
          </cell>
          <cell r="W1694">
            <v>164</v>
          </cell>
          <cell r="X1694">
            <v>77</v>
          </cell>
          <cell r="Y1694">
            <v>131</v>
          </cell>
          <cell r="Z1694">
            <v>9</v>
          </cell>
          <cell r="AA1694">
            <v>33</v>
          </cell>
          <cell r="AB1694">
            <v>136</v>
          </cell>
          <cell r="AC1694">
            <v>100</v>
          </cell>
          <cell r="AD1694">
            <v>36</v>
          </cell>
          <cell r="AE1694">
            <v>250</v>
          </cell>
          <cell r="AF1694">
            <v>208</v>
          </cell>
          <cell r="AG1694">
            <v>42</v>
          </cell>
        </row>
        <row r="1695">
          <cell r="C1695">
            <v>326650</v>
          </cell>
          <cell r="D1695" t="str">
            <v>Abhishek Petroleum</v>
          </cell>
          <cell r="E1695" t="str">
            <v>IOCL</v>
          </cell>
          <cell r="F1695" t="str">
            <v>2019-20</v>
          </cell>
          <cell r="G1695" t="str">
            <v>Satara East RSA</v>
          </cell>
          <cell r="H1695">
            <v>43830</v>
          </cell>
          <cell r="I1695" t="str">
            <v>OPEN</v>
          </cell>
          <cell r="J1695" t="str">
            <v>Vidani</v>
          </cell>
          <cell r="K1695" t="str">
            <v>Satara</v>
          </cell>
          <cell r="L1695" t="str">
            <v>D1</v>
          </cell>
          <cell r="M1695" t="str">
            <v>NH-965</v>
          </cell>
          <cell r="O1695" t="str">
            <v>B</v>
          </cell>
          <cell r="P1695">
            <v>32.5</v>
          </cell>
          <cell r="Q1695">
            <v>91.5</v>
          </cell>
          <cell r="R1695">
            <v>24</v>
          </cell>
          <cell r="S1695">
            <v>36</v>
          </cell>
          <cell r="T1695">
            <v>8.5</v>
          </cell>
          <cell r="U1695">
            <v>55.5</v>
          </cell>
          <cell r="V1695">
            <v>59.5</v>
          </cell>
          <cell r="W1695">
            <v>172.5</v>
          </cell>
          <cell r="X1695">
            <v>51</v>
          </cell>
          <cell r="Y1695">
            <v>69</v>
          </cell>
          <cell r="Z1695">
            <v>8.5</v>
          </cell>
          <cell r="AA1695">
            <v>103.5</v>
          </cell>
          <cell r="AB1695">
            <v>124</v>
          </cell>
          <cell r="AC1695">
            <v>60</v>
          </cell>
          <cell r="AD1695">
            <v>64</v>
          </cell>
          <cell r="AE1695">
            <v>232</v>
          </cell>
          <cell r="AF1695">
            <v>120</v>
          </cell>
          <cell r="AG1695">
            <v>112</v>
          </cell>
        </row>
        <row r="1696">
          <cell r="C1696">
            <v>327530</v>
          </cell>
          <cell r="D1696" t="str">
            <v>B G Petroleum</v>
          </cell>
          <cell r="E1696" t="str">
            <v>IOCL</v>
          </cell>
          <cell r="F1696" t="str">
            <v>2019-20</v>
          </cell>
          <cell r="G1696" t="str">
            <v>Satara East RSA</v>
          </cell>
          <cell r="H1696">
            <v>43861</v>
          </cell>
          <cell r="I1696" t="str">
            <v>OPEN</v>
          </cell>
          <cell r="J1696" t="str">
            <v>Phalton Dahiwadi road</v>
          </cell>
          <cell r="K1696" t="str">
            <v>Satara</v>
          </cell>
          <cell r="L1696" t="str">
            <v>D1</v>
          </cell>
          <cell r="M1696" t="str">
            <v>NH-160</v>
          </cell>
          <cell r="O1696" t="str">
            <v>B</v>
          </cell>
          <cell r="P1696">
            <v>15</v>
          </cell>
          <cell r="Q1696">
            <v>47</v>
          </cell>
          <cell r="R1696">
            <v>12</v>
          </cell>
          <cell r="S1696">
            <v>12</v>
          </cell>
          <cell r="T1696">
            <v>3</v>
          </cell>
          <cell r="U1696">
            <v>35</v>
          </cell>
          <cell r="V1696">
            <v>15</v>
          </cell>
          <cell r="W1696">
            <v>95</v>
          </cell>
          <cell r="X1696">
            <v>24</v>
          </cell>
          <cell r="Y1696">
            <v>24</v>
          </cell>
          <cell r="Z1696">
            <v>-9</v>
          </cell>
          <cell r="AA1696">
            <v>71</v>
          </cell>
          <cell r="AB1696">
            <v>62</v>
          </cell>
          <cell r="AC1696">
            <v>24</v>
          </cell>
          <cell r="AD1696">
            <v>38</v>
          </cell>
          <cell r="AE1696">
            <v>110</v>
          </cell>
          <cell r="AF1696">
            <v>48</v>
          </cell>
          <cell r="AG1696">
            <v>62</v>
          </cell>
        </row>
        <row r="1697">
          <cell r="C1697">
            <v>327553</v>
          </cell>
          <cell r="D1697" t="str">
            <v>Magar Petroleum</v>
          </cell>
          <cell r="E1697" t="str">
            <v>IOCL</v>
          </cell>
          <cell r="F1697" t="str">
            <v>2019-20</v>
          </cell>
          <cell r="G1697" t="str">
            <v>Pune Saswad RSA</v>
          </cell>
          <cell r="H1697">
            <v>43861</v>
          </cell>
          <cell r="I1697" t="str">
            <v>OPEN</v>
          </cell>
          <cell r="J1697" t="str">
            <v>Junction-Nimgaon Ketki Raod</v>
          </cell>
          <cell r="K1697" t="str">
            <v>Pune</v>
          </cell>
          <cell r="L1697" t="str">
            <v>D1</v>
          </cell>
          <cell r="M1697" t="str">
            <v>NH-965G</v>
          </cell>
          <cell r="O1697" t="str">
            <v>B</v>
          </cell>
          <cell r="P1697">
            <v>27.5</v>
          </cell>
          <cell r="Q1697">
            <v>40.5</v>
          </cell>
          <cell r="R1697">
            <v>26</v>
          </cell>
          <cell r="S1697">
            <v>28</v>
          </cell>
          <cell r="T1697">
            <v>1.5</v>
          </cell>
          <cell r="U1697">
            <v>12.5</v>
          </cell>
          <cell r="V1697">
            <v>49</v>
          </cell>
          <cell r="W1697">
            <v>69</v>
          </cell>
          <cell r="X1697">
            <v>45</v>
          </cell>
          <cell r="Y1697">
            <v>59</v>
          </cell>
          <cell r="Z1697">
            <v>4</v>
          </cell>
          <cell r="AA1697">
            <v>10</v>
          </cell>
          <cell r="AB1697">
            <v>68</v>
          </cell>
          <cell r="AC1697">
            <v>54</v>
          </cell>
          <cell r="AD1697">
            <v>14</v>
          </cell>
          <cell r="AE1697">
            <v>118</v>
          </cell>
          <cell r="AF1697">
            <v>104</v>
          </cell>
          <cell r="AG1697">
            <v>14</v>
          </cell>
        </row>
        <row r="1698">
          <cell r="C1698">
            <v>327559</v>
          </cell>
          <cell r="D1698" t="str">
            <v>RAMKRUSHNA PETROLEUM</v>
          </cell>
          <cell r="E1698" t="str">
            <v>IOCL</v>
          </cell>
          <cell r="F1698" t="str">
            <v>2019-20</v>
          </cell>
          <cell r="G1698" t="str">
            <v>Satara West RSA</v>
          </cell>
          <cell r="H1698">
            <v>43883</v>
          </cell>
          <cell r="I1698" t="str">
            <v>OPEN</v>
          </cell>
          <cell r="J1698" t="str">
            <v>Kodoli to Ghojegaon</v>
          </cell>
          <cell r="K1698" t="str">
            <v>Satara</v>
          </cell>
          <cell r="L1698" t="str">
            <v>D2</v>
          </cell>
          <cell r="O1698" t="str">
            <v>B</v>
          </cell>
          <cell r="P1698">
            <v>38</v>
          </cell>
          <cell r="Q1698">
            <v>84</v>
          </cell>
          <cell r="R1698">
            <v>56</v>
          </cell>
          <cell r="S1698">
            <v>82</v>
          </cell>
          <cell r="T1698">
            <v>-18</v>
          </cell>
          <cell r="U1698">
            <v>2</v>
          </cell>
          <cell r="V1698">
            <v>73</v>
          </cell>
          <cell r="W1698">
            <v>151</v>
          </cell>
          <cell r="X1698">
            <v>107</v>
          </cell>
          <cell r="Y1698">
            <v>167</v>
          </cell>
          <cell r="Z1698">
            <v>-34</v>
          </cell>
          <cell r="AA1698">
            <v>-16</v>
          </cell>
          <cell r="AB1698">
            <v>122</v>
          </cell>
          <cell r="AC1698">
            <v>138</v>
          </cell>
          <cell r="AD1698">
            <v>-16</v>
          </cell>
          <cell r="AE1698">
            <v>224</v>
          </cell>
          <cell r="AF1698">
            <v>274</v>
          </cell>
          <cell r="AG1698">
            <v>-50</v>
          </cell>
        </row>
        <row r="1699">
          <cell r="C1699">
            <v>328581</v>
          </cell>
          <cell r="D1699" t="str">
            <v>MILESTONE FUEL STATION</v>
          </cell>
          <cell r="E1699" t="str">
            <v>IOCL</v>
          </cell>
          <cell r="F1699" t="str">
            <v>2019-20</v>
          </cell>
          <cell r="G1699" t="str">
            <v>Ahmednagar East RSA</v>
          </cell>
          <cell r="H1699">
            <v>43906</v>
          </cell>
          <cell r="I1699" t="str">
            <v>OPEN</v>
          </cell>
          <cell r="J1699" t="str">
            <v>Kamargaon</v>
          </cell>
          <cell r="K1699" t="str">
            <v>Ahmednagar</v>
          </cell>
          <cell r="L1699" t="str">
            <v>D1</v>
          </cell>
          <cell r="M1699" t="str">
            <v>NH-753F</v>
          </cell>
          <cell r="O1699" t="str">
            <v>B</v>
          </cell>
          <cell r="P1699">
            <v>16.5</v>
          </cell>
          <cell r="Q1699">
            <v>45.5</v>
          </cell>
          <cell r="R1699">
            <v>20</v>
          </cell>
          <cell r="S1699">
            <v>52</v>
          </cell>
          <cell r="T1699">
            <v>-3.5</v>
          </cell>
          <cell r="U1699">
            <v>-6.5</v>
          </cell>
          <cell r="V1699">
            <v>28.5</v>
          </cell>
          <cell r="W1699">
            <v>81.5</v>
          </cell>
          <cell r="X1699">
            <v>37</v>
          </cell>
          <cell r="Y1699">
            <v>95</v>
          </cell>
          <cell r="Z1699">
            <v>-8.5</v>
          </cell>
          <cell r="AA1699">
            <v>-13.5</v>
          </cell>
          <cell r="AB1699">
            <v>62</v>
          </cell>
          <cell r="AC1699">
            <v>72</v>
          </cell>
          <cell r="AD1699">
            <v>-10</v>
          </cell>
          <cell r="AE1699">
            <v>110</v>
          </cell>
          <cell r="AF1699">
            <v>132</v>
          </cell>
          <cell r="AG1699">
            <v>-22</v>
          </cell>
        </row>
        <row r="1700">
          <cell r="C1700">
            <v>328609</v>
          </cell>
          <cell r="D1700" t="str">
            <v>GOKUL PETROLEUM</v>
          </cell>
          <cell r="E1700" t="str">
            <v>IOCL</v>
          </cell>
          <cell r="F1700" t="str">
            <v>2019-20</v>
          </cell>
          <cell r="G1700" t="str">
            <v>Satara East RSA</v>
          </cell>
          <cell r="H1700">
            <v>43890</v>
          </cell>
          <cell r="I1700" t="str">
            <v>OBC</v>
          </cell>
          <cell r="J1700" t="str">
            <v>Wathar Kiruli</v>
          </cell>
          <cell r="K1700" t="str">
            <v>Satara</v>
          </cell>
          <cell r="L1700" t="str">
            <v>E</v>
          </cell>
          <cell r="O1700" t="str">
            <v>B</v>
          </cell>
          <cell r="P1700">
            <v>33</v>
          </cell>
          <cell r="Q1700">
            <v>51</v>
          </cell>
          <cell r="R1700">
            <v>27</v>
          </cell>
          <cell r="S1700">
            <v>45</v>
          </cell>
          <cell r="T1700">
            <v>6</v>
          </cell>
          <cell r="U1700">
            <v>6</v>
          </cell>
          <cell r="V1700">
            <v>60</v>
          </cell>
          <cell r="W1700">
            <v>96</v>
          </cell>
          <cell r="X1700">
            <v>57</v>
          </cell>
          <cell r="Y1700">
            <v>111</v>
          </cell>
          <cell r="Z1700">
            <v>3</v>
          </cell>
          <cell r="AA1700">
            <v>-15</v>
          </cell>
          <cell r="AB1700">
            <v>84</v>
          </cell>
          <cell r="AC1700">
            <v>72</v>
          </cell>
          <cell r="AD1700">
            <v>12</v>
          </cell>
          <cell r="AE1700">
            <v>156</v>
          </cell>
          <cell r="AF1700">
            <v>168</v>
          </cell>
          <cell r="AG1700">
            <v>-12</v>
          </cell>
        </row>
        <row r="1701">
          <cell r="C1701">
            <v>328616</v>
          </cell>
          <cell r="D1701" t="str">
            <v>SHRI VYANKANATH PETROLEUM KSK</v>
          </cell>
          <cell r="E1701" t="str">
            <v>IOCL</v>
          </cell>
          <cell r="F1701" t="str">
            <v>2020-21</v>
          </cell>
          <cell r="G1701" t="str">
            <v>Ahmednagar West RSA</v>
          </cell>
          <cell r="H1701">
            <v>43992</v>
          </cell>
          <cell r="I1701" t="str">
            <v>SC</v>
          </cell>
          <cell r="J1701" t="str">
            <v>Loni Vyanknath</v>
          </cell>
          <cell r="K1701" t="str">
            <v>Ahmednagar</v>
          </cell>
          <cell r="L1701" t="str">
            <v>E</v>
          </cell>
          <cell r="O1701" t="str">
            <v>A</v>
          </cell>
          <cell r="P1701">
            <v>15</v>
          </cell>
          <cell r="Q1701">
            <v>45</v>
          </cell>
          <cell r="R1701">
            <v>25</v>
          </cell>
          <cell r="S1701">
            <v>31</v>
          </cell>
          <cell r="T1701">
            <v>-10</v>
          </cell>
          <cell r="U1701">
            <v>14</v>
          </cell>
          <cell r="V1701">
            <v>24</v>
          </cell>
          <cell r="W1701">
            <v>60</v>
          </cell>
          <cell r="X1701">
            <v>34</v>
          </cell>
          <cell r="Y1701">
            <v>34</v>
          </cell>
          <cell r="Z1701">
            <v>-10</v>
          </cell>
          <cell r="AA1701">
            <v>26</v>
          </cell>
          <cell r="AB1701">
            <v>60</v>
          </cell>
          <cell r="AC1701">
            <v>56</v>
          </cell>
          <cell r="AD1701">
            <v>4</v>
          </cell>
          <cell r="AE1701">
            <v>84</v>
          </cell>
          <cell r="AF1701">
            <v>68</v>
          </cell>
          <cell r="AG1701">
            <v>16</v>
          </cell>
        </row>
        <row r="1702">
          <cell r="C1702">
            <v>329224</v>
          </cell>
          <cell r="D1702" t="str">
            <v>SHREE GANESHA PETROLEUM</v>
          </cell>
          <cell r="E1702" t="str">
            <v>IOCL</v>
          </cell>
          <cell r="F1702" t="str">
            <v>2020-21</v>
          </cell>
          <cell r="G1702" t="str">
            <v>Pune Wagholi RSA</v>
          </cell>
          <cell r="H1702">
            <v>43980</v>
          </cell>
          <cell r="I1702" t="str">
            <v>OPEN</v>
          </cell>
          <cell r="J1702" t="str">
            <v>Ranjangaon RHS</v>
          </cell>
          <cell r="K1702" t="str">
            <v>Pune</v>
          </cell>
          <cell r="L1702" t="str">
            <v>D1</v>
          </cell>
          <cell r="M1702" t="str">
            <v>NH-753F</v>
          </cell>
          <cell r="O1702" t="str">
            <v>A</v>
          </cell>
          <cell r="P1702">
            <v>40</v>
          </cell>
          <cell r="Q1702">
            <v>1142</v>
          </cell>
          <cell r="R1702">
            <v>45</v>
          </cell>
          <cell r="S1702">
            <v>967</v>
          </cell>
          <cell r="T1702">
            <v>-5</v>
          </cell>
          <cell r="U1702">
            <v>175</v>
          </cell>
          <cell r="V1702">
            <v>80</v>
          </cell>
          <cell r="W1702">
            <v>2204</v>
          </cell>
          <cell r="X1702">
            <v>90.5</v>
          </cell>
          <cell r="Y1702">
            <v>1869.5</v>
          </cell>
          <cell r="Z1702">
            <v>-10.5</v>
          </cell>
          <cell r="AA1702">
            <v>334.5</v>
          </cell>
          <cell r="AB1702">
            <v>1182</v>
          </cell>
          <cell r="AC1702">
            <v>1012</v>
          </cell>
          <cell r="AD1702">
            <v>170</v>
          </cell>
          <cell r="AE1702">
            <v>2284</v>
          </cell>
          <cell r="AF1702">
            <v>1960</v>
          </cell>
          <cell r="AG1702">
            <v>324</v>
          </cell>
        </row>
        <row r="1703">
          <cell r="C1703">
            <v>331151</v>
          </cell>
          <cell r="D1703" t="str">
            <v>SHRI KRISHNA PETROLEUM</v>
          </cell>
          <cell r="E1703" t="str">
            <v>IOCL</v>
          </cell>
          <cell r="F1703" t="str">
            <v>2020-21</v>
          </cell>
          <cell r="G1703" t="str">
            <v>Pune City RSA</v>
          </cell>
          <cell r="H1703">
            <v>44029</v>
          </cell>
          <cell r="I1703" t="str">
            <v>OPEN</v>
          </cell>
          <cell r="J1703" t="str">
            <v>RAVET</v>
          </cell>
          <cell r="K1703" t="str">
            <v>Pune</v>
          </cell>
          <cell r="L1703" t="str">
            <v>A</v>
          </cell>
          <cell r="O1703" t="str">
            <v>A</v>
          </cell>
          <cell r="P1703">
            <v>190</v>
          </cell>
          <cell r="Q1703">
            <v>310</v>
          </cell>
          <cell r="R1703">
            <v>215</v>
          </cell>
          <cell r="S1703">
            <v>265</v>
          </cell>
          <cell r="T1703">
            <v>-25</v>
          </cell>
          <cell r="U1703">
            <v>45</v>
          </cell>
          <cell r="V1703">
            <v>345</v>
          </cell>
          <cell r="W1703">
            <v>595</v>
          </cell>
          <cell r="X1703">
            <v>415</v>
          </cell>
          <cell r="Y1703">
            <v>505</v>
          </cell>
          <cell r="Z1703">
            <v>-70</v>
          </cell>
          <cell r="AA1703">
            <v>90</v>
          </cell>
          <cell r="AB1703">
            <v>500</v>
          </cell>
          <cell r="AC1703">
            <v>480</v>
          </cell>
          <cell r="AD1703">
            <v>20</v>
          </cell>
          <cell r="AE1703">
            <v>940</v>
          </cell>
          <cell r="AF1703">
            <v>920</v>
          </cell>
          <cell r="AG1703">
            <v>20</v>
          </cell>
        </row>
        <row r="1704">
          <cell r="C1704">
            <v>331158</v>
          </cell>
          <cell r="D1704" t="str">
            <v>NAVJEET PETROLEUM</v>
          </cell>
          <cell r="E1704" t="str">
            <v>IOCL</v>
          </cell>
          <cell r="F1704" t="str">
            <v>2020-21</v>
          </cell>
          <cell r="G1704" t="str">
            <v>Shirdi RSA</v>
          </cell>
          <cell r="H1704">
            <v>44039</v>
          </cell>
          <cell r="I1704" t="str">
            <v>OBC</v>
          </cell>
          <cell r="J1704" t="str">
            <v>SHRIRAMPUR RURAL</v>
          </cell>
          <cell r="K1704" t="str">
            <v>Ahmednagar</v>
          </cell>
          <cell r="L1704" t="str">
            <v>D2</v>
          </cell>
          <cell r="O1704" t="str">
            <v>B</v>
          </cell>
          <cell r="P1704">
            <v>24</v>
          </cell>
          <cell r="Q1704">
            <v>72</v>
          </cell>
          <cell r="R1704">
            <v>30</v>
          </cell>
          <cell r="S1704">
            <v>76</v>
          </cell>
          <cell r="T1704">
            <v>-6</v>
          </cell>
          <cell r="U1704">
            <v>-4</v>
          </cell>
          <cell r="V1704">
            <v>42</v>
          </cell>
          <cell r="W1704">
            <v>138</v>
          </cell>
          <cell r="X1704">
            <v>45</v>
          </cell>
          <cell r="Y1704">
            <v>133</v>
          </cell>
          <cell r="Z1704">
            <v>-3</v>
          </cell>
          <cell r="AA1704">
            <v>5</v>
          </cell>
          <cell r="AB1704">
            <v>96</v>
          </cell>
          <cell r="AC1704">
            <v>106</v>
          </cell>
          <cell r="AD1704">
            <v>-10</v>
          </cell>
          <cell r="AE1704">
            <v>180</v>
          </cell>
          <cell r="AF1704">
            <v>178</v>
          </cell>
          <cell r="AG1704">
            <v>2</v>
          </cell>
        </row>
        <row r="1705">
          <cell r="C1705">
            <v>331184</v>
          </cell>
          <cell r="D1705" t="str">
            <v>SHASHIDHAN PETROLEUM</v>
          </cell>
          <cell r="E1705" t="str">
            <v>IOCL</v>
          </cell>
          <cell r="F1705" t="str">
            <v>2020-21</v>
          </cell>
          <cell r="G1705" t="str">
            <v>Satara West RSA</v>
          </cell>
          <cell r="H1705">
            <v>44041</v>
          </cell>
          <cell r="I1705" t="str">
            <v>OPEN</v>
          </cell>
          <cell r="J1705" t="str">
            <v>Umbraj Masur Road</v>
          </cell>
          <cell r="K1705" t="str">
            <v>Satara</v>
          </cell>
          <cell r="L1705" t="str">
            <v>D2</v>
          </cell>
          <cell r="O1705" t="str">
            <v>B</v>
          </cell>
          <cell r="P1705">
            <v>24.5</v>
          </cell>
          <cell r="Q1705">
            <v>73.5</v>
          </cell>
          <cell r="R1705">
            <v>24</v>
          </cell>
          <cell r="S1705">
            <v>72</v>
          </cell>
          <cell r="T1705">
            <v>0.5</v>
          </cell>
          <cell r="U1705">
            <v>1.5</v>
          </cell>
          <cell r="V1705">
            <v>49</v>
          </cell>
          <cell r="W1705">
            <v>147</v>
          </cell>
          <cell r="X1705">
            <v>45</v>
          </cell>
          <cell r="Y1705">
            <v>147</v>
          </cell>
          <cell r="Z1705">
            <v>4</v>
          </cell>
          <cell r="AA1705">
            <v>0</v>
          </cell>
          <cell r="AB1705">
            <v>98</v>
          </cell>
          <cell r="AC1705">
            <v>96</v>
          </cell>
          <cell r="AD1705">
            <v>2</v>
          </cell>
          <cell r="AE1705">
            <v>196</v>
          </cell>
          <cell r="AF1705">
            <v>192</v>
          </cell>
          <cell r="AG1705">
            <v>4</v>
          </cell>
        </row>
        <row r="1706">
          <cell r="C1706">
            <v>331375</v>
          </cell>
          <cell r="D1706" t="str">
            <v>SIDDHI N SIDDHARTH PETROLEUM</v>
          </cell>
          <cell r="E1706" t="str">
            <v>IOCL</v>
          </cell>
          <cell r="F1706" t="str">
            <v>2020-21</v>
          </cell>
          <cell r="G1706" t="str">
            <v>Pune Hadapsar RSA</v>
          </cell>
          <cell r="H1706">
            <v>44073</v>
          </cell>
          <cell r="I1706" t="str">
            <v>OBC</v>
          </cell>
          <cell r="J1706" t="str">
            <v>KURKUMBH</v>
          </cell>
          <cell r="K1706" t="str">
            <v>Pune</v>
          </cell>
          <cell r="L1706" t="str">
            <v>D2</v>
          </cell>
          <cell r="O1706" t="str">
            <v>B</v>
          </cell>
          <cell r="P1706">
            <v>49</v>
          </cell>
          <cell r="Q1706">
            <v>175</v>
          </cell>
          <cell r="R1706">
            <v>35</v>
          </cell>
          <cell r="S1706">
            <v>133</v>
          </cell>
          <cell r="T1706">
            <v>14</v>
          </cell>
          <cell r="U1706">
            <v>42</v>
          </cell>
          <cell r="V1706">
            <v>79</v>
          </cell>
          <cell r="W1706">
            <v>327</v>
          </cell>
          <cell r="X1706">
            <v>55</v>
          </cell>
          <cell r="Y1706">
            <v>239</v>
          </cell>
          <cell r="Z1706">
            <v>24</v>
          </cell>
          <cell r="AA1706">
            <v>88</v>
          </cell>
          <cell r="AB1706">
            <v>224</v>
          </cell>
          <cell r="AC1706">
            <v>168</v>
          </cell>
          <cell r="AD1706">
            <v>56</v>
          </cell>
          <cell r="AE1706">
            <v>406</v>
          </cell>
          <cell r="AF1706">
            <v>294</v>
          </cell>
          <cell r="AG1706">
            <v>112</v>
          </cell>
        </row>
        <row r="1707">
          <cell r="C1707">
            <v>331447</v>
          </cell>
          <cell r="D1707" t="str">
            <v>LOKHANDE PATIL PETROLEUM</v>
          </cell>
          <cell r="E1707" t="str">
            <v>IOCL</v>
          </cell>
          <cell r="F1707" t="str">
            <v>2020-21</v>
          </cell>
          <cell r="G1707" t="str">
            <v>Pimpri Chinchwad RSA</v>
          </cell>
          <cell r="H1707">
            <v>44043</v>
          </cell>
          <cell r="I1707" t="str">
            <v>OPEN</v>
          </cell>
          <cell r="J1707" t="str">
            <v>ALANDI MARKAL ROAD</v>
          </cell>
          <cell r="K1707" t="str">
            <v>Pune</v>
          </cell>
          <cell r="L1707" t="str">
            <v>D2</v>
          </cell>
          <cell r="O1707" t="str">
            <v>B</v>
          </cell>
          <cell r="P1707">
            <v>0</v>
          </cell>
          <cell r="Q1707">
            <v>0</v>
          </cell>
          <cell r="R1707">
            <v>15</v>
          </cell>
          <cell r="S1707">
            <v>45</v>
          </cell>
          <cell r="T1707">
            <v>-15</v>
          </cell>
          <cell r="U1707">
            <v>-45</v>
          </cell>
          <cell r="V1707">
            <v>0</v>
          </cell>
          <cell r="W1707">
            <v>0</v>
          </cell>
          <cell r="X1707">
            <v>27</v>
          </cell>
          <cell r="Y1707">
            <v>93</v>
          </cell>
          <cell r="Z1707">
            <v>-27</v>
          </cell>
          <cell r="AA1707">
            <v>-93</v>
          </cell>
          <cell r="AB1707">
            <v>0</v>
          </cell>
          <cell r="AC1707">
            <v>60</v>
          </cell>
          <cell r="AD1707">
            <v>-60</v>
          </cell>
          <cell r="AE1707">
            <v>0</v>
          </cell>
          <cell r="AF1707">
            <v>120</v>
          </cell>
          <cell r="AG1707">
            <v>-120</v>
          </cell>
        </row>
        <row r="1708">
          <cell r="C1708">
            <v>331708</v>
          </cell>
          <cell r="D1708" t="str">
            <v>TRISHUL SERVICE STATION PVT LTD</v>
          </cell>
          <cell r="E1708" t="str">
            <v>IOCL</v>
          </cell>
          <cell r="F1708" t="str">
            <v>2020-21</v>
          </cell>
          <cell r="G1708" t="str">
            <v>Pimpri Chinchwad RSA</v>
          </cell>
          <cell r="H1708">
            <v>44068</v>
          </cell>
          <cell r="I1708" t="str">
            <v>OPEN</v>
          </cell>
          <cell r="J1708" t="str">
            <v>Bhosari</v>
          </cell>
          <cell r="K1708" t="str">
            <v>Pune</v>
          </cell>
          <cell r="L1708" t="str">
            <v>A</v>
          </cell>
          <cell r="O1708" t="str">
            <v>A</v>
          </cell>
          <cell r="P1708">
            <v>190</v>
          </cell>
          <cell r="Q1708">
            <v>210</v>
          </cell>
          <cell r="R1708">
            <v>183</v>
          </cell>
          <cell r="S1708">
            <v>201</v>
          </cell>
          <cell r="T1708">
            <v>7</v>
          </cell>
          <cell r="U1708">
            <v>9</v>
          </cell>
          <cell r="V1708">
            <v>370</v>
          </cell>
          <cell r="W1708">
            <v>410</v>
          </cell>
          <cell r="X1708">
            <v>372.5</v>
          </cell>
          <cell r="Y1708">
            <v>399.5</v>
          </cell>
          <cell r="Z1708">
            <v>-2.5</v>
          </cell>
          <cell r="AA1708">
            <v>10.5</v>
          </cell>
          <cell r="AB1708">
            <v>400</v>
          </cell>
          <cell r="AC1708">
            <v>384</v>
          </cell>
          <cell r="AD1708">
            <v>16</v>
          </cell>
          <cell r="AE1708">
            <v>780</v>
          </cell>
          <cell r="AF1708">
            <v>772</v>
          </cell>
          <cell r="AG1708">
            <v>8</v>
          </cell>
        </row>
        <row r="1709">
          <cell r="C1709">
            <v>331907</v>
          </cell>
          <cell r="D1709" t="str">
            <v>SHRI GANESH PETRO HUB</v>
          </cell>
          <cell r="E1709" t="str">
            <v>IOCL</v>
          </cell>
          <cell r="F1709" t="str">
            <v>2020-21</v>
          </cell>
          <cell r="G1709" t="str">
            <v>Pune Saswad RSA</v>
          </cell>
          <cell r="H1709">
            <v>36766</v>
          </cell>
          <cell r="I1709" t="str">
            <v>OPEN</v>
          </cell>
          <cell r="J1709" t="str">
            <v>HINGANGAON</v>
          </cell>
          <cell r="K1709" t="str">
            <v>Pune</v>
          </cell>
          <cell r="L1709" t="str">
            <v>D1</v>
          </cell>
          <cell r="M1709" t="str">
            <v>NH-65</v>
          </cell>
          <cell r="O1709" t="str">
            <v>B</v>
          </cell>
          <cell r="P1709">
            <v>76</v>
          </cell>
          <cell r="Q1709">
            <v>176</v>
          </cell>
          <cell r="R1709">
            <v>54.5</v>
          </cell>
          <cell r="S1709">
            <v>125.5</v>
          </cell>
          <cell r="T1709">
            <v>21.5</v>
          </cell>
          <cell r="U1709">
            <v>50.5</v>
          </cell>
          <cell r="V1709">
            <v>138</v>
          </cell>
          <cell r="W1709">
            <v>310</v>
          </cell>
          <cell r="X1709">
            <v>113.5</v>
          </cell>
          <cell r="Y1709">
            <v>262.5</v>
          </cell>
          <cell r="Z1709">
            <v>24.5</v>
          </cell>
          <cell r="AA1709">
            <v>47.5</v>
          </cell>
          <cell r="AB1709">
            <v>252</v>
          </cell>
          <cell r="AC1709">
            <v>180</v>
          </cell>
          <cell r="AD1709">
            <v>72</v>
          </cell>
          <cell r="AE1709">
            <v>448</v>
          </cell>
          <cell r="AF1709">
            <v>376</v>
          </cell>
          <cell r="AG1709">
            <v>72</v>
          </cell>
        </row>
        <row r="1710">
          <cell r="C1710">
            <v>332065</v>
          </cell>
          <cell r="D1710" t="str">
            <v>SHRI SHIVSAI FUEL STATION</v>
          </cell>
          <cell r="E1710" t="str">
            <v>IOCL</v>
          </cell>
          <cell r="F1710" t="str">
            <v>2020-21</v>
          </cell>
          <cell r="G1710" t="str">
            <v>Pune Wagholi RSA</v>
          </cell>
          <cell r="H1710">
            <v>44074</v>
          </cell>
          <cell r="I1710" t="str">
            <v>ST</v>
          </cell>
          <cell r="J1710" t="str">
            <v>Ranjangaon to Shirur LHS</v>
          </cell>
          <cell r="K1710" t="str">
            <v>Pune</v>
          </cell>
          <cell r="L1710" t="str">
            <v>D1</v>
          </cell>
          <cell r="M1710" t="str">
            <v>NH-753F</v>
          </cell>
          <cell r="O1710" t="str">
            <v>A</v>
          </cell>
          <cell r="P1710">
            <v>26</v>
          </cell>
          <cell r="Q1710">
            <v>90</v>
          </cell>
          <cell r="R1710">
            <v>32</v>
          </cell>
          <cell r="S1710">
            <v>156</v>
          </cell>
          <cell r="T1710">
            <v>-6</v>
          </cell>
          <cell r="U1710">
            <v>-66</v>
          </cell>
          <cell r="V1710">
            <v>56</v>
          </cell>
          <cell r="W1710">
            <v>190</v>
          </cell>
          <cell r="X1710">
            <v>62</v>
          </cell>
          <cell r="Y1710">
            <v>303</v>
          </cell>
          <cell r="Z1710">
            <v>-6</v>
          </cell>
          <cell r="AA1710">
            <v>-113</v>
          </cell>
          <cell r="AB1710">
            <v>116</v>
          </cell>
          <cell r="AC1710">
            <v>188</v>
          </cell>
          <cell r="AD1710">
            <v>-72</v>
          </cell>
          <cell r="AE1710">
            <v>246</v>
          </cell>
          <cell r="AF1710">
            <v>365</v>
          </cell>
          <cell r="AG1710">
            <v>-119</v>
          </cell>
        </row>
        <row r="1711">
          <cell r="C1711">
            <v>332691</v>
          </cell>
          <cell r="D1711" t="str">
            <v>DNYANSAGAR PETROLEUM</v>
          </cell>
          <cell r="E1711" t="str">
            <v>IOCL</v>
          </cell>
          <cell r="F1711" t="str">
            <v>2020-21</v>
          </cell>
          <cell r="G1711" t="str">
            <v>Pimpri Chinchwad RSA</v>
          </cell>
          <cell r="H1711">
            <v>44128</v>
          </cell>
          <cell r="I1711" t="str">
            <v>OBC</v>
          </cell>
          <cell r="J1711" t="str">
            <v>ALANDI RURAL</v>
          </cell>
          <cell r="K1711" t="str">
            <v>Pune</v>
          </cell>
          <cell r="L1711" t="str">
            <v>E</v>
          </cell>
          <cell r="O1711" t="str">
            <v>B</v>
          </cell>
          <cell r="P1711">
            <v>59</v>
          </cell>
          <cell r="Q1711">
            <v>41</v>
          </cell>
          <cell r="R1711">
            <v>68.5</v>
          </cell>
          <cell r="S1711">
            <v>51.5</v>
          </cell>
          <cell r="T1711">
            <v>-9.5</v>
          </cell>
          <cell r="U1711">
            <v>-10.5</v>
          </cell>
          <cell r="V1711">
            <v>128</v>
          </cell>
          <cell r="W1711">
            <v>82</v>
          </cell>
          <cell r="X1711">
            <v>139</v>
          </cell>
          <cell r="Y1711">
            <v>95</v>
          </cell>
          <cell r="Z1711">
            <v>-11</v>
          </cell>
          <cell r="AA1711">
            <v>-13</v>
          </cell>
          <cell r="AB1711">
            <v>100</v>
          </cell>
          <cell r="AC1711">
            <v>120</v>
          </cell>
          <cell r="AD1711">
            <v>-20</v>
          </cell>
          <cell r="AE1711">
            <v>210</v>
          </cell>
          <cell r="AF1711">
            <v>234</v>
          </cell>
          <cell r="AG1711">
            <v>-24</v>
          </cell>
        </row>
        <row r="1712">
          <cell r="C1712">
            <v>332702</v>
          </cell>
          <cell r="D1712" t="str">
            <v>SAI SINDHU PETROLEUM</v>
          </cell>
          <cell r="E1712" t="str">
            <v>IOCL</v>
          </cell>
          <cell r="F1712" t="str">
            <v>2020-21</v>
          </cell>
          <cell r="G1712" t="str">
            <v>Shirdi RSA</v>
          </cell>
          <cell r="H1712">
            <v>44104</v>
          </cell>
          <cell r="I1712" t="str">
            <v>OPEN</v>
          </cell>
          <cell r="J1712" t="str">
            <v>LONI PRAVARA SH</v>
          </cell>
          <cell r="K1712" t="str">
            <v>Ahmednagar</v>
          </cell>
          <cell r="L1712" t="str">
            <v>D2</v>
          </cell>
          <cell r="O1712" t="str">
            <v>B</v>
          </cell>
          <cell r="P1712">
            <v>70</v>
          </cell>
          <cell r="Q1712">
            <v>194</v>
          </cell>
          <cell r="R1712">
            <v>55</v>
          </cell>
          <cell r="S1712">
            <v>99</v>
          </cell>
          <cell r="T1712">
            <v>15</v>
          </cell>
          <cell r="U1712">
            <v>95</v>
          </cell>
          <cell r="V1712">
            <v>105</v>
          </cell>
          <cell r="W1712">
            <v>291</v>
          </cell>
          <cell r="X1712">
            <v>100</v>
          </cell>
          <cell r="Y1712">
            <v>186</v>
          </cell>
          <cell r="Z1712">
            <v>5</v>
          </cell>
          <cell r="AA1712">
            <v>105</v>
          </cell>
          <cell r="AB1712">
            <v>264</v>
          </cell>
          <cell r="AC1712">
            <v>154</v>
          </cell>
          <cell r="AD1712">
            <v>110</v>
          </cell>
          <cell r="AE1712">
            <v>396</v>
          </cell>
          <cell r="AF1712">
            <v>286</v>
          </cell>
          <cell r="AG1712">
            <v>110</v>
          </cell>
        </row>
        <row r="1713">
          <cell r="C1713">
            <v>332711</v>
          </cell>
          <cell r="D1713" t="str">
            <v>AGRICULTURAL PRODUCE MKT COMMITTEE</v>
          </cell>
          <cell r="E1713" t="str">
            <v>IOCL</v>
          </cell>
          <cell r="F1713" t="str">
            <v>2020-21</v>
          </cell>
          <cell r="G1713" t="str">
            <v>Satara West RSA</v>
          </cell>
          <cell r="H1713">
            <v>44104</v>
          </cell>
          <cell r="I1713" t="str">
            <v>Govt Agency</v>
          </cell>
          <cell r="J1713" t="str">
            <v>Kolewadi to Dhebewadi</v>
          </cell>
          <cell r="K1713" t="str">
            <v>Satara</v>
          </cell>
          <cell r="L1713" t="str">
            <v>E</v>
          </cell>
          <cell r="O1713" t="str">
            <v>A</v>
          </cell>
          <cell r="P1713">
            <v>18</v>
          </cell>
          <cell r="Q1713">
            <v>42</v>
          </cell>
          <cell r="R1713">
            <v>3</v>
          </cell>
          <cell r="S1713">
            <v>9</v>
          </cell>
          <cell r="T1713">
            <v>15</v>
          </cell>
          <cell r="U1713">
            <v>33</v>
          </cell>
          <cell r="V1713">
            <v>27.5</v>
          </cell>
          <cell r="W1713">
            <v>70.5</v>
          </cell>
          <cell r="X1713">
            <v>12</v>
          </cell>
          <cell r="Y1713">
            <v>24</v>
          </cell>
          <cell r="Z1713">
            <v>15.5</v>
          </cell>
          <cell r="AA1713">
            <v>46.5</v>
          </cell>
          <cell r="AB1713">
            <v>60</v>
          </cell>
          <cell r="AC1713">
            <v>12</v>
          </cell>
          <cell r="AD1713">
            <v>48</v>
          </cell>
          <cell r="AE1713">
            <v>98</v>
          </cell>
          <cell r="AF1713">
            <v>36</v>
          </cell>
          <cell r="AG1713">
            <v>62</v>
          </cell>
        </row>
        <row r="1714">
          <cell r="C1714">
            <v>332752</v>
          </cell>
          <cell r="D1714" t="str">
            <v>MAULI KRUPA PETROLEUM</v>
          </cell>
          <cell r="E1714" t="str">
            <v>IOCL</v>
          </cell>
          <cell r="F1714" t="str">
            <v>2020-21</v>
          </cell>
          <cell r="G1714" t="str">
            <v>Ahmednagar West RSA</v>
          </cell>
          <cell r="H1714">
            <v>44104</v>
          </cell>
          <cell r="I1714" t="str">
            <v>SC</v>
          </cell>
          <cell r="J1714" t="str">
            <v>Parner Balavani Rd</v>
          </cell>
          <cell r="K1714" t="str">
            <v>Ahmednagar</v>
          </cell>
          <cell r="L1714" t="str">
            <v>E</v>
          </cell>
          <cell r="O1714" t="str">
            <v>A</v>
          </cell>
          <cell r="P1714">
            <v>9</v>
          </cell>
          <cell r="Q1714">
            <v>39</v>
          </cell>
          <cell r="R1714">
            <v>12</v>
          </cell>
          <cell r="S1714">
            <v>24</v>
          </cell>
          <cell r="T1714">
            <v>-3</v>
          </cell>
          <cell r="U1714">
            <v>15</v>
          </cell>
          <cell r="V1714">
            <v>15</v>
          </cell>
          <cell r="W1714">
            <v>57</v>
          </cell>
          <cell r="X1714">
            <v>18</v>
          </cell>
          <cell r="Y1714">
            <v>54</v>
          </cell>
          <cell r="Z1714">
            <v>-3</v>
          </cell>
          <cell r="AA1714">
            <v>3</v>
          </cell>
          <cell r="AB1714">
            <v>48</v>
          </cell>
          <cell r="AC1714">
            <v>36</v>
          </cell>
          <cell r="AD1714">
            <v>12</v>
          </cell>
          <cell r="AE1714">
            <v>72</v>
          </cell>
          <cell r="AF1714">
            <v>72</v>
          </cell>
          <cell r="AG1714">
            <v>0</v>
          </cell>
        </row>
        <row r="1715">
          <cell r="C1715">
            <v>332796</v>
          </cell>
          <cell r="D1715" t="str">
            <v>M/S SAI PETROLEUM STATION</v>
          </cell>
          <cell r="E1715" t="str">
            <v>IOCL</v>
          </cell>
          <cell r="F1715" t="str">
            <v>2020-21</v>
          </cell>
          <cell r="G1715" t="str">
            <v>Pune Tathawade RSA</v>
          </cell>
          <cell r="H1715">
            <v>44104</v>
          </cell>
          <cell r="I1715" t="str">
            <v>OPEN</v>
          </cell>
          <cell r="J1715" t="str">
            <v>Dhumalwadi</v>
          </cell>
          <cell r="K1715" t="str">
            <v>Pune</v>
          </cell>
          <cell r="L1715" t="str">
            <v>E</v>
          </cell>
          <cell r="O1715" t="str">
            <v>B</v>
          </cell>
          <cell r="P1715">
            <v>32</v>
          </cell>
          <cell r="Q1715">
            <v>60</v>
          </cell>
          <cell r="R1715">
            <v>18.5</v>
          </cell>
          <cell r="S1715">
            <v>43.5</v>
          </cell>
          <cell r="T1715">
            <v>13.5</v>
          </cell>
          <cell r="U1715">
            <v>16.5</v>
          </cell>
          <cell r="V1715">
            <v>60</v>
          </cell>
          <cell r="W1715">
            <v>104</v>
          </cell>
          <cell r="X1715">
            <v>45.5</v>
          </cell>
          <cell r="Y1715">
            <v>88.5</v>
          </cell>
          <cell r="Z1715">
            <v>14.5</v>
          </cell>
          <cell r="AA1715">
            <v>15.5</v>
          </cell>
          <cell r="AB1715">
            <v>92</v>
          </cell>
          <cell r="AC1715">
            <v>62</v>
          </cell>
          <cell r="AD1715">
            <v>30</v>
          </cell>
          <cell r="AE1715">
            <v>164</v>
          </cell>
          <cell r="AF1715">
            <v>134</v>
          </cell>
          <cell r="AG1715">
            <v>30</v>
          </cell>
        </row>
        <row r="1716">
          <cell r="C1716">
            <v>332801</v>
          </cell>
          <cell r="D1716" t="str">
            <v>DNYANRAJ ENTERPRISES</v>
          </cell>
          <cell r="E1716" t="str">
            <v>IOCL</v>
          </cell>
          <cell r="F1716" t="str">
            <v>2020-21</v>
          </cell>
          <cell r="G1716" t="str">
            <v>Pune Wagholi RSA</v>
          </cell>
          <cell r="H1716">
            <v>44104</v>
          </cell>
          <cell r="I1716" t="str">
            <v>OPEN</v>
          </cell>
          <cell r="J1716" t="str">
            <v>Ganegaon Khalsa</v>
          </cell>
          <cell r="K1716" t="str">
            <v>Pune</v>
          </cell>
          <cell r="L1716" t="str">
            <v>E</v>
          </cell>
          <cell r="O1716" t="str">
            <v>B</v>
          </cell>
          <cell r="P1716">
            <v>14</v>
          </cell>
          <cell r="Q1716">
            <v>34</v>
          </cell>
          <cell r="R1716">
            <v>26</v>
          </cell>
          <cell r="S1716">
            <v>60</v>
          </cell>
          <cell r="T1716">
            <v>-12</v>
          </cell>
          <cell r="U1716">
            <v>-26</v>
          </cell>
          <cell r="V1716">
            <v>26</v>
          </cell>
          <cell r="W1716">
            <v>58</v>
          </cell>
          <cell r="X1716">
            <v>56</v>
          </cell>
          <cell r="Y1716">
            <v>116</v>
          </cell>
          <cell r="Z1716">
            <v>-30</v>
          </cell>
          <cell r="AA1716">
            <v>-58</v>
          </cell>
          <cell r="AB1716">
            <v>48</v>
          </cell>
          <cell r="AC1716">
            <v>86</v>
          </cell>
          <cell r="AD1716">
            <v>-38</v>
          </cell>
          <cell r="AE1716">
            <v>84</v>
          </cell>
          <cell r="AF1716">
            <v>172</v>
          </cell>
          <cell r="AG1716">
            <v>-88</v>
          </cell>
        </row>
        <row r="1717">
          <cell r="C1717">
            <v>333846</v>
          </cell>
          <cell r="D1717" t="str">
            <v>GHANSHYAM PETROLEUM</v>
          </cell>
          <cell r="E1717" t="str">
            <v>IOCL</v>
          </cell>
          <cell r="F1717" t="str">
            <v>2020-21</v>
          </cell>
          <cell r="G1717" t="str">
            <v>Pimpri Chinchwad RSA</v>
          </cell>
          <cell r="H1717">
            <v>44135</v>
          </cell>
          <cell r="I1717" t="str">
            <v>SC</v>
          </cell>
          <cell r="J1717" t="str">
            <v xml:space="preserve">Sablewadi to shikhrapur </v>
          </cell>
          <cell r="K1717" t="str">
            <v>Pune</v>
          </cell>
          <cell r="L1717" t="str">
            <v>D1</v>
          </cell>
          <cell r="M1717" t="str">
            <v>NH-548D</v>
          </cell>
          <cell r="O1717" t="str">
            <v>A</v>
          </cell>
          <cell r="P1717">
            <v>19</v>
          </cell>
          <cell r="Q1717">
            <v>57</v>
          </cell>
          <cell r="R1717">
            <v>24</v>
          </cell>
          <cell r="S1717">
            <v>98</v>
          </cell>
          <cell r="T1717">
            <v>-5</v>
          </cell>
          <cell r="U1717">
            <v>-41</v>
          </cell>
          <cell r="V1717">
            <v>35</v>
          </cell>
          <cell r="W1717">
            <v>129</v>
          </cell>
          <cell r="X1717">
            <v>50.5</v>
          </cell>
          <cell r="Y1717">
            <v>201.5</v>
          </cell>
          <cell r="Z1717">
            <v>-15.5</v>
          </cell>
          <cell r="AA1717">
            <v>-72.5</v>
          </cell>
          <cell r="AB1717">
            <v>76</v>
          </cell>
          <cell r="AC1717">
            <v>122</v>
          </cell>
          <cell r="AD1717">
            <v>-46</v>
          </cell>
          <cell r="AE1717">
            <v>164</v>
          </cell>
          <cell r="AF1717">
            <v>252</v>
          </cell>
          <cell r="AG1717">
            <v>-88</v>
          </cell>
        </row>
        <row r="1718">
          <cell r="C1718">
            <v>333927</v>
          </cell>
          <cell r="D1718" t="str">
            <v>SOMNATH PETROLEUM</v>
          </cell>
          <cell r="E1718" t="str">
            <v>IOCL</v>
          </cell>
          <cell r="F1718" t="str">
            <v>2020-21</v>
          </cell>
          <cell r="G1718" t="str">
            <v>Pune Tathawade RSA</v>
          </cell>
          <cell r="H1718">
            <v>44135</v>
          </cell>
          <cell r="I1718" t="str">
            <v>OPEN</v>
          </cell>
          <cell r="J1718" t="str">
            <v>Nimbut to Someshwar Nagar</v>
          </cell>
          <cell r="K1718" t="str">
            <v>Pune</v>
          </cell>
          <cell r="L1718" t="str">
            <v>D2</v>
          </cell>
          <cell r="O1718" t="str">
            <v>B</v>
          </cell>
          <cell r="P1718">
            <v>12</v>
          </cell>
          <cell r="Q1718">
            <v>36</v>
          </cell>
          <cell r="R1718">
            <v>21</v>
          </cell>
          <cell r="S1718">
            <v>39</v>
          </cell>
          <cell r="T1718">
            <v>-9</v>
          </cell>
          <cell r="U1718">
            <v>-3</v>
          </cell>
          <cell r="V1718">
            <v>21</v>
          </cell>
          <cell r="W1718">
            <v>63</v>
          </cell>
          <cell r="X1718">
            <v>33</v>
          </cell>
          <cell r="Y1718">
            <v>63</v>
          </cell>
          <cell r="Z1718">
            <v>-12</v>
          </cell>
          <cell r="AA1718">
            <v>0</v>
          </cell>
          <cell r="AB1718">
            <v>48</v>
          </cell>
          <cell r="AC1718">
            <v>60</v>
          </cell>
          <cell r="AD1718">
            <v>-12</v>
          </cell>
          <cell r="AE1718">
            <v>84</v>
          </cell>
          <cell r="AF1718">
            <v>96</v>
          </cell>
          <cell r="AG1718">
            <v>-12</v>
          </cell>
        </row>
        <row r="1719">
          <cell r="C1719">
            <v>334432</v>
          </cell>
          <cell r="D1719" t="str">
            <v>JOPAIDEVI PETROLEUM</v>
          </cell>
          <cell r="E1719" t="str">
            <v>IOCL</v>
          </cell>
          <cell r="F1719" t="str">
            <v>2020-21</v>
          </cell>
          <cell r="G1719" t="str">
            <v>Pimpri Chinchwad RSA</v>
          </cell>
          <cell r="H1719">
            <v>44158</v>
          </cell>
          <cell r="I1719" t="str">
            <v>OPEN</v>
          </cell>
          <cell r="J1719" t="str">
            <v>Induri</v>
          </cell>
          <cell r="K1719" t="str">
            <v>Pune</v>
          </cell>
          <cell r="L1719" t="str">
            <v>D1</v>
          </cell>
          <cell r="M1719" t="str">
            <v>NH-548D</v>
          </cell>
          <cell r="O1719" t="str">
            <v>A</v>
          </cell>
          <cell r="P1719">
            <v>28</v>
          </cell>
          <cell r="Q1719">
            <v>96</v>
          </cell>
          <cell r="R1719">
            <v>58.5</v>
          </cell>
          <cell r="S1719">
            <v>93.5</v>
          </cell>
          <cell r="T1719">
            <v>-30.5</v>
          </cell>
          <cell r="U1719">
            <v>2.5</v>
          </cell>
          <cell r="V1719">
            <v>59.5</v>
          </cell>
          <cell r="W1719">
            <v>180.5</v>
          </cell>
          <cell r="X1719">
            <v>107.5</v>
          </cell>
          <cell r="Y1719">
            <v>174.5</v>
          </cell>
          <cell r="Z1719">
            <v>-48</v>
          </cell>
          <cell r="AA1719">
            <v>6</v>
          </cell>
          <cell r="AB1719">
            <v>124</v>
          </cell>
          <cell r="AC1719">
            <v>152</v>
          </cell>
          <cell r="AD1719">
            <v>-28</v>
          </cell>
          <cell r="AE1719">
            <v>240</v>
          </cell>
          <cell r="AF1719">
            <v>282</v>
          </cell>
          <cell r="AG1719">
            <v>-42</v>
          </cell>
        </row>
        <row r="1720">
          <cell r="C1720">
            <v>334612</v>
          </cell>
          <cell r="D1720" t="str">
            <v>GHANVAT PETROLEUM</v>
          </cell>
          <cell r="E1720" t="str">
            <v>IOCL</v>
          </cell>
          <cell r="F1720" t="str">
            <v>2020-21</v>
          </cell>
          <cell r="G1720" t="str">
            <v>Pimpri Chinchwad RSA</v>
          </cell>
          <cell r="H1720">
            <v>44160</v>
          </cell>
          <cell r="I1720" t="str">
            <v>OPEN</v>
          </cell>
          <cell r="J1720" t="str">
            <v>Chakan MIDC</v>
          </cell>
          <cell r="K1720" t="str">
            <v>Pune</v>
          </cell>
          <cell r="L1720" t="str">
            <v>C</v>
          </cell>
          <cell r="O1720" t="str">
            <v>A</v>
          </cell>
          <cell r="P1720">
            <v>31.5</v>
          </cell>
          <cell r="Q1720">
            <v>142.5</v>
          </cell>
          <cell r="R1720">
            <v>29.5</v>
          </cell>
          <cell r="S1720">
            <v>232.5</v>
          </cell>
          <cell r="T1720">
            <v>2</v>
          </cell>
          <cell r="U1720">
            <v>-90</v>
          </cell>
          <cell r="V1720">
            <v>63</v>
          </cell>
          <cell r="W1720">
            <v>329</v>
          </cell>
          <cell r="X1720">
            <v>61</v>
          </cell>
          <cell r="Y1720">
            <v>453</v>
          </cell>
          <cell r="Z1720">
            <v>2</v>
          </cell>
          <cell r="AA1720">
            <v>-124</v>
          </cell>
          <cell r="AB1720">
            <v>174</v>
          </cell>
          <cell r="AC1720">
            <v>262</v>
          </cell>
          <cell r="AD1720">
            <v>-88</v>
          </cell>
          <cell r="AE1720">
            <v>392</v>
          </cell>
          <cell r="AF1720">
            <v>514</v>
          </cell>
          <cell r="AG1720">
            <v>-122</v>
          </cell>
        </row>
        <row r="1721">
          <cell r="C1721">
            <v>334890</v>
          </cell>
          <cell r="D1721" t="str">
            <v>GS PETROLEUM</v>
          </cell>
          <cell r="E1721" t="str">
            <v>IOCL</v>
          </cell>
          <cell r="F1721" t="str">
            <v>2020-21</v>
          </cell>
          <cell r="G1721" t="str">
            <v>Pune Tathawade RSA</v>
          </cell>
          <cell r="H1721">
            <v>44165</v>
          </cell>
          <cell r="I1721" t="str">
            <v>OBC</v>
          </cell>
          <cell r="J1721" t="str">
            <v>BARAMATI MIDC</v>
          </cell>
          <cell r="K1721" t="str">
            <v>Pune</v>
          </cell>
          <cell r="L1721" t="str">
            <v>D1</v>
          </cell>
          <cell r="M1721" t="str">
            <v>NH-965G</v>
          </cell>
          <cell r="O1721" t="str">
            <v>B</v>
          </cell>
          <cell r="P1721">
            <v>24</v>
          </cell>
          <cell r="Q1721">
            <v>54</v>
          </cell>
          <cell r="R1721">
            <v>29.5</v>
          </cell>
          <cell r="S1721">
            <v>62.5</v>
          </cell>
          <cell r="T1721">
            <v>-5.5</v>
          </cell>
          <cell r="U1721">
            <v>-8.5</v>
          </cell>
          <cell r="V1721">
            <v>44</v>
          </cell>
          <cell r="W1721">
            <v>98</v>
          </cell>
          <cell r="X1721">
            <v>54</v>
          </cell>
          <cell r="Y1721">
            <v>112</v>
          </cell>
          <cell r="Z1721">
            <v>-10</v>
          </cell>
          <cell r="AA1721">
            <v>-14</v>
          </cell>
          <cell r="AB1721">
            <v>78</v>
          </cell>
          <cell r="AC1721">
            <v>92</v>
          </cell>
          <cell r="AD1721">
            <v>-14</v>
          </cell>
          <cell r="AE1721">
            <v>142</v>
          </cell>
          <cell r="AF1721">
            <v>166</v>
          </cell>
          <cell r="AG1721">
            <v>-24</v>
          </cell>
        </row>
        <row r="1722">
          <cell r="C1722">
            <v>335113</v>
          </cell>
          <cell r="D1722" t="str">
            <v>SWATI PETROLEUM</v>
          </cell>
          <cell r="E1722" t="str">
            <v>IOCL</v>
          </cell>
          <cell r="F1722" t="str">
            <v>2020-21</v>
          </cell>
          <cell r="G1722" t="str">
            <v>Pune Tathawade RSA</v>
          </cell>
          <cell r="H1722">
            <v>44175</v>
          </cell>
          <cell r="I1722" t="str">
            <v>OPEN</v>
          </cell>
          <cell r="J1722" t="str">
            <v>KHEDSHIVAPUR TO HARISHCHANDRI</v>
          </cell>
          <cell r="K1722" t="str">
            <v>Pune</v>
          </cell>
          <cell r="L1722" t="str">
            <v>D1</v>
          </cell>
          <cell r="M1722" t="str">
            <v>NH-48</v>
          </cell>
          <cell r="O1722" t="str">
            <v>A</v>
          </cell>
          <cell r="P1722">
            <v>66</v>
          </cell>
          <cell r="Q1722">
            <v>582</v>
          </cell>
          <cell r="R1722">
            <v>60</v>
          </cell>
          <cell r="S1722">
            <v>328</v>
          </cell>
          <cell r="T1722">
            <v>6</v>
          </cell>
          <cell r="U1722">
            <v>254</v>
          </cell>
          <cell r="V1722">
            <v>111</v>
          </cell>
          <cell r="W1722">
            <v>1173</v>
          </cell>
          <cell r="X1722">
            <v>110</v>
          </cell>
          <cell r="Y1722">
            <v>658</v>
          </cell>
          <cell r="Z1722">
            <v>1</v>
          </cell>
          <cell r="AA1722">
            <v>515</v>
          </cell>
          <cell r="AB1722">
            <v>648</v>
          </cell>
          <cell r="AC1722">
            <v>388</v>
          </cell>
          <cell r="AD1722">
            <v>260</v>
          </cell>
          <cell r="AE1722">
            <v>1284</v>
          </cell>
          <cell r="AF1722">
            <v>768</v>
          </cell>
          <cell r="AG1722">
            <v>516</v>
          </cell>
        </row>
        <row r="1723">
          <cell r="C1723">
            <v>335534</v>
          </cell>
          <cell r="D1723" t="str">
            <v>SHRI BALAJI PETROLEUM KSK</v>
          </cell>
          <cell r="E1723" t="str">
            <v>IOCL</v>
          </cell>
          <cell r="F1723" t="str">
            <v>2020-21</v>
          </cell>
          <cell r="G1723" t="str">
            <v>Pune Saswad RSA</v>
          </cell>
          <cell r="H1723">
            <v>44194</v>
          </cell>
          <cell r="I1723" t="str">
            <v>OBC</v>
          </cell>
          <cell r="J1723" t="str">
            <v>SHELGAON</v>
          </cell>
          <cell r="K1723" t="str">
            <v>Pune</v>
          </cell>
          <cell r="L1723" t="str">
            <v>E</v>
          </cell>
          <cell r="O1723" t="str">
            <v>B</v>
          </cell>
          <cell r="P1723">
            <v>24</v>
          </cell>
          <cell r="Q1723">
            <v>24</v>
          </cell>
          <cell r="R1723">
            <v>30</v>
          </cell>
          <cell r="S1723">
            <v>30</v>
          </cell>
          <cell r="T1723">
            <v>-6</v>
          </cell>
          <cell r="U1723">
            <v>-6</v>
          </cell>
          <cell r="V1723">
            <v>45</v>
          </cell>
          <cell r="W1723">
            <v>39</v>
          </cell>
          <cell r="X1723">
            <v>51</v>
          </cell>
          <cell r="Y1723">
            <v>57</v>
          </cell>
          <cell r="Z1723">
            <v>-6</v>
          </cell>
          <cell r="AA1723">
            <v>-18</v>
          </cell>
          <cell r="AB1723">
            <v>48</v>
          </cell>
          <cell r="AC1723">
            <v>60</v>
          </cell>
          <cell r="AD1723">
            <v>-12</v>
          </cell>
          <cell r="AE1723">
            <v>84</v>
          </cell>
          <cell r="AF1723">
            <v>108</v>
          </cell>
          <cell r="AG1723">
            <v>-24</v>
          </cell>
        </row>
        <row r="1724">
          <cell r="C1724">
            <v>335558</v>
          </cell>
          <cell r="D1724" t="str">
            <v>SARVESH PETRO HUB</v>
          </cell>
          <cell r="E1724" t="str">
            <v>IOCL</v>
          </cell>
          <cell r="F1724" t="str">
            <v>2020-21</v>
          </cell>
          <cell r="G1724" t="str">
            <v>Pune Hadapsar RSA</v>
          </cell>
          <cell r="H1724">
            <v>44195</v>
          </cell>
          <cell r="I1724" t="str">
            <v>OPEN</v>
          </cell>
          <cell r="J1724" t="str">
            <v>Theur</v>
          </cell>
          <cell r="K1724" t="str">
            <v>Pune</v>
          </cell>
          <cell r="L1724" t="str">
            <v>D1</v>
          </cell>
          <cell r="M1724" t="str">
            <v>NH-548DD</v>
          </cell>
          <cell r="O1724" t="str">
            <v>B</v>
          </cell>
          <cell r="P1724">
            <v>48</v>
          </cell>
          <cell r="Q1724">
            <v>210</v>
          </cell>
          <cell r="R1724">
            <v>37</v>
          </cell>
          <cell r="S1724">
            <v>171</v>
          </cell>
          <cell r="T1724">
            <v>11</v>
          </cell>
          <cell r="U1724">
            <v>39</v>
          </cell>
          <cell r="V1724">
            <v>90.5</v>
          </cell>
          <cell r="W1724">
            <v>411.5</v>
          </cell>
          <cell r="X1724">
            <v>68.5</v>
          </cell>
          <cell r="Y1724">
            <v>333.5</v>
          </cell>
          <cell r="Z1724">
            <v>22</v>
          </cell>
          <cell r="AA1724">
            <v>78</v>
          </cell>
          <cell r="AB1724">
            <v>258</v>
          </cell>
          <cell r="AC1724">
            <v>208</v>
          </cell>
          <cell r="AD1724">
            <v>50</v>
          </cell>
          <cell r="AE1724">
            <v>502</v>
          </cell>
          <cell r="AF1724">
            <v>402</v>
          </cell>
          <cell r="AG1724">
            <v>100</v>
          </cell>
        </row>
        <row r="1725">
          <cell r="C1725">
            <v>335564</v>
          </cell>
          <cell r="D1725" t="str">
            <v>AGRICULTURAL PRODUCE MKT COMMITTEE</v>
          </cell>
          <cell r="E1725" t="str">
            <v>IOCL</v>
          </cell>
          <cell r="F1725" t="str">
            <v>2020-21</v>
          </cell>
          <cell r="G1725" t="str">
            <v>Satara West RSA</v>
          </cell>
          <cell r="H1725">
            <v>44207</v>
          </cell>
          <cell r="I1725" t="str">
            <v>Govt Agency</v>
          </cell>
          <cell r="J1725" t="str">
            <v>TARALE</v>
          </cell>
          <cell r="K1725" t="str">
            <v>Satara</v>
          </cell>
          <cell r="L1725" t="str">
            <v>E</v>
          </cell>
          <cell r="O1725" t="str">
            <v>A</v>
          </cell>
          <cell r="P1725">
            <v>88</v>
          </cell>
          <cell r="Q1725">
            <v>102</v>
          </cell>
          <cell r="R1725">
            <v>36</v>
          </cell>
          <cell r="S1725">
            <v>36</v>
          </cell>
          <cell r="T1725">
            <v>52</v>
          </cell>
          <cell r="U1725">
            <v>66</v>
          </cell>
          <cell r="V1725">
            <v>159</v>
          </cell>
          <cell r="W1725">
            <v>207</v>
          </cell>
          <cell r="X1725">
            <v>63</v>
          </cell>
          <cell r="Y1725">
            <v>81</v>
          </cell>
          <cell r="Z1725">
            <v>96</v>
          </cell>
          <cell r="AA1725">
            <v>126</v>
          </cell>
          <cell r="AB1725">
            <v>190</v>
          </cell>
          <cell r="AC1725">
            <v>72</v>
          </cell>
          <cell r="AD1725">
            <v>118</v>
          </cell>
          <cell r="AE1725">
            <v>366</v>
          </cell>
          <cell r="AF1725">
            <v>144</v>
          </cell>
          <cell r="AG1725">
            <v>222</v>
          </cell>
        </row>
        <row r="1726">
          <cell r="C1726">
            <v>335581</v>
          </cell>
          <cell r="D1726" t="str">
            <v>SAIRAJ PETRO HUB</v>
          </cell>
          <cell r="E1726" t="str">
            <v>IOCL</v>
          </cell>
          <cell r="F1726" t="str">
            <v>2020-21</v>
          </cell>
          <cell r="G1726" t="str">
            <v>Satara East RSA</v>
          </cell>
          <cell r="H1726">
            <v>44200</v>
          </cell>
          <cell r="I1726" t="str">
            <v>OBC</v>
          </cell>
          <cell r="J1726" t="str">
            <v>Koregaon Rahimatpur Road</v>
          </cell>
          <cell r="K1726" t="str">
            <v>Satara</v>
          </cell>
          <cell r="L1726" t="str">
            <v>E</v>
          </cell>
          <cell r="O1726" t="str">
            <v>B</v>
          </cell>
          <cell r="P1726">
            <v>21</v>
          </cell>
          <cell r="Q1726">
            <v>39</v>
          </cell>
          <cell r="R1726">
            <v>13</v>
          </cell>
          <cell r="S1726">
            <v>25</v>
          </cell>
          <cell r="T1726">
            <v>8</v>
          </cell>
          <cell r="U1726">
            <v>14</v>
          </cell>
          <cell r="V1726">
            <v>27</v>
          </cell>
          <cell r="W1726">
            <v>57</v>
          </cell>
          <cell r="X1726">
            <v>19</v>
          </cell>
          <cell r="Y1726">
            <v>55</v>
          </cell>
          <cell r="Z1726">
            <v>8</v>
          </cell>
          <cell r="AA1726">
            <v>2</v>
          </cell>
          <cell r="AB1726">
            <v>60</v>
          </cell>
          <cell r="AC1726">
            <v>38</v>
          </cell>
          <cell r="AD1726">
            <v>22</v>
          </cell>
          <cell r="AE1726">
            <v>84</v>
          </cell>
          <cell r="AF1726">
            <v>74</v>
          </cell>
          <cell r="AG1726">
            <v>10</v>
          </cell>
        </row>
        <row r="1727">
          <cell r="C1727">
            <v>336345</v>
          </cell>
          <cell r="D1727" t="str">
            <v>SUDEEP PETROLEUM</v>
          </cell>
          <cell r="E1727" t="str">
            <v>IOCL</v>
          </cell>
          <cell r="F1727" t="str">
            <v>2020-21</v>
          </cell>
          <cell r="G1727" t="str">
            <v>Pimpri Chinchwad RSA</v>
          </cell>
          <cell r="H1727">
            <v>44224</v>
          </cell>
          <cell r="I1727" t="str">
            <v>OPEN</v>
          </cell>
          <cell r="J1727" t="str">
            <v>Tulapur</v>
          </cell>
          <cell r="K1727" t="str">
            <v>Pune</v>
          </cell>
          <cell r="L1727" t="str">
            <v>D2</v>
          </cell>
          <cell r="O1727" t="str">
            <v>B</v>
          </cell>
          <cell r="P1727">
            <v>37</v>
          </cell>
          <cell r="Q1727">
            <v>109</v>
          </cell>
          <cell r="R1727">
            <v>34.5</v>
          </cell>
          <cell r="S1727">
            <v>163.5</v>
          </cell>
          <cell r="T1727">
            <v>2.5</v>
          </cell>
          <cell r="U1727">
            <v>-54.5</v>
          </cell>
          <cell r="V1727">
            <v>70</v>
          </cell>
          <cell r="W1727">
            <v>256</v>
          </cell>
          <cell r="X1727">
            <v>64</v>
          </cell>
          <cell r="Y1727">
            <v>312</v>
          </cell>
          <cell r="Z1727">
            <v>6</v>
          </cell>
          <cell r="AA1727">
            <v>-56</v>
          </cell>
          <cell r="AB1727">
            <v>146</v>
          </cell>
          <cell r="AC1727">
            <v>198</v>
          </cell>
          <cell r="AD1727">
            <v>-52</v>
          </cell>
          <cell r="AE1727">
            <v>326</v>
          </cell>
          <cell r="AF1727">
            <v>376</v>
          </cell>
          <cell r="AG1727">
            <v>-50</v>
          </cell>
        </row>
        <row r="1728">
          <cell r="C1728">
            <v>336616</v>
          </cell>
          <cell r="D1728" t="str">
            <v>UDAY FUEL SERVICES</v>
          </cell>
          <cell r="E1728" t="str">
            <v>IOCL</v>
          </cell>
          <cell r="F1728" t="str">
            <v>2020-21</v>
          </cell>
          <cell r="G1728" t="str">
            <v>Pune Tathawade RSA</v>
          </cell>
          <cell r="H1728">
            <v>44246</v>
          </cell>
          <cell r="I1728" t="str">
            <v>OPEN</v>
          </cell>
          <cell r="J1728" t="str">
            <v>DEHU ROAD TO BALEWADI</v>
          </cell>
          <cell r="K1728" t="str">
            <v>Pune</v>
          </cell>
          <cell r="L1728" t="str">
            <v>A</v>
          </cell>
          <cell r="M1728" t="str">
            <v>NH-48</v>
          </cell>
          <cell r="O1728" t="str">
            <v>A</v>
          </cell>
          <cell r="P1728">
            <v>190</v>
          </cell>
          <cell r="Q1728">
            <v>510</v>
          </cell>
          <cell r="R1728">
            <v>195</v>
          </cell>
          <cell r="S1728">
            <v>405</v>
          </cell>
          <cell r="T1728">
            <v>-5</v>
          </cell>
          <cell r="U1728">
            <v>105</v>
          </cell>
          <cell r="V1728">
            <v>328</v>
          </cell>
          <cell r="W1728">
            <v>884</v>
          </cell>
          <cell r="X1728">
            <v>375</v>
          </cell>
          <cell r="Y1728">
            <v>785</v>
          </cell>
          <cell r="Z1728">
            <v>-47</v>
          </cell>
          <cell r="AA1728">
            <v>99</v>
          </cell>
          <cell r="AB1728">
            <v>700</v>
          </cell>
          <cell r="AC1728">
            <v>600</v>
          </cell>
          <cell r="AD1728">
            <v>100</v>
          </cell>
          <cell r="AE1728">
            <v>1212</v>
          </cell>
          <cell r="AF1728">
            <v>1160</v>
          </cell>
          <cell r="AG1728">
            <v>52</v>
          </cell>
        </row>
        <row r="1729">
          <cell r="C1729">
            <v>336622</v>
          </cell>
          <cell r="D1729" t="str">
            <v>SHIVANSH PETROLEUM</v>
          </cell>
          <cell r="E1729" t="str">
            <v>IOCL</v>
          </cell>
          <cell r="F1729" t="str">
            <v>2020-21</v>
          </cell>
          <cell r="G1729" t="str">
            <v>Pune Hadapsar RSA</v>
          </cell>
          <cell r="H1729">
            <v>44226</v>
          </cell>
          <cell r="I1729" t="str">
            <v>SC</v>
          </cell>
          <cell r="J1729" t="str">
            <v>Virobawadi</v>
          </cell>
          <cell r="K1729" t="str">
            <v>Pune</v>
          </cell>
          <cell r="L1729" t="str">
            <v>D2</v>
          </cell>
          <cell r="O1729" t="str">
            <v>A</v>
          </cell>
          <cell r="P1729">
            <v>6</v>
          </cell>
          <cell r="Q1729">
            <v>18</v>
          </cell>
          <cell r="R1729">
            <v>21</v>
          </cell>
          <cell r="S1729">
            <v>51</v>
          </cell>
          <cell r="T1729">
            <v>-15</v>
          </cell>
          <cell r="U1729">
            <v>-33</v>
          </cell>
          <cell r="V1729">
            <v>9</v>
          </cell>
          <cell r="W1729">
            <v>27</v>
          </cell>
          <cell r="X1729">
            <v>39</v>
          </cell>
          <cell r="Y1729">
            <v>93</v>
          </cell>
          <cell r="Z1729">
            <v>-30</v>
          </cell>
          <cell r="AA1729">
            <v>-66</v>
          </cell>
          <cell r="AB1729">
            <v>24</v>
          </cell>
          <cell r="AC1729">
            <v>72</v>
          </cell>
          <cell r="AD1729">
            <v>-48</v>
          </cell>
          <cell r="AE1729">
            <v>36</v>
          </cell>
          <cell r="AF1729">
            <v>132</v>
          </cell>
          <cell r="AG1729">
            <v>-96</v>
          </cell>
        </row>
        <row r="1730">
          <cell r="C1730">
            <v>336754</v>
          </cell>
          <cell r="D1730" t="str">
            <v>VARAD PETROLEUM</v>
          </cell>
          <cell r="E1730" t="str">
            <v>IOCL</v>
          </cell>
          <cell r="F1730" t="str">
            <v>2020-21</v>
          </cell>
          <cell r="G1730" t="str">
            <v>Satara West RSA</v>
          </cell>
          <cell r="H1730">
            <v>44226</v>
          </cell>
          <cell r="I1730" t="str">
            <v>OPEN</v>
          </cell>
          <cell r="J1730" t="str">
            <v>KASHIL TO SHENDRE</v>
          </cell>
          <cell r="K1730" t="str">
            <v>Satara</v>
          </cell>
          <cell r="L1730" t="str">
            <v>D1</v>
          </cell>
          <cell r="M1730" t="str">
            <v>NH-48</v>
          </cell>
          <cell r="O1730" t="str">
            <v>B</v>
          </cell>
          <cell r="P1730">
            <v>90</v>
          </cell>
          <cell r="Q1730">
            <v>146</v>
          </cell>
          <cell r="R1730">
            <v>55</v>
          </cell>
          <cell r="S1730">
            <v>117</v>
          </cell>
          <cell r="T1730">
            <v>35</v>
          </cell>
          <cell r="U1730">
            <v>29</v>
          </cell>
          <cell r="V1730">
            <v>158</v>
          </cell>
          <cell r="W1730">
            <v>320</v>
          </cell>
          <cell r="X1730">
            <v>98.5</v>
          </cell>
          <cell r="Y1730">
            <v>215.5</v>
          </cell>
          <cell r="Z1730">
            <v>59.5</v>
          </cell>
          <cell r="AA1730">
            <v>104.5</v>
          </cell>
          <cell r="AB1730">
            <v>236</v>
          </cell>
          <cell r="AC1730">
            <v>172</v>
          </cell>
          <cell r="AD1730">
            <v>64</v>
          </cell>
          <cell r="AE1730">
            <v>478</v>
          </cell>
          <cell r="AF1730">
            <v>314</v>
          </cell>
          <cell r="AG1730">
            <v>164</v>
          </cell>
        </row>
        <row r="1731">
          <cell r="C1731">
            <v>336875</v>
          </cell>
          <cell r="D1731" t="str">
            <v>SHIV SRUSHTHI PETROLEUM</v>
          </cell>
          <cell r="E1731" t="str">
            <v>IOCL</v>
          </cell>
          <cell r="F1731" t="str">
            <v>2020-21</v>
          </cell>
          <cell r="G1731" t="str">
            <v>Pune Wagholi RSA</v>
          </cell>
          <cell r="H1731">
            <v>44244</v>
          </cell>
          <cell r="I1731" t="str">
            <v>OPEN</v>
          </cell>
          <cell r="J1731" t="str">
            <v>SOMATHWADI</v>
          </cell>
          <cell r="K1731" t="str">
            <v>Pune</v>
          </cell>
          <cell r="L1731" t="str">
            <v>E</v>
          </cell>
          <cell r="O1731" t="str">
            <v>B</v>
          </cell>
          <cell r="P1731">
            <v>74</v>
          </cell>
          <cell r="Q1731">
            <v>122</v>
          </cell>
          <cell r="R1731">
            <v>105</v>
          </cell>
          <cell r="S1731">
            <v>146</v>
          </cell>
          <cell r="T1731">
            <v>-31</v>
          </cell>
          <cell r="U1731">
            <v>-24</v>
          </cell>
          <cell r="V1731">
            <v>161</v>
          </cell>
          <cell r="W1731">
            <v>239</v>
          </cell>
          <cell r="X1731">
            <v>201</v>
          </cell>
          <cell r="Y1731">
            <v>276</v>
          </cell>
          <cell r="Z1731">
            <v>-40</v>
          </cell>
          <cell r="AA1731">
            <v>-37</v>
          </cell>
          <cell r="AB1731">
            <v>196</v>
          </cell>
          <cell r="AC1731">
            <v>251</v>
          </cell>
          <cell r="AD1731">
            <v>-55</v>
          </cell>
          <cell r="AE1731">
            <v>400</v>
          </cell>
          <cell r="AF1731">
            <v>477</v>
          </cell>
          <cell r="AG1731">
            <v>-77</v>
          </cell>
        </row>
        <row r="1732">
          <cell r="C1732">
            <v>337104</v>
          </cell>
          <cell r="D1732" t="str">
            <v>BHAGAT PETROLEUM</v>
          </cell>
          <cell r="E1732" t="str">
            <v>IOCL</v>
          </cell>
          <cell r="F1732" t="str">
            <v>2020-21</v>
          </cell>
          <cell r="G1732" t="str">
            <v>Pune Saswad RSA</v>
          </cell>
          <cell r="H1732">
            <v>44252</v>
          </cell>
          <cell r="I1732" t="str">
            <v>OBC</v>
          </cell>
          <cell r="J1732" t="str">
            <v>Saswad-Jejuri Road</v>
          </cell>
          <cell r="K1732" t="str">
            <v>Pune</v>
          </cell>
          <cell r="L1732" t="str">
            <v>D1</v>
          </cell>
          <cell r="M1732" t="str">
            <v>NH-965</v>
          </cell>
          <cell r="O1732" t="str">
            <v>B</v>
          </cell>
          <cell r="P1732">
            <v>45</v>
          </cell>
          <cell r="Q1732">
            <v>221</v>
          </cell>
          <cell r="R1732">
            <v>46</v>
          </cell>
          <cell r="S1732">
            <v>106</v>
          </cell>
          <cell r="T1732">
            <v>-1</v>
          </cell>
          <cell r="U1732">
            <v>115</v>
          </cell>
          <cell r="V1732">
            <v>85</v>
          </cell>
          <cell r="W1732">
            <v>377</v>
          </cell>
          <cell r="X1732">
            <v>84.5</v>
          </cell>
          <cell r="Y1732">
            <v>201.5</v>
          </cell>
          <cell r="Z1732">
            <v>0.5</v>
          </cell>
          <cell r="AA1732">
            <v>175.5</v>
          </cell>
          <cell r="AB1732">
            <v>266</v>
          </cell>
          <cell r="AC1732">
            <v>152</v>
          </cell>
          <cell r="AD1732">
            <v>114</v>
          </cell>
          <cell r="AE1732">
            <v>462</v>
          </cell>
          <cell r="AF1732">
            <v>286</v>
          </cell>
          <cell r="AG1732">
            <v>176</v>
          </cell>
        </row>
        <row r="1733">
          <cell r="C1733">
            <v>337539</v>
          </cell>
          <cell r="D1733" t="str">
            <v>SANGAMNER SHETKI SAHAKARI SANGH LTD</v>
          </cell>
          <cell r="E1733" t="str">
            <v>IOCL</v>
          </cell>
          <cell r="F1733" t="str">
            <v>2020-21</v>
          </cell>
          <cell r="G1733" t="str">
            <v>Shirdi RSA</v>
          </cell>
          <cell r="H1733">
            <v>44254</v>
          </cell>
          <cell r="I1733" t="str">
            <v>OPEN</v>
          </cell>
          <cell r="J1733" t="str">
            <v>SANGAMNER KHURD</v>
          </cell>
          <cell r="K1733" t="str">
            <v>Ahmednagar</v>
          </cell>
          <cell r="L1733" t="str">
            <v>E</v>
          </cell>
          <cell r="O1733" t="str">
            <v>B</v>
          </cell>
          <cell r="P1733">
            <v>22</v>
          </cell>
          <cell r="Q1733">
            <v>22</v>
          </cell>
          <cell r="R1733">
            <v>72</v>
          </cell>
          <cell r="S1733">
            <v>56</v>
          </cell>
          <cell r="T1733">
            <v>-50</v>
          </cell>
          <cell r="U1733">
            <v>-34</v>
          </cell>
          <cell r="V1733">
            <v>57</v>
          </cell>
          <cell r="W1733">
            <v>57</v>
          </cell>
          <cell r="X1733">
            <v>120</v>
          </cell>
          <cell r="Y1733">
            <v>104</v>
          </cell>
          <cell r="Z1733">
            <v>-63</v>
          </cell>
          <cell r="AA1733">
            <v>-47</v>
          </cell>
          <cell r="AB1733">
            <v>44</v>
          </cell>
          <cell r="AC1733">
            <v>128</v>
          </cell>
          <cell r="AD1733">
            <v>-84</v>
          </cell>
          <cell r="AE1733">
            <v>114</v>
          </cell>
          <cell r="AF1733">
            <v>224</v>
          </cell>
          <cell r="AG1733">
            <v>-110</v>
          </cell>
        </row>
        <row r="1734">
          <cell r="C1734">
            <v>337607</v>
          </cell>
          <cell r="D1734" t="str">
            <v>MATOSHRI PETROLEUM</v>
          </cell>
          <cell r="E1734" t="str">
            <v>IOCL</v>
          </cell>
          <cell r="F1734" t="str">
            <v>2020-21</v>
          </cell>
          <cell r="G1734" t="str">
            <v>Ahmednagar East RSA</v>
          </cell>
          <cell r="H1734">
            <v>44253</v>
          </cell>
          <cell r="I1734" t="str">
            <v>OBC</v>
          </cell>
          <cell r="J1734" t="str">
            <v>Akolner</v>
          </cell>
          <cell r="K1734" t="str">
            <v>Ahmednagar</v>
          </cell>
          <cell r="L1734" t="str">
            <v>E</v>
          </cell>
          <cell r="O1734" t="str">
            <v>B</v>
          </cell>
          <cell r="P1734">
            <v>17</v>
          </cell>
          <cell r="Q1734">
            <v>59</v>
          </cell>
          <cell r="R1734">
            <v>19</v>
          </cell>
          <cell r="S1734">
            <v>41</v>
          </cell>
          <cell r="T1734">
            <v>-2</v>
          </cell>
          <cell r="U1734">
            <v>18</v>
          </cell>
          <cell r="V1734">
            <v>29</v>
          </cell>
          <cell r="W1734">
            <v>107</v>
          </cell>
          <cell r="X1734">
            <v>31</v>
          </cell>
          <cell r="Y1734">
            <v>89</v>
          </cell>
          <cell r="Z1734">
            <v>-2</v>
          </cell>
          <cell r="AA1734">
            <v>18</v>
          </cell>
          <cell r="AB1734">
            <v>76</v>
          </cell>
          <cell r="AC1734">
            <v>60</v>
          </cell>
          <cell r="AD1734">
            <v>16</v>
          </cell>
          <cell r="AE1734">
            <v>136</v>
          </cell>
          <cell r="AF1734">
            <v>120</v>
          </cell>
          <cell r="AG1734">
            <v>16</v>
          </cell>
        </row>
        <row r="1735">
          <cell r="C1735">
            <v>337709</v>
          </cell>
          <cell r="D1735" t="str">
            <v>DADASAHEB GANESH DALAVI PETROLEUM</v>
          </cell>
          <cell r="E1735" t="str">
            <v>IOCL</v>
          </cell>
          <cell r="F1735" t="str">
            <v>2020-21</v>
          </cell>
          <cell r="G1735" t="str">
            <v>Satara East RSA</v>
          </cell>
          <cell r="H1735">
            <v>44255</v>
          </cell>
          <cell r="I1735" t="str">
            <v>OBC</v>
          </cell>
          <cell r="J1735" t="str">
            <v>Phalton Dahiwadi road</v>
          </cell>
          <cell r="K1735" t="str">
            <v>Satara</v>
          </cell>
          <cell r="L1735" t="str">
            <v>D1</v>
          </cell>
          <cell r="M1735" t="str">
            <v>NH-160</v>
          </cell>
          <cell r="O1735" t="str">
            <v>B</v>
          </cell>
          <cell r="P1735">
            <v>21</v>
          </cell>
          <cell r="Q1735">
            <v>223</v>
          </cell>
          <cell r="R1735">
            <v>23</v>
          </cell>
          <cell r="S1735">
            <v>57</v>
          </cell>
          <cell r="T1735">
            <v>-2</v>
          </cell>
          <cell r="U1735">
            <v>166</v>
          </cell>
          <cell r="V1735">
            <v>56</v>
          </cell>
          <cell r="W1735">
            <v>440</v>
          </cell>
          <cell r="X1735">
            <v>51</v>
          </cell>
          <cell r="Y1735">
            <v>125</v>
          </cell>
          <cell r="Z1735">
            <v>5</v>
          </cell>
          <cell r="AA1735">
            <v>315</v>
          </cell>
          <cell r="AB1735">
            <v>244</v>
          </cell>
          <cell r="AC1735">
            <v>80</v>
          </cell>
          <cell r="AD1735">
            <v>164</v>
          </cell>
          <cell r="AE1735">
            <v>496</v>
          </cell>
          <cell r="AF1735">
            <v>176</v>
          </cell>
          <cell r="AG1735">
            <v>320</v>
          </cell>
        </row>
        <row r="1736">
          <cell r="C1736">
            <v>337776</v>
          </cell>
          <cell r="D1736" t="str">
            <v>SHIV PETROLEUM KSK</v>
          </cell>
          <cell r="E1736" t="str">
            <v>IOCL</v>
          </cell>
          <cell r="F1736" t="str">
            <v>2020-21</v>
          </cell>
          <cell r="G1736" t="str">
            <v>Satara East RSA</v>
          </cell>
          <cell r="H1736">
            <v>44255</v>
          </cell>
          <cell r="I1736" t="str">
            <v>OBC</v>
          </cell>
          <cell r="J1736" t="str">
            <v>Pawarwadi</v>
          </cell>
          <cell r="K1736" t="str">
            <v>Satara</v>
          </cell>
          <cell r="L1736" t="str">
            <v>E</v>
          </cell>
          <cell r="O1736" t="str">
            <v>B</v>
          </cell>
          <cell r="P1736">
            <v>36</v>
          </cell>
          <cell r="Q1736">
            <v>40</v>
          </cell>
          <cell r="R1736">
            <v>33</v>
          </cell>
          <cell r="S1736">
            <v>39</v>
          </cell>
          <cell r="T1736">
            <v>3</v>
          </cell>
          <cell r="U1736">
            <v>1</v>
          </cell>
          <cell r="V1736">
            <v>66</v>
          </cell>
          <cell r="W1736">
            <v>72</v>
          </cell>
          <cell r="X1736">
            <v>69</v>
          </cell>
          <cell r="Y1736">
            <v>75</v>
          </cell>
          <cell r="Z1736">
            <v>-3</v>
          </cell>
          <cell r="AA1736">
            <v>-3</v>
          </cell>
          <cell r="AB1736">
            <v>76</v>
          </cell>
          <cell r="AC1736">
            <v>72</v>
          </cell>
          <cell r="AD1736">
            <v>4</v>
          </cell>
          <cell r="AE1736">
            <v>138</v>
          </cell>
          <cell r="AF1736">
            <v>144</v>
          </cell>
          <cell r="AG1736">
            <v>-6</v>
          </cell>
        </row>
        <row r="1737">
          <cell r="C1737">
            <v>338424</v>
          </cell>
          <cell r="D1737" t="str">
            <v>YASHODAMATA PETROLEUM</v>
          </cell>
          <cell r="E1737" t="str">
            <v>IOCL</v>
          </cell>
          <cell r="F1737" t="str">
            <v>2020-21</v>
          </cell>
          <cell r="G1737" t="str">
            <v>Pune Hadapsar RSA</v>
          </cell>
          <cell r="H1737">
            <v>44275</v>
          </cell>
          <cell r="I1737" t="str">
            <v>OPEN</v>
          </cell>
          <cell r="J1737" t="str">
            <v>P5_Pargaon</v>
          </cell>
          <cell r="K1737" t="str">
            <v>Pune</v>
          </cell>
          <cell r="L1737" t="str">
            <v>D2</v>
          </cell>
          <cell r="O1737" t="str">
            <v>B</v>
          </cell>
          <cell r="P1737">
            <v>25.5</v>
          </cell>
          <cell r="Q1737">
            <v>52.5</v>
          </cell>
          <cell r="R1737">
            <v>38</v>
          </cell>
          <cell r="S1737">
            <v>70</v>
          </cell>
          <cell r="T1737">
            <v>-12.5</v>
          </cell>
          <cell r="U1737">
            <v>-17.5</v>
          </cell>
          <cell r="V1737">
            <v>49.5</v>
          </cell>
          <cell r="W1737">
            <v>100.5</v>
          </cell>
          <cell r="X1737">
            <v>59</v>
          </cell>
          <cell r="Y1737">
            <v>121</v>
          </cell>
          <cell r="Z1737">
            <v>-9.5</v>
          </cell>
          <cell r="AA1737">
            <v>-20.5</v>
          </cell>
          <cell r="AB1737">
            <v>78</v>
          </cell>
          <cell r="AC1737">
            <v>108</v>
          </cell>
          <cell r="AD1737">
            <v>-30</v>
          </cell>
          <cell r="AE1737">
            <v>150</v>
          </cell>
          <cell r="AF1737">
            <v>180</v>
          </cell>
          <cell r="AG1737">
            <v>-30</v>
          </cell>
        </row>
        <row r="1738">
          <cell r="C1738">
            <v>338696</v>
          </cell>
          <cell r="D1738" t="str">
            <v>SHREE JAGDAMBA PETROLEUM</v>
          </cell>
          <cell r="E1738" t="str">
            <v>IOCL</v>
          </cell>
          <cell r="F1738" t="str">
            <v>2020-21</v>
          </cell>
          <cell r="G1738" t="str">
            <v>Pune Tathawade RSA</v>
          </cell>
          <cell r="H1738">
            <v>44282</v>
          </cell>
          <cell r="I1738" t="str">
            <v>OPEN</v>
          </cell>
          <cell r="J1738" t="str">
            <v>Vadgaon Nimbalkar to Pandare</v>
          </cell>
          <cell r="K1738" t="str">
            <v>Pune</v>
          </cell>
          <cell r="L1738" t="str">
            <v>D2</v>
          </cell>
          <cell r="O1738" t="str">
            <v>B</v>
          </cell>
          <cell r="P1738">
            <v>70</v>
          </cell>
          <cell r="Q1738">
            <v>112</v>
          </cell>
          <cell r="R1738">
            <v>60</v>
          </cell>
          <cell r="S1738">
            <v>88</v>
          </cell>
          <cell r="T1738">
            <v>10</v>
          </cell>
          <cell r="U1738">
            <v>24</v>
          </cell>
          <cell r="V1738">
            <v>143.5</v>
          </cell>
          <cell r="W1738">
            <v>234.5</v>
          </cell>
          <cell r="X1738">
            <v>128.5</v>
          </cell>
          <cell r="Y1738">
            <v>181.5</v>
          </cell>
          <cell r="Z1738">
            <v>15</v>
          </cell>
          <cell r="AA1738">
            <v>53</v>
          </cell>
          <cell r="AB1738">
            <v>182</v>
          </cell>
          <cell r="AC1738">
            <v>148</v>
          </cell>
          <cell r="AD1738">
            <v>34</v>
          </cell>
          <cell r="AE1738">
            <v>378</v>
          </cell>
          <cell r="AF1738">
            <v>310</v>
          </cell>
          <cell r="AG1738">
            <v>68</v>
          </cell>
        </row>
        <row r="1739">
          <cell r="C1739">
            <v>338727</v>
          </cell>
          <cell r="D1739" t="str">
            <v>DATTA PETROLEUM</v>
          </cell>
          <cell r="E1739" t="str">
            <v>IOCL</v>
          </cell>
          <cell r="F1739" t="str">
            <v>2020-21</v>
          </cell>
          <cell r="G1739" t="str">
            <v>Pune Saswad RSA</v>
          </cell>
          <cell r="H1739">
            <v>44286</v>
          </cell>
          <cell r="I1739" t="str">
            <v>SC</v>
          </cell>
          <cell r="J1739" t="str">
            <v>KALAS INDAPUR</v>
          </cell>
          <cell r="K1739" t="str">
            <v>Pune</v>
          </cell>
          <cell r="L1739" t="str">
            <v>D2</v>
          </cell>
          <cell r="O1739" t="str">
            <v>A</v>
          </cell>
          <cell r="P1739">
            <v>42</v>
          </cell>
          <cell r="Q1739">
            <v>90</v>
          </cell>
          <cell r="R1739">
            <v>30.5</v>
          </cell>
          <cell r="S1739">
            <v>73.5</v>
          </cell>
          <cell r="T1739">
            <v>11.5</v>
          </cell>
          <cell r="U1739">
            <v>16.5</v>
          </cell>
          <cell r="V1739">
            <v>76</v>
          </cell>
          <cell r="W1739">
            <v>162</v>
          </cell>
          <cell r="X1739">
            <v>64.5</v>
          </cell>
          <cell r="Y1739">
            <v>145.5</v>
          </cell>
          <cell r="Z1739">
            <v>11.5</v>
          </cell>
          <cell r="AA1739">
            <v>16.5</v>
          </cell>
          <cell r="AB1739">
            <v>132</v>
          </cell>
          <cell r="AC1739">
            <v>104</v>
          </cell>
          <cell r="AD1739">
            <v>28</v>
          </cell>
          <cell r="AE1739">
            <v>238</v>
          </cell>
          <cell r="AF1739">
            <v>210</v>
          </cell>
          <cell r="AG1739">
            <v>28</v>
          </cell>
        </row>
        <row r="1740">
          <cell r="C1740">
            <v>338750</v>
          </cell>
          <cell r="D1740" t="str">
            <v>VIMAL FUEL STATION</v>
          </cell>
          <cell r="E1740" t="str">
            <v>IOCL</v>
          </cell>
          <cell r="F1740" t="str">
            <v>2020-21</v>
          </cell>
          <cell r="G1740" t="str">
            <v>Shirdi RSA</v>
          </cell>
          <cell r="H1740">
            <v>44286</v>
          </cell>
          <cell r="I1740" t="str">
            <v>OPEN</v>
          </cell>
          <cell r="J1740" t="str">
            <v>KOTUL</v>
          </cell>
          <cell r="K1740" t="str">
            <v>Ahmednagar</v>
          </cell>
          <cell r="L1740" t="str">
            <v>D2</v>
          </cell>
          <cell r="O1740" t="str">
            <v>B</v>
          </cell>
          <cell r="P1740">
            <v>35</v>
          </cell>
          <cell r="Q1740">
            <v>109</v>
          </cell>
          <cell r="R1740">
            <v>24</v>
          </cell>
          <cell r="S1740">
            <v>48</v>
          </cell>
          <cell r="T1740">
            <v>11</v>
          </cell>
          <cell r="U1740">
            <v>61</v>
          </cell>
          <cell r="V1740">
            <v>76</v>
          </cell>
          <cell r="W1740">
            <v>192</v>
          </cell>
          <cell r="X1740">
            <v>36</v>
          </cell>
          <cell r="Y1740">
            <v>84</v>
          </cell>
          <cell r="Z1740">
            <v>40</v>
          </cell>
          <cell r="AA1740">
            <v>108</v>
          </cell>
          <cell r="AB1740">
            <v>144</v>
          </cell>
          <cell r="AC1740">
            <v>72</v>
          </cell>
          <cell r="AD1740">
            <v>72</v>
          </cell>
          <cell r="AE1740">
            <v>268</v>
          </cell>
          <cell r="AF1740">
            <v>120</v>
          </cell>
          <cell r="AG1740">
            <v>148</v>
          </cell>
        </row>
        <row r="1741">
          <cell r="C1741">
            <v>338875</v>
          </cell>
          <cell r="D1741" t="str">
            <v>ASHOK PETROLEUM</v>
          </cell>
          <cell r="E1741" t="str">
            <v>IOCL</v>
          </cell>
          <cell r="F1741" t="str">
            <v>2020-21</v>
          </cell>
          <cell r="G1741" t="str">
            <v>Pune Wagholi RSA</v>
          </cell>
          <cell r="H1741">
            <v>44285</v>
          </cell>
          <cell r="I1741" t="str">
            <v>OBC</v>
          </cell>
          <cell r="J1741" t="str">
            <v>Shikrapur to Inamgaon</v>
          </cell>
          <cell r="K1741" t="str">
            <v>Pune</v>
          </cell>
          <cell r="L1741" t="str">
            <v>D1</v>
          </cell>
          <cell r="M1741" t="str">
            <v>NH-548D</v>
          </cell>
          <cell r="O1741" t="str">
            <v>B</v>
          </cell>
          <cell r="P1741">
            <v>72</v>
          </cell>
          <cell r="Q1741">
            <v>110</v>
          </cell>
          <cell r="R1741">
            <v>89.5</v>
          </cell>
          <cell r="S1741">
            <v>128.5</v>
          </cell>
          <cell r="T1741">
            <v>-17.5</v>
          </cell>
          <cell r="U1741">
            <v>-18.5</v>
          </cell>
          <cell r="V1741">
            <v>136</v>
          </cell>
          <cell r="W1741">
            <v>200</v>
          </cell>
          <cell r="X1741">
            <v>172.5</v>
          </cell>
          <cell r="Y1741">
            <v>241.5</v>
          </cell>
          <cell r="Z1741">
            <v>-36.5</v>
          </cell>
          <cell r="AA1741">
            <v>-41.5</v>
          </cell>
          <cell r="AB1741">
            <v>182</v>
          </cell>
          <cell r="AC1741">
            <v>218</v>
          </cell>
          <cell r="AD1741">
            <v>-36</v>
          </cell>
          <cell r="AE1741">
            <v>336</v>
          </cell>
          <cell r="AF1741">
            <v>414</v>
          </cell>
          <cell r="AG1741">
            <v>-78</v>
          </cell>
        </row>
        <row r="1742">
          <cell r="C1742">
            <v>338877</v>
          </cell>
          <cell r="D1742" t="str">
            <v>SHIVAM PETROLEUM</v>
          </cell>
          <cell r="E1742" t="str">
            <v>IOCL</v>
          </cell>
          <cell r="F1742" t="str">
            <v>2021-22</v>
          </cell>
          <cell r="G1742" t="str">
            <v>Pune Tathawade RSA</v>
          </cell>
          <cell r="H1742">
            <v>44347</v>
          </cell>
          <cell r="I1742" t="str">
            <v>OPEN</v>
          </cell>
          <cell r="J1742" t="str">
            <v>Gunawadi</v>
          </cell>
          <cell r="K1742" t="str">
            <v>Pune</v>
          </cell>
          <cell r="L1742" t="str">
            <v>D2</v>
          </cell>
          <cell r="O1742" t="str">
            <v>B</v>
          </cell>
          <cell r="P1742">
            <v>20.5</v>
          </cell>
          <cell r="Q1742">
            <v>31.5</v>
          </cell>
          <cell r="R1742">
            <v>18</v>
          </cell>
          <cell r="S1742">
            <v>18</v>
          </cell>
          <cell r="T1742">
            <v>2.5</v>
          </cell>
          <cell r="U1742">
            <v>13.5</v>
          </cell>
          <cell r="V1742">
            <v>45.5</v>
          </cell>
          <cell r="W1742">
            <v>68.5</v>
          </cell>
          <cell r="X1742">
            <v>30</v>
          </cell>
          <cell r="Y1742">
            <v>30</v>
          </cell>
          <cell r="Z1742">
            <v>15.5</v>
          </cell>
          <cell r="AA1742">
            <v>38.5</v>
          </cell>
          <cell r="AB1742">
            <v>52</v>
          </cell>
          <cell r="AC1742">
            <v>36</v>
          </cell>
          <cell r="AD1742">
            <v>16</v>
          </cell>
          <cell r="AE1742">
            <v>114</v>
          </cell>
          <cell r="AF1742">
            <v>60</v>
          </cell>
          <cell r="AG1742">
            <v>54</v>
          </cell>
        </row>
        <row r="1743">
          <cell r="C1743">
            <v>338885</v>
          </cell>
          <cell r="D1743" t="str">
            <v>TISGAON FUEL PLAZA</v>
          </cell>
          <cell r="E1743" t="str">
            <v>IOCL</v>
          </cell>
          <cell r="F1743" t="str">
            <v>2020-21</v>
          </cell>
          <cell r="G1743" t="str">
            <v>Ahmednagar West RSA</v>
          </cell>
          <cell r="H1743">
            <v>44285</v>
          </cell>
          <cell r="I1743" t="str">
            <v>OPEN</v>
          </cell>
          <cell r="J1743" t="str">
            <v>Tisgaon</v>
          </cell>
          <cell r="K1743" t="str">
            <v>Ahmednagar</v>
          </cell>
          <cell r="L1743" t="str">
            <v>D1</v>
          </cell>
          <cell r="M1743" t="str">
            <v>NH-61</v>
          </cell>
          <cell r="O1743" t="str">
            <v>A</v>
          </cell>
          <cell r="P1743">
            <v>114</v>
          </cell>
          <cell r="Q1743">
            <v>223</v>
          </cell>
          <cell r="R1743">
            <v>79</v>
          </cell>
          <cell r="S1743">
            <v>112</v>
          </cell>
          <cell r="T1743">
            <v>35</v>
          </cell>
          <cell r="U1743">
            <v>111</v>
          </cell>
          <cell r="V1743">
            <v>224.5</v>
          </cell>
          <cell r="W1743">
            <v>368.5</v>
          </cell>
          <cell r="X1743">
            <v>159</v>
          </cell>
          <cell r="Y1743">
            <v>226</v>
          </cell>
          <cell r="Z1743">
            <v>65.5</v>
          </cell>
          <cell r="AA1743">
            <v>142.5</v>
          </cell>
          <cell r="AB1743">
            <v>337</v>
          </cell>
          <cell r="AC1743">
            <v>191</v>
          </cell>
          <cell r="AD1743">
            <v>146</v>
          </cell>
          <cell r="AE1743">
            <v>593</v>
          </cell>
          <cell r="AF1743">
            <v>385</v>
          </cell>
          <cell r="AG1743">
            <v>208</v>
          </cell>
        </row>
        <row r="1744">
          <cell r="C1744">
            <v>338994</v>
          </cell>
          <cell r="D1744" t="str">
            <v>MADHU MANJU FUEL POINT</v>
          </cell>
          <cell r="E1744" t="str">
            <v>IOCL</v>
          </cell>
          <cell r="F1744" t="str">
            <v>2020-21</v>
          </cell>
          <cell r="G1744" t="str">
            <v>Pune Hadapsar RSA</v>
          </cell>
          <cell r="H1744">
            <v>44286</v>
          </cell>
          <cell r="I1744" t="str">
            <v>SC</v>
          </cell>
          <cell r="J1744" t="str">
            <v>Varvand RHS</v>
          </cell>
          <cell r="K1744" t="str">
            <v>Pune</v>
          </cell>
          <cell r="L1744" t="str">
            <v>D1</v>
          </cell>
          <cell r="M1744" t="str">
            <v>NH-65</v>
          </cell>
          <cell r="O1744" t="str">
            <v>A</v>
          </cell>
          <cell r="P1744">
            <v>16.5</v>
          </cell>
          <cell r="Q1744">
            <v>99.5</v>
          </cell>
          <cell r="R1744">
            <v>27</v>
          </cell>
          <cell r="S1744">
            <v>69</v>
          </cell>
          <cell r="T1744">
            <v>-10.5</v>
          </cell>
          <cell r="U1744">
            <v>30.5</v>
          </cell>
          <cell r="V1744">
            <v>29.5</v>
          </cell>
          <cell r="W1744">
            <v>186.5</v>
          </cell>
          <cell r="X1744">
            <v>37</v>
          </cell>
          <cell r="Y1744">
            <v>131</v>
          </cell>
          <cell r="Z1744">
            <v>-7.5</v>
          </cell>
          <cell r="AA1744">
            <v>55.5</v>
          </cell>
          <cell r="AB1744">
            <v>116</v>
          </cell>
          <cell r="AC1744">
            <v>96</v>
          </cell>
          <cell r="AD1744">
            <v>20</v>
          </cell>
          <cell r="AE1744">
            <v>216</v>
          </cell>
          <cell r="AF1744">
            <v>168</v>
          </cell>
          <cell r="AG1744">
            <v>48</v>
          </cell>
        </row>
        <row r="1745">
          <cell r="C1745">
            <v>338999</v>
          </cell>
          <cell r="D1745" t="str">
            <v>BHIMASHANKAR SERVICE STATION</v>
          </cell>
          <cell r="E1745" t="str">
            <v>IOCL</v>
          </cell>
          <cell r="F1745" t="str">
            <v>2020-21</v>
          </cell>
          <cell r="G1745" t="str">
            <v>Pune Wagholi RSA</v>
          </cell>
          <cell r="H1745">
            <v>44286</v>
          </cell>
          <cell r="I1745" t="str">
            <v>OPEN</v>
          </cell>
          <cell r="J1745" t="str">
            <v>Ghodegaon_Ambegaon</v>
          </cell>
          <cell r="K1745" t="str">
            <v>Pune</v>
          </cell>
          <cell r="L1745" t="str">
            <v>D2</v>
          </cell>
          <cell r="O1745" t="str">
            <v>B</v>
          </cell>
          <cell r="P1745">
            <v>56.5</v>
          </cell>
          <cell r="Q1745">
            <v>121.5</v>
          </cell>
          <cell r="R1745">
            <v>73.5</v>
          </cell>
          <cell r="S1745">
            <v>98.5</v>
          </cell>
          <cell r="T1745">
            <v>-17</v>
          </cell>
          <cell r="U1745">
            <v>23</v>
          </cell>
          <cell r="V1745">
            <v>102</v>
          </cell>
          <cell r="W1745">
            <v>238</v>
          </cell>
          <cell r="X1745">
            <v>136.5</v>
          </cell>
          <cell r="Y1745">
            <v>195.5</v>
          </cell>
          <cell r="Z1745">
            <v>-34.5</v>
          </cell>
          <cell r="AA1745">
            <v>42.5</v>
          </cell>
          <cell r="AB1745">
            <v>178</v>
          </cell>
          <cell r="AC1745">
            <v>172</v>
          </cell>
          <cell r="AD1745">
            <v>6</v>
          </cell>
          <cell r="AE1745">
            <v>340</v>
          </cell>
          <cell r="AF1745">
            <v>332</v>
          </cell>
          <cell r="AG1745">
            <v>8</v>
          </cell>
        </row>
        <row r="1746">
          <cell r="C1746">
            <v>339681</v>
          </cell>
          <cell r="D1746" t="str">
            <v>JAY MALHAR PETROLEUM</v>
          </cell>
          <cell r="E1746" t="str">
            <v>IOCL</v>
          </cell>
          <cell r="F1746" t="str">
            <v>2021-22</v>
          </cell>
          <cell r="G1746" t="str">
            <v>Satara West RSA</v>
          </cell>
          <cell r="H1746">
            <v>44314</v>
          </cell>
          <cell r="I1746" t="str">
            <v>OPEN</v>
          </cell>
          <cell r="J1746" t="str">
            <v>Variye</v>
          </cell>
          <cell r="K1746" t="str">
            <v>Satara</v>
          </cell>
          <cell r="L1746" t="str">
            <v>E</v>
          </cell>
          <cell r="O1746" t="str">
            <v>B</v>
          </cell>
          <cell r="P1746">
            <v>61</v>
          </cell>
          <cell r="Q1746">
            <v>73</v>
          </cell>
          <cell r="R1746">
            <v>49</v>
          </cell>
          <cell r="S1746">
            <v>61</v>
          </cell>
          <cell r="T1746">
            <v>12</v>
          </cell>
          <cell r="U1746">
            <v>12</v>
          </cell>
          <cell r="V1746">
            <v>116</v>
          </cell>
          <cell r="W1746">
            <v>140</v>
          </cell>
          <cell r="X1746">
            <v>97</v>
          </cell>
          <cell r="Y1746">
            <v>121</v>
          </cell>
          <cell r="Z1746">
            <v>19</v>
          </cell>
          <cell r="AA1746">
            <v>19</v>
          </cell>
          <cell r="AB1746">
            <v>134</v>
          </cell>
          <cell r="AC1746">
            <v>110</v>
          </cell>
          <cell r="AD1746">
            <v>24</v>
          </cell>
          <cell r="AE1746">
            <v>256</v>
          </cell>
          <cell r="AF1746">
            <v>218</v>
          </cell>
          <cell r="AG1746">
            <v>38</v>
          </cell>
        </row>
        <row r="1747">
          <cell r="C1747">
            <v>340180</v>
          </cell>
          <cell r="D1747" t="str">
            <v>P. D. PETROLEUM</v>
          </cell>
          <cell r="E1747" t="str">
            <v>IOCL</v>
          </cell>
          <cell r="F1747" t="str">
            <v>2021-22</v>
          </cell>
          <cell r="G1747" t="str">
            <v>Satara West RSA</v>
          </cell>
          <cell r="H1747">
            <v>44347</v>
          </cell>
          <cell r="I1747" t="str">
            <v>OPEN</v>
          </cell>
          <cell r="J1747" t="str">
            <v>Shamgaon</v>
          </cell>
          <cell r="K1747" t="str">
            <v>Satara</v>
          </cell>
          <cell r="L1747" t="str">
            <v>D2</v>
          </cell>
          <cell r="O1747" t="str">
            <v>B</v>
          </cell>
          <cell r="P1747">
            <v>35</v>
          </cell>
          <cell r="Q1747">
            <v>55</v>
          </cell>
          <cell r="R1747">
            <v>21</v>
          </cell>
          <cell r="S1747">
            <v>27</v>
          </cell>
          <cell r="T1747">
            <v>14</v>
          </cell>
          <cell r="U1747">
            <v>28</v>
          </cell>
          <cell r="V1747">
            <v>59</v>
          </cell>
          <cell r="W1747">
            <v>93</v>
          </cell>
          <cell r="X1747">
            <v>39</v>
          </cell>
          <cell r="Y1747">
            <v>57</v>
          </cell>
          <cell r="Z1747">
            <v>20</v>
          </cell>
          <cell r="AA1747">
            <v>36</v>
          </cell>
          <cell r="AB1747">
            <v>90</v>
          </cell>
          <cell r="AC1747">
            <v>48</v>
          </cell>
          <cell r="AD1747">
            <v>42</v>
          </cell>
          <cell r="AE1747">
            <v>152</v>
          </cell>
          <cell r="AF1747">
            <v>96</v>
          </cell>
          <cell r="AG1747">
            <v>56</v>
          </cell>
        </row>
        <row r="1748">
          <cell r="C1748">
            <v>340789</v>
          </cell>
          <cell r="D1748" t="str">
            <v>SHRI BHAIRAVNATH PETROLEUM</v>
          </cell>
          <cell r="E1748" t="str">
            <v>IOCL</v>
          </cell>
          <cell r="F1748" t="str">
            <v>2021-22</v>
          </cell>
          <cell r="G1748" t="str">
            <v>Satara West RSA</v>
          </cell>
          <cell r="H1748">
            <v>44377</v>
          </cell>
          <cell r="I1748" t="str">
            <v>OPEN</v>
          </cell>
          <cell r="J1748" t="str">
            <v>Asale - Wai Road</v>
          </cell>
          <cell r="K1748" t="str">
            <v>Satara</v>
          </cell>
          <cell r="L1748" t="str">
            <v>E</v>
          </cell>
          <cell r="O1748" t="str">
            <v>B</v>
          </cell>
          <cell r="P1748">
            <v>24</v>
          </cell>
          <cell r="Q1748">
            <v>24</v>
          </cell>
          <cell r="R1748">
            <v>22</v>
          </cell>
          <cell r="S1748">
            <v>28</v>
          </cell>
          <cell r="T1748">
            <v>2</v>
          </cell>
          <cell r="U1748">
            <v>-4</v>
          </cell>
          <cell r="V1748">
            <v>54</v>
          </cell>
          <cell r="W1748">
            <v>54</v>
          </cell>
          <cell r="X1748">
            <v>46</v>
          </cell>
          <cell r="Y1748">
            <v>52</v>
          </cell>
          <cell r="Z1748">
            <v>8</v>
          </cell>
          <cell r="AA1748">
            <v>2</v>
          </cell>
          <cell r="AB1748">
            <v>48</v>
          </cell>
          <cell r="AC1748">
            <v>50</v>
          </cell>
          <cell r="AD1748">
            <v>-2</v>
          </cell>
          <cell r="AE1748">
            <v>108</v>
          </cell>
          <cell r="AF1748">
            <v>98</v>
          </cell>
          <cell r="AG1748">
            <v>10</v>
          </cell>
        </row>
        <row r="1749">
          <cell r="C1749">
            <v>341453</v>
          </cell>
          <cell r="D1749" t="str">
            <v>RASKAR PETROLEUM</v>
          </cell>
          <cell r="E1749" t="str">
            <v>IOCL</v>
          </cell>
          <cell r="F1749" t="str">
            <v>2021-22</v>
          </cell>
          <cell r="G1749" t="str">
            <v>Pune Saswad RSA</v>
          </cell>
          <cell r="H1749">
            <v>44407</v>
          </cell>
          <cell r="I1749" t="str">
            <v>OBC</v>
          </cell>
          <cell r="J1749" t="str">
            <v>Jejuri -Belsar-Urulikanchan Road</v>
          </cell>
          <cell r="K1749" t="str">
            <v>Pune</v>
          </cell>
          <cell r="L1749" t="str">
            <v>D2</v>
          </cell>
          <cell r="O1749" t="str">
            <v>B</v>
          </cell>
          <cell r="P1749">
            <v>12</v>
          </cell>
          <cell r="Q1749">
            <v>36</v>
          </cell>
          <cell r="R1749">
            <v>15</v>
          </cell>
          <cell r="S1749">
            <v>45</v>
          </cell>
          <cell r="T1749">
            <v>-3</v>
          </cell>
          <cell r="U1749">
            <v>-9</v>
          </cell>
          <cell r="V1749">
            <v>30</v>
          </cell>
          <cell r="W1749">
            <v>90</v>
          </cell>
          <cell r="X1749">
            <v>30</v>
          </cell>
          <cell r="Y1749">
            <v>102</v>
          </cell>
          <cell r="Z1749">
            <v>0</v>
          </cell>
          <cell r="AA1749">
            <v>-12</v>
          </cell>
          <cell r="AB1749">
            <v>48</v>
          </cell>
          <cell r="AC1749">
            <v>60</v>
          </cell>
          <cell r="AD1749">
            <v>-12</v>
          </cell>
          <cell r="AE1749">
            <v>120</v>
          </cell>
          <cell r="AF1749">
            <v>132</v>
          </cell>
          <cell r="AG1749">
            <v>-12</v>
          </cell>
        </row>
        <row r="1750">
          <cell r="C1750">
            <v>341497</v>
          </cell>
          <cell r="D1750" t="str">
            <v>PATIL PETROLEUM</v>
          </cell>
          <cell r="E1750" t="str">
            <v>IOCL</v>
          </cell>
          <cell r="F1750" t="str">
            <v>2021-22</v>
          </cell>
          <cell r="G1750" t="str">
            <v>Pune Saswad RSA</v>
          </cell>
          <cell r="H1750">
            <v>44408</v>
          </cell>
          <cell r="I1750" t="str">
            <v>OPEN</v>
          </cell>
          <cell r="J1750" t="str">
            <v>TARANGWADI</v>
          </cell>
          <cell r="K1750" t="str">
            <v>Pune</v>
          </cell>
          <cell r="L1750" t="str">
            <v>D1</v>
          </cell>
          <cell r="M1750" t="str">
            <v>NH-965G</v>
          </cell>
          <cell r="O1750" t="str">
            <v>B</v>
          </cell>
          <cell r="P1750">
            <v>38.5</v>
          </cell>
          <cell r="Q1750">
            <v>101.5</v>
          </cell>
          <cell r="R1750">
            <v>33</v>
          </cell>
          <cell r="S1750">
            <v>63</v>
          </cell>
          <cell r="T1750">
            <v>5.5</v>
          </cell>
          <cell r="U1750">
            <v>38.5</v>
          </cell>
          <cell r="V1750">
            <v>73.5</v>
          </cell>
          <cell r="W1750">
            <v>206.5</v>
          </cell>
          <cell r="X1750">
            <v>62</v>
          </cell>
          <cell r="Y1750">
            <v>120</v>
          </cell>
          <cell r="Z1750">
            <v>11.5</v>
          </cell>
          <cell r="AA1750">
            <v>86.5</v>
          </cell>
          <cell r="AB1750">
            <v>140</v>
          </cell>
          <cell r="AC1750">
            <v>96</v>
          </cell>
          <cell r="AD1750">
            <v>44</v>
          </cell>
          <cell r="AE1750">
            <v>280</v>
          </cell>
          <cell r="AF1750">
            <v>182</v>
          </cell>
          <cell r="AG1750">
            <v>98</v>
          </cell>
        </row>
        <row r="1751">
          <cell r="C1751">
            <v>341505</v>
          </cell>
          <cell r="D1751" t="str">
            <v>SHRI PANDURANG PETROLEUM</v>
          </cell>
          <cell r="E1751" t="str">
            <v>IOCL</v>
          </cell>
          <cell r="F1751" t="str">
            <v>2021-22</v>
          </cell>
          <cell r="G1751" t="str">
            <v>Pune Saswad RSA</v>
          </cell>
          <cell r="H1751">
            <v>44408</v>
          </cell>
          <cell r="I1751" t="str">
            <v>OPEN</v>
          </cell>
          <cell r="J1751" t="str">
            <v>nimgaon ketki</v>
          </cell>
          <cell r="K1751" t="str">
            <v>Pune</v>
          </cell>
          <cell r="L1751" t="str">
            <v>E</v>
          </cell>
          <cell r="O1751" t="str">
            <v>B</v>
          </cell>
          <cell r="P1751">
            <v>110</v>
          </cell>
          <cell r="Q1751">
            <v>156</v>
          </cell>
          <cell r="R1751">
            <v>99.5</v>
          </cell>
          <cell r="S1751">
            <v>116.5</v>
          </cell>
          <cell r="T1751">
            <v>10.5</v>
          </cell>
          <cell r="U1751">
            <v>39.5</v>
          </cell>
          <cell r="V1751">
            <v>205</v>
          </cell>
          <cell r="W1751">
            <v>285</v>
          </cell>
          <cell r="X1751">
            <v>202.5</v>
          </cell>
          <cell r="Y1751">
            <v>225.5</v>
          </cell>
          <cell r="Z1751">
            <v>2.5</v>
          </cell>
          <cell r="AA1751">
            <v>59.5</v>
          </cell>
          <cell r="AB1751">
            <v>266</v>
          </cell>
          <cell r="AC1751">
            <v>216</v>
          </cell>
          <cell r="AD1751">
            <v>50</v>
          </cell>
          <cell r="AE1751">
            <v>490</v>
          </cell>
          <cell r="AF1751">
            <v>428</v>
          </cell>
          <cell r="AG1751">
            <v>62</v>
          </cell>
        </row>
        <row r="1752">
          <cell r="C1752">
            <v>341516</v>
          </cell>
          <cell r="D1752" t="str">
            <v>DWARKADHISH PETROLEUM</v>
          </cell>
          <cell r="E1752" t="str">
            <v>IOCL</v>
          </cell>
          <cell r="F1752" t="str">
            <v>2021-22</v>
          </cell>
          <cell r="G1752" t="str">
            <v>Shirdi RSA</v>
          </cell>
          <cell r="H1752">
            <v>44435</v>
          </cell>
          <cell r="I1752" t="str">
            <v>OPEN</v>
          </cell>
          <cell r="J1752" t="str">
            <v>PUNTAMBA</v>
          </cell>
          <cell r="K1752" t="str">
            <v>Ahmednagar</v>
          </cell>
          <cell r="L1752" t="str">
            <v>E</v>
          </cell>
          <cell r="O1752" t="str">
            <v>B</v>
          </cell>
          <cell r="P1752">
            <v>63</v>
          </cell>
          <cell r="Q1752">
            <v>149</v>
          </cell>
          <cell r="R1752">
            <v>59</v>
          </cell>
          <cell r="S1752">
            <v>105</v>
          </cell>
          <cell r="T1752">
            <v>4</v>
          </cell>
          <cell r="U1752">
            <v>44</v>
          </cell>
          <cell r="V1752">
            <v>106</v>
          </cell>
          <cell r="W1752">
            <v>240</v>
          </cell>
          <cell r="X1752">
            <v>110</v>
          </cell>
          <cell r="Y1752">
            <v>206</v>
          </cell>
          <cell r="Z1752">
            <v>-4</v>
          </cell>
          <cell r="AA1752">
            <v>34</v>
          </cell>
          <cell r="AB1752">
            <v>212</v>
          </cell>
          <cell r="AC1752">
            <v>164</v>
          </cell>
          <cell r="AD1752">
            <v>48</v>
          </cell>
          <cell r="AE1752">
            <v>346</v>
          </cell>
          <cell r="AF1752">
            <v>316</v>
          </cell>
          <cell r="AG1752">
            <v>30</v>
          </cell>
        </row>
        <row r="1753">
          <cell r="C1753">
            <v>341913</v>
          </cell>
          <cell r="D1753" t="str">
            <v>SHREERAM PETROLEUM</v>
          </cell>
          <cell r="E1753" t="str">
            <v>IOCL</v>
          </cell>
          <cell r="F1753" t="str">
            <v>2021-22</v>
          </cell>
          <cell r="G1753" t="str">
            <v>Satara West RSA</v>
          </cell>
          <cell r="H1753">
            <v>44438</v>
          </cell>
          <cell r="I1753" t="str">
            <v>OPEN</v>
          </cell>
          <cell r="J1753" t="str">
            <v>Shendre to Borgaon</v>
          </cell>
          <cell r="K1753" t="str">
            <v>Satara</v>
          </cell>
          <cell r="L1753" t="str">
            <v>D1</v>
          </cell>
          <cell r="M1753" t="str">
            <v>NH-48</v>
          </cell>
          <cell r="O1753" t="str">
            <v>B</v>
          </cell>
          <cell r="P1753">
            <v>28</v>
          </cell>
          <cell r="Q1753">
            <v>66</v>
          </cell>
          <cell r="R1753">
            <v>27</v>
          </cell>
          <cell r="S1753">
            <v>33</v>
          </cell>
          <cell r="T1753">
            <v>1</v>
          </cell>
          <cell r="U1753">
            <v>33</v>
          </cell>
          <cell r="V1753">
            <v>55.5</v>
          </cell>
          <cell r="W1753">
            <v>124.5</v>
          </cell>
          <cell r="X1753">
            <v>45</v>
          </cell>
          <cell r="Y1753">
            <v>51</v>
          </cell>
          <cell r="Z1753">
            <v>10.5</v>
          </cell>
          <cell r="AA1753">
            <v>73.5</v>
          </cell>
          <cell r="AB1753">
            <v>94</v>
          </cell>
          <cell r="AC1753">
            <v>60</v>
          </cell>
          <cell r="AD1753">
            <v>34</v>
          </cell>
          <cell r="AE1753">
            <v>180</v>
          </cell>
          <cell r="AF1753">
            <v>96</v>
          </cell>
          <cell r="AG1753">
            <v>84</v>
          </cell>
        </row>
        <row r="1754">
          <cell r="C1754">
            <v>341914</v>
          </cell>
          <cell r="D1754" t="str">
            <v>SHRI SHRI PETROLEUM</v>
          </cell>
          <cell r="E1754" t="str">
            <v>IOCL</v>
          </cell>
          <cell r="F1754" t="str">
            <v>2021-22</v>
          </cell>
          <cell r="G1754" t="str">
            <v>Pune Tathawade RSA</v>
          </cell>
          <cell r="H1754">
            <v>44439</v>
          </cell>
          <cell r="I1754" t="str">
            <v>ST</v>
          </cell>
          <cell r="J1754" t="str">
            <v>BARAMATI PHALTAN ROAD</v>
          </cell>
          <cell r="K1754" t="str">
            <v>Pune</v>
          </cell>
          <cell r="L1754" t="str">
            <v>D1</v>
          </cell>
          <cell r="M1754" t="str">
            <v>NH-160</v>
          </cell>
          <cell r="O1754" t="str">
            <v>A</v>
          </cell>
          <cell r="P1754">
            <v>17</v>
          </cell>
          <cell r="Q1754">
            <v>83</v>
          </cell>
          <cell r="R1754">
            <v>16</v>
          </cell>
          <cell r="S1754">
            <v>20</v>
          </cell>
          <cell r="T1754">
            <v>1</v>
          </cell>
          <cell r="U1754">
            <v>63</v>
          </cell>
          <cell r="V1754">
            <v>32</v>
          </cell>
          <cell r="W1754">
            <v>164</v>
          </cell>
          <cell r="X1754">
            <v>31</v>
          </cell>
          <cell r="Y1754">
            <v>41</v>
          </cell>
          <cell r="Z1754">
            <v>1</v>
          </cell>
          <cell r="AA1754">
            <v>123</v>
          </cell>
          <cell r="AB1754">
            <v>100</v>
          </cell>
          <cell r="AC1754">
            <v>36</v>
          </cell>
          <cell r="AD1754">
            <v>64</v>
          </cell>
          <cell r="AE1754">
            <v>196</v>
          </cell>
          <cell r="AF1754">
            <v>72</v>
          </cell>
          <cell r="AG1754">
            <v>124</v>
          </cell>
        </row>
        <row r="1755">
          <cell r="C1755">
            <v>342091</v>
          </cell>
          <cell r="D1755" t="str">
            <v>SHRI GURUDATTA KSK</v>
          </cell>
          <cell r="E1755" t="str">
            <v>IOCL</v>
          </cell>
          <cell r="F1755" t="str">
            <v>2021-22</v>
          </cell>
          <cell r="G1755" t="str">
            <v>Shirdi RSA</v>
          </cell>
          <cell r="H1755">
            <v>44439</v>
          </cell>
          <cell r="I1755" t="str">
            <v>OPEN</v>
          </cell>
          <cell r="J1755" t="str">
            <v>BOTA</v>
          </cell>
          <cell r="K1755" t="str">
            <v>Ahmednagar</v>
          </cell>
          <cell r="L1755" t="str">
            <v>E</v>
          </cell>
          <cell r="O1755" t="str">
            <v>B</v>
          </cell>
          <cell r="P1755">
            <v>35</v>
          </cell>
          <cell r="Q1755">
            <v>57</v>
          </cell>
          <cell r="R1755">
            <v>34</v>
          </cell>
          <cell r="S1755">
            <v>33</v>
          </cell>
          <cell r="T1755">
            <v>1</v>
          </cell>
          <cell r="U1755">
            <v>24</v>
          </cell>
          <cell r="V1755">
            <v>53</v>
          </cell>
          <cell r="W1755">
            <v>75</v>
          </cell>
          <cell r="X1755">
            <v>52</v>
          </cell>
          <cell r="Y1755">
            <v>51</v>
          </cell>
          <cell r="Z1755">
            <v>1</v>
          </cell>
          <cell r="AA1755">
            <v>24</v>
          </cell>
          <cell r="AB1755">
            <v>92</v>
          </cell>
          <cell r="AC1755">
            <v>67</v>
          </cell>
          <cell r="AD1755">
            <v>25</v>
          </cell>
          <cell r="AE1755">
            <v>128</v>
          </cell>
          <cell r="AF1755">
            <v>103</v>
          </cell>
          <cell r="AG1755">
            <v>25</v>
          </cell>
        </row>
        <row r="1756">
          <cell r="C1756">
            <v>342102</v>
          </cell>
          <cell r="D1756" t="str">
            <v>BHAGWAN PETROLEUM</v>
          </cell>
          <cell r="E1756" t="str">
            <v>IOCL</v>
          </cell>
          <cell r="F1756" t="str">
            <v>2021-22</v>
          </cell>
          <cell r="G1756" t="str">
            <v>Ahmednagar West RSA</v>
          </cell>
          <cell r="H1756">
            <v>44804</v>
          </cell>
          <cell r="I1756" t="str">
            <v>OPEN</v>
          </cell>
          <cell r="J1756" t="str">
            <v>Sakur</v>
          </cell>
          <cell r="K1756" t="str">
            <v>Ahmednagar</v>
          </cell>
          <cell r="L1756" t="str">
            <v>D2</v>
          </cell>
          <cell r="O1756" t="str">
            <v>B</v>
          </cell>
          <cell r="P1756">
            <v>80.5</v>
          </cell>
          <cell r="Q1756">
            <v>255.5</v>
          </cell>
          <cell r="R1756">
            <v>99</v>
          </cell>
          <cell r="S1756">
            <v>211</v>
          </cell>
          <cell r="T1756">
            <v>-18.5</v>
          </cell>
          <cell r="U1756">
            <v>44.5</v>
          </cell>
          <cell r="V1756">
            <v>143.5</v>
          </cell>
          <cell r="W1756">
            <v>388.5</v>
          </cell>
          <cell r="X1756">
            <v>178</v>
          </cell>
          <cell r="Y1756">
            <v>371</v>
          </cell>
          <cell r="Z1756">
            <v>-34.5</v>
          </cell>
          <cell r="AA1756">
            <v>17.5</v>
          </cell>
          <cell r="AB1756">
            <v>336</v>
          </cell>
          <cell r="AC1756">
            <v>310</v>
          </cell>
          <cell r="AD1756">
            <v>26</v>
          </cell>
          <cell r="AE1756">
            <v>532</v>
          </cell>
          <cell r="AF1756">
            <v>549</v>
          </cell>
          <cell r="AG1756">
            <v>-17</v>
          </cell>
        </row>
        <row r="1757">
          <cell r="C1757">
            <v>342786</v>
          </cell>
          <cell r="D1757" t="str">
            <v>PRAVARA PHALE BHAJIPALA UTPADAK PKV</v>
          </cell>
          <cell r="E1757" t="str">
            <v>IOCL</v>
          </cell>
          <cell r="F1757" t="str">
            <v>2021-22</v>
          </cell>
          <cell r="G1757" t="str">
            <v>Shirdi RSA</v>
          </cell>
          <cell r="H1757">
            <v>44469</v>
          </cell>
          <cell r="I1757" t="str">
            <v>OPEN</v>
          </cell>
          <cell r="J1757" t="str">
            <v>LONI PRAVARA NH</v>
          </cell>
          <cell r="K1757" t="str">
            <v>Ahmednagar</v>
          </cell>
          <cell r="L1757" t="str">
            <v>D1</v>
          </cell>
          <cell r="M1757" t="str">
            <v>NH-160D</v>
          </cell>
          <cell r="O1757" t="str">
            <v>B</v>
          </cell>
          <cell r="P1757">
            <v>44</v>
          </cell>
          <cell r="Q1757">
            <v>132</v>
          </cell>
          <cell r="R1757">
            <v>42</v>
          </cell>
          <cell r="S1757">
            <v>102</v>
          </cell>
          <cell r="T1757">
            <v>2</v>
          </cell>
          <cell r="U1757">
            <v>30</v>
          </cell>
          <cell r="V1757">
            <v>64</v>
          </cell>
          <cell r="W1757">
            <v>226</v>
          </cell>
          <cell r="X1757">
            <v>59</v>
          </cell>
          <cell r="Y1757">
            <v>195</v>
          </cell>
          <cell r="Z1757">
            <v>5</v>
          </cell>
          <cell r="AA1757">
            <v>31</v>
          </cell>
          <cell r="AB1757">
            <v>176</v>
          </cell>
          <cell r="AC1757">
            <v>144</v>
          </cell>
          <cell r="AD1757">
            <v>32</v>
          </cell>
          <cell r="AE1757">
            <v>290</v>
          </cell>
          <cell r="AF1757">
            <v>254</v>
          </cell>
          <cell r="AG1757">
            <v>36</v>
          </cell>
        </row>
        <row r="1758">
          <cell r="C1758">
            <v>342794</v>
          </cell>
          <cell r="D1758" t="str">
            <v>AKSHAY PETROLEUM</v>
          </cell>
          <cell r="E1758" t="str">
            <v>IOCL</v>
          </cell>
          <cell r="F1758" t="str">
            <v>2021-22</v>
          </cell>
          <cell r="G1758" t="str">
            <v>Pune Hadapsar RSA</v>
          </cell>
          <cell r="H1758">
            <v>44469</v>
          </cell>
          <cell r="I1758" t="str">
            <v>OPEN</v>
          </cell>
          <cell r="J1758" t="str">
            <v>SHINDAWANE</v>
          </cell>
          <cell r="K1758" t="str">
            <v>Pune</v>
          </cell>
          <cell r="L1758" t="str">
            <v>D2</v>
          </cell>
          <cell r="O1758" t="str">
            <v>B</v>
          </cell>
          <cell r="P1758">
            <v>28</v>
          </cell>
          <cell r="Q1758">
            <v>80</v>
          </cell>
          <cell r="R1758">
            <v>35</v>
          </cell>
          <cell r="S1758">
            <v>73</v>
          </cell>
          <cell r="T1758">
            <v>-7</v>
          </cell>
          <cell r="U1758">
            <v>7</v>
          </cell>
          <cell r="V1758">
            <v>61</v>
          </cell>
          <cell r="W1758">
            <v>155</v>
          </cell>
          <cell r="X1758">
            <v>58</v>
          </cell>
          <cell r="Y1758">
            <v>138</v>
          </cell>
          <cell r="Z1758">
            <v>3</v>
          </cell>
          <cell r="AA1758">
            <v>17</v>
          </cell>
          <cell r="AB1758">
            <v>108</v>
          </cell>
          <cell r="AC1758">
            <v>108</v>
          </cell>
          <cell r="AD1758">
            <v>0</v>
          </cell>
          <cell r="AE1758">
            <v>216</v>
          </cell>
          <cell r="AF1758">
            <v>196</v>
          </cell>
          <cell r="AG1758">
            <v>20</v>
          </cell>
        </row>
        <row r="1759">
          <cell r="C1759">
            <v>343267</v>
          </cell>
          <cell r="D1759" t="str">
            <v>TRIRATNA PETROLEUM</v>
          </cell>
          <cell r="E1759" t="str">
            <v>IOCL</v>
          </cell>
          <cell r="F1759" t="str">
            <v>2021-22</v>
          </cell>
          <cell r="G1759" t="str">
            <v>Ahmednagar East RSA</v>
          </cell>
          <cell r="H1759">
            <v>44530</v>
          </cell>
          <cell r="I1759" t="str">
            <v>OBC</v>
          </cell>
          <cell r="J1759" t="str">
            <v>Mungi- Hatgaon NH752E</v>
          </cell>
          <cell r="K1759" t="str">
            <v>Ahmednagar</v>
          </cell>
          <cell r="L1759" t="str">
            <v>D1</v>
          </cell>
          <cell r="M1759" t="str">
            <v>NH-752E</v>
          </cell>
          <cell r="O1759" t="str">
            <v>B</v>
          </cell>
          <cell r="P1759">
            <v>9</v>
          </cell>
          <cell r="Q1759">
            <v>27</v>
          </cell>
          <cell r="R1759">
            <v>23</v>
          </cell>
          <cell r="S1759">
            <v>77</v>
          </cell>
          <cell r="T1759">
            <v>-14</v>
          </cell>
          <cell r="U1759">
            <v>-50</v>
          </cell>
          <cell r="V1759">
            <v>18</v>
          </cell>
          <cell r="W1759">
            <v>42</v>
          </cell>
          <cell r="X1759">
            <v>44</v>
          </cell>
          <cell r="Y1759">
            <v>128</v>
          </cell>
          <cell r="Z1759">
            <v>-26</v>
          </cell>
          <cell r="AA1759">
            <v>-86</v>
          </cell>
          <cell r="AB1759">
            <v>36</v>
          </cell>
          <cell r="AC1759">
            <v>100</v>
          </cell>
          <cell r="AD1759">
            <v>-64</v>
          </cell>
          <cell r="AE1759">
            <v>60</v>
          </cell>
          <cell r="AF1759">
            <v>172</v>
          </cell>
          <cell r="AG1759">
            <v>-112</v>
          </cell>
        </row>
        <row r="1760">
          <cell r="C1760">
            <v>343452</v>
          </cell>
          <cell r="D1760" t="str">
            <v>JAI VIJAY PETROLEUM</v>
          </cell>
          <cell r="E1760" t="str">
            <v>IOCL</v>
          </cell>
          <cell r="F1760" t="str">
            <v>2021-22</v>
          </cell>
          <cell r="G1760" t="str">
            <v>Satara East RSA</v>
          </cell>
          <cell r="H1760">
            <v>44498</v>
          </cell>
          <cell r="I1760" t="str">
            <v>OPEN</v>
          </cell>
          <cell r="J1760" t="str">
            <v>Mhaswad</v>
          </cell>
          <cell r="K1760" t="str">
            <v>Satara</v>
          </cell>
          <cell r="L1760" t="str">
            <v>D1</v>
          </cell>
          <cell r="M1760" t="str">
            <v>NH-548C</v>
          </cell>
          <cell r="O1760" t="str">
            <v>B</v>
          </cell>
          <cell r="P1760">
            <v>45</v>
          </cell>
          <cell r="Q1760">
            <v>65</v>
          </cell>
          <cell r="R1760">
            <v>40</v>
          </cell>
          <cell r="S1760">
            <v>60</v>
          </cell>
          <cell r="T1760">
            <v>5</v>
          </cell>
          <cell r="U1760">
            <v>5</v>
          </cell>
          <cell r="V1760">
            <v>80</v>
          </cell>
          <cell r="W1760">
            <v>130</v>
          </cell>
          <cell r="X1760">
            <v>85</v>
          </cell>
          <cell r="Y1760">
            <v>135</v>
          </cell>
          <cell r="Z1760">
            <v>-5</v>
          </cell>
          <cell r="AA1760">
            <v>-5</v>
          </cell>
          <cell r="AB1760">
            <v>110</v>
          </cell>
          <cell r="AC1760">
            <v>100</v>
          </cell>
          <cell r="AD1760">
            <v>10</v>
          </cell>
          <cell r="AE1760">
            <v>210</v>
          </cell>
          <cell r="AF1760">
            <v>220</v>
          </cell>
          <cell r="AG1760">
            <v>-10</v>
          </cell>
        </row>
        <row r="1761">
          <cell r="C1761">
            <v>343514</v>
          </cell>
          <cell r="D1761" t="str">
            <v>SHIVSAMARTH PETROLEUM</v>
          </cell>
          <cell r="E1761" t="str">
            <v>IOCL</v>
          </cell>
          <cell r="F1761" t="str">
            <v>2021-22</v>
          </cell>
          <cell r="G1761" t="str">
            <v>Satara West RSA</v>
          </cell>
          <cell r="H1761">
            <v>44500</v>
          </cell>
          <cell r="I1761" t="str">
            <v>SC</v>
          </cell>
          <cell r="J1761" t="str">
            <v>Karate</v>
          </cell>
          <cell r="K1761" t="str">
            <v>Satara</v>
          </cell>
          <cell r="L1761" t="str">
            <v>D1</v>
          </cell>
          <cell r="M1761" t="str">
            <v>NH-166E</v>
          </cell>
          <cell r="O1761" t="str">
            <v>A</v>
          </cell>
          <cell r="P1761">
            <v>41</v>
          </cell>
          <cell r="Q1761">
            <v>75</v>
          </cell>
          <cell r="R1761">
            <v>38</v>
          </cell>
          <cell r="S1761">
            <v>90</v>
          </cell>
          <cell r="T1761">
            <v>3</v>
          </cell>
          <cell r="U1761">
            <v>-15</v>
          </cell>
          <cell r="V1761">
            <v>65</v>
          </cell>
          <cell r="W1761">
            <v>171</v>
          </cell>
          <cell r="X1761">
            <v>62</v>
          </cell>
          <cell r="Y1761">
            <v>198</v>
          </cell>
          <cell r="Z1761">
            <v>3</v>
          </cell>
          <cell r="AA1761">
            <v>-27</v>
          </cell>
          <cell r="AB1761">
            <v>116</v>
          </cell>
          <cell r="AC1761">
            <v>128</v>
          </cell>
          <cell r="AD1761">
            <v>-12</v>
          </cell>
          <cell r="AE1761">
            <v>236</v>
          </cell>
          <cell r="AF1761">
            <v>260</v>
          </cell>
          <cell r="AG1761">
            <v>-24</v>
          </cell>
        </row>
        <row r="1762">
          <cell r="C1762">
            <v>343518</v>
          </cell>
          <cell r="D1762" t="str">
            <v>P AND D N PETROLEUM</v>
          </cell>
          <cell r="E1762" t="str">
            <v>IOCL</v>
          </cell>
          <cell r="F1762" t="str">
            <v>2021-22</v>
          </cell>
          <cell r="G1762" t="str">
            <v>Satara East RSA</v>
          </cell>
          <cell r="H1762">
            <v>44499</v>
          </cell>
          <cell r="I1762" t="str">
            <v>SC</v>
          </cell>
          <cell r="J1762" t="str">
            <v>Katar Khatav</v>
          </cell>
          <cell r="K1762" t="str">
            <v>Satara</v>
          </cell>
          <cell r="L1762" t="str">
            <v>D1</v>
          </cell>
          <cell r="M1762" t="str">
            <v>NH-160</v>
          </cell>
          <cell r="O1762" t="str">
            <v>A</v>
          </cell>
          <cell r="P1762">
            <v>0</v>
          </cell>
          <cell r="Q1762">
            <v>0</v>
          </cell>
          <cell r="R1762">
            <v>3</v>
          </cell>
          <cell r="S1762">
            <v>9</v>
          </cell>
          <cell r="T1762">
            <v>-3</v>
          </cell>
          <cell r="U1762">
            <v>-9</v>
          </cell>
          <cell r="V1762">
            <v>0</v>
          </cell>
          <cell r="W1762">
            <v>0</v>
          </cell>
          <cell r="X1762">
            <v>3</v>
          </cell>
          <cell r="Y1762">
            <v>9</v>
          </cell>
          <cell r="Z1762">
            <v>-3</v>
          </cell>
          <cell r="AA1762">
            <v>-9</v>
          </cell>
          <cell r="AB1762">
            <v>0</v>
          </cell>
          <cell r="AC1762">
            <v>12</v>
          </cell>
          <cell r="AD1762">
            <v>-12</v>
          </cell>
          <cell r="AE1762">
            <v>0</v>
          </cell>
          <cell r="AF1762">
            <v>12</v>
          </cell>
          <cell r="AG1762">
            <v>-12</v>
          </cell>
        </row>
        <row r="1763">
          <cell r="C1763">
            <v>343520</v>
          </cell>
          <cell r="D1763" t="str">
            <v>SADGURU KRUPA PETROLEUM</v>
          </cell>
          <cell r="E1763" t="str">
            <v>IOCL</v>
          </cell>
          <cell r="F1763" t="str">
            <v>2021-22</v>
          </cell>
          <cell r="G1763" t="str">
            <v>Satara West RSA</v>
          </cell>
          <cell r="H1763">
            <v>44500</v>
          </cell>
          <cell r="I1763" t="str">
            <v>OBC</v>
          </cell>
          <cell r="J1763" t="str">
            <v>Satara to Bhuinj</v>
          </cell>
          <cell r="K1763" t="str">
            <v>Satara</v>
          </cell>
          <cell r="L1763" t="str">
            <v>D1</v>
          </cell>
          <cell r="M1763" t="str">
            <v>NH-48</v>
          </cell>
          <cell r="O1763" t="str">
            <v>B</v>
          </cell>
          <cell r="P1763">
            <v>62</v>
          </cell>
          <cell r="Q1763">
            <v>114</v>
          </cell>
          <cell r="R1763">
            <v>67</v>
          </cell>
          <cell r="S1763">
            <v>129</v>
          </cell>
          <cell r="T1763">
            <v>-5</v>
          </cell>
          <cell r="U1763">
            <v>-15</v>
          </cell>
          <cell r="V1763">
            <v>117</v>
          </cell>
          <cell r="W1763">
            <v>241</v>
          </cell>
          <cell r="X1763">
            <v>123</v>
          </cell>
          <cell r="Y1763">
            <v>233</v>
          </cell>
          <cell r="Z1763">
            <v>-6</v>
          </cell>
          <cell r="AA1763">
            <v>8</v>
          </cell>
          <cell r="AB1763">
            <v>176</v>
          </cell>
          <cell r="AC1763">
            <v>196</v>
          </cell>
          <cell r="AD1763">
            <v>-20</v>
          </cell>
          <cell r="AE1763">
            <v>358</v>
          </cell>
          <cell r="AF1763">
            <v>356</v>
          </cell>
          <cell r="AG1763">
            <v>2</v>
          </cell>
        </row>
        <row r="1764">
          <cell r="C1764">
            <v>343574</v>
          </cell>
          <cell r="D1764" t="str">
            <v>JAYRAJ PETROLEUM</v>
          </cell>
          <cell r="E1764" t="str">
            <v>IOCL</v>
          </cell>
          <cell r="F1764" t="str">
            <v>2021-22</v>
          </cell>
          <cell r="G1764" t="str">
            <v>Pune Wagholi RSA</v>
          </cell>
          <cell r="H1764">
            <v>44499</v>
          </cell>
          <cell r="I1764" t="str">
            <v>OBC</v>
          </cell>
          <cell r="J1764" t="str">
            <v>Shikrapur to Inamgaon</v>
          </cell>
          <cell r="K1764" t="str">
            <v>Pune</v>
          </cell>
          <cell r="L1764" t="str">
            <v>D1</v>
          </cell>
          <cell r="M1764" t="str">
            <v>NH-548D</v>
          </cell>
          <cell r="O1764" t="str">
            <v>B</v>
          </cell>
          <cell r="P1764">
            <v>14</v>
          </cell>
          <cell r="Q1764">
            <v>110</v>
          </cell>
          <cell r="R1764">
            <v>13.5</v>
          </cell>
          <cell r="S1764">
            <v>68.5</v>
          </cell>
          <cell r="T1764">
            <v>0.5</v>
          </cell>
          <cell r="U1764">
            <v>41.5</v>
          </cell>
          <cell r="V1764">
            <v>24.5</v>
          </cell>
          <cell r="W1764">
            <v>181.5</v>
          </cell>
          <cell r="X1764">
            <v>27</v>
          </cell>
          <cell r="Y1764">
            <v>151</v>
          </cell>
          <cell r="Z1764">
            <v>-2.5</v>
          </cell>
          <cell r="AA1764">
            <v>30.5</v>
          </cell>
          <cell r="AB1764">
            <v>124</v>
          </cell>
          <cell r="AC1764">
            <v>82</v>
          </cell>
          <cell r="AD1764">
            <v>42</v>
          </cell>
          <cell r="AE1764">
            <v>206</v>
          </cell>
          <cell r="AF1764">
            <v>178</v>
          </cell>
          <cell r="AG1764">
            <v>28</v>
          </cell>
        </row>
        <row r="1765">
          <cell r="C1765">
            <v>344146</v>
          </cell>
          <cell r="D1765" t="str">
            <v>JAGDAMBA KISAN SEVA KENDRA</v>
          </cell>
          <cell r="E1765" t="str">
            <v>IOCL</v>
          </cell>
          <cell r="F1765" t="str">
            <v>2021-22</v>
          </cell>
          <cell r="G1765" t="str">
            <v>Ahmednagar East RSA</v>
          </cell>
          <cell r="H1765">
            <v>44529</v>
          </cell>
          <cell r="I1765" t="str">
            <v>OBC</v>
          </cell>
          <cell r="J1765" t="str">
            <v>Salbatpur</v>
          </cell>
          <cell r="K1765" t="str">
            <v>Ahmednagar</v>
          </cell>
          <cell r="L1765" t="str">
            <v>E</v>
          </cell>
          <cell r="O1765" t="str">
            <v>B</v>
          </cell>
          <cell r="P1765">
            <v>44.5</v>
          </cell>
          <cell r="Q1765">
            <v>115.5</v>
          </cell>
          <cell r="R1765">
            <v>50.5</v>
          </cell>
          <cell r="S1765">
            <v>81.5</v>
          </cell>
          <cell r="T1765">
            <v>-6</v>
          </cell>
          <cell r="U1765">
            <v>34</v>
          </cell>
          <cell r="V1765">
            <v>93.5</v>
          </cell>
          <cell r="W1765">
            <v>178.5</v>
          </cell>
          <cell r="X1765">
            <v>91.5</v>
          </cell>
          <cell r="Y1765">
            <v>144.5</v>
          </cell>
          <cell r="Z1765">
            <v>2</v>
          </cell>
          <cell r="AA1765">
            <v>34</v>
          </cell>
          <cell r="AB1765">
            <v>160</v>
          </cell>
          <cell r="AC1765">
            <v>132</v>
          </cell>
          <cell r="AD1765">
            <v>28</v>
          </cell>
          <cell r="AE1765">
            <v>272</v>
          </cell>
          <cell r="AF1765">
            <v>236</v>
          </cell>
          <cell r="AG1765">
            <v>36</v>
          </cell>
        </row>
        <row r="1766">
          <cell r="C1766">
            <v>344153</v>
          </cell>
          <cell r="D1766" t="str">
            <v>HANGESHWAR PETROLEUM</v>
          </cell>
          <cell r="E1766" t="str">
            <v>IOCL</v>
          </cell>
          <cell r="F1766" t="str">
            <v>2021-22</v>
          </cell>
          <cell r="G1766" t="str">
            <v>Ahmednagar West RSA</v>
          </cell>
          <cell r="H1766">
            <v>44530</v>
          </cell>
          <cell r="I1766" t="str">
            <v>SC</v>
          </cell>
          <cell r="J1766" t="str">
            <v>Hanga</v>
          </cell>
          <cell r="K1766" t="str">
            <v>Ahmednagar</v>
          </cell>
          <cell r="L1766" t="str">
            <v>D2</v>
          </cell>
          <cell r="O1766" t="str">
            <v>A</v>
          </cell>
          <cell r="P1766">
            <v>16</v>
          </cell>
          <cell r="Q1766">
            <v>44</v>
          </cell>
          <cell r="R1766">
            <v>30</v>
          </cell>
          <cell r="S1766">
            <v>54</v>
          </cell>
          <cell r="T1766">
            <v>-14</v>
          </cell>
          <cell r="U1766">
            <v>-10</v>
          </cell>
          <cell r="V1766">
            <v>28</v>
          </cell>
          <cell r="W1766">
            <v>68</v>
          </cell>
          <cell r="X1766">
            <v>51</v>
          </cell>
          <cell r="Y1766">
            <v>105</v>
          </cell>
          <cell r="Z1766">
            <v>-23</v>
          </cell>
          <cell r="AA1766">
            <v>-37</v>
          </cell>
          <cell r="AB1766">
            <v>60</v>
          </cell>
          <cell r="AC1766">
            <v>84</v>
          </cell>
          <cell r="AD1766">
            <v>-24</v>
          </cell>
          <cell r="AE1766">
            <v>96</v>
          </cell>
          <cell r="AF1766">
            <v>156</v>
          </cell>
          <cell r="AG1766">
            <v>-60</v>
          </cell>
        </row>
        <row r="1767">
          <cell r="C1767">
            <v>344177</v>
          </cell>
          <cell r="D1767" t="str">
            <v>S.P.PATIL PETROLEUM</v>
          </cell>
          <cell r="E1767" t="str">
            <v>IOCL</v>
          </cell>
          <cell r="F1767" t="str">
            <v>2021-22</v>
          </cell>
          <cell r="G1767" t="str">
            <v>Pune Tathawade RSA</v>
          </cell>
          <cell r="H1767">
            <v>44530</v>
          </cell>
          <cell r="I1767" t="str">
            <v>SC</v>
          </cell>
          <cell r="J1767" t="str">
            <v>Malegaon-Karhavagaj Road</v>
          </cell>
          <cell r="K1767" t="str">
            <v>Pune</v>
          </cell>
          <cell r="L1767" t="str">
            <v>E</v>
          </cell>
          <cell r="O1767" t="str">
            <v>A</v>
          </cell>
          <cell r="P1767">
            <v>0</v>
          </cell>
          <cell r="Q1767">
            <v>0</v>
          </cell>
          <cell r="R1767">
            <v>3</v>
          </cell>
          <cell r="S1767">
            <v>9</v>
          </cell>
          <cell r="T1767">
            <v>-3</v>
          </cell>
          <cell r="U1767">
            <v>-9</v>
          </cell>
          <cell r="V1767">
            <v>0</v>
          </cell>
          <cell r="W1767">
            <v>0</v>
          </cell>
          <cell r="X1767">
            <v>9</v>
          </cell>
          <cell r="Y1767">
            <v>27</v>
          </cell>
          <cell r="Z1767">
            <v>-9</v>
          </cell>
          <cell r="AA1767">
            <v>-27</v>
          </cell>
          <cell r="AB1767">
            <v>0</v>
          </cell>
          <cell r="AC1767">
            <v>12</v>
          </cell>
          <cell r="AD1767">
            <v>-12</v>
          </cell>
          <cell r="AE1767">
            <v>0</v>
          </cell>
          <cell r="AF1767">
            <v>36</v>
          </cell>
          <cell r="AG1767">
            <v>-36</v>
          </cell>
        </row>
        <row r="1768">
          <cell r="C1768">
            <v>386612</v>
          </cell>
          <cell r="D1768" t="str">
            <v>COCO RATHARE Adhoc Shree Lakshmi Petroleum (SHUBHRA PETROLEUM-344181)</v>
          </cell>
          <cell r="E1768" t="str">
            <v>IOCL</v>
          </cell>
          <cell r="F1768" t="str">
            <v>2021-22</v>
          </cell>
          <cell r="G1768" t="str">
            <v>Satara West RSA</v>
          </cell>
          <cell r="H1768">
            <v>44530</v>
          </cell>
          <cell r="I1768" t="str">
            <v>ST</v>
          </cell>
          <cell r="J1768" t="str">
            <v>RETHARE</v>
          </cell>
          <cell r="K1768" t="str">
            <v>Satara</v>
          </cell>
          <cell r="L1768" t="str">
            <v>D2</v>
          </cell>
          <cell r="O1768" t="str">
            <v>A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0</v>
          </cell>
          <cell r="AE1768">
            <v>0</v>
          </cell>
          <cell r="AF1768">
            <v>0</v>
          </cell>
          <cell r="AG1768">
            <v>0</v>
          </cell>
        </row>
        <row r="1769">
          <cell r="C1769">
            <v>344184</v>
          </cell>
          <cell r="D1769" t="str">
            <v>SHRI SAI ENERGY PETROLEUM</v>
          </cell>
          <cell r="E1769" t="str">
            <v>IOCL</v>
          </cell>
          <cell r="F1769" t="str">
            <v>2021-22</v>
          </cell>
          <cell r="G1769" t="str">
            <v>Satara West RSA</v>
          </cell>
          <cell r="H1769">
            <v>44530</v>
          </cell>
          <cell r="I1769" t="str">
            <v>OPEN</v>
          </cell>
          <cell r="J1769" t="str">
            <v>Kolewadi to Dhebewadi</v>
          </cell>
          <cell r="K1769" t="str">
            <v>Satara</v>
          </cell>
          <cell r="L1769" t="str">
            <v>E</v>
          </cell>
          <cell r="O1769" t="str">
            <v>B</v>
          </cell>
          <cell r="P1769">
            <v>84</v>
          </cell>
          <cell r="Q1769">
            <v>140</v>
          </cell>
          <cell r="R1769">
            <v>73</v>
          </cell>
          <cell r="S1769">
            <v>109</v>
          </cell>
          <cell r="T1769">
            <v>11</v>
          </cell>
          <cell r="U1769">
            <v>31</v>
          </cell>
          <cell r="V1769">
            <v>154</v>
          </cell>
          <cell r="W1769">
            <v>268</v>
          </cell>
          <cell r="X1769">
            <v>145</v>
          </cell>
          <cell r="Y1769">
            <v>219</v>
          </cell>
          <cell r="Z1769">
            <v>9</v>
          </cell>
          <cell r="AA1769">
            <v>49</v>
          </cell>
          <cell r="AB1769">
            <v>224</v>
          </cell>
          <cell r="AC1769">
            <v>182</v>
          </cell>
          <cell r="AD1769">
            <v>42</v>
          </cell>
          <cell r="AE1769">
            <v>422</v>
          </cell>
          <cell r="AF1769">
            <v>364</v>
          </cell>
          <cell r="AG1769">
            <v>58</v>
          </cell>
        </row>
        <row r="1770">
          <cell r="C1770">
            <v>344195</v>
          </cell>
          <cell r="D1770" t="str">
            <v>SANSKRUTI PETROLEUM</v>
          </cell>
          <cell r="E1770" t="str">
            <v>IOCL</v>
          </cell>
          <cell r="F1770" t="str">
            <v>2021-22</v>
          </cell>
          <cell r="G1770" t="str">
            <v>Satara East RSA</v>
          </cell>
          <cell r="H1770">
            <v>44530</v>
          </cell>
          <cell r="I1770" t="str">
            <v>OPEN</v>
          </cell>
          <cell r="J1770" t="str">
            <v>MASWAD HAVALDARWADI RD</v>
          </cell>
          <cell r="K1770" t="str">
            <v>Satara</v>
          </cell>
          <cell r="L1770" t="str">
            <v>D1</v>
          </cell>
          <cell r="M1770" t="str">
            <v>NH-548C</v>
          </cell>
          <cell r="O1770" t="str">
            <v>B</v>
          </cell>
          <cell r="P1770">
            <v>32.5</v>
          </cell>
          <cell r="Q1770">
            <v>91.5</v>
          </cell>
          <cell r="R1770">
            <v>28</v>
          </cell>
          <cell r="S1770">
            <v>80</v>
          </cell>
          <cell r="T1770">
            <v>4.5</v>
          </cell>
          <cell r="U1770">
            <v>11.5</v>
          </cell>
          <cell r="V1770">
            <v>54.5</v>
          </cell>
          <cell r="W1770">
            <v>165.5</v>
          </cell>
          <cell r="X1770">
            <v>58</v>
          </cell>
          <cell r="Y1770">
            <v>158</v>
          </cell>
          <cell r="Z1770">
            <v>-3.5</v>
          </cell>
          <cell r="AA1770">
            <v>7.5</v>
          </cell>
          <cell r="AB1770">
            <v>124</v>
          </cell>
          <cell r="AC1770">
            <v>108</v>
          </cell>
          <cell r="AD1770">
            <v>16</v>
          </cell>
          <cell r="AE1770">
            <v>220</v>
          </cell>
          <cell r="AF1770">
            <v>216</v>
          </cell>
          <cell r="AG1770">
            <v>4</v>
          </cell>
        </row>
        <row r="1771">
          <cell r="C1771">
            <v>344894</v>
          </cell>
          <cell r="D1771" t="str">
            <v>ALESHWAR PETROLEUM</v>
          </cell>
          <cell r="E1771" t="str">
            <v>IOCL</v>
          </cell>
          <cell r="F1771" t="str">
            <v>2021-22</v>
          </cell>
          <cell r="G1771" t="str">
            <v>Pune Hadapsar RSA</v>
          </cell>
          <cell r="H1771">
            <v>44561</v>
          </cell>
          <cell r="I1771" t="str">
            <v>OBC</v>
          </cell>
          <cell r="J1771" t="str">
            <v>DAUND</v>
          </cell>
          <cell r="K1771" t="str">
            <v>Pune</v>
          </cell>
          <cell r="L1771" t="str">
            <v>D2</v>
          </cell>
          <cell r="O1771" t="str">
            <v>B</v>
          </cell>
          <cell r="P1771">
            <v>35</v>
          </cell>
          <cell r="Q1771">
            <v>89</v>
          </cell>
          <cell r="R1771">
            <v>36</v>
          </cell>
          <cell r="S1771">
            <v>60</v>
          </cell>
          <cell r="T1771">
            <v>-1</v>
          </cell>
          <cell r="U1771">
            <v>29</v>
          </cell>
          <cell r="V1771">
            <v>65</v>
          </cell>
          <cell r="W1771">
            <v>155</v>
          </cell>
          <cell r="X1771">
            <v>66</v>
          </cell>
          <cell r="Y1771">
            <v>126</v>
          </cell>
          <cell r="Z1771">
            <v>-1</v>
          </cell>
          <cell r="AA1771">
            <v>29</v>
          </cell>
          <cell r="AB1771">
            <v>124</v>
          </cell>
          <cell r="AC1771">
            <v>96</v>
          </cell>
          <cell r="AD1771">
            <v>28</v>
          </cell>
          <cell r="AE1771">
            <v>220</v>
          </cell>
          <cell r="AF1771">
            <v>192</v>
          </cell>
          <cell r="AG1771">
            <v>28</v>
          </cell>
        </row>
        <row r="1772">
          <cell r="C1772">
            <v>344908</v>
          </cell>
          <cell r="D1772" t="str">
            <v>M B PETROLEUM</v>
          </cell>
          <cell r="E1772" t="str">
            <v>IOCL</v>
          </cell>
          <cell r="F1772" t="str">
            <v>2021-22</v>
          </cell>
          <cell r="G1772" t="str">
            <v>Shirdi RSA</v>
          </cell>
          <cell r="H1772">
            <v>44560</v>
          </cell>
          <cell r="I1772" t="str">
            <v>OPEN</v>
          </cell>
          <cell r="J1772" t="str">
            <v>POHEGAON</v>
          </cell>
          <cell r="K1772" t="str">
            <v>Ahmednagar</v>
          </cell>
          <cell r="L1772" t="str">
            <v>D1</v>
          </cell>
          <cell r="M1772" t="str">
            <v>NH-160B</v>
          </cell>
          <cell r="O1772" t="str">
            <v>B</v>
          </cell>
          <cell r="P1772">
            <v>39</v>
          </cell>
          <cell r="Q1772">
            <v>93</v>
          </cell>
          <cell r="R1772">
            <v>33</v>
          </cell>
          <cell r="S1772">
            <v>51</v>
          </cell>
          <cell r="T1772">
            <v>6</v>
          </cell>
          <cell r="U1772">
            <v>42</v>
          </cell>
          <cell r="V1772">
            <v>69</v>
          </cell>
          <cell r="W1772">
            <v>159</v>
          </cell>
          <cell r="X1772">
            <v>63</v>
          </cell>
          <cell r="Y1772">
            <v>93</v>
          </cell>
          <cell r="Z1772">
            <v>6</v>
          </cell>
          <cell r="AA1772">
            <v>66</v>
          </cell>
          <cell r="AB1772">
            <v>132</v>
          </cell>
          <cell r="AC1772">
            <v>84</v>
          </cell>
          <cell r="AD1772">
            <v>48</v>
          </cell>
          <cell r="AE1772">
            <v>228</v>
          </cell>
          <cell r="AF1772">
            <v>156</v>
          </cell>
          <cell r="AG1772">
            <v>72</v>
          </cell>
        </row>
        <row r="1773">
          <cell r="C1773">
            <v>344909</v>
          </cell>
          <cell r="D1773" t="str">
            <v>MAN DESHI PETROLEUM</v>
          </cell>
          <cell r="E1773" t="str">
            <v>IOCL</v>
          </cell>
          <cell r="F1773" t="str">
            <v>2021-22</v>
          </cell>
          <cell r="G1773" t="str">
            <v>Satara East RSA</v>
          </cell>
          <cell r="H1773">
            <v>44561</v>
          </cell>
          <cell r="I1773" t="str">
            <v>ST</v>
          </cell>
          <cell r="J1773" t="str">
            <v>MASWAD HAVALDARWADI RD</v>
          </cell>
          <cell r="K1773" t="str">
            <v>Satara</v>
          </cell>
          <cell r="L1773" t="str">
            <v>D1</v>
          </cell>
          <cell r="M1773" t="str">
            <v>NH-548C</v>
          </cell>
          <cell r="O1773" t="str">
            <v>A</v>
          </cell>
          <cell r="P1773">
            <v>50</v>
          </cell>
          <cell r="Q1773">
            <v>118</v>
          </cell>
          <cell r="R1773">
            <v>18</v>
          </cell>
          <cell r="S1773">
            <v>42</v>
          </cell>
          <cell r="T1773">
            <v>32</v>
          </cell>
          <cell r="U1773">
            <v>76</v>
          </cell>
          <cell r="V1773">
            <v>80</v>
          </cell>
          <cell r="W1773">
            <v>188</v>
          </cell>
          <cell r="X1773">
            <v>45</v>
          </cell>
          <cell r="Y1773">
            <v>87</v>
          </cell>
          <cell r="Z1773">
            <v>35</v>
          </cell>
          <cell r="AA1773">
            <v>101</v>
          </cell>
          <cell r="AB1773">
            <v>168</v>
          </cell>
          <cell r="AC1773">
            <v>60</v>
          </cell>
          <cell r="AD1773">
            <v>108</v>
          </cell>
          <cell r="AE1773">
            <v>268</v>
          </cell>
          <cell r="AF1773">
            <v>132</v>
          </cell>
          <cell r="AG1773">
            <v>136</v>
          </cell>
        </row>
        <row r="1774">
          <cell r="C1774">
            <v>344916</v>
          </cell>
          <cell r="D1774" t="str">
            <v>JYOTTIBBA PETROLEUM</v>
          </cell>
          <cell r="E1774" t="str">
            <v>IOCL</v>
          </cell>
          <cell r="F1774" t="str">
            <v>2021-22</v>
          </cell>
          <cell r="G1774" t="str">
            <v>Satara West RSA</v>
          </cell>
          <cell r="H1774">
            <v>44561</v>
          </cell>
          <cell r="I1774" t="str">
            <v>OPEN</v>
          </cell>
          <cell r="J1774" t="str">
            <v>KHOJEWADI</v>
          </cell>
          <cell r="K1774" t="str">
            <v>Satara</v>
          </cell>
          <cell r="L1774" t="str">
            <v>E</v>
          </cell>
          <cell r="O1774" t="str">
            <v>B</v>
          </cell>
          <cell r="P1774">
            <v>28</v>
          </cell>
          <cell r="Q1774">
            <v>34</v>
          </cell>
          <cell r="R1774">
            <v>0</v>
          </cell>
          <cell r="S1774">
            <v>0</v>
          </cell>
          <cell r="T1774">
            <v>28</v>
          </cell>
          <cell r="U1774">
            <v>34</v>
          </cell>
          <cell r="V1774">
            <v>46</v>
          </cell>
          <cell r="W1774">
            <v>52</v>
          </cell>
          <cell r="X1774">
            <v>6</v>
          </cell>
          <cell r="Y1774">
            <v>6</v>
          </cell>
          <cell r="Z1774">
            <v>40</v>
          </cell>
          <cell r="AA1774">
            <v>46</v>
          </cell>
          <cell r="AB1774">
            <v>62</v>
          </cell>
          <cell r="AC1774">
            <v>0</v>
          </cell>
          <cell r="AD1774">
            <v>62</v>
          </cell>
          <cell r="AE1774">
            <v>98</v>
          </cell>
          <cell r="AF1774">
            <v>12</v>
          </cell>
          <cell r="AG1774">
            <v>86</v>
          </cell>
        </row>
        <row r="1775">
          <cell r="C1775">
            <v>344917</v>
          </cell>
          <cell r="D1775" t="str">
            <v>TAMHANE PETROLEUM</v>
          </cell>
          <cell r="E1775" t="str">
            <v>IOCL</v>
          </cell>
          <cell r="F1775" t="str">
            <v>2021-22</v>
          </cell>
          <cell r="G1775" t="str">
            <v>Pune Hadapsar RSA</v>
          </cell>
          <cell r="H1775">
            <v>44560</v>
          </cell>
          <cell r="I1775" t="str">
            <v>OPEN</v>
          </cell>
          <cell r="J1775" t="str">
            <v>Ravangaon RHS</v>
          </cell>
          <cell r="K1775" t="str">
            <v>Pune</v>
          </cell>
          <cell r="L1775" t="str">
            <v>D1</v>
          </cell>
          <cell r="M1775" t="str">
            <v>NH-65</v>
          </cell>
          <cell r="O1775" t="str">
            <v>A</v>
          </cell>
          <cell r="P1775">
            <v>18</v>
          </cell>
          <cell r="Q1775">
            <v>42</v>
          </cell>
          <cell r="R1775">
            <v>30.5</v>
          </cell>
          <cell r="S1775">
            <v>67.5</v>
          </cell>
          <cell r="T1775">
            <v>-12.5</v>
          </cell>
          <cell r="U1775">
            <v>-25.5</v>
          </cell>
          <cell r="V1775">
            <v>39</v>
          </cell>
          <cell r="W1775">
            <v>81</v>
          </cell>
          <cell r="X1775">
            <v>51.5</v>
          </cell>
          <cell r="Y1775">
            <v>118.5</v>
          </cell>
          <cell r="Z1775">
            <v>-12.5</v>
          </cell>
          <cell r="AA1775">
            <v>-37.5</v>
          </cell>
          <cell r="AB1775">
            <v>60</v>
          </cell>
          <cell r="AC1775">
            <v>98</v>
          </cell>
          <cell r="AD1775">
            <v>-38</v>
          </cell>
          <cell r="AE1775">
            <v>120</v>
          </cell>
          <cell r="AF1775">
            <v>170</v>
          </cell>
          <cell r="AG1775">
            <v>-50</v>
          </cell>
        </row>
        <row r="1776">
          <cell r="C1776">
            <v>344981</v>
          </cell>
          <cell r="D1776" t="str">
            <v>SHRI BHOJLING PETROLEUM</v>
          </cell>
          <cell r="E1776" t="str">
            <v>IOCL</v>
          </cell>
          <cell r="F1776" t="str">
            <v>2021-22</v>
          </cell>
          <cell r="G1776" t="str">
            <v>Satara East RSA</v>
          </cell>
          <cell r="H1776">
            <v>44561</v>
          </cell>
          <cell r="I1776" t="str">
            <v>SC</v>
          </cell>
          <cell r="J1776" t="str">
            <v>JAMBHULANI</v>
          </cell>
          <cell r="K1776" t="str">
            <v>Satara</v>
          </cell>
          <cell r="L1776" t="str">
            <v>E</v>
          </cell>
          <cell r="O1776" t="str">
            <v>A</v>
          </cell>
          <cell r="P1776">
            <v>38.5</v>
          </cell>
          <cell r="Q1776">
            <v>73.5</v>
          </cell>
          <cell r="R1776">
            <v>26</v>
          </cell>
          <cell r="S1776">
            <v>52</v>
          </cell>
          <cell r="T1776">
            <v>12.5</v>
          </cell>
          <cell r="U1776">
            <v>21.5</v>
          </cell>
          <cell r="V1776">
            <v>66</v>
          </cell>
          <cell r="W1776">
            <v>140</v>
          </cell>
          <cell r="X1776">
            <v>49</v>
          </cell>
          <cell r="Y1776">
            <v>105</v>
          </cell>
          <cell r="Z1776">
            <v>17</v>
          </cell>
          <cell r="AA1776">
            <v>35</v>
          </cell>
          <cell r="AB1776">
            <v>112</v>
          </cell>
          <cell r="AC1776">
            <v>78</v>
          </cell>
          <cell r="AD1776">
            <v>34</v>
          </cell>
          <cell r="AE1776">
            <v>206</v>
          </cell>
          <cell r="AF1776">
            <v>154</v>
          </cell>
          <cell r="AG1776">
            <v>52</v>
          </cell>
        </row>
        <row r="1777">
          <cell r="C1777">
            <v>344982</v>
          </cell>
          <cell r="D1777" t="str">
            <v>SHREENATH PETROLEUM SERVICE</v>
          </cell>
          <cell r="E1777" t="str">
            <v>IOCL</v>
          </cell>
          <cell r="F1777" t="str">
            <v>2021-22</v>
          </cell>
          <cell r="G1777" t="str">
            <v>Pune Tathawade RSA</v>
          </cell>
          <cell r="H1777">
            <v>44561</v>
          </cell>
          <cell r="I1777" t="str">
            <v>SC</v>
          </cell>
          <cell r="J1777" t="str">
            <v>VADGAON NIMBALKAR</v>
          </cell>
          <cell r="K1777" t="str">
            <v>Pune</v>
          </cell>
          <cell r="L1777" t="str">
            <v>E</v>
          </cell>
          <cell r="O1777" t="str">
            <v>A</v>
          </cell>
          <cell r="P1777">
            <v>20</v>
          </cell>
          <cell r="Q1777">
            <v>62</v>
          </cell>
          <cell r="R1777">
            <v>21.5</v>
          </cell>
          <cell r="S1777">
            <v>52.5</v>
          </cell>
          <cell r="T1777">
            <v>-1.5</v>
          </cell>
          <cell r="U1777">
            <v>9.5</v>
          </cell>
          <cell r="V1777">
            <v>42</v>
          </cell>
          <cell r="W1777">
            <v>90</v>
          </cell>
          <cell r="X1777">
            <v>45.5</v>
          </cell>
          <cell r="Y1777">
            <v>102.5</v>
          </cell>
          <cell r="Z1777">
            <v>-3.5</v>
          </cell>
          <cell r="AA1777">
            <v>-12.5</v>
          </cell>
          <cell r="AB1777">
            <v>82</v>
          </cell>
          <cell r="AC1777">
            <v>74</v>
          </cell>
          <cell r="AD1777">
            <v>8</v>
          </cell>
          <cell r="AE1777">
            <v>132</v>
          </cell>
          <cell r="AF1777">
            <v>148</v>
          </cell>
          <cell r="AG1777">
            <v>-16</v>
          </cell>
        </row>
        <row r="1778">
          <cell r="C1778">
            <v>345565</v>
          </cell>
          <cell r="D1778" t="str">
            <v>RAJPURE PETROLEUM</v>
          </cell>
          <cell r="E1778" t="str">
            <v>IOCL</v>
          </cell>
          <cell r="F1778" t="str">
            <v>2021-22</v>
          </cell>
          <cell r="G1778" t="str">
            <v>Pune Saswad RSA</v>
          </cell>
          <cell r="H1778">
            <v>44592</v>
          </cell>
          <cell r="I1778" t="str">
            <v>SC</v>
          </cell>
          <cell r="J1778" t="str">
            <v>bhigwan-rashin road</v>
          </cell>
          <cell r="K1778" t="str">
            <v>Pune</v>
          </cell>
          <cell r="L1778" t="str">
            <v>D2</v>
          </cell>
          <cell r="O1778" t="str">
            <v>A</v>
          </cell>
          <cell r="P1778">
            <v>42.5</v>
          </cell>
          <cell r="Q1778">
            <v>87.5</v>
          </cell>
          <cell r="R1778">
            <v>54.5</v>
          </cell>
          <cell r="S1778">
            <v>75.5</v>
          </cell>
          <cell r="T1778">
            <v>-12</v>
          </cell>
          <cell r="U1778">
            <v>12</v>
          </cell>
          <cell r="V1778">
            <v>98</v>
          </cell>
          <cell r="W1778">
            <v>162</v>
          </cell>
          <cell r="X1778">
            <v>108.5</v>
          </cell>
          <cell r="Y1778">
            <v>157.5</v>
          </cell>
          <cell r="Z1778">
            <v>-10.5</v>
          </cell>
          <cell r="AA1778">
            <v>4.5</v>
          </cell>
          <cell r="AB1778">
            <v>130</v>
          </cell>
          <cell r="AC1778">
            <v>130</v>
          </cell>
          <cell r="AD1778">
            <v>0</v>
          </cell>
          <cell r="AE1778">
            <v>260</v>
          </cell>
          <cell r="AF1778">
            <v>266</v>
          </cell>
          <cell r="AG1778">
            <v>-6</v>
          </cell>
        </row>
        <row r="1779">
          <cell r="C1779">
            <v>345566</v>
          </cell>
          <cell r="D1779" t="str">
            <v>AABASHRI KISAN SEVA KENDRA</v>
          </cell>
          <cell r="E1779" t="str">
            <v>IOCL</v>
          </cell>
          <cell r="F1779" t="str">
            <v>2021-22</v>
          </cell>
          <cell r="G1779" t="str">
            <v>Ahmednagar West RSA</v>
          </cell>
          <cell r="H1779">
            <v>44592</v>
          </cell>
          <cell r="I1779" t="str">
            <v>SC</v>
          </cell>
          <cell r="J1779" t="str">
            <v>Nagalwadi</v>
          </cell>
          <cell r="K1779" t="str">
            <v>Ahmednagar</v>
          </cell>
          <cell r="L1779" t="str">
            <v>E</v>
          </cell>
          <cell r="O1779" t="str">
            <v>A</v>
          </cell>
          <cell r="P1779">
            <v>0</v>
          </cell>
          <cell r="Q1779">
            <v>0</v>
          </cell>
          <cell r="R1779">
            <v>5</v>
          </cell>
          <cell r="S1779">
            <v>0</v>
          </cell>
          <cell r="T1779">
            <v>-5</v>
          </cell>
          <cell r="U1779">
            <v>0</v>
          </cell>
          <cell r="V1779">
            <v>0</v>
          </cell>
          <cell r="W1779">
            <v>0</v>
          </cell>
          <cell r="X1779">
            <v>5</v>
          </cell>
          <cell r="Y1779">
            <v>0</v>
          </cell>
          <cell r="Z1779">
            <v>-5</v>
          </cell>
          <cell r="AA1779">
            <v>0</v>
          </cell>
          <cell r="AB1779">
            <v>0</v>
          </cell>
          <cell r="AC1779">
            <v>5</v>
          </cell>
          <cell r="AD1779">
            <v>-5</v>
          </cell>
          <cell r="AE1779">
            <v>0</v>
          </cell>
          <cell r="AF1779">
            <v>5</v>
          </cell>
          <cell r="AG1779">
            <v>-5</v>
          </cell>
        </row>
        <row r="1780">
          <cell r="C1780">
            <v>345608</v>
          </cell>
          <cell r="D1780" t="str">
            <v>OMKAR PETROLEUM</v>
          </cell>
          <cell r="E1780" t="str">
            <v>IOCL</v>
          </cell>
          <cell r="F1780" t="str">
            <v>2021-22</v>
          </cell>
          <cell r="G1780" t="str">
            <v>Ahmednagar East RSA</v>
          </cell>
          <cell r="H1780">
            <v>44592</v>
          </cell>
          <cell r="I1780" t="str">
            <v>ST</v>
          </cell>
          <cell r="J1780" t="str">
            <v>Mungi- Hatgaon NH752E</v>
          </cell>
          <cell r="K1780" t="str">
            <v>Ahmednagar</v>
          </cell>
          <cell r="L1780" t="str">
            <v>D1</v>
          </cell>
          <cell r="M1780" t="str">
            <v>NH-752E</v>
          </cell>
          <cell r="O1780" t="str">
            <v>A</v>
          </cell>
          <cell r="P1780">
            <v>25</v>
          </cell>
          <cell r="Q1780">
            <v>91</v>
          </cell>
          <cell r="R1780">
            <v>17</v>
          </cell>
          <cell r="S1780">
            <v>87</v>
          </cell>
          <cell r="T1780">
            <v>8</v>
          </cell>
          <cell r="U1780">
            <v>4</v>
          </cell>
          <cell r="V1780">
            <v>46</v>
          </cell>
          <cell r="W1780">
            <v>154</v>
          </cell>
          <cell r="X1780">
            <v>37</v>
          </cell>
          <cell r="Y1780">
            <v>168</v>
          </cell>
          <cell r="Z1780">
            <v>9</v>
          </cell>
          <cell r="AA1780">
            <v>-14</v>
          </cell>
          <cell r="AB1780">
            <v>116</v>
          </cell>
          <cell r="AC1780">
            <v>104</v>
          </cell>
          <cell r="AD1780">
            <v>12</v>
          </cell>
          <cell r="AE1780">
            <v>200</v>
          </cell>
          <cell r="AF1780">
            <v>205</v>
          </cell>
          <cell r="AG1780">
            <v>-5</v>
          </cell>
        </row>
        <row r="1781">
          <cell r="C1781">
            <v>345609</v>
          </cell>
          <cell r="D1781" t="str">
            <v>SAINATH ENTERPRISE</v>
          </cell>
          <cell r="E1781" t="str">
            <v>IOCL</v>
          </cell>
          <cell r="F1781" t="str">
            <v>2021-22</v>
          </cell>
          <cell r="G1781" t="str">
            <v>Pune Wagholi RSA</v>
          </cell>
          <cell r="H1781">
            <v>44592</v>
          </cell>
          <cell r="I1781" t="str">
            <v>ST</v>
          </cell>
          <cell r="J1781" t="str">
            <v>Narayangaon to Alephata LHS</v>
          </cell>
          <cell r="K1781" t="str">
            <v>Pune</v>
          </cell>
          <cell r="L1781" t="str">
            <v>D1</v>
          </cell>
          <cell r="M1781" t="str">
            <v>NH-60</v>
          </cell>
          <cell r="O1781" t="str">
            <v>A</v>
          </cell>
          <cell r="P1781">
            <v>35</v>
          </cell>
          <cell r="Q1781">
            <v>117</v>
          </cell>
          <cell r="R1781">
            <v>34.5</v>
          </cell>
          <cell r="S1781">
            <v>93.5</v>
          </cell>
          <cell r="T1781">
            <v>0.5</v>
          </cell>
          <cell r="U1781">
            <v>23.5</v>
          </cell>
          <cell r="V1781">
            <v>61</v>
          </cell>
          <cell r="W1781">
            <v>219</v>
          </cell>
          <cell r="X1781">
            <v>58.5</v>
          </cell>
          <cell r="Y1781">
            <v>171.5</v>
          </cell>
          <cell r="Z1781">
            <v>2.5</v>
          </cell>
          <cell r="AA1781">
            <v>47.5</v>
          </cell>
          <cell r="AB1781">
            <v>152</v>
          </cell>
          <cell r="AC1781">
            <v>128</v>
          </cell>
          <cell r="AD1781">
            <v>24</v>
          </cell>
          <cell r="AE1781">
            <v>280</v>
          </cell>
          <cell r="AF1781">
            <v>230</v>
          </cell>
          <cell r="AG1781">
            <v>50</v>
          </cell>
        </row>
        <row r="1782">
          <cell r="C1782">
            <v>345611</v>
          </cell>
          <cell r="D1782" t="str">
            <v>SHRI NAGESHWAR PETROLEUM</v>
          </cell>
          <cell r="E1782" t="str">
            <v>IOCL</v>
          </cell>
          <cell r="F1782" t="str">
            <v>2021-22</v>
          </cell>
          <cell r="G1782" t="str">
            <v>Ahmednagar West RSA</v>
          </cell>
          <cell r="H1782">
            <v>44592</v>
          </cell>
          <cell r="I1782" t="str">
            <v>OPEN</v>
          </cell>
          <cell r="J1782" t="str">
            <v>Nagalwadi</v>
          </cell>
          <cell r="K1782" t="str">
            <v>Ahmednagar</v>
          </cell>
          <cell r="L1782" t="str">
            <v>E</v>
          </cell>
          <cell r="O1782" t="str">
            <v>B</v>
          </cell>
          <cell r="P1782">
            <v>15</v>
          </cell>
          <cell r="Q1782">
            <v>69</v>
          </cell>
          <cell r="R1782">
            <v>18</v>
          </cell>
          <cell r="S1782">
            <v>42</v>
          </cell>
          <cell r="T1782">
            <v>-3</v>
          </cell>
          <cell r="U1782">
            <v>27</v>
          </cell>
          <cell r="V1782">
            <v>25</v>
          </cell>
          <cell r="W1782">
            <v>119</v>
          </cell>
          <cell r="X1782">
            <v>25</v>
          </cell>
          <cell r="Y1782">
            <v>71</v>
          </cell>
          <cell r="Z1782">
            <v>0</v>
          </cell>
          <cell r="AA1782">
            <v>48</v>
          </cell>
          <cell r="AB1782">
            <v>84</v>
          </cell>
          <cell r="AC1782">
            <v>60</v>
          </cell>
          <cell r="AD1782">
            <v>24</v>
          </cell>
          <cell r="AE1782">
            <v>144</v>
          </cell>
          <cell r="AF1782">
            <v>96</v>
          </cell>
          <cell r="AG1782">
            <v>48</v>
          </cell>
        </row>
        <row r="1783">
          <cell r="C1783">
            <v>345693</v>
          </cell>
          <cell r="D1783" t="str">
            <v>MALHAR ENERGY</v>
          </cell>
          <cell r="E1783" t="str">
            <v>IOCL</v>
          </cell>
          <cell r="G1783" t="str">
            <v>Pune Saswad RSA</v>
          </cell>
          <cell r="H1783">
            <v>28352</v>
          </cell>
          <cell r="I1783" t="str">
            <v>OPEN (W)</v>
          </cell>
          <cell r="J1783" t="str">
            <v>JEJURI</v>
          </cell>
          <cell r="K1783" t="str">
            <v>Pune</v>
          </cell>
          <cell r="L1783" t="str">
            <v>D1</v>
          </cell>
          <cell r="M1783" t="str">
            <v>NH-965</v>
          </cell>
          <cell r="O1783" t="str">
            <v>A</v>
          </cell>
          <cell r="P1783">
            <v>94</v>
          </cell>
          <cell r="Q1783">
            <v>82</v>
          </cell>
          <cell r="R1783">
            <v>81</v>
          </cell>
          <cell r="S1783">
            <v>63</v>
          </cell>
          <cell r="T1783">
            <v>13</v>
          </cell>
          <cell r="U1783">
            <v>19</v>
          </cell>
          <cell r="V1783">
            <v>176</v>
          </cell>
          <cell r="W1783">
            <v>162</v>
          </cell>
          <cell r="X1783">
            <v>146</v>
          </cell>
          <cell r="Y1783">
            <v>106</v>
          </cell>
          <cell r="Z1783">
            <v>30</v>
          </cell>
          <cell r="AA1783">
            <v>56</v>
          </cell>
          <cell r="AB1783">
            <v>176</v>
          </cell>
          <cell r="AC1783">
            <v>144</v>
          </cell>
          <cell r="AD1783">
            <v>32</v>
          </cell>
          <cell r="AE1783">
            <v>338</v>
          </cell>
          <cell r="AF1783">
            <v>252</v>
          </cell>
          <cell r="AG1783">
            <v>86</v>
          </cell>
        </row>
        <row r="1784">
          <cell r="C1784">
            <v>345706</v>
          </cell>
          <cell r="D1784" t="str">
            <v>SHIVSAMARTH PETROCHEM</v>
          </cell>
          <cell r="E1784" t="str">
            <v>IOCL</v>
          </cell>
          <cell r="F1784" t="str">
            <v>2021-22</v>
          </cell>
          <cell r="G1784" t="str">
            <v>Satara West RSA</v>
          </cell>
          <cell r="H1784">
            <v>44592</v>
          </cell>
          <cell r="I1784" t="str">
            <v>OPEN</v>
          </cell>
          <cell r="J1784" t="str">
            <v>Bhuinj to Khandala</v>
          </cell>
          <cell r="K1784" t="str">
            <v>Satara</v>
          </cell>
          <cell r="L1784" t="str">
            <v>D1</v>
          </cell>
          <cell r="M1784" t="str">
            <v>NH-48</v>
          </cell>
          <cell r="O1784" t="str">
            <v>B</v>
          </cell>
          <cell r="P1784">
            <v>11</v>
          </cell>
          <cell r="Q1784">
            <v>45</v>
          </cell>
          <cell r="R1784">
            <v>3</v>
          </cell>
          <cell r="S1784">
            <v>9</v>
          </cell>
          <cell r="T1784">
            <v>8</v>
          </cell>
          <cell r="U1784">
            <v>36</v>
          </cell>
          <cell r="V1784">
            <v>14</v>
          </cell>
          <cell r="W1784">
            <v>90</v>
          </cell>
          <cell r="X1784">
            <v>16</v>
          </cell>
          <cell r="Y1784">
            <v>44</v>
          </cell>
          <cell r="Z1784">
            <v>-2</v>
          </cell>
          <cell r="AA1784">
            <v>46</v>
          </cell>
          <cell r="AB1784">
            <v>56</v>
          </cell>
          <cell r="AC1784">
            <v>12</v>
          </cell>
          <cell r="AD1784">
            <v>44</v>
          </cell>
          <cell r="AE1784">
            <v>104</v>
          </cell>
          <cell r="AF1784">
            <v>60</v>
          </cell>
          <cell r="AG1784">
            <v>44</v>
          </cell>
        </row>
        <row r="1785">
          <cell r="C1785">
            <v>346336</v>
          </cell>
          <cell r="D1785" t="str">
            <v>SSK PETROLEUM</v>
          </cell>
          <cell r="E1785" t="str">
            <v>IOCL</v>
          </cell>
          <cell r="F1785" t="str">
            <v>2021-22</v>
          </cell>
          <cell r="G1785" t="str">
            <v>Pune Hadapsar RSA</v>
          </cell>
          <cell r="H1785">
            <v>44620</v>
          </cell>
          <cell r="I1785" t="str">
            <v>SC</v>
          </cell>
          <cell r="J1785" t="str">
            <v>Kasurdi</v>
          </cell>
          <cell r="K1785" t="str">
            <v>Pune</v>
          </cell>
          <cell r="L1785" t="str">
            <v>E</v>
          </cell>
          <cell r="O1785" t="str">
            <v>A</v>
          </cell>
          <cell r="P1785">
            <v>17.5</v>
          </cell>
          <cell r="Q1785">
            <v>44.5</v>
          </cell>
          <cell r="R1785">
            <v>10</v>
          </cell>
          <cell r="S1785">
            <v>26</v>
          </cell>
          <cell r="T1785">
            <v>7.5</v>
          </cell>
          <cell r="U1785">
            <v>18.5</v>
          </cell>
          <cell r="V1785">
            <v>37.5</v>
          </cell>
          <cell r="W1785">
            <v>84.5</v>
          </cell>
          <cell r="X1785">
            <v>19</v>
          </cell>
          <cell r="Y1785">
            <v>53</v>
          </cell>
          <cell r="Z1785">
            <v>18.5</v>
          </cell>
          <cell r="AA1785">
            <v>31.5</v>
          </cell>
          <cell r="AB1785">
            <v>62</v>
          </cell>
          <cell r="AC1785">
            <v>36</v>
          </cell>
          <cell r="AD1785">
            <v>26</v>
          </cell>
          <cell r="AE1785">
            <v>122</v>
          </cell>
          <cell r="AF1785">
            <v>72</v>
          </cell>
          <cell r="AG1785">
            <v>50</v>
          </cell>
        </row>
        <row r="1786">
          <cell r="C1786">
            <v>346362</v>
          </cell>
          <cell r="D1786" t="str">
            <v>ATOLE PETROLEUM</v>
          </cell>
          <cell r="E1786" t="str">
            <v>IOCL</v>
          </cell>
          <cell r="F1786" t="str">
            <v>2021-22</v>
          </cell>
          <cell r="G1786" t="str">
            <v>Pune Hadapsar RSA</v>
          </cell>
          <cell r="H1786">
            <v>44620</v>
          </cell>
          <cell r="I1786" t="str">
            <v>SC</v>
          </cell>
          <cell r="J1786" t="str">
            <v>Ravangaon LHS</v>
          </cell>
          <cell r="K1786" t="str">
            <v>Pune</v>
          </cell>
          <cell r="L1786" t="str">
            <v>D1</v>
          </cell>
          <cell r="M1786" t="str">
            <v>NH-65</v>
          </cell>
          <cell r="O1786" t="str">
            <v>A</v>
          </cell>
          <cell r="P1786">
            <v>26</v>
          </cell>
          <cell r="Q1786">
            <v>72</v>
          </cell>
          <cell r="R1786">
            <v>22.5</v>
          </cell>
          <cell r="S1786">
            <v>55.5</v>
          </cell>
          <cell r="T1786">
            <v>3.5</v>
          </cell>
          <cell r="U1786">
            <v>16.5</v>
          </cell>
          <cell r="V1786">
            <v>56</v>
          </cell>
          <cell r="W1786">
            <v>150</v>
          </cell>
          <cell r="X1786">
            <v>50.5</v>
          </cell>
          <cell r="Y1786">
            <v>105.5</v>
          </cell>
          <cell r="Z1786">
            <v>5.5</v>
          </cell>
          <cell r="AA1786">
            <v>44.5</v>
          </cell>
          <cell r="AB1786">
            <v>98</v>
          </cell>
          <cell r="AC1786">
            <v>78</v>
          </cell>
          <cell r="AD1786">
            <v>20</v>
          </cell>
          <cell r="AE1786">
            <v>206</v>
          </cell>
          <cell r="AF1786">
            <v>156</v>
          </cell>
          <cell r="AG1786">
            <v>50</v>
          </cell>
        </row>
        <row r="1787">
          <cell r="C1787">
            <v>346363</v>
          </cell>
          <cell r="D1787" t="str">
            <v>MAHIPATI MAHARAJ GP PETROLEUM</v>
          </cell>
          <cell r="E1787" t="str">
            <v>IOCL</v>
          </cell>
          <cell r="F1787" t="str">
            <v>2021-22</v>
          </cell>
          <cell r="G1787" t="str">
            <v>Shirdi RSA</v>
          </cell>
          <cell r="H1787">
            <v>44651</v>
          </cell>
          <cell r="I1787" t="str">
            <v>OBC</v>
          </cell>
          <cell r="J1787" t="str">
            <v>GADADHE AKHADA</v>
          </cell>
          <cell r="K1787" t="str">
            <v>Ahmednagar</v>
          </cell>
          <cell r="L1787" t="str">
            <v>D2</v>
          </cell>
          <cell r="O1787" t="str">
            <v>B</v>
          </cell>
          <cell r="P1787">
            <v>24</v>
          </cell>
          <cell r="Q1787">
            <v>48</v>
          </cell>
          <cell r="R1787">
            <v>32</v>
          </cell>
          <cell r="S1787">
            <v>60</v>
          </cell>
          <cell r="T1787">
            <v>-8</v>
          </cell>
          <cell r="U1787">
            <v>-12</v>
          </cell>
          <cell r="V1787">
            <v>57</v>
          </cell>
          <cell r="W1787">
            <v>99</v>
          </cell>
          <cell r="X1787">
            <v>57</v>
          </cell>
          <cell r="Y1787">
            <v>115</v>
          </cell>
          <cell r="Z1787">
            <v>0</v>
          </cell>
          <cell r="AA1787">
            <v>-16</v>
          </cell>
          <cell r="AB1787">
            <v>72</v>
          </cell>
          <cell r="AC1787">
            <v>92</v>
          </cell>
          <cell r="AD1787">
            <v>-20</v>
          </cell>
          <cell r="AE1787">
            <v>156</v>
          </cell>
          <cell r="AF1787">
            <v>172</v>
          </cell>
          <cell r="AG1787">
            <v>-16</v>
          </cell>
        </row>
        <row r="1788">
          <cell r="C1788">
            <v>346369</v>
          </cell>
          <cell r="D1788" t="str">
            <v>DATTA KAKA SANE PETROLEUM</v>
          </cell>
          <cell r="E1788" t="str">
            <v>IOCL</v>
          </cell>
          <cell r="F1788" t="str">
            <v>2021-22</v>
          </cell>
          <cell r="G1788" t="str">
            <v>Pimpri Chinchwad RSA</v>
          </cell>
          <cell r="H1788">
            <v>44620</v>
          </cell>
          <cell r="I1788" t="str">
            <v>OPEN</v>
          </cell>
          <cell r="J1788" t="str">
            <v>CHIKHLI</v>
          </cell>
          <cell r="K1788" t="str">
            <v>Pune</v>
          </cell>
          <cell r="L1788" t="str">
            <v>A</v>
          </cell>
          <cell r="O1788" t="str">
            <v>A</v>
          </cell>
          <cell r="P1788">
            <v>173</v>
          </cell>
          <cell r="Q1788">
            <v>117</v>
          </cell>
          <cell r="R1788">
            <v>169</v>
          </cell>
          <cell r="S1788">
            <v>129</v>
          </cell>
          <cell r="T1788">
            <v>4</v>
          </cell>
          <cell r="U1788">
            <v>-12</v>
          </cell>
          <cell r="V1788">
            <v>344</v>
          </cell>
          <cell r="W1788">
            <v>234</v>
          </cell>
          <cell r="X1788">
            <v>336</v>
          </cell>
          <cell r="Y1788">
            <v>246</v>
          </cell>
          <cell r="Z1788">
            <v>8</v>
          </cell>
          <cell r="AA1788">
            <v>-12</v>
          </cell>
          <cell r="AB1788">
            <v>290</v>
          </cell>
          <cell r="AC1788">
            <v>298</v>
          </cell>
          <cell r="AD1788">
            <v>-8</v>
          </cell>
          <cell r="AE1788">
            <v>578</v>
          </cell>
          <cell r="AF1788">
            <v>582</v>
          </cell>
          <cell r="AG1788">
            <v>-4</v>
          </cell>
        </row>
        <row r="1789">
          <cell r="C1789">
            <v>346397</v>
          </cell>
          <cell r="D1789" t="str">
            <v>S. H. DUBAL PETROLEUM</v>
          </cell>
          <cell r="E1789" t="str">
            <v>IOCL</v>
          </cell>
          <cell r="F1789" t="str">
            <v>2021-22</v>
          </cell>
          <cell r="G1789" t="str">
            <v>Satara West RSA</v>
          </cell>
          <cell r="H1789">
            <v>44620</v>
          </cell>
          <cell r="I1789" t="str">
            <v>OPEN</v>
          </cell>
          <cell r="J1789" t="str">
            <v>Karad on NH48 LHS</v>
          </cell>
          <cell r="K1789" t="str">
            <v>Satara</v>
          </cell>
          <cell r="L1789" t="str">
            <v>D1</v>
          </cell>
          <cell r="M1789" t="str">
            <v>NH-48</v>
          </cell>
          <cell r="O1789" t="str">
            <v>B</v>
          </cell>
          <cell r="P1789">
            <v>101.5</v>
          </cell>
          <cell r="Q1789">
            <v>108.5</v>
          </cell>
          <cell r="R1789">
            <v>87</v>
          </cell>
          <cell r="S1789">
            <v>93</v>
          </cell>
          <cell r="T1789">
            <v>14.5</v>
          </cell>
          <cell r="U1789">
            <v>15.5</v>
          </cell>
          <cell r="V1789">
            <v>182</v>
          </cell>
          <cell r="W1789">
            <v>196</v>
          </cell>
          <cell r="X1789">
            <v>168</v>
          </cell>
          <cell r="Y1789">
            <v>180</v>
          </cell>
          <cell r="Z1789">
            <v>14</v>
          </cell>
          <cell r="AA1789">
            <v>16</v>
          </cell>
          <cell r="AB1789">
            <v>210</v>
          </cell>
          <cell r="AC1789">
            <v>180</v>
          </cell>
          <cell r="AD1789">
            <v>30</v>
          </cell>
          <cell r="AE1789">
            <v>378</v>
          </cell>
          <cell r="AF1789">
            <v>348</v>
          </cell>
          <cell r="AG1789">
            <v>30</v>
          </cell>
        </row>
        <row r="1790">
          <cell r="C1790">
            <v>346399</v>
          </cell>
          <cell r="D1790" t="str">
            <v>JYOTIRLING KISAN SEWA KENDRA</v>
          </cell>
          <cell r="E1790" t="str">
            <v>IOCL</v>
          </cell>
          <cell r="F1790" t="str">
            <v>2021-22</v>
          </cell>
          <cell r="G1790" t="str">
            <v>Pune Saswad RSA</v>
          </cell>
          <cell r="H1790">
            <v>44620</v>
          </cell>
          <cell r="I1790" t="str">
            <v>OBC</v>
          </cell>
          <cell r="J1790" t="str">
            <v>Mandaki</v>
          </cell>
          <cell r="K1790" t="str">
            <v>Pune</v>
          </cell>
          <cell r="L1790" t="str">
            <v>E</v>
          </cell>
          <cell r="O1790" t="str">
            <v>B</v>
          </cell>
          <cell r="P1790">
            <v>30</v>
          </cell>
          <cell r="Q1790">
            <v>66</v>
          </cell>
          <cell r="R1790">
            <v>18</v>
          </cell>
          <cell r="S1790">
            <v>42</v>
          </cell>
          <cell r="T1790">
            <v>12</v>
          </cell>
          <cell r="U1790">
            <v>24</v>
          </cell>
          <cell r="V1790">
            <v>55</v>
          </cell>
          <cell r="W1790">
            <v>129</v>
          </cell>
          <cell r="X1790">
            <v>45</v>
          </cell>
          <cell r="Y1790">
            <v>99</v>
          </cell>
          <cell r="Z1790">
            <v>10</v>
          </cell>
          <cell r="AA1790">
            <v>30</v>
          </cell>
          <cell r="AB1790">
            <v>96</v>
          </cell>
          <cell r="AC1790">
            <v>60</v>
          </cell>
          <cell r="AD1790">
            <v>36</v>
          </cell>
          <cell r="AE1790">
            <v>184</v>
          </cell>
          <cell r="AF1790">
            <v>144</v>
          </cell>
          <cell r="AG1790">
            <v>40</v>
          </cell>
        </row>
        <row r="1791">
          <cell r="C1791">
            <v>346403</v>
          </cell>
          <cell r="D1791" t="str">
            <v>SHIVANKEET PETROLEUM</v>
          </cell>
          <cell r="E1791" t="str">
            <v>IOCL</v>
          </cell>
          <cell r="F1791" t="str">
            <v>2021-22</v>
          </cell>
          <cell r="G1791" t="str">
            <v>Pune Wagholi RSA</v>
          </cell>
          <cell r="H1791">
            <v>44620</v>
          </cell>
          <cell r="I1791" t="str">
            <v>SC</v>
          </cell>
          <cell r="J1791" t="str">
            <v>Ranjangaon to Shirur LHS</v>
          </cell>
          <cell r="K1791" t="str">
            <v>Pune</v>
          </cell>
          <cell r="L1791" t="str">
            <v>D1</v>
          </cell>
          <cell r="M1791" t="str">
            <v>NH-753F</v>
          </cell>
          <cell r="O1791" t="str">
            <v>A</v>
          </cell>
          <cell r="P1791">
            <v>68.5</v>
          </cell>
          <cell r="Q1791">
            <v>145.5</v>
          </cell>
          <cell r="R1791">
            <v>72</v>
          </cell>
          <cell r="S1791">
            <v>193</v>
          </cell>
          <cell r="T1791">
            <v>-3.5</v>
          </cell>
          <cell r="U1791">
            <v>-47.5</v>
          </cell>
          <cell r="V1791">
            <v>136.5</v>
          </cell>
          <cell r="W1791">
            <v>329.5</v>
          </cell>
          <cell r="X1791">
            <v>142.5</v>
          </cell>
          <cell r="Y1791">
            <v>352.5</v>
          </cell>
          <cell r="Z1791">
            <v>-6</v>
          </cell>
          <cell r="AA1791">
            <v>-23</v>
          </cell>
          <cell r="AB1791">
            <v>214</v>
          </cell>
          <cell r="AC1791">
            <v>265</v>
          </cell>
          <cell r="AD1791">
            <v>-51</v>
          </cell>
          <cell r="AE1791">
            <v>466</v>
          </cell>
          <cell r="AF1791">
            <v>495</v>
          </cell>
          <cell r="AG1791">
            <v>-29</v>
          </cell>
        </row>
        <row r="1792">
          <cell r="C1792">
            <v>347071</v>
          </cell>
          <cell r="D1792" t="str">
            <v>SAIDEEP PETROLEUM</v>
          </cell>
          <cell r="E1792" t="str">
            <v>IOCL</v>
          </cell>
          <cell r="F1792" t="str">
            <v>2021-22</v>
          </cell>
          <cell r="G1792" t="str">
            <v>Shirdi RSA</v>
          </cell>
          <cell r="H1792">
            <v>44651</v>
          </cell>
          <cell r="I1792" t="str">
            <v>OPEN</v>
          </cell>
          <cell r="J1792" t="str">
            <v>PUNTAMBA PHATA</v>
          </cell>
          <cell r="K1792" t="str">
            <v>Ahmednagar</v>
          </cell>
          <cell r="L1792" t="str">
            <v>D1</v>
          </cell>
          <cell r="M1792" t="str">
            <v>NH-752G</v>
          </cell>
          <cell r="O1792" t="str">
            <v>B</v>
          </cell>
          <cell r="P1792">
            <v>21</v>
          </cell>
          <cell r="Q1792">
            <v>63</v>
          </cell>
          <cell r="R1792">
            <v>24</v>
          </cell>
          <cell r="S1792">
            <v>36</v>
          </cell>
          <cell r="T1792">
            <v>-3</v>
          </cell>
          <cell r="U1792">
            <v>27</v>
          </cell>
          <cell r="V1792">
            <v>36</v>
          </cell>
          <cell r="W1792">
            <v>104</v>
          </cell>
          <cell r="X1792">
            <v>39</v>
          </cell>
          <cell r="Y1792">
            <v>69</v>
          </cell>
          <cell r="Z1792">
            <v>-3</v>
          </cell>
          <cell r="AA1792">
            <v>35</v>
          </cell>
          <cell r="AB1792">
            <v>84</v>
          </cell>
          <cell r="AC1792">
            <v>60</v>
          </cell>
          <cell r="AD1792">
            <v>24</v>
          </cell>
          <cell r="AE1792">
            <v>140</v>
          </cell>
          <cell r="AF1792">
            <v>108</v>
          </cell>
          <cell r="AG1792">
            <v>32</v>
          </cell>
        </row>
        <row r="1793">
          <cell r="C1793">
            <v>347361</v>
          </cell>
          <cell r="D1793" t="str">
            <v>SHREE MAULI PETROLEUM</v>
          </cell>
          <cell r="E1793" t="str">
            <v>IOCL</v>
          </cell>
          <cell r="F1793" t="str">
            <v>2021-22</v>
          </cell>
          <cell r="G1793" t="str">
            <v>Ahmednagar West RSA</v>
          </cell>
          <cell r="H1793">
            <v>44651</v>
          </cell>
          <cell r="I1793" t="str">
            <v>ST</v>
          </cell>
          <cell r="J1793" t="str">
            <v>Bhalawani</v>
          </cell>
          <cell r="K1793" t="str">
            <v>Ahmednagar</v>
          </cell>
          <cell r="L1793" t="str">
            <v>D1</v>
          </cell>
          <cell r="M1793" t="str">
            <v>NH-61</v>
          </cell>
          <cell r="O1793" t="str">
            <v>A</v>
          </cell>
          <cell r="P1793">
            <v>29</v>
          </cell>
          <cell r="Q1793">
            <v>87</v>
          </cell>
          <cell r="R1793">
            <v>32</v>
          </cell>
          <cell r="S1793">
            <v>90</v>
          </cell>
          <cell r="T1793">
            <v>-3</v>
          </cell>
          <cell r="U1793">
            <v>-3</v>
          </cell>
          <cell r="V1793">
            <v>53.5</v>
          </cell>
          <cell r="W1793">
            <v>160.5</v>
          </cell>
          <cell r="X1793">
            <v>50</v>
          </cell>
          <cell r="Y1793">
            <v>168</v>
          </cell>
          <cell r="Z1793">
            <v>3.5</v>
          </cell>
          <cell r="AA1793">
            <v>-7.5</v>
          </cell>
          <cell r="AB1793">
            <v>116</v>
          </cell>
          <cell r="AC1793">
            <v>122</v>
          </cell>
          <cell r="AD1793">
            <v>-6</v>
          </cell>
          <cell r="AE1793">
            <v>214</v>
          </cell>
          <cell r="AF1793">
            <v>218</v>
          </cell>
          <cell r="AG1793">
            <v>-4</v>
          </cell>
        </row>
        <row r="1794">
          <cell r="C1794">
            <v>347366</v>
          </cell>
          <cell r="D1794" t="str">
            <v>DARSHAN PETROLEUM &amp; TRANSPORT SERVI</v>
          </cell>
          <cell r="E1794" t="str">
            <v>IOCL</v>
          </cell>
          <cell r="F1794" t="str">
            <v>2021-22</v>
          </cell>
          <cell r="G1794" t="str">
            <v>Pune Wagholi RSA</v>
          </cell>
          <cell r="H1794">
            <v>44651</v>
          </cell>
          <cell r="I1794" t="str">
            <v>OPEN</v>
          </cell>
          <cell r="J1794" t="str">
            <v>Manchar</v>
          </cell>
          <cell r="K1794" t="str">
            <v>Pune</v>
          </cell>
          <cell r="L1794" t="str">
            <v>C</v>
          </cell>
          <cell r="O1794" t="str">
            <v>B</v>
          </cell>
          <cell r="P1794">
            <v>14.5</v>
          </cell>
          <cell r="Q1794">
            <v>57.5</v>
          </cell>
          <cell r="R1794">
            <v>24.5</v>
          </cell>
          <cell r="S1794">
            <v>269.5</v>
          </cell>
          <cell r="T1794">
            <v>-10</v>
          </cell>
          <cell r="U1794">
            <v>-212</v>
          </cell>
          <cell r="V1794">
            <v>33</v>
          </cell>
          <cell r="W1794">
            <v>127</v>
          </cell>
          <cell r="X1794">
            <v>49</v>
          </cell>
          <cell r="Y1794">
            <v>543</v>
          </cell>
          <cell r="Z1794">
            <v>-16</v>
          </cell>
          <cell r="AA1794">
            <v>-416</v>
          </cell>
          <cell r="AB1794">
            <v>72</v>
          </cell>
          <cell r="AC1794">
            <v>294</v>
          </cell>
          <cell r="AD1794">
            <v>-222</v>
          </cell>
          <cell r="AE1794">
            <v>160</v>
          </cell>
          <cell r="AF1794">
            <v>592</v>
          </cell>
          <cell r="AG1794">
            <v>-432</v>
          </cell>
        </row>
        <row r="1795">
          <cell r="C1795">
            <v>347370</v>
          </cell>
          <cell r="D1795" t="str">
            <v>ABHISHEK PETROLEUM</v>
          </cell>
          <cell r="E1795" t="str">
            <v>IOCL</v>
          </cell>
          <cell r="F1795" t="str">
            <v>2021-22</v>
          </cell>
          <cell r="G1795" t="str">
            <v>Ahmednagar West RSA</v>
          </cell>
          <cell r="H1795">
            <v>44651</v>
          </cell>
          <cell r="I1795" t="str">
            <v>OPEN</v>
          </cell>
          <cell r="J1795" t="str">
            <v>Takli Dhokeshwar</v>
          </cell>
          <cell r="K1795" t="str">
            <v>Ahmednagar</v>
          </cell>
          <cell r="L1795" t="str">
            <v>D1</v>
          </cell>
          <cell r="M1795" t="str">
            <v>NH-61</v>
          </cell>
          <cell r="O1795" t="str">
            <v>B</v>
          </cell>
          <cell r="P1795">
            <v>35.5</v>
          </cell>
          <cell r="Q1795">
            <v>134.5</v>
          </cell>
          <cell r="R1795">
            <v>29</v>
          </cell>
          <cell r="S1795">
            <v>75</v>
          </cell>
          <cell r="T1795">
            <v>6.5</v>
          </cell>
          <cell r="U1795">
            <v>59.5</v>
          </cell>
          <cell r="V1795">
            <v>58.5</v>
          </cell>
          <cell r="W1795">
            <v>203.5</v>
          </cell>
          <cell r="X1795">
            <v>47</v>
          </cell>
          <cell r="Y1795">
            <v>141</v>
          </cell>
          <cell r="Z1795">
            <v>11.5</v>
          </cell>
          <cell r="AA1795">
            <v>62.5</v>
          </cell>
          <cell r="AB1795">
            <v>170</v>
          </cell>
          <cell r="AC1795">
            <v>104</v>
          </cell>
          <cell r="AD1795">
            <v>66</v>
          </cell>
          <cell r="AE1795">
            <v>262</v>
          </cell>
          <cell r="AF1795">
            <v>188</v>
          </cell>
          <cell r="AG1795">
            <v>74</v>
          </cell>
        </row>
        <row r="1796">
          <cell r="C1796">
            <v>347382</v>
          </cell>
          <cell r="D1796" t="str">
            <v>PARVATI PETROLEUM</v>
          </cell>
          <cell r="E1796" t="str">
            <v>IOCL</v>
          </cell>
          <cell r="F1796" t="str">
            <v>2021-22</v>
          </cell>
          <cell r="G1796" t="str">
            <v>Satara East RSA</v>
          </cell>
          <cell r="H1796">
            <v>44651</v>
          </cell>
          <cell r="I1796" t="str">
            <v>OPEN</v>
          </cell>
          <cell r="J1796" t="str">
            <v>BORWAT</v>
          </cell>
          <cell r="K1796" t="str">
            <v>Satara</v>
          </cell>
          <cell r="L1796" t="str">
            <v>E</v>
          </cell>
          <cell r="O1796" t="str">
            <v>B</v>
          </cell>
          <cell r="P1796">
            <v>0</v>
          </cell>
          <cell r="Q1796">
            <v>0</v>
          </cell>
          <cell r="R1796">
            <v>9</v>
          </cell>
          <cell r="S1796">
            <v>15</v>
          </cell>
          <cell r="T1796">
            <v>-9</v>
          </cell>
          <cell r="U1796">
            <v>-15</v>
          </cell>
          <cell r="V1796">
            <v>10.5</v>
          </cell>
          <cell r="W1796">
            <v>17.5</v>
          </cell>
          <cell r="X1796">
            <v>21</v>
          </cell>
          <cell r="Y1796">
            <v>39</v>
          </cell>
          <cell r="Z1796">
            <v>-10.5</v>
          </cell>
          <cell r="AA1796">
            <v>-21.5</v>
          </cell>
          <cell r="AB1796">
            <v>0</v>
          </cell>
          <cell r="AC1796">
            <v>24</v>
          </cell>
          <cell r="AD1796">
            <v>-24</v>
          </cell>
          <cell r="AE1796">
            <v>28</v>
          </cell>
          <cell r="AF1796">
            <v>60</v>
          </cell>
          <cell r="AG1796">
            <v>-32</v>
          </cell>
        </row>
        <row r="1797">
          <cell r="C1797">
            <v>347383</v>
          </cell>
          <cell r="D1797" t="str">
            <v>SALUNKE PETROLEUM</v>
          </cell>
          <cell r="E1797" t="str">
            <v>IOCL</v>
          </cell>
          <cell r="F1797" t="str">
            <v>2021-22</v>
          </cell>
          <cell r="G1797" t="str">
            <v>Pune Hadapsar RSA</v>
          </cell>
          <cell r="H1797">
            <v>44650</v>
          </cell>
          <cell r="I1797" t="str">
            <v>OPEN</v>
          </cell>
          <cell r="J1797" t="str">
            <v>Vasunde</v>
          </cell>
          <cell r="K1797" t="str">
            <v>Pune</v>
          </cell>
          <cell r="L1797" t="str">
            <v>D1</v>
          </cell>
          <cell r="M1797" t="str">
            <v>NH-965G</v>
          </cell>
          <cell r="O1797" t="str">
            <v>B</v>
          </cell>
          <cell r="P1797">
            <v>18.5</v>
          </cell>
          <cell r="Q1797">
            <v>159.5</v>
          </cell>
          <cell r="R1797">
            <v>12.5</v>
          </cell>
          <cell r="S1797">
            <v>127.5</v>
          </cell>
          <cell r="T1797">
            <v>6</v>
          </cell>
          <cell r="U1797">
            <v>32</v>
          </cell>
          <cell r="V1797">
            <v>37</v>
          </cell>
          <cell r="W1797">
            <v>335</v>
          </cell>
          <cell r="X1797">
            <v>27</v>
          </cell>
          <cell r="Y1797">
            <v>273</v>
          </cell>
          <cell r="Z1797">
            <v>10</v>
          </cell>
          <cell r="AA1797">
            <v>62</v>
          </cell>
          <cell r="AB1797">
            <v>178</v>
          </cell>
          <cell r="AC1797">
            <v>140</v>
          </cell>
          <cell r="AD1797">
            <v>38</v>
          </cell>
          <cell r="AE1797">
            <v>372</v>
          </cell>
          <cell r="AF1797">
            <v>300</v>
          </cell>
          <cell r="AG1797">
            <v>72</v>
          </cell>
        </row>
        <row r="1798">
          <cell r="C1798">
            <v>347461</v>
          </cell>
          <cell r="D1798" t="str">
            <v>PESHAVE PETROLEUM</v>
          </cell>
          <cell r="E1798" t="str">
            <v>IOCL</v>
          </cell>
          <cell r="F1798" t="str">
            <v>2021-22</v>
          </cell>
          <cell r="G1798" t="str">
            <v>Pune Saswad RSA</v>
          </cell>
          <cell r="H1798">
            <v>44651</v>
          </cell>
          <cell r="I1798" t="str">
            <v>OPEN</v>
          </cell>
          <cell r="J1798" t="str">
            <v>JEJURI</v>
          </cell>
          <cell r="K1798" t="str">
            <v>Pune</v>
          </cell>
          <cell r="L1798" t="str">
            <v>D1</v>
          </cell>
          <cell r="M1798" t="str">
            <v>NH-965</v>
          </cell>
          <cell r="O1798" t="str">
            <v>B</v>
          </cell>
          <cell r="P1798">
            <v>36</v>
          </cell>
          <cell r="Q1798">
            <v>48</v>
          </cell>
          <cell r="R1798">
            <v>21</v>
          </cell>
          <cell r="S1798">
            <v>27</v>
          </cell>
          <cell r="T1798">
            <v>15</v>
          </cell>
          <cell r="U1798">
            <v>21</v>
          </cell>
          <cell r="V1798">
            <v>57</v>
          </cell>
          <cell r="W1798">
            <v>77</v>
          </cell>
          <cell r="X1798">
            <v>48</v>
          </cell>
          <cell r="Y1798">
            <v>62</v>
          </cell>
          <cell r="Z1798">
            <v>9</v>
          </cell>
          <cell r="AA1798">
            <v>15</v>
          </cell>
          <cell r="AB1798">
            <v>84</v>
          </cell>
          <cell r="AC1798">
            <v>48</v>
          </cell>
          <cell r="AD1798">
            <v>36</v>
          </cell>
          <cell r="AE1798">
            <v>134</v>
          </cell>
          <cell r="AF1798">
            <v>110</v>
          </cell>
          <cell r="AG1798">
            <v>24</v>
          </cell>
        </row>
        <row r="1799">
          <cell r="C1799">
            <v>347490</v>
          </cell>
          <cell r="D1799" t="str">
            <v>SHAHID PRADIP SARODE PETROLEUM</v>
          </cell>
          <cell r="E1799" t="str">
            <v>IOCL</v>
          </cell>
          <cell r="F1799" t="str">
            <v>2021-22</v>
          </cell>
          <cell r="G1799" t="str">
            <v>Pune Wagholi RSA</v>
          </cell>
          <cell r="H1799">
            <v>44651</v>
          </cell>
          <cell r="I1799" t="str">
            <v>SC</v>
          </cell>
          <cell r="J1799" t="str">
            <v>Karde</v>
          </cell>
          <cell r="K1799" t="str">
            <v>Pune</v>
          </cell>
          <cell r="L1799" t="str">
            <v>D2</v>
          </cell>
          <cell r="O1799" t="str">
            <v>A</v>
          </cell>
          <cell r="P1799">
            <v>21</v>
          </cell>
          <cell r="Q1799">
            <v>111</v>
          </cell>
          <cell r="R1799">
            <v>12</v>
          </cell>
          <cell r="S1799">
            <v>62</v>
          </cell>
          <cell r="T1799">
            <v>9</v>
          </cell>
          <cell r="U1799">
            <v>49</v>
          </cell>
          <cell r="V1799">
            <v>39</v>
          </cell>
          <cell r="W1799">
            <v>189</v>
          </cell>
          <cell r="X1799">
            <v>30</v>
          </cell>
          <cell r="Y1799">
            <v>128</v>
          </cell>
          <cell r="Z1799">
            <v>9</v>
          </cell>
          <cell r="AA1799">
            <v>61</v>
          </cell>
          <cell r="AB1799">
            <v>132</v>
          </cell>
          <cell r="AC1799">
            <v>74</v>
          </cell>
          <cell r="AD1799">
            <v>58</v>
          </cell>
          <cell r="AE1799">
            <v>228</v>
          </cell>
          <cell r="AF1799">
            <v>158</v>
          </cell>
          <cell r="AG1799">
            <v>70</v>
          </cell>
        </row>
        <row r="1800">
          <cell r="C1800">
            <v>347513</v>
          </cell>
          <cell r="D1800" t="str">
            <v>SUKHWANI PETROTECH</v>
          </cell>
          <cell r="E1800" t="str">
            <v>IOCL</v>
          </cell>
          <cell r="F1800" t="str">
            <v>2021-22</v>
          </cell>
          <cell r="G1800" t="str">
            <v>Pune City RSA</v>
          </cell>
          <cell r="H1800">
            <v>44651</v>
          </cell>
          <cell r="I1800" t="str">
            <v>OPEN</v>
          </cell>
          <cell r="J1800" t="str">
            <v>Pimple Saudagar</v>
          </cell>
          <cell r="K1800" t="str">
            <v>Pune</v>
          </cell>
          <cell r="L1800" t="str">
            <v>A</v>
          </cell>
          <cell r="O1800" t="str">
            <v>A</v>
          </cell>
          <cell r="P1800">
            <v>266</v>
          </cell>
          <cell r="Q1800">
            <v>98</v>
          </cell>
          <cell r="R1800">
            <v>223.5</v>
          </cell>
          <cell r="S1800">
            <v>90.5</v>
          </cell>
          <cell r="T1800">
            <v>42.5</v>
          </cell>
          <cell r="U1800">
            <v>7.5</v>
          </cell>
          <cell r="V1800">
            <v>525</v>
          </cell>
          <cell r="W1800">
            <v>189</v>
          </cell>
          <cell r="X1800">
            <v>456.5</v>
          </cell>
          <cell r="Y1800">
            <v>163.5</v>
          </cell>
          <cell r="Z1800">
            <v>68.5</v>
          </cell>
          <cell r="AA1800">
            <v>25.5</v>
          </cell>
          <cell r="AB1800">
            <v>364</v>
          </cell>
          <cell r="AC1800">
            <v>314</v>
          </cell>
          <cell r="AD1800">
            <v>50</v>
          </cell>
          <cell r="AE1800">
            <v>714</v>
          </cell>
          <cell r="AF1800">
            <v>620</v>
          </cell>
          <cell r="AG1800">
            <v>94</v>
          </cell>
        </row>
        <row r="1801">
          <cell r="C1801">
            <v>347526</v>
          </cell>
          <cell r="D1801" t="str">
            <v>JAI HIND PETROLEUM</v>
          </cell>
          <cell r="E1801" t="str">
            <v>IOCL</v>
          </cell>
          <cell r="F1801" t="str">
            <v>2021-22</v>
          </cell>
          <cell r="G1801" t="str">
            <v>Ahmednagar East RSA</v>
          </cell>
          <cell r="H1801">
            <v>44651</v>
          </cell>
          <cell r="I1801" t="str">
            <v>OPEN</v>
          </cell>
          <cell r="J1801" t="str">
            <v>Akhegaon</v>
          </cell>
          <cell r="K1801" t="str">
            <v>Ahmednagar</v>
          </cell>
          <cell r="L1801" t="str">
            <v>E</v>
          </cell>
          <cell r="O1801" t="str">
            <v>B</v>
          </cell>
          <cell r="P1801">
            <v>13.5</v>
          </cell>
          <cell r="Q1801">
            <v>64.5</v>
          </cell>
          <cell r="R1801">
            <v>38</v>
          </cell>
          <cell r="S1801">
            <v>78</v>
          </cell>
          <cell r="T1801">
            <v>-24.5</v>
          </cell>
          <cell r="U1801">
            <v>-13.5</v>
          </cell>
          <cell r="V1801">
            <v>13.5</v>
          </cell>
          <cell r="W1801">
            <v>64.5</v>
          </cell>
          <cell r="X1801">
            <v>62</v>
          </cell>
          <cell r="Y1801">
            <v>162</v>
          </cell>
          <cell r="Z1801">
            <v>-48.5</v>
          </cell>
          <cell r="AA1801">
            <v>-97.5</v>
          </cell>
          <cell r="AB1801">
            <v>78</v>
          </cell>
          <cell r="AC1801">
            <v>116</v>
          </cell>
          <cell r="AD1801">
            <v>-38</v>
          </cell>
          <cell r="AE1801">
            <v>78</v>
          </cell>
          <cell r="AF1801">
            <v>224</v>
          </cell>
          <cell r="AG1801">
            <v>-146</v>
          </cell>
        </row>
        <row r="1802">
          <cell r="C1802">
            <v>348211</v>
          </cell>
          <cell r="D1802" t="str">
            <v>MAHALAXMI PETROLEUM</v>
          </cell>
          <cell r="E1802" t="str">
            <v>IOCL</v>
          </cell>
          <cell r="F1802" t="str">
            <v>2022-23</v>
          </cell>
          <cell r="G1802" t="str">
            <v>Pune Wagholi RSA</v>
          </cell>
          <cell r="H1802">
            <v>44681</v>
          </cell>
          <cell r="I1802" t="str">
            <v>OPEN</v>
          </cell>
          <cell r="J1802" t="str">
            <v>Pabal</v>
          </cell>
          <cell r="K1802" t="str">
            <v>Pune</v>
          </cell>
          <cell r="L1802" t="str">
            <v>E</v>
          </cell>
          <cell r="O1802" t="str">
            <v>B</v>
          </cell>
          <cell r="P1802">
            <v>43</v>
          </cell>
          <cell r="Q1802">
            <v>95</v>
          </cell>
          <cell r="R1802">
            <v>54</v>
          </cell>
          <cell r="S1802">
            <v>110</v>
          </cell>
          <cell r="T1802">
            <v>-11</v>
          </cell>
          <cell r="U1802">
            <v>-15</v>
          </cell>
          <cell r="V1802">
            <v>81</v>
          </cell>
          <cell r="W1802">
            <v>191</v>
          </cell>
          <cell r="X1802">
            <v>96.5</v>
          </cell>
          <cell r="Y1802">
            <v>193.5</v>
          </cell>
          <cell r="Z1802">
            <v>-15.5</v>
          </cell>
          <cell r="AA1802">
            <v>-2.5</v>
          </cell>
          <cell r="AB1802">
            <v>138</v>
          </cell>
          <cell r="AC1802">
            <v>164</v>
          </cell>
          <cell r="AD1802">
            <v>-26</v>
          </cell>
          <cell r="AE1802">
            <v>272</v>
          </cell>
          <cell r="AF1802">
            <v>290</v>
          </cell>
          <cell r="AG1802">
            <v>-18</v>
          </cell>
        </row>
        <row r="1803">
          <cell r="C1803">
            <v>348890</v>
          </cell>
          <cell r="D1803" t="str">
            <v>AKSHAY PETRO SALES</v>
          </cell>
          <cell r="E1803" t="str">
            <v>IOCL</v>
          </cell>
          <cell r="F1803" t="str">
            <v>2022-23</v>
          </cell>
          <cell r="G1803" t="str">
            <v>Shirdi RSA</v>
          </cell>
          <cell r="H1803">
            <v>44711</v>
          </cell>
          <cell r="I1803" t="str">
            <v>OPEN</v>
          </cell>
          <cell r="J1803" t="str">
            <v>TANDULNER</v>
          </cell>
          <cell r="K1803" t="str">
            <v>Ahmednagar</v>
          </cell>
          <cell r="L1803" t="str">
            <v>E</v>
          </cell>
          <cell r="O1803" t="str">
            <v>B</v>
          </cell>
          <cell r="P1803">
            <v>48</v>
          </cell>
          <cell r="Q1803">
            <v>120</v>
          </cell>
          <cell r="R1803">
            <v>41</v>
          </cell>
          <cell r="S1803">
            <v>71</v>
          </cell>
          <cell r="T1803">
            <v>7</v>
          </cell>
          <cell r="U1803">
            <v>49</v>
          </cell>
          <cell r="V1803">
            <v>89</v>
          </cell>
          <cell r="W1803">
            <v>179</v>
          </cell>
          <cell r="X1803">
            <v>75</v>
          </cell>
          <cell r="Y1803">
            <v>125</v>
          </cell>
          <cell r="Z1803">
            <v>14</v>
          </cell>
          <cell r="AA1803">
            <v>54</v>
          </cell>
          <cell r="AB1803">
            <v>168</v>
          </cell>
          <cell r="AC1803">
            <v>112</v>
          </cell>
          <cell r="AD1803">
            <v>56</v>
          </cell>
          <cell r="AE1803">
            <v>268</v>
          </cell>
          <cell r="AF1803">
            <v>200</v>
          </cell>
          <cell r="AG1803">
            <v>68</v>
          </cell>
        </row>
        <row r="1804">
          <cell r="C1804">
            <v>349731</v>
          </cell>
          <cell r="D1804" t="str">
            <v>FAJAL PETROLEUM</v>
          </cell>
          <cell r="E1804" t="str">
            <v>IOCL</v>
          </cell>
          <cell r="F1804" t="str">
            <v>2022-23</v>
          </cell>
          <cell r="G1804" t="str">
            <v>Pune Saswad RSA</v>
          </cell>
          <cell r="H1804">
            <v>44742</v>
          </cell>
          <cell r="I1804" t="str">
            <v>OPEN</v>
          </cell>
          <cell r="J1804" t="str">
            <v>nimgaon ketki</v>
          </cell>
          <cell r="K1804" t="str">
            <v>Pune</v>
          </cell>
          <cell r="L1804" t="str">
            <v>E</v>
          </cell>
          <cell r="O1804" t="str">
            <v>B</v>
          </cell>
          <cell r="P1804">
            <v>21</v>
          </cell>
          <cell r="Q1804">
            <v>27</v>
          </cell>
          <cell r="R1804">
            <v>19</v>
          </cell>
          <cell r="S1804">
            <v>31</v>
          </cell>
          <cell r="T1804">
            <v>2</v>
          </cell>
          <cell r="U1804">
            <v>-4</v>
          </cell>
          <cell r="V1804">
            <v>45</v>
          </cell>
          <cell r="W1804">
            <v>51</v>
          </cell>
          <cell r="X1804">
            <v>40</v>
          </cell>
          <cell r="Y1804">
            <v>58</v>
          </cell>
          <cell r="Z1804">
            <v>5</v>
          </cell>
          <cell r="AA1804">
            <v>-7</v>
          </cell>
          <cell r="AB1804">
            <v>48</v>
          </cell>
          <cell r="AC1804">
            <v>50</v>
          </cell>
          <cell r="AD1804">
            <v>-2</v>
          </cell>
          <cell r="AE1804">
            <v>96</v>
          </cell>
          <cell r="AF1804">
            <v>98</v>
          </cell>
          <cell r="AG1804">
            <v>-2</v>
          </cell>
        </row>
        <row r="1805">
          <cell r="C1805">
            <v>350290</v>
          </cell>
          <cell r="D1805" t="str">
            <v>JAI BHAGWAN PETROLEUM</v>
          </cell>
          <cell r="E1805" t="str">
            <v>IOCL</v>
          </cell>
          <cell r="F1805" t="str">
            <v>2022-23</v>
          </cell>
          <cell r="G1805" t="str">
            <v>Ahmednagar West RSA</v>
          </cell>
          <cell r="H1805">
            <v>44773</v>
          </cell>
          <cell r="I1805" t="str">
            <v>OBC</v>
          </cell>
          <cell r="J1805" t="str">
            <v>SHEKTE</v>
          </cell>
          <cell r="K1805" t="str">
            <v>Ahmednagar</v>
          </cell>
          <cell r="L1805" t="str">
            <v>D1</v>
          </cell>
          <cell r="M1805" t="str">
            <v>NH-61</v>
          </cell>
          <cell r="O1805" t="str">
            <v>B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  <cell r="V1805">
            <v>3</v>
          </cell>
          <cell r="W1805">
            <v>9</v>
          </cell>
          <cell r="X1805">
            <v>0</v>
          </cell>
          <cell r="Y1805">
            <v>0</v>
          </cell>
          <cell r="Z1805">
            <v>3</v>
          </cell>
          <cell r="AA1805">
            <v>9</v>
          </cell>
          <cell r="AB1805">
            <v>0</v>
          </cell>
          <cell r="AC1805">
            <v>0</v>
          </cell>
          <cell r="AD1805">
            <v>0</v>
          </cell>
          <cell r="AE1805">
            <v>12</v>
          </cell>
          <cell r="AF1805">
            <v>0</v>
          </cell>
          <cell r="AG1805">
            <v>12</v>
          </cell>
        </row>
        <row r="1806">
          <cell r="C1806">
            <v>350292</v>
          </cell>
          <cell r="D1806" t="str">
            <v>MAHALAXMI FUEL STATION</v>
          </cell>
          <cell r="E1806" t="str">
            <v>IOCL</v>
          </cell>
          <cell r="F1806" t="str">
            <v>2022-23</v>
          </cell>
          <cell r="G1806" t="str">
            <v>Pune Wagholi RSA</v>
          </cell>
          <cell r="H1806">
            <v>44773</v>
          </cell>
          <cell r="I1806" t="str">
            <v>SC</v>
          </cell>
          <cell r="J1806" t="str">
            <v>Alephata to Ottur</v>
          </cell>
          <cell r="K1806" t="str">
            <v>Pune</v>
          </cell>
          <cell r="L1806" t="str">
            <v>D1</v>
          </cell>
          <cell r="M1806" t="str">
            <v>NH-61</v>
          </cell>
          <cell r="O1806" t="str">
            <v>A</v>
          </cell>
          <cell r="P1806">
            <v>15</v>
          </cell>
          <cell r="Q1806">
            <v>45</v>
          </cell>
          <cell r="R1806">
            <v>38</v>
          </cell>
          <cell r="S1806">
            <v>70</v>
          </cell>
          <cell r="T1806">
            <v>-23</v>
          </cell>
          <cell r="U1806">
            <v>-25</v>
          </cell>
          <cell r="V1806">
            <v>30</v>
          </cell>
          <cell r="W1806">
            <v>90</v>
          </cell>
          <cell r="X1806">
            <v>78</v>
          </cell>
          <cell r="Y1806">
            <v>170</v>
          </cell>
          <cell r="Z1806">
            <v>-48</v>
          </cell>
          <cell r="AA1806">
            <v>-80</v>
          </cell>
          <cell r="AB1806">
            <v>60</v>
          </cell>
          <cell r="AC1806">
            <v>108</v>
          </cell>
          <cell r="AD1806">
            <v>-48</v>
          </cell>
          <cell r="AE1806">
            <v>120</v>
          </cell>
          <cell r="AF1806">
            <v>248</v>
          </cell>
          <cell r="AG1806">
            <v>-128</v>
          </cell>
        </row>
        <row r="1807">
          <cell r="C1807">
            <v>350765</v>
          </cell>
          <cell r="D1807" t="str">
            <v>SAHYADRI PETROLEUM</v>
          </cell>
          <cell r="E1807" t="str">
            <v>IOCL</v>
          </cell>
          <cell r="F1807" t="str">
            <v>2022-23</v>
          </cell>
          <cell r="G1807" t="str">
            <v>Pune Wagholi RSA</v>
          </cell>
          <cell r="H1807">
            <v>44803</v>
          </cell>
          <cell r="I1807" t="str">
            <v>ST</v>
          </cell>
          <cell r="J1807" t="str">
            <v>Alephata to Ottur</v>
          </cell>
          <cell r="K1807" t="str">
            <v>Pune</v>
          </cell>
          <cell r="L1807" t="str">
            <v>D1</v>
          </cell>
          <cell r="M1807" t="str">
            <v>NH-61</v>
          </cell>
          <cell r="O1807" t="str">
            <v>A</v>
          </cell>
          <cell r="P1807">
            <v>0</v>
          </cell>
          <cell r="Q1807">
            <v>0</v>
          </cell>
          <cell r="R1807">
            <v>20</v>
          </cell>
          <cell r="S1807">
            <v>28</v>
          </cell>
          <cell r="T1807">
            <v>-20</v>
          </cell>
          <cell r="U1807">
            <v>-28</v>
          </cell>
          <cell r="V1807">
            <v>0</v>
          </cell>
          <cell r="W1807">
            <v>0</v>
          </cell>
          <cell r="X1807">
            <v>27</v>
          </cell>
          <cell r="Y1807">
            <v>45</v>
          </cell>
          <cell r="Z1807">
            <v>-27</v>
          </cell>
          <cell r="AA1807">
            <v>-45</v>
          </cell>
          <cell r="AB1807">
            <v>0</v>
          </cell>
          <cell r="AC1807">
            <v>48</v>
          </cell>
          <cell r="AD1807">
            <v>-48</v>
          </cell>
          <cell r="AE1807">
            <v>0</v>
          </cell>
          <cell r="AF1807">
            <v>72</v>
          </cell>
          <cell r="AG1807">
            <v>-72</v>
          </cell>
        </row>
        <row r="1808">
          <cell r="C1808">
            <v>350836</v>
          </cell>
          <cell r="D1808" t="str">
            <v>BAHIRAT PATIL PETROLEUM</v>
          </cell>
          <cell r="E1808" t="str">
            <v>IOCL</v>
          </cell>
          <cell r="F1808" t="str">
            <v>2022-23</v>
          </cell>
          <cell r="G1808" t="str">
            <v>Pune Hadapsar RSA</v>
          </cell>
          <cell r="H1808">
            <v>44803</v>
          </cell>
          <cell r="I1808" t="str">
            <v>OPEN</v>
          </cell>
          <cell r="J1808" t="str">
            <v>P5_Pargaon</v>
          </cell>
          <cell r="K1808" t="str">
            <v>Pune</v>
          </cell>
          <cell r="L1808" t="str">
            <v>D2</v>
          </cell>
          <cell r="O1808" t="str">
            <v>B</v>
          </cell>
          <cell r="P1808">
            <v>6</v>
          </cell>
          <cell r="Q1808">
            <v>18</v>
          </cell>
          <cell r="R1808">
            <v>12</v>
          </cell>
          <cell r="S1808">
            <v>36</v>
          </cell>
          <cell r="T1808">
            <v>-6</v>
          </cell>
          <cell r="U1808">
            <v>-18</v>
          </cell>
          <cell r="V1808">
            <v>9</v>
          </cell>
          <cell r="W1808">
            <v>27</v>
          </cell>
          <cell r="X1808">
            <v>24</v>
          </cell>
          <cell r="Y1808">
            <v>72</v>
          </cell>
          <cell r="Z1808">
            <v>-15</v>
          </cell>
          <cell r="AA1808">
            <v>-45</v>
          </cell>
          <cell r="AB1808">
            <v>24</v>
          </cell>
          <cell r="AC1808">
            <v>48</v>
          </cell>
          <cell r="AD1808">
            <v>-24</v>
          </cell>
          <cell r="AE1808">
            <v>36</v>
          </cell>
          <cell r="AF1808">
            <v>96</v>
          </cell>
          <cell r="AG1808">
            <v>-60</v>
          </cell>
        </row>
        <row r="1809">
          <cell r="C1809">
            <v>351541</v>
          </cell>
          <cell r="D1809" t="str">
            <v>GANGOTRI PETROLEUM</v>
          </cell>
          <cell r="E1809" t="str">
            <v>IOCL</v>
          </cell>
          <cell r="F1809" t="str">
            <v>2022-23</v>
          </cell>
          <cell r="G1809" t="str">
            <v>Shirdi RSA</v>
          </cell>
          <cell r="H1809">
            <v>44834</v>
          </cell>
          <cell r="I1809" t="str">
            <v>OPEN</v>
          </cell>
          <cell r="J1809" t="str">
            <v>KOLHEWADI</v>
          </cell>
          <cell r="K1809" t="str">
            <v>Ahmednagar</v>
          </cell>
          <cell r="L1809" t="str">
            <v>E</v>
          </cell>
          <cell r="O1809" t="str">
            <v>B</v>
          </cell>
          <cell r="P1809">
            <v>54.5</v>
          </cell>
          <cell r="Q1809">
            <v>127.5</v>
          </cell>
          <cell r="R1809">
            <v>42</v>
          </cell>
          <cell r="S1809">
            <v>52</v>
          </cell>
          <cell r="T1809">
            <v>12.5</v>
          </cell>
          <cell r="U1809">
            <v>75.5</v>
          </cell>
          <cell r="V1809">
            <v>95.5</v>
          </cell>
          <cell r="W1809">
            <v>202.5</v>
          </cell>
          <cell r="X1809">
            <v>88</v>
          </cell>
          <cell r="Y1809">
            <v>108</v>
          </cell>
          <cell r="Z1809">
            <v>7.5</v>
          </cell>
          <cell r="AA1809">
            <v>94.5</v>
          </cell>
          <cell r="AB1809">
            <v>182</v>
          </cell>
          <cell r="AC1809">
            <v>94</v>
          </cell>
          <cell r="AD1809">
            <v>88</v>
          </cell>
          <cell r="AE1809">
            <v>298</v>
          </cell>
          <cell r="AF1809">
            <v>196</v>
          </cell>
          <cell r="AG1809">
            <v>102</v>
          </cell>
        </row>
        <row r="1810">
          <cell r="C1810">
            <v>352085</v>
          </cell>
          <cell r="D1810" t="str">
            <v>Kadam Patil Petro Service</v>
          </cell>
          <cell r="E1810" t="str">
            <v>IOCL</v>
          </cell>
          <cell r="F1810" t="str">
            <v>2022-23</v>
          </cell>
          <cell r="G1810" t="str">
            <v>Satara East RSA</v>
          </cell>
          <cell r="H1810">
            <v>44865</v>
          </cell>
          <cell r="I1810" t="str">
            <v>OPEN</v>
          </cell>
          <cell r="J1810" t="str">
            <v>Lonand MIDC</v>
          </cell>
          <cell r="K1810" t="str">
            <v>Satara</v>
          </cell>
          <cell r="L1810" t="str">
            <v>E</v>
          </cell>
          <cell r="O1810" t="str">
            <v>B</v>
          </cell>
          <cell r="P1810">
            <v>23.5</v>
          </cell>
          <cell r="Q1810">
            <v>105.5</v>
          </cell>
          <cell r="R1810">
            <v>18</v>
          </cell>
          <cell r="S1810">
            <v>90</v>
          </cell>
          <cell r="T1810">
            <v>5.5</v>
          </cell>
          <cell r="U1810">
            <v>15.5</v>
          </cell>
          <cell r="V1810">
            <v>37.5</v>
          </cell>
          <cell r="W1810">
            <v>187.5</v>
          </cell>
          <cell r="X1810">
            <v>30</v>
          </cell>
          <cell r="Y1810">
            <v>174</v>
          </cell>
          <cell r="Z1810">
            <v>7.5</v>
          </cell>
          <cell r="AA1810">
            <v>13.5</v>
          </cell>
          <cell r="AB1810">
            <v>129</v>
          </cell>
          <cell r="AC1810">
            <v>108</v>
          </cell>
          <cell r="AD1810">
            <v>21</v>
          </cell>
          <cell r="AE1810">
            <v>225</v>
          </cell>
          <cell r="AF1810">
            <v>204</v>
          </cell>
          <cell r="AG1810">
            <v>21</v>
          </cell>
        </row>
        <row r="1811">
          <cell r="C1811">
            <v>352691</v>
          </cell>
          <cell r="D1811" t="str">
            <v>SHREE LAKSHMI PETROLEUM</v>
          </cell>
          <cell r="E1811" t="str">
            <v>IOCL</v>
          </cell>
          <cell r="F1811" t="str">
            <v>2022-23</v>
          </cell>
          <cell r="G1811" t="str">
            <v>Satara West RSA</v>
          </cell>
          <cell r="H1811">
            <v>44895</v>
          </cell>
          <cell r="I1811" t="str">
            <v>ST</v>
          </cell>
          <cell r="J1811" t="str">
            <v>Nandgaon to Ghogaon</v>
          </cell>
          <cell r="K1811" t="str">
            <v>Satara</v>
          </cell>
          <cell r="L1811" t="str">
            <v>D2</v>
          </cell>
          <cell r="O1811" t="str">
            <v>A</v>
          </cell>
          <cell r="P1811">
            <v>0</v>
          </cell>
          <cell r="Q1811">
            <v>0</v>
          </cell>
          <cell r="R1811">
            <v>46</v>
          </cell>
          <cell r="S1811">
            <v>52</v>
          </cell>
          <cell r="T1811">
            <v>-46</v>
          </cell>
          <cell r="U1811">
            <v>-52</v>
          </cell>
          <cell r="V1811">
            <v>0</v>
          </cell>
          <cell r="W1811">
            <v>0</v>
          </cell>
          <cell r="X1811">
            <v>76</v>
          </cell>
          <cell r="Y1811">
            <v>82</v>
          </cell>
          <cell r="Z1811">
            <v>-76</v>
          </cell>
          <cell r="AA1811">
            <v>-82</v>
          </cell>
          <cell r="AB1811">
            <v>0</v>
          </cell>
          <cell r="AC1811">
            <v>98</v>
          </cell>
          <cell r="AD1811">
            <v>-98</v>
          </cell>
          <cell r="AE1811">
            <v>0</v>
          </cell>
          <cell r="AF1811">
            <v>158</v>
          </cell>
          <cell r="AG1811">
            <v>-158</v>
          </cell>
        </row>
        <row r="1812">
          <cell r="C1812">
            <v>352692</v>
          </cell>
          <cell r="D1812" t="str">
            <v>VAIBHAVI FUEL STATION</v>
          </cell>
          <cell r="E1812" t="str">
            <v>IOCL</v>
          </cell>
          <cell r="F1812" t="str">
            <v>2022-23</v>
          </cell>
          <cell r="G1812" t="str">
            <v>Pune Wagholi RSA</v>
          </cell>
          <cell r="H1812">
            <v>44894</v>
          </cell>
          <cell r="I1812" t="str">
            <v>SC</v>
          </cell>
          <cell r="J1812" t="str">
            <v>Nhawra Village SH</v>
          </cell>
          <cell r="K1812" t="str">
            <v>Pune</v>
          </cell>
          <cell r="L1812" t="str">
            <v>D2</v>
          </cell>
          <cell r="O1812" t="str">
            <v>A</v>
          </cell>
          <cell r="P1812">
            <v>9</v>
          </cell>
          <cell r="Q1812">
            <v>27</v>
          </cell>
          <cell r="R1812">
            <v>25</v>
          </cell>
          <cell r="S1812">
            <v>67</v>
          </cell>
          <cell r="T1812">
            <v>-16</v>
          </cell>
          <cell r="U1812">
            <v>-40</v>
          </cell>
          <cell r="V1812">
            <v>24.5</v>
          </cell>
          <cell r="W1812">
            <v>73.5</v>
          </cell>
          <cell r="X1812">
            <v>40.5</v>
          </cell>
          <cell r="Y1812">
            <v>113.5</v>
          </cell>
          <cell r="Z1812">
            <v>-16</v>
          </cell>
          <cell r="AA1812">
            <v>-40</v>
          </cell>
          <cell r="AB1812">
            <v>36</v>
          </cell>
          <cell r="AC1812">
            <v>92</v>
          </cell>
          <cell r="AD1812">
            <v>-56</v>
          </cell>
          <cell r="AE1812">
            <v>98</v>
          </cell>
          <cell r="AF1812">
            <v>154</v>
          </cell>
          <cell r="AG1812">
            <v>-56</v>
          </cell>
        </row>
        <row r="1813">
          <cell r="C1813">
            <v>352873</v>
          </cell>
          <cell r="D1813" t="str">
            <v>M N MHASKE PATIL PETROLEUM</v>
          </cell>
          <cell r="E1813" t="str">
            <v>IOCL</v>
          </cell>
          <cell r="F1813" t="str">
            <v>2022-23</v>
          </cell>
          <cell r="G1813" t="str">
            <v>Shirdi RSA</v>
          </cell>
          <cell r="H1813">
            <v>44957</v>
          </cell>
          <cell r="I1813" t="str">
            <v>OBC</v>
          </cell>
          <cell r="J1813" t="str">
            <v>BABLESHWAR NH</v>
          </cell>
          <cell r="K1813" t="str">
            <v>Ahmednagar</v>
          </cell>
          <cell r="L1813" t="str">
            <v>D1</v>
          </cell>
          <cell r="M1813" t="str">
            <v>NH-160</v>
          </cell>
          <cell r="O1813" t="str">
            <v>B</v>
          </cell>
          <cell r="P1813">
            <v>60</v>
          </cell>
          <cell r="Q1813">
            <v>194</v>
          </cell>
          <cell r="R1813">
            <v>38.5</v>
          </cell>
          <cell r="S1813">
            <v>101.5</v>
          </cell>
          <cell r="T1813">
            <v>21.5</v>
          </cell>
          <cell r="U1813">
            <v>92.5</v>
          </cell>
          <cell r="V1813">
            <v>89</v>
          </cell>
          <cell r="W1813">
            <v>311</v>
          </cell>
          <cell r="X1813">
            <v>64.5</v>
          </cell>
          <cell r="Y1813">
            <v>203.5</v>
          </cell>
          <cell r="Z1813">
            <v>24.5</v>
          </cell>
          <cell r="AA1813">
            <v>107.5</v>
          </cell>
          <cell r="AB1813">
            <v>254</v>
          </cell>
          <cell r="AC1813">
            <v>140</v>
          </cell>
          <cell r="AD1813">
            <v>114</v>
          </cell>
          <cell r="AE1813">
            <v>400</v>
          </cell>
          <cell r="AF1813">
            <v>268</v>
          </cell>
          <cell r="AG1813">
            <v>132</v>
          </cell>
        </row>
        <row r="1814">
          <cell r="C1814">
            <v>353015</v>
          </cell>
          <cell r="D1814" t="str">
            <v>S.V.M. PETROLEUM</v>
          </cell>
          <cell r="E1814" t="str">
            <v>IOCL</v>
          </cell>
          <cell r="F1814" t="str">
            <v>2022-23</v>
          </cell>
          <cell r="G1814" t="str">
            <v>Satara West RSA</v>
          </cell>
          <cell r="H1814">
            <v>44916</v>
          </cell>
          <cell r="I1814" t="str">
            <v>OPEN</v>
          </cell>
          <cell r="J1814" t="str">
            <v>Shirwal to Khandala</v>
          </cell>
          <cell r="K1814" t="str">
            <v>Satara</v>
          </cell>
          <cell r="L1814" t="str">
            <v>D1</v>
          </cell>
          <cell r="M1814" t="str">
            <v>NH-48</v>
          </cell>
          <cell r="O1814" t="str">
            <v>B</v>
          </cell>
          <cell r="P1814">
            <v>98.5</v>
          </cell>
          <cell r="Q1814">
            <v>261.5</v>
          </cell>
          <cell r="R1814">
            <v>70</v>
          </cell>
          <cell r="S1814">
            <v>168</v>
          </cell>
          <cell r="T1814">
            <v>28.5</v>
          </cell>
          <cell r="U1814">
            <v>93.5</v>
          </cell>
          <cell r="V1814">
            <v>168.5</v>
          </cell>
          <cell r="W1814">
            <v>499.5</v>
          </cell>
          <cell r="X1814">
            <v>140</v>
          </cell>
          <cell r="Y1814">
            <v>322</v>
          </cell>
          <cell r="Z1814">
            <v>28.5</v>
          </cell>
          <cell r="AA1814">
            <v>177.5</v>
          </cell>
          <cell r="AB1814">
            <v>360</v>
          </cell>
          <cell r="AC1814">
            <v>238</v>
          </cell>
          <cell r="AD1814">
            <v>122</v>
          </cell>
          <cell r="AE1814">
            <v>668</v>
          </cell>
          <cell r="AF1814">
            <v>462</v>
          </cell>
          <cell r="AG1814">
            <v>206</v>
          </cell>
        </row>
        <row r="1815">
          <cell r="C1815">
            <v>353751</v>
          </cell>
          <cell r="D1815" t="str">
            <v>K.M.S.K ENERGY AND AUTO SERVICE STA</v>
          </cell>
          <cell r="E1815" t="str">
            <v>IOCL</v>
          </cell>
          <cell r="F1815" t="str">
            <v>2022-23</v>
          </cell>
          <cell r="G1815" t="str">
            <v>Ahmednagar West RSA</v>
          </cell>
          <cell r="H1815">
            <v>44926</v>
          </cell>
          <cell r="I1815" t="str">
            <v>OPEN</v>
          </cell>
          <cell r="J1815" t="str">
            <v>KOLGAON</v>
          </cell>
          <cell r="K1815" t="str">
            <v>Ahmednagar</v>
          </cell>
          <cell r="L1815" t="str">
            <v>D1</v>
          </cell>
          <cell r="M1815" t="str">
            <v>NH-160</v>
          </cell>
          <cell r="O1815" t="str">
            <v>A</v>
          </cell>
          <cell r="P1815">
            <v>41</v>
          </cell>
          <cell r="Q1815">
            <v>169</v>
          </cell>
          <cell r="R1815">
            <v>48</v>
          </cell>
          <cell r="S1815">
            <v>102</v>
          </cell>
          <cell r="T1815">
            <v>-7</v>
          </cell>
          <cell r="U1815">
            <v>67</v>
          </cell>
          <cell r="V1815">
            <v>85.5</v>
          </cell>
          <cell r="W1815">
            <v>332.5</v>
          </cell>
          <cell r="X1815">
            <v>76</v>
          </cell>
          <cell r="Y1815">
            <v>212</v>
          </cell>
          <cell r="Z1815">
            <v>9.5</v>
          </cell>
          <cell r="AA1815">
            <v>120.5</v>
          </cell>
          <cell r="AB1815">
            <v>210</v>
          </cell>
          <cell r="AC1815">
            <v>150</v>
          </cell>
          <cell r="AD1815">
            <v>60</v>
          </cell>
          <cell r="AE1815">
            <v>418</v>
          </cell>
          <cell r="AF1815">
            <v>288</v>
          </cell>
          <cell r="AG1815">
            <v>130</v>
          </cell>
        </row>
        <row r="1816">
          <cell r="C1816">
            <v>353803</v>
          </cell>
          <cell r="D1816" t="str">
            <v>MAHADEV PETROLEUM</v>
          </cell>
          <cell r="E1816" t="str">
            <v>IOCL</v>
          </cell>
          <cell r="G1816" t="str">
            <v>Pune Wagholi RSA</v>
          </cell>
          <cell r="H1816">
            <v>44957</v>
          </cell>
          <cell r="I1816" t="str">
            <v>OPEN</v>
          </cell>
          <cell r="J1816" t="str">
            <v>Ranjangaon to Shirur RHS</v>
          </cell>
          <cell r="K1816" t="str">
            <v>Pune</v>
          </cell>
          <cell r="L1816" t="str">
            <v>D1</v>
          </cell>
          <cell r="M1816" t="str">
            <v>NH-753F</v>
          </cell>
          <cell r="O1816" t="str">
            <v>A</v>
          </cell>
          <cell r="P1816">
            <v>0</v>
          </cell>
          <cell r="Q1816">
            <v>0</v>
          </cell>
          <cell r="R1816">
            <v>3</v>
          </cell>
          <cell r="S1816">
            <v>9</v>
          </cell>
          <cell r="T1816">
            <v>-3</v>
          </cell>
          <cell r="U1816">
            <v>-9</v>
          </cell>
          <cell r="V1816">
            <v>0</v>
          </cell>
          <cell r="W1816">
            <v>0</v>
          </cell>
          <cell r="X1816">
            <v>3</v>
          </cell>
          <cell r="Y1816">
            <v>9</v>
          </cell>
          <cell r="Z1816">
            <v>-3</v>
          </cell>
          <cell r="AA1816">
            <v>-9</v>
          </cell>
          <cell r="AB1816">
            <v>0</v>
          </cell>
          <cell r="AC1816">
            <v>12</v>
          </cell>
          <cell r="AD1816">
            <v>-12</v>
          </cell>
          <cell r="AE1816">
            <v>0</v>
          </cell>
          <cell r="AF1816">
            <v>12</v>
          </cell>
          <cell r="AG1816">
            <v>-12</v>
          </cell>
        </row>
        <row r="1817">
          <cell r="C1817">
            <v>354113</v>
          </cell>
          <cell r="D1817" t="str">
            <v>SHREE MAHALAXMI PETROLEUM</v>
          </cell>
          <cell r="E1817" t="str">
            <v>IOCL</v>
          </cell>
          <cell r="F1817" t="str">
            <v>2022-23</v>
          </cell>
          <cell r="G1817" t="str">
            <v>Pune Wagholi RSA</v>
          </cell>
          <cell r="H1817">
            <v>44953</v>
          </cell>
          <cell r="I1817" t="str">
            <v>OBC</v>
          </cell>
          <cell r="J1817" t="str">
            <v>Malthan</v>
          </cell>
          <cell r="K1817" t="str">
            <v>Pune</v>
          </cell>
          <cell r="L1817" t="str">
            <v>D2</v>
          </cell>
          <cell r="O1817" t="str">
            <v>B</v>
          </cell>
          <cell r="P1817">
            <v>12</v>
          </cell>
          <cell r="Q1817">
            <v>12</v>
          </cell>
          <cell r="R1817">
            <v>21</v>
          </cell>
          <cell r="S1817">
            <v>27</v>
          </cell>
          <cell r="T1817">
            <v>-9</v>
          </cell>
          <cell r="U1817">
            <v>-15</v>
          </cell>
          <cell r="V1817">
            <v>27</v>
          </cell>
          <cell r="W1817">
            <v>33</v>
          </cell>
          <cell r="X1817">
            <v>27</v>
          </cell>
          <cell r="Y1817">
            <v>45</v>
          </cell>
          <cell r="Z1817">
            <v>0</v>
          </cell>
          <cell r="AA1817">
            <v>-12</v>
          </cell>
          <cell r="AB1817">
            <v>24</v>
          </cell>
          <cell r="AC1817">
            <v>48</v>
          </cell>
          <cell r="AD1817">
            <v>-24</v>
          </cell>
          <cell r="AE1817">
            <v>60</v>
          </cell>
          <cell r="AF1817">
            <v>72</v>
          </cell>
          <cell r="AG1817">
            <v>-12</v>
          </cell>
        </row>
        <row r="1818">
          <cell r="C1818">
            <v>354271</v>
          </cell>
          <cell r="D1818" t="str">
            <v>SHREE TUKARAM PETROLEUM</v>
          </cell>
          <cell r="E1818" t="str">
            <v>IOCL</v>
          </cell>
          <cell r="F1818" t="str">
            <v>2022-23</v>
          </cell>
          <cell r="G1818" t="str">
            <v>Ahmednagar East RSA</v>
          </cell>
          <cell r="H1818">
            <v>44957</v>
          </cell>
          <cell r="I1818" t="str">
            <v>OPEN</v>
          </cell>
          <cell r="J1818" t="str">
            <v>Tamashwadi</v>
          </cell>
          <cell r="K1818" t="str">
            <v>Ahmednagar</v>
          </cell>
          <cell r="L1818" t="str">
            <v>E</v>
          </cell>
          <cell r="O1818" t="str">
            <v>B</v>
          </cell>
          <cell r="P1818">
            <v>23</v>
          </cell>
          <cell r="Q1818">
            <v>78</v>
          </cell>
          <cell r="R1818">
            <v>22</v>
          </cell>
          <cell r="S1818">
            <v>64</v>
          </cell>
          <cell r="T1818">
            <v>1</v>
          </cell>
          <cell r="U1818">
            <v>14</v>
          </cell>
          <cell r="V1818">
            <v>41</v>
          </cell>
          <cell r="W1818">
            <v>108</v>
          </cell>
          <cell r="X1818">
            <v>43</v>
          </cell>
          <cell r="Y1818">
            <v>103</v>
          </cell>
          <cell r="Z1818">
            <v>-2</v>
          </cell>
          <cell r="AA1818">
            <v>5</v>
          </cell>
          <cell r="AB1818">
            <v>101</v>
          </cell>
          <cell r="AC1818">
            <v>86</v>
          </cell>
          <cell r="AD1818">
            <v>15</v>
          </cell>
          <cell r="AE1818">
            <v>149</v>
          </cell>
          <cell r="AF1818">
            <v>146</v>
          </cell>
          <cell r="AG1818">
            <v>3</v>
          </cell>
        </row>
        <row r="1819">
          <cell r="C1819">
            <v>354292</v>
          </cell>
          <cell r="D1819" t="str">
            <v>SHRI GANESH FILLING STATION</v>
          </cell>
          <cell r="E1819" t="str">
            <v>IOCL</v>
          </cell>
          <cell r="F1819" t="str">
            <v>2022-23</v>
          </cell>
          <cell r="G1819" t="str">
            <v>Pune Saswad RSA</v>
          </cell>
          <cell r="H1819">
            <v>44957</v>
          </cell>
          <cell r="I1819" t="str">
            <v>OPEN</v>
          </cell>
          <cell r="J1819" t="str">
            <v>BHIGWAN</v>
          </cell>
          <cell r="K1819" t="str">
            <v>Pune</v>
          </cell>
          <cell r="L1819" t="str">
            <v>D1</v>
          </cell>
          <cell r="M1819" t="str">
            <v>NH-65</v>
          </cell>
          <cell r="O1819" t="str">
            <v>A</v>
          </cell>
          <cell r="P1819">
            <v>17.5</v>
          </cell>
          <cell r="Q1819">
            <v>136.5</v>
          </cell>
          <cell r="R1819">
            <v>6</v>
          </cell>
          <cell r="S1819">
            <v>66</v>
          </cell>
          <cell r="T1819">
            <v>11.5</v>
          </cell>
          <cell r="U1819">
            <v>70.5</v>
          </cell>
          <cell r="V1819">
            <v>24.5</v>
          </cell>
          <cell r="W1819">
            <v>227.5</v>
          </cell>
          <cell r="X1819">
            <v>18</v>
          </cell>
          <cell r="Y1819">
            <v>140</v>
          </cell>
          <cell r="Z1819">
            <v>6.5</v>
          </cell>
          <cell r="AA1819">
            <v>87.5</v>
          </cell>
          <cell r="AB1819">
            <v>154</v>
          </cell>
          <cell r="AC1819">
            <v>72</v>
          </cell>
          <cell r="AD1819">
            <v>82</v>
          </cell>
          <cell r="AE1819">
            <v>252</v>
          </cell>
          <cell r="AF1819">
            <v>158</v>
          </cell>
          <cell r="AG1819">
            <v>94</v>
          </cell>
        </row>
        <row r="1820">
          <cell r="C1820">
            <v>354309</v>
          </cell>
          <cell r="D1820" t="str">
            <v>SVS PETROLEUM</v>
          </cell>
          <cell r="E1820" t="str">
            <v>IOCL</v>
          </cell>
          <cell r="F1820" t="str">
            <v>2022-23</v>
          </cell>
          <cell r="G1820" t="str">
            <v>Pune Saswad RSA</v>
          </cell>
          <cell r="H1820">
            <v>44957</v>
          </cell>
          <cell r="I1820" t="str">
            <v>OPEN</v>
          </cell>
          <cell r="J1820" t="str">
            <v>JEJURI</v>
          </cell>
          <cell r="K1820" t="str">
            <v>Pune</v>
          </cell>
          <cell r="L1820" t="str">
            <v>D1</v>
          </cell>
          <cell r="M1820" t="str">
            <v>NH-965</v>
          </cell>
          <cell r="O1820" t="str">
            <v>B</v>
          </cell>
          <cell r="P1820">
            <v>16.5</v>
          </cell>
          <cell r="Q1820">
            <v>37.5</v>
          </cell>
          <cell r="R1820">
            <v>26</v>
          </cell>
          <cell r="S1820">
            <v>102</v>
          </cell>
          <cell r="T1820">
            <v>-9.5</v>
          </cell>
          <cell r="U1820">
            <v>-64.5</v>
          </cell>
          <cell r="V1820">
            <v>35.5</v>
          </cell>
          <cell r="W1820">
            <v>82.5</v>
          </cell>
          <cell r="X1820">
            <v>44</v>
          </cell>
          <cell r="Y1820">
            <v>192</v>
          </cell>
          <cell r="Z1820">
            <v>-8.5</v>
          </cell>
          <cell r="AA1820">
            <v>-109.5</v>
          </cell>
          <cell r="AB1820">
            <v>54</v>
          </cell>
          <cell r="AC1820">
            <v>128</v>
          </cell>
          <cell r="AD1820">
            <v>-74</v>
          </cell>
          <cell r="AE1820">
            <v>118</v>
          </cell>
          <cell r="AF1820">
            <v>236</v>
          </cell>
          <cell r="AG1820">
            <v>-118</v>
          </cell>
        </row>
        <row r="1821">
          <cell r="C1821">
            <v>354344</v>
          </cell>
          <cell r="D1821" t="str">
            <v>STAR PETROLEUM</v>
          </cell>
          <cell r="E1821" t="str">
            <v>IOCL</v>
          </cell>
          <cell r="F1821" t="str">
            <v>2022-23</v>
          </cell>
          <cell r="G1821" t="str">
            <v>Satara East RSA</v>
          </cell>
          <cell r="H1821">
            <v>44957</v>
          </cell>
          <cell r="I1821" t="str">
            <v>OPEN</v>
          </cell>
          <cell r="J1821" t="str">
            <v>PHALTAN UPLAVE ROAD</v>
          </cell>
          <cell r="K1821" t="str">
            <v>Satara</v>
          </cell>
          <cell r="L1821" t="str">
            <v>E</v>
          </cell>
          <cell r="O1821" t="str">
            <v>B</v>
          </cell>
          <cell r="P1821">
            <v>6</v>
          </cell>
          <cell r="Q1821">
            <v>6</v>
          </cell>
          <cell r="R1821">
            <v>6</v>
          </cell>
          <cell r="S1821">
            <v>6</v>
          </cell>
          <cell r="T1821">
            <v>0</v>
          </cell>
          <cell r="U1821">
            <v>0</v>
          </cell>
          <cell r="V1821">
            <v>12</v>
          </cell>
          <cell r="W1821">
            <v>12</v>
          </cell>
          <cell r="X1821">
            <v>12</v>
          </cell>
          <cell r="Y1821">
            <v>12</v>
          </cell>
          <cell r="Z1821">
            <v>0</v>
          </cell>
          <cell r="AA1821">
            <v>0</v>
          </cell>
          <cell r="AB1821">
            <v>12</v>
          </cell>
          <cell r="AC1821">
            <v>12</v>
          </cell>
          <cell r="AD1821">
            <v>0</v>
          </cell>
          <cell r="AE1821">
            <v>24</v>
          </cell>
          <cell r="AF1821">
            <v>24</v>
          </cell>
          <cell r="AG1821">
            <v>0</v>
          </cell>
        </row>
        <row r="1822">
          <cell r="C1822">
            <v>354443</v>
          </cell>
          <cell r="D1822" t="str">
            <v>SAI VEER BHADRA PETROLEUM</v>
          </cell>
          <cell r="E1822" t="str">
            <v>IOCL</v>
          </cell>
          <cell r="F1822" t="str">
            <v>2022-23</v>
          </cell>
          <cell r="G1822" t="str">
            <v>Shirdi RSA</v>
          </cell>
          <cell r="H1822">
            <v>44957</v>
          </cell>
          <cell r="I1822" t="str">
            <v>OBC</v>
          </cell>
          <cell r="J1822" t="str">
            <v>DAHIGAON BOLKA</v>
          </cell>
          <cell r="K1822" t="str">
            <v>Ahmednagar</v>
          </cell>
          <cell r="L1822" t="str">
            <v>D1</v>
          </cell>
          <cell r="M1822" t="str">
            <v>NH-752I</v>
          </cell>
          <cell r="O1822" t="str">
            <v>B</v>
          </cell>
          <cell r="P1822">
            <v>28.5</v>
          </cell>
          <cell r="Q1822">
            <v>109.5</v>
          </cell>
          <cell r="R1822">
            <v>15</v>
          </cell>
          <cell r="S1822">
            <v>45</v>
          </cell>
          <cell r="T1822">
            <v>13.5</v>
          </cell>
          <cell r="U1822">
            <v>64.5</v>
          </cell>
          <cell r="V1822">
            <v>45.5</v>
          </cell>
          <cell r="W1822">
            <v>160.5</v>
          </cell>
          <cell r="X1822">
            <v>28</v>
          </cell>
          <cell r="Y1822">
            <v>70</v>
          </cell>
          <cell r="Z1822">
            <v>17.5</v>
          </cell>
          <cell r="AA1822">
            <v>90.5</v>
          </cell>
          <cell r="AB1822">
            <v>138</v>
          </cell>
          <cell r="AC1822">
            <v>60</v>
          </cell>
          <cell r="AD1822">
            <v>78</v>
          </cell>
          <cell r="AE1822">
            <v>206</v>
          </cell>
          <cell r="AF1822">
            <v>98</v>
          </cell>
          <cell r="AG1822">
            <v>108</v>
          </cell>
        </row>
        <row r="1823">
          <cell r="C1823">
            <v>354967</v>
          </cell>
          <cell r="D1823" t="str">
            <v>POLESTAR FUEL STATION</v>
          </cell>
          <cell r="E1823" t="str">
            <v>IOCL</v>
          </cell>
          <cell r="G1823" t="str">
            <v>Ahmednagar East RSA</v>
          </cell>
          <cell r="H1823">
            <v>44980</v>
          </cell>
          <cell r="I1823" t="str">
            <v>OPEN</v>
          </cell>
          <cell r="J1823" t="str">
            <v>WAMBHORI PHATA ON NH160</v>
          </cell>
          <cell r="K1823" t="str">
            <v>Ahmednagar</v>
          </cell>
          <cell r="L1823" t="str">
            <v>D1</v>
          </cell>
          <cell r="M1823" t="str">
            <v>NH-160</v>
          </cell>
          <cell r="O1823" t="str">
            <v>A</v>
          </cell>
          <cell r="P1823">
            <v>12</v>
          </cell>
          <cell r="Q1823">
            <v>48</v>
          </cell>
          <cell r="R1823">
            <v>21</v>
          </cell>
          <cell r="S1823">
            <v>39</v>
          </cell>
          <cell r="T1823">
            <v>-9</v>
          </cell>
          <cell r="U1823">
            <v>9</v>
          </cell>
          <cell r="V1823">
            <v>24</v>
          </cell>
          <cell r="W1823">
            <v>84</v>
          </cell>
          <cell r="X1823">
            <v>36</v>
          </cell>
          <cell r="Y1823">
            <v>72</v>
          </cell>
          <cell r="Z1823">
            <v>-12</v>
          </cell>
          <cell r="AA1823">
            <v>12</v>
          </cell>
          <cell r="AB1823">
            <v>60</v>
          </cell>
          <cell r="AC1823">
            <v>60</v>
          </cell>
          <cell r="AD1823">
            <v>0</v>
          </cell>
          <cell r="AE1823">
            <v>108</v>
          </cell>
          <cell r="AF1823">
            <v>108</v>
          </cell>
          <cell r="AG1823">
            <v>0</v>
          </cell>
        </row>
        <row r="1824">
          <cell r="C1824">
            <v>355347</v>
          </cell>
          <cell r="D1824" t="str">
            <v>LOYAL PETROL PUMP</v>
          </cell>
          <cell r="E1824" t="str">
            <v>IOCL</v>
          </cell>
          <cell r="F1824" t="str">
            <v>2022-23</v>
          </cell>
          <cell r="G1824" t="str">
            <v>Pimpri Chinchwad RSA</v>
          </cell>
          <cell r="H1824">
            <v>44984</v>
          </cell>
          <cell r="I1824" t="str">
            <v>OBC</v>
          </cell>
          <cell r="J1824" t="str">
            <v xml:space="preserve">Sablewadi to shikhrapur </v>
          </cell>
          <cell r="K1824" t="str">
            <v>Pune</v>
          </cell>
          <cell r="L1824" t="str">
            <v>D1</v>
          </cell>
          <cell r="M1824" t="str">
            <v>NH-548D</v>
          </cell>
          <cell r="O1824" t="str">
            <v>B</v>
          </cell>
          <cell r="P1824">
            <v>6</v>
          </cell>
          <cell r="Q1824">
            <v>18</v>
          </cell>
          <cell r="R1824">
            <v>12</v>
          </cell>
          <cell r="S1824">
            <v>24</v>
          </cell>
          <cell r="T1824">
            <v>-6</v>
          </cell>
          <cell r="U1824">
            <v>-6</v>
          </cell>
          <cell r="V1824">
            <v>18</v>
          </cell>
          <cell r="W1824">
            <v>54</v>
          </cell>
          <cell r="X1824">
            <v>33</v>
          </cell>
          <cell r="Y1824">
            <v>51</v>
          </cell>
          <cell r="Z1824">
            <v>-15</v>
          </cell>
          <cell r="AA1824">
            <v>3</v>
          </cell>
          <cell r="AB1824">
            <v>24</v>
          </cell>
          <cell r="AC1824">
            <v>36</v>
          </cell>
          <cell r="AD1824">
            <v>-12</v>
          </cell>
          <cell r="AE1824">
            <v>72</v>
          </cell>
          <cell r="AF1824">
            <v>84</v>
          </cell>
          <cell r="AG1824">
            <v>-12</v>
          </cell>
        </row>
        <row r="1825">
          <cell r="C1825">
            <v>355348</v>
          </cell>
          <cell r="D1825" t="str">
            <v>MADHAV PETROLEUM</v>
          </cell>
          <cell r="E1825" t="str">
            <v>IOCL</v>
          </cell>
          <cell r="F1825" t="str">
            <v>2022-23</v>
          </cell>
          <cell r="G1825" t="str">
            <v>Pune Hadapsar RSA</v>
          </cell>
          <cell r="H1825">
            <v>44985</v>
          </cell>
          <cell r="I1825" t="str">
            <v>OBC</v>
          </cell>
          <cell r="J1825" t="str">
            <v>Pimpalgaon</v>
          </cell>
          <cell r="K1825" t="str">
            <v>Pune</v>
          </cell>
          <cell r="L1825" t="str">
            <v>E</v>
          </cell>
          <cell r="O1825" t="str">
            <v>B</v>
          </cell>
          <cell r="P1825">
            <v>19</v>
          </cell>
          <cell r="Q1825">
            <v>53</v>
          </cell>
          <cell r="R1825">
            <v>39</v>
          </cell>
          <cell r="S1825">
            <v>69</v>
          </cell>
          <cell r="T1825">
            <v>-20</v>
          </cell>
          <cell r="U1825">
            <v>-16</v>
          </cell>
          <cell r="V1825">
            <v>35</v>
          </cell>
          <cell r="W1825">
            <v>85</v>
          </cell>
          <cell r="X1825">
            <v>69</v>
          </cell>
          <cell r="Y1825">
            <v>123</v>
          </cell>
          <cell r="Z1825">
            <v>-34</v>
          </cell>
          <cell r="AA1825">
            <v>-38</v>
          </cell>
          <cell r="AB1825">
            <v>72</v>
          </cell>
          <cell r="AC1825">
            <v>108</v>
          </cell>
          <cell r="AD1825">
            <v>-36</v>
          </cell>
          <cell r="AE1825">
            <v>120</v>
          </cell>
          <cell r="AF1825">
            <v>192</v>
          </cell>
          <cell r="AG1825">
            <v>-72</v>
          </cell>
        </row>
        <row r="1826">
          <cell r="C1826">
            <v>355384</v>
          </cell>
          <cell r="D1826" t="str">
            <v>WAGHESHWARA PETROHUB</v>
          </cell>
          <cell r="E1826" t="str">
            <v>IOCL</v>
          </cell>
          <cell r="F1826" t="str">
            <v>2022-23</v>
          </cell>
          <cell r="G1826" t="str">
            <v>Pune Wagholi RSA</v>
          </cell>
          <cell r="H1826">
            <v>44985</v>
          </cell>
          <cell r="I1826" t="str">
            <v>OBC</v>
          </cell>
          <cell r="J1826" t="str">
            <v>Koregaon Bhima to Shikrapur LHS</v>
          </cell>
          <cell r="K1826" t="str">
            <v>Pune</v>
          </cell>
          <cell r="L1826" t="str">
            <v>D1</v>
          </cell>
          <cell r="M1826" t="str">
            <v>NH-753F</v>
          </cell>
          <cell r="O1826" t="str">
            <v>B</v>
          </cell>
          <cell r="P1826">
            <v>18</v>
          </cell>
          <cell r="Q1826">
            <v>78</v>
          </cell>
          <cell r="R1826">
            <v>15</v>
          </cell>
          <cell r="S1826">
            <v>57</v>
          </cell>
          <cell r="T1826">
            <v>3</v>
          </cell>
          <cell r="U1826">
            <v>21</v>
          </cell>
          <cell r="V1826">
            <v>33</v>
          </cell>
          <cell r="W1826">
            <v>147</v>
          </cell>
          <cell r="X1826">
            <v>30</v>
          </cell>
          <cell r="Y1826">
            <v>102</v>
          </cell>
          <cell r="Z1826">
            <v>3</v>
          </cell>
          <cell r="AA1826">
            <v>45</v>
          </cell>
          <cell r="AB1826">
            <v>96</v>
          </cell>
          <cell r="AC1826">
            <v>72</v>
          </cell>
          <cell r="AD1826">
            <v>24</v>
          </cell>
          <cell r="AE1826">
            <v>180</v>
          </cell>
          <cell r="AF1826">
            <v>132</v>
          </cell>
          <cell r="AG1826">
            <v>48</v>
          </cell>
        </row>
        <row r="1827">
          <cell r="C1827">
            <v>355582</v>
          </cell>
          <cell r="D1827" t="str">
            <v>SWARAJ PETROLINK</v>
          </cell>
          <cell r="E1827" t="str">
            <v>IOCL</v>
          </cell>
          <cell r="F1827" t="str">
            <v>2022-23</v>
          </cell>
          <cell r="G1827" t="str">
            <v>Satara West RSA</v>
          </cell>
          <cell r="H1827">
            <v>44985</v>
          </cell>
          <cell r="I1827" t="str">
            <v>ST</v>
          </cell>
          <cell r="J1827" t="str">
            <v>SHENDRE NOT ON NH</v>
          </cell>
          <cell r="K1827" t="str">
            <v>Satara</v>
          </cell>
          <cell r="L1827" t="str">
            <v>E</v>
          </cell>
          <cell r="O1827" t="str">
            <v>A</v>
          </cell>
          <cell r="P1827">
            <v>36</v>
          </cell>
          <cell r="Q1827">
            <v>36</v>
          </cell>
          <cell r="R1827">
            <v>33</v>
          </cell>
          <cell r="S1827">
            <v>39</v>
          </cell>
          <cell r="T1827">
            <v>3</v>
          </cell>
          <cell r="U1827">
            <v>-3</v>
          </cell>
          <cell r="V1827">
            <v>72</v>
          </cell>
          <cell r="W1827">
            <v>72</v>
          </cell>
          <cell r="X1827">
            <v>63</v>
          </cell>
          <cell r="Y1827">
            <v>75</v>
          </cell>
          <cell r="Z1827">
            <v>9</v>
          </cell>
          <cell r="AA1827">
            <v>-3</v>
          </cell>
          <cell r="AB1827">
            <v>72</v>
          </cell>
          <cell r="AC1827">
            <v>72</v>
          </cell>
          <cell r="AD1827">
            <v>0</v>
          </cell>
          <cell r="AE1827">
            <v>144</v>
          </cell>
          <cell r="AF1827">
            <v>138</v>
          </cell>
          <cell r="AG1827">
            <v>6</v>
          </cell>
        </row>
        <row r="1828">
          <cell r="C1828">
            <v>356386</v>
          </cell>
          <cell r="D1828" t="str">
            <v>BALAMBIKA PETROL STATION</v>
          </cell>
          <cell r="E1828" t="str">
            <v>IOCL</v>
          </cell>
          <cell r="F1828" t="str">
            <v>2022-23</v>
          </cell>
          <cell r="G1828" t="str">
            <v>Ahmednagar East RSA</v>
          </cell>
          <cell r="H1828">
            <v>45014</v>
          </cell>
          <cell r="I1828" t="str">
            <v>OBC</v>
          </cell>
          <cell r="J1828" t="str">
            <v>Bodhegaon</v>
          </cell>
          <cell r="K1828" t="str">
            <v>Ahmednagar</v>
          </cell>
          <cell r="L1828" t="str">
            <v>D2</v>
          </cell>
          <cell r="O1828" t="str">
            <v>B</v>
          </cell>
          <cell r="P1828">
            <v>17.5</v>
          </cell>
          <cell r="Q1828">
            <v>38.5</v>
          </cell>
          <cell r="R1828">
            <v>18.5</v>
          </cell>
          <cell r="S1828">
            <v>45.5</v>
          </cell>
          <cell r="T1828">
            <v>-1</v>
          </cell>
          <cell r="U1828">
            <v>-7</v>
          </cell>
          <cell r="V1828">
            <v>30</v>
          </cell>
          <cell r="W1828">
            <v>64</v>
          </cell>
          <cell r="X1828">
            <v>30.5</v>
          </cell>
          <cell r="Y1828">
            <v>105.5</v>
          </cell>
          <cell r="Z1828">
            <v>-0.5</v>
          </cell>
          <cell r="AA1828">
            <v>-41.5</v>
          </cell>
          <cell r="AB1828">
            <v>56</v>
          </cell>
          <cell r="AC1828">
            <v>64</v>
          </cell>
          <cell r="AD1828">
            <v>-8</v>
          </cell>
          <cell r="AE1828">
            <v>94</v>
          </cell>
          <cell r="AF1828">
            <v>136</v>
          </cell>
          <cell r="AG1828">
            <v>-42</v>
          </cell>
        </row>
        <row r="1829">
          <cell r="C1829">
            <v>356680</v>
          </cell>
          <cell r="D1829" t="str">
            <v>SHREE MANIK PETROLEUM</v>
          </cell>
          <cell r="E1829" t="str">
            <v>IOCL</v>
          </cell>
          <cell r="F1829" t="str">
            <v>2023-24</v>
          </cell>
          <cell r="G1829" t="str">
            <v>Pune Saswad RSA</v>
          </cell>
          <cell r="H1829">
            <v>45077</v>
          </cell>
          <cell r="I1829" t="str">
            <v>OPEN</v>
          </cell>
          <cell r="J1829" t="str">
            <v>Indapur Bypass</v>
          </cell>
          <cell r="K1829" t="str">
            <v>Pune</v>
          </cell>
          <cell r="L1829" t="str">
            <v>D1</v>
          </cell>
          <cell r="M1829" t="str">
            <v>NH-65</v>
          </cell>
          <cell r="O1829" t="str">
            <v>A</v>
          </cell>
          <cell r="P1829">
            <v>35</v>
          </cell>
          <cell r="Q1829">
            <v>91</v>
          </cell>
          <cell r="R1829">
            <v>24</v>
          </cell>
          <cell r="S1829">
            <v>60</v>
          </cell>
          <cell r="T1829">
            <v>11</v>
          </cell>
          <cell r="U1829">
            <v>31</v>
          </cell>
          <cell r="V1829">
            <v>56</v>
          </cell>
          <cell r="W1829">
            <v>168</v>
          </cell>
          <cell r="X1829">
            <v>44</v>
          </cell>
          <cell r="Y1829">
            <v>116</v>
          </cell>
          <cell r="Z1829">
            <v>12</v>
          </cell>
          <cell r="AA1829">
            <v>52</v>
          </cell>
          <cell r="AB1829">
            <v>126</v>
          </cell>
          <cell r="AC1829">
            <v>84</v>
          </cell>
          <cell r="AD1829">
            <v>42</v>
          </cell>
          <cell r="AE1829">
            <v>224</v>
          </cell>
          <cell r="AF1829">
            <v>160</v>
          </cell>
          <cell r="AG1829">
            <v>64</v>
          </cell>
        </row>
        <row r="1830">
          <cell r="C1830">
            <v>356681</v>
          </cell>
          <cell r="D1830" t="str">
            <v>SHRIRAM PETROL PUMP</v>
          </cell>
          <cell r="E1830" t="str">
            <v>IOCL</v>
          </cell>
          <cell r="F1830" t="str">
            <v>2022-23</v>
          </cell>
          <cell r="G1830" t="str">
            <v>Satara East RSA</v>
          </cell>
          <cell r="H1830">
            <v>45016</v>
          </cell>
          <cell r="I1830" t="str">
            <v>ST</v>
          </cell>
          <cell r="J1830" t="str">
            <v>VIKHALE</v>
          </cell>
          <cell r="K1830" t="str">
            <v>Satara</v>
          </cell>
          <cell r="L1830" t="str">
            <v>D2</v>
          </cell>
          <cell r="O1830" t="str">
            <v>A</v>
          </cell>
          <cell r="P1830">
            <v>67</v>
          </cell>
          <cell r="Q1830">
            <v>115</v>
          </cell>
          <cell r="R1830">
            <v>43</v>
          </cell>
          <cell r="S1830">
            <v>73</v>
          </cell>
          <cell r="T1830">
            <v>24</v>
          </cell>
          <cell r="U1830">
            <v>42</v>
          </cell>
          <cell r="V1830">
            <v>112</v>
          </cell>
          <cell r="W1830">
            <v>210</v>
          </cell>
          <cell r="X1830">
            <v>80</v>
          </cell>
          <cell r="Y1830">
            <v>148</v>
          </cell>
          <cell r="Z1830">
            <v>32</v>
          </cell>
          <cell r="AA1830">
            <v>62</v>
          </cell>
          <cell r="AB1830">
            <v>182</v>
          </cell>
          <cell r="AC1830">
            <v>116</v>
          </cell>
          <cell r="AD1830">
            <v>66</v>
          </cell>
          <cell r="AE1830">
            <v>322</v>
          </cell>
          <cell r="AF1830">
            <v>228</v>
          </cell>
          <cell r="AG1830">
            <v>94</v>
          </cell>
        </row>
        <row r="1831">
          <cell r="C1831">
            <v>358164</v>
          </cell>
          <cell r="D1831" t="str">
            <v>SARTHAK PETROL PUMP</v>
          </cell>
          <cell r="E1831" t="str">
            <v>IOCL</v>
          </cell>
          <cell r="F1831" t="str">
            <v>2023-24</v>
          </cell>
          <cell r="G1831" t="str">
            <v>Ahmednagar West RSA</v>
          </cell>
          <cell r="H1831">
            <v>45077</v>
          </cell>
          <cell r="I1831" t="str">
            <v>SC</v>
          </cell>
          <cell r="J1831" t="str">
            <v>Bhalgaon</v>
          </cell>
          <cell r="K1831" t="str">
            <v>Ahmednagar</v>
          </cell>
          <cell r="L1831" t="str">
            <v>D1</v>
          </cell>
          <cell r="M1831" t="str">
            <v>NH-752E</v>
          </cell>
          <cell r="O1831" t="str">
            <v>A</v>
          </cell>
          <cell r="P1831">
            <v>41</v>
          </cell>
          <cell r="Q1831">
            <v>177</v>
          </cell>
          <cell r="R1831">
            <v>0</v>
          </cell>
          <cell r="S1831">
            <v>0</v>
          </cell>
          <cell r="T1831">
            <v>41</v>
          </cell>
          <cell r="U1831">
            <v>177</v>
          </cell>
          <cell r="V1831">
            <v>76.5</v>
          </cell>
          <cell r="W1831">
            <v>243.5</v>
          </cell>
          <cell r="X1831">
            <v>0</v>
          </cell>
          <cell r="Y1831">
            <v>0</v>
          </cell>
          <cell r="Z1831">
            <v>76.5</v>
          </cell>
          <cell r="AA1831">
            <v>243.5</v>
          </cell>
          <cell r="AB1831">
            <v>218</v>
          </cell>
          <cell r="AC1831">
            <v>0</v>
          </cell>
          <cell r="AD1831">
            <v>218</v>
          </cell>
          <cell r="AE1831">
            <v>320</v>
          </cell>
          <cell r="AF1831">
            <v>0</v>
          </cell>
          <cell r="AG1831">
            <v>320</v>
          </cell>
        </row>
        <row r="1832">
          <cell r="C1832">
            <v>359225</v>
          </cell>
          <cell r="D1832" t="str">
            <v>VIJAYRAJ PETROLEUM</v>
          </cell>
          <cell r="E1832" t="str">
            <v>IOCL</v>
          </cell>
          <cell r="F1832" t="str">
            <v>2023-24</v>
          </cell>
          <cell r="G1832" t="str">
            <v>Pune Tathawade RSA</v>
          </cell>
          <cell r="H1832">
            <v>45138</v>
          </cell>
          <cell r="I1832" t="str">
            <v>OPEN</v>
          </cell>
          <cell r="J1832" t="str">
            <v>Gulunche</v>
          </cell>
          <cell r="K1832" t="str">
            <v>Pune</v>
          </cell>
          <cell r="L1832" t="str">
            <v>D1</v>
          </cell>
          <cell r="M1832" t="str">
            <v>NH-965D</v>
          </cell>
          <cell r="O1832" t="str">
            <v>B</v>
          </cell>
          <cell r="P1832">
            <v>10.5</v>
          </cell>
          <cell r="Q1832">
            <v>83.5</v>
          </cell>
          <cell r="R1832">
            <v>6</v>
          </cell>
          <cell r="S1832">
            <v>96</v>
          </cell>
          <cell r="T1832">
            <v>4.5</v>
          </cell>
          <cell r="U1832">
            <v>-12.5</v>
          </cell>
          <cell r="V1832">
            <v>14</v>
          </cell>
          <cell r="W1832">
            <v>160</v>
          </cell>
          <cell r="X1832">
            <v>12</v>
          </cell>
          <cell r="Y1832">
            <v>186</v>
          </cell>
          <cell r="Z1832">
            <v>2</v>
          </cell>
          <cell r="AA1832">
            <v>-26</v>
          </cell>
          <cell r="AB1832">
            <v>94</v>
          </cell>
          <cell r="AC1832">
            <v>102</v>
          </cell>
          <cell r="AD1832">
            <v>-8</v>
          </cell>
          <cell r="AE1832">
            <v>174</v>
          </cell>
          <cell r="AF1832">
            <v>198</v>
          </cell>
          <cell r="AG1832">
            <v>-24</v>
          </cell>
        </row>
        <row r="1833">
          <cell r="C1833">
            <v>359445</v>
          </cell>
          <cell r="D1833" t="str">
            <v>TANISHQA PETROLEUM</v>
          </cell>
          <cell r="E1833" t="str">
            <v>IOCL</v>
          </cell>
          <cell r="F1833" t="str">
            <v>2023-24</v>
          </cell>
          <cell r="G1833" t="str">
            <v>Pune Wagholi RSA</v>
          </cell>
          <cell r="H1833">
            <v>45138</v>
          </cell>
          <cell r="I1833" t="str">
            <v>SC</v>
          </cell>
          <cell r="J1833" t="str">
            <v>Peth on NH RHS</v>
          </cell>
          <cell r="K1833" t="str">
            <v>Pune</v>
          </cell>
          <cell r="L1833" t="str">
            <v>D1</v>
          </cell>
          <cell r="M1833" t="str">
            <v>NH-60</v>
          </cell>
          <cell r="O1833" t="str">
            <v>A</v>
          </cell>
          <cell r="P1833">
            <v>3</v>
          </cell>
          <cell r="Q1833">
            <v>9</v>
          </cell>
          <cell r="R1833">
            <v>19</v>
          </cell>
          <cell r="S1833">
            <v>67</v>
          </cell>
          <cell r="T1833">
            <v>-16</v>
          </cell>
          <cell r="U1833">
            <v>-58</v>
          </cell>
          <cell r="V1833">
            <v>12</v>
          </cell>
          <cell r="W1833">
            <v>36</v>
          </cell>
          <cell r="X1833">
            <v>28</v>
          </cell>
          <cell r="Y1833">
            <v>106</v>
          </cell>
          <cell r="Z1833">
            <v>-16</v>
          </cell>
          <cell r="AA1833">
            <v>-70</v>
          </cell>
          <cell r="AB1833">
            <v>12</v>
          </cell>
          <cell r="AC1833">
            <v>86</v>
          </cell>
          <cell r="AD1833">
            <v>-74</v>
          </cell>
          <cell r="AE1833">
            <v>48</v>
          </cell>
          <cell r="AF1833">
            <v>134</v>
          </cell>
          <cell r="AG1833">
            <v>-86</v>
          </cell>
        </row>
        <row r="1834">
          <cell r="C1834">
            <v>360731</v>
          </cell>
          <cell r="D1834" t="str">
            <v>SANAS PETROLEUM</v>
          </cell>
          <cell r="E1834" t="str">
            <v>IOCL</v>
          </cell>
          <cell r="F1834" t="str">
            <v>2023-24</v>
          </cell>
          <cell r="G1834" t="str">
            <v>Pune Hadapsar RSA</v>
          </cell>
          <cell r="H1834">
            <v>45197</v>
          </cell>
          <cell r="I1834" t="str">
            <v>OPEN</v>
          </cell>
          <cell r="J1834" t="str">
            <v>Urlikanchan</v>
          </cell>
          <cell r="K1834" t="str">
            <v>Pune</v>
          </cell>
          <cell r="L1834" t="str">
            <v>C</v>
          </cell>
          <cell r="O1834" t="str">
            <v>B</v>
          </cell>
          <cell r="P1834">
            <v>34</v>
          </cell>
          <cell r="Q1834">
            <v>50</v>
          </cell>
          <cell r="R1834">
            <v>42</v>
          </cell>
          <cell r="S1834">
            <v>90</v>
          </cell>
          <cell r="T1834">
            <v>-8</v>
          </cell>
          <cell r="U1834">
            <v>-40</v>
          </cell>
          <cell r="V1834">
            <v>68</v>
          </cell>
          <cell r="W1834">
            <v>100</v>
          </cell>
          <cell r="X1834">
            <v>77.5</v>
          </cell>
          <cell r="Y1834">
            <v>164.5</v>
          </cell>
          <cell r="Z1834">
            <v>-9.5</v>
          </cell>
          <cell r="AA1834">
            <v>-64.5</v>
          </cell>
          <cell r="AB1834">
            <v>84</v>
          </cell>
          <cell r="AC1834">
            <v>132</v>
          </cell>
          <cell r="AD1834">
            <v>-48</v>
          </cell>
          <cell r="AE1834">
            <v>168</v>
          </cell>
          <cell r="AF1834">
            <v>242</v>
          </cell>
          <cell r="AG1834">
            <v>-74</v>
          </cell>
        </row>
        <row r="1835">
          <cell r="C1835">
            <v>361682</v>
          </cell>
          <cell r="D1835" t="str">
            <v>S S PETROLEUM</v>
          </cell>
          <cell r="E1835" t="str">
            <v>IOCL</v>
          </cell>
          <cell r="F1835" t="str">
            <v>2023-24</v>
          </cell>
          <cell r="G1835" t="str">
            <v>Pune Tathawade RSA</v>
          </cell>
          <cell r="H1835">
            <v>45230</v>
          </cell>
          <cell r="I1835" t="str">
            <v>OPEN</v>
          </cell>
          <cell r="J1835" t="str">
            <v>KHED SHIVAPUR TO JAMBHULWADI</v>
          </cell>
          <cell r="K1835" t="str">
            <v>Pune</v>
          </cell>
          <cell r="L1835" t="str">
            <v>D1</v>
          </cell>
          <cell r="M1835" t="str">
            <v>NH-48</v>
          </cell>
          <cell r="O1835" t="str">
            <v>A</v>
          </cell>
          <cell r="P1835">
            <v>111</v>
          </cell>
          <cell r="Q1835">
            <v>125</v>
          </cell>
          <cell r="R1835">
            <v>84</v>
          </cell>
          <cell r="S1835">
            <v>108</v>
          </cell>
          <cell r="T1835">
            <v>27</v>
          </cell>
          <cell r="U1835">
            <v>17</v>
          </cell>
          <cell r="V1835">
            <v>200</v>
          </cell>
          <cell r="W1835">
            <v>230</v>
          </cell>
          <cell r="X1835">
            <v>165</v>
          </cell>
          <cell r="Y1835">
            <v>207</v>
          </cell>
          <cell r="Z1835">
            <v>35</v>
          </cell>
          <cell r="AA1835">
            <v>23</v>
          </cell>
          <cell r="AB1835">
            <v>236</v>
          </cell>
          <cell r="AC1835">
            <v>192</v>
          </cell>
          <cell r="AD1835">
            <v>44</v>
          </cell>
          <cell r="AE1835">
            <v>430</v>
          </cell>
          <cell r="AF1835">
            <v>372</v>
          </cell>
          <cell r="AG1835">
            <v>58</v>
          </cell>
        </row>
        <row r="1836">
          <cell r="C1836">
            <v>362531</v>
          </cell>
          <cell r="D1836" t="str">
            <v>SRI BALASAHEB GADILKAR PETROLEUM</v>
          </cell>
          <cell r="E1836" t="str">
            <v>IOCL</v>
          </cell>
          <cell r="F1836" t="str">
            <v>2023-24</v>
          </cell>
          <cell r="G1836" t="str">
            <v>Ahmednagar East RSA</v>
          </cell>
          <cell r="H1836">
            <v>45260</v>
          </cell>
          <cell r="I1836" t="str">
            <v>OBC</v>
          </cell>
          <cell r="J1836" t="str">
            <v>Supe toll</v>
          </cell>
          <cell r="K1836" t="str">
            <v>Ahmednagar</v>
          </cell>
          <cell r="L1836" t="str">
            <v>D1</v>
          </cell>
          <cell r="M1836" t="str">
            <v>NH-753F</v>
          </cell>
          <cell r="O1836" t="str">
            <v>B</v>
          </cell>
          <cell r="P1836">
            <v>25.5</v>
          </cell>
          <cell r="Q1836">
            <v>186.5</v>
          </cell>
          <cell r="R1836">
            <v>23</v>
          </cell>
          <cell r="S1836">
            <v>179</v>
          </cell>
          <cell r="T1836">
            <v>2.5</v>
          </cell>
          <cell r="U1836">
            <v>7.5</v>
          </cell>
          <cell r="V1836">
            <v>40.5</v>
          </cell>
          <cell r="W1836">
            <v>367.5</v>
          </cell>
          <cell r="X1836">
            <v>41</v>
          </cell>
          <cell r="Y1836">
            <v>345</v>
          </cell>
          <cell r="Z1836">
            <v>-0.5</v>
          </cell>
          <cell r="AA1836">
            <v>22.5</v>
          </cell>
          <cell r="AB1836">
            <v>212</v>
          </cell>
          <cell r="AC1836">
            <v>202</v>
          </cell>
          <cell r="AD1836">
            <v>10</v>
          </cell>
          <cell r="AE1836">
            <v>408</v>
          </cell>
          <cell r="AF1836">
            <v>386</v>
          </cell>
          <cell r="AG1836">
            <v>22</v>
          </cell>
        </row>
        <row r="1837">
          <cell r="C1837">
            <v>362532</v>
          </cell>
          <cell r="D1837" t="str">
            <v>TRIMURTI PETROL PUMP</v>
          </cell>
          <cell r="E1837" t="str">
            <v>IOCL</v>
          </cell>
          <cell r="F1837" t="str">
            <v>2023-24</v>
          </cell>
          <cell r="G1837" t="str">
            <v>Satara West RSA</v>
          </cell>
          <cell r="H1837">
            <v>45260</v>
          </cell>
          <cell r="I1837" t="str">
            <v>OBC</v>
          </cell>
          <cell r="J1837" t="str">
            <v>PATAN</v>
          </cell>
          <cell r="K1837" t="str">
            <v>Satara</v>
          </cell>
          <cell r="L1837" t="str">
            <v>D1</v>
          </cell>
          <cell r="M1837" t="str">
            <v>NH-166E</v>
          </cell>
          <cell r="O1837" t="str">
            <v>B</v>
          </cell>
          <cell r="P1837">
            <v>24</v>
          </cell>
          <cell r="Q1837">
            <v>24</v>
          </cell>
          <cell r="R1837">
            <v>30</v>
          </cell>
          <cell r="S1837">
            <v>54</v>
          </cell>
          <cell r="T1837">
            <v>-6</v>
          </cell>
          <cell r="U1837">
            <v>-30</v>
          </cell>
          <cell r="V1837">
            <v>42</v>
          </cell>
          <cell r="W1837">
            <v>54</v>
          </cell>
          <cell r="X1837">
            <v>57</v>
          </cell>
          <cell r="Y1837">
            <v>99</v>
          </cell>
          <cell r="Z1837">
            <v>-15</v>
          </cell>
          <cell r="AA1837">
            <v>-45</v>
          </cell>
          <cell r="AB1837">
            <v>48</v>
          </cell>
          <cell r="AC1837">
            <v>84</v>
          </cell>
          <cell r="AD1837">
            <v>-36</v>
          </cell>
          <cell r="AE1837">
            <v>96</v>
          </cell>
          <cell r="AF1837">
            <v>156</v>
          </cell>
          <cell r="AG1837">
            <v>-60</v>
          </cell>
        </row>
        <row r="1838">
          <cell r="C1838">
            <v>363282</v>
          </cell>
          <cell r="D1838" t="str">
            <v>Shivratna Agency</v>
          </cell>
          <cell r="E1838" t="str">
            <v>IOCL</v>
          </cell>
          <cell r="F1838" t="str">
            <v>2023-24</v>
          </cell>
          <cell r="G1838" t="str">
            <v>Satara East RSA</v>
          </cell>
          <cell r="H1838">
            <v>45291</v>
          </cell>
          <cell r="I1838" t="str">
            <v>OBC</v>
          </cell>
          <cell r="J1838" t="str">
            <v>MALAVADI</v>
          </cell>
          <cell r="K1838" t="str">
            <v>Satara</v>
          </cell>
          <cell r="L1838" t="str">
            <v>E</v>
          </cell>
          <cell r="O1838" t="str">
            <v>B</v>
          </cell>
          <cell r="P1838">
            <v>28</v>
          </cell>
          <cell r="Q1838">
            <v>28</v>
          </cell>
          <cell r="R1838">
            <v>7</v>
          </cell>
          <cell r="S1838">
            <v>21</v>
          </cell>
          <cell r="T1838">
            <v>21</v>
          </cell>
          <cell r="U1838">
            <v>7</v>
          </cell>
          <cell r="V1838">
            <v>61</v>
          </cell>
          <cell r="W1838">
            <v>79</v>
          </cell>
          <cell r="X1838">
            <v>31.5</v>
          </cell>
          <cell r="Y1838">
            <v>52.5</v>
          </cell>
          <cell r="Z1838">
            <v>29.5</v>
          </cell>
          <cell r="AA1838">
            <v>26.5</v>
          </cell>
          <cell r="AB1838">
            <v>56</v>
          </cell>
          <cell r="AC1838">
            <v>28</v>
          </cell>
          <cell r="AD1838">
            <v>28</v>
          </cell>
          <cell r="AE1838">
            <v>140</v>
          </cell>
          <cell r="AF1838">
            <v>84</v>
          </cell>
          <cell r="AG1838">
            <v>56</v>
          </cell>
        </row>
        <row r="1839">
          <cell r="C1839">
            <v>386575</v>
          </cell>
          <cell r="D1839" t="str">
            <v>COCO CHASNALI ADHOC TIRUPATI BALAJI (D.S.BHOSALE &amp; CO- 363324)</v>
          </cell>
          <cell r="E1839" t="str">
            <v>IOCL</v>
          </cell>
          <cell r="G1839" t="str">
            <v>Shirdi RSA</v>
          </cell>
          <cell r="H1839">
            <v>38748</v>
          </cell>
          <cell r="I1839" t="str">
            <v>OPEN</v>
          </cell>
          <cell r="J1839" t="str">
            <v>CHAS NALI</v>
          </cell>
          <cell r="K1839" t="str">
            <v>Ahmednagar</v>
          </cell>
          <cell r="L1839" t="str">
            <v>D2</v>
          </cell>
          <cell r="O1839" t="str">
            <v>A</v>
          </cell>
          <cell r="P1839">
            <v>45</v>
          </cell>
          <cell r="Q1839">
            <v>87</v>
          </cell>
          <cell r="R1839">
            <v>30</v>
          </cell>
          <cell r="S1839">
            <v>30</v>
          </cell>
          <cell r="T1839">
            <v>15</v>
          </cell>
          <cell r="U1839">
            <v>57</v>
          </cell>
          <cell r="V1839">
            <v>66</v>
          </cell>
          <cell r="W1839">
            <v>114</v>
          </cell>
          <cell r="X1839">
            <v>57</v>
          </cell>
          <cell r="Y1839">
            <v>75</v>
          </cell>
          <cell r="Z1839">
            <v>9</v>
          </cell>
          <cell r="AA1839">
            <v>39</v>
          </cell>
          <cell r="AB1839">
            <v>132</v>
          </cell>
          <cell r="AC1839">
            <v>60</v>
          </cell>
          <cell r="AD1839">
            <v>72</v>
          </cell>
          <cell r="AE1839">
            <v>180</v>
          </cell>
          <cell r="AF1839">
            <v>132</v>
          </cell>
          <cell r="AG1839">
            <v>48</v>
          </cell>
        </row>
        <row r="1840">
          <cell r="C1840">
            <v>363424</v>
          </cell>
          <cell r="D1840" t="str">
            <v>C. R. GODSE PETROLEUM</v>
          </cell>
          <cell r="E1840" t="str">
            <v>IOCL</v>
          </cell>
          <cell r="F1840" t="str">
            <v>2023-24</v>
          </cell>
          <cell r="G1840" t="str">
            <v>Satara East RSA</v>
          </cell>
          <cell r="H1840">
            <v>45297</v>
          </cell>
          <cell r="I1840" t="str">
            <v>OPEN</v>
          </cell>
          <cell r="J1840" t="str">
            <v>Waduj</v>
          </cell>
          <cell r="K1840" t="str">
            <v>Satara</v>
          </cell>
          <cell r="L1840" t="str">
            <v>D2</v>
          </cell>
          <cell r="O1840" t="str">
            <v>B</v>
          </cell>
          <cell r="P1840">
            <v>64.5</v>
          </cell>
          <cell r="Q1840">
            <v>147.5</v>
          </cell>
          <cell r="R1840">
            <v>49.5</v>
          </cell>
          <cell r="S1840">
            <v>58.5</v>
          </cell>
          <cell r="T1840">
            <v>15</v>
          </cell>
          <cell r="U1840">
            <v>89</v>
          </cell>
          <cell r="V1840">
            <v>112.5</v>
          </cell>
          <cell r="W1840">
            <v>243.5</v>
          </cell>
          <cell r="X1840">
            <v>94.5</v>
          </cell>
          <cell r="Y1840">
            <v>112.5</v>
          </cell>
          <cell r="Z1840">
            <v>18</v>
          </cell>
          <cell r="AA1840">
            <v>131</v>
          </cell>
          <cell r="AB1840">
            <v>212</v>
          </cell>
          <cell r="AC1840">
            <v>108</v>
          </cell>
          <cell r="AD1840">
            <v>104</v>
          </cell>
          <cell r="AE1840">
            <v>356</v>
          </cell>
          <cell r="AF1840">
            <v>207</v>
          </cell>
          <cell r="AG1840">
            <v>149</v>
          </cell>
        </row>
        <row r="1841">
          <cell r="C1841">
            <v>367894</v>
          </cell>
          <cell r="D1841" t="str">
            <v>HIGHWAY ENERGY JUNCTION</v>
          </cell>
          <cell r="E1841" t="str">
            <v>IOCL</v>
          </cell>
          <cell r="F1841" t="str">
            <v>2024-25</v>
          </cell>
          <cell r="G1841" t="str">
            <v>Pune Hadapsar RSA</v>
          </cell>
          <cell r="H1841">
            <v>45451</v>
          </cell>
          <cell r="I1841" t="str">
            <v>OPEN</v>
          </cell>
          <cell r="J1841" t="str">
            <v>Yawat RHS</v>
          </cell>
          <cell r="K1841" t="str">
            <v>Pune</v>
          </cell>
          <cell r="L1841" t="str">
            <v>D1</v>
          </cell>
          <cell r="M1841" t="str">
            <v>NH-65</v>
          </cell>
          <cell r="O1841" t="str">
            <v>B</v>
          </cell>
          <cell r="P1841">
            <v>12</v>
          </cell>
          <cell r="Q1841">
            <v>60</v>
          </cell>
          <cell r="R1841">
            <v>29</v>
          </cell>
          <cell r="S1841">
            <v>91</v>
          </cell>
          <cell r="T1841">
            <v>-17</v>
          </cell>
          <cell r="U1841">
            <v>-31</v>
          </cell>
          <cell r="V1841">
            <v>24</v>
          </cell>
          <cell r="W1841">
            <v>96</v>
          </cell>
          <cell r="X1841">
            <v>51</v>
          </cell>
          <cell r="Y1841">
            <v>201</v>
          </cell>
          <cell r="Z1841">
            <v>-27</v>
          </cell>
          <cell r="AA1841">
            <v>-105</v>
          </cell>
          <cell r="AB1841">
            <v>72</v>
          </cell>
          <cell r="AC1841">
            <v>120</v>
          </cell>
          <cell r="AD1841">
            <v>-48</v>
          </cell>
          <cell r="AE1841">
            <v>120</v>
          </cell>
          <cell r="AF1841">
            <v>252</v>
          </cell>
          <cell r="AG1841">
            <v>-132</v>
          </cell>
        </row>
        <row r="1842">
          <cell r="C1842">
            <v>368608</v>
          </cell>
          <cell r="D1842" t="str">
            <v>COCO Astagaon Om Gurudev Petro (346004)</v>
          </cell>
          <cell r="E1842" t="str">
            <v>IOCL</v>
          </cell>
          <cell r="G1842" t="str">
            <v>Shirdi RSA</v>
          </cell>
          <cell r="H1842">
            <v>36673</v>
          </cell>
          <cell r="I1842" t="str">
            <v>DEF (OPEN)</v>
          </cell>
          <cell r="J1842" t="str">
            <v>ASTAGAON</v>
          </cell>
          <cell r="K1842" t="str">
            <v>Ahmednagar</v>
          </cell>
          <cell r="L1842" t="str">
            <v>D1</v>
          </cell>
          <cell r="M1842" t="str">
            <v>NH-160</v>
          </cell>
          <cell r="O1842" t="str">
            <v>A</v>
          </cell>
          <cell r="P1842">
            <v>8</v>
          </cell>
          <cell r="Q1842">
            <v>108</v>
          </cell>
          <cell r="R1842">
            <v>6</v>
          </cell>
          <cell r="S1842">
            <v>6</v>
          </cell>
          <cell r="T1842">
            <v>2</v>
          </cell>
          <cell r="U1842">
            <v>102</v>
          </cell>
          <cell r="V1842">
            <v>8</v>
          </cell>
          <cell r="W1842">
            <v>108</v>
          </cell>
          <cell r="X1842">
            <v>6</v>
          </cell>
          <cell r="Y1842">
            <v>6</v>
          </cell>
          <cell r="Z1842">
            <v>2</v>
          </cell>
          <cell r="AA1842">
            <v>102</v>
          </cell>
          <cell r="AB1842">
            <v>116</v>
          </cell>
          <cell r="AC1842">
            <v>12</v>
          </cell>
          <cell r="AD1842">
            <v>104</v>
          </cell>
          <cell r="AE1842">
            <v>116</v>
          </cell>
          <cell r="AF1842">
            <v>12</v>
          </cell>
          <cell r="AG1842">
            <v>104</v>
          </cell>
        </row>
        <row r="1843">
          <cell r="C1843">
            <v>369441</v>
          </cell>
          <cell r="D1843" t="str">
            <v>D K PETROLEUM</v>
          </cell>
          <cell r="E1843" t="str">
            <v>IOCL</v>
          </cell>
          <cell r="F1843" t="str">
            <v>2024-25</v>
          </cell>
          <cell r="G1843" t="str">
            <v>Ahmednagar East RSA</v>
          </cell>
          <cell r="H1843">
            <v>45564</v>
          </cell>
          <cell r="I1843" t="str">
            <v>OBC</v>
          </cell>
          <cell r="J1843" t="str">
            <v>Kedgaon</v>
          </cell>
          <cell r="K1843" t="str">
            <v>Ahmednagar</v>
          </cell>
          <cell r="L1843" t="str">
            <v>D2</v>
          </cell>
          <cell r="O1843" t="str">
            <v>B</v>
          </cell>
          <cell r="P1843">
            <v>72</v>
          </cell>
          <cell r="Q1843">
            <v>50</v>
          </cell>
          <cell r="R1843">
            <v>42</v>
          </cell>
          <cell r="S1843">
            <v>30</v>
          </cell>
          <cell r="T1843">
            <v>30</v>
          </cell>
          <cell r="U1843">
            <v>20</v>
          </cell>
          <cell r="V1843">
            <v>132</v>
          </cell>
          <cell r="W1843">
            <v>88</v>
          </cell>
          <cell r="X1843">
            <v>78</v>
          </cell>
          <cell r="Y1843">
            <v>54</v>
          </cell>
          <cell r="Z1843">
            <v>54</v>
          </cell>
          <cell r="AA1843">
            <v>34</v>
          </cell>
          <cell r="AB1843">
            <v>122</v>
          </cell>
          <cell r="AC1843">
            <v>72</v>
          </cell>
          <cell r="AD1843">
            <v>50</v>
          </cell>
          <cell r="AE1843">
            <v>220</v>
          </cell>
          <cell r="AF1843">
            <v>132</v>
          </cell>
          <cell r="AG1843">
            <v>88</v>
          </cell>
        </row>
        <row r="1844">
          <cell r="C1844">
            <v>369442</v>
          </cell>
          <cell r="D1844" t="str">
            <v>SHRI YASHWANT PETROLEUM</v>
          </cell>
          <cell r="E1844" t="str">
            <v>IOCL</v>
          </cell>
          <cell r="F1844" t="str">
            <v>2024-25</v>
          </cell>
          <cell r="G1844" t="str">
            <v>Satara East RSA</v>
          </cell>
          <cell r="H1844">
            <v>45504</v>
          </cell>
          <cell r="I1844" t="str">
            <v>OBC</v>
          </cell>
          <cell r="J1844" t="str">
            <v>Wakalwadi</v>
          </cell>
          <cell r="K1844" t="str">
            <v>Satara</v>
          </cell>
          <cell r="L1844" t="str">
            <v>D2</v>
          </cell>
          <cell r="O1844" t="str">
            <v>B</v>
          </cell>
          <cell r="P1844">
            <v>51</v>
          </cell>
          <cell r="Q1844">
            <v>119</v>
          </cell>
          <cell r="R1844">
            <v>45</v>
          </cell>
          <cell r="S1844">
            <v>106.5</v>
          </cell>
          <cell r="T1844">
            <v>6</v>
          </cell>
          <cell r="U1844">
            <v>12.5</v>
          </cell>
          <cell r="V1844">
            <v>96</v>
          </cell>
          <cell r="W1844">
            <v>254</v>
          </cell>
          <cell r="X1844">
            <v>70</v>
          </cell>
          <cell r="Y1844">
            <v>225.5</v>
          </cell>
          <cell r="Z1844">
            <v>26</v>
          </cell>
          <cell r="AA1844">
            <v>28.5</v>
          </cell>
          <cell r="AB1844">
            <v>170</v>
          </cell>
          <cell r="AC1844">
            <v>151.5</v>
          </cell>
          <cell r="AD1844">
            <v>18.5</v>
          </cell>
          <cell r="AE1844">
            <v>350</v>
          </cell>
          <cell r="AF1844">
            <v>295.5</v>
          </cell>
          <cell r="AG1844">
            <v>54.5</v>
          </cell>
        </row>
        <row r="1845">
          <cell r="C1845">
            <v>369443</v>
          </cell>
          <cell r="D1845" t="str">
            <v>RAJHANS PETROLEUM</v>
          </cell>
          <cell r="E1845" t="str">
            <v>IOCL</v>
          </cell>
          <cell r="F1845" t="str">
            <v>2024-25</v>
          </cell>
          <cell r="G1845" t="str">
            <v>Satara East RSA</v>
          </cell>
          <cell r="H1845">
            <v>45527</v>
          </cell>
          <cell r="I1845" t="str">
            <v>OPEN(W)</v>
          </cell>
          <cell r="J1845" t="str">
            <v>Dahiwadi on NH</v>
          </cell>
          <cell r="K1845" t="str">
            <v>Satara</v>
          </cell>
          <cell r="L1845" t="str">
            <v>D1</v>
          </cell>
          <cell r="M1845" t="str">
            <v>NH-160</v>
          </cell>
          <cell r="O1845" t="str">
            <v>B</v>
          </cell>
          <cell r="P1845">
            <v>25</v>
          </cell>
          <cell r="Q1845">
            <v>87</v>
          </cell>
          <cell r="R1845">
            <v>17.5</v>
          </cell>
          <cell r="S1845">
            <v>74.5</v>
          </cell>
          <cell r="T1845">
            <v>7.5</v>
          </cell>
          <cell r="U1845">
            <v>12.5</v>
          </cell>
          <cell r="V1845">
            <v>50</v>
          </cell>
          <cell r="W1845">
            <v>174</v>
          </cell>
          <cell r="X1845">
            <v>37</v>
          </cell>
          <cell r="Y1845">
            <v>147</v>
          </cell>
          <cell r="Z1845">
            <v>13</v>
          </cell>
          <cell r="AA1845">
            <v>27</v>
          </cell>
          <cell r="AB1845">
            <v>112</v>
          </cell>
          <cell r="AC1845">
            <v>92</v>
          </cell>
          <cell r="AD1845">
            <v>20</v>
          </cell>
          <cell r="AE1845">
            <v>224</v>
          </cell>
          <cell r="AF1845">
            <v>184</v>
          </cell>
          <cell r="AG1845">
            <v>40</v>
          </cell>
        </row>
        <row r="1846">
          <cell r="C1846">
            <v>370143</v>
          </cell>
          <cell r="D1846" t="str">
            <v>SHIVRATNA PETROL PUMP</v>
          </cell>
          <cell r="E1846" t="str">
            <v>IOCL</v>
          </cell>
          <cell r="F1846" t="str">
            <v>2024-25</v>
          </cell>
          <cell r="G1846" t="str">
            <v>Satara East RSA</v>
          </cell>
          <cell r="H1846">
            <v>45534</v>
          </cell>
          <cell r="I1846" t="str">
            <v>OPEN</v>
          </cell>
          <cell r="J1846" t="str">
            <v>Wavarhire</v>
          </cell>
          <cell r="K1846" t="str">
            <v>Satara</v>
          </cell>
          <cell r="L1846" t="str">
            <v>D2</v>
          </cell>
          <cell r="O1846" t="str">
            <v>B</v>
          </cell>
          <cell r="P1846">
            <v>35</v>
          </cell>
          <cell r="Q1846">
            <v>91</v>
          </cell>
          <cell r="R1846">
            <v>19.5</v>
          </cell>
          <cell r="S1846">
            <v>67.5</v>
          </cell>
          <cell r="T1846">
            <v>15.5</v>
          </cell>
          <cell r="U1846">
            <v>23.5</v>
          </cell>
          <cell r="V1846">
            <v>60</v>
          </cell>
          <cell r="W1846">
            <v>178</v>
          </cell>
          <cell r="X1846">
            <v>34.5</v>
          </cell>
          <cell r="Y1846">
            <v>124.5</v>
          </cell>
          <cell r="Z1846">
            <v>25.5</v>
          </cell>
          <cell r="AA1846">
            <v>53.5</v>
          </cell>
          <cell r="AB1846">
            <v>126</v>
          </cell>
          <cell r="AC1846">
            <v>87</v>
          </cell>
          <cell r="AD1846">
            <v>39</v>
          </cell>
          <cell r="AE1846">
            <v>238</v>
          </cell>
          <cell r="AF1846">
            <v>159</v>
          </cell>
          <cell r="AG1846">
            <v>79</v>
          </cell>
        </row>
        <row r="1847">
          <cell r="C1847">
            <v>371006</v>
          </cell>
          <cell r="D1847" t="str">
            <v>SURYA PETROLEUM</v>
          </cell>
          <cell r="E1847" t="str">
            <v>IOCL</v>
          </cell>
          <cell r="F1847" t="str">
            <v>2024-25</v>
          </cell>
          <cell r="G1847" t="str">
            <v>Satara East RSA</v>
          </cell>
          <cell r="H1847">
            <v>45565</v>
          </cell>
          <cell r="I1847" t="str">
            <v>SC</v>
          </cell>
          <cell r="J1847" t="str">
            <v>Kalaj</v>
          </cell>
          <cell r="K1847" t="str">
            <v>Satara</v>
          </cell>
          <cell r="L1847" t="str">
            <v>D1</v>
          </cell>
          <cell r="M1847" t="str">
            <v>NH-965</v>
          </cell>
          <cell r="O1847" t="str">
            <v>A</v>
          </cell>
          <cell r="P1847">
            <v>18</v>
          </cell>
          <cell r="Q1847">
            <v>30</v>
          </cell>
          <cell r="R1847">
            <v>0</v>
          </cell>
          <cell r="S1847">
            <v>0</v>
          </cell>
          <cell r="T1847">
            <v>18</v>
          </cell>
          <cell r="U1847">
            <v>30</v>
          </cell>
          <cell r="V1847">
            <v>39</v>
          </cell>
          <cell r="W1847">
            <v>57</v>
          </cell>
          <cell r="X1847">
            <v>0</v>
          </cell>
          <cell r="Y1847">
            <v>0</v>
          </cell>
          <cell r="Z1847">
            <v>39</v>
          </cell>
          <cell r="AA1847">
            <v>57</v>
          </cell>
          <cell r="AB1847">
            <v>48</v>
          </cell>
          <cell r="AC1847">
            <v>0</v>
          </cell>
          <cell r="AD1847">
            <v>48</v>
          </cell>
          <cell r="AE1847">
            <v>96</v>
          </cell>
          <cell r="AF1847">
            <v>0</v>
          </cell>
          <cell r="AG1847">
            <v>96</v>
          </cell>
        </row>
        <row r="1848">
          <cell r="C1848">
            <v>371055</v>
          </cell>
          <cell r="D1848" t="str">
            <v>COCO VADGAON ADHOC SAMARTH PETRO (285387 ADHOC VIPUL FUEL STATION)</v>
          </cell>
          <cell r="E1848" t="str">
            <v>IOCL</v>
          </cell>
          <cell r="G1848" t="str">
            <v>Shirdi RSA</v>
          </cell>
          <cell r="H1848">
            <v>43220</v>
          </cell>
          <cell r="I1848" t="str">
            <v>OPEN</v>
          </cell>
          <cell r="J1848" t="str">
            <v>VADGAONPAN</v>
          </cell>
          <cell r="K1848" t="str">
            <v>Ahmednagar</v>
          </cell>
          <cell r="L1848" t="str">
            <v>D2</v>
          </cell>
          <cell r="O1848" t="str">
            <v>A</v>
          </cell>
          <cell r="P1848">
            <v>18</v>
          </cell>
          <cell r="Q1848">
            <v>102</v>
          </cell>
          <cell r="R1848">
            <v>25</v>
          </cell>
          <cell r="S1848">
            <v>49</v>
          </cell>
          <cell r="T1848">
            <v>-7</v>
          </cell>
          <cell r="U1848">
            <v>53</v>
          </cell>
          <cell r="V1848">
            <v>39</v>
          </cell>
          <cell r="W1848">
            <v>165</v>
          </cell>
          <cell r="X1848">
            <v>49</v>
          </cell>
          <cell r="Y1848">
            <v>97</v>
          </cell>
          <cell r="Z1848">
            <v>-10</v>
          </cell>
          <cell r="AA1848">
            <v>68</v>
          </cell>
          <cell r="AB1848">
            <v>120</v>
          </cell>
          <cell r="AC1848">
            <v>74</v>
          </cell>
          <cell r="AD1848">
            <v>46</v>
          </cell>
          <cell r="AE1848">
            <v>204</v>
          </cell>
          <cell r="AF1848">
            <v>146</v>
          </cell>
          <cell r="AG1848">
            <v>58</v>
          </cell>
        </row>
        <row r="1849">
          <cell r="C1849">
            <v>371924</v>
          </cell>
          <cell r="D1849" t="str">
            <v>SAI AGENCY</v>
          </cell>
          <cell r="E1849" t="str">
            <v>IOCL</v>
          </cell>
          <cell r="F1849" t="str">
            <v>2024-25</v>
          </cell>
          <cell r="G1849" t="str">
            <v>Satara East RSA</v>
          </cell>
          <cell r="H1849">
            <v>45598</v>
          </cell>
          <cell r="I1849" t="str">
            <v>OPEN</v>
          </cell>
          <cell r="J1849" t="str">
            <v>Mhaswad</v>
          </cell>
          <cell r="K1849" t="str">
            <v>Satara</v>
          </cell>
          <cell r="L1849" t="str">
            <v>D1</v>
          </cell>
          <cell r="M1849" t="str">
            <v>NH-548C</v>
          </cell>
          <cell r="O1849" t="str">
            <v>B</v>
          </cell>
          <cell r="P1849">
            <v>54.5</v>
          </cell>
          <cell r="Q1849">
            <v>111.5</v>
          </cell>
          <cell r="R1849">
            <v>6</v>
          </cell>
          <cell r="S1849">
            <v>6</v>
          </cell>
          <cell r="T1849">
            <v>48.5</v>
          </cell>
          <cell r="U1849">
            <v>105.5</v>
          </cell>
          <cell r="V1849">
            <v>88</v>
          </cell>
          <cell r="W1849">
            <v>172</v>
          </cell>
          <cell r="X1849">
            <v>6</v>
          </cell>
          <cell r="Y1849">
            <v>6</v>
          </cell>
          <cell r="Z1849">
            <v>82</v>
          </cell>
          <cell r="AA1849">
            <v>166</v>
          </cell>
          <cell r="AB1849">
            <v>166</v>
          </cell>
          <cell r="AC1849">
            <v>12</v>
          </cell>
          <cell r="AD1849">
            <v>154</v>
          </cell>
          <cell r="AE1849">
            <v>260</v>
          </cell>
          <cell r="AF1849">
            <v>12</v>
          </cell>
          <cell r="AG1849">
            <v>248</v>
          </cell>
        </row>
        <row r="1850">
          <cell r="C1850">
            <v>354938</v>
          </cell>
          <cell r="D1850" t="str">
            <v>COCO Shevgoan (Adhoc Kalika Agency 372060 (Old Code 354938))</v>
          </cell>
          <cell r="E1850" t="str">
            <v>IOCL</v>
          </cell>
          <cell r="G1850" t="str">
            <v>Ahmednagar East RSA</v>
          </cell>
          <cell r="H1850">
            <v>44975</v>
          </cell>
          <cell r="I1850" t="str">
            <v>OBC</v>
          </cell>
          <cell r="J1850" t="str">
            <v>Amrapur</v>
          </cell>
          <cell r="K1850" t="str">
            <v>Ahmednagar</v>
          </cell>
          <cell r="L1850" t="str">
            <v>D2</v>
          </cell>
          <cell r="O1850" t="str">
            <v>A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6</v>
          </cell>
          <cell r="W1850">
            <v>6</v>
          </cell>
          <cell r="X1850">
            <v>0</v>
          </cell>
          <cell r="Y1850">
            <v>0</v>
          </cell>
          <cell r="Z1850">
            <v>6</v>
          </cell>
          <cell r="AA1850">
            <v>6</v>
          </cell>
          <cell r="AB1850">
            <v>0</v>
          </cell>
          <cell r="AC1850">
            <v>0</v>
          </cell>
          <cell r="AD1850">
            <v>0</v>
          </cell>
          <cell r="AE1850">
            <v>12</v>
          </cell>
          <cell r="AF1850">
            <v>0</v>
          </cell>
          <cell r="AG1850">
            <v>12</v>
          </cell>
        </row>
        <row r="1851">
          <cell r="C1851">
            <v>372701</v>
          </cell>
          <cell r="D1851" t="str">
            <v>JAGTAP PETROLEUM</v>
          </cell>
          <cell r="E1851" t="str">
            <v>IOCL</v>
          </cell>
          <cell r="F1851" t="str">
            <v>2024-25</v>
          </cell>
          <cell r="G1851" t="str">
            <v>Pune Saswad RSA</v>
          </cell>
          <cell r="H1851">
            <v>45626</v>
          </cell>
          <cell r="I1851" t="str">
            <v>OPEN</v>
          </cell>
          <cell r="J1851" t="str">
            <v>Saswad-Narayanpur Road</v>
          </cell>
          <cell r="K1851" t="str">
            <v>Pune</v>
          </cell>
          <cell r="L1851" t="str">
            <v>D2</v>
          </cell>
          <cell r="O1851" t="str">
            <v>B</v>
          </cell>
          <cell r="P1851">
            <v>55</v>
          </cell>
          <cell r="Q1851">
            <v>99</v>
          </cell>
          <cell r="R1851">
            <v>33</v>
          </cell>
          <cell r="S1851">
            <v>51</v>
          </cell>
          <cell r="T1851">
            <v>22</v>
          </cell>
          <cell r="U1851">
            <v>48</v>
          </cell>
          <cell r="V1851">
            <v>90</v>
          </cell>
          <cell r="W1851">
            <v>162</v>
          </cell>
          <cell r="X1851">
            <v>43</v>
          </cell>
          <cell r="Y1851">
            <v>67</v>
          </cell>
          <cell r="Z1851">
            <v>47</v>
          </cell>
          <cell r="AA1851">
            <v>95</v>
          </cell>
          <cell r="AB1851">
            <v>154</v>
          </cell>
          <cell r="AC1851">
            <v>84</v>
          </cell>
          <cell r="AD1851">
            <v>70</v>
          </cell>
          <cell r="AE1851">
            <v>252</v>
          </cell>
          <cell r="AF1851">
            <v>110</v>
          </cell>
          <cell r="AG1851">
            <v>142</v>
          </cell>
        </row>
        <row r="1852">
          <cell r="C1852">
            <v>372702</v>
          </cell>
          <cell r="D1852" t="str">
            <v>K K PETROLEUM</v>
          </cell>
          <cell r="E1852" t="str">
            <v>IOCL</v>
          </cell>
          <cell r="F1852" t="str">
            <v>2024-25</v>
          </cell>
          <cell r="G1852" t="str">
            <v>Pune Saswad RSA</v>
          </cell>
          <cell r="H1852">
            <v>45626</v>
          </cell>
          <cell r="I1852" t="str">
            <v>OPEN</v>
          </cell>
          <cell r="J1852" t="str">
            <v>Saswad-Jejuri Road</v>
          </cell>
          <cell r="K1852" t="str">
            <v>Pune</v>
          </cell>
          <cell r="L1852" t="str">
            <v>D1</v>
          </cell>
          <cell r="M1852" t="str">
            <v>NH-965</v>
          </cell>
          <cell r="O1852" t="str">
            <v>B</v>
          </cell>
          <cell r="P1852">
            <v>41.5</v>
          </cell>
          <cell r="Q1852">
            <v>136.5</v>
          </cell>
          <cell r="R1852">
            <v>0</v>
          </cell>
          <cell r="S1852">
            <v>0</v>
          </cell>
          <cell r="T1852">
            <v>41.5</v>
          </cell>
          <cell r="U1852">
            <v>136.5</v>
          </cell>
          <cell r="V1852">
            <v>69.5</v>
          </cell>
          <cell r="W1852">
            <v>248.5</v>
          </cell>
          <cell r="X1852">
            <v>0</v>
          </cell>
          <cell r="Y1852">
            <v>0</v>
          </cell>
          <cell r="Z1852">
            <v>69.5</v>
          </cell>
          <cell r="AA1852">
            <v>248.5</v>
          </cell>
          <cell r="AB1852">
            <v>178</v>
          </cell>
          <cell r="AC1852">
            <v>0</v>
          </cell>
          <cell r="AD1852">
            <v>178</v>
          </cell>
          <cell r="AE1852">
            <v>318</v>
          </cell>
          <cell r="AF1852">
            <v>0</v>
          </cell>
          <cell r="AG1852">
            <v>318</v>
          </cell>
        </row>
        <row r="1853">
          <cell r="C1853">
            <v>372758</v>
          </cell>
          <cell r="D1853" t="str">
            <v>PAWAR AND SITAI FUEL</v>
          </cell>
          <cell r="E1853" t="str">
            <v>IOCL</v>
          </cell>
          <cell r="F1853" t="str">
            <v>2024-25</v>
          </cell>
          <cell r="G1853" t="str">
            <v>Ahmednagar East RSA</v>
          </cell>
          <cell r="H1853">
            <v>45626</v>
          </cell>
          <cell r="I1853" t="str">
            <v>OBC</v>
          </cell>
          <cell r="J1853" t="str">
            <v>Mungi- Hatgaon NH752E</v>
          </cell>
          <cell r="K1853" t="str">
            <v>Ahmednagar</v>
          </cell>
          <cell r="L1853" t="str">
            <v>D1</v>
          </cell>
          <cell r="M1853" t="str">
            <v>NH-752E</v>
          </cell>
          <cell r="O1853" t="str">
            <v>B</v>
          </cell>
          <cell r="P1853">
            <v>32</v>
          </cell>
          <cell r="Q1853">
            <v>76</v>
          </cell>
          <cell r="R1853">
            <v>4</v>
          </cell>
          <cell r="S1853">
            <v>8</v>
          </cell>
          <cell r="T1853">
            <v>28</v>
          </cell>
          <cell r="U1853">
            <v>68</v>
          </cell>
          <cell r="V1853">
            <v>64</v>
          </cell>
          <cell r="W1853">
            <v>142</v>
          </cell>
          <cell r="X1853">
            <v>9</v>
          </cell>
          <cell r="Y1853">
            <v>8</v>
          </cell>
          <cell r="Z1853">
            <v>55</v>
          </cell>
          <cell r="AA1853">
            <v>134</v>
          </cell>
          <cell r="AB1853">
            <v>108</v>
          </cell>
          <cell r="AC1853">
            <v>12</v>
          </cell>
          <cell r="AD1853">
            <v>96</v>
          </cell>
          <cell r="AE1853">
            <v>206</v>
          </cell>
          <cell r="AF1853">
            <v>17</v>
          </cell>
          <cell r="AG1853">
            <v>189</v>
          </cell>
        </row>
        <row r="1854">
          <cell r="C1854">
            <v>373799</v>
          </cell>
          <cell r="D1854" t="str">
            <v>JAIHIND FUELS</v>
          </cell>
          <cell r="E1854" t="str">
            <v>IOCL</v>
          </cell>
          <cell r="F1854" t="str">
            <v>2024-25</v>
          </cell>
          <cell r="G1854" t="str">
            <v>Ahmednagar East RSA</v>
          </cell>
          <cell r="H1854">
            <v>45657</v>
          </cell>
          <cell r="I1854" t="str">
            <v>OPEN</v>
          </cell>
          <cell r="J1854" t="str">
            <v>Pathare Khurd Manjri Road</v>
          </cell>
          <cell r="K1854" t="str">
            <v>Ahmednagar</v>
          </cell>
          <cell r="L1854" t="str">
            <v>E</v>
          </cell>
          <cell r="O1854" t="str">
            <v>B</v>
          </cell>
          <cell r="P1854">
            <v>29</v>
          </cell>
          <cell r="Q1854">
            <v>89</v>
          </cell>
          <cell r="R1854">
            <v>18</v>
          </cell>
          <cell r="S1854">
            <v>54</v>
          </cell>
          <cell r="T1854">
            <v>11</v>
          </cell>
          <cell r="U1854">
            <v>35</v>
          </cell>
          <cell r="V1854">
            <v>52.5</v>
          </cell>
          <cell r="W1854">
            <v>155.5</v>
          </cell>
          <cell r="X1854">
            <v>42</v>
          </cell>
          <cell r="Y1854">
            <v>106</v>
          </cell>
          <cell r="Z1854">
            <v>10.5</v>
          </cell>
          <cell r="AA1854">
            <v>49.5</v>
          </cell>
          <cell r="AB1854">
            <v>118</v>
          </cell>
          <cell r="AC1854">
            <v>72</v>
          </cell>
          <cell r="AD1854">
            <v>46</v>
          </cell>
          <cell r="AE1854">
            <v>208</v>
          </cell>
          <cell r="AF1854">
            <v>148</v>
          </cell>
          <cell r="AG1854">
            <v>60</v>
          </cell>
        </row>
        <row r="1855">
          <cell r="C1855">
            <v>373800</v>
          </cell>
          <cell r="D1855" t="str">
            <v>MAPS PETROLEUM</v>
          </cell>
          <cell r="E1855" t="str">
            <v>IOCL</v>
          </cell>
          <cell r="F1855" t="str">
            <v>2024-25</v>
          </cell>
          <cell r="G1855" t="str">
            <v>Satara West RSA</v>
          </cell>
          <cell r="H1855">
            <v>45657</v>
          </cell>
          <cell r="I1855" t="str">
            <v>OPEN</v>
          </cell>
          <cell r="J1855" t="str">
            <v>Karad to Masur Road</v>
          </cell>
          <cell r="K1855" t="str">
            <v>Satara</v>
          </cell>
          <cell r="L1855" t="str">
            <v>D2</v>
          </cell>
          <cell r="O1855" t="str">
            <v>B</v>
          </cell>
          <cell r="P1855">
            <v>80</v>
          </cell>
          <cell r="Q1855">
            <v>66</v>
          </cell>
          <cell r="R1855">
            <v>73</v>
          </cell>
          <cell r="S1855">
            <v>61</v>
          </cell>
          <cell r="T1855">
            <v>7</v>
          </cell>
          <cell r="U1855">
            <v>5</v>
          </cell>
          <cell r="V1855">
            <v>146.5</v>
          </cell>
          <cell r="W1855">
            <v>111.5</v>
          </cell>
          <cell r="X1855">
            <v>134</v>
          </cell>
          <cell r="Y1855">
            <v>116</v>
          </cell>
          <cell r="Z1855">
            <v>12.5</v>
          </cell>
          <cell r="AA1855">
            <v>-4.5</v>
          </cell>
          <cell r="AB1855">
            <v>146</v>
          </cell>
          <cell r="AC1855">
            <v>134</v>
          </cell>
          <cell r="AD1855">
            <v>12</v>
          </cell>
          <cell r="AE1855">
            <v>258</v>
          </cell>
          <cell r="AF1855">
            <v>250</v>
          </cell>
          <cell r="AG1855">
            <v>8</v>
          </cell>
        </row>
        <row r="1856">
          <cell r="C1856">
            <v>373914</v>
          </cell>
          <cell r="D1856" t="str">
            <v>GP PETROLEUM</v>
          </cell>
          <cell r="E1856" t="str">
            <v>IOCL</v>
          </cell>
          <cell r="F1856" t="str">
            <v>2024-25</v>
          </cell>
          <cell r="G1856" t="str">
            <v>Pimpri Chinchwad RSA</v>
          </cell>
          <cell r="H1856">
            <v>45657</v>
          </cell>
          <cell r="I1856" t="str">
            <v>OPEN</v>
          </cell>
          <cell r="J1856" t="str">
            <v>Talegaon MIDC</v>
          </cell>
          <cell r="K1856" t="str">
            <v>Pune</v>
          </cell>
          <cell r="L1856" t="str">
            <v>C</v>
          </cell>
          <cell r="O1856" t="str">
            <v>A</v>
          </cell>
          <cell r="P1856">
            <v>22</v>
          </cell>
          <cell r="Q1856">
            <v>94</v>
          </cell>
          <cell r="R1856">
            <v>12</v>
          </cell>
          <cell r="S1856">
            <v>60</v>
          </cell>
          <cell r="T1856">
            <v>10</v>
          </cell>
          <cell r="U1856">
            <v>34</v>
          </cell>
          <cell r="V1856">
            <v>42.5</v>
          </cell>
          <cell r="W1856">
            <v>209.5</v>
          </cell>
          <cell r="X1856">
            <v>24</v>
          </cell>
          <cell r="Y1856">
            <v>120</v>
          </cell>
          <cell r="Z1856">
            <v>18.5</v>
          </cell>
          <cell r="AA1856">
            <v>89.5</v>
          </cell>
          <cell r="AB1856">
            <v>116</v>
          </cell>
          <cell r="AC1856">
            <v>72</v>
          </cell>
          <cell r="AD1856">
            <v>44</v>
          </cell>
          <cell r="AE1856">
            <v>252</v>
          </cell>
          <cell r="AF1856">
            <v>144</v>
          </cell>
          <cell r="AG1856">
            <v>108</v>
          </cell>
        </row>
        <row r="1857">
          <cell r="C1857">
            <v>374090</v>
          </cell>
          <cell r="D1857" t="str">
            <v>COCO WRD ADHOC 3S SERVICE STATION (363370 ADHOC SHRI KRISHNA PETROLEUM)</v>
          </cell>
          <cell r="E1857" t="str">
            <v>IOCL</v>
          </cell>
          <cell r="G1857" t="str">
            <v>Pune City RSA</v>
          </cell>
          <cell r="H1857">
            <v>39136</v>
          </cell>
          <cell r="I1857" t="str">
            <v>OPEN</v>
          </cell>
          <cell r="J1857" t="str">
            <v>WELLESLY ROAD</v>
          </cell>
          <cell r="K1857" t="str">
            <v>Pune</v>
          </cell>
          <cell r="L1857" t="str">
            <v>A</v>
          </cell>
          <cell r="O1857" t="str">
            <v>A</v>
          </cell>
          <cell r="P1857">
            <v>111</v>
          </cell>
          <cell r="Q1857">
            <v>115</v>
          </cell>
          <cell r="R1857">
            <v>103.5</v>
          </cell>
          <cell r="S1857">
            <v>90.5</v>
          </cell>
          <cell r="T1857">
            <v>7.5</v>
          </cell>
          <cell r="U1857">
            <v>24.5</v>
          </cell>
          <cell r="V1857">
            <v>212</v>
          </cell>
          <cell r="W1857">
            <v>258</v>
          </cell>
          <cell r="X1857">
            <v>208.5</v>
          </cell>
          <cell r="Y1857">
            <v>165.5</v>
          </cell>
          <cell r="Z1857">
            <v>3.5</v>
          </cell>
          <cell r="AA1857">
            <v>92.5</v>
          </cell>
          <cell r="AB1857">
            <v>226</v>
          </cell>
          <cell r="AC1857">
            <v>194</v>
          </cell>
          <cell r="AD1857">
            <v>32</v>
          </cell>
          <cell r="AE1857">
            <v>470</v>
          </cell>
          <cell r="AF1857">
            <v>374</v>
          </cell>
          <cell r="AG1857">
            <v>96</v>
          </cell>
        </row>
        <row r="1858">
          <cell r="C1858">
            <v>385847</v>
          </cell>
          <cell r="D1858" t="str">
            <v>COCO ASALE (ADHOC SHIVSAMARTH 374491 (361912 ADHOC RENUKA PETROL &amp; DIESEL))</v>
          </cell>
          <cell r="E1858" t="str">
            <v>IOCL</v>
          </cell>
          <cell r="F1858" t="str">
            <v>2018-19</v>
          </cell>
          <cell r="G1858" t="str">
            <v>Satara West RSA</v>
          </cell>
          <cell r="H1858">
            <v>43287</v>
          </cell>
          <cell r="I1858" t="str">
            <v>OPEN</v>
          </cell>
          <cell r="J1858" t="str">
            <v>Asale - Wai Road</v>
          </cell>
          <cell r="K1858" t="str">
            <v>Satara</v>
          </cell>
          <cell r="L1858" t="str">
            <v>E</v>
          </cell>
          <cell r="O1858" t="str">
            <v>A</v>
          </cell>
          <cell r="P1858">
            <v>22</v>
          </cell>
          <cell r="Q1858">
            <v>28</v>
          </cell>
          <cell r="R1858">
            <v>0</v>
          </cell>
          <cell r="S1858">
            <v>0</v>
          </cell>
          <cell r="T1858">
            <v>22</v>
          </cell>
          <cell r="U1858">
            <v>28</v>
          </cell>
          <cell r="V1858">
            <v>41</v>
          </cell>
          <cell r="W1858">
            <v>59</v>
          </cell>
          <cell r="X1858">
            <v>0</v>
          </cell>
          <cell r="Y1858">
            <v>0</v>
          </cell>
          <cell r="Z1858">
            <v>41</v>
          </cell>
          <cell r="AA1858">
            <v>59</v>
          </cell>
          <cell r="AB1858">
            <v>50</v>
          </cell>
          <cell r="AC1858">
            <v>0</v>
          </cell>
          <cell r="AD1858">
            <v>50</v>
          </cell>
          <cell r="AE1858">
            <v>100</v>
          </cell>
          <cell r="AF1858">
            <v>0</v>
          </cell>
          <cell r="AG1858">
            <v>100</v>
          </cell>
        </row>
        <row r="1859">
          <cell r="C1859">
            <v>374921</v>
          </cell>
          <cell r="D1859" t="str">
            <v>SHARAYU AGRO INDUSTRIES LTD.</v>
          </cell>
          <cell r="E1859" t="str">
            <v>IOCL</v>
          </cell>
          <cell r="F1859" t="str">
            <v>2024-25</v>
          </cell>
          <cell r="G1859" t="str">
            <v>Satara East RSA</v>
          </cell>
          <cell r="H1859">
            <v>45688</v>
          </cell>
          <cell r="I1859" t="str">
            <v>OPEN</v>
          </cell>
          <cell r="J1859" t="str">
            <v>Aljapur</v>
          </cell>
          <cell r="K1859" t="str">
            <v>Satara</v>
          </cell>
          <cell r="L1859" t="str">
            <v>D2</v>
          </cell>
          <cell r="O1859" t="str">
            <v>B</v>
          </cell>
          <cell r="P1859">
            <v>23.5</v>
          </cell>
          <cell r="Q1859">
            <v>70.5</v>
          </cell>
          <cell r="R1859">
            <v>30</v>
          </cell>
          <cell r="S1859">
            <v>50</v>
          </cell>
          <cell r="T1859">
            <v>-6.5</v>
          </cell>
          <cell r="U1859">
            <v>20.5</v>
          </cell>
          <cell r="V1859">
            <v>53.5</v>
          </cell>
          <cell r="W1859">
            <v>140.5</v>
          </cell>
          <cell r="X1859">
            <v>50</v>
          </cell>
          <cell r="Y1859">
            <v>90</v>
          </cell>
          <cell r="Z1859">
            <v>3.5</v>
          </cell>
          <cell r="AA1859">
            <v>50.5</v>
          </cell>
          <cell r="AB1859">
            <v>94</v>
          </cell>
          <cell r="AC1859">
            <v>80</v>
          </cell>
          <cell r="AD1859">
            <v>14</v>
          </cell>
          <cell r="AE1859">
            <v>194</v>
          </cell>
          <cell r="AF1859">
            <v>140</v>
          </cell>
          <cell r="AG1859">
            <v>54</v>
          </cell>
        </row>
        <row r="1860">
          <cell r="C1860">
            <v>374922</v>
          </cell>
          <cell r="D1860" t="str">
            <v>SHIVTEJ PETROL PUMP</v>
          </cell>
          <cell r="E1860" t="str">
            <v>IOCL</v>
          </cell>
          <cell r="F1860" t="str">
            <v>2024-25</v>
          </cell>
          <cell r="G1860" t="str">
            <v>Satara East RSA</v>
          </cell>
          <cell r="H1860">
            <v>45688</v>
          </cell>
          <cell r="I1860" t="str">
            <v>OPEN</v>
          </cell>
          <cell r="J1860" t="str">
            <v>chitali</v>
          </cell>
          <cell r="K1860" t="str">
            <v>Satara</v>
          </cell>
          <cell r="L1860" t="str">
            <v>D2</v>
          </cell>
          <cell r="O1860" t="str">
            <v>B</v>
          </cell>
          <cell r="P1860">
            <v>48</v>
          </cell>
          <cell r="Q1860">
            <v>84</v>
          </cell>
          <cell r="R1860">
            <v>0</v>
          </cell>
          <cell r="S1860">
            <v>0</v>
          </cell>
          <cell r="T1860">
            <v>48</v>
          </cell>
          <cell r="U1860">
            <v>84</v>
          </cell>
          <cell r="V1860">
            <v>80</v>
          </cell>
          <cell r="W1860">
            <v>150</v>
          </cell>
          <cell r="X1860">
            <v>0</v>
          </cell>
          <cell r="Y1860">
            <v>0</v>
          </cell>
          <cell r="Z1860">
            <v>80</v>
          </cell>
          <cell r="AA1860">
            <v>150</v>
          </cell>
          <cell r="AB1860">
            <v>132</v>
          </cell>
          <cell r="AC1860">
            <v>0</v>
          </cell>
          <cell r="AD1860">
            <v>132</v>
          </cell>
          <cell r="AE1860">
            <v>230</v>
          </cell>
          <cell r="AF1860">
            <v>0</v>
          </cell>
          <cell r="AG1860">
            <v>230</v>
          </cell>
        </row>
        <row r="1861">
          <cell r="C1861">
            <v>375065</v>
          </cell>
          <cell r="D1861" t="str">
            <v>AJINKYA POOJA PETROLEUM</v>
          </cell>
          <cell r="E1861" t="str">
            <v>IOCL</v>
          </cell>
          <cell r="F1861" t="str">
            <v>2024-25</v>
          </cell>
          <cell r="G1861" t="str">
            <v>Pune Wagholi RSA</v>
          </cell>
          <cell r="H1861">
            <v>45688</v>
          </cell>
          <cell r="I1861" t="str">
            <v>OBC</v>
          </cell>
          <cell r="J1861" t="str">
            <v>Belhe to Loni on belhe jejuri highway</v>
          </cell>
          <cell r="K1861" t="str">
            <v>Pune</v>
          </cell>
          <cell r="L1861" t="str">
            <v>D2</v>
          </cell>
          <cell r="O1861" t="str">
            <v>B</v>
          </cell>
          <cell r="P1861">
            <v>27</v>
          </cell>
          <cell r="Q1861">
            <v>69</v>
          </cell>
          <cell r="R1861">
            <v>0</v>
          </cell>
          <cell r="S1861">
            <v>0</v>
          </cell>
          <cell r="T1861">
            <v>27</v>
          </cell>
          <cell r="U1861">
            <v>69</v>
          </cell>
          <cell r="V1861">
            <v>48</v>
          </cell>
          <cell r="W1861">
            <v>132</v>
          </cell>
          <cell r="X1861">
            <v>0</v>
          </cell>
          <cell r="Y1861">
            <v>0</v>
          </cell>
          <cell r="Z1861">
            <v>48</v>
          </cell>
          <cell r="AA1861">
            <v>132</v>
          </cell>
          <cell r="AB1861">
            <v>96</v>
          </cell>
          <cell r="AC1861">
            <v>0</v>
          </cell>
          <cell r="AD1861">
            <v>96</v>
          </cell>
          <cell r="AE1861">
            <v>180</v>
          </cell>
          <cell r="AF1861">
            <v>0</v>
          </cell>
          <cell r="AG1861">
            <v>180</v>
          </cell>
        </row>
        <row r="1862">
          <cell r="C1862">
            <v>376895</v>
          </cell>
          <cell r="D1862" t="str">
            <v>JEEVAN PETROLEUM</v>
          </cell>
          <cell r="E1862" t="str">
            <v>IOCL</v>
          </cell>
          <cell r="F1862" t="str">
            <v>2024-25</v>
          </cell>
          <cell r="G1862" t="str">
            <v>Pune Wagholi RSA</v>
          </cell>
          <cell r="H1862">
            <v>45716</v>
          </cell>
          <cell r="I1862" t="str">
            <v>OPEN</v>
          </cell>
          <cell r="J1862" t="str">
            <v>Belhe to Loni on belhe jejuri highway</v>
          </cell>
          <cell r="K1862" t="str">
            <v>Pune</v>
          </cell>
          <cell r="L1862" t="str">
            <v>D2</v>
          </cell>
          <cell r="O1862" t="str">
            <v>B</v>
          </cell>
          <cell r="P1862">
            <v>43</v>
          </cell>
          <cell r="Q1862">
            <v>79</v>
          </cell>
          <cell r="R1862">
            <v>0</v>
          </cell>
          <cell r="S1862">
            <v>0</v>
          </cell>
          <cell r="T1862">
            <v>43</v>
          </cell>
          <cell r="U1862">
            <v>79</v>
          </cell>
          <cell r="V1862">
            <v>85</v>
          </cell>
          <cell r="W1862">
            <v>181</v>
          </cell>
          <cell r="X1862">
            <v>0</v>
          </cell>
          <cell r="Y1862">
            <v>0</v>
          </cell>
          <cell r="Z1862">
            <v>85</v>
          </cell>
          <cell r="AA1862">
            <v>181</v>
          </cell>
          <cell r="AB1862">
            <v>122</v>
          </cell>
          <cell r="AC1862">
            <v>0</v>
          </cell>
          <cell r="AD1862">
            <v>122</v>
          </cell>
          <cell r="AE1862">
            <v>266</v>
          </cell>
          <cell r="AF1862">
            <v>0</v>
          </cell>
          <cell r="AG1862">
            <v>266</v>
          </cell>
        </row>
        <row r="1863">
          <cell r="C1863">
            <v>377124</v>
          </cell>
          <cell r="D1863" t="str">
            <v>COCO KOKAMTHAN ( 274010 DATTAPRABHA PETROLEUM)</v>
          </cell>
          <cell r="E1863" t="str">
            <v>IOCL</v>
          </cell>
          <cell r="F1863" t="str">
            <v>2013-14</v>
          </cell>
          <cell r="G1863" t="str">
            <v>Shirdi RSA</v>
          </cell>
          <cell r="H1863">
            <v>41578</v>
          </cell>
          <cell r="I1863" t="str">
            <v>OPEN</v>
          </cell>
          <cell r="J1863" t="str">
            <v>PUNTAMBA PHATA</v>
          </cell>
          <cell r="K1863" t="str">
            <v>Ahmednagar</v>
          </cell>
          <cell r="L1863" t="str">
            <v>D1</v>
          </cell>
          <cell r="M1863" t="str">
            <v>NH-752G</v>
          </cell>
          <cell r="O1863" t="str">
            <v>B</v>
          </cell>
          <cell r="P1863">
            <v>0</v>
          </cell>
          <cell r="Q1863">
            <v>0</v>
          </cell>
          <cell r="R1863">
            <v>21</v>
          </cell>
          <cell r="S1863">
            <v>48</v>
          </cell>
          <cell r="T1863">
            <v>-21</v>
          </cell>
          <cell r="U1863">
            <v>-48</v>
          </cell>
          <cell r="V1863">
            <v>0</v>
          </cell>
          <cell r="W1863">
            <v>0</v>
          </cell>
          <cell r="X1863">
            <v>39</v>
          </cell>
          <cell r="Y1863">
            <v>102</v>
          </cell>
          <cell r="Z1863">
            <v>-39</v>
          </cell>
          <cell r="AA1863">
            <v>-102</v>
          </cell>
          <cell r="AB1863">
            <v>0</v>
          </cell>
          <cell r="AC1863">
            <v>69</v>
          </cell>
          <cell r="AD1863">
            <v>-69</v>
          </cell>
          <cell r="AE1863">
            <v>0</v>
          </cell>
          <cell r="AF1863">
            <v>141</v>
          </cell>
          <cell r="AG1863">
            <v>-141</v>
          </cell>
        </row>
        <row r="1864">
          <cell r="C1864">
            <v>392222</v>
          </cell>
          <cell r="D1864" t="str">
            <v>COCO SHRIGONDA (352674 ADHOC AABASHRI KISAN)</v>
          </cell>
          <cell r="E1864" t="str">
            <v>IOCL</v>
          </cell>
          <cell r="G1864" t="str">
            <v>Ahmednagar West RSA</v>
          </cell>
          <cell r="H1864">
            <v>44895</v>
          </cell>
          <cell r="I1864" t="str">
            <v>SC</v>
          </cell>
          <cell r="J1864" t="str">
            <v>SHRIGONDA-NH</v>
          </cell>
          <cell r="K1864" t="str">
            <v>Ahmednagar</v>
          </cell>
          <cell r="L1864" t="str">
            <v>D1</v>
          </cell>
          <cell r="M1864" t="str">
            <v>NH-548D</v>
          </cell>
          <cell r="O1864" t="str">
            <v>A</v>
          </cell>
          <cell r="P1864">
            <v>8</v>
          </cell>
          <cell r="Q1864">
            <v>16</v>
          </cell>
          <cell r="R1864">
            <v>0</v>
          </cell>
          <cell r="S1864">
            <v>0</v>
          </cell>
          <cell r="T1864">
            <v>8</v>
          </cell>
          <cell r="U1864">
            <v>16</v>
          </cell>
          <cell r="V1864">
            <v>8</v>
          </cell>
          <cell r="W1864">
            <v>16</v>
          </cell>
          <cell r="X1864">
            <v>0</v>
          </cell>
          <cell r="Y1864">
            <v>0</v>
          </cell>
          <cell r="Z1864">
            <v>8</v>
          </cell>
          <cell r="AA1864">
            <v>16</v>
          </cell>
          <cell r="AB1864">
            <v>24</v>
          </cell>
          <cell r="AC1864">
            <v>0</v>
          </cell>
          <cell r="AD1864">
            <v>24</v>
          </cell>
          <cell r="AE1864">
            <v>24</v>
          </cell>
          <cell r="AF1864">
            <v>0</v>
          </cell>
          <cell r="AG1864">
            <v>24</v>
          </cell>
        </row>
        <row r="1865">
          <cell r="C1865">
            <v>378372</v>
          </cell>
          <cell r="D1865" t="str">
            <v>ASHTAVINAYAK PETROLEUM</v>
          </cell>
          <cell r="E1865" t="str">
            <v>IOCL</v>
          </cell>
          <cell r="F1865" t="str">
            <v>2024-25</v>
          </cell>
          <cell r="G1865" t="str">
            <v>Ahmednagar East RSA</v>
          </cell>
          <cell r="H1865">
            <v>45747</v>
          </cell>
          <cell r="I1865" t="str">
            <v>OPEN</v>
          </cell>
          <cell r="J1865" t="str">
            <v>MIRI</v>
          </cell>
          <cell r="K1865" t="str">
            <v>Ahmednagar</v>
          </cell>
          <cell r="L1865" t="str">
            <v>D2</v>
          </cell>
          <cell r="O1865" t="str">
            <v>B</v>
          </cell>
          <cell r="P1865">
            <v>30</v>
          </cell>
          <cell r="Q1865">
            <v>78</v>
          </cell>
          <cell r="R1865">
            <v>0</v>
          </cell>
          <cell r="S1865">
            <v>0</v>
          </cell>
          <cell r="T1865">
            <v>30</v>
          </cell>
          <cell r="U1865">
            <v>78</v>
          </cell>
          <cell r="V1865">
            <v>51</v>
          </cell>
          <cell r="W1865">
            <v>129</v>
          </cell>
          <cell r="X1865">
            <v>0</v>
          </cell>
          <cell r="Y1865">
            <v>0</v>
          </cell>
          <cell r="Z1865">
            <v>51</v>
          </cell>
          <cell r="AA1865">
            <v>129</v>
          </cell>
          <cell r="AB1865">
            <v>108</v>
          </cell>
          <cell r="AC1865">
            <v>0</v>
          </cell>
          <cell r="AD1865">
            <v>108</v>
          </cell>
          <cell r="AE1865">
            <v>180</v>
          </cell>
          <cell r="AF1865">
            <v>0</v>
          </cell>
          <cell r="AG1865">
            <v>180</v>
          </cell>
        </row>
        <row r="1866">
          <cell r="C1866">
            <v>378572</v>
          </cell>
          <cell r="D1866" t="str">
            <v>JAY PETROLEUM</v>
          </cell>
          <cell r="E1866" t="str">
            <v>IOCL</v>
          </cell>
          <cell r="F1866" t="str">
            <v>2024-25</v>
          </cell>
          <cell r="G1866" t="str">
            <v>Pune Saswad RSA</v>
          </cell>
          <cell r="H1866">
            <v>45747</v>
          </cell>
          <cell r="I1866" t="str">
            <v>OPEN</v>
          </cell>
          <cell r="J1866" t="str">
            <v>Kolvihire</v>
          </cell>
          <cell r="K1866" t="str">
            <v>Pune</v>
          </cell>
          <cell r="L1866" t="str">
            <v>E</v>
          </cell>
          <cell r="O1866" t="str">
            <v>B</v>
          </cell>
          <cell r="P1866">
            <v>23.5</v>
          </cell>
          <cell r="Q1866">
            <v>64.5</v>
          </cell>
          <cell r="R1866">
            <v>0</v>
          </cell>
          <cell r="S1866">
            <v>0</v>
          </cell>
          <cell r="T1866">
            <v>23.5</v>
          </cell>
          <cell r="U1866">
            <v>64.5</v>
          </cell>
          <cell r="V1866">
            <v>48.5</v>
          </cell>
          <cell r="W1866">
            <v>111.5</v>
          </cell>
          <cell r="X1866">
            <v>0</v>
          </cell>
          <cell r="Y1866">
            <v>0</v>
          </cell>
          <cell r="Z1866">
            <v>48.5</v>
          </cell>
          <cell r="AA1866">
            <v>111.5</v>
          </cell>
          <cell r="AB1866">
            <v>88</v>
          </cell>
          <cell r="AC1866">
            <v>0</v>
          </cell>
          <cell r="AD1866">
            <v>88</v>
          </cell>
          <cell r="AE1866">
            <v>160</v>
          </cell>
          <cell r="AF1866">
            <v>0</v>
          </cell>
          <cell r="AG1866">
            <v>160</v>
          </cell>
        </row>
        <row r="1867">
          <cell r="C1867">
            <v>378576</v>
          </cell>
          <cell r="D1867" t="str">
            <v>NEW JOLLY PETROLEUM</v>
          </cell>
          <cell r="E1867" t="str">
            <v>IOCL</v>
          </cell>
          <cell r="F1867" t="str">
            <v>2024-25</v>
          </cell>
          <cell r="G1867" t="str">
            <v>Pune Hadapsar RSA</v>
          </cell>
          <cell r="H1867">
            <v>45747</v>
          </cell>
          <cell r="I1867" t="str">
            <v>OPEN</v>
          </cell>
          <cell r="J1867" t="str">
            <v>Urlikanchan to Sahajpur RHS</v>
          </cell>
          <cell r="K1867" t="str">
            <v>Pune</v>
          </cell>
          <cell r="L1867" t="str">
            <v>D1</v>
          </cell>
          <cell r="M1867" t="str">
            <v>NH-65</v>
          </cell>
          <cell r="O1867" t="str">
            <v>B</v>
          </cell>
          <cell r="P1867">
            <v>39</v>
          </cell>
          <cell r="Q1867">
            <v>109</v>
          </cell>
          <cell r="R1867">
            <v>0</v>
          </cell>
          <cell r="S1867">
            <v>0</v>
          </cell>
          <cell r="T1867">
            <v>39</v>
          </cell>
          <cell r="U1867">
            <v>109</v>
          </cell>
          <cell r="V1867">
            <v>73.5</v>
          </cell>
          <cell r="W1867">
            <v>212.5</v>
          </cell>
          <cell r="X1867">
            <v>0</v>
          </cell>
          <cell r="Y1867">
            <v>0</v>
          </cell>
          <cell r="Z1867">
            <v>73.5</v>
          </cell>
          <cell r="AA1867">
            <v>212.5</v>
          </cell>
          <cell r="AB1867">
            <v>148</v>
          </cell>
          <cell r="AC1867">
            <v>0</v>
          </cell>
          <cell r="AD1867">
            <v>148</v>
          </cell>
          <cell r="AE1867">
            <v>286</v>
          </cell>
          <cell r="AF1867">
            <v>0</v>
          </cell>
          <cell r="AG1867">
            <v>286</v>
          </cell>
        </row>
        <row r="1868">
          <cell r="C1868">
            <v>378597</v>
          </cell>
          <cell r="D1868" t="str">
            <v>SUBHEDAR PETROLEUM</v>
          </cell>
          <cell r="E1868" t="str">
            <v>IOCL</v>
          </cell>
          <cell r="F1868" t="str">
            <v>2024-25</v>
          </cell>
          <cell r="G1868" t="str">
            <v>Pune Saswad RSA</v>
          </cell>
          <cell r="H1868">
            <v>45747</v>
          </cell>
          <cell r="I1868" t="str">
            <v>SC</v>
          </cell>
          <cell r="J1868" t="str">
            <v>Saswad-Jejuri Road</v>
          </cell>
          <cell r="K1868" t="str">
            <v>Pune</v>
          </cell>
          <cell r="L1868" t="str">
            <v>D1</v>
          </cell>
          <cell r="M1868" t="str">
            <v>NH-965</v>
          </cell>
          <cell r="O1868" t="str">
            <v>A</v>
          </cell>
          <cell r="P1868">
            <v>24</v>
          </cell>
          <cell r="Q1868">
            <v>50</v>
          </cell>
          <cell r="R1868">
            <v>0</v>
          </cell>
          <cell r="S1868">
            <v>0</v>
          </cell>
          <cell r="T1868">
            <v>24</v>
          </cell>
          <cell r="U1868">
            <v>50</v>
          </cell>
          <cell r="V1868">
            <v>39</v>
          </cell>
          <cell r="W1868">
            <v>83</v>
          </cell>
          <cell r="X1868">
            <v>0</v>
          </cell>
          <cell r="Y1868">
            <v>0</v>
          </cell>
          <cell r="Z1868">
            <v>39</v>
          </cell>
          <cell r="AA1868">
            <v>83</v>
          </cell>
          <cell r="AB1868">
            <v>74</v>
          </cell>
          <cell r="AC1868">
            <v>0</v>
          </cell>
          <cell r="AD1868">
            <v>74</v>
          </cell>
          <cell r="AE1868">
            <v>122</v>
          </cell>
          <cell r="AF1868">
            <v>0</v>
          </cell>
          <cell r="AG1868">
            <v>122</v>
          </cell>
        </row>
        <row r="1869">
          <cell r="C1869">
            <v>378598</v>
          </cell>
          <cell r="D1869" t="str">
            <v>SHRI KRISHNA PETROLEUM</v>
          </cell>
          <cell r="E1869" t="str">
            <v>IOCL</v>
          </cell>
          <cell r="F1869" t="str">
            <v>2024-25</v>
          </cell>
          <cell r="G1869" t="str">
            <v>Pune Saswad RSA</v>
          </cell>
          <cell r="H1869">
            <v>45747</v>
          </cell>
          <cell r="I1869" t="str">
            <v>ST</v>
          </cell>
          <cell r="J1869" t="str">
            <v>Jejuri Morgaon Road</v>
          </cell>
          <cell r="K1869" t="str">
            <v>Pune</v>
          </cell>
          <cell r="L1869" t="str">
            <v>D2</v>
          </cell>
          <cell r="O1869" t="str">
            <v>A</v>
          </cell>
          <cell r="P1869">
            <v>9</v>
          </cell>
          <cell r="Q1869">
            <v>3</v>
          </cell>
          <cell r="R1869">
            <v>0</v>
          </cell>
          <cell r="S1869">
            <v>0</v>
          </cell>
          <cell r="T1869">
            <v>9</v>
          </cell>
          <cell r="U1869">
            <v>3</v>
          </cell>
          <cell r="V1869">
            <v>9</v>
          </cell>
          <cell r="W1869">
            <v>3</v>
          </cell>
          <cell r="X1869">
            <v>0</v>
          </cell>
          <cell r="Y1869">
            <v>0</v>
          </cell>
          <cell r="Z1869">
            <v>9</v>
          </cell>
          <cell r="AA1869">
            <v>3</v>
          </cell>
          <cell r="AB1869">
            <v>12</v>
          </cell>
          <cell r="AC1869">
            <v>0</v>
          </cell>
          <cell r="AD1869">
            <v>12</v>
          </cell>
          <cell r="AE1869">
            <v>12</v>
          </cell>
          <cell r="AF1869">
            <v>0</v>
          </cell>
          <cell r="AG1869">
            <v>12</v>
          </cell>
        </row>
        <row r="1870">
          <cell r="C1870">
            <v>378599</v>
          </cell>
          <cell r="D1870" t="str">
            <v>AARYAN FUEL CORPORATION</v>
          </cell>
          <cell r="E1870" t="str">
            <v>IOCL</v>
          </cell>
          <cell r="F1870" t="str">
            <v>2024-25</v>
          </cell>
          <cell r="G1870" t="str">
            <v>Satara West RSA</v>
          </cell>
          <cell r="H1870">
            <v>45747</v>
          </cell>
          <cell r="I1870" t="str">
            <v>SC</v>
          </cell>
          <cell r="J1870" t="str">
            <v>KARAD TO KASHIL</v>
          </cell>
          <cell r="K1870" t="str">
            <v>Satara</v>
          </cell>
          <cell r="L1870" t="str">
            <v>D1</v>
          </cell>
          <cell r="M1870" t="str">
            <v>NH-48</v>
          </cell>
          <cell r="O1870" t="str">
            <v>A</v>
          </cell>
          <cell r="P1870">
            <v>15</v>
          </cell>
          <cell r="Q1870">
            <v>23</v>
          </cell>
          <cell r="R1870">
            <v>0</v>
          </cell>
          <cell r="S1870">
            <v>0</v>
          </cell>
          <cell r="T1870">
            <v>15</v>
          </cell>
          <cell r="U1870">
            <v>23</v>
          </cell>
          <cell r="V1870">
            <v>26</v>
          </cell>
          <cell r="W1870">
            <v>40</v>
          </cell>
          <cell r="X1870">
            <v>0</v>
          </cell>
          <cell r="Y1870">
            <v>0</v>
          </cell>
          <cell r="Z1870">
            <v>26</v>
          </cell>
          <cell r="AA1870">
            <v>40</v>
          </cell>
          <cell r="AB1870">
            <v>38</v>
          </cell>
          <cell r="AC1870">
            <v>0</v>
          </cell>
          <cell r="AD1870">
            <v>38</v>
          </cell>
          <cell r="AE1870">
            <v>66</v>
          </cell>
          <cell r="AF1870">
            <v>0</v>
          </cell>
          <cell r="AG1870">
            <v>66</v>
          </cell>
        </row>
        <row r="1871">
          <cell r="C1871">
            <v>378776</v>
          </cell>
          <cell r="D1871" t="str">
            <v>OM SAI KRUSHNA PETROLEUM</v>
          </cell>
          <cell r="E1871" t="str">
            <v>IOCL</v>
          </cell>
          <cell r="F1871" t="str">
            <v>2024-25</v>
          </cell>
          <cell r="G1871" t="str">
            <v>Shirdi RSA</v>
          </cell>
          <cell r="H1871">
            <v>45747</v>
          </cell>
          <cell r="I1871" t="str">
            <v>OPEN</v>
          </cell>
          <cell r="J1871" t="str">
            <v>WARI</v>
          </cell>
          <cell r="K1871" t="str">
            <v>Ahmednagar</v>
          </cell>
          <cell r="L1871" t="str">
            <v>E</v>
          </cell>
          <cell r="O1871" t="str">
            <v>B</v>
          </cell>
          <cell r="P1871">
            <v>56</v>
          </cell>
          <cell r="Q1871">
            <v>148</v>
          </cell>
          <cell r="R1871">
            <v>0</v>
          </cell>
          <cell r="S1871">
            <v>0</v>
          </cell>
          <cell r="T1871">
            <v>56</v>
          </cell>
          <cell r="U1871">
            <v>148</v>
          </cell>
          <cell r="V1871">
            <v>96</v>
          </cell>
          <cell r="W1871">
            <v>208</v>
          </cell>
          <cell r="X1871">
            <v>0</v>
          </cell>
          <cell r="Y1871">
            <v>0</v>
          </cell>
          <cell r="Z1871">
            <v>96</v>
          </cell>
          <cell r="AA1871">
            <v>208</v>
          </cell>
          <cell r="AB1871">
            <v>204</v>
          </cell>
          <cell r="AC1871">
            <v>0</v>
          </cell>
          <cell r="AD1871">
            <v>204</v>
          </cell>
          <cell r="AE1871">
            <v>304</v>
          </cell>
          <cell r="AF1871">
            <v>0</v>
          </cell>
          <cell r="AG1871">
            <v>304</v>
          </cell>
        </row>
        <row r="1872">
          <cell r="C1872">
            <v>379084</v>
          </cell>
          <cell r="D1872" t="str">
            <v>COCO YERWADA (355769 YADAV SERVICE STATION - ADHOC PANNA MOTI)</v>
          </cell>
          <cell r="E1872" t="str">
            <v>IOCL</v>
          </cell>
          <cell r="G1872" t="str">
            <v>Pune City RSA</v>
          </cell>
          <cell r="H1872">
            <v>20545</v>
          </cell>
          <cell r="I1872" t="str">
            <v>OPEN</v>
          </cell>
          <cell r="J1872" t="str">
            <v>YERWADA</v>
          </cell>
          <cell r="K1872" t="str">
            <v>Pune</v>
          </cell>
          <cell r="L1872" t="str">
            <v>A</v>
          </cell>
          <cell r="O1872" t="str">
            <v>A</v>
          </cell>
          <cell r="P1872">
            <v>222.5</v>
          </cell>
          <cell r="Q1872">
            <v>83.5</v>
          </cell>
          <cell r="R1872">
            <v>235</v>
          </cell>
          <cell r="S1872">
            <v>109</v>
          </cell>
          <cell r="T1872">
            <v>-12.5</v>
          </cell>
          <cell r="U1872">
            <v>-25.5</v>
          </cell>
          <cell r="V1872">
            <v>380</v>
          </cell>
          <cell r="W1872">
            <v>136</v>
          </cell>
          <cell r="X1872">
            <v>456</v>
          </cell>
          <cell r="Y1872">
            <v>200</v>
          </cell>
          <cell r="Z1872">
            <v>-76</v>
          </cell>
          <cell r="AA1872">
            <v>-64</v>
          </cell>
          <cell r="AB1872">
            <v>306</v>
          </cell>
          <cell r="AC1872">
            <v>344</v>
          </cell>
          <cell r="AD1872">
            <v>-38</v>
          </cell>
          <cell r="AE1872">
            <v>516</v>
          </cell>
          <cell r="AF1872">
            <v>656</v>
          </cell>
          <cell r="AG1872">
            <v>-140</v>
          </cell>
        </row>
        <row r="1873">
          <cell r="C1873">
            <v>379095</v>
          </cell>
          <cell r="D1873" t="str">
            <v>COCO RANJANGAON (364204 ADHOC - RUSHI PETRO)</v>
          </cell>
          <cell r="E1873" t="str">
            <v>IOCL</v>
          </cell>
          <cell r="G1873" t="str">
            <v>Pune Wagholi RSA</v>
          </cell>
          <cell r="H1873">
            <v>45064</v>
          </cell>
          <cell r="I1873" t="str">
            <v>OPEN</v>
          </cell>
          <cell r="J1873" t="str">
            <v>Ranjangaon LHS</v>
          </cell>
          <cell r="K1873" t="str">
            <v>Pune</v>
          </cell>
          <cell r="L1873" t="str">
            <v>D1</v>
          </cell>
          <cell r="M1873" t="str">
            <v>NH-753F</v>
          </cell>
          <cell r="O1873" t="str">
            <v>A</v>
          </cell>
          <cell r="P1873">
            <v>0</v>
          </cell>
          <cell r="Q1873">
            <v>62</v>
          </cell>
          <cell r="R1873">
            <v>9</v>
          </cell>
          <cell r="S1873">
            <v>23</v>
          </cell>
          <cell r="T1873">
            <v>-9</v>
          </cell>
          <cell r="U1873">
            <v>39</v>
          </cell>
          <cell r="V1873">
            <v>0</v>
          </cell>
          <cell r="W1873">
            <v>106</v>
          </cell>
          <cell r="X1873">
            <v>12</v>
          </cell>
          <cell r="Y1873">
            <v>32</v>
          </cell>
          <cell r="Z1873">
            <v>-12</v>
          </cell>
          <cell r="AA1873">
            <v>74</v>
          </cell>
          <cell r="AB1873">
            <v>62</v>
          </cell>
          <cell r="AC1873">
            <v>32</v>
          </cell>
          <cell r="AD1873">
            <v>30</v>
          </cell>
          <cell r="AE1873">
            <v>106</v>
          </cell>
          <cell r="AF1873">
            <v>44</v>
          </cell>
          <cell r="AG1873">
            <v>62</v>
          </cell>
        </row>
        <row r="1874">
          <cell r="C1874">
            <v>392208</v>
          </cell>
          <cell r="D1874" t="str">
            <v>COCO WADUJ (232087 - Torve Petrol Station)</v>
          </cell>
          <cell r="E1874" t="str">
            <v>IOCL</v>
          </cell>
          <cell r="G1874" t="str">
            <v>Satara East RSA</v>
          </cell>
          <cell r="H1874">
            <v>40170</v>
          </cell>
          <cell r="I1874" t="str">
            <v>SC</v>
          </cell>
          <cell r="J1874" t="str">
            <v>Waduj</v>
          </cell>
          <cell r="K1874" t="str">
            <v>Satara</v>
          </cell>
          <cell r="L1874" t="str">
            <v>D2</v>
          </cell>
          <cell r="O1874" t="str">
            <v>A</v>
          </cell>
          <cell r="P1874">
            <v>27</v>
          </cell>
          <cell r="Q1874">
            <v>33</v>
          </cell>
          <cell r="R1874">
            <v>4.5</v>
          </cell>
          <cell r="S1874">
            <v>0</v>
          </cell>
          <cell r="T1874">
            <v>22.5</v>
          </cell>
          <cell r="U1874">
            <v>33</v>
          </cell>
          <cell r="V1874">
            <v>45</v>
          </cell>
          <cell r="W1874">
            <v>63</v>
          </cell>
          <cell r="X1874">
            <v>4.5</v>
          </cell>
          <cell r="Y1874">
            <v>4.5</v>
          </cell>
          <cell r="Z1874">
            <v>40.5</v>
          </cell>
          <cell r="AA1874">
            <v>58.5</v>
          </cell>
          <cell r="AB1874">
            <v>60</v>
          </cell>
          <cell r="AC1874">
            <v>4.5</v>
          </cell>
          <cell r="AD1874">
            <v>55.5</v>
          </cell>
          <cell r="AE1874">
            <v>108</v>
          </cell>
          <cell r="AF1874">
            <v>9</v>
          </cell>
          <cell r="AG1874">
            <v>99</v>
          </cell>
        </row>
        <row r="1875">
          <cell r="C1875">
            <v>379606</v>
          </cell>
          <cell r="D1875" t="str">
            <v>YASHRAJ PETROLEUM</v>
          </cell>
          <cell r="E1875" t="str">
            <v>IOCL</v>
          </cell>
          <cell r="F1875" t="str">
            <v>2025-26</v>
          </cell>
          <cell r="G1875" t="str">
            <v>Pune Wagholi RSA</v>
          </cell>
          <cell r="H1875">
            <v>45869</v>
          </cell>
          <cell r="I1875" t="str">
            <v>OBC</v>
          </cell>
          <cell r="J1875" t="str">
            <v>LONIKAND to KOREGAON BHIMA RHS</v>
          </cell>
          <cell r="K1875" t="str">
            <v>Pune</v>
          </cell>
          <cell r="L1875" t="str">
            <v>D1</v>
          </cell>
          <cell r="M1875" t="str">
            <v>NH-753F</v>
          </cell>
          <cell r="O1875" t="str">
            <v>B</v>
          </cell>
          <cell r="P1875">
            <v>80</v>
          </cell>
          <cell r="Q1875">
            <v>180</v>
          </cell>
          <cell r="R1875">
            <v>0</v>
          </cell>
          <cell r="S1875">
            <v>0</v>
          </cell>
          <cell r="T1875">
            <v>80</v>
          </cell>
          <cell r="U1875">
            <v>180</v>
          </cell>
          <cell r="V1875">
            <v>137</v>
          </cell>
          <cell r="W1875">
            <v>315</v>
          </cell>
          <cell r="X1875">
            <v>0</v>
          </cell>
          <cell r="Y1875">
            <v>0</v>
          </cell>
          <cell r="Z1875">
            <v>137</v>
          </cell>
          <cell r="AA1875">
            <v>315</v>
          </cell>
          <cell r="AB1875">
            <v>260</v>
          </cell>
          <cell r="AC1875">
            <v>0</v>
          </cell>
          <cell r="AD1875">
            <v>260</v>
          </cell>
          <cell r="AE1875">
            <v>452</v>
          </cell>
          <cell r="AF1875">
            <v>0</v>
          </cell>
          <cell r="AG1875">
            <v>452</v>
          </cell>
        </row>
        <row r="1876">
          <cell r="C1876">
            <v>379686</v>
          </cell>
          <cell r="D1876" t="str">
            <v>SHIV PARVATI PETROLEUM</v>
          </cell>
          <cell r="E1876" t="str">
            <v>IOCL</v>
          </cell>
          <cell r="F1876" t="str">
            <v>2025-26</v>
          </cell>
          <cell r="G1876" t="str">
            <v>Pune Wagholi RSA</v>
          </cell>
          <cell r="H1876">
            <v>45777</v>
          </cell>
          <cell r="I1876" t="str">
            <v>OPEN</v>
          </cell>
          <cell r="J1876" t="str">
            <v>Belhe to Loni on belhe jejuri highway</v>
          </cell>
          <cell r="K1876" t="str">
            <v>Pune</v>
          </cell>
          <cell r="L1876" t="str">
            <v>D2</v>
          </cell>
          <cell r="O1876" t="str">
            <v>B</v>
          </cell>
          <cell r="P1876">
            <v>43</v>
          </cell>
          <cell r="Q1876">
            <v>117</v>
          </cell>
          <cell r="R1876">
            <v>0</v>
          </cell>
          <cell r="S1876">
            <v>0</v>
          </cell>
          <cell r="T1876">
            <v>43</v>
          </cell>
          <cell r="U1876">
            <v>117</v>
          </cell>
          <cell r="V1876">
            <v>75</v>
          </cell>
          <cell r="W1876">
            <v>201</v>
          </cell>
          <cell r="X1876">
            <v>0</v>
          </cell>
          <cell r="Y1876">
            <v>5</v>
          </cell>
          <cell r="Z1876">
            <v>75</v>
          </cell>
          <cell r="AA1876">
            <v>196</v>
          </cell>
          <cell r="AB1876">
            <v>160</v>
          </cell>
          <cell r="AC1876">
            <v>0</v>
          </cell>
          <cell r="AD1876">
            <v>160</v>
          </cell>
          <cell r="AE1876">
            <v>276</v>
          </cell>
          <cell r="AF1876">
            <v>5</v>
          </cell>
          <cell r="AG1876">
            <v>271</v>
          </cell>
        </row>
        <row r="1877">
          <cell r="C1877">
            <v>380365</v>
          </cell>
          <cell r="D1877" t="str">
            <v>YASHODA PETROLEUM</v>
          </cell>
          <cell r="E1877" t="str">
            <v>IOCL</v>
          </cell>
          <cell r="F1877" t="str">
            <v>2025-26</v>
          </cell>
          <cell r="G1877" t="str">
            <v>Pune Saswad RSA</v>
          </cell>
          <cell r="H1877">
            <v>45808</v>
          </cell>
          <cell r="I1877" t="str">
            <v>OPEN</v>
          </cell>
          <cell r="J1877" t="str">
            <v>HINGANGAON</v>
          </cell>
          <cell r="K1877" t="str">
            <v>Pune</v>
          </cell>
          <cell r="L1877" t="str">
            <v>D1</v>
          </cell>
          <cell r="M1877" t="str">
            <v>NH-65</v>
          </cell>
          <cell r="O1877" t="str">
            <v>B</v>
          </cell>
          <cell r="P1877">
            <v>0</v>
          </cell>
          <cell r="Q1877">
            <v>0</v>
          </cell>
          <cell r="R1877">
            <v>0</v>
          </cell>
          <cell r="S1877">
            <v>12</v>
          </cell>
          <cell r="T1877">
            <v>0</v>
          </cell>
          <cell r="U1877">
            <v>-12</v>
          </cell>
          <cell r="V1877">
            <v>0</v>
          </cell>
          <cell r="W1877">
            <v>0</v>
          </cell>
          <cell r="X1877">
            <v>0</v>
          </cell>
          <cell r="Y1877">
            <v>12</v>
          </cell>
          <cell r="Z1877">
            <v>0</v>
          </cell>
          <cell r="AA1877">
            <v>-12</v>
          </cell>
          <cell r="AB1877">
            <v>0</v>
          </cell>
          <cell r="AC1877">
            <v>12</v>
          </cell>
          <cell r="AD1877">
            <v>-12</v>
          </cell>
          <cell r="AE1877">
            <v>0</v>
          </cell>
          <cell r="AF1877">
            <v>12</v>
          </cell>
          <cell r="AG1877">
            <v>-12</v>
          </cell>
        </row>
        <row r="1878">
          <cell r="C1878">
            <v>380366</v>
          </cell>
          <cell r="D1878" t="str">
            <v>JAY MALHAR PETROLEUM</v>
          </cell>
          <cell r="E1878" t="str">
            <v>IOCL</v>
          </cell>
          <cell r="F1878" t="str">
            <v>2025-26</v>
          </cell>
          <cell r="G1878" t="str">
            <v>Pune Wagholi RSA</v>
          </cell>
          <cell r="H1878">
            <v>45808</v>
          </cell>
          <cell r="I1878" t="str">
            <v>OPEN</v>
          </cell>
          <cell r="J1878" t="str">
            <v>Loni to shikhrapur on belhe jejuri highway</v>
          </cell>
          <cell r="K1878" t="str">
            <v>Pune</v>
          </cell>
          <cell r="L1878" t="str">
            <v>D2</v>
          </cell>
          <cell r="O1878" t="str">
            <v>B</v>
          </cell>
          <cell r="P1878">
            <v>27</v>
          </cell>
          <cell r="Q1878">
            <v>93</v>
          </cell>
          <cell r="R1878">
            <v>0</v>
          </cell>
          <cell r="S1878">
            <v>12</v>
          </cell>
          <cell r="T1878">
            <v>27</v>
          </cell>
          <cell r="U1878">
            <v>81</v>
          </cell>
          <cell r="V1878">
            <v>42</v>
          </cell>
          <cell r="W1878">
            <v>162</v>
          </cell>
          <cell r="X1878">
            <v>0</v>
          </cell>
          <cell r="Y1878">
            <v>12</v>
          </cell>
          <cell r="Z1878">
            <v>42</v>
          </cell>
          <cell r="AA1878">
            <v>150</v>
          </cell>
          <cell r="AB1878">
            <v>120</v>
          </cell>
          <cell r="AC1878">
            <v>12</v>
          </cell>
          <cell r="AD1878">
            <v>108</v>
          </cell>
          <cell r="AE1878">
            <v>204</v>
          </cell>
          <cell r="AF1878">
            <v>12</v>
          </cell>
          <cell r="AG1878">
            <v>192</v>
          </cell>
        </row>
        <row r="1879">
          <cell r="C1879">
            <v>381116</v>
          </cell>
          <cell r="D1879" t="str">
            <v>SHIV GOURANNSH PETROLEUM</v>
          </cell>
          <cell r="E1879" t="str">
            <v>IOCL</v>
          </cell>
          <cell r="F1879" t="str">
            <v>2025-26</v>
          </cell>
          <cell r="G1879" t="str">
            <v>Ahmednagar East RSA</v>
          </cell>
          <cell r="H1879">
            <v>45838</v>
          </cell>
          <cell r="I1879" t="str">
            <v>OPEN</v>
          </cell>
          <cell r="J1879" t="str">
            <v>Nagar-Manmad Bypass</v>
          </cell>
          <cell r="K1879" t="str">
            <v>Ahmednagar</v>
          </cell>
          <cell r="L1879" t="str">
            <v>D1</v>
          </cell>
          <cell r="M1879" t="str">
            <v>NH-160</v>
          </cell>
          <cell r="O1879" t="str">
            <v>B</v>
          </cell>
          <cell r="P1879">
            <v>8.5</v>
          </cell>
          <cell r="Q1879">
            <v>293.5</v>
          </cell>
          <cell r="R1879">
            <v>0</v>
          </cell>
          <cell r="S1879">
            <v>0</v>
          </cell>
          <cell r="T1879">
            <v>8.5</v>
          </cell>
          <cell r="U1879">
            <v>293.5</v>
          </cell>
          <cell r="V1879">
            <v>13.5</v>
          </cell>
          <cell r="W1879">
            <v>512.5</v>
          </cell>
          <cell r="X1879">
            <v>0</v>
          </cell>
          <cell r="Y1879">
            <v>0</v>
          </cell>
          <cell r="Z1879">
            <v>13.5</v>
          </cell>
          <cell r="AA1879">
            <v>512.5</v>
          </cell>
          <cell r="AB1879">
            <v>302</v>
          </cell>
          <cell r="AC1879">
            <v>0</v>
          </cell>
          <cell r="AD1879">
            <v>302</v>
          </cell>
          <cell r="AE1879">
            <v>526</v>
          </cell>
          <cell r="AF1879">
            <v>0</v>
          </cell>
          <cell r="AG1879">
            <v>526</v>
          </cell>
        </row>
        <row r="1880">
          <cell r="C1880">
            <v>381186</v>
          </cell>
          <cell r="D1880" t="str">
            <v>NATHKRUPA PETROLEUM</v>
          </cell>
          <cell r="E1880" t="str">
            <v>IOCL</v>
          </cell>
          <cell r="F1880" t="str">
            <v>2025-26</v>
          </cell>
          <cell r="G1880" t="str">
            <v>Ahmednagar West RSA</v>
          </cell>
          <cell r="H1880">
            <v>45869</v>
          </cell>
          <cell r="I1880" t="str">
            <v>SC</v>
          </cell>
          <cell r="J1880" t="str">
            <v>Khandgaon</v>
          </cell>
          <cell r="K1880" t="str">
            <v>Ahmednagar</v>
          </cell>
          <cell r="L1880" t="str">
            <v>E</v>
          </cell>
          <cell r="O1880" t="str">
            <v>A</v>
          </cell>
          <cell r="P1880">
            <v>12</v>
          </cell>
          <cell r="Q1880">
            <v>36</v>
          </cell>
          <cell r="R1880">
            <v>0</v>
          </cell>
          <cell r="S1880">
            <v>0</v>
          </cell>
          <cell r="T1880">
            <v>12</v>
          </cell>
          <cell r="U1880">
            <v>36</v>
          </cell>
          <cell r="V1880">
            <v>31</v>
          </cell>
          <cell r="W1880">
            <v>89</v>
          </cell>
          <cell r="X1880">
            <v>0</v>
          </cell>
          <cell r="Y1880">
            <v>0</v>
          </cell>
          <cell r="Z1880">
            <v>31</v>
          </cell>
          <cell r="AA1880">
            <v>89</v>
          </cell>
          <cell r="AB1880">
            <v>48</v>
          </cell>
          <cell r="AC1880">
            <v>0</v>
          </cell>
          <cell r="AD1880">
            <v>48</v>
          </cell>
          <cell r="AE1880">
            <v>120</v>
          </cell>
          <cell r="AF1880">
            <v>0</v>
          </cell>
          <cell r="AG1880">
            <v>120</v>
          </cell>
        </row>
        <row r="1881">
          <cell r="C1881">
            <v>381798</v>
          </cell>
          <cell r="D1881" t="str">
            <v>Mamta Petroleum</v>
          </cell>
          <cell r="E1881" t="str">
            <v>IOCL</v>
          </cell>
          <cell r="F1881" t="str">
            <v>2025-26</v>
          </cell>
          <cell r="G1881" t="str">
            <v>Ahmednagar West RSA</v>
          </cell>
          <cell r="H1881">
            <v>45869</v>
          </cell>
          <cell r="I1881" t="str">
            <v>OBC</v>
          </cell>
          <cell r="J1881" t="str">
            <v>SHEKTE</v>
          </cell>
          <cell r="K1881" t="str">
            <v>Ahmednagar</v>
          </cell>
          <cell r="L1881" t="str">
            <v>D1</v>
          </cell>
          <cell r="M1881" t="str">
            <v>NH-61</v>
          </cell>
          <cell r="O1881" t="str">
            <v>B</v>
          </cell>
          <cell r="P1881">
            <v>43.5</v>
          </cell>
          <cell r="Q1881">
            <v>108.5</v>
          </cell>
          <cell r="R1881">
            <v>0</v>
          </cell>
          <cell r="S1881">
            <v>0</v>
          </cell>
          <cell r="T1881">
            <v>43.5</v>
          </cell>
          <cell r="U1881">
            <v>108.5</v>
          </cell>
          <cell r="V1881">
            <v>64.5</v>
          </cell>
          <cell r="W1881">
            <v>165.5</v>
          </cell>
          <cell r="X1881">
            <v>0</v>
          </cell>
          <cell r="Y1881">
            <v>0</v>
          </cell>
          <cell r="Z1881">
            <v>64.5</v>
          </cell>
          <cell r="AA1881">
            <v>165.5</v>
          </cell>
          <cell r="AB1881">
            <v>152</v>
          </cell>
          <cell r="AC1881">
            <v>0</v>
          </cell>
          <cell r="AD1881">
            <v>152</v>
          </cell>
          <cell r="AE1881">
            <v>230</v>
          </cell>
          <cell r="AF1881">
            <v>0</v>
          </cell>
          <cell r="AG1881">
            <v>230</v>
          </cell>
        </row>
        <row r="1882">
          <cell r="C1882">
            <v>381929</v>
          </cell>
          <cell r="D1882" t="str">
            <v>Jay Shankar Petroleum</v>
          </cell>
          <cell r="E1882" t="str">
            <v>IOCL</v>
          </cell>
          <cell r="F1882" t="str">
            <v>2025-26</v>
          </cell>
          <cell r="G1882" t="str">
            <v>Satara East RSA</v>
          </cell>
          <cell r="H1882">
            <v>45869</v>
          </cell>
          <cell r="I1882" t="str">
            <v>OBC</v>
          </cell>
          <cell r="J1882" t="str">
            <v>Saskal</v>
          </cell>
          <cell r="K1882" t="str">
            <v>Satara</v>
          </cell>
          <cell r="L1882" t="str">
            <v>E</v>
          </cell>
          <cell r="O1882" t="str">
            <v>B</v>
          </cell>
          <cell r="P1882">
            <v>27</v>
          </cell>
          <cell r="Q1882">
            <v>21</v>
          </cell>
          <cell r="R1882">
            <v>0</v>
          </cell>
          <cell r="S1882">
            <v>0</v>
          </cell>
          <cell r="T1882">
            <v>27</v>
          </cell>
          <cell r="U1882">
            <v>21</v>
          </cell>
          <cell r="V1882">
            <v>45</v>
          </cell>
          <cell r="W1882">
            <v>39</v>
          </cell>
          <cell r="X1882">
            <v>0</v>
          </cell>
          <cell r="Y1882">
            <v>0</v>
          </cell>
          <cell r="Z1882">
            <v>45</v>
          </cell>
          <cell r="AA1882">
            <v>39</v>
          </cell>
          <cell r="AB1882">
            <v>48</v>
          </cell>
          <cell r="AC1882">
            <v>0</v>
          </cell>
          <cell r="AD1882">
            <v>48</v>
          </cell>
          <cell r="AE1882">
            <v>84</v>
          </cell>
          <cell r="AF1882">
            <v>0</v>
          </cell>
          <cell r="AG1882">
            <v>84</v>
          </cell>
        </row>
        <row r="1883">
          <cell r="C1883">
            <v>381934</v>
          </cell>
          <cell r="D1883" t="str">
            <v>Mauli Fuel Station</v>
          </cell>
          <cell r="E1883" t="str">
            <v>IOCL</v>
          </cell>
          <cell r="F1883" t="str">
            <v>2025-26</v>
          </cell>
          <cell r="G1883" t="str">
            <v>Satara West RSA</v>
          </cell>
          <cell r="H1883">
            <v>45869</v>
          </cell>
          <cell r="I1883" t="str">
            <v>OPEN</v>
          </cell>
          <cell r="J1883" t="str">
            <v>PATAN</v>
          </cell>
          <cell r="K1883" t="str">
            <v>Satara</v>
          </cell>
          <cell r="L1883" t="str">
            <v>D1</v>
          </cell>
          <cell r="M1883" t="str">
            <v>NH-166E</v>
          </cell>
          <cell r="O1883" t="str">
            <v>B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0</v>
          </cell>
          <cell r="AA1883">
            <v>0</v>
          </cell>
          <cell r="AB1883">
            <v>0</v>
          </cell>
          <cell r="AC1883">
            <v>0</v>
          </cell>
          <cell r="AD1883">
            <v>0</v>
          </cell>
          <cell r="AE1883">
            <v>0</v>
          </cell>
          <cell r="AF1883">
            <v>0</v>
          </cell>
          <cell r="AG1883">
            <v>0</v>
          </cell>
        </row>
        <row r="1884">
          <cell r="C1884">
            <v>381984</v>
          </cell>
          <cell r="D1884" t="str">
            <v>Ambika Petroleum</v>
          </cell>
          <cell r="E1884" t="str">
            <v>IOCL</v>
          </cell>
          <cell r="F1884" t="str">
            <v>2025-26</v>
          </cell>
          <cell r="G1884" t="str">
            <v>Pune Hadapsar RSA</v>
          </cell>
          <cell r="H1884">
            <v>45869</v>
          </cell>
          <cell r="I1884" t="str">
            <v>OPEN</v>
          </cell>
          <cell r="J1884" t="str">
            <v>Yawat LHS</v>
          </cell>
          <cell r="K1884" t="str">
            <v>Pune</v>
          </cell>
          <cell r="L1884" t="str">
            <v>D1</v>
          </cell>
          <cell r="M1884" t="str">
            <v>NH-65</v>
          </cell>
          <cell r="O1884" t="str">
            <v>B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0</v>
          </cell>
          <cell r="AA1884">
            <v>0</v>
          </cell>
          <cell r="AB1884">
            <v>0</v>
          </cell>
          <cell r="AC1884">
            <v>0</v>
          </cell>
          <cell r="AD1884">
            <v>0</v>
          </cell>
          <cell r="AE1884">
            <v>0</v>
          </cell>
          <cell r="AF1884">
            <v>0</v>
          </cell>
          <cell r="AG1884">
            <v>0</v>
          </cell>
        </row>
        <row r="1885">
          <cell r="C1885">
            <v>382026</v>
          </cell>
          <cell r="D1885" t="str">
            <v>S B Petroleum</v>
          </cell>
          <cell r="E1885" t="str">
            <v>IOCL</v>
          </cell>
          <cell r="F1885" t="str">
            <v>2025-26</v>
          </cell>
          <cell r="G1885" t="str">
            <v>Ahmednagar West RSA</v>
          </cell>
          <cell r="H1885">
            <v>45869</v>
          </cell>
          <cell r="I1885" t="str">
            <v>OBC</v>
          </cell>
          <cell r="J1885" t="str">
            <v>Walunj</v>
          </cell>
          <cell r="K1885" t="str">
            <v>Ahmednagar</v>
          </cell>
          <cell r="L1885" t="str">
            <v>D1</v>
          </cell>
          <cell r="M1885" t="str">
            <v>NH-561A</v>
          </cell>
          <cell r="O1885" t="str">
            <v>B</v>
          </cell>
          <cell r="P1885">
            <v>37.5</v>
          </cell>
          <cell r="Q1885">
            <v>60.5</v>
          </cell>
          <cell r="R1885">
            <v>0</v>
          </cell>
          <cell r="S1885">
            <v>0</v>
          </cell>
          <cell r="T1885">
            <v>37.5</v>
          </cell>
          <cell r="U1885">
            <v>60.5</v>
          </cell>
          <cell r="V1885">
            <v>67.5</v>
          </cell>
          <cell r="W1885">
            <v>90.5</v>
          </cell>
          <cell r="X1885">
            <v>0</v>
          </cell>
          <cell r="Y1885">
            <v>0</v>
          </cell>
          <cell r="Z1885">
            <v>67.5</v>
          </cell>
          <cell r="AA1885">
            <v>90.5</v>
          </cell>
          <cell r="AB1885">
            <v>98</v>
          </cell>
          <cell r="AC1885">
            <v>0</v>
          </cell>
          <cell r="AD1885">
            <v>98</v>
          </cell>
          <cell r="AE1885">
            <v>158</v>
          </cell>
          <cell r="AF1885">
            <v>0</v>
          </cell>
          <cell r="AG1885">
            <v>158</v>
          </cell>
        </row>
        <row r="1886">
          <cell r="C1886">
            <v>504556</v>
          </cell>
          <cell r="D1886" t="str">
            <v>NEW AUTO CORNER-PUNE</v>
          </cell>
          <cell r="E1886" t="str">
            <v>IOCL</v>
          </cell>
          <cell r="G1886" t="str">
            <v>Pune City RSA</v>
          </cell>
          <cell r="H1886">
            <v>26081</v>
          </cell>
          <cell r="I1886" t="str">
            <v>OPEN</v>
          </cell>
          <cell r="J1886" t="str">
            <v>SOMWAR PETH/NANA PETH</v>
          </cell>
          <cell r="K1886" t="str">
            <v>Pune</v>
          </cell>
          <cell r="L1886" t="str">
            <v>A</v>
          </cell>
          <cell r="O1886" t="str">
            <v>B</v>
          </cell>
          <cell r="P1886">
            <v>168</v>
          </cell>
          <cell r="Q1886">
            <v>0</v>
          </cell>
          <cell r="R1886">
            <v>144</v>
          </cell>
          <cell r="S1886">
            <v>0</v>
          </cell>
          <cell r="T1886">
            <v>24</v>
          </cell>
          <cell r="U1886">
            <v>0</v>
          </cell>
          <cell r="V1886">
            <v>336</v>
          </cell>
          <cell r="W1886">
            <v>0</v>
          </cell>
          <cell r="X1886">
            <v>312</v>
          </cell>
          <cell r="Y1886">
            <v>0</v>
          </cell>
          <cell r="Z1886">
            <v>24</v>
          </cell>
          <cell r="AA1886">
            <v>0</v>
          </cell>
          <cell r="AB1886">
            <v>168</v>
          </cell>
          <cell r="AC1886">
            <v>144</v>
          </cell>
          <cell r="AD1886">
            <v>24</v>
          </cell>
          <cell r="AE1886">
            <v>336</v>
          </cell>
          <cell r="AF1886">
            <v>312</v>
          </cell>
          <cell r="AG1886">
            <v>24</v>
          </cell>
        </row>
        <row r="1887">
          <cell r="C1887">
            <v>524929</v>
          </cell>
          <cell r="D1887" t="str">
            <v>BAFNA BROTHERS (HSD)</v>
          </cell>
          <cell r="E1887" t="str">
            <v>IOCL</v>
          </cell>
          <cell r="G1887" t="str">
            <v>Pune Hadapsar RSA</v>
          </cell>
          <cell r="H1887">
            <v>32843</v>
          </cell>
          <cell r="I1887" t="str">
            <v>OPEN</v>
          </cell>
          <cell r="J1887" t="str">
            <v>Loni RHS</v>
          </cell>
          <cell r="K1887" t="str">
            <v>Pune</v>
          </cell>
          <cell r="L1887" t="str">
            <v>D1</v>
          </cell>
          <cell r="M1887" t="str">
            <v>NH-65</v>
          </cell>
          <cell r="O1887" t="str">
            <v>A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A1887">
            <v>0</v>
          </cell>
          <cell r="AB1887">
            <v>0</v>
          </cell>
          <cell r="AC1887">
            <v>0</v>
          </cell>
          <cell r="AD1887">
            <v>0</v>
          </cell>
          <cell r="AE1887">
            <v>0</v>
          </cell>
          <cell r="AF1887">
            <v>0</v>
          </cell>
          <cell r="AG1887">
            <v>0</v>
          </cell>
        </row>
        <row r="1888">
          <cell r="C1888">
            <v>524930</v>
          </cell>
          <cell r="D1888" t="str">
            <v>KAJALE &amp; SONS (HSD)</v>
          </cell>
          <cell r="E1888" t="str">
            <v>IOCL</v>
          </cell>
          <cell r="G1888" t="str">
            <v>Pimpri Chinchwad RSA</v>
          </cell>
          <cell r="H1888">
            <v>34056</v>
          </cell>
          <cell r="I1888" t="str">
            <v>OPEN</v>
          </cell>
          <cell r="J1888" t="str">
            <v>Moshi</v>
          </cell>
          <cell r="K1888" t="str">
            <v>Pune</v>
          </cell>
          <cell r="L1888" t="str">
            <v>A</v>
          </cell>
          <cell r="O1888" t="str">
            <v>A</v>
          </cell>
          <cell r="P1888">
            <v>0</v>
          </cell>
          <cell r="Q1888">
            <v>300</v>
          </cell>
          <cell r="R1888">
            <v>0</v>
          </cell>
          <cell r="S1888">
            <v>312</v>
          </cell>
          <cell r="T1888">
            <v>0</v>
          </cell>
          <cell r="U1888">
            <v>-12</v>
          </cell>
          <cell r="V1888">
            <v>0</v>
          </cell>
          <cell r="W1888">
            <v>576</v>
          </cell>
          <cell r="X1888">
            <v>0</v>
          </cell>
          <cell r="Y1888">
            <v>624</v>
          </cell>
          <cell r="Z1888">
            <v>0</v>
          </cell>
          <cell r="AA1888">
            <v>-48</v>
          </cell>
          <cell r="AB1888">
            <v>300</v>
          </cell>
          <cell r="AC1888">
            <v>312</v>
          </cell>
          <cell r="AD1888">
            <v>-12</v>
          </cell>
          <cell r="AE1888">
            <v>576</v>
          </cell>
          <cell r="AF1888">
            <v>624</v>
          </cell>
          <cell r="AG1888">
            <v>-48</v>
          </cell>
        </row>
        <row r="1889">
          <cell r="C1889">
            <v>382024</v>
          </cell>
          <cell r="D1889" t="str">
            <v>Makhamale Petroleum</v>
          </cell>
          <cell r="E1889" t="str">
            <v>IOCL</v>
          </cell>
          <cell r="F1889" t="str">
            <v>2025-26</v>
          </cell>
          <cell r="G1889" t="str">
            <v>Pimpri Chinchwad RSA</v>
          </cell>
          <cell r="H1889">
            <v>45899</v>
          </cell>
          <cell r="I1889" t="str">
            <v>OBC</v>
          </cell>
          <cell r="J1889" t="str">
            <v>Induri</v>
          </cell>
          <cell r="K1889" t="str">
            <v>Pune</v>
          </cell>
          <cell r="L1889" t="str">
            <v>D1</v>
          </cell>
          <cell r="M1889" t="str">
            <v>NH-548D</v>
          </cell>
          <cell r="O1889" t="str">
            <v>B</v>
          </cell>
          <cell r="P1889">
            <v>51.5</v>
          </cell>
          <cell r="Q1889">
            <v>117.5</v>
          </cell>
          <cell r="R1889">
            <v>0</v>
          </cell>
          <cell r="S1889">
            <v>0</v>
          </cell>
          <cell r="T1889">
            <v>51.5</v>
          </cell>
          <cell r="U1889">
            <v>117.5</v>
          </cell>
          <cell r="V1889">
            <v>98</v>
          </cell>
          <cell r="W1889">
            <v>203</v>
          </cell>
          <cell r="X1889">
            <v>0</v>
          </cell>
          <cell r="Y1889">
            <v>0</v>
          </cell>
          <cell r="Z1889">
            <v>98</v>
          </cell>
          <cell r="AA1889">
            <v>203</v>
          </cell>
          <cell r="AB1889">
            <v>169</v>
          </cell>
          <cell r="AC1889">
            <v>0</v>
          </cell>
          <cell r="AD1889">
            <v>169</v>
          </cell>
          <cell r="AE1889">
            <v>301</v>
          </cell>
          <cell r="AF1889">
            <v>0</v>
          </cell>
          <cell r="AG1889">
            <v>301</v>
          </cell>
        </row>
        <row r="1890">
          <cell r="C1890">
            <v>126375</v>
          </cell>
          <cell r="D1890" t="str">
            <v>RADHA KRISHNA SERVICE CENTRE</v>
          </cell>
          <cell r="E1890" t="str">
            <v>IOCL</v>
          </cell>
          <cell r="F1890" t="str">
            <v>2025-26</v>
          </cell>
          <cell r="G1890" t="str">
            <v>Pune City RSA</v>
          </cell>
          <cell r="H1890">
            <v>45883</v>
          </cell>
          <cell r="I1890" t="str">
            <v>OPEN</v>
          </cell>
          <cell r="J1890" t="str">
            <v>LOHAGAON WAGHOLI ROAD</v>
          </cell>
          <cell r="K1890" t="str">
            <v>Pune</v>
          </cell>
          <cell r="L1890" t="str">
            <v>A</v>
          </cell>
          <cell r="O1890" t="str">
            <v>B</v>
          </cell>
          <cell r="P1890">
            <v>59.5</v>
          </cell>
          <cell r="Q1890">
            <v>30.5</v>
          </cell>
          <cell r="R1890">
            <v>0</v>
          </cell>
          <cell r="S1890">
            <v>0</v>
          </cell>
          <cell r="T1890">
            <v>59.5</v>
          </cell>
          <cell r="U1890">
            <v>30.5</v>
          </cell>
          <cell r="V1890">
            <v>113.5</v>
          </cell>
          <cell r="W1890">
            <v>60.5</v>
          </cell>
          <cell r="X1890">
            <v>0</v>
          </cell>
          <cell r="Y1890">
            <v>0</v>
          </cell>
          <cell r="Z1890">
            <v>113.5</v>
          </cell>
          <cell r="AA1890">
            <v>60.5</v>
          </cell>
          <cell r="AB1890">
            <v>90</v>
          </cell>
          <cell r="AC1890">
            <v>0</v>
          </cell>
          <cell r="AD1890">
            <v>90</v>
          </cell>
          <cell r="AE1890">
            <v>174</v>
          </cell>
          <cell r="AF1890">
            <v>0</v>
          </cell>
          <cell r="AG1890">
            <v>174</v>
          </cell>
        </row>
        <row r="1891">
          <cell r="C1891">
            <v>382656</v>
          </cell>
          <cell r="D1891" t="str">
            <v>KSHIRSAGAR PETROLEUM</v>
          </cell>
          <cell r="E1891" t="str">
            <v>IOCL</v>
          </cell>
          <cell r="F1891" t="str">
            <v>2025-26</v>
          </cell>
          <cell r="G1891" t="str">
            <v>Pune Saswad RSA</v>
          </cell>
          <cell r="H1891">
            <v>45900</v>
          </cell>
          <cell r="I1891" t="str">
            <v>OBC</v>
          </cell>
          <cell r="J1891" t="str">
            <v>bhigwan-rashin road</v>
          </cell>
          <cell r="K1891" t="str">
            <v>Pune</v>
          </cell>
          <cell r="L1891" t="str">
            <v>D2</v>
          </cell>
          <cell r="O1891" t="str">
            <v>B</v>
          </cell>
          <cell r="P1891">
            <v>31.5</v>
          </cell>
          <cell r="Q1891">
            <v>84.5</v>
          </cell>
          <cell r="R1891">
            <v>0</v>
          </cell>
          <cell r="S1891">
            <v>0</v>
          </cell>
          <cell r="T1891">
            <v>31.5</v>
          </cell>
          <cell r="U1891">
            <v>84.5</v>
          </cell>
          <cell r="V1891">
            <v>44</v>
          </cell>
          <cell r="W1891">
            <v>98</v>
          </cell>
          <cell r="X1891">
            <v>0</v>
          </cell>
          <cell r="Y1891">
            <v>0</v>
          </cell>
          <cell r="Z1891">
            <v>44</v>
          </cell>
          <cell r="AA1891">
            <v>98</v>
          </cell>
          <cell r="AB1891">
            <v>116</v>
          </cell>
          <cell r="AC1891">
            <v>0</v>
          </cell>
          <cell r="AD1891">
            <v>116</v>
          </cell>
          <cell r="AE1891">
            <v>142</v>
          </cell>
          <cell r="AF1891">
            <v>0</v>
          </cell>
          <cell r="AG1891">
            <v>142</v>
          </cell>
        </row>
        <row r="1892">
          <cell r="C1892">
            <v>382748</v>
          </cell>
          <cell r="D1892" t="str">
            <v>SHREE JAY MALHAR PETROLEUM</v>
          </cell>
          <cell r="E1892" t="str">
            <v>IOCL</v>
          </cell>
          <cell r="F1892" t="str">
            <v>2025-26</v>
          </cell>
          <cell r="G1892" t="str">
            <v>Satara West RSA</v>
          </cell>
          <cell r="H1892">
            <v>45900</v>
          </cell>
          <cell r="I1892" t="str">
            <v>SC</v>
          </cell>
          <cell r="J1892" t="str">
            <v>ATIT TO KASHIL</v>
          </cell>
          <cell r="K1892" t="str">
            <v>Satara</v>
          </cell>
          <cell r="L1892" t="str">
            <v>D1</v>
          </cell>
          <cell r="M1892" t="str">
            <v>NH-48</v>
          </cell>
          <cell r="O1892" t="str">
            <v>A</v>
          </cell>
          <cell r="P1892">
            <v>27.5</v>
          </cell>
          <cell r="Q1892">
            <v>34.5</v>
          </cell>
          <cell r="R1892">
            <v>0</v>
          </cell>
          <cell r="S1892">
            <v>0</v>
          </cell>
          <cell r="T1892">
            <v>27.5</v>
          </cell>
          <cell r="U1892">
            <v>34.5</v>
          </cell>
          <cell r="V1892">
            <v>39.5</v>
          </cell>
          <cell r="W1892">
            <v>58.5</v>
          </cell>
          <cell r="X1892">
            <v>0</v>
          </cell>
          <cell r="Y1892">
            <v>0</v>
          </cell>
          <cell r="Z1892">
            <v>39.5</v>
          </cell>
          <cell r="AA1892">
            <v>58.5</v>
          </cell>
          <cell r="AB1892">
            <v>62</v>
          </cell>
          <cell r="AC1892">
            <v>0</v>
          </cell>
          <cell r="AD1892">
            <v>62</v>
          </cell>
          <cell r="AE1892">
            <v>98</v>
          </cell>
          <cell r="AF1892">
            <v>0</v>
          </cell>
          <cell r="AG1892">
            <v>98</v>
          </cell>
        </row>
        <row r="1893">
          <cell r="C1893">
            <v>382749</v>
          </cell>
          <cell r="D1893" t="str">
            <v>BRAMHACHAITANYA PETROLEUM</v>
          </cell>
          <cell r="E1893" t="str">
            <v>IOCL</v>
          </cell>
          <cell r="F1893" t="str">
            <v>2025-26</v>
          </cell>
          <cell r="G1893" t="str">
            <v>Satara West RSA</v>
          </cell>
          <cell r="H1893">
            <v>45900</v>
          </cell>
          <cell r="I1893" t="str">
            <v>OPEN</v>
          </cell>
          <cell r="J1893" t="str">
            <v>Narayanwadi Not on NH</v>
          </cell>
          <cell r="K1893" t="str">
            <v>Satara</v>
          </cell>
          <cell r="L1893" t="str">
            <v>D2</v>
          </cell>
          <cell r="O1893" t="str">
            <v>B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A1893">
            <v>0</v>
          </cell>
          <cell r="AB1893">
            <v>0</v>
          </cell>
          <cell r="AC1893">
            <v>0</v>
          </cell>
          <cell r="AD1893">
            <v>0</v>
          </cell>
          <cell r="AE1893">
            <v>0</v>
          </cell>
          <cell r="AF1893">
            <v>0</v>
          </cell>
          <cell r="AG1893">
            <v>0</v>
          </cell>
        </row>
        <row r="1894">
          <cell r="C1894">
            <v>382655</v>
          </cell>
          <cell r="D1894" t="str">
            <v>BALAJI PETROL PUMP</v>
          </cell>
          <cell r="E1894" t="str">
            <v>IOCL</v>
          </cell>
          <cell r="F1894" t="str">
            <v>2025-26</v>
          </cell>
          <cell r="G1894" t="str">
            <v>Ahmednagar West RSA</v>
          </cell>
          <cell r="H1894">
            <v>45930</v>
          </cell>
          <cell r="I1894" t="str">
            <v>OBC</v>
          </cell>
          <cell r="J1894" t="str">
            <v>JAMKHED-NANNAJ RD</v>
          </cell>
          <cell r="K1894" t="str">
            <v>Ahmednagar</v>
          </cell>
          <cell r="L1894" t="str">
            <v>D2</v>
          </cell>
          <cell r="O1894" t="str">
            <v>B</v>
          </cell>
          <cell r="P1894">
            <v>22</v>
          </cell>
          <cell r="Q1894">
            <v>163</v>
          </cell>
          <cell r="R1894">
            <v>0</v>
          </cell>
          <cell r="S1894">
            <v>0</v>
          </cell>
          <cell r="T1894">
            <v>22</v>
          </cell>
          <cell r="U1894">
            <v>163</v>
          </cell>
          <cell r="V1894">
            <v>37</v>
          </cell>
          <cell r="W1894">
            <v>310</v>
          </cell>
          <cell r="X1894">
            <v>0</v>
          </cell>
          <cell r="Y1894">
            <v>0</v>
          </cell>
          <cell r="Z1894">
            <v>37</v>
          </cell>
          <cell r="AA1894">
            <v>310</v>
          </cell>
          <cell r="AB1894">
            <v>185</v>
          </cell>
          <cell r="AC1894">
            <v>0</v>
          </cell>
          <cell r="AD1894">
            <v>185</v>
          </cell>
          <cell r="AE1894">
            <v>347</v>
          </cell>
          <cell r="AF1894">
            <v>0</v>
          </cell>
          <cell r="AG1894">
            <v>347</v>
          </cell>
        </row>
        <row r="1895">
          <cell r="C1895">
            <v>383736</v>
          </cell>
          <cell r="D1895" t="str">
            <v>GAVALI PETROLEUM</v>
          </cell>
          <cell r="E1895" t="str">
            <v>IOCL</v>
          </cell>
          <cell r="F1895" t="str">
            <v>2025-26</v>
          </cell>
          <cell r="G1895" t="str">
            <v>Pune Tathawade RSA</v>
          </cell>
          <cell r="H1895">
            <v>45930</v>
          </cell>
          <cell r="I1895" t="str">
            <v>SC</v>
          </cell>
          <cell r="J1895" t="str">
            <v>MORGAON</v>
          </cell>
          <cell r="K1895" t="str">
            <v>Pune</v>
          </cell>
          <cell r="L1895" t="str">
            <v>D1</v>
          </cell>
          <cell r="M1895" t="str">
            <v>NH-965D</v>
          </cell>
          <cell r="O1895" t="str">
            <v>A</v>
          </cell>
          <cell r="P1895">
            <v>0</v>
          </cell>
          <cell r="Q1895">
            <v>12</v>
          </cell>
          <cell r="R1895">
            <v>0</v>
          </cell>
          <cell r="S1895">
            <v>0</v>
          </cell>
          <cell r="T1895">
            <v>0</v>
          </cell>
          <cell r="U1895">
            <v>12</v>
          </cell>
          <cell r="V1895">
            <v>0</v>
          </cell>
          <cell r="W1895">
            <v>12</v>
          </cell>
          <cell r="X1895">
            <v>0</v>
          </cell>
          <cell r="Y1895">
            <v>0</v>
          </cell>
          <cell r="Z1895">
            <v>0</v>
          </cell>
          <cell r="AA1895">
            <v>12</v>
          </cell>
          <cell r="AB1895">
            <v>12</v>
          </cell>
          <cell r="AC1895">
            <v>0</v>
          </cell>
          <cell r="AD1895">
            <v>12</v>
          </cell>
          <cell r="AE1895">
            <v>12</v>
          </cell>
          <cell r="AF1895">
            <v>0</v>
          </cell>
          <cell r="AG1895">
            <v>12</v>
          </cell>
        </row>
        <row r="1896">
          <cell r="C1896">
            <v>383737</v>
          </cell>
          <cell r="D1896" t="str">
            <v>DNYANESHWARI PETROLEUM</v>
          </cell>
          <cell r="E1896" t="str">
            <v>IOCL</v>
          </cell>
          <cell r="F1896" t="str">
            <v>2025-26</v>
          </cell>
          <cell r="G1896" t="str">
            <v>Ahmednagar West RSA</v>
          </cell>
          <cell r="H1896">
            <v>45930</v>
          </cell>
          <cell r="I1896" t="str">
            <v>OBC</v>
          </cell>
          <cell r="J1896" t="str">
            <v>TAKALI KADEVALIT</v>
          </cell>
          <cell r="K1896" t="str">
            <v>Ahmednagar</v>
          </cell>
          <cell r="L1896" t="str">
            <v>E</v>
          </cell>
          <cell r="O1896" t="str">
            <v>B</v>
          </cell>
          <cell r="P1896">
            <v>27.5</v>
          </cell>
          <cell r="Q1896">
            <v>70.5</v>
          </cell>
          <cell r="R1896">
            <v>0</v>
          </cell>
          <cell r="S1896">
            <v>0</v>
          </cell>
          <cell r="T1896">
            <v>27.5</v>
          </cell>
          <cell r="U1896">
            <v>70.5</v>
          </cell>
          <cell r="V1896">
            <v>51.5</v>
          </cell>
          <cell r="W1896">
            <v>118.5</v>
          </cell>
          <cell r="X1896">
            <v>0</v>
          </cell>
          <cell r="Y1896">
            <v>0</v>
          </cell>
          <cell r="Z1896">
            <v>51.5</v>
          </cell>
          <cell r="AA1896">
            <v>118.5</v>
          </cell>
          <cell r="AB1896">
            <v>98</v>
          </cell>
          <cell r="AC1896">
            <v>0</v>
          </cell>
          <cell r="AD1896">
            <v>98</v>
          </cell>
          <cell r="AE1896">
            <v>170</v>
          </cell>
          <cell r="AF1896">
            <v>0</v>
          </cell>
          <cell r="AG1896">
            <v>170</v>
          </cell>
        </row>
        <row r="1897">
          <cell r="C1897">
            <v>384663</v>
          </cell>
          <cell r="D1897" t="str">
            <v>Shantai Petroleum</v>
          </cell>
          <cell r="E1897" t="str">
            <v>IOCL</v>
          </cell>
          <cell r="F1897" t="str">
            <v>2025-26</v>
          </cell>
          <cell r="G1897" t="str">
            <v>Ahmednagar East RSA</v>
          </cell>
          <cell r="H1897">
            <v>45961</v>
          </cell>
          <cell r="I1897" t="str">
            <v>OBC</v>
          </cell>
          <cell r="J1897" t="str">
            <v>Supe toll</v>
          </cell>
          <cell r="K1897" t="str">
            <v>Ahmednagar</v>
          </cell>
          <cell r="L1897" t="str">
            <v>D1</v>
          </cell>
          <cell r="M1897" t="str">
            <v>NH-753F</v>
          </cell>
          <cell r="O1897" t="str">
            <v>B</v>
          </cell>
          <cell r="P1897">
            <v>6</v>
          </cell>
          <cell r="Q1897">
            <v>6</v>
          </cell>
          <cell r="R1897">
            <v>0</v>
          </cell>
          <cell r="S1897">
            <v>0</v>
          </cell>
          <cell r="T1897">
            <v>6</v>
          </cell>
          <cell r="U1897">
            <v>6</v>
          </cell>
          <cell r="V1897">
            <v>6</v>
          </cell>
          <cell r="W1897">
            <v>6</v>
          </cell>
          <cell r="X1897">
            <v>0</v>
          </cell>
          <cell r="Y1897">
            <v>0</v>
          </cell>
          <cell r="Z1897">
            <v>6</v>
          </cell>
          <cell r="AA1897">
            <v>6</v>
          </cell>
          <cell r="AB1897">
            <v>12</v>
          </cell>
          <cell r="AC1897">
            <v>0</v>
          </cell>
          <cell r="AD1897">
            <v>12</v>
          </cell>
          <cell r="AE1897">
            <v>12</v>
          </cell>
          <cell r="AF1897">
            <v>0</v>
          </cell>
          <cell r="AG1897">
            <v>12</v>
          </cell>
        </row>
        <row r="1898">
          <cell r="C1898">
            <v>383803</v>
          </cell>
          <cell r="D1898" t="str">
            <v>KADAM PETROLEUM</v>
          </cell>
          <cell r="E1898" t="str">
            <v>IOCL</v>
          </cell>
          <cell r="F1898" t="str">
            <v>2025-26</v>
          </cell>
          <cell r="G1898" t="str">
            <v>Ahmednagar West RSA</v>
          </cell>
          <cell r="H1898">
            <v>45952</v>
          </cell>
          <cell r="I1898" t="str">
            <v>OBC</v>
          </cell>
          <cell r="J1898" t="str">
            <v>SIDDHITEK-SH</v>
          </cell>
          <cell r="K1898" t="str">
            <v>Ahmednagar</v>
          </cell>
          <cell r="L1898" t="str">
            <v>D2</v>
          </cell>
          <cell r="O1898" t="str">
            <v>B</v>
          </cell>
          <cell r="P1898">
            <v>48</v>
          </cell>
          <cell r="Q1898">
            <v>138</v>
          </cell>
          <cell r="R1898">
            <v>0</v>
          </cell>
          <cell r="S1898">
            <v>0</v>
          </cell>
          <cell r="T1898">
            <v>48</v>
          </cell>
          <cell r="U1898">
            <v>138</v>
          </cell>
          <cell r="V1898">
            <v>87.5</v>
          </cell>
          <cell r="W1898">
            <v>240.5</v>
          </cell>
          <cell r="X1898">
            <v>0</v>
          </cell>
          <cell r="Y1898">
            <v>0</v>
          </cell>
          <cell r="Z1898">
            <v>87.5</v>
          </cell>
          <cell r="AA1898">
            <v>240.5</v>
          </cell>
          <cell r="AB1898">
            <v>186</v>
          </cell>
          <cell r="AC1898">
            <v>0</v>
          </cell>
          <cell r="AD1898">
            <v>186</v>
          </cell>
          <cell r="AE1898">
            <v>328</v>
          </cell>
          <cell r="AF1898">
            <v>0</v>
          </cell>
          <cell r="AG1898">
            <v>328</v>
          </cell>
        </row>
        <row r="1899">
          <cell r="C1899">
            <v>383832</v>
          </cell>
          <cell r="D1899" t="str">
            <v>BORUDE PETROLEUM</v>
          </cell>
          <cell r="E1899" t="str">
            <v>IOCL</v>
          </cell>
          <cell r="F1899" t="str">
            <v>2025-26</v>
          </cell>
          <cell r="G1899" t="str">
            <v>Ahmednagar West RSA</v>
          </cell>
          <cell r="H1899">
            <v>45959</v>
          </cell>
          <cell r="I1899" t="str">
            <v>OPEN</v>
          </cell>
          <cell r="J1899" t="str">
            <v>MIRAJGAON-NH</v>
          </cell>
          <cell r="K1899" t="str">
            <v>Ahmednagar</v>
          </cell>
          <cell r="L1899" t="str">
            <v>D1</v>
          </cell>
          <cell r="M1899" t="str">
            <v>NH-561A</v>
          </cell>
          <cell r="O1899" t="str">
            <v>B</v>
          </cell>
          <cell r="P1899">
            <v>6</v>
          </cell>
          <cell r="Q1899">
            <v>6</v>
          </cell>
          <cell r="R1899">
            <v>0</v>
          </cell>
          <cell r="S1899">
            <v>0</v>
          </cell>
          <cell r="T1899">
            <v>6</v>
          </cell>
          <cell r="U1899">
            <v>6</v>
          </cell>
          <cell r="V1899">
            <v>6</v>
          </cell>
          <cell r="W1899">
            <v>6</v>
          </cell>
          <cell r="X1899">
            <v>0</v>
          </cell>
          <cell r="Y1899">
            <v>0</v>
          </cell>
          <cell r="Z1899">
            <v>6</v>
          </cell>
          <cell r="AA1899">
            <v>6</v>
          </cell>
          <cell r="AB1899">
            <v>12</v>
          </cell>
          <cell r="AC1899">
            <v>0</v>
          </cell>
          <cell r="AD1899">
            <v>12</v>
          </cell>
          <cell r="AE1899">
            <v>12</v>
          </cell>
          <cell r="AF1899">
            <v>0</v>
          </cell>
          <cell r="AG1899">
            <v>12</v>
          </cell>
        </row>
        <row r="1900">
          <cell r="C1900">
            <v>384143</v>
          </cell>
          <cell r="D1900" t="str">
            <v>GURU PETROLEUM,</v>
          </cell>
          <cell r="E1900" t="str">
            <v>IOCL</v>
          </cell>
          <cell r="F1900" t="str">
            <v>2025-26</v>
          </cell>
          <cell r="G1900" t="str">
            <v>Ahmednagar East RSA</v>
          </cell>
          <cell r="H1900">
            <v>45961</v>
          </cell>
          <cell r="I1900" t="str">
            <v>ST</v>
          </cell>
          <cell r="J1900" t="str">
            <v>Handinimgaon</v>
          </cell>
          <cell r="K1900" t="str">
            <v>Ahmednagar</v>
          </cell>
          <cell r="L1900" t="str">
            <v>D1</v>
          </cell>
          <cell r="M1900" t="str">
            <v>NH-753F</v>
          </cell>
          <cell r="O1900" t="str">
            <v>A</v>
          </cell>
          <cell r="P1900">
            <v>42.5</v>
          </cell>
          <cell r="Q1900">
            <v>140.5</v>
          </cell>
          <cell r="R1900">
            <v>0</v>
          </cell>
          <cell r="S1900">
            <v>0</v>
          </cell>
          <cell r="T1900">
            <v>42.5</v>
          </cell>
          <cell r="U1900">
            <v>140.5</v>
          </cell>
          <cell r="V1900">
            <v>68.5</v>
          </cell>
          <cell r="W1900">
            <v>206.5</v>
          </cell>
          <cell r="X1900">
            <v>0</v>
          </cell>
          <cell r="Y1900">
            <v>0</v>
          </cell>
          <cell r="Z1900">
            <v>68.5</v>
          </cell>
          <cell r="AA1900">
            <v>206.5</v>
          </cell>
          <cell r="AB1900">
            <v>183</v>
          </cell>
          <cell r="AC1900">
            <v>0</v>
          </cell>
          <cell r="AD1900">
            <v>183</v>
          </cell>
          <cell r="AE1900">
            <v>275</v>
          </cell>
          <cell r="AF1900">
            <v>0</v>
          </cell>
          <cell r="AG1900">
            <v>275</v>
          </cell>
        </row>
        <row r="1901">
          <cell r="C1901">
            <v>384714</v>
          </cell>
          <cell r="D1901" t="str">
            <v>YASHWANT PETROLEUM</v>
          </cell>
          <cell r="E1901" t="str">
            <v>IOCL</v>
          </cell>
          <cell r="F1901" t="str">
            <v>2025-26</v>
          </cell>
          <cell r="G1901" t="str">
            <v>Pune Wagholi RSA</v>
          </cell>
          <cell r="H1901">
            <v>45961</v>
          </cell>
          <cell r="I1901" t="str">
            <v>OPEN</v>
          </cell>
          <cell r="J1901" t="str">
            <v>Narayangaon to Alephata RHS</v>
          </cell>
          <cell r="K1901" t="str">
            <v>Pune</v>
          </cell>
          <cell r="L1901" t="str">
            <v>D1</v>
          </cell>
          <cell r="M1901" t="str">
            <v>NH-60</v>
          </cell>
          <cell r="O1901" t="str">
            <v>B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0</v>
          </cell>
          <cell r="AA1901">
            <v>0</v>
          </cell>
          <cell r="AB1901">
            <v>0</v>
          </cell>
          <cell r="AC1901">
            <v>0</v>
          </cell>
          <cell r="AD1901">
            <v>0</v>
          </cell>
          <cell r="AE1901">
            <v>0</v>
          </cell>
          <cell r="AF1901">
            <v>0</v>
          </cell>
          <cell r="AG1901">
            <v>0</v>
          </cell>
        </row>
        <row r="1902">
          <cell r="C1902">
            <v>385541</v>
          </cell>
          <cell r="D1902" t="str">
            <v>JAGDAMB PETROLEUM</v>
          </cell>
          <cell r="E1902" t="str">
            <v>IOCL</v>
          </cell>
          <cell r="F1902" t="str">
            <v>2025-26</v>
          </cell>
          <cell r="G1902" t="str">
            <v>Satara East RSA</v>
          </cell>
          <cell r="H1902">
            <v>45991</v>
          </cell>
          <cell r="I1902" t="str">
            <v>OPEN</v>
          </cell>
          <cell r="J1902" t="str">
            <v>Katar Khatav</v>
          </cell>
          <cell r="K1902" t="str">
            <v>Satara</v>
          </cell>
          <cell r="L1902" t="str">
            <v>D1</v>
          </cell>
          <cell r="M1902" t="str">
            <v>NH-160</v>
          </cell>
          <cell r="O1902" t="str">
            <v>B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0</v>
          </cell>
          <cell r="AA1902">
            <v>0</v>
          </cell>
          <cell r="AB1902">
            <v>0</v>
          </cell>
          <cell r="AC1902">
            <v>0</v>
          </cell>
          <cell r="AD1902">
            <v>0</v>
          </cell>
          <cell r="AE1902">
            <v>0</v>
          </cell>
          <cell r="AF1902">
            <v>0</v>
          </cell>
          <cell r="AG1902">
            <v>0</v>
          </cell>
        </row>
        <row r="1903">
          <cell r="C1903">
            <v>385542</v>
          </cell>
          <cell r="D1903" t="str">
            <v>SHREE SHARADA PETROLEUM</v>
          </cell>
          <cell r="E1903" t="str">
            <v>IOCL</v>
          </cell>
          <cell r="F1903" t="str">
            <v>2025-26</v>
          </cell>
          <cell r="G1903" t="str">
            <v>Pune City RSA</v>
          </cell>
          <cell r="H1903">
            <v>45988</v>
          </cell>
          <cell r="I1903" t="str">
            <v>OPEN</v>
          </cell>
          <cell r="J1903" t="str">
            <v>RAVET</v>
          </cell>
          <cell r="K1903" t="str">
            <v>Pune</v>
          </cell>
          <cell r="L1903" t="str">
            <v>A</v>
          </cell>
          <cell r="O1903" t="str">
            <v>A</v>
          </cell>
          <cell r="P1903">
            <v>153</v>
          </cell>
          <cell r="Q1903">
            <v>53</v>
          </cell>
          <cell r="R1903">
            <v>0</v>
          </cell>
          <cell r="S1903">
            <v>0</v>
          </cell>
          <cell r="T1903">
            <v>153</v>
          </cell>
          <cell r="U1903">
            <v>53</v>
          </cell>
          <cell r="V1903">
            <v>269.5</v>
          </cell>
          <cell r="W1903">
            <v>98.5</v>
          </cell>
          <cell r="X1903">
            <v>0</v>
          </cell>
          <cell r="Y1903">
            <v>0</v>
          </cell>
          <cell r="Z1903">
            <v>269.5</v>
          </cell>
          <cell r="AA1903">
            <v>98.5</v>
          </cell>
          <cell r="AB1903">
            <v>206</v>
          </cell>
          <cell r="AC1903">
            <v>0</v>
          </cell>
          <cell r="AD1903">
            <v>206</v>
          </cell>
          <cell r="AE1903">
            <v>368</v>
          </cell>
          <cell r="AF1903">
            <v>0</v>
          </cell>
          <cell r="AG1903">
            <v>368</v>
          </cell>
        </row>
        <row r="1904">
          <cell r="C1904">
            <v>385803</v>
          </cell>
          <cell r="D1904" t="str">
            <v>Karle Gajraj Petroleum</v>
          </cell>
          <cell r="E1904" t="str">
            <v>IOCL</v>
          </cell>
          <cell r="F1904" t="str">
            <v>2025-26</v>
          </cell>
          <cell r="G1904" t="str">
            <v>Pune City RSA</v>
          </cell>
          <cell r="H1904">
            <v>45991</v>
          </cell>
          <cell r="I1904" t="str">
            <v>OPEN</v>
          </cell>
          <cell r="J1904" t="str">
            <v>NANDED CITY</v>
          </cell>
          <cell r="K1904" t="str">
            <v>Pune</v>
          </cell>
          <cell r="L1904" t="str">
            <v>A</v>
          </cell>
          <cell r="O1904" t="str">
            <v>A</v>
          </cell>
          <cell r="P1904">
            <v>112</v>
          </cell>
          <cell r="Q1904">
            <v>50</v>
          </cell>
          <cell r="R1904">
            <v>0</v>
          </cell>
          <cell r="S1904">
            <v>0</v>
          </cell>
          <cell r="T1904">
            <v>112</v>
          </cell>
          <cell r="U1904">
            <v>50</v>
          </cell>
          <cell r="V1904">
            <v>112</v>
          </cell>
          <cell r="W1904">
            <v>50</v>
          </cell>
          <cell r="X1904">
            <v>0</v>
          </cell>
          <cell r="Y1904">
            <v>0</v>
          </cell>
          <cell r="Z1904">
            <v>112</v>
          </cell>
          <cell r="AA1904">
            <v>50</v>
          </cell>
          <cell r="AB1904">
            <v>162</v>
          </cell>
          <cell r="AC1904">
            <v>0</v>
          </cell>
          <cell r="AD1904">
            <v>162</v>
          </cell>
          <cell r="AE1904">
            <v>162</v>
          </cell>
          <cell r="AF1904">
            <v>0</v>
          </cell>
          <cell r="AG1904">
            <v>162</v>
          </cell>
        </row>
        <row r="1905">
          <cell r="C1905">
            <v>385864</v>
          </cell>
          <cell r="D1905" t="str">
            <v>SHIV SHAMBHU PETROLEUM KSK</v>
          </cell>
          <cell r="E1905" t="str">
            <v>IOCL</v>
          </cell>
          <cell r="F1905" t="str">
            <v>2025-26</v>
          </cell>
          <cell r="G1905" t="str">
            <v>Ahmednagar West RSA</v>
          </cell>
          <cell r="H1905">
            <v>45991</v>
          </cell>
          <cell r="I1905" t="str">
            <v>OPEN</v>
          </cell>
          <cell r="J1905" t="str">
            <v>Visapur</v>
          </cell>
          <cell r="K1905" t="str">
            <v>Ahmednagar</v>
          </cell>
          <cell r="L1905" t="str">
            <v>E</v>
          </cell>
          <cell r="O1905" t="str">
            <v>B</v>
          </cell>
          <cell r="P1905">
            <v>16</v>
          </cell>
          <cell r="Q1905">
            <v>56</v>
          </cell>
          <cell r="R1905">
            <v>0</v>
          </cell>
          <cell r="S1905">
            <v>0</v>
          </cell>
          <cell r="T1905">
            <v>16</v>
          </cell>
          <cell r="U1905">
            <v>56</v>
          </cell>
          <cell r="V1905">
            <v>33.5</v>
          </cell>
          <cell r="W1905">
            <v>102.5</v>
          </cell>
          <cell r="X1905">
            <v>0</v>
          </cell>
          <cell r="Y1905">
            <v>0</v>
          </cell>
          <cell r="Z1905">
            <v>33.5</v>
          </cell>
          <cell r="AA1905">
            <v>102.5</v>
          </cell>
          <cell r="AB1905">
            <v>72</v>
          </cell>
          <cell r="AC1905">
            <v>0</v>
          </cell>
          <cell r="AD1905">
            <v>72</v>
          </cell>
          <cell r="AE1905">
            <v>136</v>
          </cell>
          <cell r="AF1905">
            <v>0</v>
          </cell>
          <cell r="AG1905">
            <v>136</v>
          </cell>
        </row>
        <row r="1906">
          <cell r="C1906">
            <v>386278</v>
          </cell>
          <cell r="D1906" t="str">
            <v>RADHIKA PETROLEUM</v>
          </cell>
          <cell r="E1906" t="str">
            <v>IOCL</v>
          </cell>
          <cell r="F1906" t="str">
            <v>2025-26</v>
          </cell>
          <cell r="G1906" t="str">
            <v>Pimpri Chinchwad RSA</v>
          </cell>
          <cell r="H1906">
            <v>46014</v>
          </cell>
          <cell r="I1906" t="str">
            <v>OPEN</v>
          </cell>
          <cell r="J1906" t="str">
            <v>Mangrul</v>
          </cell>
          <cell r="K1906" t="str">
            <v>Pune</v>
          </cell>
          <cell r="L1906" t="str">
            <v>E</v>
          </cell>
          <cell r="O1906" t="str">
            <v>B</v>
          </cell>
          <cell r="P1906">
            <v>8</v>
          </cell>
          <cell r="Q1906">
            <v>60</v>
          </cell>
          <cell r="R1906">
            <v>0</v>
          </cell>
          <cell r="S1906">
            <v>0</v>
          </cell>
          <cell r="T1906">
            <v>8</v>
          </cell>
          <cell r="U1906">
            <v>60</v>
          </cell>
          <cell r="V1906">
            <v>14</v>
          </cell>
          <cell r="W1906">
            <v>246</v>
          </cell>
          <cell r="X1906">
            <v>0</v>
          </cell>
          <cell r="Y1906">
            <v>0</v>
          </cell>
          <cell r="Z1906">
            <v>14</v>
          </cell>
          <cell r="AA1906">
            <v>246</v>
          </cell>
          <cell r="AB1906">
            <v>68</v>
          </cell>
          <cell r="AC1906">
            <v>0</v>
          </cell>
          <cell r="AD1906">
            <v>68</v>
          </cell>
          <cell r="AE1906">
            <v>260</v>
          </cell>
          <cell r="AF1906">
            <v>0</v>
          </cell>
          <cell r="AG1906">
            <v>260</v>
          </cell>
        </row>
        <row r="1907">
          <cell r="C1907">
            <v>386380</v>
          </cell>
          <cell r="D1907" t="str">
            <v>BHIMA SHANKAR ENERGY SERVICES</v>
          </cell>
          <cell r="E1907" t="str">
            <v>IOCL</v>
          </cell>
          <cell r="F1907" t="str">
            <v>2025-26</v>
          </cell>
          <cell r="G1907" t="str">
            <v>Pune Wagholi RSA</v>
          </cell>
          <cell r="H1907">
            <v>46021</v>
          </cell>
          <cell r="I1907" t="str">
            <v>ST</v>
          </cell>
          <cell r="J1907" t="str">
            <v>Manchar Bypass RHS</v>
          </cell>
          <cell r="K1907" t="str">
            <v>Pune</v>
          </cell>
          <cell r="L1907" t="str">
            <v>D1</v>
          </cell>
          <cell r="M1907" t="str">
            <v>NH-60</v>
          </cell>
          <cell r="O1907" t="str">
            <v>A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  <cell r="Y1907">
            <v>0</v>
          </cell>
          <cell r="Z1907">
            <v>0</v>
          </cell>
          <cell r="AA1907">
            <v>0</v>
          </cell>
          <cell r="AB1907">
            <v>0</v>
          </cell>
          <cell r="AC1907">
            <v>0</v>
          </cell>
          <cell r="AD1907">
            <v>0</v>
          </cell>
          <cell r="AE1907">
            <v>0</v>
          </cell>
          <cell r="AF1907">
            <v>0</v>
          </cell>
          <cell r="AG1907">
            <v>0</v>
          </cell>
        </row>
        <row r="1908">
          <cell r="C1908">
            <v>386381</v>
          </cell>
          <cell r="D1908" t="str">
            <v>KAVERI FUEL STATION</v>
          </cell>
          <cell r="E1908" t="str">
            <v>IOCL</v>
          </cell>
          <cell r="F1908" t="str">
            <v>2025-26</v>
          </cell>
          <cell r="G1908" t="str">
            <v>Pimpri Chinchwad RSA</v>
          </cell>
          <cell r="H1908">
            <v>46021</v>
          </cell>
          <cell r="I1908" t="str">
            <v>SC</v>
          </cell>
          <cell r="J1908" t="str">
            <v>Rajgurunagar on NH</v>
          </cell>
          <cell r="K1908" t="str">
            <v>Pune</v>
          </cell>
          <cell r="L1908" t="str">
            <v>D1</v>
          </cell>
          <cell r="M1908" t="str">
            <v>NH-60</v>
          </cell>
          <cell r="O1908" t="str">
            <v>A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T1908">
            <v>0</v>
          </cell>
          <cell r="U1908">
            <v>0</v>
          </cell>
          <cell r="V1908">
            <v>0</v>
          </cell>
          <cell r="W1908">
            <v>0</v>
          </cell>
          <cell r="X1908">
            <v>0</v>
          </cell>
          <cell r="Y1908">
            <v>0</v>
          </cell>
          <cell r="Z1908">
            <v>0</v>
          </cell>
          <cell r="AA1908">
            <v>0</v>
          </cell>
          <cell r="AB1908">
            <v>0</v>
          </cell>
          <cell r="AC1908">
            <v>0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</row>
        <row r="1909">
          <cell r="C1909">
            <v>386760</v>
          </cell>
          <cell r="D1909" t="str">
            <v>Shri Kshetra Bhimashankar Petroleum</v>
          </cell>
          <cell r="E1909" t="str">
            <v>IOCL</v>
          </cell>
          <cell r="F1909" t="str">
            <v>2025-26</v>
          </cell>
          <cell r="G1909" t="str">
            <v>Pune Wagholi RSA</v>
          </cell>
          <cell r="H1909">
            <v>46022</v>
          </cell>
          <cell r="I1909" t="str">
            <v>OPEN</v>
          </cell>
          <cell r="J1909" t="str">
            <v>Ghodegaon_Ambegaon</v>
          </cell>
          <cell r="K1909" t="str">
            <v>Pune</v>
          </cell>
          <cell r="L1909" t="str">
            <v>D2</v>
          </cell>
          <cell r="O1909" t="str">
            <v>B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  <cell r="Z1909">
            <v>0</v>
          </cell>
          <cell r="AA1909">
            <v>0</v>
          </cell>
          <cell r="AB1909">
            <v>0</v>
          </cell>
          <cell r="AC1909">
            <v>0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</row>
        <row r="1910">
          <cell r="C1910">
            <v>386853</v>
          </cell>
          <cell r="D1910" t="str">
            <v>SWAMIDNYA PETROLEUM</v>
          </cell>
          <cell r="E1910" t="str">
            <v>IOCL</v>
          </cell>
          <cell r="F1910" t="str">
            <v>2025-26</v>
          </cell>
          <cell r="G1910" t="str">
            <v>Pune Wagholi RSA</v>
          </cell>
          <cell r="H1910">
            <v>46022</v>
          </cell>
          <cell r="I1910" t="str">
            <v>ST</v>
          </cell>
          <cell r="J1910" t="str">
            <v>Alephata on Kalyan highway</v>
          </cell>
          <cell r="K1910" t="str">
            <v>Pune</v>
          </cell>
          <cell r="L1910" t="str">
            <v>D1</v>
          </cell>
          <cell r="M1910" t="str">
            <v>NH-61</v>
          </cell>
          <cell r="O1910" t="str">
            <v>A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T1910">
            <v>0</v>
          </cell>
          <cell r="U1910">
            <v>0</v>
          </cell>
          <cell r="V1910">
            <v>0</v>
          </cell>
          <cell r="W1910">
            <v>0</v>
          </cell>
          <cell r="X1910">
            <v>0</v>
          </cell>
          <cell r="Y1910">
            <v>0</v>
          </cell>
          <cell r="Z1910">
            <v>0</v>
          </cell>
          <cell r="AA1910">
            <v>0</v>
          </cell>
          <cell r="AB1910">
            <v>0</v>
          </cell>
          <cell r="AC1910">
            <v>0</v>
          </cell>
          <cell r="AD1910">
            <v>0</v>
          </cell>
          <cell r="AE1910">
            <v>0</v>
          </cell>
          <cell r="AF1910">
            <v>0</v>
          </cell>
          <cell r="AG1910">
            <v>0</v>
          </cell>
        </row>
        <row r="1911">
          <cell r="C1911">
            <v>387659</v>
          </cell>
          <cell r="D1911" t="str">
            <v>SAJAI PETROLEUM</v>
          </cell>
          <cell r="E1911" t="str">
            <v>IOCL</v>
          </cell>
          <cell r="F1911" t="str">
            <v>2025-26</v>
          </cell>
          <cell r="G1911" t="str">
            <v>Satara West RSA</v>
          </cell>
          <cell r="H1911">
            <v>46053</v>
          </cell>
          <cell r="I1911" t="str">
            <v>OPEN</v>
          </cell>
          <cell r="J1911" t="str">
            <v>Malgaon</v>
          </cell>
          <cell r="K1911" t="str">
            <v>Satara</v>
          </cell>
          <cell r="L1911" t="str">
            <v>E</v>
          </cell>
          <cell r="O1911" t="str">
            <v>B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  <cell r="Y1911">
            <v>0</v>
          </cell>
          <cell r="Z1911">
            <v>0</v>
          </cell>
          <cell r="AA1911">
            <v>0</v>
          </cell>
          <cell r="AB1911">
            <v>0</v>
          </cell>
          <cell r="AC1911">
            <v>0</v>
          </cell>
          <cell r="AD1911">
            <v>0</v>
          </cell>
          <cell r="AE1911">
            <v>0</v>
          </cell>
          <cell r="AF1911">
            <v>0</v>
          </cell>
          <cell r="AG1911">
            <v>0</v>
          </cell>
        </row>
        <row r="1912">
          <cell r="C1912">
            <v>387724</v>
          </cell>
          <cell r="D1912" t="str">
            <v>TIRUPATI PETROLEUM</v>
          </cell>
          <cell r="E1912" t="str">
            <v>IOCL</v>
          </cell>
          <cell r="F1912" t="str">
            <v>2025-26</v>
          </cell>
          <cell r="G1912" t="str">
            <v>Ahmednagar West RSA</v>
          </cell>
          <cell r="H1912">
            <v>46053</v>
          </cell>
          <cell r="I1912" t="str">
            <v>OBC</v>
          </cell>
          <cell r="J1912" t="str">
            <v>Jawalke (Jamkhed)</v>
          </cell>
          <cell r="K1912" t="str">
            <v>Ahmednagar</v>
          </cell>
          <cell r="L1912" t="str">
            <v>E</v>
          </cell>
          <cell r="O1912" t="str">
            <v>B</v>
          </cell>
          <cell r="P1912">
            <v>24.5</v>
          </cell>
          <cell r="Q1912">
            <v>73.5</v>
          </cell>
          <cell r="R1912">
            <v>0</v>
          </cell>
          <cell r="S1912">
            <v>0</v>
          </cell>
          <cell r="T1912">
            <v>24.5</v>
          </cell>
          <cell r="U1912">
            <v>73.5</v>
          </cell>
          <cell r="V1912">
            <v>35.5</v>
          </cell>
          <cell r="W1912">
            <v>94.5</v>
          </cell>
          <cell r="X1912">
            <v>0</v>
          </cell>
          <cell r="Y1912">
            <v>0</v>
          </cell>
          <cell r="Z1912">
            <v>35.5</v>
          </cell>
          <cell r="AA1912">
            <v>94.5</v>
          </cell>
          <cell r="AB1912">
            <v>98</v>
          </cell>
          <cell r="AC1912">
            <v>0</v>
          </cell>
          <cell r="AD1912">
            <v>98</v>
          </cell>
          <cell r="AE1912">
            <v>130</v>
          </cell>
          <cell r="AF1912">
            <v>0</v>
          </cell>
          <cell r="AG1912">
            <v>130</v>
          </cell>
        </row>
        <row r="1913">
          <cell r="C1913">
            <v>388055</v>
          </cell>
          <cell r="D1913" t="str">
            <v>AVIRA PETROLEUM</v>
          </cell>
          <cell r="E1913" t="str">
            <v>IOCL</v>
          </cell>
          <cell r="F1913" t="str">
            <v>2025-26</v>
          </cell>
          <cell r="G1913" t="str">
            <v>Shirdi RSA</v>
          </cell>
          <cell r="H1913">
            <v>46053</v>
          </cell>
          <cell r="I1913" t="str">
            <v>ST</v>
          </cell>
          <cell r="J1913" t="str">
            <v>RAJUR</v>
          </cell>
          <cell r="K1913" t="str">
            <v>Ahmednagar</v>
          </cell>
          <cell r="L1913" t="str">
            <v>D2</v>
          </cell>
          <cell r="O1913" t="str">
            <v>A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B1913">
            <v>0</v>
          </cell>
          <cell r="AC1913">
            <v>0</v>
          </cell>
          <cell r="AD1913">
            <v>0</v>
          </cell>
          <cell r="AE1913">
            <v>0</v>
          </cell>
          <cell r="AF1913">
            <v>0</v>
          </cell>
          <cell r="AG1913">
            <v>0</v>
          </cell>
        </row>
        <row r="1914">
          <cell r="C1914">
            <v>388096</v>
          </cell>
          <cell r="D1914" t="str">
            <v>RB PETROCHEM</v>
          </cell>
          <cell r="E1914" t="str">
            <v>IOCL</v>
          </cell>
          <cell r="F1914" t="str">
            <v>2025-26</v>
          </cell>
          <cell r="G1914" t="str">
            <v>Pune City RSA</v>
          </cell>
          <cell r="H1914">
            <v>46081</v>
          </cell>
          <cell r="I1914" t="str">
            <v>OPEN</v>
          </cell>
          <cell r="J1914" t="str">
            <v>SHANKARSETH ROAD</v>
          </cell>
          <cell r="K1914" t="str">
            <v>Pune</v>
          </cell>
          <cell r="L1914" t="str">
            <v>A</v>
          </cell>
          <cell r="O1914" t="str">
            <v>A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  <cell r="AA1914">
            <v>0</v>
          </cell>
          <cell r="AB1914">
            <v>0</v>
          </cell>
          <cell r="AC1914">
            <v>0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</row>
        <row r="1915">
          <cell r="C1915">
            <v>378952</v>
          </cell>
          <cell r="D1915" t="str">
            <v>POONAM PETROLEUM</v>
          </cell>
          <cell r="E1915" t="str">
            <v>IOCL</v>
          </cell>
          <cell r="F1915" t="str">
            <v>2025-26</v>
          </cell>
          <cell r="G1915" t="str">
            <v>Pune City RSA</v>
          </cell>
          <cell r="H1915">
            <v>46069</v>
          </cell>
          <cell r="I1915" t="str">
            <v>OPEN</v>
          </cell>
          <cell r="J1915" t="str">
            <v>MUNDHWA/GHORPADI</v>
          </cell>
          <cell r="K1915" t="str">
            <v>Pune</v>
          </cell>
          <cell r="L1915" t="str">
            <v>A</v>
          </cell>
          <cell r="O1915" t="str">
            <v>B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B1915">
            <v>0</v>
          </cell>
          <cell r="AC1915">
            <v>0</v>
          </cell>
          <cell r="AD1915">
            <v>0</v>
          </cell>
          <cell r="AE1915">
            <v>0</v>
          </cell>
          <cell r="AF1915">
            <v>0</v>
          </cell>
          <cell r="AG1915">
            <v>0</v>
          </cell>
        </row>
        <row r="1916">
          <cell r="C1916">
            <v>389349</v>
          </cell>
          <cell r="D1916" t="str">
            <v>FALCON PETROLEUM</v>
          </cell>
          <cell r="E1916" t="str">
            <v>IOCL</v>
          </cell>
          <cell r="F1916" t="str">
            <v>2025-26</v>
          </cell>
          <cell r="G1916" t="str">
            <v>Satara East RSA</v>
          </cell>
          <cell r="H1916">
            <v>46081</v>
          </cell>
          <cell r="I1916" t="str">
            <v>SC</v>
          </cell>
          <cell r="J1916" t="str">
            <v>Nidhal</v>
          </cell>
          <cell r="K1916" t="str">
            <v>Satara</v>
          </cell>
          <cell r="L1916" t="str">
            <v>D1</v>
          </cell>
          <cell r="M1916" t="str">
            <v>NH-548C</v>
          </cell>
          <cell r="O1916" t="str">
            <v>A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  <cell r="AA1916">
            <v>0</v>
          </cell>
          <cell r="AB1916">
            <v>0</v>
          </cell>
          <cell r="AC1916">
            <v>0</v>
          </cell>
          <cell r="AD1916">
            <v>0</v>
          </cell>
          <cell r="AE1916">
            <v>0</v>
          </cell>
          <cell r="AF1916">
            <v>0</v>
          </cell>
          <cell r="AG1916">
            <v>0</v>
          </cell>
        </row>
        <row r="1917">
          <cell r="C1917">
            <v>391467</v>
          </cell>
          <cell r="D1917" t="str">
            <v>Shivmudra Petroleum</v>
          </cell>
          <cell r="E1917" t="str">
            <v>IOCL</v>
          </cell>
          <cell r="F1917" t="str">
            <v>2025-26</v>
          </cell>
          <cell r="G1917" t="str">
            <v>Pimpri Chinchwad RSA</v>
          </cell>
          <cell r="H1917">
            <v>46112</v>
          </cell>
          <cell r="I1917" t="str">
            <v>ST</v>
          </cell>
          <cell r="J1917" t="str">
            <v xml:space="preserve">Sablewadi to shikhrapur </v>
          </cell>
          <cell r="K1917" t="str">
            <v>Pune</v>
          </cell>
          <cell r="L1917" t="str">
            <v>D1</v>
          </cell>
          <cell r="M1917" t="str">
            <v>NH-548D</v>
          </cell>
          <cell r="O1917" t="str">
            <v>A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B1917">
            <v>0</v>
          </cell>
          <cell r="AC1917">
            <v>0</v>
          </cell>
          <cell r="AD1917">
            <v>0</v>
          </cell>
          <cell r="AE1917">
            <v>0</v>
          </cell>
          <cell r="AF1917">
            <v>0</v>
          </cell>
          <cell r="AG1917">
            <v>0</v>
          </cell>
        </row>
        <row r="1918">
          <cell r="C1918">
            <v>391523</v>
          </cell>
          <cell r="D1918" t="str">
            <v>Kanifnath Petroleum</v>
          </cell>
          <cell r="E1918" t="str">
            <v>IOCL</v>
          </cell>
          <cell r="F1918" t="str">
            <v>2025-26</v>
          </cell>
          <cell r="G1918" t="str">
            <v>Pune Saswad RSA</v>
          </cell>
          <cell r="H1918">
            <v>46112</v>
          </cell>
          <cell r="I1918" t="str">
            <v>OPEN</v>
          </cell>
          <cell r="J1918" t="str">
            <v>Saswad-Bopdev-Pune Road</v>
          </cell>
          <cell r="K1918" t="str">
            <v>Pune</v>
          </cell>
          <cell r="L1918" t="str">
            <v>D2</v>
          </cell>
          <cell r="O1918" t="str">
            <v>A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  <cell r="AA1918">
            <v>0</v>
          </cell>
          <cell r="AB1918">
            <v>0</v>
          </cell>
          <cell r="AC1918">
            <v>0</v>
          </cell>
          <cell r="AD1918">
            <v>0</v>
          </cell>
          <cell r="AE1918">
            <v>0</v>
          </cell>
          <cell r="AF1918">
            <v>0</v>
          </cell>
          <cell r="AG1918">
            <v>0</v>
          </cell>
        </row>
        <row r="1919">
          <cell r="C1919">
            <v>390976</v>
          </cell>
          <cell r="D1919" t="str">
            <v>SHYAM PETROLEUM</v>
          </cell>
          <cell r="E1919" t="str">
            <v>IOCL</v>
          </cell>
          <cell r="F1919" t="str">
            <v>2025-26</v>
          </cell>
          <cell r="G1919" t="str">
            <v>Ahmednagar West RSA</v>
          </cell>
          <cell r="H1919">
            <v>46112</v>
          </cell>
          <cell r="I1919" t="str">
            <v>OBC</v>
          </cell>
          <cell r="J1919" t="str">
            <v>ADHALGAON</v>
          </cell>
          <cell r="K1919" t="str">
            <v>Ahmednagar</v>
          </cell>
          <cell r="L1919" t="str">
            <v>D1</v>
          </cell>
          <cell r="M1919" t="str">
            <v>NH-548D</v>
          </cell>
          <cell r="O1919" t="str">
            <v>B</v>
          </cell>
          <cell r="P1919">
            <v>8</v>
          </cell>
          <cell r="Q1919">
            <v>4</v>
          </cell>
          <cell r="R1919">
            <v>0</v>
          </cell>
          <cell r="S1919">
            <v>0</v>
          </cell>
          <cell r="T1919">
            <v>8</v>
          </cell>
          <cell r="U1919">
            <v>4</v>
          </cell>
          <cell r="V1919">
            <v>8</v>
          </cell>
          <cell r="W1919">
            <v>4</v>
          </cell>
          <cell r="X1919">
            <v>0</v>
          </cell>
          <cell r="Y1919">
            <v>0</v>
          </cell>
          <cell r="Z1919">
            <v>8</v>
          </cell>
          <cell r="AA1919">
            <v>4</v>
          </cell>
          <cell r="AB1919">
            <v>12</v>
          </cell>
          <cell r="AC1919">
            <v>0</v>
          </cell>
          <cell r="AD1919">
            <v>12</v>
          </cell>
          <cell r="AE1919">
            <v>12</v>
          </cell>
          <cell r="AF1919">
            <v>0</v>
          </cell>
          <cell r="AG1919">
            <v>12</v>
          </cell>
        </row>
        <row r="1920">
          <cell r="C1920">
            <v>391468</v>
          </cell>
          <cell r="D1920" t="str">
            <v>JAI HIND PETROLEUM</v>
          </cell>
          <cell r="E1920" t="str">
            <v>IOCL</v>
          </cell>
          <cell r="F1920" t="str">
            <v>2025-26</v>
          </cell>
          <cell r="G1920" t="str">
            <v>Ahmednagar West RSA</v>
          </cell>
          <cell r="H1920">
            <v>46112</v>
          </cell>
          <cell r="I1920" t="str">
            <v>SC</v>
          </cell>
          <cell r="J1920" t="str">
            <v>Sakur</v>
          </cell>
          <cell r="K1920" t="str">
            <v>Ahmednagar</v>
          </cell>
          <cell r="L1920" t="str">
            <v>E</v>
          </cell>
          <cell r="O1920" t="str">
            <v>A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0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</row>
        <row r="1921">
          <cell r="C1921">
            <v>391466</v>
          </cell>
          <cell r="D1921" t="str">
            <v>Gurudatta Petroleum</v>
          </cell>
          <cell r="E1921" t="str">
            <v>IOCL</v>
          </cell>
          <cell r="F1921" t="str">
            <v>2025-26</v>
          </cell>
          <cell r="G1921" t="str">
            <v>Pimpri Chinchwad RSA</v>
          </cell>
          <cell r="H1921">
            <v>46112</v>
          </cell>
          <cell r="I1921" t="str">
            <v>OPEN</v>
          </cell>
          <cell r="J1921" t="str">
            <v>Chakan Bhose</v>
          </cell>
          <cell r="K1921" t="str">
            <v>Pune</v>
          </cell>
          <cell r="L1921" t="str">
            <v>D1</v>
          </cell>
          <cell r="M1921" t="str">
            <v>NH-548D</v>
          </cell>
          <cell r="O1921" t="str">
            <v>A</v>
          </cell>
          <cell r="P1921">
            <v>14</v>
          </cell>
          <cell r="Q1921">
            <v>78</v>
          </cell>
          <cell r="R1921">
            <v>0</v>
          </cell>
          <cell r="S1921">
            <v>0</v>
          </cell>
          <cell r="T1921">
            <v>14</v>
          </cell>
          <cell r="U1921">
            <v>78</v>
          </cell>
          <cell r="V1921">
            <v>20.5</v>
          </cell>
          <cell r="W1921">
            <v>97.5</v>
          </cell>
          <cell r="X1921">
            <v>0</v>
          </cell>
          <cell r="Y1921">
            <v>0</v>
          </cell>
          <cell r="Z1921">
            <v>20.5</v>
          </cell>
          <cell r="AA1921">
            <v>97.5</v>
          </cell>
          <cell r="AB1921">
            <v>92</v>
          </cell>
          <cell r="AC1921">
            <v>0</v>
          </cell>
          <cell r="AD1921">
            <v>92</v>
          </cell>
          <cell r="AE1921">
            <v>118</v>
          </cell>
          <cell r="AF1921">
            <v>0</v>
          </cell>
          <cell r="AG1921">
            <v>118</v>
          </cell>
        </row>
        <row r="1922">
          <cell r="C1922">
            <v>391546</v>
          </cell>
          <cell r="D1922" t="str">
            <v>Sai Veenit Petroleum</v>
          </cell>
          <cell r="E1922" t="str">
            <v>IOCL</v>
          </cell>
          <cell r="F1922" t="str">
            <v>2026-27</v>
          </cell>
          <cell r="G1922" t="str">
            <v>Pune Tathawade RSA</v>
          </cell>
          <cell r="H1922">
            <v>46135</v>
          </cell>
          <cell r="I1922" t="str">
            <v>SC</v>
          </cell>
          <cell r="J1922" t="str">
            <v>Thugaon-Kamshet Road</v>
          </cell>
          <cell r="K1922" t="str">
            <v>Pune</v>
          </cell>
          <cell r="L1922" t="str">
            <v>E</v>
          </cell>
          <cell r="O1922" t="str">
            <v>A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  <cell r="V1922">
            <v>0</v>
          </cell>
          <cell r="W1922">
            <v>12</v>
          </cell>
          <cell r="X1922">
            <v>0</v>
          </cell>
          <cell r="Y1922">
            <v>0</v>
          </cell>
          <cell r="Z1922">
            <v>0</v>
          </cell>
          <cell r="AA1922">
            <v>12</v>
          </cell>
          <cell r="AB1922">
            <v>0</v>
          </cell>
          <cell r="AC1922">
            <v>0</v>
          </cell>
          <cell r="AD1922">
            <v>0</v>
          </cell>
          <cell r="AE1922">
            <v>12</v>
          </cell>
          <cell r="AF1922">
            <v>0</v>
          </cell>
          <cell r="AG1922">
            <v>12</v>
          </cell>
        </row>
        <row r="1923">
          <cell r="C1923">
            <v>392301</v>
          </cell>
          <cell r="D1923" t="str">
            <v>S N Borate Petroleum</v>
          </cell>
          <cell r="E1923" t="str">
            <v>IOCL</v>
          </cell>
          <cell r="F1923" t="str">
            <v>2026-27</v>
          </cell>
          <cell r="G1923" t="str">
            <v>Pimpri Chinchwad RSA</v>
          </cell>
          <cell r="H1923">
            <v>46156</v>
          </cell>
          <cell r="I1923" t="str">
            <v>OPEN</v>
          </cell>
          <cell r="J1923" t="str">
            <v>Moshi</v>
          </cell>
          <cell r="K1923" t="str">
            <v>Pune</v>
          </cell>
          <cell r="L1923" t="str">
            <v>A</v>
          </cell>
          <cell r="O1923" t="str">
            <v>A</v>
          </cell>
          <cell r="P1923">
            <v>6</v>
          </cell>
          <cell r="Q1923">
            <v>6</v>
          </cell>
          <cell r="R1923">
            <v>0</v>
          </cell>
          <cell r="S1923">
            <v>0</v>
          </cell>
          <cell r="T1923">
            <v>6</v>
          </cell>
          <cell r="U1923">
            <v>6</v>
          </cell>
          <cell r="V1923">
            <v>6</v>
          </cell>
          <cell r="W1923">
            <v>6</v>
          </cell>
          <cell r="X1923">
            <v>0</v>
          </cell>
          <cell r="Y1923">
            <v>0</v>
          </cell>
          <cell r="Z1923">
            <v>6</v>
          </cell>
          <cell r="AA1923">
            <v>6</v>
          </cell>
          <cell r="AB1923">
            <v>12</v>
          </cell>
          <cell r="AC1923">
            <v>0</v>
          </cell>
          <cell r="AD1923">
            <v>12</v>
          </cell>
          <cell r="AE1923">
            <v>12</v>
          </cell>
          <cell r="AF1923">
            <v>0</v>
          </cell>
          <cell r="AG1923">
            <v>12</v>
          </cell>
        </row>
        <row r="1924">
          <cell r="C1924">
            <v>392992</v>
          </cell>
          <cell r="D1924" t="str">
            <v>BHAIRAVNATH PETROLEUM</v>
          </cell>
          <cell r="E1924" t="str">
            <v>IOCL</v>
          </cell>
          <cell r="F1924" t="str">
            <v>2026-27</v>
          </cell>
          <cell r="G1924" t="str">
            <v>Satara East RSA</v>
          </cell>
          <cell r="H1924">
            <v>46172</v>
          </cell>
          <cell r="I1924" t="str">
            <v>OPEN</v>
          </cell>
          <cell r="J1924" t="str">
            <v>BORWAT</v>
          </cell>
          <cell r="K1924" t="str">
            <v>Satara</v>
          </cell>
          <cell r="L1924" t="str">
            <v>E</v>
          </cell>
          <cell r="O1924" t="str">
            <v>B</v>
          </cell>
          <cell r="P1924">
            <v>0</v>
          </cell>
          <cell r="Q1924">
            <v>5</v>
          </cell>
          <cell r="R1924">
            <v>0</v>
          </cell>
          <cell r="S1924">
            <v>0</v>
          </cell>
          <cell r="T1924">
            <v>0</v>
          </cell>
          <cell r="U1924">
            <v>5</v>
          </cell>
          <cell r="V1924">
            <v>0</v>
          </cell>
          <cell r="W1924">
            <v>5</v>
          </cell>
          <cell r="X1924">
            <v>0</v>
          </cell>
          <cell r="Y1924">
            <v>0</v>
          </cell>
          <cell r="Z1924">
            <v>0</v>
          </cell>
          <cell r="AA1924">
            <v>5</v>
          </cell>
          <cell r="AB1924">
            <v>5</v>
          </cell>
          <cell r="AC1924">
            <v>0</v>
          </cell>
          <cell r="AD1924">
            <v>5</v>
          </cell>
          <cell r="AE1924">
            <v>5</v>
          </cell>
          <cell r="AF1924">
            <v>0</v>
          </cell>
          <cell r="AG1924">
            <v>5</v>
          </cell>
        </row>
        <row r="1925">
          <cell r="C1925">
            <v>392938</v>
          </cell>
          <cell r="D1925" t="str">
            <v>GANGAGIRI PETROLEUM</v>
          </cell>
          <cell r="E1925" t="str">
            <v>IOCL</v>
          </cell>
          <cell r="F1925" t="str">
            <v>2026-27</v>
          </cell>
          <cell r="G1925" t="str">
            <v>Ahmednagar West RSA</v>
          </cell>
          <cell r="H1925">
            <v>46172</v>
          </cell>
          <cell r="I1925" t="str">
            <v>OPEN</v>
          </cell>
          <cell r="J1925" t="str">
            <v>MIRAJGAON-NH</v>
          </cell>
          <cell r="K1925" t="str">
            <v>Ahmednagar</v>
          </cell>
          <cell r="L1925" t="str">
            <v>D1</v>
          </cell>
          <cell r="M1925" t="str">
            <v>NH-561A</v>
          </cell>
          <cell r="O1925" t="str">
            <v>B</v>
          </cell>
          <cell r="P1925">
            <v>0</v>
          </cell>
          <cell r="Q1925">
            <v>5</v>
          </cell>
          <cell r="R1925">
            <v>0</v>
          </cell>
          <cell r="S1925">
            <v>0</v>
          </cell>
          <cell r="T1925">
            <v>0</v>
          </cell>
          <cell r="U1925">
            <v>5</v>
          </cell>
          <cell r="V1925">
            <v>0</v>
          </cell>
          <cell r="W1925">
            <v>5</v>
          </cell>
          <cell r="X1925">
            <v>0</v>
          </cell>
          <cell r="Y1925">
            <v>0</v>
          </cell>
          <cell r="Z1925">
            <v>0</v>
          </cell>
          <cell r="AA1925">
            <v>5</v>
          </cell>
          <cell r="AB1925">
            <v>5</v>
          </cell>
          <cell r="AC1925">
            <v>0</v>
          </cell>
          <cell r="AD1925">
            <v>5</v>
          </cell>
          <cell r="AE1925">
            <v>5</v>
          </cell>
          <cell r="AF1925">
            <v>0</v>
          </cell>
          <cell r="AG1925">
            <v>5</v>
          </cell>
        </row>
        <row r="1926">
          <cell r="C1926">
            <v>392994</v>
          </cell>
          <cell r="D1926" t="str">
            <v>Mauli Petroleum</v>
          </cell>
          <cell r="E1926" t="str">
            <v>IOCL</v>
          </cell>
          <cell r="F1926" t="str">
            <v>2026-27</v>
          </cell>
          <cell r="G1926" t="str">
            <v>Pune Saswad RSA</v>
          </cell>
          <cell r="H1926">
            <v>46172</v>
          </cell>
          <cell r="I1926" t="str">
            <v>SC</v>
          </cell>
          <cell r="J1926" t="str">
            <v>badalwadi</v>
          </cell>
          <cell r="K1926" t="str">
            <v>Pune</v>
          </cell>
          <cell r="L1926" t="str">
            <v>D1</v>
          </cell>
          <cell r="M1926" t="str">
            <v>NH-65</v>
          </cell>
          <cell r="O1926" t="str">
            <v>A</v>
          </cell>
          <cell r="P1926">
            <v>0</v>
          </cell>
          <cell r="Q1926">
            <v>12</v>
          </cell>
          <cell r="R1926">
            <v>0</v>
          </cell>
          <cell r="S1926">
            <v>0</v>
          </cell>
          <cell r="T1926">
            <v>0</v>
          </cell>
          <cell r="U1926">
            <v>12</v>
          </cell>
          <cell r="V1926">
            <v>0</v>
          </cell>
          <cell r="W1926">
            <v>12</v>
          </cell>
          <cell r="X1926">
            <v>0</v>
          </cell>
          <cell r="Y1926">
            <v>0</v>
          </cell>
          <cell r="Z1926">
            <v>0</v>
          </cell>
          <cell r="AA1926">
            <v>12</v>
          </cell>
          <cell r="AB1926">
            <v>12</v>
          </cell>
          <cell r="AC1926">
            <v>0</v>
          </cell>
          <cell r="AD1926">
            <v>12</v>
          </cell>
          <cell r="AE1926">
            <v>12</v>
          </cell>
          <cell r="AF1926">
            <v>0</v>
          </cell>
          <cell r="AG1926">
            <v>12</v>
          </cell>
        </row>
        <row r="1927">
          <cell r="C1927">
            <v>393015</v>
          </cell>
          <cell r="D1927" t="str">
            <v>Ahilya Petroleum</v>
          </cell>
          <cell r="E1927" t="str">
            <v>IOCL</v>
          </cell>
          <cell r="F1927" t="str">
            <v>2026-27</v>
          </cell>
          <cell r="G1927" t="str">
            <v>Pune Tathawade RSA</v>
          </cell>
          <cell r="H1927">
            <v>46172</v>
          </cell>
          <cell r="I1927" t="str">
            <v>SC</v>
          </cell>
          <cell r="J1927" t="str">
            <v>MORGAON-BARAMATI RD</v>
          </cell>
          <cell r="K1927" t="str">
            <v>Pune</v>
          </cell>
          <cell r="L1927" t="str">
            <v>D2</v>
          </cell>
          <cell r="O1927" t="str">
            <v>A</v>
          </cell>
          <cell r="P1927">
            <v>0</v>
          </cell>
          <cell r="Q1927">
            <v>14</v>
          </cell>
          <cell r="R1927">
            <v>0</v>
          </cell>
          <cell r="S1927">
            <v>0</v>
          </cell>
          <cell r="T1927">
            <v>0</v>
          </cell>
          <cell r="U1927">
            <v>14</v>
          </cell>
          <cell r="V1927">
            <v>0</v>
          </cell>
          <cell r="W1927">
            <v>14</v>
          </cell>
          <cell r="X1927">
            <v>0</v>
          </cell>
          <cell r="Y1927">
            <v>0</v>
          </cell>
          <cell r="Z1927">
            <v>0</v>
          </cell>
          <cell r="AA1927">
            <v>14</v>
          </cell>
          <cell r="AB1927">
            <v>14</v>
          </cell>
          <cell r="AC1927">
            <v>0</v>
          </cell>
          <cell r="AD1927">
            <v>14</v>
          </cell>
          <cell r="AE1927">
            <v>14</v>
          </cell>
          <cell r="AF1927">
            <v>0</v>
          </cell>
          <cell r="AG1927">
            <v>14</v>
          </cell>
        </row>
        <row r="1928">
          <cell r="C1928">
            <v>393129</v>
          </cell>
          <cell r="D1928" t="str">
            <v>VIJAYRAJ PETROLEUM</v>
          </cell>
          <cell r="E1928" t="str">
            <v>IOCL</v>
          </cell>
          <cell r="F1928" t="str">
            <v>2026-27</v>
          </cell>
          <cell r="G1928" t="str">
            <v>Pune Saswad RSA</v>
          </cell>
          <cell r="H1928">
            <v>46172</v>
          </cell>
          <cell r="I1928" t="str">
            <v>OPEN</v>
          </cell>
          <cell r="J1928" t="str">
            <v>KALAS INDAPUR</v>
          </cell>
          <cell r="K1928" t="str">
            <v>Pune</v>
          </cell>
          <cell r="L1928" t="str">
            <v>E</v>
          </cell>
          <cell r="O1928" t="str">
            <v>B</v>
          </cell>
          <cell r="P1928">
            <v>0</v>
          </cell>
          <cell r="Q1928">
            <v>5</v>
          </cell>
          <cell r="R1928">
            <v>0</v>
          </cell>
          <cell r="S1928">
            <v>0</v>
          </cell>
          <cell r="T1928">
            <v>0</v>
          </cell>
          <cell r="U1928">
            <v>5</v>
          </cell>
          <cell r="V1928">
            <v>0</v>
          </cell>
          <cell r="W1928">
            <v>5</v>
          </cell>
          <cell r="X1928">
            <v>0</v>
          </cell>
          <cell r="Y1928">
            <v>0</v>
          </cell>
          <cell r="Z1928">
            <v>0</v>
          </cell>
          <cell r="AA1928">
            <v>5</v>
          </cell>
          <cell r="AB1928">
            <v>5</v>
          </cell>
          <cell r="AC1928">
            <v>0</v>
          </cell>
          <cell r="AD1928">
            <v>5</v>
          </cell>
          <cell r="AE1928">
            <v>5</v>
          </cell>
          <cell r="AF1928">
            <v>0</v>
          </cell>
          <cell r="AG1928">
            <v>5</v>
          </cell>
        </row>
        <row r="1929">
          <cell r="C1929">
            <v>393128</v>
          </cell>
          <cell r="D1929" t="str">
            <v>KRISHNA PETROLEUM AND ENERGY HUB</v>
          </cell>
          <cell r="E1929" t="str">
            <v>IOCL</v>
          </cell>
          <cell r="F1929" t="str">
            <v>2026-27</v>
          </cell>
          <cell r="G1929" t="str">
            <v>Satara West RSA</v>
          </cell>
          <cell r="H1929">
            <v>46172</v>
          </cell>
          <cell r="I1929" t="str">
            <v>OPEN</v>
          </cell>
          <cell r="J1929" t="str">
            <v>Karad on NH48 RHS</v>
          </cell>
          <cell r="K1929" t="str">
            <v>Satara</v>
          </cell>
          <cell r="L1929" t="str">
            <v>D1</v>
          </cell>
          <cell r="M1929" t="str">
            <v>NH-48</v>
          </cell>
          <cell r="O1929" t="str">
            <v>B</v>
          </cell>
          <cell r="P1929">
            <v>0</v>
          </cell>
          <cell r="Q1929">
            <v>5</v>
          </cell>
          <cell r="R1929">
            <v>0</v>
          </cell>
          <cell r="S1929">
            <v>0</v>
          </cell>
          <cell r="T1929">
            <v>0</v>
          </cell>
          <cell r="U1929">
            <v>5</v>
          </cell>
          <cell r="V1929">
            <v>0</v>
          </cell>
          <cell r="W1929">
            <v>5</v>
          </cell>
          <cell r="X1929">
            <v>0</v>
          </cell>
          <cell r="Y1929">
            <v>0</v>
          </cell>
          <cell r="Z1929">
            <v>0</v>
          </cell>
          <cell r="AA1929">
            <v>5</v>
          </cell>
          <cell r="AB1929">
            <v>5</v>
          </cell>
          <cell r="AC1929">
            <v>0</v>
          </cell>
          <cell r="AD1929">
            <v>5</v>
          </cell>
          <cell r="AE1929">
            <v>5</v>
          </cell>
          <cell r="AF1929">
            <v>0</v>
          </cell>
          <cell r="AG1929">
            <v>5</v>
          </cell>
        </row>
        <row r="1930">
          <cell r="C1930">
            <v>29748</v>
          </cell>
          <cell r="D1930" t="str">
            <v>ESSAR Saradwadi</v>
          </cell>
          <cell r="E1930" t="str">
            <v>NEL</v>
          </cell>
          <cell r="G1930" t="str">
            <v>Pune Wagholi RSA</v>
          </cell>
          <cell r="J1930" t="str">
            <v>Ranjangaon to Shirur RHS</v>
          </cell>
          <cell r="K1930" t="str">
            <v>Pune</v>
          </cell>
          <cell r="L1930" t="str">
            <v>D1</v>
          </cell>
          <cell r="M1930" t="str">
            <v>NH-753F</v>
          </cell>
          <cell r="O1930" t="str">
            <v>B</v>
          </cell>
          <cell r="P1930">
            <v>24</v>
          </cell>
          <cell r="Q1930">
            <v>28</v>
          </cell>
          <cell r="R1930">
            <v>42</v>
          </cell>
          <cell r="S1930">
            <v>45</v>
          </cell>
          <cell r="T1930">
            <v>-18</v>
          </cell>
          <cell r="U1930">
            <v>-17</v>
          </cell>
          <cell r="V1930">
            <v>48</v>
          </cell>
          <cell r="W1930">
            <v>52</v>
          </cell>
          <cell r="X1930">
            <v>84</v>
          </cell>
          <cell r="Y1930">
            <v>85</v>
          </cell>
          <cell r="Z1930">
            <v>-36</v>
          </cell>
          <cell r="AA1930">
            <v>-33</v>
          </cell>
          <cell r="AB1930">
            <v>52</v>
          </cell>
          <cell r="AC1930">
            <v>87</v>
          </cell>
          <cell r="AD1930">
            <v>-35</v>
          </cell>
          <cell r="AE1930">
            <v>100</v>
          </cell>
          <cell r="AF1930">
            <v>169</v>
          </cell>
          <cell r="AG1930">
            <v>-69</v>
          </cell>
        </row>
        <row r="1931">
          <cell r="C1931">
            <v>29749</v>
          </cell>
          <cell r="D1931" t="str">
            <v>ESSAR Ghodegaon</v>
          </cell>
          <cell r="E1931" t="str">
            <v>NEL</v>
          </cell>
          <cell r="G1931" t="str">
            <v>Pune Wagholi RSA</v>
          </cell>
          <cell r="J1931" t="str">
            <v>Ghodegaon_Ambegaon</v>
          </cell>
          <cell r="K1931" t="str">
            <v>Pune</v>
          </cell>
          <cell r="L1931" t="str">
            <v>D2</v>
          </cell>
          <cell r="O1931" t="str">
            <v>B</v>
          </cell>
          <cell r="P1931">
            <v>20</v>
          </cell>
          <cell r="Q1931">
            <v>20</v>
          </cell>
          <cell r="R1931">
            <v>60</v>
          </cell>
          <cell r="S1931">
            <v>60</v>
          </cell>
          <cell r="T1931">
            <v>-40</v>
          </cell>
          <cell r="U1931">
            <v>-40</v>
          </cell>
          <cell r="V1931">
            <v>40</v>
          </cell>
          <cell r="W1931">
            <v>34</v>
          </cell>
          <cell r="X1931">
            <v>118</v>
          </cell>
          <cell r="Y1931">
            <v>115</v>
          </cell>
          <cell r="Z1931">
            <v>-78</v>
          </cell>
          <cell r="AA1931">
            <v>-81</v>
          </cell>
          <cell r="AB1931">
            <v>40</v>
          </cell>
          <cell r="AC1931">
            <v>120</v>
          </cell>
          <cell r="AD1931">
            <v>-80</v>
          </cell>
          <cell r="AE1931">
            <v>74</v>
          </cell>
          <cell r="AF1931">
            <v>233</v>
          </cell>
          <cell r="AG1931">
            <v>-159</v>
          </cell>
        </row>
        <row r="1932">
          <cell r="C1932">
            <v>30615</v>
          </cell>
          <cell r="D1932" t="str">
            <v>sai sidhi entps</v>
          </cell>
          <cell r="E1932" t="str">
            <v>NEL</v>
          </cell>
          <cell r="G1932" t="str">
            <v>Ahmednagar East RSA</v>
          </cell>
          <cell r="J1932" t="str">
            <v>Supe</v>
          </cell>
          <cell r="K1932" t="str">
            <v>Ahmednagar</v>
          </cell>
          <cell r="L1932" t="str">
            <v>D1</v>
          </cell>
          <cell r="M1932" t="str">
            <v>NH-753F</v>
          </cell>
          <cell r="O1932" t="str">
            <v>B</v>
          </cell>
          <cell r="P1932">
            <v>20</v>
          </cell>
          <cell r="Q1932">
            <v>36</v>
          </cell>
          <cell r="R1932">
            <v>52</v>
          </cell>
          <cell r="S1932">
            <v>88</v>
          </cell>
          <cell r="T1932">
            <v>-32</v>
          </cell>
          <cell r="U1932">
            <v>-52</v>
          </cell>
          <cell r="V1932">
            <v>44</v>
          </cell>
          <cell r="W1932">
            <v>60</v>
          </cell>
          <cell r="X1932">
            <v>108</v>
          </cell>
          <cell r="Y1932">
            <v>173</v>
          </cell>
          <cell r="Z1932">
            <v>-64</v>
          </cell>
          <cell r="AA1932">
            <v>-113</v>
          </cell>
          <cell r="AB1932">
            <v>56</v>
          </cell>
          <cell r="AC1932">
            <v>140</v>
          </cell>
          <cell r="AD1932">
            <v>-84</v>
          </cell>
          <cell r="AE1932">
            <v>104</v>
          </cell>
          <cell r="AF1932">
            <v>281</v>
          </cell>
          <cell r="AG1932">
            <v>-177</v>
          </cell>
        </row>
        <row r="1933">
          <cell r="C1933">
            <v>30616</v>
          </cell>
          <cell r="D1933" t="str">
            <v>VAISHNAVI SERVICE CENTER</v>
          </cell>
          <cell r="E1933" t="str">
            <v>NEL</v>
          </cell>
          <cell r="G1933" t="str">
            <v>Ahmednagar West RSA</v>
          </cell>
          <cell r="J1933" t="str">
            <v>KARJAT</v>
          </cell>
          <cell r="K1933" t="str">
            <v>Ahmednagar</v>
          </cell>
          <cell r="L1933" t="str">
            <v>D2</v>
          </cell>
          <cell r="O1933" t="str">
            <v>B</v>
          </cell>
          <cell r="P1933">
            <v>40</v>
          </cell>
          <cell r="Q1933">
            <v>48</v>
          </cell>
          <cell r="R1933">
            <v>52</v>
          </cell>
          <cell r="S1933">
            <v>95</v>
          </cell>
          <cell r="T1933">
            <v>-12</v>
          </cell>
          <cell r="U1933">
            <v>-47</v>
          </cell>
          <cell r="V1933">
            <v>84</v>
          </cell>
          <cell r="W1933">
            <v>84</v>
          </cell>
          <cell r="X1933">
            <v>107</v>
          </cell>
          <cell r="Y1933">
            <v>187</v>
          </cell>
          <cell r="Z1933">
            <v>-23</v>
          </cell>
          <cell r="AA1933">
            <v>-103</v>
          </cell>
          <cell r="AB1933">
            <v>88</v>
          </cell>
          <cell r="AC1933">
            <v>147</v>
          </cell>
          <cell r="AD1933">
            <v>-59</v>
          </cell>
          <cell r="AE1933">
            <v>168</v>
          </cell>
          <cell r="AF1933">
            <v>294</v>
          </cell>
          <cell r="AG1933">
            <v>-126</v>
          </cell>
        </row>
        <row r="1934">
          <cell r="C1934">
            <v>30617</v>
          </cell>
          <cell r="D1934" t="str">
            <v>sai deep entps</v>
          </cell>
          <cell r="E1934" t="str">
            <v>NEL</v>
          </cell>
          <cell r="G1934" t="str">
            <v>Ahmednagar East RSA</v>
          </cell>
          <cell r="J1934" t="str">
            <v>WAMBHORI PHATA ON NH160</v>
          </cell>
          <cell r="K1934" t="str">
            <v>Ahmednagar</v>
          </cell>
          <cell r="L1934" t="str">
            <v>D2</v>
          </cell>
          <cell r="O1934" t="str">
            <v>B</v>
          </cell>
          <cell r="P1934">
            <v>24</v>
          </cell>
          <cell r="Q1934">
            <v>44</v>
          </cell>
          <cell r="R1934">
            <v>53</v>
          </cell>
          <cell r="S1934">
            <v>80</v>
          </cell>
          <cell r="T1934">
            <v>-29</v>
          </cell>
          <cell r="U1934">
            <v>-36</v>
          </cell>
          <cell r="V1934">
            <v>48</v>
          </cell>
          <cell r="W1934">
            <v>76</v>
          </cell>
          <cell r="X1934">
            <v>108</v>
          </cell>
          <cell r="Y1934">
            <v>156</v>
          </cell>
          <cell r="Z1934">
            <v>-60</v>
          </cell>
          <cell r="AA1934">
            <v>-80</v>
          </cell>
          <cell r="AB1934">
            <v>68</v>
          </cell>
          <cell r="AC1934">
            <v>133</v>
          </cell>
          <cell r="AD1934">
            <v>-65</v>
          </cell>
          <cell r="AE1934">
            <v>124</v>
          </cell>
          <cell r="AF1934">
            <v>264</v>
          </cell>
          <cell r="AG1934">
            <v>-140</v>
          </cell>
        </row>
        <row r="1935">
          <cell r="C1935">
            <v>33310</v>
          </cell>
          <cell r="D1935" t="str">
            <v>Akshay Auto Services</v>
          </cell>
          <cell r="E1935" t="str">
            <v>NEL</v>
          </cell>
          <cell r="G1935" t="str">
            <v>Satara West RSA</v>
          </cell>
          <cell r="J1935" t="str">
            <v>Monopoly</v>
          </cell>
          <cell r="K1935" t="str">
            <v>Satara</v>
          </cell>
          <cell r="L1935" t="str">
            <v>E</v>
          </cell>
          <cell r="O1935" t="str">
            <v>B</v>
          </cell>
          <cell r="P1935">
            <v>8</v>
          </cell>
          <cell r="Q1935">
            <v>20</v>
          </cell>
          <cell r="R1935">
            <v>45</v>
          </cell>
          <cell r="S1935">
            <v>62</v>
          </cell>
          <cell r="T1935">
            <v>-37</v>
          </cell>
          <cell r="U1935">
            <v>-42</v>
          </cell>
          <cell r="V1935">
            <v>16</v>
          </cell>
          <cell r="W1935">
            <v>56</v>
          </cell>
          <cell r="X1935">
            <v>82</v>
          </cell>
          <cell r="Y1935">
            <v>120</v>
          </cell>
          <cell r="Z1935">
            <v>-66</v>
          </cell>
          <cell r="AA1935">
            <v>-64</v>
          </cell>
          <cell r="AB1935">
            <v>28</v>
          </cell>
          <cell r="AC1935">
            <v>107</v>
          </cell>
          <cell r="AD1935">
            <v>-79</v>
          </cell>
          <cell r="AE1935">
            <v>72</v>
          </cell>
          <cell r="AF1935">
            <v>202</v>
          </cell>
          <cell r="AG1935">
            <v>-130</v>
          </cell>
        </row>
        <row r="1936">
          <cell r="C1936">
            <v>33311</v>
          </cell>
          <cell r="D1936" t="str">
            <v>Balaji Petroleum-Satara</v>
          </cell>
          <cell r="E1936" t="str">
            <v>NEL</v>
          </cell>
          <cell r="G1936" t="str">
            <v>Satara East RSA</v>
          </cell>
          <cell r="J1936" t="str">
            <v>pusegaon phaltan road</v>
          </cell>
          <cell r="K1936" t="str">
            <v>Satara</v>
          </cell>
          <cell r="L1936" t="str">
            <v>D2</v>
          </cell>
          <cell r="O1936" t="str">
            <v>B</v>
          </cell>
          <cell r="P1936">
            <v>12</v>
          </cell>
          <cell r="Q1936">
            <v>24</v>
          </cell>
          <cell r="R1936">
            <v>50</v>
          </cell>
          <cell r="S1936">
            <v>62</v>
          </cell>
          <cell r="T1936">
            <v>-38</v>
          </cell>
          <cell r="U1936">
            <v>-38</v>
          </cell>
          <cell r="V1936">
            <v>24</v>
          </cell>
          <cell r="W1936">
            <v>56</v>
          </cell>
          <cell r="X1936">
            <v>94</v>
          </cell>
          <cell r="Y1936">
            <v>122</v>
          </cell>
          <cell r="Z1936">
            <v>-70</v>
          </cell>
          <cell r="AA1936">
            <v>-66</v>
          </cell>
          <cell r="AB1936">
            <v>36</v>
          </cell>
          <cell r="AC1936">
            <v>112</v>
          </cell>
          <cell r="AD1936">
            <v>-76</v>
          </cell>
          <cell r="AE1936">
            <v>80</v>
          </cell>
          <cell r="AF1936">
            <v>216</v>
          </cell>
          <cell r="AG1936">
            <v>-136</v>
          </cell>
        </row>
        <row r="1937">
          <cell r="C1937">
            <v>33312</v>
          </cell>
          <cell r="D1937" t="str">
            <v>Bhama Petroleum</v>
          </cell>
          <cell r="E1937" t="str">
            <v>NEL</v>
          </cell>
          <cell r="G1937" t="str">
            <v>Satara East RSA</v>
          </cell>
          <cell r="J1937" t="str">
            <v>Koregaon</v>
          </cell>
          <cell r="K1937" t="str">
            <v>Satara</v>
          </cell>
          <cell r="L1937" t="str">
            <v>D1</v>
          </cell>
          <cell r="M1937" t="str">
            <v>NH-548C</v>
          </cell>
          <cell r="O1937" t="str">
            <v>B</v>
          </cell>
          <cell r="P1937">
            <v>16</v>
          </cell>
          <cell r="Q1937">
            <v>20</v>
          </cell>
          <cell r="R1937">
            <v>45</v>
          </cell>
          <cell r="S1937">
            <v>61</v>
          </cell>
          <cell r="T1937">
            <v>-29</v>
          </cell>
          <cell r="U1937">
            <v>-41</v>
          </cell>
          <cell r="V1937">
            <v>32</v>
          </cell>
          <cell r="W1937">
            <v>40</v>
          </cell>
          <cell r="X1937">
            <v>90</v>
          </cell>
          <cell r="Y1937">
            <v>123</v>
          </cell>
          <cell r="Z1937">
            <v>-58</v>
          </cell>
          <cell r="AA1937">
            <v>-83</v>
          </cell>
          <cell r="AB1937">
            <v>36</v>
          </cell>
          <cell r="AC1937">
            <v>106</v>
          </cell>
          <cell r="AD1937">
            <v>-70</v>
          </cell>
          <cell r="AE1937">
            <v>72</v>
          </cell>
          <cell r="AF1937">
            <v>213</v>
          </cell>
          <cell r="AG1937">
            <v>-141</v>
          </cell>
        </row>
        <row r="1938">
          <cell r="C1938">
            <v>33313</v>
          </cell>
          <cell r="D1938" t="str">
            <v>High Mount Petrol Pump</v>
          </cell>
          <cell r="E1938" t="str">
            <v>NEL</v>
          </cell>
          <cell r="G1938" t="str">
            <v>Satara East RSA</v>
          </cell>
          <cell r="J1938" t="str">
            <v>Monopoly</v>
          </cell>
          <cell r="K1938" t="str">
            <v>Satara</v>
          </cell>
          <cell r="L1938" t="str">
            <v>D1</v>
          </cell>
          <cell r="M1938" t="str">
            <v>NH-48</v>
          </cell>
          <cell r="O1938" t="str">
            <v>B</v>
          </cell>
          <cell r="P1938">
            <v>12</v>
          </cell>
          <cell r="Q1938">
            <v>16</v>
          </cell>
          <cell r="R1938">
            <v>35</v>
          </cell>
          <cell r="S1938">
            <v>60</v>
          </cell>
          <cell r="T1938">
            <v>-23</v>
          </cell>
          <cell r="U1938">
            <v>-44</v>
          </cell>
          <cell r="V1938">
            <v>32</v>
          </cell>
          <cell r="W1938">
            <v>46</v>
          </cell>
          <cell r="X1938">
            <v>63</v>
          </cell>
          <cell r="Y1938">
            <v>116</v>
          </cell>
          <cell r="Z1938">
            <v>-31</v>
          </cell>
          <cell r="AA1938">
            <v>-70</v>
          </cell>
          <cell r="AB1938">
            <v>28</v>
          </cell>
          <cell r="AC1938">
            <v>95</v>
          </cell>
          <cell r="AD1938">
            <v>-67</v>
          </cell>
          <cell r="AE1938">
            <v>78</v>
          </cell>
          <cell r="AF1938">
            <v>179</v>
          </cell>
          <cell r="AG1938">
            <v>-101</v>
          </cell>
        </row>
        <row r="1939">
          <cell r="C1939">
            <v>33314</v>
          </cell>
          <cell r="D1939" t="str">
            <v>Nak Gasoline Corporation (Closed)</v>
          </cell>
          <cell r="E1939" t="str">
            <v>NEL</v>
          </cell>
          <cell r="G1939" t="str">
            <v>Satara East RSA</v>
          </cell>
          <cell r="J1939" t="str">
            <v>Phaltan Baramati Road</v>
          </cell>
          <cell r="K1939" t="str">
            <v>Satara</v>
          </cell>
          <cell r="L1939" t="str">
            <v>D2</v>
          </cell>
          <cell r="O1939" t="str">
            <v>B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  <cell r="Z1939">
            <v>0</v>
          </cell>
          <cell r="AA1939">
            <v>0</v>
          </cell>
          <cell r="AB1939">
            <v>0</v>
          </cell>
          <cell r="AC1939">
            <v>0</v>
          </cell>
          <cell r="AD1939">
            <v>0</v>
          </cell>
          <cell r="AE1939">
            <v>0</v>
          </cell>
          <cell r="AF1939">
            <v>0</v>
          </cell>
          <cell r="AG1939">
            <v>0</v>
          </cell>
        </row>
        <row r="1940">
          <cell r="C1940">
            <v>33315</v>
          </cell>
          <cell r="D1940" t="str">
            <v>Shree Dattkrupa Petroleum</v>
          </cell>
          <cell r="E1940" t="str">
            <v>NEL</v>
          </cell>
          <cell r="G1940" t="str">
            <v>Satara West RSA</v>
          </cell>
          <cell r="J1940" t="str">
            <v>Karad Shenoli Road</v>
          </cell>
          <cell r="K1940" t="str">
            <v>Satara</v>
          </cell>
          <cell r="L1940" t="str">
            <v>D1</v>
          </cell>
          <cell r="M1940" t="str">
            <v>NH-266</v>
          </cell>
          <cell r="O1940" t="str">
            <v>B</v>
          </cell>
          <cell r="P1940">
            <v>8</v>
          </cell>
          <cell r="Q1940">
            <v>12</v>
          </cell>
          <cell r="R1940">
            <v>50</v>
          </cell>
          <cell r="S1940">
            <v>52</v>
          </cell>
          <cell r="T1940">
            <v>-42</v>
          </cell>
          <cell r="U1940">
            <v>-40</v>
          </cell>
          <cell r="V1940">
            <v>16</v>
          </cell>
          <cell r="W1940">
            <v>36</v>
          </cell>
          <cell r="X1940">
            <v>95</v>
          </cell>
          <cell r="Y1940">
            <v>102</v>
          </cell>
          <cell r="Z1940">
            <v>-79</v>
          </cell>
          <cell r="AA1940">
            <v>-66</v>
          </cell>
          <cell r="AB1940">
            <v>20</v>
          </cell>
          <cell r="AC1940">
            <v>102</v>
          </cell>
          <cell r="AD1940">
            <v>-82</v>
          </cell>
          <cell r="AE1940">
            <v>52</v>
          </cell>
          <cell r="AF1940">
            <v>197</v>
          </cell>
          <cell r="AG1940">
            <v>-145</v>
          </cell>
        </row>
        <row r="1941">
          <cell r="C1941">
            <v>33980</v>
          </cell>
          <cell r="D1941" t="str">
            <v>Keshar Auto Sales &amp; Services, Rahuri</v>
          </cell>
          <cell r="E1941" t="str">
            <v>NEL</v>
          </cell>
          <cell r="G1941" t="str">
            <v>Shirdi RSA</v>
          </cell>
          <cell r="J1941" t="str">
            <v>RAHURI NH</v>
          </cell>
          <cell r="K1941" t="str">
            <v>Ahmednagar</v>
          </cell>
          <cell r="L1941" t="str">
            <v>D1</v>
          </cell>
          <cell r="M1941" t="str">
            <v>NH-160</v>
          </cell>
          <cell r="O1941" t="str">
            <v>B</v>
          </cell>
          <cell r="P1941">
            <v>28</v>
          </cell>
          <cell r="Q1941">
            <v>32</v>
          </cell>
          <cell r="R1941">
            <v>35</v>
          </cell>
          <cell r="S1941">
            <v>95</v>
          </cell>
          <cell r="T1941">
            <v>-7</v>
          </cell>
          <cell r="U1941">
            <v>-63</v>
          </cell>
          <cell r="V1941">
            <v>60</v>
          </cell>
          <cell r="W1941">
            <v>52</v>
          </cell>
          <cell r="X1941">
            <v>70</v>
          </cell>
          <cell r="Y1941">
            <v>187</v>
          </cell>
          <cell r="Z1941">
            <v>-10</v>
          </cell>
          <cell r="AA1941">
            <v>-135</v>
          </cell>
          <cell r="AB1941">
            <v>60</v>
          </cell>
          <cell r="AC1941">
            <v>130</v>
          </cell>
          <cell r="AD1941">
            <v>-70</v>
          </cell>
          <cell r="AE1941">
            <v>112</v>
          </cell>
          <cell r="AF1941">
            <v>257</v>
          </cell>
          <cell r="AG1941">
            <v>-145</v>
          </cell>
        </row>
        <row r="1942">
          <cell r="C1942">
            <v>33982</v>
          </cell>
          <cell r="D1942" t="str">
            <v>K C Fulari &amp; Co., Savedi</v>
          </cell>
          <cell r="E1942" t="str">
            <v>NEL</v>
          </cell>
          <cell r="G1942" t="str">
            <v>Ahmednagar East RSA</v>
          </cell>
          <cell r="J1942" t="str">
            <v>Savedi</v>
          </cell>
          <cell r="K1942" t="str">
            <v>Ahmednagar</v>
          </cell>
          <cell r="L1942" t="str">
            <v>C</v>
          </cell>
          <cell r="O1942" t="str">
            <v>B</v>
          </cell>
          <cell r="P1942">
            <v>22</v>
          </cell>
          <cell r="Q1942">
            <v>44</v>
          </cell>
          <cell r="R1942">
            <v>28</v>
          </cell>
          <cell r="S1942">
            <v>88</v>
          </cell>
          <cell r="T1942">
            <v>-6</v>
          </cell>
          <cell r="U1942">
            <v>-44</v>
          </cell>
          <cell r="V1942">
            <v>44</v>
          </cell>
          <cell r="W1942">
            <v>76</v>
          </cell>
          <cell r="X1942">
            <v>56</v>
          </cell>
          <cell r="Y1942">
            <v>173</v>
          </cell>
          <cell r="Z1942">
            <v>-12</v>
          </cell>
          <cell r="AA1942">
            <v>-97</v>
          </cell>
          <cell r="AB1942">
            <v>66</v>
          </cell>
          <cell r="AC1942">
            <v>116</v>
          </cell>
          <cell r="AD1942">
            <v>-50</v>
          </cell>
          <cell r="AE1942">
            <v>120</v>
          </cell>
          <cell r="AF1942">
            <v>229</v>
          </cell>
          <cell r="AG1942">
            <v>-109</v>
          </cell>
        </row>
        <row r="1943">
          <cell r="C1943">
            <v>33983</v>
          </cell>
          <cell r="D1943" t="str">
            <v>Sai Samarth Petroleum, Shirdi</v>
          </cell>
          <cell r="E1943" t="str">
            <v>NEL</v>
          </cell>
          <cell r="G1943" t="str">
            <v>Shirdi RSA</v>
          </cell>
          <cell r="J1943" t="str">
            <v xml:space="preserve">SHIRDI </v>
          </cell>
          <cell r="K1943" t="str">
            <v>Ahmednagar</v>
          </cell>
          <cell r="L1943" t="str">
            <v>D1</v>
          </cell>
          <cell r="M1943" t="str">
            <v>NH-160</v>
          </cell>
          <cell r="O1943" t="str">
            <v>B</v>
          </cell>
          <cell r="P1943">
            <v>24</v>
          </cell>
          <cell r="Q1943">
            <v>24</v>
          </cell>
          <cell r="R1943">
            <v>37</v>
          </cell>
          <cell r="S1943">
            <v>84</v>
          </cell>
          <cell r="T1943">
            <v>-13</v>
          </cell>
          <cell r="U1943">
            <v>-60</v>
          </cell>
          <cell r="V1943">
            <v>48</v>
          </cell>
          <cell r="W1943">
            <v>48</v>
          </cell>
          <cell r="X1943">
            <v>74</v>
          </cell>
          <cell r="Y1943">
            <v>168</v>
          </cell>
          <cell r="Z1943">
            <v>-26</v>
          </cell>
          <cell r="AA1943">
            <v>-120</v>
          </cell>
          <cell r="AB1943">
            <v>48</v>
          </cell>
          <cell r="AC1943">
            <v>121</v>
          </cell>
          <cell r="AD1943">
            <v>-73</v>
          </cell>
          <cell r="AE1943">
            <v>96</v>
          </cell>
          <cell r="AF1943">
            <v>242</v>
          </cell>
          <cell r="AG1943">
            <v>-146</v>
          </cell>
        </row>
        <row r="1944">
          <cell r="C1944">
            <v>34290</v>
          </cell>
          <cell r="D1944" t="str">
            <v>SHANTANU PETROLEUM</v>
          </cell>
          <cell r="E1944" t="str">
            <v>NEL</v>
          </cell>
          <cell r="G1944" t="str">
            <v>Pune Saswad RSA</v>
          </cell>
          <cell r="J1944" t="str">
            <v>badalwadi</v>
          </cell>
          <cell r="K1944" t="str">
            <v>Pune</v>
          </cell>
          <cell r="L1944" t="str">
            <v>D1</v>
          </cell>
          <cell r="M1944" t="str">
            <v>NH-65</v>
          </cell>
          <cell r="O1944" t="str">
            <v>B</v>
          </cell>
          <cell r="P1944">
            <v>20</v>
          </cell>
          <cell r="Q1944">
            <v>44</v>
          </cell>
          <cell r="R1944">
            <v>22</v>
          </cell>
          <cell r="S1944">
            <v>65</v>
          </cell>
          <cell r="T1944">
            <v>-2</v>
          </cell>
          <cell r="U1944">
            <v>-21</v>
          </cell>
          <cell r="V1944">
            <v>44</v>
          </cell>
          <cell r="W1944">
            <v>74</v>
          </cell>
          <cell r="X1944">
            <v>44</v>
          </cell>
          <cell r="Y1944">
            <v>125</v>
          </cell>
          <cell r="Z1944">
            <v>0</v>
          </cell>
          <cell r="AA1944">
            <v>-51</v>
          </cell>
          <cell r="AB1944">
            <v>64</v>
          </cell>
          <cell r="AC1944">
            <v>87</v>
          </cell>
          <cell r="AD1944">
            <v>-23</v>
          </cell>
          <cell r="AE1944">
            <v>118</v>
          </cell>
          <cell r="AF1944">
            <v>169</v>
          </cell>
          <cell r="AG1944">
            <v>-51</v>
          </cell>
        </row>
        <row r="1945">
          <cell r="C1945">
            <v>34291</v>
          </cell>
          <cell r="D1945" t="str">
            <v>SHIV MALHAR SERVICE STATION</v>
          </cell>
          <cell r="E1945" t="str">
            <v>NEL</v>
          </cell>
          <cell r="G1945" t="str">
            <v>Pune Saswad RSA</v>
          </cell>
          <cell r="J1945" t="str">
            <v>JEJURI</v>
          </cell>
          <cell r="K1945" t="str">
            <v>Pune</v>
          </cell>
          <cell r="L1945" t="str">
            <v>D1</v>
          </cell>
          <cell r="M1945" t="str">
            <v>NH-965</v>
          </cell>
          <cell r="O1945" t="str">
            <v>B</v>
          </cell>
          <cell r="P1945">
            <v>20</v>
          </cell>
          <cell r="Q1945">
            <v>16</v>
          </cell>
          <cell r="R1945">
            <v>34</v>
          </cell>
          <cell r="S1945">
            <v>55</v>
          </cell>
          <cell r="T1945">
            <v>-14</v>
          </cell>
          <cell r="U1945">
            <v>-39</v>
          </cell>
          <cell r="V1945">
            <v>32</v>
          </cell>
          <cell r="W1945">
            <v>32</v>
          </cell>
          <cell r="X1945">
            <v>68</v>
          </cell>
          <cell r="Y1945">
            <v>110</v>
          </cell>
          <cell r="Z1945">
            <v>-36</v>
          </cell>
          <cell r="AA1945">
            <v>-78</v>
          </cell>
          <cell r="AB1945">
            <v>36</v>
          </cell>
          <cell r="AC1945">
            <v>89</v>
          </cell>
          <cell r="AD1945">
            <v>-53</v>
          </cell>
          <cell r="AE1945">
            <v>64</v>
          </cell>
          <cell r="AF1945">
            <v>178</v>
          </cell>
          <cell r="AG1945">
            <v>-114</v>
          </cell>
        </row>
        <row r="1946">
          <cell r="C1946">
            <v>34293</v>
          </cell>
          <cell r="D1946" t="str">
            <v>TANVI PETROLEUM</v>
          </cell>
          <cell r="E1946" t="str">
            <v>NEL</v>
          </cell>
          <cell r="G1946" t="str">
            <v>Pune Hadapsar RSA</v>
          </cell>
          <cell r="J1946" t="str">
            <v>Daund-City</v>
          </cell>
          <cell r="K1946" t="str">
            <v>Pune</v>
          </cell>
          <cell r="L1946" t="str">
            <v>D2</v>
          </cell>
          <cell r="O1946" t="str">
            <v>B</v>
          </cell>
          <cell r="P1946">
            <v>26</v>
          </cell>
          <cell r="Q1946">
            <v>20</v>
          </cell>
          <cell r="R1946">
            <v>22</v>
          </cell>
          <cell r="S1946">
            <v>60</v>
          </cell>
          <cell r="T1946">
            <v>4</v>
          </cell>
          <cell r="U1946">
            <v>-40</v>
          </cell>
          <cell r="V1946">
            <v>51</v>
          </cell>
          <cell r="W1946">
            <v>40</v>
          </cell>
          <cell r="X1946">
            <v>44</v>
          </cell>
          <cell r="Y1946">
            <v>120</v>
          </cell>
          <cell r="Z1946">
            <v>7</v>
          </cell>
          <cell r="AA1946">
            <v>-80</v>
          </cell>
          <cell r="AB1946">
            <v>46</v>
          </cell>
          <cell r="AC1946">
            <v>82</v>
          </cell>
          <cell r="AD1946">
            <v>-36</v>
          </cell>
          <cell r="AE1946">
            <v>91</v>
          </cell>
          <cell r="AF1946">
            <v>164</v>
          </cell>
          <cell r="AG1946">
            <v>-73</v>
          </cell>
        </row>
        <row r="1947">
          <cell r="C1947">
            <v>34294</v>
          </cell>
          <cell r="D1947" t="str">
            <v>TIRUPATI PETROLEUM</v>
          </cell>
          <cell r="E1947" t="str">
            <v>NEL</v>
          </cell>
          <cell r="G1947" t="str">
            <v>Pune Hadapsar RSA</v>
          </cell>
          <cell r="J1947" t="str">
            <v>Pilanwadi</v>
          </cell>
          <cell r="K1947" t="str">
            <v>Pune</v>
          </cell>
          <cell r="L1947" t="str">
            <v>D2</v>
          </cell>
          <cell r="O1947" t="str">
            <v>B</v>
          </cell>
          <cell r="P1947">
            <v>12</v>
          </cell>
          <cell r="Q1947">
            <v>24</v>
          </cell>
          <cell r="R1947">
            <v>38</v>
          </cell>
          <cell r="S1947">
            <v>45</v>
          </cell>
          <cell r="T1947">
            <v>-26</v>
          </cell>
          <cell r="U1947">
            <v>-21</v>
          </cell>
          <cell r="V1947">
            <v>24</v>
          </cell>
          <cell r="W1947">
            <v>40</v>
          </cell>
          <cell r="X1947">
            <v>76</v>
          </cell>
          <cell r="Y1947">
            <v>87</v>
          </cell>
          <cell r="Z1947">
            <v>-52</v>
          </cell>
          <cell r="AA1947">
            <v>-47</v>
          </cell>
          <cell r="AB1947">
            <v>36</v>
          </cell>
          <cell r="AC1947">
            <v>83</v>
          </cell>
          <cell r="AD1947">
            <v>-47</v>
          </cell>
          <cell r="AE1947">
            <v>64</v>
          </cell>
          <cell r="AF1947">
            <v>163</v>
          </cell>
          <cell r="AG1947">
            <v>-99</v>
          </cell>
        </row>
        <row r="1948">
          <cell r="C1948">
            <v>34295</v>
          </cell>
          <cell r="D1948" t="str">
            <v>Wanwe Petroleum</v>
          </cell>
          <cell r="E1948" t="str">
            <v>NEL</v>
          </cell>
          <cell r="G1948" t="str">
            <v>Pune Saswad RSA</v>
          </cell>
          <cell r="J1948" t="str">
            <v>Ravangaon LHS</v>
          </cell>
          <cell r="K1948" t="str">
            <v>Pune</v>
          </cell>
          <cell r="L1948" t="str">
            <v>D1</v>
          </cell>
          <cell r="M1948" t="str">
            <v>NH-65</v>
          </cell>
          <cell r="O1948" t="str">
            <v>B</v>
          </cell>
          <cell r="P1948">
            <v>24</v>
          </cell>
          <cell r="Q1948">
            <v>16</v>
          </cell>
          <cell r="R1948">
            <v>28</v>
          </cell>
          <cell r="S1948">
            <v>48</v>
          </cell>
          <cell r="T1948">
            <v>-4</v>
          </cell>
          <cell r="U1948">
            <v>-32</v>
          </cell>
          <cell r="V1948">
            <v>48</v>
          </cell>
          <cell r="W1948">
            <v>32</v>
          </cell>
          <cell r="X1948">
            <v>54</v>
          </cell>
          <cell r="Y1948">
            <v>96</v>
          </cell>
          <cell r="Z1948">
            <v>-6</v>
          </cell>
          <cell r="AA1948">
            <v>-64</v>
          </cell>
          <cell r="AB1948">
            <v>40</v>
          </cell>
          <cell r="AC1948">
            <v>76</v>
          </cell>
          <cell r="AD1948">
            <v>-36</v>
          </cell>
          <cell r="AE1948">
            <v>80</v>
          </cell>
          <cell r="AF1948">
            <v>150</v>
          </cell>
          <cell r="AG1948">
            <v>-70</v>
          </cell>
        </row>
        <row r="1949">
          <cell r="C1949">
            <v>34298</v>
          </cell>
          <cell r="D1949" t="str">
            <v>Shree Indu Petroleum</v>
          </cell>
          <cell r="E1949" t="str">
            <v>NEL</v>
          </cell>
          <cell r="G1949" t="str">
            <v>Pune Tathawade RSA</v>
          </cell>
          <cell r="J1949" t="str">
            <v>BARAMATI PATAS ROAD</v>
          </cell>
          <cell r="K1949" t="str">
            <v>Pune</v>
          </cell>
          <cell r="L1949" t="str">
            <v>D1</v>
          </cell>
          <cell r="M1949" t="str">
            <v>NH-160</v>
          </cell>
          <cell r="O1949" t="str">
            <v>B</v>
          </cell>
          <cell r="P1949">
            <v>22</v>
          </cell>
          <cell r="Q1949">
            <v>28</v>
          </cell>
          <cell r="R1949">
            <v>20</v>
          </cell>
          <cell r="S1949">
            <v>54</v>
          </cell>
          <cell r="T1949">
            <v>2</v>
          </cell>
          <cell r="U1949">
            <v>-26</v>
          </cell>
          <cell r="V1949">
            <v>44</v>
          </cell>
          <cell r="W1949">
            <v>46</v>
          </cell>
          <cell r="X1949">
            <v>40</v>
          </cell>
          <cell r="Y1949">
            <v>104</v>
          </cell>
          <cell r="Z1949">
            <v>4</v>
          </cell>
          <cell r="AA1949">
            <v>-58</v>
          </cell>
          <cell r="AB1949">
            <v>50</v>
          </cell>
          <cell r="AC1949">
            <v>74</v>
          </cell>
          <cell r="AD1949">
            <v>-24</v>
          </cell>
          <cell r="AE1949">
            <v>90</v>
          </cell>
          <cell r="AF1949">
            <v>144</v>
          </cell>
          <cell r="AG1949">
            <v>-54</v>
          </cell>
        </row>
        <row r="1950">
          <cell r="C1950">
            <v>34301</v>
          </cell>
          <cell r="D1950" t="str">
            <v>EOL PANDURANG PETROL PUMP ALANDI</v>
          </cell>
          <cell r="E1950" t="str">
            <v>NEL</v>
          </cell>
          <cell r="G1950" t="str">
            <v>Pimpri Chinchwad RSA</v>
          </cell>
          <cell r="J1950" t="str">
            <v>ALANDI RURAL</v>
          </cell>
          <cell r="K1950" t="str">
            <v>Pune</v>
          </cell>
          <cell r="L1950" t="str">
            <v>E</v>
          </cell>
          <cell r="O1950" t="str">
            <v>B</v>
          </cell>
          <cell r="P1950">
            <v>12</v>
          </cell>
          <cell r="Q1950">
            <v>30</v>
          </cell>
          <cell r="R1950">
            <v>28</v>
          </cell>
          <cell r="S1950">
            <v>65</v>
          </cell>
          <cell r="T1950">
            <v>-16</v>
          </cell>
          <cell r="U1950">
            <v>-35</v>
          </cell>
          <cell r="V1950">
            <v>24</v>
          </cell>
          <cell r="W1950">
            <v>60</v>
          </cell>
          <cell r="X1950">
            <v>56</v>
          </cell>
          <cell r="Y1950">
            <v>125</v>
          </cell>
          <cell r="Z1950">
            <v>-32</v>
          </cell>
          <cell r="AA1950">
            <v>-65</v>
          </cell>
          <cell r="AB1950">
            <v>42</v>
          </cell>
          <cell r="AC1950">
            <v>93</v>
          </cell>
          <cell r="AD1950">
            <v>-51</v>
          </cell>
          <cell r="AE1950">
            <v>84</v>
          </cell>
          <cell r="AF1950">
            <v>181</v>
          </cell>
          <cell r="AG1950">
            <v>-97</v>
          </cell>
        </row>
        <row r="1951">
          <cell r="C1951">
            <v>34302</v>
          </cell>
          <cell r="D1951" t="str">
            <v>EOL KAMDHENU PETROLUM CHINCHWAD</v>
          </cell>
          <cell r="E1951" t="str">
            <v>NEL</v>
          </cell>
          <cell r="G1951" t="str">
            <v>Pimpri Chinchwad RSA</v>
          </cell>
          <cell r="J1951" t="str">
            <v>Chinchwad</v>
          </cell>
          <cell r="K1951" t="str">
            <v>Pune</v>
          </cell>
          <cell r="L1951" t="str">
            <v>A</v>
          </cell>
          <cell r="O1951" t="str">
            <v>B</v>
          </cell>
          <cell r="P1951">
            <v>20</v>
          </cell>
          <cell r="Q1951">
            <v>32</v>
          </cell>
          <cell r="R1951">
            <v>30</v>
          </cell>
          <cell r="S1951">
            <v>70</v>
          </cell>
          <cell r="T1951">
            <v>-10</v>
          </cell>
          <cell r="U1951">
            <v>-38</v>
          </cell>
          <cell r="V1951">
            <v>40</v>
          </cell>
          <cell r="W1951">
            <v>58</v>
          </cell>
          <cell r="X1951">
            <v>60</v>
          </cell>
          <cell r="Y1951">
            <v>135</v>
          </cell>
          <cell r="Z1951">
            <v>-20</v>
          </cell>
          <cell r="AA1951">
            <v>-77</v>
          </cell>
          <cell r="AB1951">
            <v>52</v>
          </cell>
          <cell r="AC1951">
            <v>100</v>
          </cell>
          <cell r="AD1951">
            <v>-48</v>
          </cell>
          <cell r="AE1951">
            <v>98</v>
          </cell>
          <cell r="AF1951">
            <v>195</v>
          </cell>
          <cell r="AG1951">
            <v>-97</v>
          </cell>
        </row>
        <row r="1952">
          <cell r="C1952">
            <v>34306</v>
          </cell>
          <cell r="D1952" t="str">
            <v>More Motels Pvt Ltd</v>
          </cell>
          <cell r="E1952" t="str">
            <v>NEL</v>
          </cell>
          <cell r="G1952" t="str">
            <v>Pune City RSA</v>
          </cell>
          <cell r="J1952" t="str">
            <v>SINGHAD ROAD/NAVIPETH</v>
          </cell>
          <cell r="K1952" t="str">
            <v>Pune</v>
          </cell>
          <cell r="L1952" t="str">
            <v>A</v>
          </cell>
          <cell r="O1952" t="str">
            <v>B</v>
          </cell>
          <cell r="P1952">
            <v>12</v>
          </cell>
          <cell r="Q1952">
            <v>24</v>
          </cell>
          <cell r="R1952">
            <v>24</v>
          </cell>
          <cell r="S1952">
            <v>46</v>
          </cell>
          <cell r="T1952">
            <v>-12</v>
          </cell>
          <cell r="U1952">
            <v>-22</v>
          </cell>
          <cell r="V1952">
            <v>37</v>
          </cell>
          <cell r="W1952">
            <v>48</v>
          </cell>
          <cell r="X1952">
            <v>48</v>
          </cell>
          <cell r="Y1952">
            <v>92</v>
          </cell>
          <cell r="Z1952">
            <v>-11</v>
          </cell>
          <cell r="AA1952">
            <v>-44</v>
          </cell>
          <cell r="AB1952">
            <v>36</v>
          </cell>
          <cell r="AC1952">
            <v>70</v>
          </cell>
          <cell r="AD1952">
            <v>-34</v>
          </cell>
          <cell r="AE1952">
            <v>85</v>
          </cell>
          <cell r="AF1952">
            <v>140</v>
          </cell>
          <cell r="AG1952">
            <v>-55</v>
          </cell>
        </row>
        <row r="1953">
          <cell r="C1953">
            <v>34310</v>
          </cell>
          <cell r="D1953" t="str">
            <v>Essar Karandi</v>
          </cell>
          <cell r="E1953" t="str">
            <v>NEL</v>
          </cell>
          <cell r="G1953" t="str">
            <v>Pimpri Chinchwad RSA</v>
          </cell>
          <cell r="J1953" t="str">
            <v xml:space="preserve">Sablewadi to shikhrapur </v>
          </cell>
          <cell r="K1953" t="str">
            <v>Pune</v>
          </cell>
          <cell r="L1953" t="str">
            <v>D1</v>
          </cell>
          <cell r="M1953" t="str">
            <v>NH-548D</v>
          </cell>
          <cell r="O1953" t="str">
            <v>B</v>
          </cell>
          <cell r="P1953">
            <v>12</v>
          </cell>
          <cell r="Q1953">
            <v>44</v>
          </cell>
          <cell r="R1953">
            <v>38</v>
          </cell>
          <cell r="S1953">
            <v>60</v>
          </cell>
          <cell r="T1953">
            <v>-26</v>
          </cell>
          <cell r="U1953">
            <v>-16</v>
          </cell>
          <cell r="V1953">
            <v>24</v>
          </cell>
          <cell r="W1953">
            <v>74</v>
          </cell>
          <cell r="X1953">
            <v>76</v>
          </cell>
          <cell r="Y1953">
            <v>115</v>
          </cell>
          <cell r="Z1953">
            <v>-52</v>
          </cell>
          <cell r="AA1953">
            <v>-41</v>
          </cell>
          <cell r="AB1953">
            <v>56</v>
          </cell>
          <cell r="AC1953">
            <v>98</v>
          </cell>
          <cell r="AD1953">
            <v>-42</v>
          </cell>
          <cell r="AE1953">
            <v>98</v>
          </cell>
          <cell r="AF1953">
            <v>191</v>
          </cell>
          <cell r="AG1953">
            <v>-93</v>
          </cell>
        </row>
        <row r="1954">
          <cell r="C1954">
            <v>34314</v>
          </cell>
          <cell r="D1954" t="str">
            <v>OM SERVICES</v>
          </cell>
          <cell r="E1954" t="str">
            <v>NEL</v>
          </cell>
          <cell r="G1954" t="str">
            <v>Ahmednagar West RSA</v>
          </cell>
          <cell r="J1954" t="str">
            <v>Bhalawani</v>
          </cell>
          <cell r="K1954" t="str">
            <v>Ahmednagar</v>
          </cell>
          <cell r="L1954" t="str">
            <v>D1</v>
          </cell>
          <cell r="M1954" t="str">
            <v>NH-61</v>
          </cell>
          <cell r="O1954" t="str">
            <v>B</v>
          </cell>
          <cell r="P1954">
            <v>16</v>
          </cell>
          <cell r="Q1954">
            <v>44</v>
          </cell>
          <cell r="R1954">
            <v>48</v>
          </cell>
          <cell r="S1954">
            <v>75</v>
          </cell>
          <cell r="T1954">
            <v>-32</v>
          </cell>
          <cell r="U1954">
            <v>-31</v>
          </cell>
          <cell r="V1954">
            <v>36</v>
          </cell>
          <cell r="W1954">
            <v>76</v>
          </cell>
          <cell r="X1954">
            <v>96</v>
          </cell>
          <cell r="Y1954">
            <v>145</v>
          </cell>
          <cell r="Z1954">
            <v>-60</v>
          </cell>
          <cell r="AA1954">
            <v>-69</v>
          </cell>
          <cell r="AB1954">
            <v>60</v>
          </cell>
          <cell r="AC1954">
            <v>123</v>
          </cell>
          <cell r="AD1954">
            <v>-63</v>
          </cell>
          <cell r="AE1954">
            <v>112</v>
          </cell>
          <cell r="AF1954">
            <v>241</v>
          </cell>
          <cell r="AG1954">
            <v>-129</v>
          </cell>
        </row>
        <row r="1955">
          <cell r="C1955">
            <v>34315</v>
          </cell>
          <cell r="D1955" t="str">
            <v>lotus petroleum</v>
          </cell>
          <cell r="E1955" t="str">
            <v>NEL</v>
          </cell>
          <cell r="G1955" t="str">
            <v>Ahmednagar East RSA</v>
          </cell>
          <cell r="J1955" t="str">
            <v>Dhangarwadi</v>
          </cell>
          <cell r="K1955" t="str">
            <v>Ahmednagar</v>
          </cell>
          <cell r="L1955" t="str">
            <v>D1</v>
          </cell>
          <cell r="M1955" t="str">
            <v>NH-753F</v>
          </cell>
          <cell r="O1955" t="str">
            <v>B</v>
          </cell>
          <cell r="P1955">
            <v>24</v>
          </cell>
          <cell r="Q1955">
            <v>48</v>
          </cell>
          <cell r="R1955">
            <v>50</v>
          </cell>
          <cell r="S1955">
            <v>80</v>
          </cell>
          <cell r="T1955">
            <v>-26</v>
          </cell>
          <cell r="U1955">
            <v>-32</v>
          </cell>
          <cell r="V1955">
            <v>48</v>
          </cell>
          <cell r="W1955">
            <v>84</v>
          </cell>
          <cell r="X1955">
            <v>103</v>
          </cell>
          <cell r="Y1955">
            <v>160</v>
          </cell>
          <cell r="Z1955">
            <v>-55</v>
          </cell>
          <cell r="AA1955">
            <v>-76</v>
          </cell>
          <cell r="AB1955">
            <v>72</v>
          </cell>
          <cell r="AC1955">
            <v>130</v>
          </cell>
          <cell r="AD1955">
            <v>-58</v>
          </cell>
          <cell r="AE1955">
            <v>132</v>
          </cell>
          <cell r="AF1955">
            <v>263</v>
          </cell>
          <cell r="AG1955">
            <v>-131</v>
          </cell>
        </row>
        <row r="1956">
          <cell r="C1956">
            <v>34316</v>
          </cell>
          <cell r="D1956" t="str">
            <v>SHREE SAI SAMARTH PETROLEUM</v>
          </cell>
          <cell r="E1956" t="str">
            <v>NEL</v>
          </cell>
          <cell r="G1956" t="str">
            <v>Ahmednagar West RSA</v>
          </cell>
          <cell r="J1956" t="str">
            <v>Sakur</v>
          </cell>
          <cell r="K1956" t="str">
            <v>Ahmednagar</v>
          </cell>
          <cell r="L1956" t="str">
            <v>D2</v>
          </cell>
          <cell r="O1956" t="str">
            <v>B</v>
          </cell>
          <cell r="P1956">
            <v>32</v>
          </cell>
          <cell r="Q1956">
            <v>44</v>
          </cell>
          <cell r="R1956">
            <v>44</v>
          </cell>
          <cell r="S1956">
            <v>90</v>
          </cell>
          <cell r="T1956">
            <v>-12</v>
          </cell>
          <cell r="U1956">
            <v>-46</v>
          </cell>
          <cell r="V1956">
            <v>68</v>
          </cell>
          <cell r="W1956">
            <v>64</v>
          </cell>
          <cell r="X1956">
            <v>88</v>
          </cell>
          <cell r="Y1956">
            <v>180</v>
          </cell>
          <cell r="Z1956">
            <v>-20</v>
          </cell>
          <cell r="AA1956">
            <v>-116</v>
          </cell>
          <cell r="AB1956">
            <v>76</v>
          </cell>
          <cell r="AC1956">
            <v>134</v>
          </cell>
          <cell r="AD1956">
            <v>-58</v>
          </cell>
          <cell r="AE1956">
            <v>132</v>
          </cell>
          <cell r="AF1956">
            <v>268</v>
          </cell>
          <cell r="AG1956">
            <v>-136</v>
          </cell>
        </row>
        <row r="1957">
          <cell r="C1957">
            <v>34318</v>
          </cell>
          <cell r="D1957" t="str">
            <v>GULABCHAND BHIKCHAND &amp; CO.</v>
          </cell>
          <cell r="E1957" t="str">
            <v>NEL</v>
          </cell>
          <cell r="G1957" t="str">
            <v>Ahmednagar West RSA</v>
          </cell>
          <cell r="J1957" t="str">
            <v>JAMKHED-MOHA RD</v>
          </cell>
          <cell r="K1957" t="str">
            <v>Ahmednagar</v>
          </cell>
          <cell r="L1957" t="str">
            <v>D1</v>
          </cell>
          <cell r="M1957" t="str">
            <v>NH-548D</v>
          </cell>
          <cell r="O1957" t="str">
            <v>B</v>
          </cell>
          <cell r="P1957">
            <v>24</v>
          </cell>
          <cell r="Q1957">
            <v>48</v>
          </cell>
          <cell r="R1957">
            <v>29</v>
          </cell>
          <cell r="S1957">
            <v>60</v>
          </cell>
          <cell r="T1957">
            <v>-5</v>
          </cell>
          <cell r="U1957">
            <v>-12</v>
          </cell>
          <cell r="V1957">
            <v>48</v>
          </cell>
          <cell r="W1957">
            <v>81</v>
          </cell>
          <cell r="X1957">
            <v>58</v>
          </cell>
          <cell r="Y1957">
            <v>120</v>
          </cell>
          <cell r="Z1957">
            <v>-10</v>
          </cell>
          <cell r="AA1957">
            <v>-39</v>
          </cell>
          <cell r="AB1957">
            <v>72</v>
          </cell>
          <cell r="AC1957">
            <v>89</v>
          </cell>
          <cell r="AD1957">
            <v>-17</v>
          </cell>
          <cell r="AE1957">
            <v>129</v>
          </cell>
          <cell r="AF1957">
            <v>178</v>
          </cell>
          <cell r="AG1957">
            <v>-49</v>
          </cell>
        </row>
        <row r="1958">
          <cell r="C1958">
            <v>34320</v>
          </cell>
          <cell r="D1958" t="str">
            <v>bhagwant petroleum</v>
          </cell>
          <cell r="E1958" t="str">
            <v>NEL</v>
          </cell>
          <cell r="G1958" t="str">
            <v>Ahmednagar East RSA</v>
          </cell>
          <cell r="J1958" t="str">
            <v>Shendi</v>
          </cell>
          <cell r="K1958" t="str">
            <v>Ahmednagar</v>
          </cell>
          <cell r="L1958" t="str">
            <v>D1</v>
          </cell>
          <cell r="M1958" t="str">
            <v>NH-753F</v>
          </cell>
          <cell r="O1958" t="str">
            <v>B</v>
          </cell>
          <cell r="P1958">
            <v>20</v>
          </cell>
          <cell r="Q1958">
            <v>48</v>
          </cell>
          <cell r="R1958">
            <v>36</v>
          </cell>
          <cell r="S1958">
            <v>88</v>
          </cell>
          <cell r="T1958">
            <v>-16</v>
          </cell>
          <cell r="U1958">
            <v>-40</v>
          </cell>
          <cell r="V1958">
            <v>44</v>
          </cell>
          <cell r="W1958">
            <v>84</v>
          </cell>
          <cell r="X1958">
            <v>72</v>
          </cell>
          <cell r="Y1958">
            <v>176</v>
          </cell>
          <cell r="Z1958">
            <v>-28</v>
          </cell>
          <cell r="AA1958">
            <v>-92</v>
          </cell>
          <cell r="AB1958">
            <v>68</v>
          </cell>
          <cell r="AC1958">
            <v>124</v>
          </cell>
          <cell r="AD1958">
            <v>-56</v>
          </cell>
          <cell r="AE1958">
            <v>128</v>
          </cell>
          <cell r="AF1958">
            <v>248</v>
          </cell>
          <cell r="AG1958">
            <v>-120</v>
          </cell>
        </row>
        <row r="1959">
          <cell r="C1959">
            <v>34321</v>
          </cell>
          <cell r="D1959" t="str">
            <v>SHIV PRASAD SERVICE STAION</v>
          </cell>
          <cell r="E1959" t="str">
            <v>NEL</v>
          </cell>
          <cell r="G1959" t="str">
            <v>Ahmednagar West RSA</v>
          </cell>
          <cell r="J1959" t="str">
            <v>ARANGAON</v>
          </cell>
          <cell r="K1959" t="str">
            <v>Ahmednagar</v>
          </cell>
          <cell r="L1959" t="str">
            <v>D1</v>
          </cell>
          <cell r="M1959" t="str">
            <v>NH-160</v>
          </cell>
          <cell r="O1959" t="str">
            <v>B</v>
          </cell>
          <cell r="P1959">
            <v>28</v>
          </cell>
          <cell r="Q1959">
            <v>48</v>
          </cell>
          <cell r="R1959">
            <v>32</v>
          </cell>
          <cell r="S1959">
            <v>70</v>
          </cell>
          <cell r="T1959">
            <v>-4</v>
          </cell>
          <cell r="U1959">
            <v>-22</v>
          </cell>
          <cell r="V1959">
            <v>56</v>
          </cell>
          <cell r="W1959">
            <v>84</v>
          </cell>
          <cell r="X1959">
            <v>64</v>
          </cell>
          <cell r="Y1959">
            <v>140</v>
          </cell>
          <cell r="Z1959">
            <v>-8</v>
          </cell>
          <cell r="AA1959">
            <v>-56</v>
          </cell>
          <cell r="AB1959">
            <v>76</v>
          </cell>
          <cell r="AC1959">
            <v>102</v>
          </cell>
          <cell r="AD1959">
            <v>-26</v>
          </cell>
          <cell r="AE1959">
            <v>140</v>
          </cell>
          <cell r="AF1959">
            <v>204</v>
          </cell>
          <cell r="AG1959">
            <v>-64</v>
          </cell>
        </row>
        <row r="1960">
          <cell r="C1960">
            <v>35251</v>
          </cell>
          <cell r="D1960" t="str">
            <v>MAHATMA PHULE SERVICE STAT0N</v>
          </cell>
          <cell r="E1960" t="str">
            <v>NEL</v>
          </cell>
          <cell r="G1960" t="str">
            <v>Ahmednagar East RSA</v>
          </cell>
          <cell r="J1960" t="str">
            <v>Shevgaon</v>
          </cell>
          <cell r="K1960" t="str">
            <v>Ahmednagar</v>
          </cell>
          <cell r="L1960" t="str">
            <v>D2</v>
          </cell>
          <cell r="O1960" t="str">
            <v>B</v>
          </cell>
          <cell r="P1960">
            <v>24</v>
          </cell>
          <cell r="Q1960">
            <v>44</v>
          </cell>
          <cell r="R1960">
            <v>46</v>
          </cell>
          <cell r="S1960">
            <v>78</v>
          </cell>
          <cell r="T1960">
            <v>-22</v>
          </cell>
          <cell r="U1960">
            <v>-34</v>
          </cell>
          <cell r="V1960">
            <v>48</v>
          </cell>
          <cell r="W1960">
            <v>76</v>
          </cell>
          <cell r="X1960">
            <v>92</v>
          </cell>
          <cell r="Y1960">
            <v>156</v>
          </cell>
          <cell r="Z1960">
            <v>-44</v>
          </cell>
          <cell r="AA1960">
            <v>-80</v>
          </cell>
          <cell r="AB1960">
            <v>68</v>
          </cell>
          <cell r="AC1960">
            <v>124</v>
          </cell>
          <cell r="AD1960">
            <v>-56</v>
          </cell>
          <cell r="AE1960">
            <v>124</v>
          </cell>
          <cell r="AF1960">
            <v>248</v>
          </cell>
          <cell r="AG1960">
            <v>-124</v>
          </cell>
        </row>
        <row r="1961">
          <cell r="C1961">
            <v>35260</v>
          </cell>
          <cell r="D1961" t="str">
            <v>Shri Tarkeshwar Petroleum</v>
          </cell>
          <cell r="E1961" t="str">
            <v>NEL</v>
          </cell>
          <cell r="G1961" t="str">
            <v>Satara West RSA</v>
          </cell>
          <cell r="J1961" t="str">
            <v>TARALE</v>
          </cell>
          <cell r="K1961" t="str">
            <v>Satara</v>
          </cell>
          <cell r="L1961" t="str">
            <v>E</v>
          </cell>
          <cell r="O1961" t="str">
            <v>B</v>
          </cell>
          <cell r="P1961">
            <v>15</v>
          </cell>
          <cell r="Q1961">
            <v>28</v>
          </cell>
          <cell r="R1961">
            <v>25</v>
          </cell>
          <cell r="S1961">
            <v>56</v>
          </cell>
          <cell r="T1961">
            <v>-10</v>
          </cell>
          <cell r="U1961">
            <v>-28</v>
          </cell>
          <cell r="V1961">
            <v>30</v>
          </cell>
          <cell r="W1961">
            <v>64</v>
          </cell>
          <cell r="X1961">
            <v>45</v>
          </cell>
          <cell r="Y1961">
            <v>111</v>
          </cell>
          <cell r="Z1961">
            <v>-15</v>
          </cell>
          <cell r="AA1961">
            <v>-47</v>
          </cell>
          <cell r="AB1961">
            <v>43</v>
          </cell>
          <cell r="AC1961">
            <v>81</v>
          </cell>
          <cell r="AD1961">
            <v>-38</v>
          </cell>
          <cell r="AE1961">
            <v>94</v>
          </cell>
          <cell r="AF1961">
            <v>156</v>
          </cell>
          <cell r="AG1961">
            <v>-62</v>
          </cell>
        </row>
        <row r="1962">
          <cell r="C1962">
            <v>35350</v>
          </cell>
          <cell r="D1962" t="str">
            <v>renuka  services</v>
          </cell>
          <cell r="E1962" t="str">
            <v>NEL</v>
          </cell>
          <cell r="G1962" t="str">
            <v>Ahmednagar East RSA</v>
          </cell>
          <cell r="J1962" t="str">
            <v>Handinimgaon</v>
          </cell>
          <cell r="K1962" t="str">
            <v>Ahmednagar</v>
          </cell>
          <cell r="L1962" t="str">
            <v>D1</v>
          </cell>
          <cell r="M1962" t="str">
            <v>NH-753F</v>
          </cell>
          <cell r="O1962" t="str">
            <v>B</v>
          </cell>
          <cell r="P1962">
            <v>16</v>
          </cell>
          <cell r="Q1962">
            <v>60</v>
          </cell>
          <cell r="R1962">
            <v>52</v>
          </cell>
          <cell r="S1962">
            <v>96</v>
          </cell>
          <cell r="T1962">
            <v>-36</v>
          </cell>
          <cell r="U1962">
            <v>-36</v>
          </cell>
          <cell r="V1962">
            <v>36</v>
          </cell>
          <cell r="W1962">
            <v>108</v>
          </cell>
          <cell r="X1962">
            <v>104</v>
          </cell>
          <cell r="Y1962">
            <v>190</v>
          </cell>
          <cell r="Z1962">
            <v>-68</v>
          </cell>
          <cell r="AA1962">
            <v>-82</v>
          </cell>
          <cell r="AB1962">
            <v>76</v>
          </cell>
          <cell r="AC1962">
            <v>148</v>
          </cell>
          <cell r="AD1962">
            <v>-72</v>
          </cell>
          <cell r="AE1962">
            <v>144</v>
          </cell>
          <cell r="AF1962">
            <v>294</v>
          </cell>
          <cell r="AG1962">
            <v>-150</v>
          </cell>
        </row>
        <row r="1963">
          <cell r="C1963">
            <v>35357</v>
          </cell>
          <cell r="D1963" t="str">
            <v>C.T. PETROLEUM</v>
          </cell>
          <cell r="E1963" t="str">
            <v>NEL</v>
          </cell>
          <cell r="G1963" t="str">
            <v>Ahmednagar West RSA</v>
          </cell>
          <cell r="J1963" t="str">
            <v>SHRIGONDA-SH</v>
          </cell>
          <cell r="K1963" t="str">
            <v>Ahmednagar</v>
          </cell>
          <cell r="L1963" t="str">
            <v>D2</v>
          </cell>
          <cell r="O1963" t="str">
            <v>B</v>
          </cell>
          <cell r="P1963">
            <v>24</v>
          </cell>
          <cell r="Q1963">
            <v>24</v>
          </cell>
          <cell r="R1963">
            <v>52</v>
          </cell>
          <cell r="S1963">
            <v>84</v>
          </cell>
          <cell r="T1963">
            <v>-28</v>
          </cell>
          <cell r="U1963">
            <v>-60</v>
          </cell>
          <cell r="V1963">
            <v>48</v>
          </cell>
          <cell r="W1963">
            <v>48</v>
          </cell>
          <cell r="X1963">
            <v>104</v>
          </cell>
          <cell r="Y1963">
            <v>168</v>
          </cell>
          <cell r="Z1963">
            <v>-56</v>
          </cell>
          <cell r="AA1963">
            <v>-120</v>
          </cell>
          <cell r="AB1963">
            <v>48</v>
          </cell>
          <cell r="AC1963">
            <v>136</v>
          </cell>
          <cell r="AD1963">
            <v>-88</v>
          </cell>
          <cell r="AE1963">
            <v>96</v>
          </cell>
          <cell r="AF1963">
            <v>272</v>
          </cell>
          <cell r="AG1963">
            <v>-176</v>
          </cell>
        </row>
        <row r="1964">
          <cell r="C1964">
            <v>35505</v>
          </cell>
          <cell r="D1964" t="str">
            <v>SANDEEP SERVICE STATION</v>
          </cell>
          <cell r="E1964" t="str">
            <v>NEL</v>
          </cell>
          <cell r="G1964" t="str">
            <v>Ahmednagar West RSA</v>
          </cell>
          <cell r="J1964" t="str">
            <v>Nighoj</v>
          </cell>
          <cell r="K1964" t="str">
            <v>Ahmednagar</v>
          </cell>
          <cell r="L1964" t="str">
            <v>D1</v>
          </cell>
          <cell r="M1964" t="str">
            <v>NH-761</v>
          </cell>
          <cell r="O1964" t="str">
            <v>B</v>
          </cell>
          <cell r="P1964">
            <v>24</v>
          </cell>
          <cell r="Q1964">
            <v>48</v>
          </cell>
          <cell r="R1964">
            <v>52</v>
          </cell>
          <cell r="S1964">
            <v>100</v>
          </cell>
          <cell r="T1964">
            <v>-28</v>
          </cell>
          <cell r="U1964">
            <v>-52</v>
          </cell>
          <cell r="V1964">
            <v>72</v>
          </cell>
          <cell r="W1964">
            <v>84</v>
          </cell>
          <cell r="X1964">
            <v>104</v>
          </cell>
          <cell r="Y1964">
            <v>198</v>
          </cell>
          <cell r="Z1964">
            <v>-32</v>
          </cell>
          <cell r="AA1964">
            <v>-114</v>
          </cell>
          <cell r="AB1964">
            <v>72</v>
          </cell>
          <cell r="AC1964">
            <v>152</v>
          </cell>
          <cell r="AD1964">
            <v>-80</v>
          </cell>
          <cell r="AE1964">
            <v>156</v>
          </cell>
          <cell r="AF1964">
            <v>302</v>
          </cell>
          <cell r="AG1964">
            <v>-146</v>
          </cell>
        </row>
        <row r="1965">
          <cell r="C1965">
            <v>35911</v>
          </cell>
          <cell r="D1965" t="str">
            <v>Essar Ojhar</v>
          </cell>
          <cell r="E1965" t="str">
            <v>NEL</v>
          </cell>
          <cell r="G1965" t="str">
            <v>Pune Wagholi RSA</v>
          </cell>
          <cell r="J1965" t="str">
            <v>Narayangaon Ozar Road</v>
          </cell>
          <cell r="K1965" t="str">
            <v>Pune</v>
          </cell>
          <cell r="L1965" t="str">
            <v>D2</v>
          </cell>
          <cell r="O1965" t="str">
            <v>B</v>
          </cell>
          <cell r="P1965">
            <v>26</v>
          </cell>
          <cell r="Q1965">
            <v>22</v>
          </cell>
          <cell r="R1965">
            <v>32</v>
          </cell>
          <cell r="S1965">
            <v>54</v>
          </cell>
          <cell r="T1965">
            <v>-6</v>
          </cell>
          <cell r="U1965">
            <v>-32</v>
          </cell>
          <cell r="V1965">
            <v>51</v>
          </cell>
          <cell r="W1965">
            <v>44</v>
          </cell>
          <cell r="X1965">
            <v>64</v>
          </cell>
          <cell r="Y1965">
            <v>104</v>
          </cell>
          <cell r="Z1965">
            <v>-13</v>
          </cell>
          <cell r="AA1965">
            <v>-60</v>
          </cell>
          <cell r="AB1965">
            <v>48</v>
          </cell>
          <cell r="AC1965">
            <v>86</v>
          </cell>
          <cell r="AD1965">
            <v>-38</v>
          </cell>
          <cell r="AE1965">
            <v>95</v>
          </cell>
          <cell r="AF1965">
            <v>168</v>
          </cell>
          <cell r="AG1965">
            <v>-73</v>
          </cell>
        </row>
        <row r="1966">
          <cell r="C1966">
            <v>35921</v>
          </cell>
          <cell r="D1966" t="str">
            <v>Essar Kandali</v>
          </cell>
          <cell r="E1966" t="str">
            <v>NEL</v>
          </cell>
          <cell r="G1966" t="str">
            <v>Pimpri Chinchwad RSA</v>
          </cell>
          <cell r="J1966" t="str">
            <v xml:space="preserve">Sablewadi to shikhrapur </v>
          </cell>
          <cell r="K1966" t="str">
            <v>Pune</v>
          </cell>
          <cell r="L1966" t="str">
            <v>D1</v>
          </cell>
          <cell r="M1966" t="str">
            <v>NH-548D</v>
          </cell>
          <cell r="O1966" t="str">
            <v>B</v>
          </cell>
          <cell r="P1966">
            <v>24</v>
          </cell>
          <cell r="Q1966">
            <v>30</v>
          </cell>
          <cell r="R1966">
            <v>30</v>
          </cell>
          <cell r="S1966">
            <v>46</v>
          </cell>
          <cell r="T1966">
            <v>-6</v>
          </cell>
          <cell r="U1966">
            <v>-16</v>
          </cell>
          <cell r="V1966">
            <v>48</v>
          </cell>
          <cell r="W1966">
            <v>60</v>
          </cell>
          <cell r="X1966">
            <v>60</v>
          </cell>
          <cell r="Y1966">
            <v>92</v>
          </cell>
          <cell r="Z1966">
            <v>-12</v>
          </cell>
          <cell r="AA1966">
            <v>-32</v>
          </cell>
          <cell r="AB1966">
            <v>54</v>
          </cell>
          <cell r="AC1966">
            <v>76</v>
          </cell>
          <cell r="AD1966">
            <v>-22</v>
          </cell>
          <cell r="AE1966">
            <v>108</v>
          </cell>
          <cell r="AF1966">
            <v>152</v>
          </cell>
          <cell r="AG1966">
            <v>-44</v>
          </cell>
        </row>
        <row r="1967">
          <cell r="C1967">
            <v>37275</v>
          </cell>
          <cell r="D1967" t="str">
            <v>S D PETROLEUM RASE</v>
          </cell>
          <cell r="E1967" t="str">
            <v>NEL</v>
          </cell>
          <cell r="G1967" t="str">
            <v>Pimpri Chinchwad RSA</v>
          </cell>
          <cell r="J1967" t="str">
            <v>Chakan Bhose</v>
          </cell>
          <cell r="K1967" t="str">
            <v>Pune</v>
          </cell>
          <cell r="L1967" t="str">
            <v>D1</v>
          </cell>
          <cell r="M1967" t="str">
            <v>NH-548D</v>
          </cell>
          <cell r="O1967" t="str">
            <v>B</v>
          </cell>
          <cell r="P1967">
            <v>16</v>
          </cell>
          <cell r="Q1967">
            <v>24</v>
          </cell>
          <cell r="R1967">
            <v>18</v>
          </cell>
          <cell r="S1967">
            <v>50</v>
          </cell>
          <cell r="T1967">
            <v>-2</v>
          </cell>
          <cell r="U1967">
            <v>-26</v>
          </cell>
          <cell r="V1967">
            <v>32</v>
          </cell>
          <cell r="W1967">
            <v>44</v>
          </cell>
          <cell r="X1967">
            <v>36</v>
          </cell>
          <cell r="Y1967">
            <v>100</v>
          </cell>
          <cell r="Z1967">
            <v>-4</v>
          </cell>
          <cell r="AA1967">
            <v>-56</v>
          </cell>
          <cell r="AB1967">
            <v>40</v>
          </cell>
          <cell r="AC1967">
            <v>68</v>
          </cell>
          <cell r="AD1967">
            <v>-28</v>
          </cell>
          <cell r="AE1967">
            <v>76</v>
          </cell>
          <cell r="AF1967">
            <v>136</v>
          </cell>
          <cell r="AG1967">
            <v>-60</v>
          </cell>
        </row>
        <row r="1968">
          <cell r="C1968">
            <v>37276</v>
          </cell>
          <cell r="D1968" t="str">
            <v>Siddhivinayak Petroleum, Savardari</v>
          </cell>
          <cell r="E1968" t="str">
            <v>NEL</v>
          </cell>
          <cell r="G1968" t="str">
            <v>Pimpri Chinchwad RSA</v>
          </cell>
          <cell r="J1968" t="str">
            <v>Chakan MIDC</v>
          </cell>
          <cell r="K1968" t="str">
            <v>Pune</v>
          </cell>
          <cell r="L1968" t="str">
            <v>C</v>
          </cell>
          <cell r="O1968" t="str">
            <v>B</v>
          </cell>
          <cell r="P1968">
            <v>12</v>
          </cell>
          <cell r="Q1968">
            <v>24</v>
          </cell>
          <cell r="R1968">
            <v>58</v>
          </cell>
          <cell r="S1968">
            <v>70</v>
          </cell>
          <cell r="T1968">
            <v>-46</v>
          </cell>
          <cell r="U1968">
            <v>-46</v>
          </cell>
          <cell r="V1968">
            <v>36</v>
          </cell>
          <cell r="W1968">
            <v>48</v>
          </cell>
          <cell r="X1968">
            <v>114</v>
          </cell>
          <cell r="Y1968">
            <v>130</v>
          </cell>
          <cell r="Z1968">
            <v>-78</v>
          </cell>
          <cell r="AA1968">
            <v>-82</v>
          </cell>
          <cell r="AB1968">
            <v>36</v>
          </cell>
          <cell r="AC1968">
            <v>128</v>
          </cell>
          <cell r="AD1968">
            <v>-92</v>
          </cell>
          <cell r="AE1968">
            <v>84</v>
          </cell>
          <cell r="AF1968">
            <v>244</v>
          </cell>
          <cell r="AG1968">
            <v>-160</v>
          </cell>
        </row>
        <row r="1969">
          <cell r="C1969">
            <v>37277</v>
          </cell>
          <cell r="D1969" t="str">
            <v>Kaveri Petrol Depot, Kharabwadi</v>
          </cell>
          <cell r="E1969" t="str">
            <v>NEL</v>
          </cell>
          <cell r="G1969" t="str">
            <v>Pimpri Chinchwad RSA</v>
          </cell>
          <cell r="J1969" t="str">
            <v>Chakan MIDC</v>
          </cell>
          <cell r="K1969" t="str">
            <v>Pune</v>
          </cell>
          <cell r="L1969" t="str">
            <v>C</v>
          </cell>
          <cell r="O1969" t="str">
            <v>B</v>
          </cell>
          <cell r="P1969">
            <v>20</v>
          </cell>
          <cell r="Q1969">
            <v>20</v>
          </cell>
          <cell r="R1969">
            <v>24</v>
          </cell>
          <cell r="S1969">
            <v>48</v>
          </cell>
          <cell r="T1969">
            <v>-4</v>
          </cell>
          <cell r="U1969">
            <v>-28</v>
          </cell>
          <cell r="V1969">
            <v>40</v>
          </cell>
          <cell r="W1969">
            <v>38</v>
          </cell>
          <cell r="X1969">
            <v>48</v>
          </cell>
          <cell r="Y1969">
            <v>96</v>
          </cell>
          <cell r="Z1969">
            <v>-8</v>
          </cell>
          <cell r="AA1969">
            <v>-58</v>
          </cell>
          <cell r="AB1969">
            <v>40</v>
          </cell>
          <cell r="AC1969">
            <v>72</v>
          </cell>
          <cell r="AD1969">
            <v>-32</v>
          </cell>
          <cell r="AE1969">
            <v>78</v>
          </cell>
          <cell r="AF1969">
            <v>144</v>
          </cell>
          <cell r="AG1969">
            <v>-66</v>
          </cell>
        </row>
        <row r="1970">
          <cell r="C1970">
            <v>37278</v>
          </cell>
          <cell r="D1970" t="str">
            <v>Gawade Petroleum, Chakan</v>
          </cell>
          <cell r="E1970" t="str">
            <v>NEL</v>
          </cell>
          <cell r="G1970" t="str">
            <v>Pimpri Chinchwad RSA</v>
          </cell>
          <cell r="J1970" t="str">
            <v>Chakan MIDC</v>
          </cell>
          <cell r="K1970" t="str">
            <v>Pune</v>
          </cell>
          <cell r="L1970" t="str">
            <v>C</v>
          </cell>
          <cell r="O1970" t="str">
            <v>B</v>
          </cell>
          <cell r="P1970">
            <v>12</v>
          </cell>
          <cell r="Q1970">
            <v>20</v>
          </cell>
          <cell r="R1970">
            <v>22</v>
          </cell>
          <cell r="S1970">
            <v>60</v>
          </cell>
          <cell r="T1970">
            <v>-10</v>
          </cell>
          <cell r="U1970">
            <v>-40</v>
          </cell>
          <cell r="V1970">
            <v>24</v>
          </cell>
          <cell r="W1970">
            <v>40</v>
          </cell>
          <cell r="X1970">
            <v>44</v>
          </cell>
          <cell r="Y1970">
            <v>114</v>
          </cell>
          <cell r="Z1970">
            <v>-20</v>
          </cell>
          <cell r="AA1970">
            <v>-74</v>
          </cell>
          <cell r="AB1970">
            <v>32</v>
          </cell>
          <cell r="AC1970">
            <v>82</v>
          </cell>
          <cell r="AD1970">
            <v>-50</v>
          </cell>
          <cell r="AE1970">
            <v>64</v>
          </cell>
          <cell r="AF1970">
            <v>158</v>
          </cell>
          <cell r="AG1970">
            <v>-94</v>
          </cell>
        </row>
        <row r="1971">
          <cell r="C1971">
            <v>37279</v>
          </cell>
          <cell r="D1971" t="str">
            <v>Navvakar Petrol Pumps, Chikhli</v>
          </cell>
          <cell r="E1971" t="str">
            <v>NEL</v>
          </cell>
          <cell r="G1971" t="str">
            <v>Pimpri Chinchwad RSA</v>
          </cell>
          <cell r="J1971" t="str">
            <v>Moshi</v>
          </cell>
          <cell r="K1971" t="str">
            <v>Pune</v>
          </cell>
          <cell r="L1971" t="str">
            <v>A</v>
          </cell>
          <cell r="O1971" t="str">
            <v>B</v>
          </cell>
          <cell r="P1971">
            <v>12</v>
          </cell>
          <cell r="Q1971">
            <v>24</v>
          </cell>
          <cell r="R1971">
            <v>20</v>
          </cell>
          <cell r="S1971">
            <v>40</v>
          </cell>
          <cell r="T1971">
            <v>-8</v>
          </cell>
          <cell r="U1971">
            <v>-16</v>
          </cell>
          <cell r="V1971">
            <v>34</v>
          </cell>
          <cell r="W1971">
            <v>42</v>
          </cell>
          <cell r="X1971">
            <v>40</v>
          </cell>
          <cell r="Y1971">
            <v>74</v>
          </cell>
          <cell r="Z1971">
            <v>-6</v>
          </cell>
          <cell r="AA1971">
            <v>-32</v>
          </cell>
          <cell r="AB1971">
            <v>36</v>
          </cell>
          <cell r="AC1971">
            <v>60</v>
          </cell>
          <cell r="AD1971">
            <v>-24</v>
          </cell>
          <cell r="AE1971">
            <v>76</v>
          </cell>
          <cell r="AF1971">
            <v>114</v>
          </cell>
          <cell r="AG1971">
            <v>-38</v>
          </cell>
        </row>
        <row r="1972">
          <cell r="C1972">
            <v>37705</v>
          </cell>
          <cell r="D1972" t="str">
            <v>K P Sales</v>
          </cell>
          <cell r="E1972" t="str">
            <v>NEL</v>
          </cell>
          <cell r="G1972" t="str">
            <v>Satara West RSA</v>
          </cell>
          <cell r="J1972" t="str">
            <v>Karad Oglewadi Road</v>
          </cell>
          <cell r="K1972" t="str">
            <v>Satara</v>
          </cell>
          <cell r="L1972" t="str">
            <v>D1</v>
          </cell>
          <cell r="M1972" t="str">
            <v>NH-166E</v>
          </cell>
          <cell r="O1972" t="str">
            <v>B</v>
          </cell>
          <cell r="P1972">
            <v>12</v>
          </cell>
          <cell r="Q1972">
            <v>24</v>
          </cell>
          <cell r="R1972">
            <v>38</v>
          </cell>
          <cell r="S1972">
            <v>40</v>
          </cell>
          <cell r="T1972">
            <v>-26</v>
          </cell>
          <cell r="U1972">
            <v>-16</v>
          </cell>
          <cell r="V1972">
            <v>24</v>
          </cell>
          <cell r="W1972">
            <v>48</v>
          </cell>
          <cell r="X1972">
            <v>76</v>
          </cell>
          <cell r="Y1972">
            <v>76</v>
          </cell>
          <cell r="Z1972">
            <v>-52</v>
          </cell>
          <cell r="AA1972">
            <v>-28</v>
          </cell>
          <cell r="AB1972">
            <v>36</v>
          </cell>
          <cell r="AC1972">
            <v>78</v>
          </cell>
          <cell r="AD1972">
            <v>-42</v>
          </cell>
          <cell r="AE1972">
            <v>72</v>
          </cell>
          <cell r="AF1972">
            <v>152</v>
          </cell>
          <cell r="AG1972">
            <v>-80</v>
          </cell>
        </row>
        <row r="1973">
          <cell r="C1973">
            <v>37720</v>
          </cell>
          <cell r="D1973" t="str">
            <v>JAI MALHAR PETROL PUMP</v>
          </cell>
          <cell r="E1973" t="str">
            <v>NEL</v>
          </cell>
          <cell r="G1973" t="str">
            <v>Ahmednagar West RSA</v>
          </cell>
          <cell r="J1973" t="str">
            <v>Walki</v>
          </cell>
          <cell r="K1973" t="str">
            <v>Ahmednagar</v>
          </cell>
          <cell r="L1973" t="str">
            <v>E</v>
          </cell>
          <cell r="O1973" t="str">
            <v>B</v>
          </cell>
          <cell r="P1973">
            <v>24</v>
          </cell>
          <cell r="Q1973">
            <v>36</v>
          </cell>
          <cell r="R1973">
            <v>42</v>
          </cell>
          <cell r="S1973">
            <v>98</v>
          </cell>
          <cell r="T1973">
            <v>-18</v>
          </cell>
          <cell r="U1973">
            <v>-62</v>
          </cell>
          <cell r="V1973">
            <v>48</v>
          </cell>
          <cell r="W1973">
            <v>60</v>
          </cell>
          <cell r="X1973">
            <v>84</v>
          </cell>
          <cell r="Y1973">
            <v>196</v>
          </cell>
          <cell r="Z1973">
            <v>-36</v>
          </cell>
          <cell r="AA1973">
            <v>-136</v>
          </cell>
          <cell r="AB1973">
            <v>60</v>
          </cell>
          <cell r="AC1973">
            <v>140</v>
          </cell>
          <cell r="AD1973">
            <v>-80</v>
          </cell>
          <cell r="AE1973">
            <v>108</v>
          </cell>
          <cell r="AF1973">
            <v>280</v>
          </cell>
          <cell r="AG1973">
            <v>-172</v>
          </cell>
        </row>
        <row r="1974">
          <cell r="C1974">
            <v>37721</v>
          </cell>
          <cell r="D1974" t="str">
            <v>VAISHNAVI PETROLEUM</v>
          </cell>
          <cell r="E1974" t="str">
            <v>NEL</v>
          </cell>
          <cell r="G1974" t="str">
            <v>Ahmednagar West RSA</v>
          </cell>
          <cell r="J1974" t="str">
            <v>Karjat</v>
          </cell>
          <cell r="K1974" t="str">
            <v>Ahmednagar</v>
          </cell>
          <cell r="L1974" t="str">
            <v>D2</v>
          </cell>
          <cell r="O1974" t="str">
            <v>B</v>
          </cell>
          <cell r="P1974">
            <v>24</v>
          </cell>
          <cell r="Q1974">
            <v>36</v>
          </cell>
          <cell r="R1974">
            <v>45</v>
          </cell>
          <cell r="S1974">
            <v>98</v>
          </cell>
          <cell r="T1974">
            <v>-21</v>
          </cell>
          <cell r="U1974">
            <v>-62</v>
          </cell>
          <cell r="V1974">
            <v>48</v>
          </cell>
          <cell r="W1974">
            <v>60</v>
          </cell>
          <cell r="X1974">
            <v>93</v>
          </cell>
          <cell r="Y1974">
            <v>192</v>
          </cell>
          <cell r="Z1974">
            <v>-45</v>
          </cell>
          <cell r="AA1974">
            <v>-132</v>
          </cell>
          <cell r="AB1974">
            <v>60</v>
          </cell>
          <cell r="AC1974">
            <v>143</v>
          </cell>
          <cell r="AD1974">
            <v>-83</v>
          </cell>
          <cell r="AE1974">
            <v>108</v>
          </cell>
          <cell r="AF1974">
            <v>285</v>
          </cell>
          <cell r="AG1974">
            <v>-177</v>
          </cell>
        </row>
        <row r="1975">
          <cell r="C1975">
            <v>38445</v>
          </cell>
          <cell r="D1975" t="str">
            <v>SWAGAT PETROLEUM</v>
          </cell>
          <cell r="E1975" t="str">
            <v>NEL</v>
          </cell>
          <cell r="G1975" t="str">
            <v>Ahmednagar West RSA</v>
          </cell>
          <cell r="J1975" t="str">
            <v>TAKLI KAZI</v>
          </cell>
          <cell r="K1975" t="str">
            <v>Ahmednagar</v>
          </cell>
          <cell r="L1975" t="str">
            <v>D1</v>
          </cell>
          <cell r="M1975" t="str">
            <v>NH-561</v>
          </cell>
          <cell r="O1975" t="str">
            <v>B</v>
          </cell>
          <cell r="P1975">
            <v>24</v>
          </cell>
          <cell r="Q1975">
            <v>30</v>
          </cell>
          <cell r="R1975">
            <v>28</v>
          </cell>
          <cell r="S1975">
            <v>94</v>
          </cell>
          <cell r="T1975">
            <v>-4</v>
          </cell>
          <cell r="U1975">
            <v>-64</v>
          </cell>
          <cell r="V1975">
            <v>52</v>
          </cell>
          <cell r="W1975">
            <v>50</v>
          </cell>
          <cell r="X1975">
            <v>56</v>
          </cell>
          <cell r="Y1975">
            <v>188</v>
          </cell>
          <cell r="Z1975">
            <v>-4</v>
          </cell>
          <cell r="AA1975">
            <v>-138</v>
          </cell>
          <cell r="AB1975">
            <v>54</v>
          </cell>
          <cell r="AC1975">
            <v>122</v>
          </cell>
          <cell r="AD1975">
            <v>-68</v>
          </cell>
          <cell r="AE1975">
            <v>102</v>
          </cell>
          <cell r="AF1975">
            <v>244</v>
          </cell>
          <cell r="AG1975">
            <v>-142</v>
          </cell>
        </row>
        <row r="1976">
          <cell r="C1976">
            <v>38446</v>
          </cell>
          <cell r="D1976" t="str">
            <v>TRIMURTI PETROLEUM</v>
          </cell>
          <cell r="E1976" t="str">
            <v>NEL</v>
          </cell>
          <cell r="G1976" t="str">
            <v>Ahmednagar West RSA</v>
          </cell>
          <cell r="J1976" t="str">
            <v>Kuldharan</v>
          </cell>
          <cell r="K1976" t="str">
            <v>Ahmednagar</v>
          </cell>
          <cell r="L1976" t="str">
            <v>D2</v>
          </cell>
          <cell r="O1976" t="str">
            <v>B</v>
          </cell>
          <cell r="P1976">
            <v>24</v>
          </cell>
          <cell r="Q1976">
            <v>44</v>
          </cell>
          <cell r="R1976">
            <v>48</v>
          </cell>
          <cell r="S1976">
            <v>78</v>
          </cell>
          <cell r="T1976">
            <v>-24</v>
          </cell>
          <cell r="U1976">
            <v>-34</v>
          </cell>
          <cell r="V1976">
            <v>48</v>
          </cell>
          <cell r="W1976">
            <v>76</v>
          </cell>
          <cell r="X1976">
            <v>100</v>
          </cell>
          <cell r="Y1976">
            <v>156</v>
          </cell>
          <cell r="Z1976">
            <v>-52</v>
          </cell>
          <cell r="AA1976">
            <v>-80</v>
          </cell>
          <cell r="AB1976">
            <v>68</v>
          </cell>
          <cell r="AC1976">
            <v>126</v>
          </cell>
          <cell r="AD1976">
            <v>-58</v>
          </cell>
          <cell r="AE1976">
            <v>124</v>
          </cell>
          <cell r="AF1976">
            <v>256</v>
          </cell>
          <cell r="AG1976">
            <v>-132</v>
          </cell>
        </row>
        <row r="1977">
          <cell r="C1977">
            <v>38447</v>
          </cell>
          <cell r="D1977" t="str">
            <v>Vaishnavi Service Center</v>
          </cell>
          <cell r="E1977" t="str">
            <v>NEL</v>
          </cell>
          <cell r="G1977" t="str">
            <v>Ahmednagar West RSA</v>
          </cell>
          <cell r="J1977" t="str">
            <v>ambijalgaon</v>
          </cell>
          <cell r="K1977" t="str">
            <v>Ahmednagar</v>
          </cell>
          <cell r="L1977" t="str">
            <v>E</v>
          </cell>
          <cell r="O1977" t="str">
            <v>B</v>
          </cell>
          <cell r="P1977">
            <v>35</v>
          </cell>
          <cell r="Q1977">
            <v>48</v>
          </cell>
          <cell r="R1977">
            <v>36</v>
          </cell>
          <cell r="S1977">
            <v>75</v>
          </cell>
          <cell r="T1977">
            <v>-1</v>
          </cell>
          <cell r="U1977">
            <v>-27</v>
          </cell>
          <cell r="V1977">
            <v>70</v>
          </cell>
          <cell r="W1977">
            <v>78</v>
          </cell>
          <cell r="X1977">
            <v>72</v>
          </cell>
          <cell r="Y1977">
            <v>150</v>
          </cell>
          <cell r="Z1977">
            <v>-2</v>
          </cell>
          <cell r="AA1977">
            <v>-72</v>
          </cell>
          <cell r="AB1977">
            <v>83</v>
          </cell>
          <cell r="AC1977">
            <v>111</v>
          </cell>
          <cell r="AD1977">
            <v>-28</v>
          </cell>
          <cell r="AE1977">
            <v>148</v>
          </cell>
          <cell r="AF1977">
            <v>222</v>
          </cell>
          <cell r="AG1977">
            <v>-74</v>
          </cell>
        </row>
        <row r="1978">
          <cell r="C1978">
            <v>38448</v>
          </cell>
          <cell r="D1978" t="str">
            <v>TAPAL PETROLEUM, Dhandarfal</v>
          </cell>
          <cell r="E1978" t="str">
            <v>NEL</v>
          </cell>
          <cell r="G1978" t="str">
            <v>Shirdi RSA</v>
          </cell>
          <cell r="J1978" t="str">
            <v>KALAS AKOLE</v>
          </cell>
          <cell r="K1978" t="str">
            <v>Ahmednagar</v>
          </cell>
          <cell r="L1978" t="str">
            <v>D2</v>
          </cell>
          <cell r="O1978" t="str">
            <v>B</v>
          </cell>
          <cell r="P1978">
            <v>28</v>
          </cell>
          <cell r="Q1978">
            <v>20</v>
          </cell>
          <cell r="R1978">
            <v>32</v>
          </cell>
          <cell r="S1978">
            <v>90</v>
          </cell>
          <cell r="T1978">
            <v>-4</v>
          </cell>
          <cell r="U1978">
            <v>-70</v>
          </cell>
          <cell r="V1978">
            <v>58</v>
          </cell>
          <cell r="W1978">
            <v>40</v>
          </cell>
          <cell r="X1978">
            <v>64</v>
          </cell>
          <cell r="Y1978">
            <v>180</v>
          </cell>
          <cell r="Z1978">
            <v>-6</v>
          </cell>
          <cell r="AA1978">
            <v>-140</v>
          </cell>
          <cell r="AB1978">
            <v>48</v>
          </cell>
          <cell r="AC1978">
            <v>122</v>
          </cell>
          <cell r="AD1978">
            <v>-74</v>
          </cell>
          <cell r="AE1978">
            <v>98</v>
          </cell>
          <cell r="AF1978">
            <v>244</v>
          </cell>
          <cell r="AG1978">
            <v>-146</v>
          </cell>
        </row>
        <row r="1979">
          <cell r="C1979">
            <v>38639</v>
          </cell>
          <cell r="D1979" t="str">
            <v>JAKATE PETROLEUM</v>
          </cell>
          <cell r="E1979" t="str">
            <v>NEL</v>
          </cell>
          <cell r="G1979" t="str">
            <v>Ahmednagar West RSA</v>
          </cell>
          <cell r="J1979" t="str">
            <v>SHRIGONDA-NH</v>
          </cell>
          <cell r="K1979" t="str">
            <v>Ahmednagar</v>
          </cell>
          <cell r="L1979" t="str">
            <v>D1</v>
          </cell>
          <cell r="M1979" t="str">
            <v>NH-548D</v>
          </cell>
          <cell r="O1979" t="str">
            <v>B</v>
          </cell>
          <cell r="P1979">
            <v>24</v>
          </cell>
          <cell r="Q1979">
            <v>28</v>
          </cell>
          <cell r="R1979">
            <v>48</v>
          </cell>
          <cell r="S1979">
            <v>64</v>
          </cell>
          <cell r="T1979">
            <v>-24</v>
          </cell>
          <cell r="U1979">
            <v>-36</v>
          </cell>
          <cell r="V1979">
            <v>48</v>
          </cell>
          <cell r="W1979">
            <v>52</v>
          </cell>
          <cell r="X1979">
            <v>96</v>
          </cell>
          <cell r="Y1979">
            <v>128</v>
          </cell>
          <cell r="Z1979">
            <v>-48</v>
          </cell>
          <cell r="AA1979">
            <v>-76</v>
          </cell>
          <cell r="AB1979">
            <v>52</v>
          </cell>
          <cell r="AC1979">
            <v>112</v>
          </cell>
          <cell r="AD1979">
            <v>-60</v>
          </cell>
          <cell r="AE1979">
            <v>100</v>
          </cell>
          <cell r="AF1979">
            <v>224</v>
          </cell>
          <cell r="AG1979">
            <v>-124</v>
          </cell>
        </row>
        <row r="1980">
          <cell r="C1980">
            <v>38747</v>
          </cell>
          <cell r="D1980" t="str">
            <v>Maa Santoshi Enterprises</v>
          </cell>
          <cell r="E1980" t="str">
            <v>NEL</v>
          </cell>
          <cell r="G1980" t="str">
            <v>Pune City RSA</v>
          </cell>
          <cell r="J1980" t="str">
            <v>Pimple Saudagar</v>
          </cell>
          <cell r="K1980" t="str">
            <v>Pune</v>
          </cell>
          <cell r="L1980" t="str">
            <v>A</v>
          </cell>
          <cell r="O1980" t="str">
            <v>B</v>
          </cell>
          <cell r="P1980">
            <v>20</v>
          </cell>
          <cell r="Q1980">
            <v>12</v>
          </cell>
          <cell r="R1980">
            <v>22</v>
          </cell>
          <cell r="S1980">
            <v>50</v>
          </cell>
          <cell r="T1980">
            <v>-2</v>
          </cell>
          <cell r="U1980">
            <v>-38</v>
          </cell>
          <cell r="V1980">
            <v>40</v>
          </cell>
          <cell r="W1980">
            <v>24</v>
          </cell>
          <cell r="X1980">
            <v>44</v>
          </cell>
          <cell r="Y1980">
            <v>92</v>
          </cell>
          <cell r="Z1980">
            <v>-4</v>
          </cell>
          <cell r="AA1980">
            <v>-68</v>
          </cell>
          <cell r="AB1980">
            <v>32</v>
          </cell>
          <cell r="AC1980">
            <v>72</v>
          </cell>
          <cell r="AD1980">
            <v>-40</v>
          </cell>
          <cell r="AE1980">
            <v>64</v>
          </cell>
          <cell r="AF1980">
            <v>136</v>
          </cell>
          <cell r="AG1980">
            <v>-72</v>
          </cell>
        </row>
        <row r="1981">
          <cell r="C1981">
            <v>51811034</v>
          </cell>
          <cell r="D1981" t="str">
            <v>Nayara - Bunkarphata</v>
          </cell>
          <cell r="E1981" t="str">
            <v>NEL</v>
          </cell>
          <cell r="G1981" t="str">
            <v>Pune Wagholi RSA</v>
          </cell>
          <cell r="J1981" t="str">
            <v>OZAR</v>
          </cell>
          <cell r="K1981" t="str">
            <v>Pune</v>
          </cell>
          <cell r="L1981" t="str">
            <v>E</v>
          </cell>
          <cell r="O1981" t="str">
            <v>B</v>
          </cell>
          <cell r="P1981">
            <v>12</v>
          </cell>
          <cell r="Q1981">
            <v>32</v>
          </cell>
          <cell r="R1981">
            <v>34</v>
          </cell>
          <cell r="S1981">
            <v>50</v>
          </cell>
          <cell r="T1981">
            <v>-22</v>
          </cell>
          <cell r="U1981">
            <v>-18</v>
          </cell>
          <cell r="V1981">
            <v>24</v>
          </cell>
          <cell r="W1981">
            <v>44</v>
          </cell>
          <cell r="X1981">
            <v>68</v>
          </cell>
          <cell r="Y1981">
            <v>90</v>
          </cell>
          <cell r="Z1981">
            <v>-44</v>
          </cell>
          <cell r="AA1981">
            <v>-46</v>
          </cell>
          <cell r="AB1981">
            <v>44</v>
          </cell>
          <cell r="AC1981">
            <v>84</v>
          </cell>
          <cell r="AD1981">
            <v>-40</v>
          </cell>
          <cell r="AE1981">
            <v>68</v>
          </cell>
          <cell r="AF1981">
            <v>158</v>
          </cell>
          <cell r="AG1981">
            <v>-90</v>
          </cell>
        </row>
        <row r="1982">
          <cell r="C1982">
            <v>51811035</v>
          </cell>
          <cell r="D1982" t="str">
            <v>Nayara-Pargaon</v>
          </cell>
          <cell r="E1982" t="str">
            <v>NEL</v>
          </cell>
          <cell r="G1982" t="str">
            <v>Pune Wagholi RSA</v>
          </cell>
          <cell r="J1982" t="str">
            <v>Pimpalgaon Tarfe</v>
          </cell>
          <cell r="K1982" t="str">
            <v>Pune</v>
          </cell>
          <cell r="L1982" t="str">
            <v>E</v>
          </cell>
          <cell r="O1982" t="str">
            <v>B</v>
          </cell>
          <cell r="P1982">
            <v>12</v>
          </cell>
          <cell r="Q1982">
            <v>26</v>
          </cell>
          <cell r="R1982">
            <v>22</v>
          </cell>
          <cell r="S1982">
            <v>55</v>
          </cell>
          <cell r="T1982">
            <v>-10</v>
          </cell>
          <cell r="U1982">
            <v>-29</v>
          </cell>
          <cell r="V1982">
            <v>40</v>
          </cell>
          <cell r="W1982">
            <v>52</v>
          </cell>
          <cell r="X1982">
            <v>44</v>
          </cell>
          <cell r="Y1982">
            <v>105</v>
          </cell>
          <cell r="Z1982">
            <v>-4</v>
          </cell>
          <cell r="AA1982">
            <v>-53</v>
          </cell>
          <cell r="AB1982">
            <v>38</v>
          </cell>
          <cell r="AC1982">
            <v>77</v>
          </cell>
          <cell r="AD1982">
            <v>-39</v>
          </cell>
          <cell r="AE1982">
            <v>92</v>
          </cell>
          <cell r="AF1982">
            <v>149</v>
          </cell>
          <cell r="AG1982">
            <v>-57</v>
          </cell>
        </row>
        <row r="1983">
          <cell r="C1983">
            <v>51811037</v>
          </cell>
          <cell r="D1983" t="str">
            <v>GORAKSHNATH PETROLEUM</v>
          </cell>
          <cell r="E1983" t="str">
            <v>NEL</v>
          </cell>
          <cell r="G1983" t="str">
            <v>Ahmednagar West RSA</v>
          </cell>
          <cell r="J1983" t="str">
            <v>Rashin</v>
          </cell>
          <cell r="K1983" t="str">
            <v>Ahmednagar</v>
          </cell>
          <cell r="L1983" t="str">
            <v>D2</v>
          </cell>
          <cell r="O1983" t="str">
            <v>B</v>
          </cell>
          <cell r="P1983">
            <v>24</v>
          </cell>
          <cell r="Q1983">
            <v>60</v>
          </cell>
          <cell r="R1983">
            <v>35</v>
          </cell>
          <cell r="S1983">
            <v>108</v>
          </cell>
          <cell r="T1983">
            <v>-11</v>
          </cell>
          <cell r="U1983">
            <v>-48</v>
          </cell>
          <cell r="V1983">
            <v>48</v>
          </cell>
          <cell r="W1983">
            <v>96</v>
          </cell>
          <cell r="X1983">
            <v>70</v>
          </cell>
          <cell r="Y1983">
            <v>216</v>
          </cell>
          <cell r="Z1983">
            <v>-22</v>
          </cell>
          <cell r="AA1983">
            <v>-120</v>
          </cell>
          <cell r="AB1983">
            <v>84</v>
          </cell>
          <cell r="AC1983">
            <v>143</v>
          </cell>
          <cell r="AD1983">
            <v>-59</v>
          </cell>
          <cell r="AE1983">
            <v>144</v>
          </cell>
          <cell r="AF1983">
            <v>286</v>
          </cell>
          <cell r="AG1983">
            <v>-142</v>
          </cell>
        </row>
        <row r="1984">
          <cell r="C1984">
            <v>51811038</v>
          </cell>
          <cell r="D1984" t="str">
            <v>KOLHE PETROLEUM</v>
          </cell>
          <cell r="E1984" t="str">
            <v>NEL</v>
          </cell>
          <cell r="G1984" t="str">
            <v>Ahmednagar West RSA</v>
          </cell>
          <cell r="J1984" t="str">
            <v>JAMKHED-KHARDA RD</v>
          </cell>
          <cell r="K1984" t="str">
            <v>Ahmednagar</v>
          </cell>
          <cell r="L1984" t="str">
            <v>D2</v>
          </cell>
          <cell r="O1984" t="str">
            <v>B</v>
          </cell>
          <cell r="P1984">
            <v>24</v>
          </cell>
          <cell r="Q1984">
            <v>40</v>
          </cell>
          <cell r="R1984">
            <v>82</v>
          </cell>
          <cell r="S1984">
            <v>100</v>
          </cell>
          <cell r="T1984">
            <v>-58</v>
          </cell>
          <cell r="U1984">
            <v>-60</v>
          </cell>
          <cell r="V1984">
            <v>48</v>
          </cell>
          <cell r="W1984">
            <v>60</v>
          </cell>
          <cell r="X1984">
            <v>170</v>
          </cell>
          <cell r="Y1984">
            <v>195</v>
          </cell>
          <cell r="Z1984">
            <v>-122</v>
          </cell>
          <cell r="AA1984">
            <v>-135</v>
          </cell>
          <cell r="AB1984">
            <v>64</v>
          </cell>
          <cell r="AC1984">
            <v>182</v>
          </cell>
          <cell r="AD1984">
            <v>-118</v>
          </cell>
          <cell r="AE1984">
            <v>108</v>
          </cell>
          <cell r="AF1984">
            <v>365</v>
          </cell>
          <cell r="AG1984">
            <v>-257</v>
          </cell>
        </row>
        <row r="1985">
          <cell r="C1985">
            <v>51811039</v>
          </cell>
          <cell r="D1985" t="str">
            <v>ARYAN PETROLEUM</v>
          </cell>
          <cell r="E1985" t="str">
            <v>NEL</v>
          </cell>
          <cell r="G1985" t="str">
            <v>Ahmednagar West RSA</v>
          </cell>
          <cell r="J1985" t="str">
            <v>JAMKHED-NANNAJ RD</v>
          </cell>
          <cell r="K1985" t="str">
            <v>Ahmednagar</v>
          </cell>
          <cell r="L1985" t="str">
            <v>D2</v>
          </cell>
          <cell r="O1985" t="str">
            <v>B</v>
          </cell>
          <cell r="P1985">
            <v>32</v>
          </cell>
          <cell r="Q1985">
            <v>44</v>
          </cell>
          <cell r="R1985">
            <v>35</v>
          </cell>
          <cell r="S1985">
            <v>110</v>
          </cell>
          <cell r="T1985">
            <v>-3</v>
          </cell>
          <cell r="U1985">
            <v>-66</v>
          </cell>
          <cell r="V1985">
            <v>67</v>
          </cell>
          <cell r="W1985">
            <v>72</v>
          </cell>
          <cell r="X1985">
            <v>70</v>
          </cell>
          <cell r="Y1985">
            <v>220</v>
          </cell>
          <cell r="Z1985">
            <v>-3</v>
          </cell>
          <cell r="AA1985">
            <v>-148</v>
          </cell>
          <cell r="AB1985">
            <v>76</v>
          </cell>
          <cell r="AC1985">
            <v>145</v>
          </cell>
          <cell r="AD1985">
            <v>-69</v>
          </cell>
          <cell r="AE1985">
            <v>139</v>
          </cell>
          <cell r="AF1985">
            <v>290</v>
          </cell>
          <cell r="AG1985">
            <v>-151</v>
          </cell>
        </row>
        <row r="1986">
          <cell r="C1986">
            <v>51815794</v>
          </cell>
          <cell r="D1986" t="str">
            <v>NEL Pune 1</v>
          </cell>
          <cell r="E1986" t="str">
            <v>NEL</v>
          </cell>
          <cell r="G1986" t="str">
            <v>Pune Tathawade RSA</v>
          </cell>
          <cell r="J1986" t="str">
            <v>VADGAON TO TALEGAON DHABADE</v>
          </cell>
          <cell r="K1986" t="str">
            <v>Pune</v>
          </cell>
          <cell r="L1986" t="str">
            <v>C</v>
          </cell>
          <cell r="O1986" t="str">
            <v>B</v>
          </cell>
          <cell r="P1986">
            <v>28</v>
          </cell>
          <cell r="Q1986">
            <v>20</v>
          </cell>
          <cell r="R1986">
            <v>22</v>
          </cell>
          <cell r="S1986">
            <v>60</v>
          </cell>
          <cell r="T1986">
            <v>6</v>
          </cell>
          <cell r="U1986">
            <v>-40</v>
          </cell>
          <cell r="V1986">
            <v>56</v>
          </cell>
          <cell r="W1986">
            <v>40</v>
          </cell>
          <cell r="X1986">
            <v>44</v>
          </cell>
          <cell r="Y1986">
            <v>114</v>
          </cell>
          <cell r="Z1986">
            <v>12</v>
          </cell>
          <cell r="AA1986">
            <v>-74</v>
          </cell>
          <cell r="AB1986">
            <v>48</v>
          </cell>
          <cell r="AC1986">
            <v>82</v>
          </cell>
          <cell r="AD1986">
            <v>-34</v>
          </cell>
          <cell r="AE1986">
            <v>96</v>
          </cell>
          <cell r="AF1986">
            <v>158</v>
          </cell>
          <cell r="AG1986">
            <v>-62</v>
          </cell>
        </row>
        <row r="1987">
          <cell r="C1987">
            <v>51815795</v>
          </cell>
          <cell r="D1987" t="str">
            <v>NEL Pune 2</v>
          </cell>
          <cell r="E1987" t="str">
            <v>NEL</v>
          </cell>
          <cell r="G1987" t="str">
            <v>Pimpri Chinchwad RSA</v>
          </cell>
          <cell r="J1987" t="str">
            <v>Urse</v>
          </cell>
          <cell r="K1987" t="str">
            <v>Pune</v>
          </cell>
          <cell r="L1987" t="str">
            <v>E</v>
          </cell>
          <cell r="O1987" t="str">
            <v>B</v>
          </cell>
          <cell r="P1987">
            <v>12</v>
          </cell>
          <cell r="Q1987">
            <v>24</v>
          </cell>
          <cell r="R1987">
            <v>44</v>
          </cell>
          <cell r="S1987">
            <v>65</v>
          </cell>
          <cell r="T1987">
            <v>-32</v>
          </cell>
          <cell r="U1987">
            <v>-41</v>
          </cell>
          <cell r="V1987">
            <v>24</v>
          </cell>
          <cell r="W1987">
            <v>44</v>
          </cell>
          <cell r="X1987">
            <v>88</v>
          </cell>
          <cell r="Y1987">
            <v>125</v>
          </cell>
          <cell r="Z1987">
            <v>-64</v>
          </cell>
          <cell r="AA1987">
            <v>-81</v>
          </cell>
          <cell r="AB1987">
            <v>36</v>
          </cell>
          <cell r="AC1987">
            <v>109</v>
          </cell>
          <cell r="AD1987">
            <v>-73</v>
          </cell>
          <cell r="AE1987">
            <v>68</v>
          </cell>
          <cell r="AF1987">
            <v>213</v>
          </cell>
          <cell r="AG1987">
            <v>-145</v>
          </cell>
        </row>
        <row r="1988">
          <cell r="C1988">
            <v>51815796</v>
          </cell>
          <cell r="D1988" t="str">
            <v>NEL Pune 3</v>
          </cell>
          <cell r="E1988" t="str">
            <v>NEL</v>
          </cell>
          <cell r="G1988" t="str">
            <v>Pimpri Chinchwad RSA</v>
          </cell>
          <cell r="J1988" t="str">
            <v>Dawadmala</v>
          </cell>
          <cell r="K1988" t="str">
            <v>Pune</v>
          </cell>
          <cell r="L1988" t="str">
            <v>C</v>
          </cell>
          <cell r="O1988" t="str">
            <v>B</v>
          </cell>
          <cell r="P1988">
            <v>30</v>
          </cell>
          <cell r="Q1988">
            <v>20</v>
          </cell>
          <cell r="R1988">
            <v>34</v>
          </cell>
          <cell r="S1988">
            <v>45</v>
          </cell>
          <cell r="T1988">
            <v>-4</v>
          </cell>
          <cell r="U1988">
            <v>-25</v>
          </cell>
          <cell r="V1988">
            <v>60</v>
          </cell>
          <cell r="W1988">
            <v>40</v>
          </cell>
          <cell r="X1988">
            <v>68</v>
          </cell>
          <cell r="Y1988">
            <v>87</v>
          </cell>
          <cell r="Z1988">
            <v>-8</v>
          </cell>
          <cell r="AA1988">
            <v>-47</v>
          </cell>
          <cell r="AB1988">
            <v>50</v>
          </cell>
          <cell r="AC1988">
            <v>79</v>
          </cell>
          <cell r="AD1988">
            <v>-29</v>
          </cell>
          <cell r="AE1988">
            <v>100</v>
          </cell>
          <cell r="AF1988">
            <v>155</v>
          </cell>
          <cell r="AG1988">
            <v>-55</v>
          </cell>
        </row>
        <row r="1989">
          <cell r="C1989">
            <v>51815797</v>
          </cell>
          <cell r="D1989" t="str">
            <v>NEL Pune 4</v>
          </cell>
          <cell r="E1989" t="str">
            <v>NEL</v>
          </cell>
          <cell r="G1989" t="str">
            <v>Pimpri Chinchwad RSA</v>
          </cell>
          <cell r="J1989" t="str">
            <v>Dehu Road</v>
          </cell>
          <cell r="K1989" t="str">
            <v>Pune</v>
          </cell>
          <cell r="L1989" t="str">
            <v>C</v>
          </cell>
          <cell r="O1989" t="str">
            <v>B</v>
          </cell>
          <cell r="P1989">
            <v>16</v>
          </cell>
          <cell r="Q1989">
            <v>28</v>
          </cell>
          <cell r="R1989">
            <v>34</v>
          </cell>
          <cell r="S1989">
            <v>65</v>
          </cell>
          <cell r="T1989">
            <v>-18</v>
          </cell>
          <cell r="U1989">
            <v>-37</v>
          </cell>
          <cell r="V1989">
            <v>32</v>
          </cell>
          <cell r="W1989">
            <v>58</v>
          </cell>
          <cell r="X1989">
            <v>68</v>
          </cell>
          <cell r="Y1989">
            <v>123</v>
          </cell>
          <cell r="Z1989">
            <v>-36</v>
          </cell>
          <cell r="AA1989">
            <v>-65</v>
          </cell>
          <cell r="AB1989">
            <v>44</v>
          </cell>
          <cell r="AC1989">
            <v>99</v>
          </cell>
          <cell r="AD1989">
            <v>-55</v>
          </cell>
          <cell r="AE1989">
            <v>90</v>
          </cell>
          <cell r="AF1989">
            <v>191</v>
          </cell>
          <cell r="AG1989">
            <v>-101</v>
          </cell>
        </row>
        <row r="1990">
          <cell r="C1990">
            <v>51815798</v>
          </cell>
          <cell r="D1990" t="str">
            <v>NEL Pune 5</v>
          </cell>
          <cell r="E1990" t="str">
            <v>NEL</v>
          </cell>
          <cell r="G1990" t="str">
            <v>Pimpri Chinchwad RSA</v>
          </cell>
          <cell r="J1990" t="str">
            <v>Dehu Road</v>
          </cell>
          <cell r="K1990" t="str">
            <v>Pune</v>
          </cell>
          <cell r="L1990" t="str">
            <v>D1</v>
          </cell>
          <cell r="M1990" t="str">
            <v>NH-548D</v>
          </cell>
          <cell r="O1990" t="str">
            <v>B</v>
          </cell>
          <cell r="P1990">
            <v>40</v>
          </cell>
          <cell r="Q1990">
            <v>12</v>
          </cell>
          <cell r="R1990">
            <v>46</v>
          </cell>
          <cell r="S1990">
            <v>50</v>
          </cell>
          <cell r="T1990">
            <v>-6</v>
          </cell>
          <cell r="U1990">
            <v>-38</v>
          </cell>
          <cell r="V1990">
            <v>80</v>
          </cell>
          <cell r="W1990">
            <v>24</v>
          </cell>
          <cell r="X1990">
            <v>92</v>
          </cell>
          <cell r="Y1990">
            <v>100</v>
          </cell>
          <cell r="Z1990">
            <v>-12</v>
          </cell>
          <cell r="AA1990">
            <v>-76</v>
          </cell>
          <cell r="AB1990">
            <v>52</v>
          </cell>
          <cell r="AC1990">
            <v>96</v>
          </cell>
          <cell r="AD1990">
            <v>-44</v>
          </cell>
          <cell r="AE1990">
            <v>104</v>
          </cell>
          <cell r="AF1990">
            <v>192</v>
          </cell>
          <cell r="AG1990">
            <v>-88</v>
          </cell>
        </row>
        <row r="1991">
          <cell r="C1991">
            <v>51815799</v>
          </cell>
          <cell r="D1991" t="str">
            <v>NEL Pune 6</v>
          </cell>
          <cell r="E1991" t="str">
            <v>NEL</v>
          </cell>
          <cell r="G1991" t="str">
            <v>Pimpri Chinchwad RSA</v>
          </cell>
          <cell r="J1991" t="str">
            <v>Chowisawadi</v>
          </cell>
          <cell r="K1991" t="str">
            <v>Pune</v>
          </cell>
          <cell r="L1991" t="str">
            <v>A</v>
          </cell>
          <cell r="O1991" t="str">
            <v>B</v>
          </cell>
          <cell r="P1991">
            <v>20</v>
          </cell>
          <cell r="Q1991">
            <v>24</v>
          </cell>
          <cell r="R1991">
            <v>56</v>
          </cell>
          <cell r="S1991">
            <v>65</v>
          </cell>
          <cell r="T1991">
            <v>-36</v>
          </cell>
          <cell r="U1991">
            <v>-41</v>
          </cell>
          <cell r="V1991">
            <v>40</v>
          </cell>
          <cell r="W1991">
            <v>49</v>
          </cell>
          <cell r="X1991">
            <v>110</v>
          </cell>
          <cell r="Y1991">
            <v>125</v>
          </cell>
          <cell r="Z1991">
            <v>-70</v>
          </cell>
          <cell r="AA1991">
            <v>-76</v>
          </cell>
          <cell r="AB1991">
            <v>44</v>
          </cell>
          <cell r="AC1991">
            <v>121</v>
          </cell>
          <cell r="AD1991">
            <v>-77</v>
          </cell>
          <cell r="AE1991">
            <v>89</v>
          </cell>
          <cell r="AF1991">
            <v>235</v>
          </cell>
          <cell r="AG1991">
            <v>-146</v>
          </cell>
        </row>
        <row r="1992">
          <cell r="C1992">
            <v>51815800</v>
          </cell>
          <cell r="D1992" t="str">
            <v>NEL Pune 7</v>
          </cell>
          <cell r="E1992" t="str">
            <v>NEL</v>
          </cell>
          <cell r="G1992" t="str">
            <v>Pimpri Chinchwad RSA</v>
          </cell>
          <cell r="J1992" t="str">
            <v>Dapodi</v>
          </cell>
          <cell r="K1992" t="str">
            <v>Pune</v>
          </cell>
          <cell r="L1992" t="str">
            <v>A</v>
          </cell>
          <cell r="M1992" t="str">
            <v>NH-965</v>
          </cell>
          <cell r="O1992" t="str">
            <v>A</v>
          </cell>
          <cell r="P1992">
            <v>12</v>
          </cell>
          <cell r="Q1992">
            <v>27.5</v>
          </cell>
          <cell r="R1992">
            <v>48</v>
          </cell>
          <cell r="S1992">
            <v>60</v>
          </cell>
          <cell r="T1992">
            <v>-36</v>
          </cell>
          <cell r="U1992">
            <v>-32.5</v>
          </cell>
          <cell r="V1992">
            <v>24</v>
          </cell>
          <cell r="W1992">
            <v>55</v>
          </cell>
          <cell r="X1992">
            <v>96</v>
          </cell>
          <cell r="Y1992">
            <v>110</v>
          </cell>
          <cell r="Z1992">
            <v>-72</v>
          </cell>
          <cell r="AA1992">
            <v>-55</v>
          </cell>
          <cell r="AB1992">
            <v>39.5</v>
          </cell>
          <cell r="AC1992">
            <v>108</v>
          </cell>
          <cell r="AD1992">
            <v>-68.5</v>
          </cell>
          <cell r="AE1992">
            <v>79</v>
          </cell>
          <cell r="AF1992">
            <v>206</v>
          </cell>
          <cell r="AG1992">
            <v>-127</v>
          </cell>
        </row>
        <row r="1993">
          <cell r="C1993">
            <v>51815801</v>
          </cell>
          <cell r="D1993" t="str">
            <v>NEL Pune 8</v>
          </cell>
          <cell r="E1993" t="str">
            <v>NEL</v>
          </cell>
          <cell r="G1993" t="str">
            <v>Pimpri Chinchwad RSA</v>
          </cell>
          <cell r="J1993" t="str">
            <v>CHIKHLI</v>
          </cell>
          <cell r="K1993" t="str">
            <v>Pune</v>
          </cell>
          <cell r="L1993" t="str">
            <v>A</v>
          </cell>
          <cell r="O1993" t="str">
            <v>B</v>
          </cell>
          <cell r="P1993">
            <v>32</v>
          </cell>
          <cell r="Q1993">
            <v>40</v>
          </cell>
          <cell r="R1993">
            <v>32</v>
          </cell>
          <cell r="S1993">
            <v>65</v>
          </cell>
          <cell r="T1993">
            <v>0</v>
          </cell>
          <cell r="U1993">
            <v>-25</v>
          </cell>
          <cell r="V1993">
            <v>64</v>
          </cell>
          <cell r="W1993">
            <v>60</v>
          </cell>
          <cell r="X1993">
            <v>64</v>
          </cell>
          <cell r="Y1993">
            <v>125</v>
          </cell>
          <cell r="Z1993">
            <v>0</v>
          </cell>
          <cell r="AA1993">
            <v>-65</v>
          </cell>
          <cell r="AB1993">
            <v>72</v>
          </cell>
          <cell r="AC1993">
            <v>97</v>
          </cell>
          <cell r="AD1993">
            <v>-25</v>
          </cell>
          <cell r="AE1993">
            <v>124</v>
          </cell>
          <cell r="AF1993">
            <v>189</v>
          </cell>
          <cell r="AG1993">
            <v>-65</v>
          </cell>
        </row>
        <row r="1994">
          <cell r="C1994">
            <v>51815803</v>
          </cell>
          <cell r="D1994" t="str">
            <v>NEL Pune 9</v>
          </cell>
          <cell r="E1994" t="str">
            <v>NEL</v>
          </cell>
          <cell r="G1994" t="str">
            <v>Pimpri Chinchwad RSA</v>
          </cell>
          <cell r="J1994" t="str">
            <v>Dawadmala</v>
          </cell>
          <cell r="K1994" t="str">
            <v>Pune</v>
          </cell>
          <cell r="L1994" t="str">
            <v>C</v>
          </cell>
          <cell r="O1994" t="str">
            <v>B</v>
          </cell>
          <cell r="P1994">
            <v>32</v>
          </cell>
          <cell r="Q1994">
            <v>20</v>
          </cell>
          <cell r="R1994">
            <v>48</v>
          </cell>
          <cell r="S1994">
            <v>30</v>
          </cell>
          <cell r="T1994">
            <v>-16</v>
          </cell>
          <cell r="U1994">
            <v>-10</v>
          </cell>
          <cell r="V1994">
            <v>64</v>
          </cell>
          <cell r="W1994">
            <v>40</v>
          </cell>
          <cell r="X1994">
            <v>96</v>
          </cell>
          <cell r="Y1994">
            <v>60</v>
          </cell>
          <cell r="Z1994">
            <v>-32</v>
          </cell>
          <cell r="AA1994">
            <v>-20</v>
          </cell>
          <cell r="AB1994">
            <v>52</v>
          </cell>
          <cell r="AC1994">
            <v>78</v>
          </cell>
          <cell r="AD1994">
            <v>-26</v>
          </cell>
          <cell r="AE1994">
            <v>104</v>
          </cell>
          <cell r="AF1994">
            <v>156</v>
          </cell>
          <cell r="AG1994">
            <v>-52</v>
          </cell>
        </row>
        <row r="1995">
          <cell r="C1995">
            <v>51815804</v>
          </cell>
          <cell r="D1995" t="str">
            <v>NEL Pune 10</v>
          </cell>
          <cell r="E1995" t="str">
            <v>NEL</v>
          </cell>
          <cell r="G1995" t="str">
            <v>Pimpri Chinchwad RSA</v>
          </cell>
          <cell r="J1995" t="str">
            <v>Chinchwad</v>
          </cell>
          <cell r="K1995" t="str">
            <v>Pune</v>
          </cell>
          <cell r="L1995" t="str">
            <v>A</v>
          </cell>
          <cell r="M1995" t="str">
            <v>NH-965</v>
          </cell>
          <cell r="O1995" t="str">
            <v>B</v>
          </cell>
          <cell r="P1995">
            <v>35</v>
          </cell>
          <cell r="Q1995">
            <v>28</v>
          </cell>
          <cell r="R1995">
            <v>44</v>
          </cell>
          <cell r="S1995">
            <v>45</v>
          </cell>
          <cell r="T1995">
            <v>-9</v>
          </cell>
          <cell r="U1995">
            <v>-17</v>
          </cell>
          <cell r="V1995">
            <v>70</v>
          </cell>
          <cell r="W1995">
            <v>53</v>
          </cell>
          <cell r="X1995">
            <v>86</v>
          </cell>
          <cell r="Y1995">
            <v>90</v>
          </cell>
          <cell r="Z1995">
            <v>-16</v>
          </cell>
          <cell r="AA1995">
            <v>-37</v>
          </cell>
          <cell r="AB1995">
            <v>63</v>
          </cell>
          <cell r="AC1995">
            <v>89</v>
          </cell>
          <cell r="AD1995">
            <v>-26</v>
          </cell>
          <cell r="AE1995">
            <v>123</v>
          </cell>
          <cell r="AF1995">
            <v>176</v>
          </cell>
          <cell r="AG1995">
            <v>-53</v>
          </cell>
        </row>
        <row r="1996">
          <cell r="C1996">
            <v>51815806</v>
          </cell>
          <cell r="D1996" t="str">
            <v>NEL Satara 1</v>
          </cell>
          <cell r="E1996" t="str">
            <v>NEL</v>
          </cell>
          <cell r="G1996" t="str">
            <v>Satara East RSA</v>
          </cell>
          <cell r="J1996" t="str">
            <v>VIKHALE</v>
          </cell>
          <cell r="K1996" t="str">
            <v>Satara</v>
          </cell>
          <cell r="L1996" t="str">
            <v>D2</v>
          </cell>
          <cell r="O1996" t="str">
            <v>A</v>
          </cell>
          <cell r="P1996">
            <v>20</v>
          </cell>
          <cell r="Q1996">
            <v>24</v>
          </cell>
          <cell r="R1996">
            <v>28</v>
          </cell>
          <cell r="S1996">
            <v>58</v>
          </cell>
          <cell r="T1996">
            <v>-8</v>
          </cell>
          <cell r="U1996">
            <v>-34</v>
          </cell>
          <cell r="V1996">
            <v>52</v>
          </cell>
          <cell r="W1996">
            <v>48</v>
          </cell>
          <cell r="X1996">
            <v>52</v>
          </cell>
          <cell r="Y1996">
            <v>112</v>
          </cell>
          <cell r="Z1996">
            <v>0</v>
          </cell>
          <cell r="AA1996">
            <v>-64</v>
          </cell>
          <cell r="AB1996">
            <v>44</v>
          </cell>
          <cell r="AC1996">
            <v>86</v>
          </cell>
          <cell r="AD1996">
            <v>-42</v>
          </cell>
          <cell r="AE1996">
            <v>100</v>
          </cell>
          <cell r="AF1996">
            <v>164</v>
          </cell>
          <cell r="AG1996">
            <v>-64</v>
          </cell>
        </row>
        <row r="1997">
          <cell r="C1997">
            <v>51815807</v>
          </cell>
          <cell r="D1997" t="str">
            <v>NEL Satara 2</v>
          </cell>
          <cell r="E1997" t="str">
            <v>NEL</v>
          </cell>
          <cell r="G1997" t="str">
            <v>Satara West RSA</v>
          </cell>
          <cell r="J1997" t="str">
            <v>Monopoly</v>
          </cell>
          <cell r="K1997" t="str">
            <v>Satara</v>
          </cell>
          <cell r="L1997" t="str">
            <v>E</v>
          </cell>
          <cell r="O1997" t="str">
            <v>A</v>
          </cell>
          <cell r="P1997">
            <v>30</v>
          </cell>
          <cell r="Q1997">
            <v>36</v>
          </cell>
          <cell r="R1997">
            <v>24</v>
          </cell>
          <cell r="S1997">
            <v>52</v>
          </cell>
          <cell r="T1997">
            <v>6</v>
          </cell>
          <cell r="U1997">
            <v>-16</v>
          </cell>
          <cell r="V1997">
            <v>60</v>
          </cell>
          <cell r="W1997">
            <v>72</v>
          </cell>
          <cell r="X1997">
            <v>48</v>
          </cell>
          <cell r="Y1997">
            <v>100</v>
          </cell>
          <cell r="Z1997">
            <v>12</v>
          </cell>
          <cell r="AA1997">
            <v>-28</v>
          </cell>
          <cell r="AB1997">
            <v>66</v>
          </cell>
          <cell r="AC1997">
            <v>76</v>
          </cell>
          <cell r="AD1997">
            <v>-10</v>
          </cell>
          <cell r="AE1997">
            <v>132</v>
          </cell>
          <cell r="AF1997">
            <v>148</v>
          </cell>
          <cell r="AG1997">
            <v>-16</v>
          </cell>
        </row>
        <row r="1998">
          <cell r="C1998">
            <v>51815808</v>
          </cell>
          <cell r="D1998" t="str">
            <v>NEL Satara 3</v>
          </cell>
          <cell r="E1998" t="str">
            <v>NEL</v>
          </cell>
          <cell r="G1998" t="str">
            <v>Satara West RSA</v>
          </cell>
          <cell r="J1998" t="str">
            <v>Monopoly</v>
          </cell>
          <cell r="K1998" t="str">
            <v>Satara</v>
          </cell>
          <cell r="L1998" t="str">
            <v>E</v>
          </cell>
          <cell r="O1998" t="str">
            <v>A</v>
          </cell>
          <cell r="P1998">
            <v>12</v>
          </cell>
          <cell r="Q1998">
            <v>16</v>
          </cell>
          <cell r="R1998">
            <v>28</v>
          </cell>
          <cell r="S1998">
            <v>70</v>
          </cell>
          <cell r="T1998">
            <v>-16</v>
          </cell>
          <cell r="U1998">
            <v>-54</v>
          </cell>
          <cell r="V1998">
            <v>24</v>
          </cell>
          <cell r="W1998">
            <v>56</v>
          </cell>
          <cell r="X1998">
            <v>52</v>
          </cell>
          <cell r="Y1998">
            <v>136</v>
          </cell>
          <cell r="Z1998">
            <v>-28</v>
          </cell>
          <cell r="AA1998">
            <v>-80</v>
          </cell>
          <cell r="AB1998">
            <v>28</v>
          </cell>
          <cell r="AC1998">
            <v>98</v>
          </cell>
          <cell r="AD1998">
            <v>-70</v>
          </cell>
          <cell r="AE1998">
            <v>80</v>
          </cell>
          <cell r="AF1998">
            <v>188</v>
          </cell>
          <cell r="AG1998">
            <v>-108</v>
          </cell>
        </row>
        <row r="1999">
          <cell r="C1999">
            <v>51815809</v>
          </cell>
          <cell r="D1999" t="str">
            <v>NEL Satara 6</v>
          </cell>
          <cell r="E1999" t="str">
            <v>NEL</v>
          </cell>
          <cell r="G1999" t="str">
            <v>Satara East RSA</v>
          </cell>
          <cell r="J1999" t="str">
            <v>chitali</v>
          </cell>
          <cell r="K1999" t="str">
            <v>Satara</v>
          </cell>
          <cell r="L1999" t="str">
            <v>D2</v>
          </cell>
          <cell r="O1999" t="str">
            <v>A</v>
          </cell>
          <cell r="P1999">
            <v>30</v>
          </cell>
          <cell r="Q1999">
            <v>32</v>
          </cell>
          <cell r="R1999">
            <v>28</v>
          </cell>
          <cell r="S1999">
            <v>64</v>
          </cell>
          <cell r="T1999">
            <v>2</v>
          </cell>
          <cell r="U1999">
            <v>-32</v>
          </cell>
          <cell r="V1999">
            <v>60</v>
          </cell>
          <cell r="W1999">
            <v>68</v>
          </cell>
          <cell r="X1999">
            <v>56</v>
          </cell>
          <cell r="Y1999">
            <v>124</v>
          </cell>
          <cell r="Z1999">
            <v>4</v>
          </cell>
          <cell r="AA1999">
            <v>-56</v>
          </cell>
          <cell r="AB1999">
            <v>62</v>
          </cell>
          <cell r="AC1999">
            <v>92</v>
          </cell>
          <cell r="AD1999">
            <v>-30</v>
          </cell>
          <cell r="AE1999">
            <v>128</v>
          </cell>
          <cell r="AF1999">
            <v>180</v>
          </cell>
          <cell r="AG1999">
            <v>-52</v>
          </cell>
        </row>
        <row r="2000">
          <cell r="C2000">
            <v>51815810</v>
          </cell>
          <cell r="D2000" t="str">
            <v>NEL Satara 4</v>
          </cell>
          <cell r="E2000" t="str">
            <v>NEL</v>
          </cell>
          <cell r="G2000" t="str">
            <v>Satara West RSA</v>
          </cell>
          <cell r="J2000" t="str">
            <v>JAMBHUD</v>
          </cell>
          <cell r="K2000" t="str">
            <v>Satara</v>
          </cell>
          <cell r="L2000" t="str">
            <v>C</v>
          </cell>
          <cell r="O2000" t="str">
            <v>A</v>
          </cell>
          <cell r="P2000">
            <v>32</v>
          </cell>
          <cell r="Q2000">
            <v>24</v>
          </cell>
          <cell r="R2000">
            <v>24</v>
          </cell>
          <cell r="S2000">
            <v>65</v>
          </cell>
          <cell r="T2000">
            <v>8</v>
          </cell>
          <cell r="U2000">
            <v>-41</v>
          </cell>
          <cell r="V2000">
            <v>64</v>
          </cell>
          <cell r="W2000">
            <v>48</v>
          </cell>
          <cell r="X2000">
            <v>48</v>
          </cell>
          <cell r="Y2000">
            <v>125</v>
          </cell>
          <cell r="Z2000">
            <v>16</v>
          </cell>
          <cell r="AA2000">
            <v>-77</v>
          </cell>
          <cell r="AB2000">
            <v>56</v>
          </cell>
          <cell r="AC2000">
            <v>89</v>
          </cell>
          <cell r="AD2000">
            <v>-33</v>
          </cell>
          <cell r="AE2000">
            <v>112</v>
          </cell>
          <cell r="AF2000">
            <v>173</v>
          </cell>
          <cell r="AG2000">
            <v>-61</v>
          </cell>
        </row>
        <row r="2001">
          <cell r="C2001">
            <v>51815811</v>
          </cell>
          <cell r="D2001" t="str">
            <v>NEL Satara 5</v>
          </cell>
          <cell r="E2001" t="str">
            <v>NEL</v>
          </cell>
          <cell r="G2001" t="str">
            <v>Satara East RSA</v>
          </cell>
          <cell r="J2001" t="str">
            <v>pusegaon phaltan road</v>
          </cell>
          <cell r="K2001" t="str">
            <v>Satara</v>
          </cell>
          <cell r="L2001" t="str">
            <v>E</v>
          </cell>
          <cell r="O2001" t="str">
            <v>B</v>
          </cell>
          <cell r="P2001">
            <v>44</v>
          </cell>
          <cell r="Q2001">
            <v>20</v>
          </cell>
          <cell r="R2001">
            <v>49</v>
          </cell>
          <cell r="S2001">
            <v>55</v>
          </cell>
          <cell r="T2001">
            <v>-5</v>
          </cell>
          <cell r="U2001">
            <v>-35</v>
          </cell>
          <cell r="V2001">
            <v>88</v>
          </cell>
          <cell r="W2001">
            <v>44</v>
          </cell>
          <cell r="X2001">
            <v>89</v>
          </cell>
          <cell r="Y2001">
            <v>105</v>
          </cell>
          <cell r="Z2001">
            <v>-1</v>
          </cell>
          <cell r="AA2001">
            <v>-61</v>
          </cell>
          <cell r="AB2001">
            <v>64</v>
          </cell>
          <cell r="AC2001">
            <v>104</v>
          </cell>
          <cell r="AD2001">
            <v>-40</v>
          </cell>
          <cell r="AE2001">
            <v>132</v>
          </cell>
          <cell r="AF2001">
            <v>194</v>
          </cell>
          <cell r="AG2001">
            <v>-62</v>
          </cell>
        </row>
        <row r="2002">
          <cell r="C2002">
            <v>51815812</v>
          </cell>
          <cell r="D2002" t="str">
            <v>NEL Satara 7</v>
          </cell>
          <cell r="E2002" t="str">
            <v>NEL</v>
          </cell>
          <cell r="G2002" t="str">
            <v>Satara West RSA</v>
          </cell>
          <cell r="J2002" t="str">
            <v>Monopoly</v>
          </cell>
          <cell r="K2002" t="str">
            <v>Satara</v>
          </cell>
          <cell r="L2002" t="str">
            <v>E</v>
          </cell>
          <cell r="O2002" t="str">
            <v>B</v>
          </cell>
          <cell r="P2002">
            <v>30</v>
          </cell>
          <cell r="Q2002">
            <v>36</v>
          </cell>
          <cell r="R2002">
            <v>32</v>
          </cell>
          <cell r="S2002">
            <v>65</v>
          </cell>
          <cell r="T2002">
            <v>-2</v>
          </cell>
          <cell r="U2002">
            <v>-29</v>
          </cell>
          <cell r="V2002">
            <v>60</v>
          </cell>
          <cell r="W2002">
            <v>72</v>
          </cell>
          <cell r="X2002">
            <v>58</v>
          </cell>
          <cell r="Y2002">
            <v>127</v>
          </cell>
          <cell r="Z2002">
            <v>2</v>
          </cell>
          <cell r="AA2002">
            <v>-55</v>
          </cell>
          <cell r="AB2002">
            <v>66</v>
          </cell>
          <cell r="AC2002">
            <v>97</v>
          </cell>
          <cell r="AD2002">
            <v>-31</v>
          </cell>
          <cell r="AE2002">
            <v>132</v>
          </cell>
          <cell r="AF2002">
            <v>185</v>
          </cell>
          <cell r="AG2002">
            <v>-53</v>
          </cell>
        </row>
        <row r="2003">
          <cell r="C2003">
            <v>51815813</v>
          </cell>
          <cell r="D2003" t="str">
            <v>NEL Satara 8</v>
          </cell>
          <cell r="E2003" t="str">
            <v>NEL</v>
          </cell>
          <cell r="G2003" t="str">
            <v>Satara West RSA</v>
          </cell>
          <cell r="J2003" t="str">
            <v>Monopoly</v>
          </cell>
          <cell r="K2003" t="str">
            <v>Satara</v>
          </cell>
          <cell r="L2003" t="str">
            <v>E</v>
          </cell>
          <cell r="O2003" t="str">
            <v>B</v>
          </cell>
          <cell r="P2003">
            <v>36</v>
          </cell>
          <cell r="Q2003">
            <v>12</v>
          </cell>
          <cell r="R2003">
            <v>32</v>
          </cell>
          <cell r="S2003">
            <v>65</v>
          </cell>
          <cell r="T2003">
            <v>4</v>
          </cell>
          <cell r="U2003">
            <v>-53</v>
          </cell>
          <cell r="V2003">
            <v>72</v>
          </cell>
          <cell r="W2003">
            <v>32</v>
          </cell>
          <cell r="X2003">
            <v>58</v>
          </cell>
          <cell r="Y2003">
            <v>123</v>
          </cell>
          <cell r="Z2003">
            <v>14</v>
          </cell>
          <cell r="AA2003">
            <v>-91</v>
          </cell>
          <cell r="AB2003">
            <v>48</v>
          </cell>
          <cell r="AC2003">
            <v>97</v>
          </cell>
          <cell r="AD2003">
            <v>-49</v>
          </cell>
          <cell r="AE2003">
            <v>104</v>
          </cell>
          <cell r="AF2003">
            <v>181</v>
          </cell>
          <cell r="AG2003">
            <v>-77</v>
          </cell>
        </row>
        <row r="2004">
          <cell r="C2004">
            <v>51815814</v>
          </cell>
          <cell r="D2004" t="str">
            <v>NEL Satara 9</v>
          </cell>
          <cell r="E2004" t="str">
            <v>NEL</v>
          </cell>
          <cell r="G2004" t="str">
            <v>Satara East RSA</v>
          </cell>
          <cell r="J2004" t="str">
            <v>Katar Khatav</v>
          </cell>
          <cell r="K2004" t="str">
            <v>Satara</v>
          </cell>
          <cell r="L2004" t="str">
            <v>D2</v>
          </cell>
          <cell r="O2004" t="str">
            <v>B</v>
          </cell>
          <cell r="P2004">
            <v>20</v>
          </cell>
          <cell r="Q2004">
            <v>12</v>
          </cell>
          <cell r="R2004">
            <v>28</v>
          </cell>
          <cell r="S2004">
            <v>60</v>
          </cell>
          <cell r="T2004">
            <v>-8</v>
          </cell>
          <cell r="U2004">
            <v>-48</v>
          </cell>
          <cell r="V2004">
            <v>40</v>
          </cell>
          <cell r="W2004">
            <v>36</v>
          </cell>
          <cell r="X2004">
            <v>56</v>
          </cell>
          <cell r="Y2004">
            <v>112</v>
          </cell>
          <cell r="Z2004">
            <v>-16</v>
          </cell>
          <cell r="AA2004">
            <v>-76</v>
          </cell>
          <cell r="AB2004">
            <v>32</v>
          </cell>
          <cell r="AC2004">
            <v>88</v>
          </cell>
          <cell r="AD2004">
            <v>-56</v>
          </cell>
          <cell r="AE2004">
            <v>76</v>
          </cell>
          <cell r="AF2004">
            <v>168</v>
          </cell>
          <cell r="AG2004">
            <v>-92</v>
          </cell>
        </row>
        <row r="2005">
          <cell r="C2005">
            <v>51815815</v>
          </cell>
          <cell r="D2005" t="str">
            <v>NEL Satara 10</v>
          </cell>
          <cell r="E2005" t="str">
            <v>NEL</v>
          </cell>
          <cell r="G2005" t="str">
            <v>Satara West RSA</v>
          </cell>
          <cell r="J2005" t="str">
            <v>Monopoly</v>
          </cell>
          <cell r="K2005" t="str">
            <v>Satara</v>
          </cell>
          <cell r="L2005" t="str">
            <v>E</v>
          </cell>
          <cell r="O2005" t="str">
            <v>A</v>
          </cell>
          <cell r="P2005">
            <v>36</v>
          </cell>
          <cell r="Q2005">
            <v>24</v>
          </cell>
          <cell r="R2005">
            <v>34</v>
          </cell>
          <cell r="S2005">
            <v>72</v>
          </cell>
          <cell r="T2005">
            <v>2</v>
          </cell>
          <cell r="U2005">
            <v>-48</v>
          </cell>
          <cell r="V2005">
            <v>72</v>
          </cell>
          <cell r="W2005">
            <v>48</v>
          </cell>
          <cell r="X2005">
            <v>64</v>
          </cell>
          <cell r="Y2005">
            <v>142</v>
          </cell>
          <cell r="Z2005">
            <v>8</v>
          </cell>
          <cell r="AA2005">
            <v>-94</v>
          </cell>
          <cell r="AB2005">
            <v>60</v>
          </cell>
          <cell r="AC2005">
            <v>106</v>
          </cell>
          <cell r="AD2005">
            <v>-46</v>
          </cell>
          <cell r="AE2005">
            <v>120</v>
          </cell>
          <cell r="AF2005">
            <v>206</v>
          </cell>
          <cell r="AG2005">
            <v>-86</v>
          </cell>
        </row>
        <row r="2006">
          <cell r="C2006">
            <v>51815826</v>
          </cell>
          <cell r="D2006" t="str">
            <v>NEL Ahmednagar 1</v>
          </cell>
          <cell r="E2006" t="str">
            <v>NEL</v>
          </cell>
          <cell r="G2006" t="str">
            <v>Shirdi RSA</v>
          </cell>
          <cell r="J2006" t="str">
            <v>MONOPOLY</v>
          </cell>
          <cell r="K2006" t="str">
            <v>Ahmednagar</v>
          </cell>
          <cell r="L2006" t="str">
            <v>E</v>
          </cell>
          <cell r="O2006" t="str">
            <v>B</v>
          </cell>
          <cell r="P2006">
            <v>20</v>
          </cell>
          <cell r="Q2006">
            <v>16</v>
          </cell>
          <cell r="R2006">
            <v>35</v>
          </cell>
          <cell r="S2006">
            <v>90</v>
          </cell>
          <cell r="T2006">
            <v>-15</v>
          </cell>
          <cell r="U2006">
            <v>-74</v>
          </cell>
          <cell r="V2006">
            <v>40</v>
          </cell>
          <cell r="W2006">
            <v>32</v>
          </cell>
          <cell r="X2006">
            <v>70</v>
          </cell>
          <cell r="Y2006">
            <v>175</v>
          </cell>
          <cell r="Z2006">
            <v>-30</v>
          </cell>
          <cell r="AA2006">
            <v>-143</v>
          </cell>
          <cell r="AB2006">
            <v>36</v>
          </cell>
          <cell r="AC2006">
            <v>125</v>
          </cell>
          <cell r="AD2006">
            <v>-89</v>
          </cell>
          <cell r="AE2006">
            <v>72</v>
          </cell>
          <cell r="AF2006">
            <v>245</v>
          </cell>
          <cell r="AG2006">
            <v>-173</v>
          </cell>
        </row>
        <row r="2007">
          <cell r="C2007">
            <v>51815827</v>
          </cell>
          <cell r="D2007" t="str">
            <v>NEL Ahmednagar 2</v>
          </cell>
          <cell r="E2007" t="str">
            <v>NEL</v>
          </cell>
          <cell r="G2007" t="str">
            <v>Shirdi RSA</v>
          </cell>
          <cell r="J2007" t="str">
            <v>MONOPOLY</v>
          </cell>
          <cell r="K2007" t="str">
            <v>Ahmednagar</v>
          </cell>
          <cell r="L2007" t="str">
            <v>D2</v>
          </cell>
          <cell r="O2007" t="str">
            <v>A</v>
          </cell>
          <cell r="P2007">
            <v>12</v>
          </cell>
          <cell r="Q2007">
            <v>44</v>
          </cell>
          <cell r="R2007">
            <v>42</v>
          </cell>
          <cell r="S2007">
            <v>95</v>
          </cell>
          <cell r="T2007">
            <v>-30</v>
          </cell>
          <cell r="U2007">
            <v>-51</v>
          </cell>
          <cell r="V2007">
            <v>24</v>
          </cell>
          <cell r="W2007">
            <v>64</v>
          </cell>
          <cell r="X2007">
            <v>84</v>
          </cell>
          <cell r="Y2007">
            <v>190</v>
          </cell>
          <cell r="Z2007">
            <v>-60</v>
          </cell>
          <cell r="AA2007">
            <v>-126</v>
          </cell>
          <cell r="AB2007">
            <v>56</v>
          </cell>
          <cell r="AC2007">
            <v>137</v>
          </cell>
          <cell r="AD2007">
            <v>-81</v>
          </cell>
          <cell r="AE2007">
            <v>88</v>
          </cell>
          <cell r="AF2007">
            <v>274</v>
          </cell>
          <cell r="AG2007">
            <v>-186</v>
          </cell>
        </row>
        <row r="2008">
          <cell r="C2008">
            <v>51815828</v>
          </cell>
          <cell r="D2008" t="str">
            <v>NEL Ahmednagar 3</v>
          </cell>
          <cell r="E2008" t="str">
            <v>NEL</v>
          </cell>
          <cell r="G2008" t="str">
            <v>Shirdi RSA</v>
          </cell>
          <cell r="J2008" t="str">
            <v>MONOPOLY</v>
          </cell>
          <cell r="K2008" t="str">
            <v>Ahmednagar</v>
          </cell>
          <cell r="L2008" t="str">
            <v>C</v>
          </cell>
          <cell r="O2008" t="str">
            <v>B</v>
          </cell>
          <cell r="P2008">
            <v>28</v>
          </cell>
          <cell r="Q2008">
            <v>32</v>
          </cell>
          <cell r="R2008">
            <v>40</v>
          </cell>
          <cell r="S2008">
            <v>68</v>
          </cell>
          <cell r="T2008">
            <v>-12</v>
          </cell>
          <cell r="U2008">
            <v>-36</v>
          </cell>
          <cell r="V2008">
            <v>63</v>
          </cell>
          <cell r="W2008">
            <v>64</v>
          </cell>
          <cell r="X2008">
            <v>80</v>
          </cell>
          <cell r="Y2008">
            <v>136</v>
          </cell>
          <cell r="Z2008">
            <v>-17</v>
          </cell>
          <cell r="AA2008">
            <v>-72</v>
          </cell>
          <cell r="AB2008">
            <v>60</v>
          </cell>
          <cell r="AC2008">
            <v>108</v>
          </cell>
          <cell r="AD2008">
            <v>-48</v>
          </cell>
          <cell r="AE2008">
            <v>127</v>
          </cell>
          <cell r="AF2008">
            <v>216</v>
          </cell>
          <cell r="AG2008">
            <v>-89</v>
          </cell>
        </row>
        <row r="2009">
          <cell r="C2009">
            <v>51815829</v>
          </cell>
          <cell r="D2009" t="str">
            <v>NEL Ahmednagar 4</v>
          </cell>
          <cell r="E2009" t="str">
            <v>NEL</v>
          </cell>
          <cell r="G2009" t="str">
            <v>Shirdi RSA</v>
          </cell>
          <cell r="J2009" t="str">
            <v>MONOPOLY</v>
          </cell>
          <cell r="K2009" t="str">
            <v>Ahmednagar</v>
          </cell>
          <cell r="L2009" t="str">
            <v>E</v>
          </cell>
          <cell r="O2009" t="str">
            <v>B</v>
          </cell>
          <cell r="P2009">
            <v>20</v>
          </cell>
          <cell r="Q2009">
            <v>40</v>
          </cell>
          <cell r="R2009">
            <v>42</v>
          </cell>
          <cell r="S2009">
            <v>110</v>
          </cell>
          <cell r="T2009">
            <v>-22</v>
          </cell>
          <cell r="U2009">
            <v>-70</v>
          </cell>
          <cell r="V2009">
            <v>40</v>
          </cell>
          <cell r="W2009">
            <v>76</v>
          </cell>
          <cell r="X2009">
            <v>84</v>
          </cell>
          <cell r="Y2009">
            <v>220</v>
          </cell>
          <cell r="Z2009">
            <v>-44</v>
          </cell>
          <cell r="AA2009">
            <v>-144</v>
          </cell>
          <cell r="AB2009">
            <v>60</v>
          </cell>
          <cell r="AC2009">
            <v>152</v>
          </cell>
          <cell r="AD2009">
            <v>-92</v>
          </cell>
          <cell r="AE2009">
            <v>116</v>
          </cell>
          <cell r="AF2009">
            <v>304</v>
          </cell>
          <cell r="AG2009">
            <v>-188</v>
          </cell>
        </row>
        <row r="2010">
          <cell r="C2010">
            <v>51815830</v>
          </cell>
          <cell r="D2010" t="str">
            <v>NEL Ahmednagar 5</v>
          </cell>
          <cell r="E2010" t="str">
            <v>NEL</v>
          </cell>
          <cell r="G2010" t="str">
            <v>Shirdi RSA</v>
          </cell>
          <cell r="J2010" t="str">
            <v>Monopoly</v>
          </cell>
          <cell r="K2010" t="str">
            <v>Ahmednagar</v>
          </cell>
          <cell r="L2010" t="str">
            <v>D1</v>
          </cell>
          <cell r="M2010" t="str">
            <v>NH-160</v>
          </cell>
          <cell r="O2010" t="str">
            <v>B</v>
          </cell>
          <cell r="P2010">
            <v>20</v>
          </cell>
          <cell r="Q2010">
            <v>44</v>
          </cell>
          <cell r="R2010">
            <v>45</v>
          </cell>
          <cell r="S2010">
            <v>75</v>
          </cell>
          <cell r="T2010">
            <v>-25</v>
          </cell>
          <cell r="U2010">
            <v>-31</v>
          </cell>
          <cell r="V2010">
            <v>60</v>
          </cell>
          <cell r="W2010">
            <v>64</v>
          </cell>
          <cell r="X2010">
            <v>90</v>
          </cell>
          <cell r="Y2010">
            <v>150</v>
          </cell>
          <cell r="Z2010">
            <v>-30</v>
          </cell>
          <cell r="AA2010">
            <v>-86</v>
          </cell>
          <cell r="AB2010">
            <v>64</v>
          </cell>
          <cell r="AC2010">
            <v>120</v>
          </cell>
          <cell r="AD2010">
            <v>-56</v>
          </cell>
          <cell r="AE2010">
            <v>124</v>
          </cell>
          <cell r="AF2010">
            <v>240</v>
          </cell>
          <cell r="AG2010">
            <v>-116</v>
          </cell>
        </row>
        <row r="2011">
          <cell r="C2011">
            <v>51815831</v>
          </cell>
          <cell r="D2011" t="str">
            <v>NEL Ahmednagar 6</v>
          </cell>
          <cell r="E2011" t="str">
            <v>NEL</v>
          </cell>
          <cell r="G2011" t="str">
            <v>Ahmednagar East RSA</v>
          </cell>
          <cell r="J2011" t="str">
            <v>Chanda</v>
          </cell>
          <cell r="K2011" t="str">
            <v>Ahmednagar</v>
          </cell>
          <cell r="L2011" t="str">
            <v>D2</v>
          </cell>
          <cell r="O2011" t="str">
            <v>B</v>
          </cell>
          <cell r="P2011">
            <v>32</v>
          </cell>
          <cell r="Q2011">
            <v>24</v>
          </cell>
          <cell r="R2011">
            <v>29</v>
          </cell>
          <cell r="S2011">
            <v>98</v>
          </cell>
          <cell r="T2011">
            <v>3</v>
          </cell>
          <cell r="U2011">
            <v>-74</v>
          </cell>
          <cell r="V2011">
            <v>64</v>
          </cell>
          <cell r="W2011">
            <v>48</v>
          </cell>
          <cell r="X2011">
            <v>58</v>
          </cell>
          <cell r="Y2011">
            <v>196</v>
          </cell>
          <cell r="Z2011">
            <v>6</v>
          </cell>
          <cell r="AA2011">
            <v>-148</v>
          </cell>
          <cell r="AB2011">
            <v>56</v>
          </cell>
          <cell r="AC2011">
            <v>127</v>
          </cell>
          <cell r="AD2011">
            <v>-71</v>
          </cell>
          <cell r="AE2011">
            <v>112</v>
          </cell>
          <cell r="AF2011">
            <v>254</v>
          </cell>
          <cell r="AG2011">
            <v>-142</v>
          </cell>
        </row>
        <row r="2012">
          <cell r="C2012">
            <v>51815832</v>
          </cell>
          <cell r="D2012" t="str">
            <v>SHUBHLAXMI PTROLEUM</v>
          </cell>
          <cell r="E2012" t="str">
            <v>NEL</v>
          </cell>
          <cell r="G2012" t="str">
            <v>Ahmednagar West RSA</v>
          </cell>
          <cell r="J2012" t="str">
            <v>Chichondi Patil</v>
          </cell>
          <cell r="K2012" t="str">
            <v>Ahmednagar</v>
          </cell>
          <cell r="L2012" t="str">
            <v>D1</v>
          </cell>
          <cell r="M2012" t="str">
            <v>NH-561</v>
          </cell>
          <cell r="O2012" t="str">
            <v>B</v>
          </cell>
          <cell r="P2012">
            <v>32</v>
          </cell>
          <cell r="Q2012">
            <v>48</v>
          </cell>
          <cell r="R2012">
            <v>33</v>
          </cell>
          <cell r="S2012">
            <v>90</v>
          </cell>
          <cell r="T2012">
            <v>-1</v>
          </cell>
          <cell r="U2012">
            <v>-42</v>
          </cell>
          <cell r="V2012">
            <v>64</v>
          </cell>
          <cell r="W2012">
            <v>84</v>
          </cell>
          <cell r="X2012">
            <v>66</v>
          </cell>
          <cell r="Y2012">
            <v>180</v>
          </cell>
          <cell r="Z2012">
            <v>-2</v>
          </cell>
          <cell r="AA2012">
            <v>-96</v>
          </cell>
          <cell r="AB2012">
            <v>80</v>
          </cell>
          <cell r="AC2012">
            <v>123</v>
          </cell>
          <cell r="AD2012">
            <v>-43</v>
          </cell>
          <cell r="AE2012">
            <v>148</v>
          </cell>
          <cell r="AF2012">
            <v>246</v>
          </cell>
          <cell r="AG2012">
            <v>-98</v>
          </cell>
        </row>
        <row r="2013">
          <cell r="C2013">
            <v>51815833</v>
          </cell>
          <cell r="D2013" t="str">
            <v>MUKTAI PETROLEUM</v>
          </cell>
          <cell r="E2013" t="str">
            <v>NEL</v>
          </cell>
          <cell r="G2013" t="str">
            <v>Ahmednagar West RSA</v>
          </cell>
          <cell r="J2013" t="str">
            <v>MAHI JALGAON-NH</v>
          </cell>
          <cell r="K2013" t="str">
            <v>Ahmednagar</v>
          </cell>
          <cell r="L2013" t="str">
            <v>D1</v>
          </cell>
          <cell r="M2013" t="str">
            <v>NH-561A</v>
          </cell>
          <cell r="O2013" t="str">
            <v>B</v>
          </cell>
          <cell r="P2013">
            <v>20</v>
          </cell>
          <cell r="Q2013">
            <v>30</v>
          </cell>
          <cell r="R2013">
            <v>29</v>
          </cell>
          <cell r="S2013">
            <v>75</v>
          </cell>
          <cell r="T2013">
            <v>-9</v>
          </cell>
          <cell r="U2013">
            <v>-45</v>
          </cell>
          <cell r="V2013">
            <v>40</v>
          </cell>
          <cell r="W2013">
            <v>60</v>
          </cell>
          <cell r="X2013">
            <v>58</v>
          </cell>
          <cell r="Y2013">
            <v>150</v>
          </cell>
          <cell r="Z2013">
            <v>-18</v>
          </cell>
          <cell r="AA2013">
            <v>-90</v>
          </cell>
          <cell r="AB2013">
            <v>50</v>
          </cell>
          <cell r="AC2013">
            <v>104</v>
          </cell>
          <cell r="AD2013">
            <v>-54</v>
          </cell>
          <cell r="AE2013">
            <v>100</v>
          </cell>
          <cell r="AF2013">
            <v>208</v>
          </cell>
          <cell r="AG2013">
            <v>-108</v>
          </cell>
        </row>
        <row r="2014">
          <cell r="C2014">
            <v>51815834</v>
          </cell>
          <cell r="D2014" t="str">
            <v>PIRSAHEB PETROLEUM</v>
          </cell>
          <cell r="E2014" t="str">
            <v>NEL</v>
          </cell>
          <cell r="G2014" t="str">
            <v>Ahmednagar West RSA</v>
          </cell>
          <cell r="J2014" t="str">
            <v>KULDHARAN (DURGAON)</v>
          </cell>
          <cell r="K2014" t="str">
            <v>Ahmednagar</v>
          </cell>
          <cell r="L2014" t="str">
            <v>E</v>
          </cell>
          <cell r="O2014" t="str">
            <v>B</v>
          </cell>
          <cell r="P2014">
            <v>36</v>
          </cell>
          <cell r="Q2014">
            <v>48</v>
          </cell>
          <cell r="R2014">
            <v>45</v>
          </cell>
          <cell r="S2014">
            <v>92</v>
          </cell>
          <cell r="T2014">
            <v>-9</v>
          </cell>
          <cell r="U2014">
            <v>-44</v>
          </cell>
          <cell r="V2014">
            <v>72</v>
          </cell>
          <cell r="W2014">
            <v>72</v>
          </cell>
          <cell r="X2014">
            <v>90</v>
          </cell>
          <cell r="Y2014">
            <v>184</v>
          </cell>
          <cell r="Z2014">
            <v>-18</v>
          </cell>
          <cell r="AA2014">
            <v>-112</v>
          </cell>
          <cell r="AB2014">
            <v>84</v>
          </cell>
          <cell r="AC2014">
            <v>137</v>
          </cell>
          <cell r="AD2014">
            <v>-53</v>
          </cell>
          <cell r="AE2014">
            <v>144</v>
          </cell>
          <cell r="AF2014">
            <v>274</v>
          </cell>
          <cell r="AG2014">
            <v>-130</v>
          </cell>
        </row>
        <row r="2015">
          <cell r="C2015">
            <v>51815835</v>
          </cell>
          <cell r="D2015" t="str">
            <v>NARMADA PETROL PUMP</v>
          </cell>
          <cell r="E2015" t="str">
            <v>NEL</v>
          </cell>
          <cell r="G2015" t="str">
            <v>Ahmednagar West RSA</v>
          </cell>
          <cell r="J2015" t="str">
            <v>MAHI JALGAON-NH</v>
          </cell>
          <cell r="K2015" t="str">
            <v>Ahmednagar</v>
          </cell>
          <cell r="L2015" t="str">
            <v>D1</v>
          </cell>
          <cell r="M2015" t="str">
            <v>NH-561A</v>
          </cell>
          <cell r="O2015" t="str">
            <v>B</v>
          </cell>
          <cell r="P2015">
            <v>20</v>
          </cell>
          <cell r="Q2015">
            <v>20</v>
          </cell>
          <cell r="R2015">
            <v>26</v>
          </cell>
          <cell r="S2015">
            <v>100</v>
          </cell>
          <cell r="T2015">
            <v>-6</v>
          </cell>
          <cell r="U2015">
            <v>-80</v>
          </cell>
          <cell r="V2015">
            <v>40</v>
          </cell>
          <cell r="W2015">
            <v>40</v>
          </cell>
          <cell r="X2015">
            <v>52</v>
          </cell>
          <cell r="Y2015">
            <v>200</v>
          </cell>
          <cell r="Z2015">
            <v>-12</v>
          </cell>
          <cell r="AA2015">
            <v>-160</v>
          </cell>
          <cell r="AB2015">
            <v>40</v>
          </cell>
          <cell r="AC2015">
            <v>126</v>
          </cell>
          <cell r="AD2015">
            <v>-86</v>
          </cell>
          <cell r="AE2015">
            <v>80</v>
          </cell>
          <cell r="AF2015">
            <v>252</v>
          </cell>
          <cell r="AG2015">
            <v>-172</v>
          </cell>
        </row>
        <row r="2016">
          <cell r="C2016">
            <v>51815836</v>
          </cell>
          <cell r="D2016" t="str">
            <v>NEL Ahmednagar 11</v>
          </cell>
          <cell r="E2016" t="str">
            <v>NEL</v>
          </cell>
          <cell r="G2016" t="str">
            <v>Ahmednagar East RSA</v>
          </cell>
          <cell r="J2016" t="str">
            <v>Chanda</v>
          </cell>
          <cell r="K2016" t="str">
            <v>Ahmednagar</v>
          </cell>
          <cell r="L2016" t="str">
            <v>D2</v>
          </cell>
          <cell r="O2016" t="str">
            <v>B</v>
          </cell>
          <cell r="P2016">
            <v>12</v>
          </cell>
          <cell r="Q2016">
            <v>44</v>
          </cell>
          <cell r="R2016">
            <v>37</v>
          </cell>
          <cell r="S2016">
            <v>66</v>
          </cell>
          <cell r="T2016">
            <v>-25</v>
          </cell>
          <cell r="U2016">
            <v>-22</v>
          </cell>
          <cell r="V2016">
            <v>24</v>
          </cell>
          <cell r="W2016">
            <v>80</v>
          </cell>
          <cell r="X2016">
            <v>74</v>
          </cell>
          <cell r="Y2016">
            <v>132</v>
          </cell>
          <cell r="Z2016">
            <v>-50</v>
          </cell>
          <cell r="AA2016">
            <v>-52</v>
          </cell>
          <cell r="AB2016">
            <v>56</v>
          </cell>
          <cell r="AC2016">
            <v>103</v>
          </cell>
          <cell r="AD2016">
            <v>-47</v>
          </cell>
          <cell r="AE2016">
            <v>104</v>
          </cell>
          <cell r="AF2016">
            <v>206</v>
          </cell>
          <cell r="AG2016">
            <v>-102</v>
          </cell>
        </row>
        <row r="2017">
          <cell r="C2017">
            <v>51815837</v>
          </cell>
          <cell r="D2017" t="str">
            <v>NEL Ahmednagar 12</v>
          </cell>
          <cell r="E2017" t="str">
            <v>NEL</v>
          </cell>
          <cell r="G2017" t="str">
            <v>Shirdi RSA</v>
          </cell>
          <cell r="J2017" t="str">
            <v>MONOPOLY</v>
          </cell>
          <cell r="K2017" t="str">
            <v>Ahmednagar</v>
          </cell>
          <cell r="L2017" t="str">
            <v>D2</v>
          </cell>
          <cell r="O2017" t="str">
            <v>B</v>
          </cell>
          <cell r="P2017">
            <v>35</v>
          </cell>
          <cell r="Q2017">
            <v>36</v>
          </cell>
          <cell r="R2017">
            <v>37</v>
          </cell>
          <cell r="S2017">
            <v>94</v>
          </cell>
          <cell r="T2017">
            <v>-2</v>
          </cell>
          <cell r="U2017">
            <v>-58</v>
          </cell>
          <cell r="V2017">
            <v>70</v>
          </cell>
          <cell r="W2017">
            <v>72</v>
          </cell>
          <cell r="X2017">
            <v>74</v>
          </cell>
          <cell r="Y2017">
            <v>188</v>
          </cell>
          <cell r="Z2017">
            <v>-4</v>
          </cell>
          <cell r="AA2017">
            <v>-116</v>
          </cell>
          <cell r="AB2017">
            <v>71</v>
          </cell>
          <cell r="AC2017">
            <v>131</v>
          </cell>
          <cell r="AD2017">
            <v>-60</v>
          </cell>
          <cell r="AE2017">
            <v>142</v>
          </cell>
          <cell r="AF2017">
            <v>262</v>
          </cell>
          <cell r="AG2017">
            <v>-120</v>
          </cell>
        </row>
        <row r="2018">
          <cell r="C2018">
            <v>51815838</v>
          </cell>
          <cell r="D2018" t="str">
            <v>NEL Ahmednagar 13</v>
          </cell>
          <cell r="E2018" t="str">
            <v>NEL</v>
          </cell>
          <cell r="G2018" t="str">
            <v>Shirdi RSA</v>
          </cell>
          <cell r="J2018" t="str">
            <v>MONOPOLY</v>
          </cell>
          <cell r="K2018" t="str">
            <v>Ahmednagar</v>
          </cell>
          <cell r="L2018" t="str">
            <v>E</v>
          </cell>
          <cell r="O2018" t="str">
            <v>B</v>
          </cell>
          <cell r="P2018">
            <v>25</v>
          </cell>
          <cell r="Q2018">
            <v>36</v>
          </cell>
          <cell r="R2018">
            <v>25</v>
          </cell>
          <cell r="S2018">
            <v>80</v>
          </cell>
          <cell r="T2018">
            <v>0</v>
          </cell>
          <cell r="U2018">
            <v>-44</v>
          </cell>
          <cell r="V2018">
            <v>50</v>
          </cell>
          <cell r="W2018">
            <v>48</v>
          </cell>
          <cell r="X2018">
            <v>50</v>
          </cell>
          <cell r="Y2018">
            <v>154</v>
          </cell>
          <cell r="Z2018">
            <v>0</v>
          </cell>
          <cell r="AA2018">
            <v>-106</v>
          </cell>
          <cell r="AB2018">
            <v>61</v>
          </cell>
          <cell r="AC2018">
            <v>105</v>
          </cell>
          <cell r="AD2018">
            <v>-44</v>
          </cell>
          <cell r="AE2018">
            <v>98</v>
          </cell>
          <cell r="AF2018">
            <v>204</v>
          </cell>
          <cell r="AG2018">
            <v>-106</v>
          </cell>
        </row>
        <row r="2019">
          <cell r="C2019">
            <v>51815839</v>
          </cell>
          <cell r="D2019" t="str">
            <v>NEL Ahmednagar 14</v>
          </cell>
          <cell r="E2019" t="str">
            <v>NEL</v>
          </cell>
          <cell r="G2019" t="str">
            <v>Shirdi RSA</v>
          </cell>
          <cell r="J2019" t="str">
            <v>AURANGPUR</v>
          </cell>
          <cell r="K2019" t="str">
            <v>Ahmednagar</v>
          </cell>
          <cell r="L2019" t="str">
            <v>D2</v>
          </cell>
          <cell r="O2019" t="str">
            <v>B</v>
          </cell>
          <cell r="P2019">
            <v>24</v>
          </cell>
          <cell r="Q2019">
            <v>12</v>
          </cell>
          <cell r="R2019">
            <v>29</v>
          </cell>
          <cell r="S2019">
            <v>65</v>
          </cell>
          <cell r="T2019">
            <v>-5</v>
          </cell>
          <cell r="U2019">
            <v>-53</v>
          </cell>
          <cell r="V2019">
            <v>49</v>
          </cell>
          <cell r="W2019">
            <v>24</v>
          </cell>
          <cell r="X2019">
            <v>58</v>
          </cell>
          <cell r="Y2019">
            <v>125</v>
          </cell>
          <cell r="Z2019">
            <v>-9</v>
          </cell>
          <cell r="AA2019">
            <v>-101</v>
          </cell>
          <cell r="AB2019">
            <v>36</v>
          </cell>
          <cell r="AC2019">
            <v>94</v>
          </cell>
          <cell r="AD2019">
            <v>-58</v>
          </cell>
          <cell r="AE2019">
            <v>73</v>
          </cell>
          <cell r="AF2019">
            <v>183</v>
          </cell>
          <cell r="AG2019">
            <v>-110</v>
          </cell>
        </row>
        <row r="2020">
          <cell r="C2020">
            <v>51815840</v>
          </cell>
          <cell r="D2020" t="str">
            <v>NEL Ahmednagar 15</v>
          </cell>
          <cell r="E2020" t="str">
            <v>NEL</v>
          </cell>
          <cell r="G2020" t="str">
            <v>Ahmednagar East RSA</v>
          </cell>
          <cell r="J2020" t="str">
            <v>DAHIGAON-NE</v>
          </cell>
          <cell r="K2020" t="str">
            <v>Ahmednagar</v>
          </cell>
          <cell r="L2020" t="str">
            <v>D1</v>
          </cell>
          <cell r="M2020" t="str">
            <v>NH-752E</v>
          </cell>
          <cell r="O2020" t="str">
            <v>B</v>
          </cell>
          <cell r="P2020">
            <v>75</v>
          </cell>
          <cell r="Q2020">
            <v>48</v>
          </cell>
          <cell r="R2020">
            <v>80</v>
          </cell>
          <cell r="S2020">
            <v>65</v>
          </cell>
          <cell r="T2020">
            <v>-5</v>
          </cell>
          <cell r="U2020">
            <v>-17</v>
          </cell>
          <cell r="V2020">
            <v>150</v>
          </cell>
          <cell r="W2020">
            <v>60</v>
          </cell>
          <cell r="X2020">
            <v>166</v>
          </cell>
          <cell r="Y2020">
            <v>125</v>
          </cell>
          <cell r="Z2020">
            <v>-16</v>
          </cell>
          <cell r="AA2020">
            <v>-65</v>
          </cell>
          <cell r="AB2020">
            <v>123</v>
          </cell>
          <cell r="AC2020">
            <v>145</v>
          </cell>
          <cell r="AD2020">
            <v>-22</v>
          </cell>
          <cell r="AE2020">
            <v>210</v>
          </cell>
          <cell r="AF2020">
            <v>291</v>
          </cell>
          <cell r="AG2020">
            <v>-81</v>
          </cell>
        </row>
        <row r="2021">
          <cell r="C2021">
            <v>51815846</v>
          </cell>
          <cell r="D2021" t="str">
            <v>NEL Pune 11</v>
          </cell>
          <cell r="E2021" t="str">
            <v>NEL</v>
          </cell>
          <cell r="G2021" t="str">
            <v>Pimpri Chinchwad RSA</v>
          </cell>
          <cell r="J2021" t="str">
            <v>Dapodi</v>
          </cell>
          <cell r="K2021" t="str">
            <v>Pune</v>
          </cell>
          <cell r="L2021" t="str">
            <v>A</v>
          </cell>
          <cell r="M2021" t="str">
            <v>NH-965</v>
          </cell>
          <cell r="O2021" t="str">
            <v>B</v>
          </cell>
          <cell r="P2021">
            <v>12</v>
          </cell>
          <cell r="Q2021">
            <v>30</v>
          </cell>
          <cell r="R2021">
            <v>46</v>
          </cell>
          <cell r="S2021">
            <v>65</v>
          </cell>
          <cell r="T2021">
            <v>-34</v>
          </cell>
          <cell r="U2021">
            <v>-35</v>
          </cell>
          <cell r="V2021">
            <v>24</v>
          </cell>
          <cell r="W2021">
            <v>60</v>
          </cell>
          <cell r="X2021">
            <v>90</v>
          </cell>
          <cell r="Y2021">
            <v>120</v>
          </cell>
          <cell r="Z2021">
            <v>-66</v>
          </cell>
          <cell r="AA2021">
            <v>-60</v>
          </cell>
          <cell r="AB2021">
            <v>42</v>
          </cell>
          <cell r="AC2021">
            <v>111</v>
          </cell>
          <cell r="AD2021">
            <v>-69</v>
          </cell>
          <cell r="AE2021">
            <v>84</v>
          </cell>
          <cell r="AF2021">
            <v>210</v>
          </cell>
          <cell r="AG2021">
            <v>-126</v>
          </cell>
        </row>
        <row r="2022">
          <cell r="C2022">
            <v>51815847</v>
          </cell>
          <cell r="D2022" t="str">
            <v>NEL Satara 11</v>
          </cell>
          <cell r="E2022" t="str">
            <v>NEL</v>
          </cell>
          <cell r="G2022" t="str">
            <v>Satara East RSA</v>
          </cell>
          <cell r="J2022" t="str">
            <v>Khatav</v>
          </cell>
          <cell r="K2022" t="str">
            <v>Satara</v>
          </cell>
          <cell r="L2022" t="str">
            <v>E</v>
          </cell>
          <cell r="O2022" t="str">
            <v>B</v>
          </cell>
          <cell r="P2022">
            <v>20</v>
          </cell>
          <cell r="Q2022">
            <v>28</v>
          </cell>
          <cell r="R2022">
            <v>32</v>
          </cell>
          <cell r="S2022">
            <v>65</v>
          </cell>
          <cell r="T2022">
            <v>-12</v>
          </cell>
          <cell r="U2022">
            <v>-37</v>
          </cell>
          <cell r="V2022">
            <v>40</v>
          </cell>
          <cell r="W2022">
            <v>58</v>
          </cell>
          <cell r="X2022">
            <v>64</v>
          </cell>
          <cell r="Y2022">
            <v>127</v>
          </cell>
          <cell r="Z2022">
            <v>-24</v>
          </cell>
          <cell r="AA2022">
            <v>-69</v>
          </cell>
          <cell r="AB2022">
            <v>48</v>
          </cell>
          <cell r="AC2022">
            <v>97</v>
          </cell>
          <cell r="AD2022">
            <v>-49</v>
          </cell>
          <cell r="AE2022">
            <v>98</v>
          </cell>
          <cell r="AF2022">
            <v>191</v>
          </cell>
          <cell r="AG2022">
            <v>-93</v>
          </cell>
        </row>
        <row r="2023">
          <cell r="C2023">
            <v>51815848</v>
          </cell>
          <cell r="D2023" t="str">
            <v>NEL Satara 12</v>
          </cell>
          <cell r="E2023" t="str">
            <v>NEL</v>
          </cell>
          <cell r="G2023" t="str">
            <v>Satara East RSA</v>
          </cell>
          <cell r="J2023" t="str">
            <v>Nhavi Budruk</v>
          </cell>
          <cell r="K2023" t="str">
            <v>Satara</v>
          </cell>
          <cell r="L2023" t="str">
            <v>C</v>
          </cell>
          <cell r="O2023" t="str">
            <v>B</v>
          </cell>
          <cell r="P2023">
            <v>30</v>
          </cell>
          <cell r="Q2023">
            <v>24</v>
          </cell>
          <cell r="R2023">
            <v>25</v>
          </cell>
          <cell r="S2023">
            <v>70</v>
          </cell>
          <cell r="T2023">
            <v>5</v>
          </cell>
          <cell r="U2023">
            <v>-46</v>
          </cell>
          <cell r="V2023">
            <v>60</v>
          </cell>
          <cell r="W2023">
            <v>54</v>
          </cell>
          <cell r="X2023">
            <v>47</v>
          </cell>
          <cell r="Y2023">
            <v>134</v>
          </cell>
          <cell r="Z2023">
            <v>13</v>
          </cell>
          <cell r="AA2023">
            <v>-80</v>
          </cell>
          <cell r="AB2023">
            <v>54</v>
          </cell>
          <cell r="AC2023">
            <v>95</v>
          </cell>
          <cell r="AD2023">
            <v>-41</v>
          </cell>
          <cell r="AE2023">
            <v>114</v>
          </cell>
          <cell r="AF2023">
            <v>181</v>
          </cell>
          <cell r="AG2023">
            <v>-67</v>
          </cell>
        </row>
        <row r="2024">
          <cell r="C2024">
            <v>51815849</v>
          </cell>
          <cell r="D2024" t="str">
            <v>NEL Satara 13</v>
          </cell>
          <cell r="E2024" t="str">
            <v>NEL</v>
          </cell>
          <cell r="G2024" t="str">
            <v>Satara East RSA</v>
          </cell>
          <cell r="J2024" t="str">
            <v>Wakalwadi</v>
          </cell>
          <cell r="K2024" t="str">
            <v>Satara</v>
          </cell>
          <cell r="L2024" t="str">
            <v>D2</v>
          </cell>
          <cell r="O2024" t="str">
            <v>B</v>
          </cell>
          <cell r="P2024">
            <v>32</v>
          </cell>
          <cell r="Q2024">
            <v>20</v>
          </cell>
          <cell r="R2024">
            <v>36</v>
          </cell>
          <cell r="S2024">
            <v>60</v>
          </cell>
          <cell r="T2024">
            <v>-4</v>
          </cell>
          <cell r="U2024">
            <v>-40</v>
          </cell>
          <cell r="V2024">
            <v>67</v>
          </cell>
          <cell r="W2024">
            <v>56</v>
          </cell>
          <cell r="X2024">
            <v>64</v>
          </cell>
          <cell r="Y2024">
            <v>116</v>
          </cell>
          <cell r="Z2024">
            <v>3</v>
          </cell>
          <cell r="AA2024">
            <v>-60</v>
          </cell>
          <cell r="AB2024">
            <v>52</v>
          </cell>
          <cell r="AC2024">
            <v>96</v>
          </cell>
          <cell r="AD2024">
            <v>-44</v>
          </cell>
          <cell r="AE2024">
            <v>123</v>
          </cell>
          <cell r="AF2024">
            <v>180</v>
          </cell>
          <cell r="AG2024">
            <v>-57</v>
          </cell>
        </row>
        <row r="2025">
          <cell r="C2025">
            <v>51823046</v>
          </cell>
          <cell r="D2025" t="str">
            <v>Krushnai Petroleum</v>
          </cell>
          <cell r="E2025" t="str">
            <v>NEL</v>
          </cell>
          <cell r="F2025" t="str">
            <v>2023-24</v>
          </cell>
          <cell r="G2025" t="str">
            <v>Satara East RSA</v>
          </cell>
          <cell r="J2025" t="str">
            <v>RANAND</v>
          </cell>
          <cell r="K2025" t="str">
            <v>Satara</v>
          </cell>
          <cell r="L2025" t="str">
            <v>E</v>
          </cell>
          <cell r="O2025" t="str">
            <v>B</v>
          </cell>
          <cell r="P2025">
            <v>16</v>
          </cell>
          <cell r="Q2025">
            <v>20</v>
          </cell>
          <cell r="R2025">
            <v>27</v>
          </cell>
          <cell r="S2025">
            <v>55</v>
          </cell>
          <cell r="T2025">
            <v>-11</v>
          </cell>
          <cell r="U2025">
            <v>-35</v>
          </cell>
          <cell r="V2025">
            <v>31</v>
          </cell>
          <cell r="W2025">
            <v>60</v>
          </cell>
          <cell r="X2025">
            <v>51</v>
          </cell>
          <cell r="Y2025">
            <v>103</v>
          </cell>
          <cell r="Z2025">
            <v>-20</v>
          </cell>
          <cell r="AA2025">
            <v>-43</v>
          </cell>
          <cell r="AB2025">
            <v>36</v>
          </cell>
          <cell r="AC2025">
            <v>82</v>
          </cell>
          <cell r="AD2025">
            <v>-46</v>
          </cell>
          <cell r="AE2025">
            <v>91</v>
          </cell>
          <cell r="AF2025">
            <v>154</v>
          </cell>
          <cell r="AG2025">
            <v>-63</v>
          </cell>
        </row>
        <row r="2026">
          <cell r="C2026">
            <v>51823047</v>
          </cell>
          <cell r="D2026" t="str">
            <v>Paras Petroleum</v>
          </cell>
          <cell r="E2026" t="str">
            <v>NEL</v>
          </cell>
          <cell r="F2026" t="str">
            <v>2023-24</v>
          </cell>
          <cell r="G2026" t="str">
            <v>Satara East RSA</v>
          </cell>
          <cell r="J2026" t="str">
            <v>Dahiwadi on NH</v>
          </cell>
          <cell r="K2026" t="str">
            <v>Satara</v>
          </cell>
          <cell r="L2026" t="str">
            <v>D1</v>
          </cell>
          <cell r="M2026" t="str">
            <v>NH-160</v>
          </cell>
          <cell r="O2026" t="str">
            <v>B</v>
          </cell>
          <cell r="P2026">
            <v>20</v>
          </cell>
          <cell r="Q2026">
            <v>12</v>
          </cell>
          <cell r="R2026">
            <v>35</v>
          </cell>
          <cell r="S2026">
            <v>60</v>
          </cell>
          <cell r="T2026">
            <v>-15</v>
          </cell>
          <cell r="U2026">
            <v>-48</v>
          </cell>
          <cell r="V2026">
            <v>40</v>
          </cell>
          <cell r="W2026">
            <v>36</v>
          </cell>
          <cell r="X2026">
            <v>60</v>
          </cell>
          <cell r="Y2026">
            <v>120</v>
          </cell>
          <cell r="Z2026">
            <v>-20</v>
          </cell>
          <cell r="AA2026">
            <v>-84</v>
          </cell>
          <cell r="AB2026">
            <v>32</v>
          </cell>
          <cell r="AC2026">
            <v>95</v>
          </cell>
          <cell r="AD2026">
            <v>-63</v>
          </cell>
          <cell r="AE2026">
            <v>76</v>
          </cell>
          <cell r="AF2026">
            <v>180</v>
          </cell>
          <cell r="AG2026">
            <v>-104</v>
          </cell>
        </row>
        <row r="2027">
          <cell r="C2027">
            <v>51823048</v>
          </cell>
          <cell r="D2027" t="str">
            <v>Nagoba Petroleum</v>
          </cell>
          <cell r="E2027" t="str">
            <v>NEL</v>
          </cell>
          <cell r="F2027" t="str">
            <v>2023-24</v>
          </cell>
          <cell r="G2027" t="str">
            <v>Satara East RSA</v>
          </cell>
          <cell r="J2027" t="str">
            <v>Mhaswad</v>
          </cell>
          <cell r="K2027" t="str">
            <v>Satara</v>
          </cell>
          <cell r="L2027" t="str">
            <v>D1</v>
          </cell>
          <cell r="M2027" t="str">
            <v>NH-548C</v>
          </cell>
          <cell r="O2027" t="str">
            <v>B</v>
          </cell>
          <cell r="P2027">
            <v>20</v>
          </cell>
          <cell r="Q2027">
            <v>20</v>
          </cell>
          <cell r="R2027">
            <v>27</v>
          </cell>
          <cell r="S2027">
            <v>50</v>
          </cell>
          <cell r="T2027">
            <v>-7</v>
          </cell>
          <cell r="U2027">
            <v>-30</v>
          </cell>
          <cell r="V2027">
            <v>40</v>
          </cell>
          <cell r="W2027">
            <v>40</v>
          </cell>
          <cell r="X2027">
            <v>51</v>
          </cell>
          <cell r="Y2027">
            <v>96</v>
          </cell>
          <cell r="Z2027">
            <v>-11</v>
          </cell>
          <cell r="AA2027">
            <v>-56</v>
          </cell>
          <cell r="AB2027">
            <v>40</v>
          </cell>
          <cell r="AC2027">
            <v>77</v>
          </cell>
          <cell r="AD2027">
            <v>-37</v>
          </cell>
          <cell r="AE2027">
            <v>80</v>
          </cell>
          <cell r="AF2027">
            <v>147</v>
          </cell>
          <cell r="AG2027">
            <v>-67</v>
          </cell>
        </row>
        <row r="2028">
          <cell r="C2028">
            <v>51823049</v>
          </cell>
          <cell r="D2028" t="str">
            <v>Viraj Petroleum</v>
          </cell>
          <cell r="E2028" t="str">
            <v>NEL</v>
          </cell>
          <cell r="F2028" t="str">
            <v>2023-24</v>
          </cell>
          <cell r="G2028" t="str">
            <v>Satara East RSA</v>
          </cell>
          <cell r="J2028" t="str">
            <v>VIKHALE</v>
          </cell>
          <cell r="K2028" t="str">
            <v>Satara</v>
          </cell>
          <cell r="L2028" t="str">
            <v>D2</v>
          </cell>
          <cell r="O2028" t="str">
            <v>B</v>
          </cell>
          <cell r="P2028">
            <v>8</v>
          </cell>
          <cell r="Q2028">
            <v>24</v>
          </cell>
          <cell r="R2028">
            <v>30</v>
          </cell>
          <cell r="S2028">
            <v>45</v>
          </cell>
          <cell r="T2028">
            <v>-22</v>
          </cell>
          <cell r="U2028">
            <v>-21</v>
          </cell>
          <cell r="V2028">
            <v>16</v>
          </cell>
          <cell r="W2028">
            <v>48</v>
          </cell>
          <cell r="X2028">
            <v>55</v>
          </cell>
          <cell r="Y2028">
            <v>85</v>
          </cell>
          <cell r="Z2028">
            <v>-39</v>
          </cell>
          <cell r="AA2028">
            <v>-37</v>
          </cell>
          <cell r="AB2028">
            <v>32</v>
          </cell>
          <cell r="AC2028">
            <v>75</v>
          </cell>
          <cell r="AD2028">
            <v>-43</v>
          </cell>
          <cell r="AE2028">
            <v>64</v>
          </cell>
          <cell r="AF2028">
            <v>140</v>
          </cell>
          <cell r="AG2028">
            <v>-76</v>
          </cell>
        </row>
        <row r="2029">
          <cell r="C2029">
            <v>51823050</v>
          </cell>
          <cell r="D2029" t="str">
            <v>Bramhachaitanya Petroleum</v>
          </cell>
          <cell r="E2029" t="str">
            <v>NEL</v>
          </cell>
          <cell r="F2029" t="str">
            <v>2023-24</v>
          </cell>
          <cell r="G2029" t="str">
            <v>Satara East RSA</v>
          </cell>
          <cell r="J2029" t="str">
            <v>Mhaswad</v>
          </cell>
          <cell r="K2029" t="str">
            <v>Satara</v>
          </cell>
          <cell r="L2029" t="str">
            <v>D1</v>
          </cell>
          <cell r="M2029" t="str">
            <v>NH-548C</v>
          </cell>
          <cell r="O2029" t="str">
            <v>B</v>
          </cell>
          <cell r="P2029">
            <v>16</v>
          </cell>
          <cell r="Q2029">
            <v>12</v>
          </cell>
          <cell r="R2029">
            <v>28</v>
          </cell>
          <cell r="S2029">
            <v>55</v>
          </cell>
          <cell r="T2029">
            <v>-12</v>
          </cell>
          <cell r="U2029">
            <v>-43</v>
          </cell>
          <cell r="V2029">
            <v>32</v>
          </cell>
          <cell r="W2029">
            <v>36</v>
          </cell>
          <cell r="X2029">
            <v>54</v>
          </cell>
          <cell r="Y2029">
            <v>107</v>
          </cell>
          <cell r="Z2029">
            <v>-22</v>
          </cell>
          <cell r="AA2029">
            <v>-71</v>
          </cell>
          <cell r="AB2029">
            <v>28</v>
          </cell>
          <cell r="AC2029">
            <v>83</v>
          </cell>
          <cell r="AD2029">
            <v>-55</v>
          </cell>
          <cell r="AE2029">
            <v>68</v>
          </cell>
          <cell r="AF2029">
            <v>161</v>
          </cell>
          <cell r="AG2029">
            <v>-93</v>
          </cell>
        </row>
        <row r="2030">
          <cell r="C2030">
            <v>51823051</v>
          </cell>
          <cell r="D2030" t="str">
            <v>Rukmini Petroleum</v>
          </cell>
          <cell r="E2030" t="str">
            <v>NEL</v>
          </cell>
          <cell r="F2030" t="str">
            <v>2023-24</v>
          </cell>
          <cell r="G2030" t="str">
            <v>Satara East RSA</v>
          </cell>
          <cell r="J2030" t="str">
            <v>Nimbhore</v>
          </cell>
          <cell r="K2030" t="str">
            <v>Satara</v>
          </cell>
          <cell r="L2030" t="str">
            <v>D1</v>
          </cell>
          <cell r="M2030" t="str">
            <v>NH-965</v>
          </cell>
          <cell r="O2030" t="str">
            <v>B</v>
          </cell>
          <cell r="P2030">
            <v>20</v>
          </cell>
          <cell r="Q2030">
            <v>12</v>
          </cell>
          <cell r="R2030">
            <v>22</v>
          </cell>
          <cell r="S2030">
            <v>60</v>
          </cell>
          <cell r="T2030">
            <v>-2</v>
          </cell>
          <cell r="U2030">
            <v>-48</v>
          </cell>
          <cell r="V2030">
            <v>40</v>
          </cell>
          <cell r="W2030">
            <v>44</v>
          </cell>
          <cell r="X2030">
            <v>44</v>
          </cell>
          <cell r="Y2030">
            <v>120</v>
          </cell>
          <cell r="Z2030">
            <v>-4</v>
          </cell>
          <cell r="AA2030">
            <v>-76</v>
          </cell>
          <cell r="AB2030">
            <v>32</v>
          </cell>
          <cell r="AC2030">
            <v>82</v>
          </cell>
          <cell r="AD2030">
            <v>-50</v>
          </cell>
          <cell r="AE2030">
            <v>84</v>
          </cell>
          <cell r="AF2030">
            <v>164</v>
          </cell>
          <cell r="AG2030">
            <v>-80</v>
          </cell>
        </row>
        <row r="2031">
          <cell r="C2031">
            <v>51823052</v>
          </cell>
          <cell r="D2031" t="str">
            <v>Shivraj Petroleum</v>
          </cell>
          <cell r="E2031" t="str">
            <v>NEL</v>
          </cell>
          <cell r="F2031" t="str">
            <v>2023-24</v>
          </cell>
          <cell r="G2031" t="str">
            <v>Satara East RSA</v>
          </cell>
          <cell r="J2031" t="str">
            <v>Malegaon-Shirwali Road</v>
          </cell>
          <cell r="K2031" t="str">
            <v>Satara</v>
          </cell>
          <cell r="L2031" t="str">
            <v>E</v>
          </cell>
          <cell r="O2031" t="str">
            <v>B</v>
          </cell>
          <cell r="P2031">
            <v>16</v>
          </cell>
          <cell r="Q2031">
            <v>24</v>
          </cell>
          <cell r="R2031">
            <v>20</v>
          </cell>
          <cell r="S2031">
            <v>54</v>
          </cell>
          <cell r="T2031">
            <v>-4</v>
          </cell>
          <cell r="U2031">
            <v>-30</v>
          </cell>
          <cell r="V2031">
            <v>32</v>
          </cell>
          <cell r="W2031">
            <v>48</v>
          </cell>
          <cell r="X2031">
            <v>40</v>
          </cell>
          <cell r="Y2031">
            <v>108</v>
          </cell>
          <cell r="Z2031">
            <v>-8</v>
          </cell>
          <cell r="AA2031">
            <v>-60</v>
          </cell>
          <cell r="AB2031">
            <v>40</v>
          </cell>
          <cell r="AC2031">
            <v>74</v>
          </cell>
          <cell r="AD2031">
            <v>-34</v>
          </cell>
          <cell r="AE2031">
            <v>80</v>
          </cell>
          <cell r="AF2031">
            <v>148</v>
          </cell>
          <cell r="AG2031">
            <v>-68</v>
          </cell>
        </row>
        <row r="2032">
          <cell r="C2032">
            <v>51823053</v>
          </cell>
          <cell r="D2032" t="str">
            <v>Nemat Petroleum</v>
          </cell>
          <cell r="E2032" t="str">
            <v>NEL</v>
          </cell>
          <cell r="F2032" t="str">
            <v>2023-24</v>
          </cell>
          <cell r="G2032" t="str">
            <v>Satara East RSA</v>
          </cell>
          <cell r="J2032" t="str">
            <v>Phalton</v>
          </cell>
          <cell r="K2032" t="str">
            <v>Satara</v>
          </cell>
          <cell r="L2032" t="str">
            <v>D1</v>
          </cell>
          <cell r="M2032" t="str">
            <v>NH-965</v>
          </cell>
          <cell r="O2032" t="str">
            <v>B</v>
          </cell>
          <cell r="P2032">
            <v>20</v>
          </cell>
          <cell r="Q2032">
            <v>12</v>
          </cell>
          <cell r="R2032">
            <v>25</v>
          </cell>
          <cell r="S2032">
            <v>60</v>
          </cell>
          <cell r="T2032">
            <v>-5</v>
          </cell>
          <cell r="U2032">
            <v>-48</v>
          </cell>
          <cell r="V2032">
            <v>40</v>
          </cell>
          <cell r="W2032">
            <v>32</v>
          </cell>
          <cell r="X2032">
            <v>45</v>
          </cell>
          <cell r="Y2032">
            <v>112</v>
          </cell>
          <cell r="Z2032">
            <v>-5</v>
          </cell>
          <cell r="AA2032">
            <v>-80</v>
          </cell>
          <cell r="AB2032">
            <v>32</v>
          </cell>
          <cell r="AC2032">
            <v>85</v>
          </cell>
          <cell r="AD2032">
            <v>-53</v>
          </cell>
          <cell r="AE2032">
            <v>72</v>
          </cell>
          <cell r="AF2032">
            <v>157</v>
          </cell>
          <cell r="AG2032">
            <v>-85</v>
          </cell>
        </row>
        <row r="2033">
          <cell r="C2033">
            <v>51823054</v>
          </cell>
          <cell r="D2033" t="str">
            <v>Shrinath Mhaskoba Petroleum</v>
          </cell>
          <cell r="E2033" t="str">
            <v>NEL</v>
          </cell>
          <cell r="F2033" t="str">
            <v>2023-24</v>
          </cell>
          <cell r="G2033" t="str">
            <v>Satara East RSA</v>
          </cell>
          <cell r="J2033" t="str">
            <v>Wavarhire</v>
          </cell>
          <cell r="K2033" t="str">
            <v>Satara</v>
          </cell>
          <cell r="L2033" t="str">
            <v>D2</v>
          </cell>
          <cell r="O2033" t="str">
            <v>B</v>
          </cell>
          <cell r="P2033">
            <v>12</v>
          </cell>
          <cell r="Q2033">
            <v>40</v>
          </cell>
          <cell r="R2033">
            <v>20</v>
          </cell>
          <cell r="S2033">
            <v>48</v>
          </cell>
          <cell r="T2033">
            <v>-8</v>
          </cell>
          <cell r="U2033">
            <v>-8</v>
          </cell>
          <cell r="V2033">
            <v>24</v>
          </cell>
          <cell r="W2033">
            <v>80</v>
          </cell>
          <cell r="X2033">
            <v>38</v>
          </cell>
          <cell r="Y2033">
            <v>96</v>
          </cell>
          <cell r="Z2033">
            <v>-14</v>
          </cell>
          <cell r="AA2033">
            <v>-16</v>
          </cell>
          <cell r="AB2033">
            <v>52</v>
          </cell>
          <cell r="AC2033">
            <v>68</v>
          </cell>
          <cell r="AD2033">
            <v>-16</v>
          </cell>
          <cell r="AE2033">
            <v>104</v>
          </cell>
          <cell r="AF2033">
            <v>134</v>
          </cell>
          <cell r="AG2033">
            <v>-30</v>
          </cell>
        </row>
        <row r="2034">
          <cell r="C2034">
            <v>51823055</v>
          </cell>
          <cell r="D2034" t="str">
            <v>Shree Dattaguru Petroleum</v>
          </cell>
          <cell r="E2034" t="str">
            <v>NEL</v>
          </cell>
          <cell r="F2034" t="str">
            <v>2023-24</v>
          </cell>
          <cell r="G2034" t="str">
            <v>Satara East RSA</v>
          </cell>
          <cell r="J2034" t="str">
            <v>kalaj</v>
          </cell>
          <cell r="K2034" t="str">
            <v>Satara</v>
          </cell>
          <cell r="L2034" t="str">
            <v>D1</v>
          </cell>
          <cell r="M2034" t="str">
            <v>NH-965</v>
          </cell>
          <cell r="O2034" t="str">
            <v>B</v>
          </cell>
          <cell r="P2034">
            <v>8</v>
          </cell>
          <cell r="Q2034">
            <v>32</v>
          </cell>
          <cell r="R2034">
            <v>25</v>
          </cell>
          <cell r="S2034">
            <v>52</v>
          </cell>
          <cell r="T2034">
            <v>-17</v>
          </cell>
          <cell r="U2034">
            <v>-20</v>
          </cell>
          <cell r="V2034">
            <v>16</v>
          </cell>
          <cell r="W2034">
            <v>76</v>
          </cell>
          <cell r="X2034">
            <v>40</v>
          </cell>
          <cell r="Y2034">
            <v>104</v>
          </cell>
          <cell r="Z2034">
            <v>-24</v>
          </cell>
          <cell r="AA2034">
            <v>-28</v>
          </cell>
          <cell r="AB2034">
            <v>40</v>
          </cell>
          <cell r="AC2034">
            <v>77</v>
          </cell>
          <cell r="AD2034">
            <v>-37</v>
          </cell>
          <cell r="AE2034">
            <v>92</v>
          </cell>
          <cell r="AF2034">
            <v>144</v>
          </cell>
          <cell r="AG2034">
            <v>-52</v>
          </cell>
        </row>
        <row r="2035">
          <cell r="C2035">
            <v>51823346</v>
          </cell>
          <cell r="D2035" t="str">
            <v>Yashkirti Petroleum</v>
          </cell>
          <cell r="E2035" t="str">
            <v>NEL</v>
          </cell>
          <cell r="F2035" t="str">
            <v>2024-25</v>
          </cell>
          <cell r="G2035" t="str">
            <v>Satara East RSA</v>
          </cell>
          <cell r="J2035" t="str">
            <v>Pusegaon</v>
          </cell>
          <cell r="K2035" t="str">
            <v>Satara</v>
          </cell>
          <cell r="L2035" t="str">
            <v>D2</v>
          </cell>
          <cell r="O2035" t="str">
            <v>B</v>
          </cell>
          <cell r="P2035">
            <v>24</v>
          </cell>
          <cell r="Q2035">
            <v>24</v>
          </cell>
          <cell r="R2035">
            <v>20</v>
          </cell>
          <cell r="S2035">
            <v>19.393000000000001</v>
          </cell>
          <cell r="T2035">
            <v>4</v>
          </cell>
          <cell r="U2035">
            <v>4.6069999999999993</v>
          </cell>
          <cell r="V2035">
            <v>48</v>
          </cell>
          <cell r="W2035">
            <v>48</v>
          </cell>
          <cell r="X2035">
            <v>28.335000000000001</v>
          </cell>
          <cell r="Y2035">
            <v>38.786000000000001</v>
          </cell>
          <cell r="Z2035">
            <v>19.664999999999999</v>
          </cell>
          <cell r="AA2035">
            <v>9.2139999999999986</v>
          </cell>
          <cell r="AB2035">
            <v>48</v>
          </cell>
          <cell r="AC2035">
            <v>39.393000000000001</v>
          </cell>
          <cell r="AD2035">
            <v>8.6069999999999993</v>
          </cell>
          <cell r="AE2035">
            <v>96</v>
          </cell>
          <cell r="AF2035">
            <v>67.121000000000009</v>
          </cell>
          <cell r="AG2035">
            <v>28.878999999999991</v>
          </cell>
        </row>
        <row r="2036">
          <cell r="C2036">
            <v>51824548</v>
          </cell>
          <cell r="D2036" t="str">
            <v>JAGDAMBA PETROLEUM</v>
          </cell>
          <cell r="E2036" t="str">
            <v>NEL</v>
          </cell>
          <cell r="F2036" t="str">
            <v>2024-25</v>
          </cell>
          <cell r="G2036" t="str">
            <v>Ahmednagar West RSA</v>
          </cell>
          <cell r="J2036" t="str">
            <v>Ghogargoan</v>
          </cell>
          <cell r="K2036" t="str">
            <v>Ahmednagar</v>
          </cell>
          <cell r="L2036" t="str">
            <v>D1</v>
          </cell>
          <cell r="M2036" t="str">
            <v>NH-561A</v>
          </cell>
          <cell r="O2036" t="str">
            <v>B</v>
          </cell>
          <cell r="P2036">
            <v>18</v>
          </cell>
          <cell r="Q2036">
            <v>48</v>
          </cell>
          <cell r="R2036">
            <v>17</v>
          </cell>
          <cell r="S2036">
            <v>35</v>
          </cell>
          <cell r="T2036">
            <v>1</v>
          </cell>
          <cell r="U2036">
            <v>13</v>
          </cell>
          <cell r="V2036">
            <v>36</v>
          </cell>
          <cell r="W2036">
            <v>60</v>
          </cell>
          <cell r="X2036">
            <v>34</v>
          </cell>
          <cell r="Y2036">
            <v>65</v>
          </cell>
          <cell r="Z2036">
            <v>2</v>
          </cell>
          <cell r="AA2036">
            <v>-5</v>
          </cell>
          <cell r="AB2036">
            <v>66</v>
          </cell>
          <cell r="AC2036">
            <v>52</v>
          </cell>
          <cell r="AD2036">
            <v>14</v>
          </cell>
          <cell r="AE2036">
            <v>96</v>
          </cell>
          <cell r="AF2036">
            <v>99</v>
          </cell>
          <cell r="AG2036">
            <v>-3</v>
          </cell>
        </row>
        <row r="2037">
          <cell r="C2037">
            <v>51824549</v>
          </cell>
          <cell r="D2037" t="str">
            <v>NEL RATNAPUR (JAMKHED)</v>
          </cell>
          <cell r="E2037" t="str">
            <v>NEL</v>
          </cell>
          <cell r="F2037" t="str">
            <v>2024-25</v>
          </cell>
          <cell r="G2037" t="str">
            <v>Ahmednagar West RSA</v>
          </cell>
          <cell r="J2037" t="str">
            <v>JAMKHED-SHRIGONDA RD</v>
          </cell>
          <cell r="K2037" t="str">
            <v>Ahmednagar</v>
          </cell>
          <cell r="L2037" t="str">
            <v>D1</v>
          </cell>
          <cell r="M2037" t="str">
            <v>NH-548D</v>
          </cell>
          <cell r="O2037" t="str">
            <v>B</v>
          </cell>
          <cell r="P2037">
            <v>20</v>
          </cell>
          <cell r="Q2037">
            <v>12</v>
          </cell>
          <cell r="R2037">
            <v>26</v>
          </cell>
          <cell r="S2037">
            <v>100</v>
          </cell>
          <cell r="T2037">
            <v>-6</v>
          </cell>
          <cell r="U2037">
            <v>-88</v>
          </cell>
          <cell r="V2037">
            <v>40</v>
          </cell>
          <cell r="W2037">
            <v>24</v>
          </cell>
          <cell r="X2037">
            <v>52</v>
          </cell>
          <cell r="Y2037">
            <v>130</v>
          </cell>
          <cell r="Z2037">
            <v>-12</v>
          </cell>
          <cell r="AA2037">
            <v>-106</v>
          </cell>
          <cell r="AB2037">
            <v>32</v>
          </cell>
          <cell r="AC2037">
            <v>126</v>
          </cell>
          <cell r="AD2037">
            <v>-94</v>
          </cell>
          <cell r="AE2037">
            <v>64</v>
          </cell>
          <cell r="AF2037">
            <v>182</v>
          </cell>
          <cell r="AG2037">
            <v>-118</v>
          </cell>
        </row>
        <row r="2038">
          <cell r="C2038">
            <v>51824550</v>
          </cell>
          <cell r="D2038" t="str">
            <v>SHIV SHANKAR PETROLEUM</v>
          </cell>
          <cell r="E2038" t="str">
            <v>NEL</v>
          </cell>
          <cell r="F2038" t="str">
            <v>2024-25</v>
          </cell>
          <cell r="G2038" t="str">
            <v>Ahmednagar West RSA</v>
          </cell>
          <cell r="J2038" t="str">
            <v>KARJAT-KULDHARAN RD</v>
          </cell>
          <cell r="K2038" t="str">
            <v>Ahmednagar</v>
          </cell>
          <cell r="L2038" t="str">
            <v>D2</v>
          </cell>
          <cell r="O2038" t="str">
            <v>B</v>
          </cell>
          <cell r="P2038">
            <v>18</v>
          </cell>
          <cell r="Q2038">
            <v>32</v>
          </cell>
          <cell r="R2038">
            <v>17</v>
          </cell>
          <cell r="S2038">
            <v>40</v>
          </cell>
          <cell r="T2038">
            <v>1</v>
          </cell>
          <cell r="U2038">
            <v>-8</v>
          </cell>
          <cell r="V2038">
            <v>36</v>
          </cell>
          <cell r="W2038">
            <v>52</v>
          </cell>
          <cell r="X2038">
            <v>34</v>
          </cell>
          <cell r="Y2038">
            <v>74</v>
          </cell>
          <cell r="Z2038">
            <v>2</v>
          </cell>
          <cell r="AA2038">
            <v>-22</v>
          </cell>
          <cell r="AB2038">
            <v>50</v>
          </cell>
          <cell r="AC2038">
            <v>57</v>
          </cell>
          <cell r="AD2038">
            <v>-7</v>
          </cell>
          <cell r="AE2038">
            <v>88</v>
          </cell>
          <cell r="AF2038">
            <v>108</v>
          </cell>
          <cell r="AG2038">
            <v>-20</v>
          </cell>
        </row>
        <row r="2039">
          <cell r="C2039">
            <v>51824551</v>
          </cell>
          <cell r="D2039" t="str">
            <v>ADITYA PETROLEUM</v>
          </cell>
          <cell r="E2039" t="str">
            <v>NEL</v>
          </cell>
          <cell r="F2039" t="str">
            <v>2024-25</v>
          </cell>
          <cell r="G2039" t="str">
            <v>Ahmednagar West RSA</v>
          </cell>
          <cell r="J2039" t="str">
            <v>KARJAT-RASHIN RD</v>
          </cell>
          <cell r="K2039" t="str">
            <v>Ahmednagar</v>
          </cell>
          <cell r="L2039" t="str">
            <v>D2</v>
          </cell>
          <cell r="O2039" t="str">
            <v>B</v>
          </cell>
          <cell r="P2039">
            <v>16</v>
          </cell>
          <cell r="Q2039">
            <v>28</v>
          </cell>
          <cell r="R2039">
            <v>11</v>
          </cell>
          <cell r="S2039">
            <v>40</v>
          </cell>
          <cell r="T2039">
            <v>5</v>
          </cell>
          <cell r="U2039">
            <v>-12</v>
          </cell>
          <cell r="V2039">
            <v>32</v>
          </cell>
          <cell r="W2039">
            <v>40</v>
          </cell>
          <cell r="X2039">
            <v>21</v>
          </cell>
          <cell r="Y2039">
            <v>74</v>
          </cell>
          <cell r="Z2039">
            <v>11</v>
          </cell>
          <cell r="AA2039">
            <v>-34</v>
          </cell>
          <cell r="AB2039">
            <v>44</v>
          </cell>
          <cell r="AC2039">
            <v>51</v>
          </cell>
          <cell r="AD2039">
            <v>-7</v>
          </cell>
          <cell r="AE2039">
            <v>72</v>
          </cell>
          <cell r="AF2039">
            <v>95</v>
          </cell>
          <cell r="AG2039">
            <v>-23</v>
          </cell>
        </row>
        <row r="2040">
          <cell r="C2040">
            <v>51824552</v>
          </cell>
          <cell r="D2040" t="str">
            <v>NARAYAN PETROLEUM</v>
          </cell>
          <cell r="E2040" t="str">
            <v>NEL</v>
          </cell>
          <cell r="F2040" t="str">
            <v>2024-25</v>
          </cell>
          <cell r="G2040" t="str">
            <v>Ahmednagar West RSA</v>
          </cell>
          <cell r="J2040" t="str">
            <v>LONI VYNKNATH-KASHTI (NH)</v>
          </cell>
          <cell r="K2040" t="str">
            <v>Ahmednagar</v>
          </cell>
          <cell r="L2040" t="str">
            <v>D1</v>
          </cell>
          <cell r="M2040" t="str">
            <v>NH-160</v>
          </cell>
          <cell r="O2040" t="str">
            <v>B</v>
          </cell>
          <cell r="P2040">
            <v>22</v>
          </cell>
          <cell r="Q2040">
            <v>32</v>
          </cell>
          <cell r="R2040">
            <v>13</v>
          </cell>
          <cell r="S2040">
            <v>35</v>
          </cell>
          <cell r="T2040">
            <v>9</v>
          </cell>
          <cell r="U2040">
            <v>-3</v>
          </cell>
          <cell r="V2040">
            <v>44</v>
          </cell>
          <cell r="W2040">
            <v>48</v>
          </cell>
          <cell r="X2040">
            <v>26</v>
          </cell>
          <cell r="Y2040">
            <v>65</v>
          </cell>
          <cell r="Z2040">
            <v>18</v>
          </cell>
          <cell r="AA2040">
            <v>-17</v>
          </cell>
          <cell r="AB2040">
            <v>54</v>
          </cell>
          <cell r="AC2040">
            <v>48</v>
          </cell>
          <cell r="AD2040">
            <v>6</v>
          </cell>
          <cell r="AE2040">
            <v>92</v>
          </cell>
          <cell r="AF2040">
            <v>91</v>
          </cell>
          <cell r="AG2040">
            <v>1</v>
          </cell>
        </row>
        <row r="2041">
          <cell r="C2041">
            <v>51824553</v>
          </cell>
          <cell r="D2041" t="str">
            <v>SAHYADRI PETROLEUM</v>
          </cell>
          <cell r="E2041" t="str">
            <v>NEL</v>
          </cell>
          <cell r="F2041" t="str">
            <v>2024-25</v>
          </cell>
          <cell r="G2041" t="str">
            <v>Ahmednagar West RSA</v>
          </cell>
          <cell r="J2041" t="str">
            <v>Nannaj</v>
          </cell>
          <cell r="K2041" t="str">
            <v>Ahmednagar</v>
          </cell>
          <cell r="L2041" t="str">
            <v>D2</v>
          </cell>
          <cell r="O2041" t="str">
            <v>B</v>
          </cell>
          <cell r="P2041">
            <v>20</v>
          </cell>
          <cell r="Q2041">
            <v>44</v>
          </cell>
          <cell r="R2041">
            <v>15</v>
          </cell>
          <cell r="S2041">
            <v>32</v>
          </cell>
          <cell r="T2041">
            <v>5</v>
          </cell>
          <cell r="U2041">
            <v>12</v>
          </cell>
          <cell r="V2041">
            <v>40</v>
          </cell>
          <cell r="W2041">
            <v>56</v>
          </cell>
          <cell r="X2041">
            <v>30</v>
          </cell>
          <cell r="Y2041">
            <v>60</v>
          </cell>
          <cell r="Z2041">
            <v>10</v>
          </cell>
          <cell r="AA2041">
            <v>-4</v>
          </cell>
          <cell r="AB2041">
            <v>64</v>
          </cell>
          <cell r="AC2041">
            <v>47</v>
          </cell>
          <cell r="AD2041">
            <v>17</v>
          </cell>
          <cell r="AE2041">
            <v>96</v>
          </cell>
          <cell r="AF2041">
            <v>90</v>
          </cell>
          <cell r="AG2041">
            <v>6</v>
          </cell>
        </row>
        <row r="2042">
          <cell r="C2042">
            <v>51824554</v>
          </cell>
          <cell r="D2042" t="str">
            <v>ANAND PETROLEUM</v>
          </cell>
          <cell r="E2042" t="str">
            <v>NEL</v>
          </cell>
          <cell r="F2042" t="str">
            <v>2024-25</v>
          </cell>
          <cell r="G2042" t="str">
            <v>Ahmednagar West RSA</v>
          </cell>
          <cell r="J2042" t="str">
            <v>Rashin</v>
          </cell>
          <cell r="K2042" t="str">
            <v>Ahmednagar</v>
          </cell>
          <cell r="L2042" t="str">
            <v>D2</v>
          </cell>
          <cell r="O2042" t="str">
            <v>B</v>
          </cell>
          <cell r="P2042">
            <v>25</v>
          </cell>
          <cell r="Q2042">
            <v>36</v>
          </cell>
          <cell r="R2042">
            <v>4</v>
          </cell>
          <cell r="S2042">
            <v>36</v>
          </cell>
          <cell r="T2042">
            <v>21</v>
          </cell>
          <cell r="U2042">
            <v>0</v>
          </cell>
          <cell r="V2042">
            <v>50</v>
          </cell>
          <cell r="W2042">
            <v>48</v>
          </cell>
          <cell r="X2042">
            <v>8</v>
          </cell>
          <cell r="Y2042">
            <v>70</v>
          </cell>
          <cell r="Z2042">
            <v>42</v>
          </cell>
          <cell r="AA2042">
            <v>-22</v>
          </cell>
          <cell r="AB2042">
            <v>61</v>
          </cell>
          <cell r="AC2042">
            <v>40</v>
          </cell>
          <cell r="AD2042">
            <v>21</v>
          </cell>
          <cell r="AE2042">
            <v>98</v>
          </cell>
          <cell r="AF2042">
            <v>78</v>
          </cell>
          <cell r="AG2042">
            <v>20</v>
          </cell>
        </row>
        <row r="2043">
          <cell r="C2043">
            <v>51824555</v>
          </cell>
          <cell r="D2043" t="str">
            <v>NARHARI PETROLEUM</v>
          </cell>
          <cell r="E2043" t="str">
            <v>NEL</v>
          </cell>
          <cell r="F2043" t="str">
            <v>2024-25</v>
          </cell>
          <cell r="G2043" t="str">
            <v>Ahmednagar West RSA</v>
          </cell>
          <cell r="J2043" t="str">
            <v>Tisgaon</v>
          </cell>
          <cell r="K2043" t="str">
            <v>Ahmednagar</v>
          </cell>
          <cell r="L2043" t="str">
            <v>D1</v>
          </cell>
          <cell r="M2043" t="str">
            <v>NH-61</v>
          </cell>
          <cell r="O2043" t="str">
            <v>B</v>
          </cell>
          <cell r="P2043">
            <v>25</v>
          </cell>
          <cell r="Q2043">
            <v>24</v>
          </cell>
          <cell r="R2043">
            <v>4</v>
          </cell>
          <cell r="S2043">
            <v>28</v>
          </cell>
          <cell r="T2043">
            <v>21</v>
          </cell>
          <cell r="U2043">
            <v>-4</v>
          </cell>
          <cell r="V2043">
            <v>50</v>
          </cell>
          <cell r="W2043">
            <v>32</v>
          </cell>
          <cell r="X2043">
            <v>8</v>
          </cell>
          <cell r="Y2043">
            <v>54</v>
          </cell>
          <cell r="Z2043">
            <v>42</v>
          </cell>
          <cell r="AA2043">
            <v>-22</v>
          </cell>
          <cell r="AB2043">
            <v>49</v>
          </cell>
          <cell r="AC2043">
            <v>32</v>
          </cell>
          <cell r="AD2043">
            <v>17</v>
          </cell>
          <cell r="AE2043">
            <v>82</v>
          </cell>
          <cell r="AF2043">
            <v>62</v>
          </cell>
          <cell r="AG2043">
            <v>20</v>
          </cell>
        </row>
        <row r="2044">
          <cell r="C2044">
            <v>51824556</v>
          </cell>
          <cell r="D2044" t="str">
            <v>SHANKAR PETROLEUM</v>
          </cell>
          <cell r="E2044" t="str">
            <v>NEL</v>
          </cell>
          <cell r="F2044" t="str">
            <v>2024-25</v>
          </cell>
          <cell r="G2044" t="str">
            <v>Ahmednagar West RSA</v>
          </cell>
          <cell r="J2044" t="str">
            <v>Arangaon (Jamkhed)</v>
          </cell>
          <cell r="K2044" t="str">
            <v>Ahmednagar</v>
          </cell>
          <cell r="L2044" t="str">
            <v>D1</v>
          </cell>
          <cell r="M2044" t="str">
            <v>NH-548D</v>
          </cell>
          <cell r="O2044" t="str">
            <v>B</v>
          </cell>
          <cell r="P2044">
            <v>25</v>
          </cell>
          <cell r="Q2044">
            <v>12</v>
          </cell>
          <cell r="R2044">
            <v>25</v>
          </cell>
          <cell r="S2044">
            <v>32</v>
          </cell>
          <cell r="T2044">
            <v>0</v>
          </cell>
          <cell r="U2044">
            <v>-20</v>
          </cell>
          <cell r="V2044">
            <v>50</v>
          </cell>
          <cell r="W2044">
            <v>24</v>
          </cell>
          <cell r="X2044">
            <v>34</v>
          </cell>
          <cell r="Y2044">
            <v>72.551999999999992</v>
          </cell>
          <cell r="Z2044">
            <v>16</v>
          </cell>
          <cell r="AA2044">
            <v>-48.551999999999992</v>
          </cell>
          <cell r="AB2044">
            <v>37</v>
          </cell>
          <cell r="AC2044">
            <v>57</v>
          </cell>
          <cell r="AD2044">
            <v>-20</v>
          </cell>
          <cell r="AE2044">
            <v>74</v>
          </cell>
          <cell r="AF2044">
            <v>106.55199999999999</v>
          </cell>
          <cell r="AG2044">
            <v>-32.551999999999992</v>
          </cell>
        </row>
        <row r="2045">
          <cell r="C2045">
            <v>51824563</v>
          </cell>
          <cell r="D2045" t="str">
            <v>SANJIVANI PETROLEUM</v>
          </cell>
          <cell r="E2045" t="str">
            <v>NEL</v>
          </cell>
          <cell r="F2045" t="str">
            <v>2024-25</v>
          </cell>
          <cell r="G2045" t="str">
            <v>Ahmednagar West RSA</v>
          </cell>
          <cell r="J2045" t="str">
            <v>Ambijalgaon</v>
          </cell>
          <cell r="K2045" t="str">
            <v>Ahmednagar</v>
          </cell>
          <cell r="L2045" t="str">
            <v>D2</v>
          </cell>
          <cell r="O2045" t="str">
            <v>B</v>
          </cell>
          <cell r="P2045">
            <v>18</v>
          </cell>
          <cell r="Q2045">
            <v>16</v>
          </cell>
          <cell r="R2045">
            <v>17</v>
          </cell>
          <cell r="S2045">
            <v>35</v>
          </cell>
          <cell r="T2045">
            <v>1</v>
          </cell>
          <cell r="U2045">
            <v>-19</v>
          </cell>
          <cell r="V2045">
            <v>36</v>
          </cell>
          <cell r="W2045">
            <v>32</v>
          </cell>
          <cell r="X2045">
            <v>34</v>
          </cell>
          <cell r="Y2045">
            <v>70</v>
          </cell>
          <cell r="Z2045">
            <v>2</v>
          </cell>
          <cell r="AA2045">
            <v>-38</v>
          </cell>
          <cell r="AB2045">
            <v>34</v>
          </cell>
          <cell r="AC2045">
            <v>52</v>
          </cell>
          <cell r="AD2045">
            <v>-18</v>
          </cell>
          <cell r="AE2045">
            <v>68</v>
          </cell>
          <cell r="AF2045">
            <v>104</v>
          </cell>
          <cell r="AG2045">
            <v>-36</v>
          </cell>
        </row>
        <row r="2046">
          <cell r="C2046">
            <v>25816909477</v>
          </cell>
          <cell r="D2046" t="str">
            <v>Essar Narayangaon</v>
          </cell>
          <cell r="E2046" t="str">
            <v>NEL</v>
          </cell>
          <cell r="G2046" t="str">
            <v>Pune Wagholi RSA</v>
          </cell>
          <cell r="J2046" t="str">
            <v>Narayangaon to Alephata LHS</v>
          </cell>
          <cell r="K2046" t="str">
            <v>Pune</v>
          </cell>
          <cell r="L2046" t="str">
            <v>D1</v>
          </cell>
          <cell r="M2046" t="str">
            <v>NH-60</v>
          </cell>
          <cell r="O2046" t="str">
            <v>B</v>
          </cell>
          <cell r="P2046">
            <v>25</v>
          </cell>
          <cell r="Q2046">
            <v>24</v>
          </cell>
          <cell r="R2046">
            <v>35</v>
          </cell>
          <cell r="S2046">
            <v>100</v>
          </cell>
          <cell r="T2046">
            <v>-10</v>
          </cell>
          <cell r="U2046">
            <v>-76</v>
          </cell>
          <cell r="V2046">
            <v>50</v>
          </cell>
          <cell r="W2046">
            <v>64</v>
          </cell>
          <cell r="X2046">
            <v>70</v>
          </cell>
          <cell r="Y2046">
            <v>190</v>
          </cell>
          <cell r="Z2046">
            <v>-20</v>
          </cell>
          <cell r="AA2046">
            <v>-126</v>
          </cell>
          <cell r="AB2046">
            <v>49</v>
          </cell>
          <cell r="AC2046">
            <v>135</v>
          </cell>
          <cell r="AD2046">
            <v>-86</v>
          </cell>
          <cell r="AE2046">
            <v>114</v>
          </cell>
          <cell r="AF2046">
            <v>260</v>
          </cell>
          <cell r="AG2046">
            <v>-146</v>
          </cell>
        </row>
        <row r="2047">
          <cell r="C2047">
            <v>25816909478</v>
          </cell>
          <cell r="D2047" t="str">
            <v>Essar Pimpalgaon</v>
          </cell>
          <cell r="E2047" t="str">
            <v>NEL</v>
          </cell>
          <cell r="G2047" t="str">
            <v>Pune Wagholi RSA</v>
          </cell>
          <cell r="J2047" t="str">
            <v>PIMPALGAON TARFE NARAYANGAON</v>
          </cell>
          <cell r="K2047" t="str">
            <v>Pune</v>
          </cell>
          <cell r="L2047" t="str">
            <v>D2</v>
          </cell>
          <cell r="O2047" t="str">
            <v>B</v>
          </cell>
          <cell r="P2047">
            <v>12</v>
          </cell>
          <cell r="Q2047">
            <v>32</v>
          </cell>
          <cell r="R2047">
            <v>36</v>
          </cell>
          <cell r="S2047">
            <v>45</v>
          </cell>
          <cell r="T2047">
            <v>-24</v>
          </cell>
          <cell r="U2047">
            <v>-13</v>
          </cell>
          <cell r="V2047">
            <v>24</v>
          </cell>
          <cell r="W2047">
            <v>59.5</v>
          </cell>
          <cell r="X2047">
            <v>72</v>
          </cell>
          <cell r="Y2047">
            <v>85</v>
          </cell>
          <cell r="Z2047">
            <v>-48</v>
          </cell>
          <cell r="AA2047">
            <v>-25.5</v>
          </cell>
          <cell r="AB2047">
            <v>44</v>
          </cell>
          <cell r="AC2047">
            <v>81</v>
          </cell>
          <cell r="AD2047">
            <v>-37</v>
          </cell>
          <cell r="AE2047">
            <v>83.5</v>
          </cell>
          <cell r="AF2047">
            <v>157</v>
          </cell>
          <cell r="AG2047">
            <v>-73.5</v>
          </cell>
        </row>
        <row r="2048">
          <cell r="C2048">
            <v>25816909485</v>
          </cell>
          <cell r="D2048" t="str">
            <v>ESSAR - HANMANTWADI</v>
          </cell>
          <cell r="E2048" t="str">
            <v>NEL</v>
          </cell>
          <cell r="G2048" t="str">
            <v>Pimpri Chinchwad RSA</v>
          </cell>
          <cell r="J2048" t="str">
            <v>ALANDI RURAL</v>
          </cell>
          <cell r="K2048" t="str">
            <v>Pune</v>
          </cell>
          <cell r="L2048" t="str">
            <v>E</v>
          </cell>
          <cell r="O2048" t="str">
            <v>B</v>
          </cell>
          <cell r="P2048">
            <v>35</v>
          </cell>
          <cell r="Q2048">
            <v>30</v>
          </cell>
          <cell r="R2048">
            <v>36</v>
          </cell>
          <cell r="S2048">
            <v>55</v>
          </cell>
          <cell r="T2048">
            <v>-1</v>
          </cell>
          <cell r="U2048">
            <v>-25</v>
          </cell>
          <cell r="V2048">
            <v>70</v>
          </cell>
          <cell r="W2048">
            <v>60</v>
          </cell>
          <cell r="X2048">
            <v>72</v>
          </cell>
          <cell r="Y2048">
            <v>110</v>
          </cell>
          <cell r="Z2048">
            <v>-2</v>
          </cell>
          <cell r="AA2048">
            <v>-50</v>
          </cell>
          <cell r="AB2048">
            <v>65</v>
          </cell>
          <cell r="AC2048">
            <v>91</v>
          </cell>
          <cell r="AD2048">
            <v>-26</v>
          </cell>
          <cell r="AE2048">
            <v>130</v>
          </cell>
          <cell r="AF2048">
            <v>182</v>
          </cell>
          <cell r="AG2048">
            <v>-52</v>
          </cell>
        </row>
        <row r="2049">
          <cell r="C2049">
            <v>25816909486</v>
          </cell>
          <cell r="D2049" t="str">
            <v>ESSAR - KURULI</v>
          </cell>
          <cell r="E2049" t="str">
            <v>NEL</v>
          </cell>
          <cell r="G2049" t="str">
            <v>Pimpri Chinchwad RSA</v>
          </cell>
          <cell r="J2049" t="str">
            <v>CHAKAN NH-60 LHS</v>
          </cell>
          <cell r="K2049" t="str">
            <v>Pune</v>
          </cell>
          <cell r="L2049" t="str">
            <v>D1</v>
          </cell>
          <cell r="M2049" t="str">
            <v>NH-60</v>
          </cell>
          <cell r="O2049" t="str">
            <v>B</v>
          </cell>
          <cell r="P2049">
            <v>17</v>
          </cell>
          <cell r="Q2049">
            <v>25</v>
          </cell>
          <cell r="R2049">
            <v>20</v>
          </cell>
          <cell r="S2049">
            <v>45</v>
          </cell>
          <cell r="T2049">
            <v>-3</v>
          </cell>
          <cell r="U2049">
            <v>-20</v>
          </cell>
          <cell r="V2049">
            <v>34</v>
          </cell>
          <cell r="W2049">
            <v>50</v>
          </cell>
          <cell r="X2049">
            <v>40</v>
          </cell>
          <cell r="Y2049">
            <v>85</v>
          </cell>
          <cell r="Z2049">
            <v>-6</v>
          </cell>
          <cell r="AA2049">
            <v>-35</v>
          </cell>
          <cell r="AB2049">
            <v>42</v>
          </cell>
          <cell r="AC2049">
            <v>65</v>
          </cell>
          <cell r="AD2049">
            <v>-23</v>
          </cell>
          <cell r="AE2049">
            <v>84</v>
          </cell>
          <cell r="AF2049">
            <v>125</v>
          </cell>
          <cell r="AG2049">
            <v>-41</v>
          </cell>
        </row>
        <row r="2050">
          <cell r="C2050">
            <v>25816909487</v>
          </cell>
          <cell r="D2050" t="str">
            <v>NARAYA - BHOSARI MIDC</v>
          </cell>
          <cell r="E2050" t="str">
            <v>NEL</v>
          </cell>
          <cell r="G2050" t="str">
            <v>Pimpri Chinchwad RSA</v>
          </cell>
          <cell r="J2050" t="str">
            <v>Bhosari</v>
          </cell>
          <cell r="K2050" t="str">
            <v>Pune</v>
          </cell>
          <cell r="L2050" t="str">
            <v>A</v>
          </cell>
          <cell r="O2050" t="str">
            <v>B</v>
          </cell>
          <cell r="P2050">
            <v>15</v>
          </cell>
          <cell r="Q2050">
            <v>28</v>
          </cell>
          <cell r="R2050">
            <v>16</v>
          </cell>
          <cell r="S2050">
            <v>90</v>
          </cell>
          <cell r="T2050">
            <v>-1</v>
          </cell>
          <cell r="U2050">
            <v>-62</v>
          </cell>
          <cell r="V2050">
            <v>30</v>
          </cell>
          <cell r="W2050">
            <v>53</v>
          </cell>
          <cell r="X2050">
            <v>32</v>
          </cell>
          <cell r="Y2050">
            <v>165</v>
          </cell>
          <cell r="Z2050">
            <v>-2</v>
          </cell>
          <cell r="AA2050">
            <v>-112</v>
          </cell>
          <cell r="AB2050">
            <v>43</v>
          </cell>
          <cell r="AC2050">
            <v>106</v>
          </cell>
          <cell r="AD2050">
            <v>-63</v>
          </cell>
          <cell r="AE2050">
            <v>83</v>
          </cell>
          <cell r="AF2050">
            <v>197</v>
          </cell>
          <cell r="AG2050">
            <v>-114</v>
          </cell>
        </row>
        <row r="2051">
          <cell r="C2051">
            <v>25816909488</v>
          </cell>
          <cell r="D2051" t="str">
            <v>NARAYA - SPINE ROAD</v>
          </cell>
          <cell r="E2051" t="str">
            <v>NEL</v>
          </cell>
          <cell r="G2051" t="str">
            <v>Pimpri Chinchwad RSA</v>
          </cell>
          <cell r="J2051" t="str">
            <v>Spine Road</v>
          </cell>
          <cell r="K2051" t="str">
            <v>Pune</v>
          </cell>
          <cell r="L2051" t="str">
            <v>A</v>
          </cell>
          <cell r="O2051" t="str">
            <v>B</v>
          </cell>
          <cell r="P2051">
            <v>24</v>
          </cell>
          <cell r="Q2051">
            <v>30</v>
          </cell>
          <cell r="R2051">
            <v>22</v>
          </cell>
          <cell r="S2051">
            <v>60</v>
          </cell>
          <cell r="T2051">
            <v>2</v>
          </cell>
          <cell r="U2051">
            <v>-30</v>
          </cell>
          <cell r="V2051">
            <v>48</v>
          </cell>
          <cell r="W2051">
            <v>60</v>
          </cell>
          <cell r="X2051">
            <v>42.244</v>
          </cell>
          <cell r="Y2051">
            <v>116.852</v>
          </cell>
          <cell r="Z2051">
            <v>5.7560000000000002</v>
          </cell>
          <cell r="AA2051">
            <v>-56.852000000000004</v>
          </cell>
          <cell r="AB2051">
            <v>54</v>
          </cell>
          <cell r="AC2051">
            <v>82</v>
          </cell>
          <cell r="AD2051">
            <v>-28</v>
          </cell>
          <cell r="AE2051">
            <v>108</v>
          </cell>
          <cell r="AF2051">
            <v>159.096</v>
          </cell>
          <cell r="AG2051">
            <v>-51.096000000000004</v>
          </cell>
        </row>
        <row r="2052">
          <cell r="C2052">
            <v>51829090</v>
          </cell>
          <cell r="D2052" t="str">
            <v>Nyara Energy Junction Vadgaon</v>
          </cell>
          <cell r="E2052" t="str">
            <v>NEL</v>
          </cell>
          <cell r="F2052" t="str">
            <v>2025-26</v>
          </cell>
          <cell r="G2052" t="str">
            <v>Pune Tathawade RSA</v>
          </cell>
          <cell r="J2052" t="str">
            <v>KAMSHET TO VADGAON</v>
          </cell>
          <cell r="K2052" t="str">
            <v>Pune</v>
          </cell>
          <cell r="L2052" t="str">
            <v>D1</v>
          </cell>
          <cell r="M2052" t="str">
            <v>NH-48</v>
          </cell>
          <cell r="O2052" t="str">
            <v>B</v>
          </cell>
          <cell r="P2052">
            <v>25</v>
          </cell>
          <cell r="Q2052">
            <v>32</v>
          </cell>
          <cell r="R2052">
            <v>0</v>
          </cell>
          <cell r="S2052">
            <v>0</v>
          </cell>
          <cell r="T2052">
            <v>25</v>
          </cell>
          <cell r="U2052">
            <v>32</v>
          </cell>
          <cell r="V2052">
            <v>50</v>
          </cell>
          <cell r="W2052">
            <v>57</v>
          </cell>
          <cell r="X2052">
            <v>0</v>
          </cell>
          <cell r="Y2052">
            <v>0</v>
          </cell>
          <cell r="Z2052">
            <v>50</v>
          </cell>
          <cell r="AA2052">
            <v>57</v>
          </cell>
          <cell r="AB2052">
            <v>57</v>
          </cell>
          <cell r="AC2052">
            <v>0</v>
          </cell>
          <cell r="AD2052">
            <v>57</v>
          </cell>
          <cell r="AE2052">
            <v>107</v>
          </cell>
          <cell r="AF2052">
            <v>0</v>
          </cell>
          <cell r="AG2052">
            <v>107</v>
          </cell>
        </row>
        <row r="2053">
          <cell r="C2053">
            <v>51830086</v>
          </cell>
          <cell r="D2053" t="str">
            <v>NEL Barad Phalton</v>
          </cell>
          <cell r="E2053" t="str">
            <v>NEL</v>
          </cell>
          <cell r="F2053" t="str">
            <v>2025-26</v>
          </cell>
          <cell r="G2053" t="str">
            <v>Satara East RSA</v>
          </cell>
          <cell r="J2053" t="str">
            <v>Barad</v>
          </cell>
          <cell r="K2053" t="str">
            <v>Satara</v>
          </cell>
          <cell r="L2053" t="str">
            <v>D1</v>
          </cell>
          <cell r="M2053" t="str">
            <v>NH-965</v>
          </cell>
          <cell r="O2053" t="str">
            <v>B</v>
          </cell>
          <cell r="P2053">
            <v>10</v>
          </cell>
          <cell r="Q2053">
            <v>20</v>
          </cell>
          <cell r="R2053">
            <v>0</v>
          </cell>
          <cell r="S2053">
            <v>0</v>
          </cell>
          <cell r="T2053">
            <v>10</v>
          </cell>
          <cell r="U2053">
            <v>20</v>
          </cell>
          <cell r="V2053">
            <v>20</v>
          </cell>
          <cell r="W2053">
            <v>48</v>
          </cell>
          <cell r="X2053">
            <v>0</v>
          </cell>
          <cell r="Y2053">
            <v>0</v>
          </cell>
          <cell r="Z2053">
            <v>20</v>
          </cell>
          <cell r="AA2053">
            <v>48</v>
          </cell>
          <cell r="AB2053">
            <v>30</v>
          </cell>
          <cell r="AC2053">
            <v>0</v>
          </cell>
          <cell r="AD2053">
            <v>30</v>
          </cell>
          <cell r="AE2053">
            <v>68</v>
          </cell>
          <cell r="AF2053">
            <v>0</v>
          </cell>
          <cell r="AG2053">
            <v>68</v>
          </cell>
        </row>
        <row r="2054">
          <cell r="C2054">
            <v>51829366</v>
          </cell>
          <cell r="D2054" t="str">
            <v>NEL Bhiwari</v>
          </cell>
          <cell r="E2054" t="str">
            <v>NEL</v>
          </cell>
          <cell r="F2054" t="str">
            <v>2025-26</v>
          </cell>
          <cell r="G2054" t="str">
            <v>Pune Saswad RSA</v>
          </cell>
          <cell r="J2054" t="str">
            <v>Saswad-Bopdev-Pune Road</v>
          </cell>
          <cell r="K2054" t="str">
            <v>Pune</v>
          </cell>
          <cell r="L2054" t="str">
            <v>D2</v>
          </cell>
          <cell r="O2054" t="str">
            <v>B</v>
          </cell>
          <cell r="P2054">
            <v>24</v>
          </cell>
          <cell r="Q2054">
            <v>24</v>
          </cell>
          <cell r="R2054">
            <v>0</v>
          </cell>
          <cell r="S2054">
            <v>0</v>
          </cell>
          <cell r="T2054">
            <v>24</v>
          </cell>
          <cell r="U2054">
            <v>24</v>
          </cell>
          <cell r="V2054">
            <v>48</v>
          </cell>
          <cell r="W2054">
            <v>48</v>
          </cell>
          <cell r="X2054">
            <v>0</v>
          </cell>
          <cell r="Y2054">
            <v>0</v>
          </cell>
          <cell r="Z2054">
            <v>48</v>
          </cell>
          <cell r="AA2054">
            <v>48</v>
          </cell>
          <cell r="AB2054">
            <v>48</v>
          </cell>
          <cell r="AC2054">
            <v>0</v>
          </cell>
          <cell r="AD2054">
            <v>48</v>
          </cell>
          <cell r="AE2054">
            <v>96</v>
          </cell>
          <cell r="AF2054">
            <v>0</v>
          </cell>
          <cell r="AG2054">
            <v>96</v>
          </cell>
        </row>
        <row r="2055">
          <cell r="C2055">
            <v>51830114</v>
          </cell>
          <cell r="D2055" t="str">
            <v>NEL Ambavade</v>
          </cell>
          <cell r="E2055" t="str">
            <v>NEL</v>
          </cell>
          <cell r="F2055" t="str">
            <v>2025-26</v>
          </cell>
          <cell r="G2055" t="str">
            <v>Satara West RSA</v>
          </cell>
          <cell r="J2055" t="str">
            <v>Dabewadi</v>
          </cell>
          <cell r="K2055" t="str">
            <v>Satara</v>
          </cell>
          <cell r="L2055" t="str">
            <v>E</v>
          </cell>
          <cell r="O2055" t="str">
            <v>B</v>
          </cell>
          <cell r="P2055">
            <v>16</v>
          </cell>
          <cell r="Q2055">
            <v>24</v>
          </cell>
          <cell r="R2055">
            <v>0</v>
          </cell>
          <cell r="S2055">
            <v>0</v>
          </cell>
          <cell r="T2055">
            <v>16</v>
          </cell>
          <cell r="U2055">
            <v>24</v>
          </cell>
          <cell r="V2055">
            <v>32</v>
          </cell>
          <cell r="W2055">
            <v>48</v>
          </cell>
          <cell r="X2055">
            <v>0</v>
          </cell>
          <cell r="Y2055">
            <v>0</v>
          </cell>
          <cell r="Z2055">
            <v>32</v>
          </cell>
          <cell r="AA2055">
            <v>48</v>
          </cell>
          <cell r="AB2055">
            <v>40</v>
          </cell>
          <cell r="AC2055">
            <v>0</v>
          </cell>
          <cell r="AD2055">
            <v>40</v>
          </cell>
          <cell r="AE2055">
            <v>80</v>
          </cell>
          <cell r="AF2055">
            <v>0</v>
          </cell>
          <cell r="AG2055">
            <v>80</v>
          </cell>
        </row>
        <row r="2056">
          <cell r="C2056">
            <v>51824989</v>
          </cell>
          <cell r="D2056" t="str">
            <v>NEL Kolgaon Shrigonda</v>
          </cell>
          <cell r="E2056" t="str">
            <v>NEL</v>
          </cell>
          <cell r="F2056" t="str">
            <v>2025-26</v>
          </cell>
          <cell r="G2056" t="str">
            <v>Ahmednagar West RSA</v>
          </cell>
          <cell r="J2056" t="str">
            <v>KOLGAON</v>
          </cell>
          <cell r="K2056" t="str">
            <v>Ahmednagar</v>
          </cell>
          <cell r="L2056" t="str">
            <v>D1</v>
          </cell>
          <cell r="M2056" t="str">
            <v>NH-160</v>
          </cell>
          <cell r="O2056" t="str">
            <v>B</v>
          </cell>
          <cell r="P2056">
            <v>20</v>
          </cell>
          <cell r="Q2056">
            <v>32</v>
          </cell>
          <cell r="R2056">
            <v>0</v>
          </cell>
          <cell r="S2056">
            <v>0</v>
          </cell>
          <cell r="T2056">
            <v>20</v>
          </cell>
          <cell r="U2056">
            <v>32</v>
          </cell>
          <cell r="V2056">
            <v>40</v>
          </cell>
          <cell r="W2056">
            <v>40</v>
          </cell>
          <cell r="X2056">
            <v>0</v>
          </cell>
          <cell r="Y2056">
            <v>0</v>
          </cell>
          <cell r="Z2056">
            <v>40</v>
          </cell>
          <cell r="AA2056">
            <v>40</v>
          </cell>
          <cell r="AB2056">
            <v>52</v>
          </cell>
          <cell r="AC2056">
            <v>0</v>
          </cell>
          <cell r="AD2056">
            <v>52</v>
          </cell>
          <cell r="AE2056">
            <v>80</v>
          </cell>
          <cell r="AF2056">
            <v>0</v>
          </cell>
          <cell r="AG2056">
            <v>80</v>
          </cell>
        </row>
        <row r="2057">
          <cell r="C2057">
            <v>51830120</v>
          </cell>
          <cell r="D2057" t="str">
            <v>NEL Andhali</v>
          </cell>
          <cell r="E2057" t="str">
            <v>NEL</v>
          </cell>
          <cell r="F2057" t="str">
            <v>2025-26</v>
          </cell>
          <cell r="G2057" t="str">
            <v>Satara East RSA</v>
          </cell>
          <cell r="J2057" t="str">
            <v>Malawadi</v>
          </cell>
          <cell r="K2057" t="str">
            <v>Satara</v>
          </cell>
          <cell r="L2057" t="str">
            <v>D2</v>
          </cell>
          <cell r="O2057" t="str">
            <v>B</v>
          </cell>
          <cell r="P2057">
            <v>12</v>
          </cell>
          <cell r="Q2057">
            <v>20</v>
          </cell>
          <cell r="R2057">
            <v>0</v>
          </cell>
          <cell r="S2057">
            <v>0</v>
          </cell>
          <cell r="T2057">
            <v>12</v>
          </cell>
          <cell r="U2057">
            <v>20</v>
          </cell>
          <cell r="V2057">
            <v>24</v>
          </cell>
          <cell r="W2057">
            <v>40</v>
          </cell>
          <cell r="X2057">
            <v>0</v>
          </cell>
          <cell r="Y2057">
            <v>0</v>
          </cell>
          <cell r="Z2057">
            <v>24</v>
          </cell>
          <cell r="AA2057">
            <v>40</v>
          </cell>
          <cell r="AB2057">
            <v>32</v>
          </cell>
          <cell r="AC2057">
            <v>0</v>
          </cell>
          <cell r="AD2057">
            <v>32</v>
          </cell>
          <cell r="AE2057">
            <v>64</v>
          </cell>
          <cell r="AF2057">
            <v>0</v>
          </cell>
          <cell r="AG2057">
            <v>64</v>
          </cell>
        </row>
        <row r="2058">
          <cell r="C2058">
            <v>51830113</v>
          </cell>
          <cell r="D2058" t="str">
            <v>NEL Borgaon</v>
          </cell>
          <cell r="E2058" t="str">
            <v>NEL</v>
          </cell>
          <cell r="F2058" t="str">
            <v>2025-26</v>
          </cell>
          <cell r="G2058" t="str">
            <v>Satara West RSA</v>
          </cell>
          <cell r="J2058" t="str">
            <v>Shendre to Borgaon</v>
          </cell>
          <cell r="K2058" t="str">
            <v>Satara</v>
          </cell>
          <cell r="L2058" t="str">
            <v>D1</v>
          </cell>
          <cell r="M2058" t="str">
            <v>NH-48</v>
          </cell>
          <cell r="O2058" t="str">
            <v>B</v>
          </cell>
          <cell r="P2058">
            <v>8</v>
          </cell>
          <cell r="Q2058">
            <v>21</v>
          </cell>
          <cell r="R2058">
            <v>0</v>
          </cell>
          <cell r="S2058">
            <v>0</v>
          </cell>
          <cell r="T2058">
            <v>8</v>
          </cell>
          <cell r="U2058">
            <v>21</v>
          </cell>
          <cell r="V2058">
            <v>16</v>
          </cell>
          <cell r="W2058">
            <v>48</v>
          </cell>
          <cell r="X2058">
            <v>0</v>
          </cell>
          <cell r="Y2058">
            <v>0</v>
          </cell>
          <cell r="Z2058">
            <v>16</v>
          </cell>
          <cell r="AA2058">
            <v>48</v>
          </cell>
          <cell r="AB2058">
            <v>29</v>
          </cell>
          <cell r="AC2058">
            <v>0</v>
          </cell>
          <cell r="AD2058">
            <v>29</v>
          </cell>
          <cell r="AE2058">
            <v>64</v>
          </cell>
          <cell r="AF2058">
            <v>0</v>
          </cell>
          <cell r="AG2058">
            <v>64</v>
          </cell>
        </row>
        <row r="2059">
          <cell r="C2059">
            <v>51824726</v>
          </cell>
          <cell r="D2059" t="str">
            <v>NEL Waghapur</v>
          </cell>
          <cell r="E2059" t="str">
            <v>NEL</v>
          </cell>
          <cell r="F2059" t="str">
            <v>2025-26</v>
          </cell>
          <cell r="G2059" t="str">
            <v>Pune Saswad RSA</v>
          </cell>
          <cell r="J2059" t="str">
            <v>Malshiras Purandar</v>
          </cell>
          <cell r="K2059" t="str">
            <v>Pune</v>
          </cell>
          <cell r="L2059" t="str">
            <v>D2</v>
          </cell>
          <cell r="O2059" t="str">
            <v>B</v>
          </cell>
          <cell r="P2059">
            <v>26</v>
          </cell>
          <cell r="Q2059">
            <v>22.5</v>
          </cell>
          <cell r="R2059">
            <v>0</v>
          </cell>
          <cell r="S2059">
            <v>0</v>
          </cell>
          <cell r="T2059">
            <v>26</v>
          </cell>
          <cell r="U2059">
            <v>22.5</v>
          </cell>
          <cell r="V2059">
            <v>52</v>
          </cell>
          <cell r="W2059">
            <v>45</v>
          </cell>
          <cell r="X2059">
            <v>0</v>
          </cell>
          <cell r="Y2059">
            <v>0</v>
          </cell>
          <cell r="Z2059">
            <v>52</v>
          </cell>
          <cell r="AA2059">
            <v>45</v>
          </cell>
          <cell r="AB2059">
            <v>48.5</v>
          </cell>
          <cell r="AC2059">
            <v>0</v>
          </cell>
          <cell r="AD2059">
            <v>48.5</v>
          </cell>
          <cell r="AE2059">
            <v>97</v>
          </cell>
          <cell r="AF2059">
            <v>0</v>
          </cell>
          <cell r="AG2059">
            <v>97</v>
          </cell>
        </row>
        <row r="2060">
          <cell r="C2060">
            <v>51830006</v>
          </cell>
          <cell r="D2060" t="str">
            <v>NEL Kapadgaon</v>
          </cell>
          <cell r="E2060" t="str">
            <v>NEL</v>
          </cell>
          <cell r="F2060" t="str">
            <v>2025-26</v>
          </cell>
          <cell r="G2060" t="str">
            <v>Satara East RSA</v>
          </cell>
          <cell r="J2060" t="str">
            <v>Lonand</v>
          </cell>
          <cell r="K2060" t="str">
            <v>Satara</v>
          </cell>
          <cell r="L2060" t="str">
            <v>D1</v>
          </cell>
          <cell r="M2060" t="str">
            <v>NH-965D</v>
          </cell>
          <cell r="O2060" t="str">
            <v>B</v>
          </cell>
          <cell r="P2060">
            <v>16</v>
          </cell>
          <cell r="Q2060">
            <v>40</v>
          </cell>
          <cell r="R2060">
            <v>0</v>
          </cell>
          <cell r="S2060">
            <v>0</v>
          </cell>
          <cell r="T2060">
            <v>16</v>
          </cell>
          <cell r="U2060">
            <v>40</v>
          </cell>
          <cell r="V2060">
            <v>32</v>
          </cell>
          <cell r="W2060">
            <v>80</v>
          </cell>
          <cell r="X2060">
            <v>0</v>
          </cell>
          <cell r="Y2060">
            <v>0</v>
          </cell>
          <cell r="Z2060">
            <v>32</v>
          </cell>
          <cell r="AA2060">
            <v>80</v>
          </cell>
          <cell r="AB2060">
            <v>56</v>
          </cell>
          <cell r="AC2060">
            <v>0</v>
          </cell>
          <cell r="AD2060">
            <v>56</v>
          </cell>
          <cell r="AE2060">
            <v>112</v>
          </cell>
          <cell r="AF2060">
            <v>0</v>
          </cell>
          <cell r="AG2060">
            <v>112</v>
          </cell>
        </row>
        <row r="2061">
          <cell r="C2061">
            <v>51830119</v>
          </cell>
          <cell r="D2061" t="str">
            <v>NEL Kumthe</v>
          </cell>
          <cell r="E2061" t="str">
            <v>NEL</v>
          </cell>
          <cell r="F2061" t="str">
            <v>2025-26</v>
          </cell>
          <cell r="G2061" t="str">
            <v>Satara East RSA</v>
          </cell>
          <cell r="J2061" t="str">
            <v>Chimangaon</v>
          </cell>
          <cell r="K2061" t="str">
            <v>Satara</v>
          </cell>
          <cell r="L2061" t="str">
            <v>D1</v>
          </cell>
          <cell r="M2061" t="str">
            <v>NH-548C</v>
          </cell>
          <cell r="O2061" t="str">
            <v>B</v>
          </cell>
          <cell r="P2061">
            <v>12</v>
          </cell>
          <cell r="Q2061">
            <v>32</v>
          </cell>
          <cell r="R2061">
            <v>0</v>
          </cell>
          <cell r="S2061">
            <v>0</v>
          </cell>
          <cell r="T2061">
            <v>12</v>
          </cell>
          <cell r="U2061">
            <v>32</v>
          </cell>
          <cell r="V2061">
            <v>24</v>
          </cell>
          <cell r="W2061">
            <v>64</v>
          </cell>
          <cell r="X2061">
            <v>0</v>
          </cell>
          <cell r="Y2061">
            <v>0</v>
          </cell>
          <cell r="Z2061">
            <v>24</v>
          </cell>
          <cell r="AA2061">
            <v>64</v>
          </cell>
          <cell r="AB2061">
            <v>44</v>
          </cell>
          <cell r="AC2061">
            <v>0</v>
          </cell>
          <cell r="AD2061">
            <v>44</v>
          </cell>
          <cell r="AE2061">
            <v>88</v>
          </cell>
          <cell r="AF2061">
            <v>0</v>
          </cell>
          <cell r="AG2061">
            <v>88</v>
          </cell>
        </row>
        <row r="2062">
          <cell r="C2062">
            <v>51830106</v>
          </cell>
          <cell r="D2062" t="str">
            <v>NEL Nidhal</v>
          </cell>
          <cell r="E2062" t="str">
            <v>NEL</v>
          </cell>
          <cell r="F2062" t="str">
            <v>2025-26</v>
          </cell>
          <cell r="G2062" t="str">
            <v>Satara East RSA</v>
          </cell>
          <cell r="J2062" t="str">
            <v>Nidhal</v>
          </cell>
          <cell r="K2062" t="str">
            <v>Satara</v>
          </cell>
          <cell r="L2062" t="str">
            <v>D1</v>
          </cell>
          <cell r="M2062" t="str">
            <v>NH-548C</v>
          </cell>
          <cell r="O2062" t="str">
            <v>B</v>
          </cell>
          <cell r="P2062">
            <v>12</v>
          </cell>
          <cell r="Q2062">
            <v>24</v>
          </cell>
          <cell r="R2062">
            <v>0</v>
          </cell>
          <cell r="S2062">
            <v>0</v>
          </cell>
          <cell r="T2062">
            <v>12</v>
          </cell>
          <cell r="U2062">
            <v>24</v>
          </cell>
          <cell r="V2062">
            <v>24</v>
          </cell>
          <cell r="W2062">
            <v>48</v>
          </cell>
          <cell r="X2062">
            <v>0</v>
          </cell>
          <cell r="Y2062">
            <v>0</v>
          </cell>
          <cell r="Z2062">
            <v>24</v>
          </cell>
          <cell r="AA2062">
            <v>48</v>
          </cell>
          <cell r="AB2062">
            <v>36</v>
          </cell>
          <cell r="AC2062">
            <v>0</v>
          </cell>
          <cell r="AD2062">
            <v>36</v>
          </cell>
          <cell r="AE2062">
            <v>72</v>
          </cell>
          <cell r="AF2062">
            <v>0</v>
          </cell>
          <cell r="AG2062">
            <v>72</v>
          </cell>
        </row>
        <row r="2063">
          <cell r="C2063">
            <v>51831506</v>
          </cell>
          <cell r="D2063" t="str">
            <v>Sai Parvati Petroleum</v>
          </cell>
          <cell r="E2063" t="str">
            <v>NEL</v>
          </cell>
          <cell r="F2063" t="str">
            <v>2025-26</v>
          </cell>
          <cell r="G2063" t="str">
            <v>Shirdi RSA</v>
          </cell>
          <cell r="J2063" t="str">
            <v>DEVGAON</v>
          </cell>
          <cell r="K2063" t="str">
            <v>Ahmednagar</v>
          </cell>
          <cell r="L2063" t="str">
            <v>E</v>
          </cell>
          <cell r="O2063" t="str">
            <v>B</v>
          </cell>
          <cell r="P2063">
            <v>0</v>
          </cell>
          <cell r="Q2063">
            <v>12</v>
          </cell>
          <cell r="R2063">
            <v>0</v>
          </cell>
          <cell r="S2063">
            <v>0</v>
          </cell>
          <cell r="T2063">
            <v>0</v>
          </cell>
          <cell r="U2063">
            <v>12</v>
          </cell>
          <cell r="V2063">
            <v>0</v>
          </cell>
          <cell r="W2063">
            <v>12</v>
          </cell>
          <cell r="X2063">
            <v>0</v>
          </cell>
          <cell r="Y2063">
            <v>0</v>
          </cell>
          <cell r="Z2063">
            <v>0</v>
          </cell>
          <cell r="AA2063">
            <v>12</v>
          </cell>
          <cell r="AB2063">
            <v>12</v>
          </cell>
          <cell r="AC2063">
            <v>0</v>
          </cell>
          <cell r="AD2063">
            <v>12</v>
          </cell>
          <cell r="AE2063">
            <v>12</v>
          </cell>
          <cell r="AF2063">
            <v>0</v>
          </cell>
          <cell r="AG2063">
            <v>12</v>
          </cell>
        </row>
        <row r="2064">
          <cell r="C2064">
            <v>51831629</v>
          </cell>
          <cell r="D2064" t="str">
            <v>Mauli Petroleum NEL</v>
          </cell>
          <cell r="E2064" t="str">
            <v>NEL</v>
          </cell>
          <cell r="F2064" t="str">
            <v>2025-26</v>
          </cell>
          <cell r="G2064" t="str">
            <v>Shirdi RSA</v>
          </cell>
          <cell r="J2064" t="str">
            <v>KOTUL</v>
          </cell>
          <cell r="K2064" t="str">
            <v>Ahmednagar</v>
          </cell>
          <cell r="L2064" t="str">
            <v>D2</v>
          </cell>
          <cell r="O2064" t="str">
            <v>B</v>
          </cell>
          <cell r="P2064">
            <v>0</v>
          </cell>
          <cell r="Q2064">
            <v>24</v>
          </cell>
          <cell r="R2064">
            <v>0</v>
          </cell>
          <cell r="S2064">
            <v>0</v>
          </cell>
          <cell r="T2064">
            <v>0</v>
          </cell>
          <cell r="U2064">
            <v>24</v>
          </cell>
          <cell r="V2064">
            <v>0</v>
          </cell>
          <cell r="W2064">
            <v>24</v>
          </cell>
          <cell r="X2064">
            <v>0</v>
          </cell>
          <cell r="Y2064">
            <v>0</v>
          </cell>
          <cell r="Z2064">
            <v>0</v>
          </cell>
          <cell r="AA2064">
            <v>24</v>
          </cell>
          <cell r="AB2064">
            <v>24</v>
          </cell>
          <cell r="AC2064">
            <v>0</v>
          </cell>
          <cell r="AD2064">
            <v>24</v>
          </cell>
          <cell r="AE2064">
            <v>24</v>
          </cell>
          <cell r="AF2064">
            <v>0</v>
          </cell>
          <cell r="AG2064">
            <v>24</v>
          </cell>
        </row>
        <row r="2065">
          <cell r="C2065">
            <v>29750</v>
          </cell>
          <cell r="D2065" t="str">
            <v>Reliance Shirur</v>
          </cell>
          <cell r="E2065" t="str">
            <v>RBML</v>
          </cell>
          <cell r="G2065" t="str">
            <v>Pune Wagholi RSA</v>
          </cell>
          <cell r="J2065" t="str">
            <v>Ranjangaon to Shirur LHS</v>
          </cell>
          <cell r="K2065" t="str">
            <v>Pune</v>
          </cell>
          <cell r="L2065" t="str">
            <v>D1</v>
          </cell>
          <cell r="M2065" t="str">
            <v>NH-753F</v>
          </cell>
          <cell r="O2065" t="str">
            <v>B</v>
          </cell>
          <cell r="P2065">
            <v>60</v>
          </cell>
          <cell r="Q2065">
            <v>280</v>
          </cell>
          <cell r="R2065">
            <v>110</v>
          </cell>
          <cell r="S2065">
            <v>415</v>
          </cell>
          <cell r="T2065">
            <v>-50</v>
          </cell>
          <cell r="U2065">
            <v>-135</v>
          </cell>
          <cell r="V2065">
            <v>132</v>
          </cell>
          <cell r="W2065">
            <v>560</v>
          </cell>
          <cell r="X2065">
            <v>213</v>
          </cell>
          <cell r="Y2065">
            <v>735</v>
          </cell>
          <cell r="Z2065">
            <v>-81</v>
          </cell>
          <cell r="AA2065">
            <v>-175</v>
          </cell>
          <cell r="AB2065">
            <v>340</v>
          </cell>
          <cell r="AC2065">
            <v>525</v>
          </cell>
          <cell r="AD2065">
            <v>-185</v>
          </cell>
          <cell r="AE2065">
            <v>692</v>
          </cell>
          <cell r="AF2065">
            <v>948</v>
          </cell>
          <cell r="AG2065">
            <v>-256</v>
          </cell>
        </row>
        <row r="2066">
          <cell r="C2066">
            <v>33318</v>
          </cell>
          <cell r="D2066" t="str">
            <v>RIL KARAD</v>
          </cell>
          <cell r="E2066" t="str">
            <v>RBML</v>
          </cell>
          <cell r="G2066" t="str">
            <v>Satara West RSA</v>
          </cell>
          <cell r="J2066" t="str">
            <v>Karad on NH48 LHS</v>
          </cell>
          <cell r="K2066" t="str">
            <v>Satara</v>
          </cell>
          <cell r="L2066" t="str">
            <v>D1</v>
          </cell>
          <cell r="M2066" t="str">
            <v>NH-48</v>
          </cell>
          <cell r="O2066" t="str">
            <v>B</v>
          </cell>
          <cell r="P2066">
            <v>56</v>
          </cell>
          <cell r="Q2066">
            <v>68</v>
          </cell>
          <cell r="R2066">
            <v>48</v>
          </cell>
          <cell r="S2066">
            <v>80</v>
          </cell>
          <cell r="T2066">
            <v>8</v>
          </cell>
          <cell r="U2066">
            <v>-12</v>
          </cell>
          <cell r="V2066">
            <v>112</v>
          </cell>
          <cell r="W2066">
            <v>108</v>
          </cell>
          <cell r="X2066">
            <v>93</v>
          </cell>
          <cell r="Y2066">
            <v>140</v>
          </cell>
          <cell r="Z2066">
            <v>19</v>
          </cell>
          <cell r="AA2066">
            <v>-32</v>
          </cell>
          <cell r="AB2066">
            <v>124</v>
          </cell>
          <cell r="AC2066">
            <v>128</v>
          </cell>
          <cell r="AD2066">
            <v>-4</v>
          </cell>
          <cell r="AE2066">
            <v>220</v>
          </cell>
          <cell r="AF2066">
            <v>233</v>
          </cell>
          <cell r="AG2066">
            <v>-13</v>
          </cell>
        </row>
        <row r="2067">
          <cell r="C2067">
            <v>33319</v>
          </cell>
          <cell r="D2067" t="str">
            <v>RIL DAHIWADI</v>
          </cell>
          <cell r="E2067" t="str">
            <v>RBML</v>
          </cell>
          <cell r="G2067" t="str">
            <v>Satara East RSA</v>
          </cell>
          <cell r="J2067" t="str">
            <v>dahiwadi</v>
          </cell>
          <cell r="K2067" t="str">
            <v>Satara</v>
          </cell>
          <cell r="L2067" t="str">
            <v>D2</v>
          </cell>
          <cell r="O2067" t="str">
            <v>B</v>
          </cell>
          <cell r="P2067">
            <v>42</v>
          </cell>
          <cell r="Q2067">
            <v>72</v>
          </cell>
          <cell r="R2067">
            <v>35</v>
          </cell>
          <cell r="S2067">
            <v>85</v>
          </cell>
          <cell r="T2067">
            <v>7</v>
          </cell>
          <cell r="U2067">
            <v>-13</v>
          </cell>
          <cell r="V2067">
            <v>84</v>
          </cell>
          <cell r="W2067">
            <v>116</v>
          </cell>
          <cell r="X2067">
            <v>70</v>
          </cell>
          <cell r="Y2067">
            <v>150</v>
          </cell>
          <cell r="Z2067">
            <v>14</v>
          </cell>
          <cell r="AA2067">
            <v>-34</v>
          </cell>
          <cell r="AB2067">
            <v>114</v>
          </cell>
          <cell r="AC2067">
            <v>120</v>
          </cell>
          <cell r="AD2067">
            <v>-6</v>
          </cell>
          <cell r="AE2067">
            <v>200</v>
          </cell>
          <cell r="AF2067">
            <v>220</v>
          </cell>
          <cell r="AG2067">
            <v>-20</v>
          </cell>
        </row>
        <row r="2068">
          <cell r="C2068">
            <v>33320</v>
          </cell>
          <cell r="D2068" t="str">
            <v>RIL Limb Satara</v>
          </cell>
          <cell r="E2068" t="str">
            <v>RBML</v>
          </cell>
          <cell r="G2068" t="str">
            <v>Satara West RSA</v>
          </cell>
          <cell r="J2068" t="str">
            <v>Satara to Bhuinj</v>
          </cell>
          <cell r="K2068" t="str">
            <v>Satara</v>
          </cell>
          <cell r="L2068" t="str">
            <v>D1</v>
          </cell>
          <cell r="M2068" t="str">
            <v>NH-48</v>
          </cell>
          <cell r="O2068" t="str">
            <v>B</v>
          </cell>
          <cell r="P2068">
            <v>40</v>
          </cell>
          <cell r="Q2068">
            <v>102</v>
          </cell>
          <cell r="R2068">
            <v>50</v>
          </cell>
          <cell r="S2068">
            <v>85</v>
          </cell>
          <cell r="T2068">
            <v>-10</v>
          </cell>
          <cell r="U2068">
            <v>17</v>
          </cell>
          <cell r="V2068">
            <v>80</v>
          </cell>
          <cell r="W2068">
            <v>162</v>
          </cell>
          <cell r="X2068">
            <v>98</v>
          </cell>
          <cell r="Y2068">
            <v>150</v>
          </cell>
          <cell r="Z2068">
            <v>-18</v>
          </cell>
          <cell r="AA2068">
            <v>12</v>
          </cell>
          <cell r="AB2068">
            <v>142</v>
          </cell>
          <cell r="AC2068">
            <v>135</v>
          </cell>
          <cell r="AD2068">
            <v>7</v>
          </cell>
          <cell r="AE2068">
            <v>242</v>
          </cell>
          <cell r="AF2068">
            <v>248</v>
          </cell>
          <cell r="AG2068">
            <v>-6</v>
          </cell>
        </row>
        <row r="2069">
          <cell r="C2069">
            <v>33321</v>
          </cell>
          <cell r="D2069" t="str">
            <v>RIL Wadhuj</v>
          </cell>
          <cell r="E2069" t="str">
            <v>RBML</v>
          </cell>
          <cell r="G2069" t="str">
            <v>Satara East RSA</v>
          </cell>
          <cell r="J2069" t="str">
            <v>Waduj</v>
          </cell>
          <cell r="K2069" t="str">
            <v>Satara</v>
          </cell>
          <cell r="L2069" t="str">
            <v>D2</v>
          </cell>
          <cell r="O2069" t="str">
            <v>B</v>
          </cell>
          <cell r="P2069">
            <v>45</v>
          </cell>
          <cell r="Q2069">
            <v>96</v>
          </cell>
          <cell r="R2069">
            <v>43</v>
          </cell>
          <cell r="S2069">
            <v>65</v>
          </cell>
          <cell r="T2069">
            <v>2</v>
          </cell>
          <cell r="U2069">
            <v>31</v>
          </cell>
          <cell r="V2069">
            <v>89</v>
          </cell>
          <cell r="W2069">
            <v>144</v>
          </cell>
          <cell r="X2069">
            <v>83</v>
          </cell>
          <cell r="Y2069">
            <v>110</v>
          </cell>
          <cell r="Z2069">
            <v>6</v>
          </cell>
          <cell r="AA2069">
            <v>34</v>
          </cell>
          <cell r="AB2069">
            <v>141</v>
          </cell>
          <cell r="AC2069">
            <v>108</v>
          </cell>
          <cell r="AD2069">
            <v>33</v>
          </cell>
          <cell r="AE2069">
            <v>233</v>
          </cell>
          <cell r="AF2069">
            <v>193</v>
          </cell>
          <cell r="AG2069">
            <v>40</v>
          </cell>
        </row>
        <row r="2070">
          <cell r="C2070">
            <v>33322</v>
          </cell>
          <cell r="D2070" t="str">
            <v>RIL Khandala</v>
          </cell>
          <cell r="E2070" t="str">
            <v>RBML</v>
          </cell>
          <cell r="G2070" t="str">
            <v>Satara East RSA</v>
          </cell>
          <cell r="J2070" t="str">
            <v>Khandala</v>
          </cell>
          <cell r="K2070" t="str">
            <v>Satara</v>
          </cell>
          <cell r="L2070" t="str">
            <v>C</v>
          </cell>
          <cell r="O2070" t="str">
            <v>B</v>
          </cell>
          <cell r="P2070">
            <v>30</v>
          </cell>
          <cell r="Q2070">
            <v>65</v>
          </cell>
          <cell r="R2070">
            <v>30</v>
          </cell>
          <cell r="S2070">
            <v>65</v>
          </cell>
          <cell r="T2070">
            <v>0</v>
          </cell>
          <cell r="U2070">
            <v>0</v>
          </cell>
          <cell r="V2070">
            <v>55</v>
          </cell>
          <cell r="W2070">
            <v>109</v>
          </cell>
          <cell r="X2070">
            <v>60</v>
          </cell>
          <cell r="Y2070">
            <v>120</v>
          </cell>
          <cell r="Z2070">
            <v>-5</v>
          </cell>
          <cell r="AA2070">
            <v>-11</v>
          </cell>
          <cell r="AB2070">
            <v>95</v>
          </cell>
          <cell r="AC2070">
            <v>95</v>
          </cell>
          <cell r="AD2070">
            <v>0</v>
          </cell>
          <cell r="AE2070">
            <v>164</v>
          </cell>
          <cell r="AF2070">
            <v>180</v>
          </cell>
          <cell r="AG2070">
            <v>-16</v>
          </cell>
        </row>
        <row r="2071">
          <cell r="C2071">
            <v>33323</v>
          </cell>
          <cell r="D2071" t="str">
            <v>RIL Neera Road</v>
          </cell>
          <cell r="E2071" t="str">
            <v>RBML</v>
          </cell>
          <cell r="G2071" t="str">
            <v>Satara East RSA</v>
          </cell>
          <cell r="J2071" t="str">
            <v>Lonand</v>
          </cell>
          <cell r="K2071" t="str">
            <v>Satara</v>
          </cell>
          <cell r="L2071" t="str">
            <v>D1</v>
          </cell>
          <cell r="M2071" t="str">
            <v>NH-965D</v>
          </cell>
          <cell r="O2071" t="str">
            <v>B</v>
          </cell>
          <cell r="P2071">
            <v>32</v>
          </cell>
          <cell r="Q2071">
            <v>108</v>
          </cell>
          <cell r="R2071">
            <v>47.69</v>
          </cell>
          <cell r="S2071">
            <v>70</v>
          </cell>
          <cell r="T2071">
            <v>-15.689999999999998</v>
          </cell>
          <cell r="U2071">
            <v>38</v>
          </cell>
          <cell r="V2071">
            <v>60</v>
          </cell>
          <cell r="W2071">
            <v>172</v>
          </cell>
          <cell r="X2071">
            <v>95.38</v>
          </cell>
          <cell r="Y2071">
            <v>135.17000000000002</v>
          </cell>
          <cell r="Z2071">
            <v>-35.379999999999995</v>
          </cell>
          <cell r="AA2071">
            <v>36.829999999999984</v>
          </cell>
          <cell r="AB2071">
            <v>140</v>
          </cell>
          <cell r="AC2071">
            <v>117.69</v>
          </cell>
          <cell r="AD2071">
            <v>22.310000000000002</v>
          </cell>
          <cell r="AE2071">
            <v>232</v>
          </cell>
          <cell r="AF2071">
            <v>230.55</v>
          </cell>
          <cell r="AG2071">
            <v>1.4499999999999886</v>
          </cell>
        </row>
        <row r="2072">
          <cell r="C2072">
            <v>33819</v>
          </cell>
          <cell r="D2072" t="str">
            <v>RIL CHAKAN</v>
          </cell>
          <cell r="E2072" t="str">
            <v>RBML</v>
          </cell>
          <cell r="G2072" t="str">
            <v>Pimpri Chinchwad RSA</v>
          </cell>
          <cell r="J2072" t="str">
            <v>CHAKAN NH-60 LHS</v>
          </cell>
          <cell r="K2072" t="str">
            <v>Pune</v>
          </cell>
          <cell r="L2072" t="str">
            <v>D1</v>
          </cell>
          <cell r="M2072" t="str">
            <v>NH-60</v>
          </cell>
          <cell r="O2072" t="str">
            <v>B</v>
          </cell>
          <cell r="P2072">
            <v>84</v>
          </cell>
          <cell r="Q2072">
            <v>360</v>
          </cell>
          <cell r="R2072">
            <v>95</v>
          </cell>
          <cell r="S2072">
            <v>375</v>
          </cell>
          <cell r="T2072">
            <v>-11</v>
          </cell>
          <cell r="U2072">
            <v>-15</v>
          </cell>
          <cell r="V2072">
            <v>168</v>
          </cell>
          <cell r="W2072">
            <v>685</v>
          </cell>
          <cell r="X2072">
            <v>203</v>
          </cell>
          <cell r="Y2072">
            <v>705</v>
          </cell>
          <cell r="Z2072">
            <v>-35</v>
          </cell>
          <cell r="AA2072">
            <v>-20</v>
          </cell>
          <cell r="AB2072">
            <v>444</v>
          </cell>
          <cell r="AC2072">
            <v>470</v>
          </cell>
          <cell r="AD2072">
            <v>-26</v>
          </cell>
          <cell r="AE2072">
            <v>853</v>
          </cell>
          <cell r="AF2072">
            <v>908</v>
          </cell>
          <cell r="AG2072">
            <v>-55</v>
          </cell>
        </row>
        <row r="2073">
          <cell r="C2073">
            <v>33821</v>
          </cell>
          <cell r="D2073" t="str">
            <v>RIL KANHEPHATA(WADGAON)</v>
          </cell>
          <cell r="E2073" t="str">
            <v>RBML</v>
          </cell>
          <cell r="G2073" t="str">
            <v>Pune Tathawade RSA</v>
          </cell>
          <cell r="J2073" t="str">
            <v>VADGAON TO KAMSHET</v>
          </cell>
          <cell r="K2073" t="str">
            <v>Pune</v>
          </cell>
          <cell r="L2073" t="str">
            <v>D1</v>
          </cell>
          <cell r="M2073" t="str">
            <v>NH-48</v>
          </cell>
          <cell r="O2073" t="str">
            <v>B</v>
          </cell>
          <cell r="P2073">
            <v>80</v>
          </cell>
          <cell r="Q2073">
            <v>296</v>
          </cell>
          <cell r="R2073">
            <v>95</v>
          </cell>
          <cell r="S2073">
            <v>445</v>
          </cell>
          <cell r="T2073">
            <v>-15</v>
          </cell>
          <cell r="U2073">
            <v>-149</v>
          </cell>
          <cell r="V2073">
            <v>160</v>
          </cell>
          <cell r="W2073">
            <v>592</v>
          </cell>
          <cell r="X2073">
            <v>185</v>
          </cell>
          <cell r="Y2073">
            <v>820</v>
          </cell>
          <cell r="Z2073">
            <v>-25</v>
          </cell>
          <cell r="AA2073">
            <v>-228</v>
          </cell>
          <cell r="AB2073">
            <v>376</v>
          </cell>
          <cell r="AC2073">
            <v>540</v>
          </cell>
          <cell r="AD2073">
            <v>-164</v>
          </cell>
          <cell r="AE2073">
            <v>752</v>
          </cell>
          <cell r="AF2073">
            <v>1005</v>
          </cell>
          <cell r="AG2073">
            <v>-253</v>
          </cell>
        </row>
        <row r="2074">
          <cell r="C2074">
            <v>33900</v>
          </cell>
          <cell r="D2074" t="str">
            <v>COCO, RAHATA</v>
          </cell>
          <cell r="E2074" t="str">
            <v>RBML</v>
          </cell>
          <cell r="G2074" t="str">
            <v>Shirdi RSA</v>
          </cell>
          <cell r="J2074" t="str">
            <v>RAHATA</v>
          </cell>
          <cell r="K2074" t="str">
            <v>Ahmednagar</v>
          </cell>
          <cell r="L2074" t="str">
            <v>D1</v>
          </cell>
          <cell r="M2074" t="str">
            <v>NH-160</v>
          </cell>
          <cell r="O2074" t="str">
            <v>B</v>
          </cell>
          <cell r="P2074">
            <v>60</v>
          </cell>
          <cell r="Q2074">
            <v>96</v>
          </cell>
          <cell r="R2074">
            <v>110</v>
          </cell>
          <cell r="S2074">
            <v>410</v>
          </cell>
          <cell r="T2074">
            <v>-50</v>
          </cell>
          <cell r="U2074">
            <v>-314</v>
          </cell>
          <cell r="V2074">
            <v>120</v>
          </cell>
          <cell r="W2074">
            <v>216</v>
          </cell>
          <cell r="X2074">
            <v>210</v>
          </cell>
          <cell r="Y2074">
            <v>775</v>
          </cell>
          <cell r="Z2074">
            <v>-90</v>
          </cell>
          <cell r="AA2074">
            <v>-559</v>
          </cell>
          <cell r="AB2074">
            <v>156</v>
          </cell>
          <cell r="AC2074">
            <v>520</v>
          </cell>
          <cell r="AD2074">
            <v>-364</v>
          </cell>
          <cell r="AE2074">
            <v>336</v>
          </cell>
          <cell r="AF2074">
            <v>985</v>
          </cell>
          <cell r="AG2074">
            <v>-649</v>
          </cell>
        </row>
        <row r="2075">
          <cell r="C2075">
            <v>33903</v>
          </cell>
          <cell r="D2075" t="str">
            <v>COCO, SANGAMNER</v>
          </cell>
          <cell r="E2075" t="str">
            <v>RBML</v>
          </cell>
          <cell r="G2075" t="str">
            <v>Shirdi RSA</v>
          </cell>
          <cell r="J2075" t="str">
            <v>SANGAMNER KHURD ON NH</v>
          </cell>
          <cell r="K2075" t="str">
            <v>Ahmednagar</v>
          </cell>
          <cell r="L2075" t="str">
            <v>D1</v>
          </cell>
          <cell r="M2075" t="str">
            <v>NH-60</v>
          </cell>
          <cell r="O2075" t="str">
            <v>B</v>
          </cell>
          <cell r="P2075">
            <v>72</v>
          </cell>
          <cell r="Q2075">
            <v>180</v>
          </cell>
          <cell r="R2075">
            <v>95</v>
          </cell>
          <cell r="S2075">
            <v>300</v>
          </cell>
          <cell r="T2075">
            <v>-23</v>
          </cell>
          <cell r="U2075">
            <v>-120</v>
          </cell>
          <cell r="V2075">
            <v>144</v>
          </cell>
          <cell r="W2075">
            <v>420</v>
          </cell>
          <cell r="X2075">
            <v>181</v>
          </cell>
          <cell r="Y2075">
            <v>555</v>
          </cell>
          <cell r="Z2075">
            <v>-37</v>
          </cell>
          <cell r="AA2075">
            <v>-135</v>
          </cell>
          <cell r="AB2075">
            <v>252</v>
          </cell>
          <cell r="AC2075">
            <v>395</v>
          </cell>
          <cell r="AD2075">
            <v>-143</v>
          </cell>
          <cell r="AE2075">
            <v>564</v>
          </cell>
          <cell r="AF2075">
            <v>736</v>
          </cell>
          <cell r="AG2075">
            <v>-172</v>
          </cell>
        </row>
        <row r="2076">
          <cell r="C2076">
            <v>33904</v>
          </cell>
          <cell r="D2076" t="str">
            <v>COCO, RAHURI</v>
          </cell>
          <cell r="E2076" t="str">
            <v>RBML</v>
          </cell>
          <cell r="G2076" t="str">
            <v>Shirdi RSA</v>
          </cell>
          <cell r="J2076" t="str">
            <v>RAHURI NH</v>
          </cell>
          <cell r="K2076" t="str">
            <v>Ahmednagar</v>
          </cell>
          <cell r="L2076" t="str">
            <v>D1</v>
          </cell>
          <cell r="M2076" t="str">
            <v>NH-160</v>
          </cell>
          <cell r="O2076" t="str">
            <v>B</v>
          </cell>
          <cell r="P2076">
            <v>84</v>
          </cell>
          <cell r="Q2076">
            <v>240</v>
          </cell>
          <cell r="R2076">
            <v>132</v>
          </cell>
          <cell r="S2076">
            <v>400</v>
          </cell>
          <cell r="T2076">
            <v>-48</v>
          </cell>
          <cell r="U2076">
            <v>-160</v>
          </cell>
          <cell r="V2076">
            <v>180</v>
          </cell>
          <cell r="W2076">
            <v>566</v>
          </cell>
          <cell r="X2076">
            <v>264</v>
          </cell>
          <cell r="Y2076">
            <v>755</v>
          </cell>
          <cell r="Z2076">
            <v>-84</v>
          </cell>
          <cell r="AA2076">
            <v>-189</v>
          </cell>
          <cell r="AB2076">
            <v>324</v>
          </cell>
          <cell r="AC2076">
            <v>532</v>
          </cell>
          <cell r="AD2076">
            <v>-208</v>
          </cell>
          <cell r="AE2076">
            <v>746</v>
          </cell>
          <cell r="AF2076">
            <v>1019</v>
          </cell>
          <cell r="AG2076">
            <v>-273</v>
          </cell>
        </row>
        <row r="2077">
          <cell r="C2077">
            <v>33905</v>
          </cell>
          <cell r="D2077" t="str">
            <v>COCO, KOPARGAON</v>
          </cell>
          <cell r="E2077" t="str">
            <v>RBML</v>
          </cell>
          <cell r="G2077" t="str">
            <v>Shirdi RSA</v>
          </cell>
          <cell r="J2077" t="str">
            <v>YESGAON</v>
          </cell>
          <cell r="K2077" t="str">
            <v>Ahmednagar</v>
          </cell>
          <cell r="L2077" t="str">
            <v>D1</v>
          </cell>
          <cell r="M2077" t="str">
            <v>NH-752G</v>
          </cell>
          <cell r="O2077" t="str">
            <v>B</v>
          </cell>
          <cell r="P2077">
            <v>88</v>
          </cell>
          <cell r="Q2077">
            <v>200</v>
          </cell>
          <cell r="R2077">
            <v>85</v>
          </cell>
          <cell r="S2077">
            <v>300</v>
          </cell>
          <cell r="T2077">
            <v>3</v>
          </cell>
          <cell r="U2077">
            <v>-100</v>
          </cell>
          <cell r="V2077">
            <v>176</v>
          </cell>
          <cell r="W2077">
            <v>460</v>
          </cell>
          <cell r="X2077">
            <v>165</v>
          </cell>
          <cell r="Y2077">
            <v>555</v>
          </cell>
          <cell r="Z2077">
            <v>11</v>
          </cell>
          <cell r="AA2077">
            <v>-95</v>
          </cell>
          <cell r="AB2077">
            <v>288</v>
          </cell>
          <cell r="AC2077">
            <v>385</v>
          </cell>
          <cell r="AD2077">
            <v>-97</v>
          </cell>
          <cell r="AE2077">
            <v>636</v>
          </cell>
          <cell r="AF2077">
            <v>720</v>
          </cell>
          <cell r="AG2077">
            <v>-84</v>
          </cell>
        </row>
        <row r="2078">
          <cell r="C2078">
            <v>33906</v>
          </cell>
          <cell r="D2078" t="str">
            <v>ANISH HIGHWAY SERVICES</v>
          </cell>
          <cell r="E2078" t="str">
            <v>RBML</v>
          </cell>
          <cell r="G2078" t="str">
            <v>Shirdi RSA</v>
          </cell>
          <cell r="J2078" t="str">
            <v>KOLHAR</v>
          </cell>
          <cell r="K2078" t="str">
            <v>Ahmednagar</v>
          </cell>
          <cell r="L2078" t="str">
            <v>D1</v>
          </cell>
          <cell r="M2078" t="str">
            <v>NH-160</v>
          </cell>
          <cell r="O2078" t="str">
            <v>B</v>
          </cell>
          <cell r="P2078">
            <v>80</v>
          </cell>
          <cell r="Q2078">
            <v>120</v>
          </cell>
          <cell r="R2078">
            <v>100</v>
          </cell>
          <cell r="S2078">
            <v>450</v>
          </cell>
          <cell r="T2078">
            <v>-20</v>
          </cell>
          <cell r="U2078">
            <v>-330</v>
          </cell>
          <cell r="V2078">
            <v>160</v>
          </cell>
          <cell r="W2078">
            <v>240</v>
          </cell>
          <cell r="X2078">
            <v>198</v>
          </cell>
          <cell r="Y2078">
            <v>845</v>
          </cell>
          <cell r="Z2078">
            <v>-38</v>
          </cell>
          <cell r="AA2078">
            <v>-605</v>
          </cell>
          <cell r="AB2078">
            <v>200</v>
          </cell>
          <cell r="AC2078">
            <v>550</v>
          </cell>
          <cell r="AD2078">
            <v>-350</v>
          </cell>
          <cell r="AE2078">
            <v>400</v>
          </cell>
          <cell r="AF2078">
            <v>1043</v>
          </cell>
          <cell r="AG2078">
            <v>-643</v>
          </cell>
        </row>
        <row r="2079">
          <cell r="C2079">
            <v>33909</v>
          </cell>
          <cell r="D2079" t="str">
            <v>SAIDEEP PETROLEUM, SHIRDI</v>
          </cell>
          <cell r="E2079" t="str">
            <v>RBML</v>
          </cell>
          <cell r="G2079" t="str">
            <v>Shirdi RSA</v>
          </cell>
          <cell r="J2079" t="str">
            <v xml:space="preserve">SHIRDI </v>
          </cell>
          <cell r="K2079" t="str">
            <v>Ahmednagar</v>
          </cell>
          <cell r="L2079" t="str">
            <v>D1</v>
          </cell>
          <cell r="M2079" t="str">
            <v>NH-160</v>
          </cell>
          <cell r="O2079" t="str">
            <v>B</v>
          </cell>
          <cell r="P2079">
            <v>72</v>
          </cell>
          <cell r="Q2079">
            <v>180</v>
          </cell>
          <cell r="R2079">
            <v>100</v>
          </cell>
          <cell r="S2079">
            <v>340</v>
          </cell>
          <cell r="T2079">
            <v>-28</v>
          </cell>
          <cell r="U2079">
            <v>-160</v>
          </cell>
          <cell r="V2079">
            <v>144</v>
          </cell>
          <cell r="W2079">
            <v>420</v>
          </cell>
          <cell r="X2079">
            <v>198</v>
          </cell>
          <cell r="Y2079">
            <v>625</v>
          </cell>
          <cell r="Z2079">
            <v>-54</v>
          </cell>
          <cell r="AA2079">
            <v>-205</v>
          </cell>
          <cell r="AB2079">
            <v>252</v>
          </cell>
          <cell r="AC2079">
            <v>440</v>
          </cell>
          <cell r="AD2079">
            <v>-188</v>
          </cell>
          <cell r="AE2079">
            <v>564</v>
          </cell>
          <cell r="AF2079">
            <v>823</v>
          </cell>
          <cell r="AG2079">
            <v>-259</v>
          </cell>
        </row>
        <row r="2080">
          <cell r="C2080">
            <v>33912</v>
          </cell>
          <cell r="D2080" t="str">
            <v>OM SAI PETROLEUM, SHRIRAMPUR</v>
          </cell>
          <cell r="E2080" t="str">
            <v>RBML</v>
          </cell>
          <cell r="G2080" t="str">
            <v>Shirdi RSA</v>
          </cell>
          <cell r="J2080" t="str">
            <v>SHRIRAMPUR RURAL</v>
          </cell>
          <cell r="K2080" t="str">
            <v>Ahmednagar</v>
          </cell>
          <cell r="L2080" t="str">
            <v>D2</v>
          </cell>
          <cell r="O2080" t="str">
            <v>B</v>
          </cell>
          <cell r="P2080">
            <v>66</v>
          </cell>
          <cell r="Q2080">
            <v>180</v>
          </cell>
          <cell r="R2080">
            <v>120</v>
          </cell>
          <cell r="S2080">
            <v>380</v>
          </cell>
          <cell r="T2080">
            <v>-54</v>
          </cell>
          <cell r="U2080">
            <v>-200</v>
          </cell>
          <cell r="V2080">
            <v>132</v>
          </cell>
          <cell r="W2080">
            <v>480</v>
          </cell>
          <cell r="X2080">
            <v>216</v>
          </cell>
          <cell r="Y2080">
            <v>705</v>
          </cell>
          <cell r="Z2080">
            <v>-84</v>
          </cell>
          <cell r="AA2080">
            <v>-225</v>
          </cell>
          <cell r="AB2080">
            <v>246</v>
          </cell>
          <cell r="AC2080">
            <v>500</v>
          </cell>
          <cell r="AD2080">
            <v>-254</v>
          </cell>
          <cell r="AE2080">
            <v>612</v>
          </cell>
          <cell r="AF2080">
            <v>921</v>
          </cell>
          <cell r="AG2080">
            <v>-309</v>
          </cell>
        </row>
        <row r="2081">
          <cell r="C2081">
            <v>33913</v>
          </cell>
          <cell r="D2081" t="str">
            <v>KARACHIWALA FUEL STATION, CHAAS</v>
          </cell>
          <cell r="E2081" t="str">
            <v>RBML</v>
          </cell>
          <cell r="G2081" t="str">
            <v>Ahmednagar East RSA</v>
          </cell>
          <cell r="J2081" t="str">
            <v>Chas</v>
          </cell>
          <cell r="K2081" t="str">
            <v>Ahmednagar</v>
          </cell>
          <cell r="L2081" t="str">
            <v>D1</v>
          </cell>
          <cell r="M2081" t="str">
            <v>NH-753F</v>
          </cell>
          <cell r="O2081" t="str">
            <v>B</v>
          </cell>
          <cell r="P2081">
            <v>92</v>
          </cell>
          <cell r="Q2081">
            <v>120</v>
          </cell>
          <cell r="R2081">
            <v>110</v>
          </cell>
          <cell r="S2081">
            <v>360</v>
          </cell>
          <cell r="T2081">
            <v>-18</v>
          </cell>
          <cell r="U2081">
            <v>-240</v>
          </cell>
          <cell r="V2081">
            <v>188</v>
          </cell>
          <cell r="W2081">
            <v>240</v>
          </cell>
          <cell r="X2081">
            <v>215</v>
          </cell>
          <cell r="Y2081">
            <v>665</v>
          </cell>
          <cell r="Z2081">
            <v>-27</v>
          </cell>
          <cell r="AA2081">
            <v>-425</v>
          </cell>
          <cell r="AB2081">
            <v>212</v>
          </cell>
          <cell r="AC2081">
            <v>470</v>
          </cell>
          <cell r="AD2081">
            <v>-258</v>
          </cell>
          <cell r="AE2081">
            <v>428</v>
          </cell>
          <cell r="AF2081">
            <v>880</v>
          </cell>
          <cell r="AG2081">
            <v>-452</v>
          </cell>
        </row>
        <row r="2082">
          <cell r="C2082">
            <v>33914</v>
          </cell>
          <cell r="D2082" t="str">
            <v>S M PETROLEUM, NAGAR CITY</v>
          </cell>
          <cell r="E2082" t="str">
            <v>RBML</v>
          </cell>
          <cell r="G2082" t="str">
            <v>Ahmednagar East RSA</v>
          </cell>
          <cell r="J2082" t="str">
            <v>Nagar city</v>
          </cell>
          <cell r="K2082" t="str">
            <v>Ahmednagar</v>
          </cell>
          <cell r="L2082" t="str">
            <v>D1</v>
          </cell>
          <cell r="M2082" t="str">
            <v>NH-753F</v>
          </cell>
          <cell r="O2082" t="str">
            <v>B</v>
          </cell>
          <cell r="P2082">
            <v>24</v>
          </cell>
          <cell r="Q2082">
            <v>196</v>
          </cell>
          <cell r="R2082">
            <v>120</v>
          </cell>
          <cell r="S2082">
            <v>350</v>
          </cell>
          <cell r="T2082">
            <v>-96</v>
          </cell>
          <cell r="U2082">
            <v>-154</v>
          </cell>
          <cell r="V2082">
            <v>48</v>
          </cell>
          <cell r="W2082">
            <v>416</v>
          </cell>
          <cell r="X2082">
            <v>232</v>
          </cell>
          <cell r="Y2082">
            <v>645</v>
          </cell>
          <cell r="Z2082">
            <v>-184</v>
          </cell>
          <cell r="AA2082">
            <v>-229</v>
          </cell>
          <cell r="AB2082">
            <v>220</v>
          </cell>
          <cell r="AC2082">
            <v>470</v>
          </cell>
          <cell r="AD2082">
            <v>-250</v>
          </cell>
          <cell r="AE2082">
            <v>464</v>
          </cell>
          <cell r="AF2082">
            <v>877</v>
          </cell>
          <cell r="AG2082">
            <v>-413</v>
          </cell>
        </row>
        <row r="2083">
          <cell r="C2083">
            <v>33915</v>
          </cell>
          <cell r="D2083" t="str">
            <v>BALASAHEB VASANT BALSARAF FUEL STATION, AKOLE</v>
          </cell>
          <cell r="E2083" t="str">
            <v>RBML</v>
          </cell>
          <cell r="G2083" t="str">
            <v>Shirdi RSA</v>
          </cell>
          <cell r="J2083" t="str">
            <v>AKOLE</v>
          </cell>
          <cell r="K2083" t="str">
            <v>Ahmednagar</v>
          </cell>
          <cell r="L2083" t="str">
            <v>D2</v>
          </cell>
          <cell r="O2083" t="str">
            <v>B</v>
          </cell>
          <cell r="P2083">
            <v>94</v>
          </cell>
          <cell r="Q2083">
            <v>220</v>
          </cell>
          <cell r="R2083">
            <v>120</v>
          </cell>
          <cell r="S2083">
            <v>370</v>
          </cell>
          <cell r="T2083">
            <v>-26</v>
          </cell>
          <cell r="U2083">
            <v>-150</v>
          </cell>
          <cell r="V2083">
            <v>188</v>
          </cell>
          <cell r="W2083">
            <v>460</v>
          </cell>
          <cell r="X2083">
            <v>240</v>
          </cell>
          <cell r="Y2083">
            <v>715</v>
          </cell>
          <cell r="Z2083">
            <v>-52</v>
          </cell>
          <cell r="AA2083">
            <v>-255</v>
          </cell>
          <cell r="AB2083">
            <v>314</v>
          </cell>
          <cell r="AC2083">
            <v>490</v>
          </cell>
          <cell r="AD2083">
            <v>-176</v>
          </cell>
          <cell r="AE2083">
            <v>648</v>
          </cell>
          <cell r="AF2083">
            <v>955</v>
          </cell>
          <cell r="AG2083">
            <v>-307</v>
          </cell>
        </row>
        <row r="2084">
          <cell r="C2084">
            <v>33916</v>
          </cell>
          <cell r="D2084" t="str">
            <v>KAILASH PETROLEUM, SHIBLAPUR</v>
          </cell>
          <cell r="E2084" t="str">
            <v>RBML</v>
          </cell>
          <cell r="G2084" t="str">
            <v>Shirdi RSA</v>
          </cell>
          <cell r="J2084" t="str">
            <v>PRATAPPUR ASHWI</v>
          </cell>
          <cell r="K2084" t="str">
            <v>Ahmednagar</v>
          </cell>
          <cell r="L2084" t="str">
            <v>E</v>
          </cell>
          <cell r="O2084" t="str">
            <v>B</v>
          </cell>
          <cell r="P2084">
            <v>76</v>
          </cell>
          <cell r="Q2084">
            <v>120</v>
          </cell>
          <cell r="R2084">
            <v>105</v>
          </cell>
          <cell r="S2084">
            <v>310</v>
          </cell>
          <cell r="T2084">
            <v>-29</v>
          </cell>
          <cell r="U2084">
            <v>-190</v>
          </cell>
          <cell r="V2084">
            <v>152</v>
          </cell>
          <cell r="W2084">
            <v>240</v>
          </cell>
          <cell r="X2084">
            <v>205</v>
          </cell>
          <cell r="Y2084">
            <v>619</v>
          </cell>
          <cell r="Z2084">
            <v>-53</v>
          </cell>
          <cell r="AA2084">
            <v>-379</v>
          </cell>
          <cell r="AB2084">
            <v>196</v>
          </cell>
          <cell r="AC2084">
            <v>415</v>
          </cell>
          <cell r="AD2084">
            <v>-219</v>
          </cell>
          <cell r="AE2084">
            <v>392</v>
          </cell>
          <cell r="AF2084">
            <v>824</v>
          </cell>
          <cell r="AG2084">
            <v>-432</v>
          </cell>
        </row>
        <row r="2085">
          <cell r="C2085">
            <v>33917</v>
          </cell>
          <cell r="D2085" t="str">
            <v>SAHYADRI PETROLEUM, SAMSHERPUR</v>
          </cell>
          <cell r="E2085" t="str">
            <v>RBML</v>
          </cell>
          <cell r="G2085" t="str">
            <v>Shirdi RSA</v>
          </cell>
          <cell r="J2085" t="str">
            <v>SAMSHERPUR</v>
          </cell>
          <cell r="K2085" t="str">
            <v>Ahmednagar</v>
          </cell>
          <cell r="L2085" t="str">
            <v>E</v>
          </cell>
          <cell r="O2085" t="str">
            <v>B</v>
          </cell>
          <cell r="P2085">
            <v>36</v>
          </cell>
          <cell r="Q2085">
            <v>180</v>
          </cell>
          <cell r="R2085">
            <v>100</v>
          </cell>
          <cell r="S2085">
            <v>330</v>
          </cell>
          <cell r="T2085">
            <v>-64</v>
          </cell>
          <cell r="U2085">
            <v>-150</v>
          </cell>
          <cell r="V2085">
            <v>72</v>
          </cell>
          <cell r="W2085">
            <v>430</v>
          </cell>
          <cell r="X2085">
            <v>210</v>
          </cell>
          <cell r="Y2085">
            <v>625</v>
          </cell>
          <cell r="Z2085">
            <v>-138</v>
          </cell>
          <cell r="AA2085">
            <v>-195</v>
          </cell>
          <cell r="AB2085">
            <v>216</v>
          </cell>
          <cell r="AC2085">
            <v>430</v>
          </cell>
          <cell r="AD2085">
            <v>-214</v>
          </cell>
          <cell r="AE2085">
            <v>502</v>
          </cell>
          <cell r="AF2085">
            <v>835</v>
          </cell>
          <cell r="AG2085">
            <v>-333</v>
          </cell>
        </row>
        <row r="2086">
          <cell r="C2086">
            <v>34228</v>
          </cell>
          <cell r="D2086" t="str">
            <v>Reliance Shikrapur</v>
          </cell>
          <cell r="E2086" t="str">
            <v>RBML</v>
          </cell>
          <cell r="G2086" t="str">
            <v>Pune Wagholi RSA</v>
          </cell>
          <cell r="J2086" t="str">
            <v>Koregaon Bhima to Shikrapur LHS</v>
          </cell>
          <cell r="K2086" t="str">
            <v>Pune</v>
          </cell>
          <cell r="L2086" t="str">
            <v>D1</v>
          </cell>
          <cell r="M2086" t="str">
            <v>NH-753F</v>
          </cell>
          <cell r="O2086" t="str">
            <v>A</v>
          </cell>
          <cell r="P2086">
            <v>84</v>
          </cell>
          <cell r="Q2086">
            <v>280</v>
          </cell>
          <cell r="R2086">
            <v>135</v>
          </cell>
          <cell r="S2086">
            <v>425</v>
          </cell>
          <cell r="T2086">
            <v>-51</v>
          </cell>
          <cell r="U2086">
            <v>-145</v>
          </cell>
          <cell r="V2086">
            <v>168</v>
          </cell>
          <cell r="W2086">
            <v>560</v>
          </cell>
          <cell r="X2086">
            <v>263</v>
          </cell>
          <cell r="Y2086">
            <v>780</v>
          </cell>
          <cell r="Z2086">
            <v>-95</v>
          </cell>
          <cell r="AA2086">
            <v>-220</v>
          </cell>
          <cell r="AB2086">
            <v>364</v>
          </cell>
          <cell r="AC2086">
            <v>560</v>
          </cell>
          <cell r="AD2086">
            <v>-196</v>
          </cell>
          <cell r="AE2086">
            <v>728</v>
          </cell>
          <cell r="AF2086">
            <v>1043</v>
          </cell>
          <cell r="AG2086">
            <v>-315</v>
          </cell>
        </row>
        <row r="2087">
          <cell r="C2087">
            <v>34232</v>
          </cell>
          <cell r="D2087" t="str">
            <v>Reliance Narayangaon</v>
          </cell>
          <cell r="E2087" t="str">
            <v>RBML</v>
          </cell>
          <cell r="G2087" t="str">
            <v>Pune Wagholi RSA</v>
          </cell>
          <cell r="J2087" t="str">
            <v>Narayangaon</v>
          </cell>
          <cell r="K2087" t="str">
            <v>Pune</v>
          </cell>
          <cell r="L2087" t="str">
            <v>C</v>
          </cell>
          <cell r="O2087" t="str">
            <v>B</v>
          </cell>
          <cell r="P2087">
            <v>96</v>
          </cell>
          <cell r="Q2087">
            <v>300</v>
          </cell>
          <cell r="R2087">
            <v>120</v>
          </cell>
          <cell r="S2087">
            <v>475</v>
          </cell>
          <cell r="T2087">
            <v>-24</v>
          </cell>
          <cell r="U2087">
            <v>-175</v>
          </cell>
          <cell r="V2087">
            <v>204</v>
          </cell>
          <cell r="W2087">
            <v>580</v>
          </cell>
          <cell r="X2087">
            <v>235</v>
          </cell>
          <cell r="Y2087">
            <v>860</v>
          </cell>
          <cell r="Z2087">
            <v>-31</v>
          </cell>
          <cell r="AA2087">
            <v>-280</v>
          </cell>
          <cell r="AB2087">
            <v>396</v>
          </cell>
          <cell r="AC2087">
            <v>595</v>
          </cell>
          <cell r="AD2087">
            <v>-199</v>
          </cell>
          <cell r="AE2087">
            <v>784</v>
          </cell>
          <cell r="AF2087">
            <v>1095</v>
          </cell>
          <cell r="AG2087">
            <v>-311</v>
          </cell>
        </row>
        <row r="2088">
          <cell r="C2088">
            <v>34252</v>
          </cell>
          <cell r="D2088" t="str">
            <v>Raj Petroleum</v>
          </cell>
          <cell r="E2088" t="str">
            <v>RBML</v>
          </cell>
          <cell r="G2088" t="str">
            <v>Ahmednagar East RSA</v>
          </cell>
          <cell r="J2088" t="str">
            <v>Handinimgaon</v>
          </cell>
          <cell r="K2088" t="str">
            <v>Ahmednagar</v>
          </cell>
          <cell r="L2088" t="str">
            <v>D1</v>
          </cell>
          <cell r="M2088" t="str">
            <v>NH-753F</v>
          </cell>
          <cell r="O2088" t="str">
            <v>B</v>
          </cell>
          <cell r="P2088">
            <v>100</v>
          </cell>
          <cell r="Q2088">
            <v>240</v>
          </cell>
          <cell r="R2088">
            <v>144</v>
          </cell>
          <cell r="S2088">
            <v>270</v>
          </cell>
          <cell r="T2088">
            <v>-44</v>
          </cell>
          <cell r="U2088">
            <v>-30</v>
          </cell>
          <cell r="V2088">
            <v>200</v>
          </cell>
          <cell r="W2088">
            <v>480</v>
          </cell>
          <cell r="X2088">
            <v>224</v>
          </cell>
          <cell r="Y2088">
            <v>510</v>
          </cell>
          <cell r="Z2088">
            <v>-24</v>
          </cell>
          <cell r="AA2088">
            <v>-30</v>
          </cell>
          <cell r="AB2088">
            <v>340</v>
          </cell>
          <cell r="AC2088">
            <v>414</v>
          </cell>
          <cell r="AD2088">
            <v>-74</v>
          </cell>
          <cell r="AE2088">
            <v>680</v>
          </cell>
          <cell r="AF2088">
            <v>734</v>
          </cell>
          <cell r="AG2088">
            <v>-54</v>
          </cell>
        </row>
        <row r="2089">
          <cell r="C2089">
            <v>34253</v>
          </cell>
          <cell r="D2089" t="str">
            <v>Speedage Petroleum</v>
          </cell>
          <cell r="E2089" t="str">
            <v>RBML</v>
          </cell>
          <cell r="G2089" t="str">
            <v>Ahmednagar East RSA</v>
          </cell>
          <cell r="J2089" t="str">
            <v>Shendi</v>
          </cell>
          <cell r="K2089" t="str">
            <v>Ahmednagar</v>
          </cell>
          <cell r="L2089" t="str">
            <v>D1</v>
          </cell>
          <cell r="M2089" t="str">
            <v>NH-753F</v>
          </cell>
          <cell r="O2089" t="str">
            <v>B</v>
          </cell>
          <cell r="P2089">
            <v>84</v>
          </cell>
          <cell r="Q2089">
            <v>120</v>
          </cell>
          <cell r="R2089">
            <v>105</v>
          </cell>
          <cell r="S2089">
            <v>280</v>
          </cell>
          <cell r="T2089">
            <v>-21</v>
          </cell>
          <cell r="U2089">
            <v>-160</v>
          </cell>
          <cell r="V2089">
            <v>168</v>
          </cell>
          <cell r="W2089">
            <v>240</v>
          </cell>
          <cell r="X2089">
            <v>205</v>
          </cell>
          <cell r="Y2089">
            <v>525</v>
          </cell>
          <cell r="Z2089">
            <v>-37</v>
          </cell>
          <cell r="AA2089">
            <v>-285</v>
          </cell>
          <cell r="AB2089">
            <v>204</v>
          </cell>
          <cell r="AC2089">
            <v>385</v>
          </cell>
          <cell r="AD2089">
            <v>-181</v>
          </cell>
          <cell r="AE2089">
            <v>408</v>
          </cell>
          <cell r="AF2089">
            <v>730</v>
          </cell>
          <cell r="AG2089">
            <v>-322</v>
          </cell>
        </row>
        <row r="2090">
          <cell r="C2090">
            <v>34254</v>
          </cell>
          <cell r="D2090" t="str">
            <v>COCO Mirajgaon</v>
          </cell>
          <cell r="E2090" t="str">
            <v>RBML</v>
          </cell>
          <cell r="G2090" t="str">
            <v>Ahmednagar West RSA</v>
          </cell>
          <cell r="J2090" t="str">
            <v>MIRAJGAON-SH</v>
          </cell>
          <cell r="K2090" t="str">
            <v>Ahmednagar</v>
          </cell>
          <cell r="L2090" t="str">
            <v>D2</v>
          </cell>
          <cell r="O2090" t="str">
            <v>B</v>
          </cell>
          <cell r="P2090">
            <v>48</v>
          </cell>
          <cell r="Q2090">
            <v>178</v>
          </cell>
          <cell r="R2090">
            <v>115</v>
          </cell>
          <cell r="S2090">
            <v>310</v>
          </cell>
          <cell r="T2090">
            <v>-67</v>
          </cell>
          <cell r="U2090">
            <v>-132</v>
          </cell>
          <cell r="V2090">
            <v>96</v>
          </cell>
          <cell r="W2090">
            <v>438</v>
          </cell>
          <cell r="X2090">
            <v>225</v>
          </cell>
          <cell r="Y2090">
            <v>605</v>
          </cell>
          <cell r="Z2090">
            <v>-129</v>
          </cell>
          <cell r="AA2090">
            <v>-167</v>
          </cell>
          <cell r="AB2090">
            <v>226</v>
          </cell>
          <cell r="AC2090">
            <v>425</v>
          </cell>
          <cell r="AD2090">
            <v>-199</v>
          </cell>
          <cell r="AE2090">
            <v>534</v>
          </cell>
          <cell r="AF2090">
            <v>830</v>
          </cell>
          <cell r="AG2090">
            <v>-296</v>
          </cell>
        </row>
        <row r="2091">
          <cell r="C2091">
            <v>34255</v>
          </cell>
          <cell r="D2091" t="str">
            <v>Khedshivapur</v>
          </cell>
          <cell r="E2091" t="str">
            <v>RBML</v>
          </cell>
          <cell r="G2091" t="str">
            <v>Pune Tathawade RSA</v>
          </cell>
          <cell r="J2091" t="str">
            <v>KHEDSHIVAPUR TO HARISHCHANDRI</v>
          </cell>
          <cell r="K2091" t="str">
            <v>Pune</v>
          </cell>
          <cell r="L2091" t="str">
            <v>D1</v>
          </cell>
          <cell r="M2091" t="str">
            <v>NH-48</v>
          </cell>
          <cell r="O2091" t="str">
            <v>A</v>
          </cell>
          <cell r="P2091">
            <v>96</v>
          </cell>
          <cell r="Q2091">
            <v>330</v>
          </cell>
          <cell r="R2091">
            <v>135</v>
          </cell>
          <cell r="S2091">
            <v>415</v>
          </cell>
          <cell r="T2091">
            <v>-39</v>
          </cell>
          <cell r="U2091">
            <v>-85</v>
          </cell>
          <cell r="V2091">
            <v>192</v>
          </cell>
          <cell r="W2091">
            <v>660</v>
          </cell>
          <cell r="X2091">
            <v>255</v>
          </cell>
          <cell r="Y2091">
            <v>800</v>
          </cell>
          <cell r="Z2091">
            <v>-63</v>
          </cell>
          <cell r="AA2091">
            <v>-140</v>
          </cell>
          <cell r="AB2091">
            <v>426</v>
          </cell>
          <cell r="AC2091">
            <v>550</v>
          </cell>
          <cell r="AD2091">
            <v>-124</v>
          </cell>
          <cell r="AE2091">
            <v>852</v>
          </cell>
          <cell r="AF2091">
            <v>1055</v>
          </cell>
          <cell r="AG2091">
            <v>-203</v>
          </cell>
        </row>
        <row r="2092">
          <cell r="C2092">
            <v>34258</v>
          </cell>
          <cell r="D2092" t="str">
            <v>Reliance Alephata</v>
          </cell>
          <cell r="E2092" t="str">
            <v>RBML</v>
          </cell>
          <cell r="G2092" t="str">
            <v>Pune Wagholi RSA</v>
          </cell>
          <cell r="J2092" t="str">
            <v>Alephata on Kalyan highway</v>
          </cell>
          <cell r="K2092" t="str">
            <v>Pune</v>
          </cell>
          <cell r="L2092" t="str">
            <v>D1</v>
          </cell>
          <cell r="M2092" t="str">
            <v>NH-61</v>
          </cell>
          <cell r="O2092" t="str">
            <v>B</v>
          </cell>
          <cell r="P2092">
            <v>80</v>
          </cell>
          <cell r="Q2092">
            <v>300</v>
          </cell>
          <cell r="R2092">
            <v>130</v>
          </cell>
          <cell r="S2092">
            <v>435</v>
          </cell>
          <cell r="T2092">
            <v>-50</v>
          </cell>
          <cell r="U2092">
            <v>-135</v>
          </cell>
          <cell r="V2092">
            <v>160</v>
          </cell>
          <cell r="W2092">
            <v>600</v>
          </cell>
          <cell r="X2092">
            <v>258</v>
          </cell>
          <cell r="Y2092">
            <v>800</v>
          </cell>
          <cell r="Z2092">
            <v>-98</v>
          </cell>
          <cell r="AA2092">
            <v>-200</v>
          </cell>
          <cell r="AB2092">
            <v>380</v>
          </cell>
          <cell r="AC2092">
            <v>565</v>
          </cell>
          <cell r="AD2092">
            <v>-185</v>
          </cell>
          <cell r="AE2092">
            <v>760</v>
          </cell>
          <cell r="AF2092">
            <v>1058</v>
          </cell>
          <cell r="AG2092">
            <v>-298</v>
          </cell>
        </row>
        <row r="2093">
          <cell r="C2093">
            <v>34259</v>
          </cell>
          <cell r="D2093" t="str">
            <v>Reliance Nirgudsar</v>
          </cell>
          <cell r="E2093" t="str">
            <v>RBML</v>
          </cell>
          <cell r="G2093" t="str">
            <v>Pune Wagholi RSA</v>
          </cell>
          <cell r="J2093" t="str">
            <v>Mengdewadi</v>
          </cell>
          <cell r="K2093" t="str">
            <v>Pune</v>
          </cell>
          <cell r="L2093" t="str">
            <v>E</v>
          </cell>
          <cell r="O2093" t="str">
            <v>B</v>
          </cell>
          <cell r="P2093">
            <v>84</v>
          </cell>
          <cell r="Q2093">
            <v>240</v>
          </cell>
          <cell r="R2093">
            <v>145</v>
          </cell>
          <cell r="S2093">
            <v>455</v>
          </cell>
          <cell r="T2093">
            <v>-61</v>
          </cell>
          <cell r="U2093">
            <v>-215</v>
          </cell>
          <cell r="V2093">
            <v>180</v>
          </cell>
          <cell r="W2093">
            <v>480</v>
          </cell>
          <cell r="X2093">
            <v>283</v>
          </cell>
          <cell r="Y2093">
            <v>880</v>
          </cell>
          <cell r="Z2093">
            <v>-103</v>
          </cell>
          <cell r="AA2093">
            <v>-400</v>
          </cell>
          <cell r="AB2093">
            <v>324</v>
          </cell>
          <cell r="AC2093">
            <v>600</v>
          </cell>
          <cell r="AD2093">
            <v>-276</v>
          </cell>
          <cell r="AE2093">
            <v>660</v>
          </cell>
          <cell r="AF2093">
            <v>1163</v>
          </cell>
          <cell r="AG2093">
            <v>-503</v>
          </cell>
        </row>
        <row r="2094">
          <cell r="C2094">
            <v>34273</v>
          </cell>
          <cell r="D2094" t="str">
            <v>RIL LONI KALBHOR</v>
          </cell>
          <cell r="E2094" t="str">
            <v>RBML</v>
          </cell>
          <cell r="G2094" t="str">
            <v>Pune Hadapsar RSA</v>
          </cell>
          <cell r="J2094" t="str">
            <v>Loni RHS</v>
          </cell>
          <cell r="K2094" t="str">
            <v>Pune</v>
          </cell>
          <cell r="L2094" t="str">
            <v>D1</v>
          </cell>
          <cell r="M2094" t="str">
            <v>NH-65</v>
          </cell>
          <cell r="O2094" t="str">
            <v>B</v>
          </cell>
          <cell r="P2094">
            <v>66</v>
          </cell>
          <cell r="Q2094">
            <v>320</v>
          </cell>
          <cell r="R2094">
            <v>144</v>
          </cell>
          <cell r="S2094">
            <v>385</v>
          </cell>
          <cell r="T2094">
            <v>-78</v>
          </cell>
          <cell r="U2094">
            <v>-65</v>
          </cell>
          <cell r="V2094">
            <v>132</v>
          </cell>
          <cell r="W2094">
            <v>640</v>
          </cell>
          <cell r="X2094">
            <v>288</v>
          </cell>
          <cell r="Y2094">
            <v>710</v>
          </cell>
          <cell r="Z2094">
            <v>-156</v>
          </cell>
          <cell r="AA2094">
            <v>-70</v>
          </cell>
          <cell r="AB2094">
            <v>386</v>
          </cell>
          <cell r="AC2094">
            <v>529</v>
          </cell>
          <cell r="AD2094">
            <v>-143</v>
          </cell>
          <cell r="AE2094">
            <v>772</v>
          </cell>
          <cell r="AF2094">
            <v>998</v>
          </cell>
          <cell r="AG2094">
            <v>-226</v>
          </cell>
        </row>
        <row r="2095">
          <cell r="C2095">
            <v>34274</v>
          </cell>
          <cell r="D2095" t="str">
            <v>RIL DAUND</v>
          </cell>
          <cell r="E2095" t="str">
            <v>RBML</v>
          </cell>
          <cell r="G2095" t="str">
            <v>Pune Hadapsar RSA</v>
          </cell>
          <cell r="J2095" t="str">
            <v>Daund</v>
          </cell>
          <cell r="K2095" t="str">
            <v>Pune</v>
          </cell>
          <cell r="L2095" t="str">
            <v>D2</v>
          </cell>
          <cell r="O2095" t="str">
            <v>B</v>
          </cell>
          <cell r="P2095">
            <v>96</v>
          </cell>
          <cell r="Q2095">
            <v>300</v>
          </cell>
          <cell r="R2095">
            <v>150</v>
          </cell>
          <cell r="S2095">
            <v>385</v>
          </cell>
          <cell r="T2095">
            <v>-54</v>
          </cell>
          <cell r="U2095">
            <v>-85</v>
          </cell>
          <cell r="V2095">
            <v>192</v>
          </cell>
          <cell r="W2095">
            <v>600</v>
          </cell>
          <cell r="X2095">
            <v>300</v>
          </cell>
          <cell r="Y2095">
            <v>740</v>
          </cell>
          <cell r="Z2095">
            <v>-108</v>
          </cell>
          <cell r="AA2095">
            <v>-140</v>
          </cell>
          <cell r="AB2095">
            <v>396</v>
          </cell>
          <cell r="AC2095">
            <v>535</v>
          </cell>
          <cell r="AD2095">
            <v>-139</v>
          </cell>
          <cell r="AE2095">
            <v>792</v>
          </cell>
          <cell r="AF2095">
            <v>1040</v>
          </cell>
          <cell r="AG2095">
            <v>-248</v>
          </cell>
        </row>
        <row r="2096">
          <cell r="C2096">
            <v>34275</v>
          </cell>
          <cell r="D2096" t="str">
            <v>RIL SASWAD</v>
          </cell>
          <cell r="E2096" t="str">
            <v>RBML</v>
          </cell>
          <cell r="G2096" t="str">
            <v>Pune Saswad RSA</v>
          </cell>
          <cell r="J2096" t="str">
            <v>SASWAD</v>
          </cell>
          <cell r="K2096" t="str">
            <v>Pune</v>
          </cell>
          <cell r="L2096" t="str">
            <v>C</v>
          </cell>
          <cell r="O2096" t="str">
            <v>B</v>
          </cell>
          <cell r="P2096">
            <v>84</v>
          </cell>
          <cell r="Q2096">
            <v>280</v>
          </cell>
          <cell r="R2096">
            <v>110</v>
          </cell>
          <cell r="S2096">
            <v>455</v>
          </cell>
          <cell r="T2096">
            <v>-26</v>
          </cell>
          <cell r="U2096">
            <v>-175</v>
          </cell>
          <cell r="V2096">
            <v>180</v>
          </cell>
          <cell r="W2096">
            <v>560</v>
          </cell>
          <cell r="X2096">
            <v>215</v>
          </cell>
          <cell r="Y2096">
            <v>835</v>
          </cell>
          <cell r="Z2096">
            <v>-35</v>
          </cell>
          <cell r="AA2096">
            <v>-275</v>
          </cell>
          <cell r="AB2096">
            <v>364</v>
          </cell>
          <cell r="AC2096">
            <v>565</v>
          </cell>
          <cell r="AD2096">
            <v>-201</v>
          </cell>
          <cell r="AE2096">
            <v>740</v>
          </cell>
          <cell r="AF2096">
            <v>1050</v>
          </cell>
          <cell r="AG2096">
            <v>-310</v>
          </cell>
        </row>
        <row r="2097">
          <cell r="C2097">
            <v>34277</v>
          </cell>
          <cell r="D2097" t="str">
            <v>RIL THEUR PHATA</v>
          </cell>
          <cell r="E2097" t="str">
            <v>RBML</v>
          </cell>
          <cell r="G2097" t="str">
            <v>Pune Hadapsar RSA</v>
          </cell>
          <cell r="J2097" t="str">
            <v>Theur</v>
          </cell>
          <cell r="K2097" t="str">
            <v>Pune</v>
          </cell>
          <cell r="L2097" t="str">
            <v>D1</v>
          </cell>
          <cell r="M2097" t="str">
            <v>NH-548DD</v>
          </cell>
          <cell r="O2097" t="str">
            <v>A</v>
          </cell>
          <cell r="P2097">
            <v>96</v>
          </cell>
          <cell r="Q2097">
            <v>240</v>
          </cell>
          <cell r="R2097">
            <v>120</v>
          </cell>
          <cell r="S2097">
            <v>465</v>
          </cell>
          <cell r="T2097">
            <v>-24</v>
          </cell>
          <cell r="U2097">
            <v>-225</v>
          </cell>
          <cell r="V2097">
            <v>192</v>
          </cell>
          <cell r="W2097">
            <v>480</v>
          </cell>
          <cell r="X2097">
            <v>235</v>
          </cell>
          <cell r="Y2097">
            <v>845</v>
          </cell>
          <cell r="Z2097">
            <v>-43</v>
          </cell>
          <cell r="AA2097">
            <v>-365</v>
          </cell>
          <cell r="AB2097">
            <v>336</v>
          </cell>
          <cell r="AC2097">
            <v>585</v>
          </cell>
          <cell r="AD2097">
            <v>-249</v>
          </cell>
          <cell r="AE2097">
            <v>672</v>
          </cell>
          <cell r="AF2097">
            <v>1080</v>
          </cell>
          <cell r="AG2097">
            <v>-408</v>
          </cell>
        </row>
        <row r="2098">
          <cell r="C2098">
            <v>35365</v>
          </cell>
          <cell r="D2098" t="str">
            <v xml:space="preserve">SHRI SWAMI SAMARTH PETROLEUM </v>
          </cell>
          <cell r="E2098" t="str">
            <v>RBML</v>
          </cell>
          <cell r="G2098" t="str">
            <v>Ahmednagar West RSA</v>
          </cell>
          <cell r="J2098" t="str">
            <v>karanji</v>
          </cell>
          <cell r="K2098" t="str">
            <v>Ahmednagar</v>
          </cell>
          <cell r="L2098" t="str">
            <v>D1</v>
          </cell>
          <cell r="M2098" t="str">
            <v>NH-61</v>
          </cell>
          <cell r="O2098" t="str">
            <v>B</v>
          </cell>
          <cell r="P2098">
            <v>84</v>
          </cell>
          <cell r="Q2098">
            <v>282</v>
          </cell>
          <cell r="R2098">
            <v>140</v>
          </cell>
          <cell r="S2098">
            <v>270</v>
          </cell>
          <cell r="T2098">
            <v>-56</v>
          </cell>
          <cell r="U2098">
            <v>12</v>
          </cell>
          <cell r="V2098">
            <v>168</v>
          </cell>
          <cell r="W2098">
            <v>564</v>
          </cell>
          <cell r="X2098">
            <v>266</v>
          </cell>
          <cell r="Y2098">
            <v>525</v>
          </cell>
          <cell r="Z2098">
            <v>-98</v>
          </cell>
          <cell r="AA2098">
            <v>39</v>
          </cell>
          <cell r="AB2098">
            <v>366</v>
          </cell>
          <cell r="AC2098">
            <v>410</v>
          </cell>
          <cell r="AD2098">
            <v>-44</v>
          </cell>
          <cell r="AE2098">
            <v>732</v>
          </cell>
          <cell r="AF2098">
            <v>791</v>
          </cell>
          <cell r="AG2098">
            <v>-59</v>
          </cell>
        </row>
        <row r="2099">
          <cell r="C2099">
            <v>35920</v>
          </cell>
          <cell r="D2099" t="str">
            <v>Reliance Khed</v>
          </cell>
          <cell r="E2099" t="str">
            <v>RBML</v>
          </cell>
          <cell r="G2099" t="str">
            <v>Pimpri Chinchwad RSA</v>
          </cell>
          <cell r="J2099" t="str">
            <v>Rajgurunagar on NH</v>
          </cell>
          <cell r="K2099" t="str">
            <v>Pune</v>
          </cell>
          <cell r="L2099" t="str">
            <v>D1</v>
          </cell>
          <cell r="M2099" t="str">
            <v>NH-60</v>
          </cell>
          <cell r="O2099" t="str">
            <v>B</v>
          </cell>
          <cell r="P2099">
            <v>80</v>
          </cell>
          <cell r="Q2099">
            <v>278</v>
          </cell>
          <cell r="R2099">
            <v>78</v>
          </cell>
          <cell r="S2099">
            <v>485</v>
          </cell>
          <cell r="T2099">
            <v>2</v>
          </cell>
          <cell r="U2099">
            <v>-207</v>
          </cell>
          <cell r="V2099">
            <v>160</v>
          </cell>
          <cell r="W2099">
            <v>558</v>
          </cell>
          <cell r="X2099">
            <v>154</v>
          </cell>
          <cell r="Y2099">
            <v>915</v>
          </cell>
          <cell r="Z2099">
            <v>6</v>
          </cell>
          <cell r="AA2099">
            <v>-357</v>
          </cell>
          <cell r="AB2099">
            <v>358</v>
          </cell>
          <cell r="AC2099">
            <v>563</v>
          </cell>
          <cell r="AD2099">
            <v>-205</v>
          </cell>
          <cell r="AE2099">
            <v>718</v>
          </cell>
          <cell r="AF2099">
            <v>1069</v>
          </cell>
          <cell r="AG2099">
            <v>-351</v>
          </cell>
        </row>
        <row r="2100">
          <cell r="C2100">
            <v>51924557</v>
          </cell>
          <cell r="D2100" t="str">
            <v>KADAM PETROLEUM</v>
          </cell>
          <cell r="E2100" t="str">
            <v>RBML</v>
          </cell>
          <cell r="F2100" t="str">
            <v>2023-24</v>
          </cell>
          <cell r="G2100" t="str">
            <v>Ahmednagar West RSA</v>
          </cell>
          <cell r="J2100" t="str">
            <v>LONI VYNKNATH-KASHTI (NH)</v>
          </cell>
          <cell r="K2100" t="str">
            <v>Ahmednagar</v>
          </cell>
          <cell r="L2100" t="str">
            <v>D1</v>
          </cell>
          <cell r="M2100" t="str">
            <v>NH-160</v>
          </cell>
          <cell r="O2100" t="str">
            <v>B</v>
          </cell>
          <cell r="P2100">
            <v>88</v>
          </cell>
          <cell r="Q2100">
            <v>256</v>
          </cell>
          <cell r="R2100">
            <v>80</v>
          </cell>
          <cell r="S2100">
            <v>290</v>
          </cell>
          <cell r="T2100">
            <v>8</v>
          </cell>
          <cell r="U2100">
            <v>-34</v>
          </cell>
          <cell r="V2100">
            <v>176</v>
          </cell>
          <cell r="W2100">
            <v>512</v>
          </cell>
          <cell r="X2100">
            <v>154</v>
          </cell>
          <cell r="Y2100">
            <v>485</v>
          </cell>
          <cell r="Z2100">
            <v>22</v>
          </cell>
          <cell r="AA2100">
            <v>27</v>
          </cell>
          <cell r="AB2100">
            <v>344</v>
          </cell>
          <cell r="AC2100">
            <v>370</v>
          </cell>
          <cell r="AD2100">
            <v>-26</v>
          </cell>
          <cell r="AE2100">
            <v>688</v>
          </cell>
          <cell r="AF2100">
            <v>639</v>
          </cell>
          <cell r="AG2100">
            <v>49</v>
          </cell>
        </row>
        <row r="2101">
          <cell r="C2101">
            <v>51924558</v>
          </cell>
          <cell r="D2101" t="str">
            <v>PANDHARINATH PETROLEUM</v>
          </cell>
          <cell r="E2101" t="str">
            <v>RBML</v>
          </cell>
          <cell r="F2101" t="str">
            <v>2023-24</v>
          </cell>
          <cell r="G2101" t="str">
            <v>Ahmednagar West RSA</v>
          </cell>
          <cell r="J2101" t="str">
            <v>KARJAT-RASHIN RD</v>
          </cell>
          <cell r="K2101" t="str">
            <v>Ahmednagar</v>
          </cell>
          <cell r="L2101" t="str">
            <v>D2</v>
          </cell>
          <cell r="O2101" t="str">
            <v>B</v>
          </cell>
          <cell r="P2101">
            <v>64</v>
          </cell>
          <cell r="Q2101">
            <v>120</v>
          </cell>
          <cell r="R2101">
            <v>45</v>
          </cell>
          <cell r="S2101">
            <v>310</v>
          </cell>
          <cell r="T2101">
            <v>19</v>
          </cell>
          <cell r="U2101">
            <v>-190</v>
          </cell>
          <cell r="V2101">
            <v>128</v>
          </cell>
          <cell r="W2101">
            <v>240</v>
          </cell>
          <cell r="X2101">
            <v>87</v>
          </cell>
          <cell r="Y2101">
            <v>575</v>
          </cell>
          <cell r="Z2101">
            <v>41</v>
          </cell>
          <cell r="AA2101">
            <v>-335</v>
          </cell>
          <cell r="AB2101">
            <v>184</v>
          </cell>
          <cell r="AC2101">
            <v>355</v>
          </cell>
          <cell r="AD2101">
            <v>-171</v>
          </cell>
          <cell r="AE2101">
            <v>368</v>
          </cell>
          <cell r="AF2101">
            <v>662</v>
          </cell>
          <cell r="AG2101">
            <v>-294</v>
          </cell>
        </row>
        <row r="2102">
          <cell r="C2102">
            <v>51924559</v>
          </cell>
          <cell r="D2102" t="str">
            <v>RAHUL PETROLEUM</v>
          </cell>
          <cell r="E2102" t="str">
            <v>RBML</v>
          </cell>
          <cell r="F2102" t="str">
            <v>2023-24</v>
          </cell>
          <cell r="G2102" t="str">
            <v>Ahmednagar West RSA</v>
          </cell>
          <cell r="J2102" t="str">
            <v>JAMKHED-KHARDA RD</v>
          </cell>
          <cell r="K2102" t="str">
            <v>Ahmednagar</v>
          </cell>
          <cell r="L2102" t="str">
            <v>D2</v>
          </cell>
          <cell r="O2102" t="str">
            <v>B</v>
          </cell>
          <cell r="P2102">
            <v>74</v>
          </cell>
          <cell r="Q2102">
            <v>200</v>
          </cell>
          <cell r="R2102">
            <v>70</v>
          </cell>
          <cell r="S2102">
            <v>260</v>
          </cell>
          <cell r="T2102">
            <v>4</v>
          </cell>
          <cell r="U2102">
            <v>-60</v>
          </cell>
          <cell r="V2102">
            <v>148</v>
          </cell>
          <cell r="W2102">
            <v>400</v>
          </cell>
          <cell r="X2102">
            <v>132</v>
          </cell>
          <cell r="Y2102">
            <v>475</v>
          </cell>
          <cell r="Z2102">
            <v>16</v>
          </cell>
          <cell r="AA2102">
            <v>-75</v>
          </cell>
          <cell r="AB2102">
            <v>274</v>
          </cell>
          <cell r="AC2102">
            <v>330</v>
          </cell>
          <cell r="AD2102">
            <v>-56</v>
          </cell>
          <cell r="AE2102">
            <v>548</v>
          </cell>
          <cell r="AF2102">
            <v>607</v>
          </cell>
          <cell r="AG2102">
            <v>-59</v>
          </cell>
        </row>
        <row r="2103">
          <cell r="C2103">
            <v>51924560</v>
          </cell>
          <cell r="D2103" t="str">
            <v>SHRI KRUPA PETROLEUM</v>
          </cell>
          <cell r="E2103" t="str">
            <v>RBML</v>
          </cell>
          <cell r="F2103" t="str">
            <v>2023-24</v>
          </cell>
          <cell r="G2103" t="str">
            <v>Ahmednagar West RSA</v>
          </cell>
          <cell r="J2103" t="str">
            <v>MIRAJGAON-NH</v>
          </cell>
          <cell r="K2103" t="str">
            <v>Ahmednagar</v>
          </cell>
          <cell r="L2103" t="str">
            <v>D1</v>
          </cell>
          <cell r="M2103" t="str">
            <v>NH-561A</v>
          </cell>
          <cell r="O2103" t="str">
            <v>B</v>
          </cell>
          <cell r="P2103">
            <v>50</v>
          </cell>
          <cell r="Q2103">
            <v>266</v>
          </cell>
          <cell r="R2103">
            <v>95</v>
          </cell>
          <cell r="S2103">
            <v>310</v>
          </cell>
          <cell r="T2103">
            <v>-45</v>
          </cell>
          <cell r="U2103">
            <v>-44</v>
          </cell>
          <cell r="V2103">
            <v>100</v>
          </cell>
          <cell r="W2103">
            <v>532</v>
          </cell>
          <cell r="X2103">
            <v>183</v>
          </cell>
          <cell r="Y2103">
            <v>555</v>
          </cell>
          <cell r="Z2103">
            <v>-83</v>
          </cell>
          <cell r="AA2103">
            <v>-23</v>
          </cell>
          <cell r="AB2103">
            <v>316</v>
          </cell>
          <cell r="AC2103">
            <v>405</v>
          </cell>
          <cell r="AD2103">
            <v>-89</v>
          </cell>
          <cell r="AE2103">
            <v>632</v>
          </cell>
          <cell r="AF2103">
            <v>738</v>
          </cell>
          <cell r="AG2103">
            <v>-106</v>
          </cell>
        </row>
        <row r="2104">
          <cell r="C2104">
            <v>51924562</v>
          </cell>
          <cell r="D2104" t="str">
            <v>JIO PETROLEUM PATHARDI</v>
          </cell>
          <cell r="E2104" t="str">
            <v>RBML</v>
          </cell>
          <cell r="F2104" t="str">
            <v>2023-24</v>
          </cell>
          <cell r="G2104" t="str">
            <v>Ahmednagar West RSA</v>
          </cell>
          <cell r="J2104" t="str">
            <v>PATHARDI-NH</v>
          </cell>
          <cell r="K2104" t="str">
            <v>Ahmednagar</v>
          </cell>
          <cell r="L2104" t="str">
            <v>D1</v>
          </cell>
          <cell r="M2104" t="str">
            <v>NH-61</v>
          </cell>
          <cell r="O2104" t="str">
            <v>B</v>
          </cell>
          <cell r="P2104">
            <v>52</v>
          </cell>
          <cell r="Q2104">
            <v>220</v>
          </cell>
          <cell r="R2104">
            <v>66</v>
          </cell>
          <cell r="S2104">
            <v>257</v>
          </cell>
          <cell r="T2104">
            <v>-14</v>
          </cell>
          <cell r="U2104">
            <v>-37</v>
          </cell>
          <cell r="V2104">
            <v>104</v>
          </cell>
          <cell r="W2104">
            <v>440</v>
          </cell>
          <cell r="X2104">
            <v>129.69</v>
          </cell>
          <cell r="Y2104">
            <v>456</v>
          </cell>
          <cell r="Z2104">
            <v>-25.689999999999998</v>
          </cell>
          <cell r="AA2104">
            <v>-16</v>
          </cell>
          <cell r="AB2104">
            <v>272</v>
          </cell>
          <cell r="AC2104">
            <v>323</v>
          </cell>
          <cell r="AD2104">
            <v>-51</v>
          </cell>
          <cell r="AE2104">
            <v>544</v>
          </cell>
          <cell r="AF2104">
            <v>585.69000000000005</v>
          </cell>
          <cell r="AG2104">
            <v>-41.690000000000055</v>
          </cell>
        </row>
        <row r="2105">
          <cell r="C2105">
            <v>25816909476</v>
          </cell>
          <cell r="D2105" t="str">
            <v>RIL Baramati</v>
          </cell>
          <cell r="E2105" t="str">
            <v>RBML</v>
          </cell>
          <cell r="G2105" t="str">
            <v>Pune Tathawade RSA</v>
          </cell>
          <cell r="J2105" t="str">
            <v>BARAMATI TOWN ON BHIGWAN ROAD</v>
          </cell>
          <cell r="K2105" t="str">
            <v>Pune</v>
          </cell>
          <cell r="L2105" t="str">
            <v>D1</v>
          </cell>
          <cell r="M2105" t="str">
            <v>NH-965G</v>
          </cell>
          <cell r="O2105" t="str">
            <v>A</v>
          </cell>
          <cell r="P2105">
            <v>94</v>
          </cell>
          <cell r="Q2105">
            <v>305</v>
          </cell>
          <cell r="R2105">
            <v>110</v>
          </cell>
          <cell r="S2105">
            <v>431</v>
          </cell>
          <cell r="T2105">
            <v>-16</v>
          </cell>
          <cell r="U2105">
            <v>-126</v>
          </cell>
          <cell r="V2105">
            <v>188</v>
          </cell>
          <cell r="W2105">
            <v>610</v>
          </cell>
          <cell r="X2105">
            <v>214.745</v>
          </cell>
          <cell r="Y2105">
            <v>796.55600000000004</v>
          </cell>
          <cell r="Z2105">
            <v>-26.745000000000005</v>
          </cell>
          <cell r="AA2105">
            <v>-186.55600000000004</v>
          </cell>
          <cell r="AB2105">
            <v>399</v>
          </cell>
          <cell r="AC2105">
            <v>541</v>
          </cell>
          <cell r="AD2105">
            <v>-142</v>
          </cell>
          <cell r="AE2105">
            <v>798</v>
          </cell>
          <cell r="AF2105">
            <v>1011.301</v>
          </cell>
          <cell r="AG2105">
            <v>-213.30100000000004</v>
          </cell>
        </row>
        <row r="2106">
          <cell r="C2106">
            <v>51929046</v>
          </cell>
          <cell r="D2106" t="str">
            <v>RAAHI PETROLEUM</v>
          </cell>
          <cell r="E2106" t="str">
            <v>RBML</v>
          </cell>
          <cell r="F2106" t="str">
            <v>2025-26</v>
          </cell>
          <cell r="G2106" t="str">
            <v>Pune Wagholi RSA</v>
          </cell>
          <cell r="J2106" t="str">
            <v>Shikrapur to Inamgaon</v>
          </cell>
          <cell r="K2106" t="str">
            <v>Pune</v>
          </cell>
          <cell r="L2106" t="str">
            <v>D1</v>
          </cell>
          <cell r="M2106" t="str">
            <v>NH-548D</v>
          </cell>
          <cell r="O2106" t="str">
            <v>B</v>
          </cell>
          <cell r="P2106">
            <v>48</v>
          </cell>
          <cell r="Q2106">
            <v>160</v>
          </cell>
          <cell r="R2106">
            <v>0</v>
          </cell>
          <cell r="S2106">
            <v>0</v>
          </cell>
          <cell r="T2106">
            <v>48</v>
          </cell>
          <cell r="U2106">
            <v>160</v>
          </cell>
          <cell r="V2106">
            <v>108</v>
          </cell>
          <cell r="W2106">
            <v>320</v>
          </cell>
          <cell r="X2106">
            <v>0</v>
          </cell>
          <cell r="Y2106">
            <v>0</v>
          </cell>
          <cell r="Z2106">
            <v>108</v>
          </cell>
          <cell r="AA2106">
            <v>320</v>
          </cell>
          <cell r="AB2106">
            <v>208</v>
          </cell>
          <cell r="AC2106">
            <v>0</v>
          </cell>
          <cell r="AD2106">
            <v>208</v>
          </cell>
          <cell r="AE2106">
            <v>428</v>
          </cell>
          <cell r="AF2106">
            <v>0</v>
          </cell>
          <cell r="AG2106">
            <v>428</v>
          </cell>
        </row>
        <row r="2107">
          <cell r="C2107">
            <v>51929091</v>
          </cell>
          <cell r="D2107" t="str">
            <v>Jio BP Laxminarayan Petroleum</v>
          </cell>
          <cell r="E2107" t="str">
            <v>RBML</v>
          </cell>
          <cell r="F2107" t="str">
            <v>2025-26</v>
          </cell>
          <cell r="G2107" t="str">
            <v>Pune Tathawade RSA</v>
          </cell>
          <cell r="J2107" t="str">
            <v>Gulunche</v>
          </cell>
          <cell r="K2107" t="str">
            <v>Pune</v>
          </cell>
          <cell r="L2107" t="str">
            <v>D1</v>
          </cell>
          <cell r="M2107" t="str">
            <v>NH-965D</v>
          </cell>
          <cell r="O2107" t="str">
            <v>B</v>
          </cell>
          <cell r="P2107">
            <v>44</v>
          </cell>
          <cell r="Q2107">
            <v>120</v>
          </cell>
          <cell r="R2107">
            <v>0</v>
          </cell>
          <cell r="S2107">
            <v>0</v>
          </cell>
          <cell r="T2107">
            <v>44</v>
          </cell>
          <cell r="U2107">
            <v>120</v>
          </cell>
          <cell r="V2107">
            <v>88</v>
          </cell>
          <cell r="W2107">
            <v>240</v>
          </cell>
          <cell r="X2107">
            <v>0</v>
          </cell>
          <cell r="Y2107">
            <v>0</v>
          </cell>
          <cell r="Z2107">
            <v>88</v>
          </cell>
          <cell r="AA2107">
            <v>240</v>
          </cell>
          <cell r="AB2107">
            <v>164</v>
          </cell>
          <cell r="AC2107">
            <v>0</v>
          </cell>
          <cell r="AD2107">
            <v>164</v>
          </cell>
          <cell r="AE2107">
            <v>328</v>
          </cell>
          <cell r="AF2107">
            <v>0</v>
          </cell>
          <cell r="AG2107">
            <v>328</v>
          </cell>
        </row>
        <row r="2108">
          <cell r="C2108">
            <v>51930111</v>
          </cell>
          <cell r="D2108" t="str">
            <v>Jio BP Sairaj Petroleum</v>
          </cell>
          <cell r="E2108" t="str">
            <v>RBML</v>
          </cell>
          <cell r="F2108" t="str">
            <v>2025-26</v>
          </cell>
          <cell r="G2108" t="str">
            <v>Pune Saswad RSA</v>
          </cell>
          <cell r="J2108" t="str">
            <v>LONI DEOKAR</v>
          </cell>
          <cell r="K2108" t="str">
            <v>Pune</v>
          </cell>
          <cell r="L2108" t="str">
            <v>D1</v>
          </cell>
          <cell r="M2108" t="str">
            <v>NH-65</v>
          </cell>
          <cell r="O2108" t="str">
            <v>B</v>
          </cell>
          <cell r="P2108">
            <v>36</v>
          </cell>
          <cell r="Q2108">
            <v>170</v>
          </cell>
          <cell r="R2108">
            <v>0</v>
          </cell>
          <cell r="S2108">
            <v>0</v>
          </cell>
          <cell r="T2108">
            <v>36</v>
          </cell>
          <cell r="U2108">
            <v>170</v>
          </cell>
          <cell r="V2108">
            <v>84</v>
          </cell>
          <cell r="W2108">
            <v>340</v>
          </cell>
          <cell r="X2108">
            <v>0</v>
          </cell>
          <cell r="Y2108">
            <v>0</v>
          </cell>
          <cell r="Z2108">
            <v>84</v>
          </cell>
          <cell r="AA2108">
            <v>340</v>
          </cell>
          <cell r="AB2108">
            <v>206</v>
          </cell>
          <cell r="AC2108">
            <v>0</v>
          </cell>
          <cell r="AD2108">
            <v>206</v>
          </cell>
          <cell r="AE2108">
            <v>424</v>
          </cell>
          <cell r="AF2108">
            <v>0</v>
          </cell>
          <cell r="AG2108">
            <v>424</v>
          </cell>
        </row>
        <row r="2109">
          <cell r="C2109">
            <v>51930087</v>
          </cell>
          <cell r="D2109" t="str">
            <v>RBML Ghodegaon</v>
          </cell>
          <cell r="E2109" t="str">
            <v>RBML</v>
          </cell>
          <cell r="F2109" t="str">
            <v>2024-25</v>
          </cell>
          <cell r="G2109" t="str">
            <v>Pune Wagholi RSA</v>
          </cell>
          <cell r="J2109" t="str">
            <v>Ghodegaon_Ambegaon</v>
          </cell>
          <cell r="K2109" t="str">
            <v>Pune</v>
          </cell>
          <cell r="L2109" t="str">
            <v>D2</v>
          </cell>
          <cell r="O2109" t="str">
            <v>B</v>
          </cell>
          <cell r="P2109">
            <v>42</v>
          </cell>
          <cell r="Q2109">
            <v>108</v>
          </cell>
          <cell r="R2109">
            <v>0</v>
          </cell>
          <cell r="S2109">
            <v>0</v>
          </cell>
          <cell r="T2109">
            <v>42</v>
          </cell>
          <cell r="U2109">
            <v>108</v>
          </cell>
          <cell r="V2109">
            <v>84</v>
          </cell>
          <cell r="W2109">
            <v>216</v>
          </cell>
          <cell r="X2109">
            <v>0</v>
          </cell>
          <cell r="Y2109">
            <v>0</v>
          </cell>
          <cell r="Z2109">
            <v>84</v>
          </cell>
          <cell r="AA2109">
            <v>216</v>
          </cell>
          <cell r="AB2109">
            <v>150</v>
          </cell>
          <cell r="AC2109">
            <v>0</v>
          </cell>
          <cell r="AD2109">
            <v>150</v>
          </cell>
          <cell r="AE2109">
            <v>300</v>
          </cell>
          <cell r="AF2109">
            <v>0</v>
          </cell>
          <cell r="AG2109">
            <v>300</v>
          </cell>
        </row>
        <row r="2110">
          <cell r="C2110">
            <v>51924426</v>
          </cell>
          <cell r="D2110" t="str">
            <v>RBML Bhor</v>
          </cell>
          <cell r="E2110" t="str">
            <v>RBML</v>
          </cell>
          <cell r="F2110" t="str">
            <v>2024-25</v>
          </cell>
          <cell r="G2110" t="str">
            <v>Pune Tathawade RSA</v>
          </cell>
          <cell r="J2110" t="str">
            <v>BHOR</v>
          </cell>
          <cell r="K2110" t="str">
            <v>Pune</v>
          </cell>
          <cell r="L2110" t="str">
            <v>D1</v>
          </cell>
          <cell r="M2110" t="str">
            <v>NH-965DD</v>
          </cell>
          <cell r="O2110" t="str">
            <v>B</v>
          </cell>
          <cell r="P2110">
            <v>36</v>
          </cell>
          <cell r="Q2110">
            <v>120</v>
          </cell>
          <cell r="R2110">
            <v>0</v>
          </cell>
          <cell r="S2110">
            <v>0</v>
          </cell>
          <cell r="T2110">
            <v>36</v>
          </cell>
          <cell r="U2110">
            <v>120</v>
          </cell>
          <cell r="V2110">
            <v>72</v>
          </cell>
          <cell r="W2110">
            <v>240</v>
          </cell>
          <cell r="X2110">
            <v>0</v>
          </cell>
          <cell r="Y2110">
            <v>0</v>
          </cell>
          <cell r="Z2110">
            <v>72</v>
          </cell>
          <cell r="AA2110">
            <v>240</v>
          </cell>
          <cell r="AB2110">
            <v>156</v>
          </cell>
          <cell r="AC2110">
            <v>0</v>
          </cell>
          <cell r="AD2110">
            <v>156</v>
          </cell>
          <cell r="AE2110">
            <v>312</v>
          </cell>
          <cell r="AF2110">
            <v>0</v>
          </cell>
          <cell r="AG2110">
            <v>312</v>
          </cell>
        </row>
        <row r="2111">
          <cell r="C2111">
            <v>51930107</v>
          </cell>
          <cell r="D2111" t="str">
            <v>RBML Chilekhanwadi</v>
          </cell>
          <cell r="E2111" t="str">
            <v>RBML</v>
          </cell>
          <cell r="F2111" t="str">
            <v>2024-25</v>
          </cell>
          <cell r="G2111" t="str">
            <v>Ahmednagar East RSA</v>
          </cell>
          <cell r="J2111" t="str">
            <v>Kukana</v>
          </cell>
          <cell r="K2111" t="str">
            <v>Ahmednagar</v>
          </cell>
          <cell r="L2111" t="str">
            <v>D2</v>
          </cell>
          <cell r="O2111" t="str">
            <v>B</v>
          </cell>
          <cell r="P2111">
            <v>44</v>
          </cell>
          <cell r="Q2111">
            <v>144</v>
          </cell>
          <cell r="R2111">
            <v>0</v>
          </cell>
          <cell r="S2111">
            <v>6</v>
          </cell>
          <cell r="T2111">
            <v>44</v>
          </cell>
          <cell r="U2111">
            <v>138</v>
          </cell>
          <cell r="V2111">
            <v>88</v>
          </cell>
          <cell r="W2111">
            <v>288</v>
          </cell>
          <cell r="X2111">
            <v>0</v>
          </cell>
          <cell r="Y2111">
            <v>6</v>
          </cell>
          <cell r="Z2111">
            <v>88</v>
          </cell>
          <cell r="AA2111">
            <v>282</v>
          </cell>
          <cell r="AB2111">
            <v>188</v>
          </cell>
          <cell r="AC2111">
            <v>6</v>
          </cell>
          <cell r="AD2111">
            <v>182</v>
          </cell>
          <cell r="AE2111">
            <v>376</v>
          </cell>
          <cell r="AF2111">
            <v>6</v>
          </cell>
          <cell r="AG2111">
            <v>370</v>
          </cell>
        </row>
        <row r="2112">
          <cell r="C2112">
            <v>51930418</v>
          </cell>
          <cell r="D2112" t="str">
            <v>RBML Harichandri</v>
          </cell>
          <cell r="E2112" t="str">
            <v>RBML</v>
          </cell>
          <cell r="F2112" t="str">
            <v>2024-25</v>
          </cell>
          <cell r="G2112" t="str">
            <v>Pune Tathawade RSA</v>
          </cell>
          <cell r="J2112" t="str">
            <v>HARISHCHANDRI TO KHED SHIVAPUR</v>
          </cell>
          <cell r="K2112" t="str">
            <v>Pune</v>
          </cell>
          <cell r="L2112" t="str">
            <v>D1</v>
          </cell>
          <cell r="M2112" t="str">
            <v>NH-48</v>
          </cell>
          <cell r="O2112" t="str">
            <v>B</v>
          </cell>
          <cell r="P2112">
            <v>45</v>
          </cell>
          <cell r="Q2112">
            <v>90</v>
          </cell>
          <cell r="R2112">
            <v>0</v>
          </cell>
          <cell r="S2112">
            <v>0</v>
          </cell>
          <cell r="T2112">
            <v>45</v>
          </cell>
          <cell r="U2112">
            <v>90</v>
          </cell>
          <cell r="V2112">
            <v>90</v>
          </cell>
          <cell r="W2112">
            <v>180</v>
          </cell>
          <cell r="X2112">
            <v>0</v>
          </cell>
          <cell r="Y2112">
            <v>0</v>
          </cell>
          <cell r="Z2112">
            <v>90</v>
          </cell>
          <cell r="AA2112">
            <v>180</v>
          </cell>
          <cell r="AB2112">
            <v>135</v>
          </cell>
          <cell r="AC2112">
            <v>0</v>
          </cell>
          <cell r="AD2112">
            <v>135</v>
          </cell>
          <cell r="AE2112">
            <v>270</v>
          </cell>
          <cell r="AF2112">
            <v>0</v>
          </cell>
          <cell r="AG2112">
            <v>270</v>
          </cell>
        </row>
        <row r="2113">
          <cell r="C2113">
            <v>51930427</v>
          </cell>
          <cell r="D2113" t="str">
            <v>RBML Jaugi Bawanchi wadi</v>
          </cell>
          <cell r="E2113" t="str">
            <v>RBML</v>
          </cell>
          <cell r="F2113" t="str">
            <v>2025-26</v>
          </cell>
          <cell r="G2113" t="str">
            <v>Pune Hadapsar RSA</v>
          </cell>
          <cell r="J2113" t="str">
            <v>Yawat LHS</v>
          </cell>
          <cell r="K2113" t="str">
            <v>Pune</v>
          </cell>
          <cell r="L2113" t="str">
            <v>D1</v>
          </cell>
          <cell r="M2113" t="str">
            <v>NH-65</v>
          </cell>
          <cell r="O2113" t="str">
            <v>B</v>
          </cell>
          <cell r="P2113">
            <v>36</v>
          </cell>
          <cell r="Q2113">
            <v>90</v>
          </cell>
          <cell r="R2113">
            <v>0</v>
          </cell>
          <cell r="S2113">
            <v>0</v>
          </cell>
          <cell r="T2113">
            <v>36</v>
          </cell>
          <cell r="U2113">
            <v>90</v>
          </cell>
          <cell r="V2113">
            <v>72</v>
          </cell>
          <cell r="W2113">
            <v>180</v>
          </cell>
          <cell r="X2113">
            <v>0</v>
          </cell>
          <cell r="Y2113">
            <v>0</v>
          </cell>
          <cell r="Z2113">
            <v>72</v>
          </cell>
          <cell r="AA2113">
            <v>180</v>
          </cell>
          <cell r="AB2113">
            <v>126</v>
          </cell>
          <cell r="AC2113">
            <v>0</v>
          </cell>
          <cell r="AD2113">
            <v>126</v>
          </cell>
          <cell r="AE2113">
            <v>252</v>
          </cell>
          <cell r="AF2113">
            <v>0</v>
          </cell>
          <cell r="AG2113">
            <v>252</v>
          </cell>
        </row>
        <row r="2114">
          <cell r="C2114">
            <v>51930424</v>
          </cell>
          <cell r="D2114" t="str">
            <v>RBML Bhokar</v>
          </cell>
          <cell r="E2114" t="str">
            <v>RBML</v>
          </cell>
          <cell r="F2114" t="str">
            <v>2025-26</v>
          </cell>
          <cell r="G2114" t="str">
            <v>Shirdi RSA</v>
          </cell>
          <cell r="J2114" t="str">
            <v>KHOKAR-BHOKAR</v>
          </cell>
          <cell r="K2114" t="str">
            <v>Ahmednagar</v>
          </cell>
          <cell r="L2114" t="str">
            <v>D2</v>
          </cell>
          <cell r="O2114" t="str">
            <v>B</v>
          </cell>
          <cell r="P2114">
            <v>36</v>
          </cell>
          <cell r="Q2114">
            <v>150</v>
          </cell>
          <cell r="R2114">
            <v>0</v>
          </cell>
          <cell r="S2114">
            <v>0</v>
          </cell>
          <cell r="T2114">
            <v>36</v>
          </cell>
          <cell r="U2114">
            <v>150</v>
          </cell>
          <cell r="V2114">
            <v>72</v>
          </cell>
          <cell r="W2114">
            <v>300</v>
          </cell>
          <cell r="X2114">
            <v>0</v>
          </cell>
          <cell r="Y2114">
            <v>0</v>
          </cell>
          <cell r="Z2114">
            <v>72</v>
          </cell>
          <cell r="AA2114">
            <v>300</v>
          </cell>
          <cell r="AB2114">
            <v>186</v>
          </cell>
          <cell r="AC2114">
            <v>0</v>
          </cell>
          <cell r="AD2114">
            <v>186</v>
          </cell>
          <cell r="AE2114">
            <v>372</v>
          </cell>
          <cell r="AF2114">
            <v>0</v>
          </cell>
          <cell r="AG2114">
            <v>372</v>
          </cell>
        </row>
        <row r="2115">
          <cell r="C2115">
            <v>51924686</v>
          </cell>
          <cell r="D2115" t="str">
            <v>RBML Karanji</v>
          </cell>
          <cell r="E2115" t="str">
            <v>RBML</v>
          </cell>
          <cell r="F2115" t="str">
            <v>2025-26</v>
          </cell>
          <cell r="G2115" t="str">
            <v>Ahmednagar West RSA</v>
          </cell>
          <cell r="J2115" t="str">
            <v>Karanji</v>
          </cell>
          <cell r="K2115" t="str">
            <v>Ahmednagar</v>
          </cell>
          <cell r="L2115" t="str">
            <v>D2</v>
          </cell>
          <cell r="O2115" t="str">
            <v>B</v>
          </cell>
          <cell r="P2115">
            <v>50</v>
          </cell>
          <cell r="Q2115">
            <v>150</v>
          </cell>
          <cell r="R2115">
            <v>0</v>
          </cell>
          <cell r="S2115">
            <v>0</v>
          </cell>
          <cell r="T2115">
            <v>50</v>
          </cell>
          <cell r="U2115">
            <v>150</v>
          </cell>
          <cell r="V2115">
            <v>100</v>
          </cell>
          <cell r="W2115">
            <v>300</v>
          </cell>
          <cell r="X2115">
            <v>0</v>
          </cell>
          <cell r="Y2115">
            <v>0</v>
          </cell>
          <cell r="Z2115">
            <v>100</v>
          </cell>
          <cell r="AA2115">
            <v>300</v>
          </cell>
          <cell r="AB2115">
            <v>200</v>
          </cell>
          <cell r="AC2115">
            <v>0</v>
          </cell>
          <cell r="AD2115">
            <v>200</v>
          </cell>
          <cell r="AE2115">
            <v>400</v>
          </cell>
          <cell r="AF2115">
            <v>0</v>
          </cell>
          <cell r="AG2115">
            <v>400</v>
          </cell>
        </row>
        <row r="2116">
          <cell r="C2116">
            <v>51930112</v>
          </cell>
          <cell r="D2116" t="str">
            <v>RBML Maka</v>
          </cell>
          <cell r="E2116" t="str">
            <v>RBML</v>
          </cell>
          <cell r="F2116" t="str">
            <v>2025-26</v>
          </cell>
          <cell r="G2116" t="str">
            <v>Ahmednagar East RSA</v>
          </cell>
          <cell r="J2116" t="str">
            <v>Miri</v>
          </cell>
          <cell r="K2116" t="str">
            <v>Ahmednagar</v>
          </cell>
          <cell r="L2116" t="str">
            <v>D2</v>
          </cell>
          <cell r="O2116" t="str">
            <v>B</v>
          </cell>
          <cell r="P2116">
            <v>32</v>
          </cell>
          <cell r="Q2116">
            <v>160</v>
          </cell>
          <cell r="R2116">
            <v>0</v>
          </cell>
          <cell r="S2116">
            <v>0</v>
          </cell>
          <cell r="T2116">
            <v>32</v>
          </cell>
          <cell r="U2116">
            <v>160</v>
          </cell>
          <cell r="V2116">
            <v>64</v>
          </cell>
          <cell r="W2116">
            <v>320</v>
          </cell>
          <cell r="X2116">
            <v>0</v>
          </cell>
          <cell r="Y2116">
            <v>0</v>
          </cell>
          <cell r="Z2116">
            <v>64</v>
          </cell>
          <cell r="AA2116">
            <v>320</v>
          </cell>
          <cell r="AB2116">
            <v>192</v>
          </cell>
          <cell r="AC2116">
            <v>0</v>
          </cell>
          <cell r="AD2116">
            <v>192</v>
          </cell>
          <cell r="AE2116">
            <v>384</v>
          </cell>
          <cell r="AF2116">
            <v>0</v>
          </cell>
          <cell r="AG2116">
            <v>384</v>
          </cell>
        </row>
        <row r="2117">
          <cell r="C2117">
            <v>51930110</v>
          </cell>
          <cell r="D2117" t="str">
            <v>RBML Newasa Phata</v>
          </cell>
          <cell r="E2117" t="str">
            <v>RBML</v>
          </cell>
          <cell r="F2117" t="str">
            <v>2025-26</v>
          </cell>
          <cell r="G2117" t="str">
            <v>Ahmednagar East RSA</v>
          </cell>
          <cell r="J2117" t="str">
            <v>Ghodegaon</v>
          </cell>
          <cell r="K2117" t="str">
            <v>Ahmednagar</v>
          </cell>
          <cell r="L2117" t="str">
            <v>D1</v>
          </cell>
          <cell r="M2117" t="str">
            <v>NH-753F</v>
          </cell>
          <cell r="O2117" t="str">
            <v>B</v>
          </cell>
          <cell r="P2117">
            <v>30</v>
          </cell>
          <cell r="Q2117">
            <v>120</v>
          </cell>
          <cell r="R2117">
            <v>0</v>
          </cell>
          <cell r="S2117">
            <v>0</v>
          </cell>
          <cell r="T2117">
            <v>30</v>
          </cell>
          <cell r="U2117">
            <v>120</v>
          </cell>
          <cell r="V2117">
            <v>60</v>
          </cell>
          <cell r="W2117">
            <v>240</v>
          </cell>
          <cell r="X2117">
            <v>0</v>
          </cell>
          <cell r="Y2117">
            <v>0</v>
          </cell>
          <cell r="Z2117">
            <v>60</v>
          </cell>
          <cell r="AA2117">
            <v>240</v>
          </cell>
          <cell r="AB2117">
            <v>150</v>
          </cell>
          <cell r="AC2117">
            <v>0</v>
          </cell>
          <cell r="AD2117">
            <v>150</v>
          </cell>
          <cell r="AE2117">
            <v>300</v>
          </cell>
          <cell r="AF2117">
            <v>0</v>
          </cell>
          <cell r="AG2117">
            <v>300</v>
          </cell>
        </row>
        <row r="2118">
          <cell r="C2118">
            <v>51929526</v>
          </cell>
          <cell r="D2118" t="str">
            <v>RBML Barad Phalton</v>
          </cell>
          <cell r="E2118" t="str">
            <v>RBML</v>
          </cell>
          <cell r="F2118" t="str">
            <v>2025-26</v>
          </cell>
          <cell r="G2118" t="str">
            <v>Satara East RSA</v>
          </cell>
          <cell r="J2118" t="str">
            <v>Monopoly</v>
          </cell>
          <cell r="K2118" t="str">
            <v>Satara</v>
          </cell>
          <cell r="L2118" t="str">
            <v>D2</v>
          </cell>
          <cell r="O2118" t="str">
            <v>B</v>
          </cell>
          <cell r="P2118">
            <v>28</v>
          </cell>
          <cell r="Q2118">
            <v>60</v>
          </cell>
          <cell r="R2118">
            <v>0</v>
          </cell>
          <cell r="S2118">
            <v>0</v>
          </cell>
          <cell r="T2118">
            <v>28</v>
          </cell>
          <cell r="U2118">
            <v>60</v>
          </cell>
          <cell r="V2118">
            <v>52</v>
          </cell>
          <cell r="W2118">
            <v>100</v>
          </cell>
          <cell r="X2118">
            <v>0</v>
          </cell>
          <cell r="Y2118">
            <v>0</v>
          </cell>
          <cell r="Z2118">
            <v>52</v>
          </cell>
          <cell r="AA2118">
            <v>100</v>
          </cell>
          <cell r="AB2118">
            <v>88</v>
          </cell>
          <cell r="AC2118">
            <v>0</v>
          </cell>
          <cell r="AD2118">
            <v>88</v>
          </cell>
          <cell r="AE2118">
            <v>152</v>
          </cell>
          <cell r="AF2118">
            <v>0</v>
          </cell>
          <cell r="AG2118">
            <v>152</v>
          </cell>
        </row>
        <row r="2119">
          <cell r="C2119">
            <v>51930425</v>
          </cell>
          <cell r="D2119" t="str">
            <v>RBML Patas</v>
          </cell>
          <cell r="E2119" t="str">
            <v>RBML</v>
          </cell>
          <cell r="F2119" t="str">
            <v>2025-26</v>
          </cell>
          <cell r="G2119" t="str">
            <v>Pune Hadapsar RSA</v>
          </cell>
          <cell r="J2119" t="str">
            <v>Varvand RHS</v>
          </cell>
          <cell r="K2119" t="str">
            <v>Pune</v>
          </cell>
          <cell r="L2119" t="str">
            <v>D1</v>
          </cell>
          <cell r="M2119" t="str">
            <v>NH-65</v>
          </cell>
          <cell r="O2119" t="str">
            <v>B</v>
          </cell>
          <cell r="P2119">
            <v>44</v>
          </cell>
          <cell r="Q2119">
            <v>60</v>
          </cell>
          <cell r="R2119">
            <v>0</v>
          </cell>
          <cell r="S2119">
            <v>0</v>
          </cell>
          <cell r="T2119">
            <v>44</v>
          </cell>
          <cell r="U2119">
            <v>60</v>
          </cell>
          <cell r="V2119">
            <v>88</v>
          </cell>
          <cell r="W2119">
            <v>120</v>
          </cell>
          <cell r="X2119">
            <v>0</v>
          </cell>
          <cell r="Y2119">
            <v>0</v>
          </cell>
          <cell r="Z2119">
            <v>88</v>
          </cell>
          <cell r="AA2119">
            <v>120</v>
          </cell>
          <cell r="AB2119">
            <v>104</v>
          </cell>
          <cell r="AC2119">
            <v>0</v>
          </cell>
          <cell r="AD2119">
            <v>104</v>
          </cell>
          <cell r="AE2119">
            <v>208</v>
          </cell>
          <cell r="AF2119">
            <v>0</v>
          </cell>
          <cell r="AG2119">
            <v>208</v>
          </cell>
        </row>
        <row r="2120">
          <cell r="C2120">
            <v>51931628</v>
          </cell>
          <cell r="D2120" t="str">
            <v>Laxmi Petroleum Khokar Bhokar</v>
          </cell>
          <cell r="E2120" t="str">
            <v>RBML</v>
          </cell>
          <cell r="F2120" t="str">
            <v>2025-26</v>
          </cell>
          <cell r="G2120" t="str">
            <v>Shirdi RSA</v>
          </cell>
          <cell r="J2120" t="str">
            <v>KHOKAR-BHOKAR</v>
          </cell>
          <cell r="K2120" t="str">
            <v>Ahmednagar</v>
          </cell>
          <cell r="L2120" t="str">
            <v>D2</v>
          </cell>
          <cell r="O2120" t="str">
            <v>B</v>
          </cell>
          <cell r="P2120">
            <v>24</v>
          </cell>
          <cell r="Q2120">
            <v>108</v>
          </cell>
          <cell r="R2120">
            <v>0</v>
          </cell>
          <cell r="S2120">
            <v>0</v>
          </cell>
          <cell r="T2120">
            <v>24</v>
          </cell>
          <cell r="U2120">
            <v>108</v>
          </cell>
          <cell r="V2120">
            <v>48</v>
          </cell>
          <cell r="W2120">
            <v>216</v>
          </cell>
          <cell r="X2120">
            <v>0</v>
          </cell>
          <cell r="Y2120">
            <v>0</v>
          </cell>
          <cell r="Z2120">
            <v>48</v>
          </cell>
          <cell r="AA2120">
            <v>216</v>
          </cell>
          <cell r="AB2120">
            <v>132</v>
          </cell>
          <cell r="AC2120">
            <v>0</v>
          </cell>
          <cell r="AD2120">
            <v>132</v>
          </cell>
          <cell r="AE2120">
            <v>264</v>
          </cell>
          <cell r="AF2120">
            <v>0</v>
          </cell>
          <cell r="AG2120">
            <v>264</v>
          </cell>
        </row>
        <row r="2121">
          <cell r="C2121">
            <v>51931626</v>
          </cell>
          <cell r="D2121" t="str">
            <v>Patil &amp; Sons</v>
          </cell>
          <cell r="E2121" t="str">
            <v>RBML</v>
          </cell>
          <cell r="F2121" t="str">
            <v>2025-26</v>
          </cell>
          <cell r="G2121" t="str">
            <v>Shirdi RSA</v>
          </cell>
          <cell r="J2121" t="str">
            <v>DHAMORI KOPARGAON</v>
          </cell>
          <cell r="K2121" t="str">
            <v>Ahmednagar</v>
          </cell>
          <cell r="L2121" t="str">
            <v>E</v>
          </cell>
          <cell r="O2121" t="str">
            <v>B</v>
          </cell>
          <cell r="P2121">
            <v>32</v>
          </cell>
          <cell r="Q2121">
            <v>120</v>
          </cell>
          <cell r="R2121">
            <v>0</v>
          </cell>
          <cell r="S2121">
            <v>0</v>
          </cell>
          <cell r="T2121">
            <v>32</v>
          </cell>
          <cell r="U2121">
            <v>120</v>
          </cell>
          <cell r="V2121">
            <v>64</v>
          </cell>
          <cell r="W2121">
            <v>240</v>
          </cell>
          <cell r="X2121">
            <v>0</v>
          </cell>
          <cell r="Y2121">
            <v>0</v>
          </cell>
          <cell r="Z2121">
            <v>64</v>
          </cell>
          <cell r="AA2121">
            <v>240</v>
          </cell>
          <cell r="AB2121">
            <v>152</v>
          </cell>
          <cell r="AC2121">
            <v>0</v>
          </cell>
          <cell r="AD2121">
            <v>152</v>
          </cell>
          <cell r="AE2121">
            <v>304</v>
          </cell>
          <cell r="AF2121">
            <v>0</v>
          </cell>
          <cell r="AG2121">
            <v>304</v>
          </cell>
        </row>
        <row r="2122">
          <cell r="C2122">
            <v>51931627</v>
          </cell>
          <cell r="D2122" t="str">
            <v>Pragati RBML Shirasgaon</v>
          </cell>
          <cell r="E2122" t="str">
            <v>RBML</v>
          </cell>
          <cell r="F2122" t="str">
            <v>2025-26</v>
          </cell>
          <cell r="G2122" t="str">
            <v>Shirdi RSA</v>
          </cell>
          <cell r="J2122" t="str">
            <v>SHIRASGAON</v>
          </cell>
          <cell r="K2122" t="str">
            <v>Ahmednagar</v>
          </cell>
          <cell r="L2122" t="str">
            <v>D2</v>
          </cell>
          <cell r="O2122" t="str">
            <v>B</v>
          </cell>
          <cell r="P2122">
            <v>28</v>
          </cell>
          <cell r="Q2122">
            <v>92</v>
          </cell>
          <cell r="R2122">
            <v>0</v>
          </cell>
          <cell r="S2122">
            <v>0</v>
          </cell>
          <cell r="T2122">
            <v>28</v>
          </cell>
          <cell r="U2122">
            <v>92</v>
          </cell>
          <cell r="V2122">
            <v>56</v>
          </cell>
          <cell r="W2122">
            <v>184</v>
          </cell>
          <cell r="X2122">
            <v>0</v>
          </cell>
          <cell r="Y2122">
            <v>0</v>
          </cell>
          <cell r="Z2122">
            <v>56</v>
          </cell>
          <cell r="AA2122">
            <v>184</v>
          </cell>
          <cell r="AB2122">
            <v>120</v>
          </cell>
          <cell r="AC2122">
            <v>0</v>
          </cell>
          <cell r="AD2122">
            <v>120</v>
          </cell>
          <cell r="AE2122">
            <v>240</v>
          </cell>
          <cell r="AF2122">
            <v>0</v>
          </cell>
          <cell r="AG2122">
            <v>240</v>
          </cell>
        </row>
        <row r="2123">
          <cell r="C2123">
            <v>28316</v>
          </cell>
          <cell r="D2123" t="str">
            <v>Shell Chinchwad</v>
          </cell>
          <cell r="E2123" t="str">
            <v>SIMPL</v>
          </cell>
          <cell r="G2123" t="str">
            <v>Pimpri Chinchwad RSA</v>
          </cell>
          <cell r="J2123" t="str">
            <v>Chinchwad</v>
          </cell>
          <cell r="K2123" t="str">
            <v>Pune</v>
          </cell>
          <cell r="L2123" t="str">
            <v>A</v>
          </cell>
          <cell r="O2123" t="str">
            <v>B</v>
          </cell>
          <cell r="P2123">
            <v>120</v>
          </cell>
          <cell r="Q2123">
            <v>10</v>
          </cell>
          <cell r="R2123">
            <v>120</v>
          </cell>
          <cell r="S2123">
            <v>160</v>
          </cell>
          <cell r="T2123">
            <v>0</v>
          </cell>
          <cell r="U2123">
            <v>-150</v>
          </cell>
          <cell r="V2123">
            <v>300</v>
          </cell>
          <cell r="W2123">
            <v>54</v>
          </cell>
          <cell r="X2123">
            <v>225</v>
          </cell>
          <cell r="Y2123">
            <v>315</v>
          </cell>
          <cell r="Z2123">
            <v>75</v>
          </cell>
          <cell r="AA2123">
            <v>-261</v>
          </cell>
          <cell r="AB2123">
            <v>130</v>
          </cell>
          <cell r="AC2123">
            <v>280</v>
          </cell>
          <cell r="AD2123">
            <v>-150</v>
          </cell>
          <cell r="AE2123">
            <v>354</v>
          </cell>
          <cell r="AF2123">
            <v>540</v>
          </cell>
          <cell r="AG2123">
            <v>-186</v>
          </cell>
        </row>
        <row r="2124">
          <cell r="C2124">
            <v>28317</v>
          </cell>
          <cell r="D2124" t="str">
            <v>Shell Chakan</v>
          </cell>
          <cell r="E2124" t="str">
            <v>SIMPL</v>
          </cell>
          <cell r="G2124" t="str">
            <v>Pimpri Chinchwad RSA</v>
          </cell>
          <cell r="J2124" t="str">
            <v>CHAKAN NH-60 LHS</v>
          </cell>
          <cell r="K2124" t="str">
            <v>Pune</v>
          </cell>
          <cell r="L2124" t="str">
            <v>D1</v>
          </cell>
          <cell r="M2124" t="str">
            <v>NH-60</v>
          </cell>
          <cell r="O2124" t="str">
            <v>B</v>
          </cell>
          <cell r="P2124">
            <v>96</v>
          </cell>
          <cell r="Q2124">
            <v>12</v>
          </cell>
          <cell r="R2124">
            <v>150</v>
          </cell>
          <cell r="S2124">
            <v>135</v>
          </cell>
          <cell r="T2124">
            <v>-54</v>
          </cell>
          <cell r="U2124">
            <v>-123</v>
          </cell>
          <cell r="V2124">
            <v>268</v>
          </cell>
          <cell r="W2124">
            <v>72</v>
          </cell>
          <cell r="X2124">
            <v>280</v>
          </cell>
          <cell r="Y2124">
            <v>270</v>
          </cell>
          <cell r="Z2124">
            <v>-12</v>
          </cell>
          <cell r="AA2124">
            <v>-198</v>
          </cell>
          <cell r="AB2124">
            <v>108</v>
          </cell>
          <cell r="AC2124">
            <v>285</v>
          </cell>
          <cell r="AD2124">
            <v>-177</v>
          </cell>
          <cell r="AE2124">
            <v>340</v>
          </cell>
          <cell r="AF2124">
            <v>550</v>
          </cell>
          <cell r="AG2124">
            <v>-210</v>
          </cell>
        </row>
        <row r="2125">
          <cell r="C2125">
            <v>28318</v>
          </cell>
          <cell r="D2125" t="str">
            <v>Shell Kasarwadi LHS pune to Mumbai</v>
          </cell>
          <cell r="E2125" t="str">
            <v>SIMPL</v>
          </cell>
          <cell r="G2125" t="str">
            <v>Pune City RSA</v>
          </cell>
          <cell r="J2125" t="str">
            <v>Kasarwadi</v>
          </cell>
          <cell r="K2125" t="str">
            <v>Pune</v>
          </cell>
          <cell r="L2125" t="str">
            <v>A</v>
          </cell>
          <cell r="O2125" t="str">
            <v>A</v>
          </cell>
          <cell r="P2125">
            <v>144</v>
          </cell>
          <cell r="Q2125">
            <v>12</v>
          </cell>
          <cell r="R2125">
            <v>110</v>
          </cell>
          <cell r="S2125">
            <v>125</v>
          </cell>
          <cell r="T2125">
            <v>34</v>
          </cell>
          <cell r="U2125">
            <v>-113</v>
          </cell>
          <cell r="V2125">
            <v>334</v>
          </cell>
          <cell r="W2125">
            <v>78</v>
          </cell>
          <cell r="X2125">
            <v>208</v>
          </cell>
          <cell r="Y2125">
            <v>250</v>
          </cell>
          <cell r="Z2125">
            <v>126</v>
          </cell>
          <cell r="AA2125">
            <v>-172</v>
          </cell>
          <cell r="AB2125">
            <v>156</v>
          </cell>
          <cell r="AC2125">
            <v>235</v>
          </cell>
          <cell r="AD2125">
            <v>-79</v>
          </cell>
          <cell r="AE2125">
            <v>412</v>
          </cell>
          <cell r="AF2125">
            <v>458</v>
          </cell>
          <cell r="AG2125">
            <v>-46</v>
          </cell>
        </row>
        <row r="2126">
          <cell r="C2126">
            <v>28319</v>
          </cell>
          <cell r="D2126" t="str">
            <v>shell kasarwadi RHS pune to mumbai</v>
          </cell>
          <cell r="E2126" t="str">
            <v>SIMPL</v>
          </cell>
          <cell r="G2126" t="str">
            <v>Pune City RSA</v>
          </cell>
          <cell r="J2126" t="str">
            <v>Kasarwadi</v>
          </cell>
          <cell r="K2126" t="str">
            <v>Pune</v>
          </cell>
          <cell r="L2126" t="str">
            <v>A</v>
          </cell>
          <cell r="O2126" t="str">
            <v>A</v>
          </cell>
          <cell r="P2126">
            <v>84</v>
          </cell>
          <cell r="Q2126">
            <v>20</v>
          </cell>
          <cell r="R2126">
            <v>120</v>
          </cell>
          <cell r="S2126">
            <v>135</v>
          </cell>
          <cell r="T2126">
            <v>-36</v>
          </cell>
          <cell r="U2126">
            <v>-115</v>
          </cell>
          <cell r="V2126">
            <v>250</v>
          </cell>
          <cell r="W2126">
            <v>74</v>
          </cell>
          <cell r="X2126">
            <v>222</v>
          </cell>
          <cell r="Y2126">
            <v>270</v>
          </cell>
          <cell r="Z2126">
            <v>28</v>
          </cell>
          <cell r="AA2126">
            <v>-196</v>
          </cell>
          <cell r="AB2126">
            <v>104</v>
          </cell>
          <cell r="AC2126">
            <v>255</v>
          </cell>
          <cell r="AD2126">
            <v>-151</v>
          </cell>
          <cell r="AE2126">
            <v>324</v>
          </cell>
          <cell r="AF2126">
            <v>492</v>
          </cell>
          <cell r="AG2126">
            <v>-168</v>
          </cell>
        </row>
        <row r="2127">
          <cell r="C2127">
            <v>30089</v>
          </cell>
          <cell r="D2127" t="str">
            <v>SHELL HINJEWADI</v>
          </cell>
          <cell r="E2127" t="str">
            <v>SIMPL</v>
          </cell>
          <cell r="G2127" t="str">
            <v>Pune City RSA</v>
          </cell>
          <cell r="J2127" t="str">
            <v>Hinjewadi</v>
          </cell>
          <cell r="K2127" t="str">
            <v>Pune</v>
          </cell>
          <cell r="L2127" t="str">
            <v>A</v>
          </cell>
          <cell r="O2127" t="str">
            <v>A</v>
          </cell>
          <cell r="P2127">
            <v>120</v>
          </cell>
          <cell r="Q2127">
            <v>12</v>
          </cell>
          <cell r="R2127">
            <v>130</v>
          </cell>
          <cell r="S2127">
            <v>120</v>
          </cell>
          <cell r="T2127">
            <v>-10</v>
          </cell>
          <cell r="U2127">
            <v>-108</v>
          </cell>
          <cell r="V2127">
            <v>270</v>
          </cell>
          <cell r="W2127">
            <v>60</v>
          </cell>
          <cell r="X2127">
            <v>245</v>
          </cell>
          <cell r="Y2127">
            <v>240</v>
          </cell>
          <cell r="Z2127">
            <v>25</v>
          </cell>
          <cell r="AA2127">
            <v>-180</v>
          </cell>
          <cell r="AB2127">
            <v>132</v>
          </cell>
          <cell r="AC2127">
            <v>250</v>
          </cell>
          <cell r="AD2127">
            <v>-118</v>
          </cell>
          <cell r="AE2127">
            <v>330</v>
          </cell>
          <cell r="AF2127">
            <v>485</v>
          </cell>
          <cell r="AG2127">
            <v>-155</v>
          </cell>
        </row>
        <row r="2128">
          <cell r="C2128">
            <v>30090</v>
          </cell>
          <cell r="D2128" t="str">
            <v>SHELL VARVE</v>
          </cell>
          <cell r="E2128" t="str">
            <v>SIMPL</v>
          </cell>
          <cell r="G2128" t="str">
            <v>Pune Tathawade RSA</v>
          </cell>
          <cell r="J2128" t="str">
            <v>KHEDSHIVAPUR TO HARISHCHANDRI</v>
          </cell>
          <cell r="K2128" t="str">
            <v>Pune</v>
          </cell>
          <cell r="L2128" t="str">
            <v>D1</v>
          </cell>
          <cell r="M2128" t="str">
            <v>NH-48</v>
          </cell>
          <cell r="O2128" t="str">
            <v>A</v>
          </cell>
          <cell r="P2128">
            <v>136</v>
          </cell>
          <cell r="Q2128">
            <v>16</v>
          </cell>
          <cell r="R2128">
            <v>100</v>
          </cell>
          <cell r="S2128">
            <v>120</v>
          </cell>
          <cell r="T2128">
            <v>36</v>
          </cell>
          <cell r="U2128">
            <v>-104</v>
          </cell>
          <cell r="V2128">
            <v>284</v>
          </cell>
          <cell r="W2128">
            <v>48</v>
          </cell>
          <cell r="X2128">
            <v>190</v>
          </cell>
          <cell r="Y2128">
            <v>240</v>
          </cell>
          <cell r="Z2128">
            <v>94</v>
          </cell>
          <cell r="AA2128">
            <v>-192</v>
          </cell>
          <cell r="AB2128">
            <v>152</v>
          </cell>
          <cell r="AC2128">
            <v>220</v>
          </cell>
          <cell r="AD2128">
            <v>-68</v>
          </cell>
          <cell r="AE2128">
            <v>332</v>
          </cell>
          <cell r="AF2128">
            <v>430</v>
          </cell>
          <cell r="AG2128">
            <v>-98</v>
          </cell>
        </row>
        <row r="2129">
          <cell r="C2129">
            <v>30091</v>
          </cell>
          <cell r="D2129" t="str">
            <v>SHELL PAUD RD,MULSHI</v>
          </cell>
          <cell r="E2129" t="str">
            <v>SIMPL</v>
          </cell>
          <cell r="G2129" t="str">
            <v>Pune City RSA</v>
          </cell>
          <cell r="J2129" t="str">
            <v>PAUD ROAD</v>
          </cell>
          <cell r="K2129" t="str">
            <v>Pune</v>
          </cell>
          <cell r="L2129" t="str">
            <v>A</v>
          </cell>
          <cell r="O2129" t="str">
            <v>A</v>
          </cell>
          <cell r="P2129">
            <v>144</v>
          </cell>
          <cell r="Q2129">
            <v>12</v>
          </cell>
          <cell r="R2129">
            <v>120</v>
          </cell>
          <cell r="S2129">
            <v>90</v>
          </cell>
          <cell r="T2129">
            <v>24</v>
          </cell>
          <cell r="U2129">
            <v>-78</v>
          </cell>
          <cell r="V2129">
            <v>324</v>
          </cell>
          <cell r="W2129">
            <v>32</v>
          </cell>
          <cell r="X2129">
            <v>232</v>
          </cell>
          <cell r="Y2129">
            <v>175</v>
          </cell>
          <cell r="Z2129">
            <v>92</v>
          </cell>
          <cell r="AA2129">
            <v>-143</v>
          </cell>
          <cell r="AB2129">
            <v>156</v>
          </cell>
          <cell r="AC2129">
            <v>210</v>
          </cell>
          <cell r="AD2129">
            <v>-54</v>
          </cell>
          <cell r="AE2129">
            <v>356</v>
          </cell>
          <cell r="AF2129">
            <v>407</v>
          </cell>
          <cell r="AG2129">
            <v>-51</v>
          </cell>
        </row>
        <row r="2130">
          <cell r="C2130">
            <v>30092</v>
          </cell>
          <cell r="D2130" t="str">
            <v>SHELL KHARADI BYPASS</v>
          </cell>
          <cell r="E2130" t="str">
            <v>SIMPL</v>
          </cell>
          <cell r="G2130" t="str">
            <v>Pune City RSA</v>
          </cell>
          <cell r="J2130" t="str">
            <v>KHARADI BYPASS</v>
          </cell>
          <cell r="K2130" t="str">
            <v>Pune</v>
          </cell>
          <cell r="L2130" t="str">
            <v>A</v>
          </cell>
          <cell r="O2130" t="str">
            <v>A</v>
          </cell>
          <cell r="P2130">
            <v>96</v>
          </cell>
          <cell r="Q2130">
            <v>16</v>
          </cell>
          <cell r="R2130">
            <v>100</v>
          </cell>
          <cell r="S2130">
            <v>100</v>
          </cell>
          <cell r="T2130">
            <v>-4</v>
          </cell>
          <cell r="U2130">
            <v>-84</v>
          </cell>
          <cell r="V2130">
            <v>216</v>
          </cell>
          <cell r="W2130">
            <v>58</v>
          </cell>
          <cell r="X2130">
            <v>190</v>
          </cell>
          <cell r="Y2130">
            <v>195</v>
          </cell>
          <cell r="Z2130">
            <v>26</v>
          </cell>
          <cell r="AA2130">
            <v>-137</v>
          </cell>
          <cell r="AB2130">
            <v>112</v>
          </cell>
          <cell r="AC2130">
            <v>200</v>
          </cell>
          <cell r="AD2130">
            <v>-88</v>
          </cell>
          <cell r="AE2130">
            <v>274</v>
          </cell>
          <cell r="AF2130">
            <v>385</v>
          </cell>
          <cell r="AG2130">
            <v>-111</v>
          </cell>
        </row>
        <row r="2131">
          <cell r="C2131">
            <v>30093</v>
          </cell>
          <cell r="D2131" t="str">
            <v>SHELL WARJE</v>
          </cell>
          <cell r="E2131" t="str">
            <v>SIMPL</v>
          </cell>
          <cell r="G2131" t="str">
            <v>Pune Tathawade RSA</v>
          </cell>
          <cell r="J2131" t="str">
            <v>BAVDHAN TO NARHE</v>
          </cell>
          <cell r="K2131" t="str">
            <v>Pune</v>
          </cell>
          <cell r="L2131" t="str">
            <v>A</v>
          </cell>
          <cell r="M2131" t="str">
            <v>NH-48</v>
          </cell>
          <cell r="O2131" t="str">
            <v>A</v>
          </cell>
          <cell r="P2131">
            <v>160</v>
          </cell>
          <cell r="Q2131">
            <v>16</v>
          </cell>
          <cell r="R2131">
            <v>130</v>
          </cell>
          <cell r="S2131">
            <v>90</v>
          </cell>
          <cell r="T2131">
            <v>30</v>
          </cell>
          <cell r="U2131">
            <v>-74</v>
          </cell>
          <cell r="V2131">
            <v>340</v>
          </cell>
          <cell r="W2131">
            <v>61</v>
          </cell>
          <cell r="X2131">
            <v>246</v>
          </cell>
          <cell r="Y2131">
            <v>170</v>
          </cell>
          <cell r="Z2131">
            <v>94</v>
          </cell>
          <cell r="AA2131">
            <v>-109</v>
          </cell>
          <cell r="AB2131">
            <v>176</v>
          </cell>
          <cell r="AC2131">
            <v>220</v>
          </cell>
          <cell r="AD2131">
            <v>-44</v>
          </cell>
          <cell r="AE2131">
            <v>401</v>
          </cell>
          <cell r="AF2131">
            <v>416</v>
          </cell>
          <cell r="AG2131">
            <v>-15</v>
          </cell>
        </row>
        <row r="2132">
          <cell r="C2132">
            <v>34531</v>
          </cell>
          <cell r="D2132" t="str">
            <v>Shell Somatane Phata</v>
          </cell>
          <cell r="E2132" t="str">
            <v>SIMPL</v>
          </cell>
          <cell r="G2132" t="str">
            <v>Pune Tathawade RSA</v>
          </cell>
          <cell r="J2132" t="str">
            <v>DEHU ROAD TO TALEGAON DABHADE</v>
          </cell>
          <cell r="K2132" t="str">
            <v>Pune</v>
          </cell>
          <cell r="L2132" t="str">
            <v>D1</v>
          </cell>
          <cell r="M2132" t="str">
            <v>NH-48</v>
          </cell>
          <cell r="O2132" t="str">
            <v>B</v>
          </cell>
          <cell r="P2132">
            <v>144</v>
          </cell>
          <cell r="Q2132">
            <v>24</v>
          </cell>
          <cell r="R2132">
            <v>90</v>
          </cell>
          <cell r="S2132">
            <v>150</v>
          </cell>
          <cell r="T2132">
            <v>54</v>
          </cell>
          <cell r="U2132">
            <v>-126</v>
          </cell>
          <cell r="V2132">
            <v>324</v>
          </cell>
          <cell r="W2132">
            <v>84</v>
          </cell>
          <cell r="X2132">
            <v>168</v>
          </cell>
          <cell r="Y2132">
            <v>300</v>
          </cell>
          <cell r="Z2132">
            <v>156</v>
          </cell>
          <cell r="AA2132">
            <v>-216</v>
          </cell>
          <cell r="AB2132">
            <v>168</v>
          </cell>
          <cell r="AC2132">
            <v>240</v>
          </cell>
          <cell r="AD2132">
            <v>-72</v>
          </cell>
          <cell r="AE2132">
            <v>408</v>
          </cell>
          <cell r="AF2132">
            <v>468</v>
          </cell>
          <cell r="AG2132">
            <v>-60</v>
          </cell>
        </row>
        <row r="2133">
          <cell r="C2133">
            <v>34801</v>
          </cell>
          <cell r="D2133" t="str">
            <v>SHELL KHARADI BYPASS (CHANDAN NAGAR)</v>
          </cell>
          <cell r="E2133" t="str">
            <v>SIMPL</v>
          </cell>
          <cell r="G2133" t="str">
            <v>Pune City RSA</v>
          </cell>
          <cell r="J2133" t="str">
            <v>KHARADI BYPASS</v>
          </cell>
          <cell r="K2133" t="str">
            <v>Pune</v>
          </cell>
          <cell r="L2133" t="str">
            <v>A</v>
          </cell>
          <cell r="O2133" t="str">
            <v>B</v>
          </cell>
          <cell r="P2133">
            <v>120</v>
          </cell>
          <cell r="Q2133">
            <v>8</v>
          </cell>
          <cell r="R2133">
            <v>90</v>
          </cell>
          <cell r="S2133">
            <v>145</v>
          </cell>
          <cell r="T2133">
            <v>30</v>
          </cell>
          <cell r="U2133">
            <v>-137</v>
          </cell>
          <cell r="V2133">
            <v>250</v>
          </cell>
          <cell r="W2133">
            <v>82</v>
          </cell>
          <cell r="X2133">
            <v>168</v>
          </cell>
          <cell r="Y2133">
            <v>290</v>
          </cell>
          <cell r="Z2133">
            <v>82</v>
          </cell>
          <cell r="AA2133">
            <v>-208</v>
          </cell>
          <cell r="AB2133">
            <v>128</v>
          </cell>
          <cell r="AC2133">
            <v>235</v>
          </cell>
          <cell r="AD2133">
            <v>-107</v>
          </cell>
          <cell r="AE2133">
            <v>332</v>
          </cell>
          <cell r="AF2133">
            <v>458</v>
          </cell>
          <cell r="AG2133">
            <v>-126</v>
          </cell>
        </row>
        <row r="2134">
          <cell r="C2134">
            <v>34803</v>
          </cell>
          <cell r="D2134" t="str">
            <v>SHELL TATHAWADE</v>
          </cell>
          <cell r="E2134" t="str">
            <v>SIMPL</v>
          </cell>
          <cell r="G2134" t="str">
            <v>Pune Tathawade RSA</v>
          </cell>
          <cell r="J2134" t="str">
            <v>BALEWADI TO DEHU ROAD</v>
          </cell>
          <cell r="K2134" t="str">
            <v>Pune</v>
          </cell>
          <cell r="L2134" t="str">
            <v>A</v>
          </cell>
          <cell r="M2134" t="str">
            <v>NH-48</v>
          </cell>
          <cell r="O2134" t="str">
            <v>B</v>
          </cell>
          <cell r="P2134">
            <v>108</v>
          </cell>
          <cell r="Q2134">
            <v>12</v>
          </cell>
          <cell r="R2134">
            <v>100</v>
          </cell>
          <cell r="S2134">
            <v>100</v>
          </cell>
          <cell r="T2134">
            <v>8</v>
          </cell>
          <cell r="U2134">
            <v>-88</v>
          </cell>
          <cell r="V2134">
            <v>248</v>
          </cell>
          <cell r="W2134">
            <v>72</v>
          </cell>
          <cell r="X2134">
            <v>190</v>
          </cell>
          <cell r="Y2134">
            <v>200</v>
          </cell>
          <cell r="Z2134">
            <v>58</v>
          </cell>
          <cell r="AA2134">
            <v>-128</v>
          </cell>
          <cell r="AB2134">
            <v>120</v>
          </cell>
          <cell r="AC2134">
            <v>200</v>
          </cell>
          <cell r="AD2134">
            <v>-80</v>
          </cell>
          <cell r="AE2134">
            <v>320</v>
          </cell>
          <cell r="AF2134">
            <v>390</v>
          </cell>
          <cell r="AG2134">
            <v>-70</v>
          </cell>
        </row>
        <row r="2135">
          <cell r="C2135">
            <v>34831</v>
          </cell>
          <cell r="D2135" t="str">
            <v>SHELL LONI KALBHOR</v>
          </cell>
          <cell r="E2135" t="str">
            <v>SIMPL</v>
          </cell>
          <cell r="G2135" t="str">
            <v>Pune Hadapsar RSA</v>
          </cell>
          <cell r="J2135" t="str">
            <v>Loni LHS</v>
          </cell>
          <cell r="K2135" t="str">
            <v>Pune</v>
          </cell>
          <cell r="L2135" t="str">
            <v>D1</v>
          </cell>
          <cell r="M2135" t="str">
            <v>NH-65</v>
          </cell>
          <cell r="O2135" t="str">
            <v>B</v>
          </cell>
          <cell r="P2135">
            <v>168</v>
          </cell>
          <cell r="Q2135">
            <v>8</v>
          </cell>
          <cell r="R2135">
            <v>100</v>
          </cell>
          <cell r="S2135">
            <v>130</v>
          </cell>
          <cell r="T2135">
            <v>68</v>
          </cell>
          <cell r="U2135">
            <v>-122</v>
          </cell>
          <cell r="V2135">
            <v>338</v>
          </cell>
          <cell r="W2135">
            <v>56</v>
          </cell>
          <cell r="X2135">
            <v>175</v>
          </cell>
          <cell r="Y2135">
            <v>260</v>
          </cell>
          <cell r="Z2135">
            <v>163</v>
          </cell>
          <cell r="AA2135">
            <v>-204</v>
          </cell>
          <cell r="AB2135">
            <v>176</v>
          </cell>
          <cell r="AC2135">
            <v>230</v>
          </cell>
          <cell r="AD2135">
            <v>-54</v>
          </cell>
          <cell r="AE2135">
            <v>394</v>
          </cell>
          <cell r="AF2135">
            <v>435</v>
          </cell>
          <cell r="AG2135">
            <v>-41</v>
          </cell>
        </row>
        <row r="2136">
          <cell r="C2136">
            <v>35141</v>
          </cell>
          <cell r="D2136" t="str">
            <v>Shell HADAPSAR</v>
          </cell>
          <cell r="E2136" t="str">
            <v>SIMPL</v>
          </cell>
          <cell r="G2136" t="str">
            <v>Pune City RSA</v>
          </cell>
          <cell r="J2136" t="str">
            <v>Wagholi</v>
          </cell>
          <cell r="K2136" t="str">
            <v>Pune</v>
          </cell>
          <cell r="L2136" t="str">
            <v>D1</v>
          </cell>
          <cell r="M2136" t="str">
            <v>NH-753F</v>
          </cell>
          <cell r="O2136" t="str">
            <v>B</v>
          </cell>
          <cell r="P2136">
            <v>144</v>
          </cell>
          <cell r="Q2136">
            <v>24</v>
          </cell>
          <cell r="R2136">
            <v>110</v>
          </cell>
          <cell r="S2136">
            <v>100</v>
          </cell>
          <cell r="T2136">
            <v>34</v>
          </cell>
          <cell r="U2136">
            <v>-76</v>
          </cell>
          <cell r="V2136">
            <v>324</v>
          </cell>
          <cell r="W2136">
            <v>64</v>
          </cell>
          <cell r="X2136">
            <v>200</v>
          </cell>
          <cell r="Y2136">
            <v>190</v>
          </cell>
          <cell r="Z2136">
            <v>124</v>
          </cell>
          <cell r="AA2136">
            <v>-126</v>
          </cell>
          <cell r="AB2136">
            <v>168</v>
          </cell>
          <cell r="AC2136">
            <v>210</v>
          </cell>
          <cell r="AD2136">
            <v>-42</v>
          </cell>
          <cell r="AE2136">
            <v>388</v>
          </cell>
          <cell r="AF2136">
            <v>390</v>
          </cell>
          <cell r="AG2136">
            <v>-2</v>
          </cell>
        </row>
        <row r="2137">
          <cell r="C2137">
            <v>52110546</v>
          </cell>
          <cell r="D2137" t="str">
            <v>Shell RO CHAS</v>
          </cell>
          <cell r="E2137" t="str">
            <v>SIMPL</v>
          </cell>
          <cell r="G2137" t="str">
            <v>Ahmednagar East RSA</v>
          </cell>
          <cell r="J2137" t="str">
            <v>Chas</v>
          </cell>
          <cell r="K2137" t="str">
            <v>Ahmednagar</v>
          </cell>
          <cell r="L2137" t="str">
            <v>D1</v>
          </cell>
          <cell r="M2137" t="str">
            <v>NH-753F</v>
          </cell>
          <cell r="O2137" t="str">
            <v>A</v>
          </cell>
          <cell r="P2137">
            <v>0</v>
          </cell>
          <cell r="Q2137">
            <v>0</v>
          </cell>
          <cell r="R2137">
            <v>35</v>
          </cell>
          <cell r="S2137">
            <v>101</v>
          </cell>
          <cell r="T2137">
            <v>-35</v>
          </cell>
          <cell r="U2137">
            <v>-101</v>
          </cell>
          <cell r="V2137">
            <v>0</v>
          </cell>
          <cell r="W2137">
            <v>0</v>
          </cell>
          <cell r="X2137">
            <v>67</v>
          </cell>
          <cell r="Y2137">
            <v>173</v>
          </cell>
          <cell r="Z2137">
            <v>-67</v>
          </cell>
          <cell r="AA2137">
            <v>-173</v>
          </cell>
          <cell r="AB2137">
            <v>0</v>
          </cell>
          <cell r="AC2137">
            <v>136</v>
          </cell>
          <cell r="AD2137">
            <v>-136</v>
          </cell>
          <cell r="AE2137">
            <v>0</v>
          </cell>
          <cell r="AF2137">
            <v>240</v>
          </cell>
          <cell r="AG2137">
            <v>-240</v>
          </cell>
        </row>
        <row r="2138">
          <cell r="C2138">
            <v>52111030</v>
          </cell>
          <cell r="D2138" t="str">
            <v>SHELL AIR INDIA HOUSE</v>
          </cell>
          <cell r="E2138" t="str">
            <v>SIMPL</v>
          </cell>
          <cell r="G2138" t="str">
            <v>Pune City RSA</v>
          </cell>
          <cell r="J2138" t="str">
            <v xml:space="preserve">PUNE RTO </v>
          </cell>
          <cell r="K2138" t="str">
            <v>Pune</v>
          </cell>
          <cell r="L2138" t="str">
            <v>A</v>
          </cell>
          <cell r="O2138" t="str">
            <v>A</v>
          </cell>
          <cell r="P2138">
            <v>158</v>
          </cell>
          <cell r="Q2138">
            <v>20</v>
          </cell>
          <cell r="R2138">
            <v>120</v>
          </cell>
          <cell r="S2138">
            <v>135</v>
          </cell>
          <cell r="T2138">
            <v>38</v>
          </cell>
          <cell r="U2138">
            <v>-115</v>
          </cell>
          <cell r="V2138">
            <v>330</v>
          </cell>
          <cell r="W2138">
            <v>80</v>
          </cell>
          <cell r="X2138">
            <v>215</v>
          </cell>
          <cell r="Y2138">
            <v>270</v>
          </cell>
          <cell r="Z2138">
            <v>115</v>
          </cell>
          <cell r="AA2138">
            <v>-190</v>
          </cell>
          <cell r="AB2138">
            <v>178</v>
          </cell>
          <cell r="AC2138">
            <v>255</v>
          </cell>
          <cell r="AD2138">
            <v>-77</v>
          </cell>
          <cell r="AE2138">
            <v>410</v>
          </cell>
          <cell r="AF2138">
            <v>485</v>
          </cell>
          <cell r="AG2138">
            <v>-75</v>
          </cell>
        </row>
        <row r="2139">
          <cell r="C2139">
            <v>52111031</v>
          </cell>
          <cell r="D2139" t="str">
            <v>SHELL SB ROAD</v>
          </cell>
          <cell r="E2139" t="str">
            <v>SIMPL</v>
          </cell>
          <cell r="G2139" t="str">
            <v>Pune City RSA</v>
          </cell>
          <cell r="J2139" t="str">
            <v>SB ROAD</v>
          </cell>
          <cell r="K2139" t="str">
            <v>Pune</v>
          </cell>
          <cell r="L2139" t="str">
            <v>A</v>
          </cell>
          <cell r="O2139" t="str">
            <v>A</v>
          </cell>
          <cell r="P2139">
            <v>160</v>
          </cell>
          <cell r="Q2139">
            <v>16</v>
          </cell>
          <cell r="R2139">
            <v>120</v>
          </cell>
          <cell r="S2139">
            <v>120</v>
          </cell>
          <cell r="T2139">
            <v>40</v>
          </cell>
          <cell r="U2139">
            <v>-104</v>
          </cell>
          <cell r="V2139">
            <v>320</v>
          </cell>
          <cell r="W2139">
            <v>58</v>
          </cell>
          <cell r="X2139">
            <v>215</v>
          </cell>
          <cell r="Y2139">
            <v>240</v>
          </cell>
          <cell r="Z2139">
            <v>105</v>
          </cell>
          <cell r="AA2139">
            <v>-182</v>
          </cell>
          <cell r="AB2139">
            <v>176</v>
          </cell>
          <cell r="AC2139">
            <v>240</v>
          </cell>
          <cell r="AD2139">
            <v>-64</v>
          </cell>
          <cell r="AE2139">
            <v>378</v>
          </cell>
          <cell r="AF2139">
            <v>455</v>
          </cell>
          <cell r="AG2139">
            <v>-77</v>
          </cell>
        </row>
        <row r="2140">
          <cell r="C2140">
            <v>52111033</v>
          </cell>
          <cell r="D2140" t="str">
            <v>SHELL NANDED CITY</v>
          </cell>
          <cell r="E2140" t="str">
            <v>SIMPL</v>
          </cell>
          <cell r="G2140" t="str">
            <v>Pune City RSA</v>
          </cell>
          <cell r="J2140" t="str">
            <v>NANDED CITY</v>
          </cell>
          <cell r="K2140" t="str">
            <v>Pune</v>
          </cell>
          <cell r="L2140" t="str">
            <v>A</v>
          </cell>
          <cell r="O2140" t="str">
            <v>B</v>
          </cell>
          <cell r="P2140">
            <v>0</v>
          </cell>
          <cell r="Q2140">
            <v>12</v>
          </cell>
          <cell r="R2140">
            <v>90</v>
          </cell>
          <cell r="S2140">
            <v>100</v>
          </cell>
          <cell r="T2140">
            <v>-90</v>
          </cell>
          <cell r="U2140">
            <v>-88</v>
          </cell>
          <cell r="V2140">
            <v>0</v>
          </cell>
          <cell r="W2140">
            <v>50</v>
          </cell>
          <cell r="X2140">
            <v>166</v>
          </cell>
          <cell r="Y2140">
            <v>195</v>
          </cell>
          <cell r="Z2140">
            <v>-166</v>
          </cell>
          <cell r="AA2140">
            <v>-145</v>
          </cell>
          <cell r="AB2140">
            <v>12</v>
          </cell>
          <cell r="AC2140">
            <v>190</v>
          </cell>
          <cell r="AD2140">
            <v>-178</v>
          </cell>
          <cell r="AE2140">
            <v>50</v>
          </cell>
          <cell r="AF2140">
            <v>361</v>
          </cell>
          <cell r="AG2140">
            <v>-311</v>
          </cell>
        </row>
        <row r="2141">
          <cell r="C2141">
            <v>52111036</v>
          </cell>
          <cell r="D2141" t="str">
            <v>Bopgaon ,VARVE Shell</v>
          </cell>
          <cell r="E2141" t="str">
            <v>SIMPL</v>
          </cell>
          <cell r="G2141" t="str">
            <v>Pune Tathawade RSA</v>
          </cell>
          <cell r="J2141" t="str">
            <v>HARISHCHANDRI TO KHED SHIVAPUR</v>
          </cell>
          <cell r="K2141" t="str">
            <v>Pune</v>
          </cell>
          <cell r="L2141" t="str">
            <v>D1</v>
          </cell>
          <cell r="M2141" t="str">
            <v>NH-48</v>
          </cell>
          <cell r="O2141" t="str">
            <v>A</v>
          </cell>
          <cell r="P2141">
            <v>132</v>
          </cell>
          <cell r="Q2141">
            <v>16</v>
          </cell>
          <cell r="R2141">
            <v>130</v>
          </cell>
          <cell r="S2141">
            <v>140</v>
          </cell>
          <cell r="T2141">
            <v>2</v>
          </cell>
          <cell r="U2141">
            <v>-124</v>
          </cell>
          <cell r="V2141">
            <v>276</v>
          </cell>
          <cell r="W2141">
            <v>52</v>
          </cell>
          <cell r="X2141">
            <v>250</v>
          </cell>
          <cell r="Y2141">
            <v>275</v>
          </cell>
          <cell r="Z2141">
            <v>26</v>
          </cell>
          <cell r="AA2141">
            <v>-223</v>
          </cell>
          <cell r="AB2141">
            <v>148</v>
          </cell>
          <cell r="AC2141">
            <v>270</v>
          </cell>
          <cell r="AD2141">
            <v>-122</v>
          </cell>
          <cell r="AE2141">
            <v>328</v>
          </cell>
          <cell r="AF2141">
            <v>525</v>
          </cell>
          <cell r="AG2141">
            <v>-197</v>
          </cell>
        </row>
        <row r="2142">
          <cell r="C2142">
            <v>52112027</v>
          </cell>
          <cell r="D2142" t="str">
            <v>SHELL PIMPLE NILAKH</v>
          </cell>
          <cell r="E2142" t="str">
            <v>SIMPL</v>
          </cell>
          <cell r="G2142" t="str">
            <v>Pune City RSA</v>
          </cell>
          <cell r="J2142" t="str">
            <v>WAKAD</v>
          </cell>
          <cell r="K2142" t="str">
            <v>Pune</v>
          </cell>
          <cell r="L2142" t="str">
            <v>A</v>
          </cell>
          <cell r="O2142" t="str">
            <v>A</v>
          </cell>
          <cell r="P2142">
            <v>132</v>
          </cell>
          <cell r="Q2142">
            <v>8</v>
          </cell>
          <cell r="R2142">
            <v>120</v>
          </cell>
          <cell r="S2142">
            <v>95</v>
          </cell>
          <cell r="T2142">
            <v>12</v>
          </cell>
          <cell r="U2142">
            <v>-87</v>
          </cell>
          <cell r="V2142">
            <v>287</v>
          </cell>
          <cell r="W2142">
            <v>56</v>
          </cell>
          <cell r="X2142">
            <v>225</v>
          </cell>
          <cell r="Y2142">
            <v>185</v>
          </cell>
          <cell r="Z2142">
            <v>62</v>
          </cell>
          <cell r="AA2142">
            <v>-129</v>
          </cell>
          <cell r="AB2142">
            <v>140</v>
          </cell>
          <cell r="AC2142">
            <v>215</v>
          </cell>
          <cell r="AD2142">
            <v>-75</v>
          </cell>
          <cell r="AE2142">
            <v>343</v>
          </cell>
          <cell r="AF2142">
            <v>410</v>
          </cell>
          <cell r="AG2142">
            <v>-67</v>
          </cell>
        </row>
        <row r="2143">
          <cell r="C2143">
            <v>52112086</v>
          </cell>
          <cell r="D2143" t="str">
            <v>SHELL HINJEWADI PHASE 2</v>
          </cell>
          <cell r="E2143" t="str">
            <v>SIMPL</v>
          </cell>
          <cell r="G2143" t="str">
            <v>Pune City RSA</v>
          </cell>
          <cell r="J2143" t="str">
            <v>Hinjewadi</v>
          </cell>
          <cell r="K2143" t="str">
            <v>Pune</v>
          </cell>
          <cell r="L2143" t="str">
            <v>A</v>
          </cell>
          <cell r="O2143" t="str">
            <v>A</v>
          </cell>
          <cell r="P2143">
            <v>108</v>
          </cell>
          <cell r="Q2143">
            <v>12</v>
          </cell>
          <cell r="R2143">
            <v>140</v>
          </cell>
          <cell r="S2143">
            <v>100</v>
          </cell>
          <cell r="T2143">
            <v>-32</v>
          </cell>
          <cell r="U2143">
            <v>-88</v>
          </cell>
          <cell r="V2143">
            <v>268</v>
          </cell>
          <cell r="W2143">
            <v>66</v>
          </cell>
          <cell r="X2143">
            <v>260</v>
          </cell>
          <cell r="Y2143">
            <v>197</v>
          </cell>
          <cell r="Z2143">
            <v>8</v>
          </cell>
          <cell r="AA2143">
            <v>-131</v>
          </cell>
          <cell r="AB2143">
            <v>120</v>
          </cell>
          <cell r="AC2143">
            <v>240</v>
          </cell>
          <cell r="AD2143">
            <v>-120</v>
          </cell>
          <cell r="AE2143">
            <v>334</v>
          </cell>
          <cell r="AF2143">
            <v>457</v>
          </cell>
          <cell r="AG2143">
            <v>-123</v>
          </cell>
        </row>
        <row r="2144">
          <cell r="C2144">
            <v>52112087</v>
          </cell>
          <cell r="D2144" t="str">
            <v>SHELL SADHU VASWANI ROAD</v>
          </cell>
          <cell r="E2144" t="str">
            <v>SIMPL</v>
          </cell>
          <cell r="G2144" t="str">
            <v>Pune City RSA</v>
          </cell>
          <cell r="J2144" t="str">
            <v>GPO</v>
          </cell>
          <cell r="K2144" t="str">
            <v>Pune</v>
          </cell>
          <cell r="L2144" t="str">
            <v>A</v>
          </cell>
          <cell r="O2144" t="str">
            <v>A</v>
          </cell>
          <cell r="P2144">
            <v>136</v>
          </cell>
          <cell r="Q2144">
            <v>20</v>
          </cell>
          <cell r="R2144">
            <v>100</v>
          </cell>
          <cell r="S2144">
            <v>125</v>
          </cell>
          <cell r="T2144">
            <v>36</v>
          </cell>
          <cell r="U2144">
            <v>-105</v>
          </cell>
          <cell r="V2144">
            <v>272</v>
          </cell>
          <cell r="W2144">
            <v>52</v>
          </cell>
          <cell r="X2144">
            <v>188</v>
          </cell>
          <cell r="Y2144">
            <v>245</v>
          </cell>
          <cell r="Z2144">
            <v>84</v>
          </cell>
          <cell r="AA2144">
            <v>-193</v>
          </cell>
          <cell r="AB2144">
            <v>156</v>
          </cell>
          <cell r="AC2144">
            <v>225</v>
          </cell>
          <cell r="AD2144">
            <v>-69</v>
          </cell>
          <cell r="AE2144">
            <v>324</v>
          </cell>
          <cell r="AF2144">
            <v>433</v>
          </cell>
          <cell r="AG2144">
            <v>-109</v>
          </cell>
        </row>
        <row r="2145">
          <cell r="C2145">
            <v>52112088</v>
          </cell>
          <cell r="D2145" t="str">
            <v>SHELL THERGAON</v>
          </cell>
          <cell r="E2145" t="str">
            <v>SIMPL</v>
          </cell>
          <cell r="G2145" t="str">
            <v>Pune City RSA</v>
          </cell>
          <cell r="J2145" t="str">
            <v>Thergaon</v>
          </cell>
          <cell r="K2145" t="str">
            <v>Pune</v>
          </cell>
          <cell r="L2145" t="str">
            <v>A</v>
          </cell>
          <cell r="O2145" t="str">
            <v>A</v>
          </cell>
          <cell r="P2145">
            <v>120</v>
          </cell>
          <cell r="Q2145">
            <v>12</v>
          </cell>
          <cell r="R2145">
            <v>120</v>
          </cell>
          <cell r="S2145">
            <v>130</v>
          </cell>
          <cell r="T2145">
            <v>0</v>
          </cell>
          <cell r="U2145">
            <v>-118</v>
          </cell>
          <cell r="V2145">
            <v>280</v>
          </cell>
          <cell r="W2145">
            <v>84</v>
          </cell>
          <cell r="X2145">
            <v>225</v>
          </cell>
          <cell r="Y2145">
            <v>260</v>
          </cell>
          <cell r="Z2145">
            <v>55</v>
          </cell>
          <cell r="AA2145">
            <v>-176</v>
          </cell>
          <cell r="AB2145">
            <v>132</v>
          </cell>
          <cell r="AC2145">
            <v>250</v>
          </cell>
          <cell r="AD2145">
            <v>-118</v>
          </cell>
          <cell r="AE2145">
            <v>364</v>
          </cell>
          <cell r="AF2145">
            <v>485</v>
          </cell>
          <cell r="AG2145">
            <v>-121</v>
          </cell>
        </row>
        <row r="2146">
          <cell r="C2146">
            <v>52112089</v>
          </cell>
          <cell r="D2146" t="str">
            <v>SHELL RAVET</v>
          </cell>
          <cell r="E2146" t="str">
            <v>SIMPL</v>
          </cell>
          <cell r="G2146" t="str">
            <v>Pune Tathawade RSA</v>
          </cell>
          <cell r="J2146" t="str">
            <v>DEHU ROAD TO BALEWADI</v>
          </cell>
          <cell r="K2146" t="str">
            <v>Pune</v>
          </cell>
          <cell r="L2146" t="str">
            <v>A</v>
          </cell>
          <cell r="M2146" t="str">
            <v>NH-48</v>
          </cell>
          <cell r="O2146" t="str">
            <v>A</v>
          </cell>
          <cell r="P2146">
            <v>156</v>
          </cell>
          <cell r="Q2146">
            <v>16</v>
          </cell>
          <cell r="R2146">
            <v>120</v>
          </cell>
          <cell r="S2146">
            <v>115</v>
          </cell>
          <cell r="T2146">
            <v>36</v>
          </cell>
          <cell r="U2146">
            <v>-99</v>
          </cell>
          <cell r="V2146">
            <v>346</v>
          </cell>
          <cell r="W2146">
            <v>80</v>
          </cell>
          <cell r="X2146">
            <v>225</v>
          </cell>
          <cell r="Y2146">
            <v>225</v>
          </cell>
          <cell r="Z2146">
            <v>121</v>
          </cell>
          <cell r="AA2146">
            <v>-145</v>
          </cell>
          <cell r="AB2146">
            <v>172</v>
          </cell>
          <cell r="AC2146">
            <v>235</v>
          </cell>
          <cell r="AD2146">
            <v>-63</v>
          </cell>
          <cell r="AE2146">
            <v>426</v>
          </cell>
          <cell r="AF2146">
            <v>450</v>
          </cell>
          <cell r="AG2146">
            <v>-24</v>
          </cell>
        </row>
        <row r="2147">
          <cell r="C2147">
            <v>52113726</v>
          </cell>
          <cell r="D2147" t="str">
            <v>SHELL RO CHIKHALI EXIT</v>
          </cell>
          <cell r="E2147" t="str">
            <v>SIMPL</v>
          </cell>
          <cell r="G2147" t="str">
            <v>Pimpri Chinchwad RSA</v>
          </cell>
          <cell r="J2147" t="str">
            <v>Moshi</v>
          </cell>
          <cell r="K2147" t="str">
            <v>Pune</v>
          </cell>
          <cell r="L2147" t="str">
            <v>A</v>
          </cell>
          <cell r="O2147" t="str">
            <v>A</v>
          </cell>
          <cell r="P2147">
            <v>132</v>
          </cell>
          <cell r="Q2147">
            <v>12</v>
          </cell>
          <cell r="R2147">
            <v>100</v>
          </cell>
          <cell r="S2147">
            <v>135</v>
          </cell>
          <cell r="T2147">
            <v>32</v>
          </cell>
          <cell r="U2147">
            <v>-123</v>
          </cell>
          <cell r="V2147">
            <v>282</v>
          </cell>
          <cell r="W2147">
            <v>48</v>
          </cell>
          <cell r="X2147">
            <v>180</v>
          </cell>
          <cell r="Y2147">
            <v>270</v>
          </cell>
          <cell r="Z2147">
            <v>102</v>
          </cell>
          <cell r="AA2147">
            <v>-222</v>
          </cell>
          <cell r="AB2147">
            <v>144</v>
          </cell>
          <cell r="AC2147">
            <v>235</v>
          </cell>
          <cell r="AD2147">
            <v>-91</v>
          </cell>
          <cell r="AE2147">
            <v>330</v>
          </cell>
          <cell r="AF2147">
            <v>450</v>
          </cell>
          <cell r="AG2147">
            <v>-120</v>
          </cell>
        </row>
        <row r="2148">
          <cell r="C2148">
            <v>52114247</v>
          </cell>
          <cell r="D2148" t="str">
            <v>Shell RO Karad</v>
          </cell>
          <cell r="E2148" t="str">
            <v>SIMPL</v>
          </cell>
          <cell r="G2148" t="str">
            <v>Satara West RSA</v>
          </cell>
          <cell r="J2148" t="str">
            <v>KARAD TO KASHIL</v>
          </cell>
          <cell r="K2148" t="str">
            <v>Satara</v>
          </cell>
          <cell r="L2148" t="str">
            <v>D1</v>
          </cell>
          <cell r="M2148" t="str">
            <v>NH-48</v>
          </cell>
          <cell r="O2148" t="str">
            <v>B</v>
          </cell>
          <cell r="P2148">
            <v>0</v>
          </cell>
          <cell r="Q2148">
            <v>0</v>
          </cell>
          <cell r="R2148">
            <v>77</v>
          </cell>
          <cell r="S2148">
            <v>103</v>
          </cell>
          <cell r="T2148">
            <v>-77</v>
          </cell>
          <cell r="U2148">
            <v>-103</v>
          </cell>
          <cell r="V2148">
            <v>0</v>
          </cell>
          <cell r="W2148">
            <v>0</v>
          </cell>
          <cell r="X2148">
            <v>155</v>
          </cell>
          <cell r="Y2148">
            <v>209</v>
          </cell>
          <cell r="Z2148">
            <v>-155</v>
          </cell>
          <cell r="AA2148">
            <v>-209</v>
          </cell>
          <cell r="AB2148">
            <v>0</v>
          </cell>
          <cell r="AC2148">
            <v>180</v>
          </cell>
          <cell r="AD2148">
            <v>-180</v>
          </cell>
          <cell r="AE2148">
            <v>0</v>
          </cell>
          <cell r="AF2148">
            <v>364</v>
          </cell>
          <cell r="AG2148">
            <v>-364</v>
          </cell>
        </row>
        <row r="2149">
          <cell r="C2149">
            <v>52115786</v>
          </cell>
          <cell r="D2149" t="str">
            <v>Shell RO Ranjangaon</v>
          </cell>
          <cell r="E2149" t="str">
            <v>SIMPL</v>
          </cell>
          <cell r="G2149" t="str">
            <v>Pune Wagholi RSA</v>
          </cell>
          <cell r="J2149" t="str">
            <v>Ranjangaon RHS</v>
          </cell>
          <cell r="K2149" t="str">
            <v>Pune</v>
          </cell>
          <cell r="L2149" t="str">
            <v>D1</v>
          </cell>
          <cell r="M2149" t="str">
            <v>NH-753F</v>
          </cell>
          <cell r="O2149" t="str">
            <v>B</v>
          </cell>
          <cell r="P2149">
            <v>0</v>
          </cell>
          <cell r="Q2149">
            <v>0</v>
          </cell>
          <cell r="R2149">
            <v>120</v>
          </cell>
          <cell r="S2149">
            <v>100</v>
          </cell>
          <cell r="T2149">
            <v>-120</v>
          </cell>
          <cell r="U2149">
            <v>-100</v>
          </cell>
          <cell r="V2149">
            <v>0</v>
          </cell>
          <cell r="W2149">
            <v>0</v>
          </cell>
          <cell r="X2149">
            <v>222</v>
          </cell>
          <cell r="Y2149">
            <v>195</v>
          </cell>
          <cell r="Z2149">
            <v>-222</v>
          </cell>
          <cell r="AA2149">
            <v>-195</v>
          </cell>
          <cell r="AB2149">
            <v>0</v>
          </cell>
          <cell r="AC2149">
            <v>220</v>
          </cell>
          <cell r="AD2149">
            <v>-220</v>
          </cell>
          <cell r="AE2149">
            <v>0</v>
          </cell>
          <cell r="AF2149">
            <v>417</v>
          </cell>
          <cell r="AG2149">
            <v>-417</v>
          </cell>
        </row>
        <row r="2150">
          <cell r="C2150">
            <v>52115787</v>
          </cell>
          <cell r="D2150" t="str">
            <v>Shell RO Koregoan Bhima</v>
          </cell>
          <cell r="E2150" t="str">
            <v>SIMPL</v>
          </cell>
          <cell r="G2150" t="str">
            <v>Pune Wagholi RSA</v>
          </cell>
          <cell r="J2150" t="str">
            <v>LONIKAND to KOREGAON BHIMA LHS</v>
          </cell>
          <cell r="K2150" t="str">
            <v>Pune</v>
          </cell>
          <cell r="L2150" t="str">
            <v>D1</v>
          </cell>
          <cell r="M2150" t="str">
            <v>NH-753F</v>
          </cell>
          <cell r="O2150" t="str">
            <v>B</v>
          </cell>
          <cell r="P2150">
            <v>144</v>
          </cell>
          <cell r="Q2150">
            <v>8</v>
          </cell>
          <cell r="R2150">
            <v>150</v>
          </cell>
          <cell r="S2150">
            <v>100</v>
          </cell>
          <cell r="T2150">
            <v>-6</v>
          </cell>
          <cell r="U2150">
            <v>-92</v>
          </cell>
          <cell r="V2150">
            <v>324</v>
          </cell>
          <cell r="W2150">
            <v>40</v>
          </cell>
          <cell r="X2150">
            <v>280</v>
          </cell>
          <cell r="Y2150">
            <v>185</v>
          </cell>
          <cell r="Z2150">
            <v>44</v>
          </cell>
          <cell r="AA2150">
            <v>-145</v>
          </cell>
          <cell r="AB2150">
            <v>152</v>
          </cell>
          <cell r="AC2150">
            <v>250</v>
          </cell>
          <cell r="AD2150">
            <v>-98</v>
          </cell>
          <cell r="AE2150">
            <v>364</v>
          </cell>
          <cell r="AF2150">
            <v>465</v>
          </cell>
          <cell r="AG2150">
            <v>-101</v>
          </cell>
        </row>
        <row r="2151">
          <cell r="C2151">
            <v>52115789</v>
          </cell>
          <cell r="D2151" t="str">
            <v>Shell RO Sus Road</v>
          </cell>
          <cell r="E2151" t="str">
            <v>SIMPL</v>
          </cell>
          <cell r="G2151" t="str">
            <v>Pune City RSA</v>
          </cell>
          <cell r="J2151" t="str">
            <v>SUS ROAD</v>
          </cell>
          <cell r="K2151" t="str">
            <v>Pune</v>
          </cell>
          <cell r="L2151" t="str">
            <v>D2</v>
          </cell>
          <cell r="O2151" t="str">
            <v>B</v>
          </cell>
          <cell r="P2151">
            <v>132</v>
          </cell>
          <cell r="Q2151">
            <v>8</v>
          </cell>
          <cell r="R2151">
            <v>120</v>
          </cell>
          <cell r="S2151">
            <v>75</v>
          </cell>
          <cell r="T2151">
            <v>12</v>
          </cell>
          <cell r="U2151">
            <v>-67</v>
          </cell>
          <cell r="V2151">
            <v>312</v>
          </cell>
          <cell r="W2151">
            <v>36</v>
          </cell>
          <cell r="X2151">
            <v>230</v>
          </cell>
          <cell r="Y2151">
            <v>132</v>
          </cell>
          <cell r="Z2151">
            <v>82</v>
          </cell>
          <cell r="AA2151">
            <v>-96</v>
          </cell>
          <cell r="AB2151">
            <v>140</v>
          </cell>
          <cell r="AC2151">
            <v>195</v>
          </cell>
          <cell r="AD2151">
            <v>-55</v>
          </cell>
          <cell r="AE2151">
            <v>348</v>
          </cell>
          <cell r="AF2151">
            <v>362</v>
          </cell>
          <cell r="AG2151">
            <v>-14</v>
          </cell>
        </row>
        <row r="2152">
          <cell r="C2152">
            <v>52115790</v>
          </cell>
          <cell r="D2152" t="str">
            <v>Shell RO Mohammadwadi</v>
          </cell>
          <cell r="E2152" t="str">
            <v>SIMPL</v>
          </cell>
          <cell r="G2152" t="str">
            <v>Pune City RSA</v>
          </cell>
          <cell r="J2152" t="str">
            <v>WANWORIE</v>
          </cell>
          <cell r="K2152" t="str">
            <v>Pune</v>
          </cell>
          <cell r="L2152" t="str">
            <v>A</v>
          </cell>
          <cell r="O2152" t="str">
            <v>B</v>
          </cell>
          <cell r="P2152">
            <v>132</v>
          </cell>
          <cell r="Q2152">
            <v>12</v>
          </cell>
          <cell r="R2152">
            <v>140</v>
          </cell>
          <cell r="S2152">
            <v>120</v>
          </cell>
          <cell r="T2152">
            <v>-8</v>
          </cell>
          <cell r="U2152">
            <v>-108</v>
          </cell>
          <cell r="V2152">
            <v>282</v>
          </cell>
          <cell r="W2152">
            <v>42</v>
          </cell>
          <cell r="X2152">
            <v>265</v>
          </cell>
          <cell r="Y2152">
            <v>240</v>
          </cell>
          <cell r="Z2152">
            <v>17</v>
          </cell>
          <cell r="AA2152">
            <v>-198</v>
          </cell>
          <cell r="AB2152">
            <v>144</v>
          </cell>
          <cell r="AC2152">
            <v>260</v>
          </cell>
          <cell r="AD2152">
            <v>-116</v>
          </cell>
          <cell r="AE2152">
            <v>324</v>
          </cell>
          <cell r="AF2152">
            <v>505</v>
          </cell>
          <cell r="AG2152">
            <v>-181</v>
          </cell>
        </row>
        <row r="2153">
          <cell r="C2153">
            <v>52117046</v>
          </cell>
          <cell r="D2153" t="str">
            <v>WAGHOLI 2</v>
          </cell>
          <cell r="E2153" t="str">
            <v>SIMPL</v>
          </cell>
          <cell r="G2153" t="str">
            <v>Pune City RSA</v>
          </cell>
          <cell r="J2153" t="str">
            <v>WAGHOLI</v>
          </cell>
          <cell r="K2153" t="str">
            <v>Pune</v>
          </cell>
          <cell r="L2153" t="str">
            <v>A</v>
          </cell>
          <cell r="O2153" t="str">
            <v>B</v>
          </cell>
          <cell r="P2153">
            <v>144</v>
          </cell>
          <cell r="Q2153">
            <v>8</v>
          </cell>
          <cell r="R2153">
            <v>120</v>
          </cell>
          <cell r="S2153">
            <v>123</v>
          </cell>
          <cell r="T2153">
            <v>24</v>
          </cell>
          <cell r="U2153">
            <v>-115</v>
          </cell>
          <cell r="V2153">
            <v>309</v>
          </cell>
          <cell r="W2153">
            <v>63</v>
          </cell>
          <cell r="X2153">
            <v>230</v>
          </cell>
          <cell r="Y2153">
            <v>246</v>
          </cell>
          <cell r="Z2153">
            <v>79</v>
          </cell>
          <cell r="AA2153">
            <v>-183</v>
          </cell>
          <cell r="AB2153">
            <v>152</v>
          </cell>
          <cell r="AC2153">
            <v>243</v>
          </cell>
          <cell r="AD2153">
            <v>-91</v>
          </cell>
          <cell r="AE2153">
            <v>372</v>
          </cell>
          <cell r="AF2153">
            <v>476</v>
          </cell>
          <cell r="AG2153">
            <v>-104</v>
          </cell>
        </row>
        <row r="2154">
          <cell r="C2154">
            <v>52117047</v>
          </cell>
          <cell r="D2154" t="str">
            <v>URULI 2</v>
          </cell>
          <cell r="E2154" t="str">
            <v>SIMPL</v>
          </cell>
          <cell r="G2154" t="str">
            <v>Pune Hadapsar RSA</v>
          </cell>
          <cell r="J2154" t="str">
            <v>Urlidevachi Undri road</v>
          </cell>
          <cell r="K2154" t="str">
            <v>Pune</v>
          </cell>
          <cell r="L2154" t="str">
            <v>A</v>
          </cell>
          <cell r="O2154" t="str">
            <v>B</v>
          </cell>
          <cell r="P2154">
            <v>108</v>
          </cell>
          <cell r="Q2154">
            <v>16</v>
          </cell>
          <cell r="R2154">
            <v>100</v>
          </cell>
          <cell r="S2154">
            <v>105</v>
          </cell>
          <cell r="T2154">
            <v>8</v>
          </cell>
          <cell r="U2154">
            <v>-89</v>
          </cell>
          <cell r="V2154">
            <v>241</v>
          </cell>
          <cell r="W2154">
            <v>66</v>
          </cell>
          <cell r="X2154">
            <v>188</v>
          </cell>
          <cell r="Y2154">
            <v>210</v>
          </cell>
          <cell r="Z2154">
            <v>53</v>
          </cell>
          <cell r="AA2154">
            <v>-144</v>
          </cell>
          <cell r="AB2154">
            <v>124</v>
          </cell>
          <cell r="AC2154">
            <v>205</v>
          </cell>
          <cell r="AD2154">
            <v>-81</v>
          </cell>
          <cell r="AE2154">
            <v>307</v>
          </cell>
          <cell r="AF2154">
            <v>398</v>
          </cell>
          <cell r="AG2154">
            <v>-91</v>
          </cell>
        </row>
        <row r="2155">
          <cell r="C2155">
            <v>52117048</v>
          </cell>
          <cell r="D2155" t="str">
            <v>PIMPALE GURAV</v>
          </cell>
          <cell r="E2155" t="str">
            <v>SIMPL</v>
          </cell>
          <cell r="G2155" t="str">
            <v>Pune City RSA</v>
          </cell>
          <cell r="J2155" t="str">
            <v>SANGAVI</v>
          </cell>
          <cell r="K2155" t="str">
            <v>Pune</v>
          </cell>
          <cell r="L2155" t="str">
            <v>A</v>
          </cell>
          <cell r="O2155" t="str">
            <v>B</v>
          </cell>
          <cell r="P2155">
            <v>155</v>
          </cell>
          <cell r="Q2155">
            <v>8</v>
          </cell>
          <cell r="R2155">
            <v>120</v>
          </cell>
          <cell r="S2155">
            <v>120</v>
          </cell>
          <cell r="T2155">
            <v>35</v>
          </cell>
          <cell r="U2155">
            <v>-112</v>
          </cell>
          <cell r="V2155">
            <v>310</v>
          </cell>
          <cell r="W2155">
            <v>68</v>
          </cell>
          <cell r="X2155">
            <v>225</v>
          </cell>
          <cell r="Y2155">
            <v>231</v>
          </cell>
          <cell r="Z2155">
            <v>85</v>
          </cell>
          <cell r="AA2155">
            <v>-163</v>
          </cell>
          <cell r="AB2155">
            <v>163</v>
          </cell>
          <cell r="AC2155">
            <v>240</v>
          </cell>
          <cell r="AD2155">
            <v>-77</v>
          </cell>
          <cell r="AE2155">
            <v>378</v>
          </cell>
          <cell r="AF2155">
            <v>456</v>
          </cell>
          <cell r="AG2155">
            <v>-78</v>
          </cell>
        </row>
        <row r="2156">
          <cell r="C2156">
            <v>52117049</v>
          </cell>
          <cell r="D2156" t="str">
            <v>SHIVAJI NAGAR</v>
          </cell>
          <cell r="E2156" t="str">
            <v>SIMPL</v>
          </cell>
          <cell r="G2156" t="str">
            <v>Pune City RSA</v>
          </cell>
          <cell r="J2156" t="str">
            <v>SHIVAJINAGAR</v>
          </cell>
          <cell r="K2156" t="str">
            <v>Pune</v>
          </cell>
          <cell r="L2156" t="str">
            <v>A</v>
          </cell>
          <cell r="O2156" t="str">
            <v>B</v>
          </cell>
          <cell r="P2156">
            <v>120</v>
          </cell>
          <cell r="Q2156">
            <v>16</v>
          </cell>
          <cell r="R2156">
            <v>120</v>
          </cell>
          <cell r="S2156">
            <v>110</v>
          </cell>
          <cell r="T2156">
            <v>0</v>
          </cell>
          <cell r="U2156">
            <v>-94</v>
          </cell>
          <cell r="V2156">
            <v>270</v>
          </cell>
          <cell r="W2156">
            <v>71</v>
          </cell>
          <cell r="X2156">
            <v>225</v>
          </cell>
          <cell r="Y2156">
            <v>210</v>
          </cell>
          <cell r="Z2156">
            <v>45</v>
          </cell>
          <cell r="AA2156">
            <v>-139</v>
          </cell>
          <cell r="AB2156">
            <v>136</v>
          </cell>
          <cell r="AC2156">
            <v>230</v>
          </cell>
          <cell r="AD2156">
            <v>-94</v>
          </cell>
          <cell r="AE2156">
            <v>341</v>
          </cell>
          <cell r="AF2156">
            <v>435</v>
          </cell>
          <cell r="AG2156">
            <v>-94</v>
          </cell>
        </row>
        <row r="2157">
          <cell r="C2157">
            <v>52117050</v>
          </cell>
          <cell r="D2157" t="str">
            <v>AMBEGAON</v>
          </cell>
          <cell r="E2157" t="str">
            <v>SIMPL</v>
          </cell>
          <cell r="G2157" t="str">
            <v>Pune City RSA</v>
          </cell>
          <cell r="J2157" t="str">
            <v>AMBEGAON/WARJE</v>
          </cell>
          <cell r="K2157" t="str">
            <v>Pune</v>
          </cell>
          <cell r="L2157" t="str">
            <v>A</v>
          </cell>
          <cell r="O2157" t="str">
            <v>B</v>
          </cell>
          <cell r="P2157">
            <v>180</v>
          </cell>
          <cell r="Q2157">
            <v>16</v>
          </cell>
          <cell r="R2157">
            <v>140</v>
          </cell>
          <cell r="S2157">
            <v>110</v>
          </cell>
          <cell r="T2157">
            <v>40</v>
          </cell>
          <cell r="U2157">
            <v>-94</v>
          </cell>
          <cell r="V2157">
            <v>372</v>
          </cell>
          <cell r="W2157">
            <v>81</v>
          </cell>
          <cell r="X2157">
            <v>268</v>
          </cell>
          <cell r="Y2157">
            <v>215</v>
          </cell>
          <cell r="Z2157">
            <v>104</v>
          </cell>
          <cell r="AA2157">
            <v>-134</v>
          </cell>
          <cell r="AB2157">
            <v>196</v>
          </cell>
          <cell r="AC2157">
            <v>250</v>
          </cell>
          <cell r="AD2157">
            <v>-54</v>
          </cell>
          <cell r="AE2157">
            <v>453</v>
          </cell>
          <cell r="AF2157">
            <v>483</v>
          </cell>
          <cell r="AG2157">
            <v>-30</v>
          </cell>
        </row>
        <row r="2158">
          <cell r="C2158">
            <v>52117051</v>
          </cell>
          <cell r="D2158" t="str">
            <v>MAGARPATTA</v>
          </cell>
          <cell r="E2158" t="str">
            <v>SIMPL</v>
          </cell>
          <cell r="G2158" t="str">
            <v>Pune City RSA</v>
          </cell>
          <cell r="J2158" t="str">
            <v>MAGARPATTA CITY</v>
          </cell>
          <cell r="K2158" t="str">
            <v>Pune</v>
          </cell>
          <cell r="L2158" t="str">
            <v>A</v>
          </cell>
          <cell r="O2158" t="str">
            <v>B</v>
          </cell>
          <cell r="P2158">
            <v>172</v>
          </cell>
          <cell r="Q2158">
            <v>12</v>
          </cell>
          <cell r="R2158">
            <v>90</v>
          </cell>
          <cell r="S2158">
            <v>110</v>
          </cell>
          <cell r="T2158">
            <v>82</v>
          </cell>
          <cell r="U2158">
            <v>-98</v>
          </cell>
          <cell r="V2158">
            <v>352</v>
          </cell>
          <cell r="W2158">
            <v>87</v>
          </cell>
          <cell r="X2158">
            <v>174</v>
          </cell>
          <cell r="Y2158">
            <v>210</v>
          </cell>
          <cell r="Z2158">
            <v>178</v>
          </cell>
          <cell r="AA2158">
            <v>-123</v>
          </cell>
          <cell r="AB2158">
            <v>184</v>
          </cell>
          <cell r="AC2158">
            <v>200</v>
          </cell>
          <cell r="AD2158">
            <v>-16</v>
          </cell>
          <cell r="AE2158">
            <v>439</v>
          </cell>
          <cell r="AF2158">
            <v>384</v>
          </cell>
          <cell r="AG2158">
            <v>55</v>
          </cell>
        </row>
        <row r="2159">
          <cell r="C2159">
            <v>52117052</v>
          </cell>
          <cell r="D2159" t="str">
            <v>NAGAR ROAD</v>
          </cell>
          <cell r="E2159" t="str">
            <v>SIMPL</v>
          </cell>
          <cell r="G2159" t="str">
            <v>Pune City RSA</v>
          </cell>
          <cell r="J2159" t="str">
            <v>Wagholi</v>
          </cell>
          <cell r="K2159" t="str">
            <v>Pune</v>
          </cell>
          <cell r="L2159" t="str">
            <v>A</v>
          </cell>
          <cell r="O2159" t="str">
            <v>B</v>
          </cell>
          <cell r="P2159">
            <v>144</v>
          </cell>
          <cell r="Q2159">
            <v>8</v>
          </cell>
          <cell r="R2159">
            <v>131</v>
          </cell>
          <cell r="S2159">
            <v>170</v>
          </cell>
          <cell r="T2159">
            <v>13</v>
          </cell>
          <cell r="U2159">
            <v>-162</v>
          </cell>
          <cell r="V2159">
            <v>299</v>
          </cell>
          <cell r="W2159">
            <v>56</v>
          </cell>
          <cell r="X2159">
            <v>226</v>
          </cell>
          <cell r="Y2159">
            <v>334</v>
          </cell>
          <cell r="Z2159">
            <v>73</v>
          </cell>
          <cell r="AA2159">
            <v>-278</v>
          </cell>
          <cell r="AB2159">
            <v>152</v>
          </cell>
          <cell r="AC2159">
            <v>301</v>
          </cell>
          <cell r="AD2159">
            <v>-149</v>
          </cell>
          <cell r="AE2159">
            <v>355</v>
          </cell>
          <cell r="AF2159">
            <v>560</v>
          </cell>
          <cell r="AG2159">
            <v>-205</v>
          </cell>
        </row>
        <row r="2160">
          <cell r="C2160">
            <v>52127267</v>
          </cell>
          <cell r="D2160" t="str">
            <v>SHELL RAVET BRTS</v>
          </cell>
          <cell r="E2160" t="str">
            <v>SIMPL</v>
          </cell>
          <cell r="G2160" t="str">
            <v>Pune City RSA</v>
          </cell>
          <cell r="J2160" t="str">
            <v>RAVET</v>
          </cell>
          <cell r="K2160" t="str">
            <v>Pune</v>
          </cell>
          <cell r="L2160" t="str">
            <v>A</v>
          </cell>
          <cell r="O2160" t="str">
            <v>B</v>
          </cell>
          <cell r="P2160">
            <v>145</v>
          </cell>
          <cell r="Q2160">
            <v>12</v>
          </cell>
          <cell r="R2160">
            <v>100</v>
          </cell>
          <cell r="S2160">
            <v>102</v>
          </cell>
          <cell r="T2160">
            <v>45</v>
          </cell>
          <cell r="U2160">
            <v>-90</v>
          </cell>
          <cell r="V2160">
            <v>290</v>
          </cell>
          <cell r="W2160">
            <v>77</v>
          </cell>
          <cell r="X2160">
            <v>100</v>
          </cell>
          <cell r="Y2160">
            <v>102</v>
          </cell>
          <cell r="Z2160">
            <v>190</v>
          </cell>
          <cell r="AA2160">
            <v>-25</v>
          </cell>
          <cell r="AB2160">
            <v>157</v>
          </cell>
          <cell r="AC2160">
            <v>202</v>
          </cell>
          <cell r="AD2160">
            <v>-45</v>
          </cell>
          <cell r="AE2160">
            <v>367</v>
          </cell>
          <cell r="AF2160">
            <v>202</v>
          </cell>
          <cell r="AG2160">
            <v>165</v>
          </cell>
        </row>
        <row r="2161">
          <cell r="C2161">
            <v>52130116</v>
          </cell>
          <cell r="D2161" t="str">
            <v>SHELL BELAWADE</v>
          </cell>
          <cell r="E2161" t="str">
            <v>SIMPL</v>
          </cell>
          <cell r="F2161" t="str">
            <v>2025-26</v>
          </cell>
          <cell r="G2161" t="str">
            <v>Satara West RSA</v>
          </cell>
          <cell r="J2161" t="str">
            <v>KASHIL TO KARAD</v>
          </cell>
          <cell r="K2161" t="str">
            <v>Satara</v>
          </cell>
          <cell r="L2161" t="str">
            <v>D1</v>
          </cell>
          <cell r="M2161" t="str">
            <v>NH-48</v>
          </cell>
          <cell r="O2161" t="str">
            <v>B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A2161">
            <v>0</v>
          </cell>
          <cell r="AB2161">
            <v>0</v>
          </cell>
          <cell r="AC2161">
            <v>0</v>
          </cell>
          <cell r="AD2161">
            <v>0</v>
          </cell>
          <cell r="AE2161">
            <v>0</v>
          </cell>
          <cell r="AF2161">
            <v>0</v>
          </cell>
          <cell r="AG2161">
            <v>0</v>
          </cell>
        </row>
        <row r="2162">
          <cell r="C2162">
            <v>52130426</v>
          </cell>
          <cell r="D2162" t="str">
            <v>SHELL GUHA</v>
          </cell>
          <cell r="E2162" t="str">
            <v>SIMPL</v>
          </cell>
          <cell r="F2162" t="str">
            <v>2025-26</v>
          </cell>
          <cell r="G2162" t="str">
            <v>Shirdi RSA</v>
          </cell>
          <cell r="J2162" t="str">
            <v>RAHURI FACTORY RHS</v>
          </cell>
          <cell r="K2162" t="str">
            <v>Ahmednagar</v>
          </cell>
          <cell r="L2162" t="str">
            <v>D1</v>
          </cell>
          <cell r="M2162" t="str">
            <v>NH-160</v>
          </cell>
          <cell r="O2162" t="str">
            <v>B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B2162">
            <v>0</v>
          </cell>
          <cell r="AC2162">
            <v>0</v>
          </cell>
          <cell r="AD2162">
            <v>0</v>
          </cell>
          <cell r="AE2162">
            <v>0</v>
          </cell>
          <cell r="AF2162">
            <v>0</v>
          </cell>
          <cell r="AG2162">
            <v>0</v>
          </cell>
        </row>
        <row r="2163">
          <cell r="C2163">
            <v>52130126</v>
          </cell>
          <cell r="D2163" t="str">
            <v>SHELL KHALUMBRE</v>
          </cell>
          <cell r="E2163" t="str">
            <v>SIMPL</v>
          </cell>
          <cell r="F2163" t="str">
            <v>2024-25</v>
          </cell>
          <cell r="G2163" t="str">
            <v>Pimpri Chinchwad RSA</v>
          </cell>
          <cell r="J2163" t="str">
            <v>Induri</v>
          </cell>
          <cell r="K2163" t="str">
            <v>Pune</v>
          </cell>
          <cell r="L2163" t="str">
            <v>A</v>
          </cell>
          <cell r="O2163" t="str">
            <v>B</v>
          </cell>
          <cell r="P2163">
            <v>132</v>
          </cell>
          <cell r="Q2163">
            <v>12</v>
          </cell>
          <cell r="R2163">
            <v>0</v>
          </cell>
          <cell r="S2163">
            <v>0</v>
          </cell>
          <cell r="T2163">
            <v>132</v>
          </cell>
          <cell r="U2163">
            <v>12</v>
          </cell>
          <cell r="V2163">
            <v>286</v>
          </cell>
          <cell r="W2163">
            <v>36</v>
          </cell>
          <cell r="X2163">
            <v>0</v>
          </cell>
          <cell r="Y2163">
            <v>0</v>
          </cell>
          <cell r="Z2163">
            <v>286</v>
          </cell>
          <cell r="AA2163">
            <v>36</v>
          </cell>
          <cell r="AB2163">
            <v>144</v>
          </cell>
          <cell r="AC2163">
            <v>0</v>
          </cell>
          <cell r="AD2163">
            <v>144</v>
          </cell>
          <cell r="AE2163">
            <v>322</v>
          </cell>
          <cell r="AF2163">
            <v>0</v>
          </cell>
          <cell r="AG2163">
            <v>322</v>
          </cell>
        </row>
        <row r="2164">
          <cell r="C2164">
            <v>52130127</v>
          </cell>
          <cell r="D2164" t="str">
            <v>SHELL WADMUKHWADI ALANDI RD</v>
          </cell>
          <cell r="E2164" t="str">
            <v>SIMPL</v>
          </cell>
          <cell r="F2164" t="str">
            <v>2024-25</v>
          </cell>
          <cell r="G2164" t="str">
            <v>Pimpri Chinchwad RSA</v>
          </cell>
          <cell r="J2164" t="str">
            <v>Alandi</v>
          </cell>
          <cell r="K2164" t="str">
            <v>Pune</v>
          </cell>
          <cell r="L2164" t="str">
            <v>A</v>
          </cell>
          <cell r="O2164" t="str">
            <v>B</v>
          </cell>
          <cell r="P2164">
            <v>108</v>
          </cell>
          <cell r="Q2164">
            <v>16</v>
          </cell>
          <cell r="R2164">
            <v>0</v>
          </cell>
          <cell r="S2164">
            <v>0</v>
          </cell>
          <cell r="T2164">
            <v>108</v>
          </cell>
          <cell r="U2164">
            <v>16</v>
          </cell>
          <cell r="V2164">
            <v>282</v>
          </cell>
          <cell r="W2164">
            <v>56</v>
          </cell>
          <cell r="X2164">
            <v>0</v>
          </cell>
          <cell r="Y2164">
            <v>0</v>
          </cell>
          <cell r="Z2164">
            <v>282</v>
          </cell>
          <cell r="AA2164">
            <v>56</v>
          </cell>
          <cell r="AB2164">
            <v>124</v>
          </cell>
          <cell r="AC2164">
            <v>0</v>
          </cell>
          <cell r="AD2164">
            <v>124</v>
          </cell>
          <cell r="AE2164">
            <v>338</v>
          </cell>
          <cell r="AF2164">
            <v>0</v>
          </cell>
          <cell r="AG2164">
            <v>338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E33A8-5C63-48FF-B54F-FB5840F02A2B}">
  <dimension ref="A1:AD49"/>
  <sheetViews>
    <sheetView tabSelected="1" workbookViewId="0">
      <selection activeCell="N15" sqref="N15"/>
    </sheetView>
  </sheetViews>
  <sheetFormatPr defaultRowHeight="14.5" x14ac:dyDescent="0.35"/>
  <cols>
    <col min="3" max="3" width="34.7265625" customWidth="1"/>
    <col min="4" max="4" width="13.7265625" customWidth="1"/>
    <col min="5" max="5" width="21.08984375" customWidth="1"/>
    <col min="6" max="6" width="19.1796875" customWidth="1"/>
  </cols>
  <sheetData>
    <row r="1" spans="1:30" ht="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L1" s="21" t="s">
        <v>18</v>
      </c>
      <c r="M1" s="22"/>
      <c r="P1" s="21" t="s">
        <v>19</v>
      </c>
      <c r="Q1" s="22"/>
      <c r="S1" s="23" t="e">
        <f>#REF!</f>
        <v>#REF!</v>
      </c>
      <c r="T1" s="23"/>
      <c r="U1" s="23" t="e">
        <f>#REF!</f>
        <v>#REF!</v>
      </c>
      <c r="V1" s="23"/>
      <c r="W1" s="23" t="s">
        <v>20</v>
      </c>
      <c r="X1" s="23"/>
      <c r="Y1" s="24" t="s">
        <v>21</v>
      </c>
      <c r="Z1" s="25"/>
      <c r="AA1" s="24" t="s">
        <v>22</v>
      </c>
      <c r="AB1" s="25"/>
      <c r="AC1" s="23" t="s">
        <v>23</v>
      </c>
      <c r="AD1" s="23"/>
    </row>
    <row r="2" spans="1:30" x14ac:dyDescent="0.35">
      <c r="A2" s="2">
        <v>1</v>
      </c>
      <c r="B2" s="3">
        <v>41055815</v>
      </c>
      <c r="C2" s="4" t="str">
        <f>VLOOKUP($B2,[1]Master!$C$3:$AG$2165,2,0)</f>
        <v>N P PETROLEUM</v>
      </c>
      <c r="D2" s="2" t="str">
        <f>VLOOKUP($B2,[1]Master!$C$3:$AG$2165,3,0)</f>
        <v>HPCL</v>
      </c>
      <c r="E2" s="4" t="str">
        <f>VLOOKUP($B2,[1]Master!$C$3:$AG$2165,5,0)</f>
        <v>Pune Wagholi RSA</v>
      </c>
      <c r="F2" s="2" t="s">
        <v>6</v>
      </c>
      <c r="L2" s="26" t="s">
        <v>26</v>
      </c>
      <c r="M2" s="26" t="s">
        <v>27</v>
      </c>
      <c r="P2" s="26" t="s">
        <v>26</v>
      </c>
      <c r="Q2" s="26" t="s">
        <v>27</v>
      </c>
      <c r="S2" s="27" t="s">
        <v>24</v>
      </c>
      <c r="T2" s="27" t="s">
        <v>25</v>
      </c>
      <c r="U2" s="27" t="s">
        <v>24</v>
      </c>
      <c r="V2" s="27" t="s">
        <v>25</v>
      </c>
      <c r="W2" s="27" t="s">
        <v>24</v>
      </c>
      <c r="X2" s="27" t="s">
        <v>25</v>
      </c>
      <c r="Y2" s="27" t="s">
        <v>24</v>
      </c>
      <c r="Z2" s="27" t="s">
        <v>25</v>
      </c>
      <c r="AA2" s="27" t="s">
        <v>24</v>
      </c>
      <c r="AB2" s="27" t="s">
        <v>25</v>
      </c>
      <c r="AC2" s="27" t="s">
        <v>24</v>
      </c>
      <c r="AD2" s="27" t="s">
        <v>25</v>
      </c>
    </row>
    <row r="3" spans="1:30" x14ac:dyDescent="0.35">
      <c r="A3" s="2">
        <v>2</v>
      </c>
      <c r="B3" s="3">
        <v>338875</v>
      </c>
      <c r="C3" s="4" t="str">
        <f>VLOOKUP($B3,[1]Master!$C$3:$AG$2165,2,0)</f>
        <v>ASHOK PETROLEUM</v>
      </c>
      <c r="D3" s="2" t="str">
        <f>VLOOKUP($B3,[1]Master!$C$3:$AG$2165,3,0)</f>
        <v>IOCL</v>
      </c>
      <c r="E3" s="4" t="str">
        <f>VLOOKUP($B3,[1]Master!$C$3:$AG$2165,5,0)</f>
        <v>Pune Wagholi RSA</v>
      </c>
      <c r="F3" s="2" t="s">
        <v>6</v>
      </c>
      <c r="L3" s="28">
        <v>1.4788972089857046E-2</v>
      </c>
      <c r="M3" s="28">
        <v>5.8495575221238938E-2</v>
      </c>
      <c r="P3" s="29"/>
      <c r="Q3" s="29"/>
      <c r="S3" s="30">
        <v>957.20686999999953</v>
      </c>
      <c r="T3" s="31">
        <v>0.70956773165307596</v>
      </c>
      <c r="U3" s="30">
        <v>1139.0233600000001</v>
      </c>
      <c r="V3" s="31">
        <v>0.82299375722543366</v>
      </c>
      <c r="W3" s="30">
        <v>-181.81649000000061</v>
      </c>
      <c r="X3" s="31">
        <v>-0.1134260255723577</v>
      </c>
      <c r="Y3" s="30">
        <v>12413.018519999998</v>
      </c>
      <c r="Z3" s="31">
        <v>4.4942138015930473</v>
      </c>
      <c r="AA3" s="30">
        <v>1032.46489</v>
      </c>
      <c r="AB3" s="31">
        <v>0.3888756647834275</v>
      </c>
      <c r="AC3" s="30">
        <v>11380.553629999999</v>
      </c>
      <c r="AD3" s="28">
        <v>4.1053381368096193</v>
      </c>
    </row>
    <row r="4" spans="1:30" x14ac:dyDescent="0.35">
      <c r="A4" s="2">
        <v>3</v>
      </c>
      <c r="B4" s="3">
        <v>355347</v>
      </c>
      <c r="C4" s="4" t="str">
        <f>VLOOKUP($B4,[1]Master!$C$3:$AG$2165,2,0)</f>
        <v>LOYAL PETROL PUMP</v>
      </c>
      <c r="D4" s="2" t="str">
        <f>VLOOKUP($B4,[1]Master!$C$3:$AG$2165,3,0)</f>
        <v>IOCL</v>
      </c>
      <c r="E4" s="4" t="str">
        <f>VLOOKUP($B4,[1]Master!$C$3:$AG$2165,5,0)</f>
        <v>Pimpri Chinchwad RSA</v>
      </c>
      <c r="F4" s="2" t="s">
        <v>6</v>
      </c>
      <c r="L4" s="28">
        <v>1.4788972089857046E-2</v>
      </c>
      <c r="M4" s="28">
        <v>5.8495575221238938E-2</v>
      </c>
      <c r="P4" s="29"/>
      <c r="Q4" s="29"/>
      <c r="S4" s="30">
        <v>957.20686999999953</v>
      </c>
      <c r="T4" s="31">
        <v>0.70956773165307596</v>
      </c>
      <c r="U4" s="30">
        <v>1139.0233600000001</v>
      </c>
      <c r="V4" s="31">
        <v>0.82299375722543366</v>
      </c>
      <c r="W4" s="30">
        <v>-181.81649000000061</v>
      </c>
      <c r="X4" s="31">
        <v>-0.1134260255723577</v>
      </c>
      <c r="Y4" s="30">
        <v>12413.018519999998</v>
      </c>
      <c r="Z4" s="31">
        <v>4.4942138015930473</v>
      </c>
      <c r="AA4" s="30">
        <v>1032.46489</v>
      </c>
      <c r="AB4" s="31">
        <v>0.3888756647834275</v>
      </c>
      <c r="AC4" s="30">
        <v>11380.553629999999</v>
      </c>
      <c r="AD4" s="28">
        <v>4.1053381368096193</v>
      </c>
    </row>
    <row r="5" spans="1:30" x14ac:dyDescent="0.35">
      <c r="A5" s="2">
        <v>4</v>
      </c>
      <c r="B5" s="3">
        <v>41056065</v>
      </c>
      <c r="C5" s="4" t="str">
        <f>VLOOKUP($B5,[1]Master!$C$3:$AG$2165,2,0)</f>
        <v>HIGHWAY KING</v>
      </c>
      <c r="D5" s="2" t="str">
        <f>VLOOKUP($B5,[1]Master!$C$3:$AG$2165,3,0)</f>
        <v>HPCL</v>
      </c>
      <c r="E5" s="4" t="str">
        <f>VLOOKUP($B5,[1]Master!$C$3:$AG$2165,5,0)</f>
        <v>Pimpri Chinchwad RSA</v>
      </c>
      <c r="F5" s="2" t="s">
        <v>6</v>
      </c>
    </row>
    <row r="6" spans="1:30" x14ac:dyDescent="0.35">
      <c r="A6" s="2">
        <v>5</v>
      </c>
      <c r="B6" s="3">
        <v>41052039</v>
      </c>
      <c r="C6" s="4" t="str">
        <f>VLOOKUP($B6,[1]Master!$C$3:$AG$2165,2,0)</f>
        <v>GURUKRIPA PETROLEUM</v>
      </c>
      <c r="D6" s="2" t="str">
        <f>VLOOKUP($B6,[1]Master!$C$3:$AG$2165,3,0)</f>
        <v>HPCL</v>
      </c>
      <c r="E6" s="4" t="str">
        <f>VLOOKUP($B6,[1]Master!$C$3:$AG$2165,5,0)</f>
        <v>Pimpri Chinchwad RSA</v>
      </c>
      <c r="F6" s="2" t="s">
        <v>6</v>
      </c>
    </row>
    <row r="7" spans="1:30" x14ac:dyDescent="0.35">
      <c r="A7" s="2">
        <v>6</v>
      </c>
      <c r="B7" s="3">
        <v>232344</v>
      </c>
      <c r="C7" s="4" t="str">
        <f>VLOOKUP($B7,[1]Master!$C$3:$AG$2165,2,0)</f>
        <v>SWARA PETROLEUM</v>
      </c>
      <c r="D7" s="2" t="str">
        <f>VLOOKUP($B7,[1]Master!$C$3:$AG$2165,3,0)</f>
        <v>BPCL</v>
      </c>
      <c r="E7" s="4" t="str">
        <f>VLOOKUP($B7,[1]Master!$C$3:$AG$2165,5,0)</f>
        <v>Pimpri Chinchwad RSA</v>
      </c>
      <c r="F7" s="2" t="s">
        <v>6</v>
      </c>
    </row>
    <row r="8" spans="1:30" x14ac:dyDescent="0.35">
      <c r="A8" s="2">
        <v>7</v>
      </c>
      <c r="B8" s="3">
        <v>41050395</v>
      </c>
      <c r="C8" s="4" t="str">
        <f>VLOOKUP($B8,[1]Master!$C$3:$AG$2165,2,0)</f>
        <v>JAGTAP PETROLEUM</v>
      </c>
      <c r="D8" s="2" t="str">
        <f>VLOOKUP($B8,[1]Master!$C$3:$AG$2165,3,0)</f>
        <v>HPCL</v>
      </c>
      <c r="E8" s="4" t="str">
        <f>VLOOKUP($B8,[1]Master!$C$3:$AG$2165,5,0)</f>
        <v>Pimpri Chinchwad RSA</v>
      </c>
      <c r="F8" s="2" t="s">
        <v>6</v>
      </c>
    </row>
    <row r="9" spans="1:30" x14ac:dyDescent="0.35">
      <c r="A9" s="2">
        <v>8</v>
      </c>
      <c r="B9" s="3">
        <v>148178</v>
      </c>
      <c r="C9" s="4" t="str">
        <f>VLOOKUP($B9,[1]Master!$C$3:$AG$2165,2,0)</f>
        <v>ATUL SALES &amp; SERVICES</v>
      </c>
      <c r="D9" s="2" t="str">
        <f>VLOOKUP($B9,[1]Master!$C$3:$AG$2165,3,0)</f>
        <v>BPCL</v>
      </c>
      <c r="E9" s="4" t="str">
        <f>VLOOKUP($B9,[1]Master!$C$3:$AG$2165,5,0)</f>
        <v>Pimpri Chinchwad RSA</v>
      </c>
      <c r="F9" s="2" t="s">
        <v>6</v>
      </c>
    </row>
    <row r="10" spans="1:30" x14ac:dyDescent="0.35">
      <c r="A10" s="2">
        <v>9</v>
      </c>
      <c r="B10" s="3">
        <v>41055759</v>
      </c>
      <c r="C10" s="4" t="str">
        <f>VLOOKUP($B10,[1]Master!$C$3:$AG$2165,2,0)</f>
        <v>SHIVKRUPA PETROL DEPOT</v>
      </c>
      <c r="D10" s="2" t="str">
        <f>VLOOKUP($B10,[1]Master!$C$3:$AG$2165,3,0)</f>
        <v>HPCL</v>
      </c>
      <c r="E10" s="4" t="str">
        <f>VLOOKUP($B10,[1]Master!$C$3:$AG$2165,5,0)</f>
        <v>Pimpri Chinchwad RSA</v>
      </c>
      <c r="F10" s="2" t="s">
        <v>6</v>
      </c>
    </row>
    <row r="11" spans="1:30" x14ac:dyDescent="0.35">
      <c r="A11" s="2">
        <v>10</v>
      </c>
      <c r="B11" s="3">
        <v>245588</v>
      </c>
      <c r="C11" s="4" t="str">
        <f>VLOOKUP($B11,[1]Master!$C$3:$AG$2165,2,0)</f>
        <v>TATHE PETROLEUM</v>
      </c>
      <c r="D11" s="2" t="str">
        <f>VLOOKUP($B11,[1]Master!$C$3:$AG$2165,3,0)</f>
        <v>BPCL</v>
      </c>
      <c r="E11" s="4" t="str">
        <f>VLOOKUP($B11,[1]Master!$C$3:$AG$2165,5,0)</f>
        <v>Pimpri Chinchwad RSA</v>
      </c>
      <c r="F11" s="2" t="s">
        <v>6</v>
      </c>
    </row>
    <row r="12" spans="1:30" x14ac:dyDescent="0.35">
      <c r="A12" s="2">
        <v>11</v>
      </c>
      <c r="B12" s="3">
        <v>223995</v>
      </c>
      <c r="C12" s="4" t="str">
        <f>VLOOKUP($B12,[1]Master!$C$3:$AG$2165,2,0)</f>
        <v>Guruji Petroleum</v>
      </c>
      <c r="D12" s="2" t="str">
        <f>VLOOKUP($B12,[1]Master!$C$3:$AG$2165,3,0)</f>
        <v>IOCL</v>
      </c>
      <c r="E12" s="4" t="str">
        <f>VLOOKUP($B12,[1]Master!$C$3:$AG$2165,5,0)</f>
        <v>Pimpri Chinchwad RSA</v>
      </c>
      <c r="F12" s="2" t="s">
        <v>6</v>
      </c>
    </row>
    <row r="13" spans="1:30" x14ac:dyDescent="0.35">
      <c r="A13" s="2">
        <v>12</v>
      </c>
      <c r="B13" s="3">
        <v>37275</v>
      </c>
      <c r="C13" s="4" t="str">
        <f>VLOOKUP($B13,[1]Master!$C$3:$AG$2165,2,0)</f>
        <v>S D PETROLEUM RASE</v>
      </c>
      <c r="D13" s="2" t="str">
        <f>VLOOKUP($B13,[1]Master!$C$3:$AG$2165,3,0)</f>
        <v>NEL</v>
      </c>
      <c r="E13" s="4" t="str">
        <f>VLOOKUP($B13,[1]Master!$C$3:$AG$2165,5,0)</f>
        <v>Pimpri Chinchwad RSA</v>
      </c>
      <c r="F13" s="2" t="s">
        <v>6</v>
      </c>
    </row>
    <row r="14" spans="1:30" x14ac:dyDescent="0.35">
      <c r="A14" s="2">
        <v>13</v>
      </c>
      <c r="B14" s="3">
        <v>249858</v>
      </c>
      <c r="C14" s="4" t="str">
        <f>VLOOKUP($B14,[1]Master!$C$3:$AG$2165,2,0)</f>
        <v>NATH PETROLEUM</v>
      </c>
      <c r="D14" s="2" t="str">
        <f>VLOOKUP($B14,[1]Master!$C$3:$AG$2165,3,0)</f>
        <v>BPCL</v>
      </c>
      <c r="E14" s="4" t="str">
        <f>VLOOKUP($B14,[1]Master!$C$3:$AG$2165,5,0)</f>
        <v>Pimpri Chinchwad RSA</v>
      </c>
      <c r="F14" s="2" t="s">
        <v>6</v>
      </c>
    </row>
    <row r="15" spans="1:30" x14ac:dyDescent="0.35">
      <c r="A15" s="2">
        <v>14</v>
      </c>
      <c r="B15" s="3">
        <v>41043457</v>
      </c>
      <c r="C15" s="4" t="str">
        <f>VLOOKUP($B15,[1]Master!$C$3:$AG$2165,2,0)</f>
        <v>CHAKRESHWAR PETROLEUM</v>
      </c>
      <c r="D15" s="2" t="str">
        <f>VLOOKUP($B15,[1]Master!$C$3:$AG$2165,3,0)</f>
        <v>HPCL</v>
      </c>
      <c r="E15" s="4" t="str">
        <f>VLOOKUP($B15,[1]Master!$C$3:$AG$2165,5,0)</f>
        <v>Pimpri Chinchwad RSA</v>
      </c>
      <c r="F15" s="2" t="s">
        <v>6</v>
      </c>
    </row>
    <row r="16" spans="1:30" x14ac:dyDescent="0.35">
      <c r="A16" s="5">
        <v>15</v>
      </c>
      <c r="B16" s="6">
        <v>135645</v>
      </c>
      <c r="C16" s="7" t="str">
        <f>VLOOKUP($B16,[1]Master!$C$3:$AG$2165,2,0)</f>
        <v>SHRI SWAMI SAMARTH AUTO -KHARABWADI</v>
      </c>
      <c r="D16" s="5" t="str">
        <f>VLOOKUP($B16,[1]Master!$C$3:$AG$2165,3,0)</f>
        <v>IOCL</v>
      </c>
      <c r="E16" s="7" t="str">
        <f>VLOOKUP($B16,[1]Master!$C$3:$AG$2165,5,0)</f>
        <v>Pimpri Chinchwad RSA</v>
      </c>
      <c r="F16" s="5" t="s">
        <v>6</v>
      </c>
    </row>
    <row r="17" spans="1:6" x14ac:dyDescent="0.35">
      <c r="A17" s="2">
        <v>16</v>
      </c>
      <c r="B17" s="3">
        <v>28317</v>
      </c>
      <c r="C17" s="4" t="str">
        <f>VLOOKUP($B17,[1]Master!$C$3:$AG$2165,2,0)</f>
        <v>Shell Chakan</v>
      </c>
      <c r="D17" s="2" t="str">
        <f>VLOOKUP($B17,[1]Master!$C$3:$AG$2165,3,0)</f>
        <v>SIMPL</v>
      </c>
      <c r="E17" s="4" t="str">
        <f>VLOOKUP($B17,[1]Master!$C$3:$AG$2165,5,0)</f>
        <v>Pimpri Chinchwad RSA</v>
      </c>
      <c r="F17" s="2" t="s">
        <v>6</v>
      </c>
    </row>
    <row r="18" spans="1:6" x14ac:dyDescent="0.35">
      <c r="A18" s="2">
        <v>17</v>
      </c>
      <c r="B18" s="3">
        <v>334432</v>
      </c>
      <c r="C18" s="4" t="str">
        <f>VLOOKUP($B18,[1]Master!$C$3:$AG$2165,2,0)</f>
        <v>JOPAIDEVI PETROLEUM</v>
      </c>
      <c r="D18" s="2" t="str">
        <f>VLOOKUP($B18,[1]Master!$C$3:$AG$2165,3,0)</f>
        <v>IOCL</v>
      </c>
      <c r="E18" s="4" t="str">
        <f>VLOOKUP($B18,[1]Master!$C$3:$AG$2165,5,0)</f>
        <v>Pimpri Chinchwad RSA</v>
      </c>
      <c r="F18" s="2" t="s">
        <v>6</v>
      </c>
    </row>
    <row r="19" spans="1:6" x14ac:dyDescent="0.35">
      <c r="A19" s="2">
        <v>18</v>
      </c>
      <c r="B19" s="3">
        <v>208883</v>
      </c>
      <c r="C19" s="4" t="str">
        <f>VLOOKUP($B19,[1]Master!$C$3:$AG$2165,2,0)</f>
        <v>KALBHOR PETROLEUM</v>
      </c>
      <c r="D19" s="2" t="str">
        <f>VLOOKUP($B19,[1]Master!$C$3:$AG$2165,3,0)</f>
        <v>IOCL</v>
      </c>
      <c r="E19" s="4" t="str">
        <f>VLOOKUP($B19,[1]Master!$C$3:$AG$2165,5,0)</f>
        <v>Pimpri Chinchwad RSA</v>
      </c>
      <c r="F19" s="2" t="s">
        <v>6</v>
      </c>
    </row>
    <row r="20" spans="1:6" x14ac:dyDescent="0.35">
      <c r="A20" s="2">
        <v>19</v>
      </c>
      <c r="B20" s="3">
        <v>41056086</v>
      </c>
      <c r="C20" s="4" t="str">
        <f>VLOOKUP($B20,[1]Master!$C$3:$AG$2165,2,0)</f>
        <v>HARE KRISHNA PETROLEUM</v>
      </c>
      <c r="D20" s="2" t="str">
        <f>VLOOKUP($B20,[1]Master!$C$3:$AG$2165,3,0)</f>
        <v>HPCL</v>
      </c>
      <c r="E20" s="4" t="str">
        <f>VLOOKUP($B20,[1]Master!$C$3:$AG$2165,5,0)</f>
        <v>Pimpri Chinchwad RSA</v>
      </c>
      <c r="F20" s="2" t="s">
        <v>6</v>
      </c>
    </row>
    <row r="21" spans="1:6" x14ac:dyDescent="0.35">
      <c r="A21" s="2">
        <v>20</v>
      </c>
      <c r="B21" s="3">
        <v>212658</v>
      </c>
      <c r="C21" s="4" t="str">
        <f>VLOOKUP($B21,[1]Master!$C$3:$AG$2165,2,0)</f>
        <v>MAHALAXMI PETROLEUM</v>
      </c>
      <c r="D21" s="2" t="str">
        <f>VLOOKUP($B21,[1]Master!$C$3:$AG$2165,3,0)</f>
        <v>BPCL</v>
      </c>
      <c r="E21" s="4" t="str">
        <f>VLOOKUP($B21,[1]Master!$C$3:$AG$2165,5,0)</f>
        <v>Pimpri Chinchwad RSA</v>
      </c>
      <c r="F21" s="2" t="s">
        <v>6</v>
      </c>
    </row>
    <row r="22" spans="1:6" x14ac:dyDescent="0.35">
      <c r="A22" s="2">
        <v>21</v>
      </c>
      <c r="B22" s="3">
        <v>41039607</v>
      </c>
      <c r="C22" s="4" t="str">
        <f>VLOOKUP($B22,[1]Master!$C$3:$AG$2165,2,0)</f>
        <v>BHOSLE PETROLEUM COMPANY</v>
      </c>
      <c r="D22" s="2" t="str">
        <f>VLOOKUP($B22,[1]Master!$C$3:$AG$2165,3,0)</f>
        <v>HPCL</v>
      </c>
      <c r="E22" s="4" t="str">
        <f>VLOOKUP($B22,[1]Master!$C$3:$AG$2165,5,0)</f>
        <v>Pimpri Chinchwad RSA</v>
      </c>
      <c r="F22" s="2" t="s">
        <v>6</v>
      </c>
    </row>
    <row r="23" spans="1:6" x14ac:dyDescent="0.35">
      <c r="A23" s="2">
        <v>22</v>
      </c>
      <c r="B23" s="3">
        <v>51815795</v>
      </c>
      <c r="C23" s="4" t="str">
        <f>VLOOKUP($B23,[1]Master!$C$3:$AG$2165,2,0)</f>
        <v>NEL Pune 2</v>
      </c>
      <c r="D23" s="2" t="str">
        <f>VLOOKUP($B23,[1]Master!$C$3:$AG$2165,3,0)</f>
        <v>NEL</v>
      </c>
      <c r="E23" s="4" t="str">
        <f>VLOOKUP($B23,[1]Master!$C$3:$AG$2165,5,0)</f>
        <v>Pimpri Chinchwad RSA</v>
      </c>
      <c r="F23" s="2" t="s">
        <v>6</v>
      </c>
    </row>
    <row r="24" spans="1:6" x14ac:dyDescent="0.35">
      <c r="A24" s="2">
        <v>23</v>
      </c>
      <c r="B24" s="3">
        <v>41055818</v>
      </c>
      <c r="C24" s="4" t="str">
        <f>VLOOKUP($B24,[1]Master!$C$3:$AG$2165,2,0)</f>
        <v>RAGHUNANDAN PETROLEUM</v>
      </c>
      <c r="D24" s="2" t="str">
        <f>VLOOKUP($B24,[1]Master!$C$3:$AG$2165,3,0)</f>
        <v>HPCL</v>
      </c>
      <c r="E24" s="4" t="str">
        <f>VLOOKUP($B24,[1]Master!$C$3:$AG$2165,5,0)</f>
        <v>Pune Wagholi RSA</v>
      </c>
      <c r="F24" s="2" t="s">
        <v>6</v>
      </c>
    </row>
    <row r="25" spans="1:6" x14ac:dyDescent="0.35">
      <c r="A25" s="2">
        <v>24</v>
      </c>
      <c r="B25" s="3">
        <v>100178</v>
      </c>
      <c r="C25" s="4" t="str">
        <f>VLOOKUP($B25,[1]Master!$C$3:$AG$2165,2,0)</f>
        <v>U.P. GUJAR</v>
      </c>
      <c r="D25" s="2" t="str">
        <f>VLOOKUP($B25,[1]Master!$C$3:$AG$2165,3,0)</f>
        <v>BPCL</v>
      </c>
      <c r="E25" s="4" t="str">
        <f>VLOOKUP($B25,[1]Master!$C$3:$AG$2165,5,0)</f>
        <v>Pune Wagholi RSA</v>
      </c>
      <c r="F25" s="2" t="s">
        <v>7</v>
      </c>
    </row>
    <row r="26" spans="1:6" x14ac:dyDescent="0.35">
      <c r="A26" s="2">
        <v>25</v>
      </c>
      <c r="B26" s="3">
        <v>288855</v>
      </c>
      <c r="C26" s="4" t="str">
        <f>VLOOKUP($B26,[1]Master!$C$3:$AG$2165,2,0)</f>
        <v>ADITYA PETRO CORPORATION</v>
      </c>
      <c r="D26" s="2" t="str">
        <f>VLOOKUP($B26,[1]Master!$C$3:$AG$2165,3,0)</f>
        <v>IOCL</v>
      </c>
      <c r="E26" s="4" t="str">
        <f>VLOOKUP($B26,[1]Master!$C$3:$AG$2165,5,0)</f>
        <v>Pimpri Chinchwad RSA</v>
      </c>
      <c r="F26" s="2" t="s">
        <v>7</v>
      </c>
    </row>
    <row r="27" spans="1:6" x14ac:dyDescent="0.35">
      <c r="A27" s="2">
        <v>26</v>
      </c>
      <c r="B27" s="3">
        <v>41052056</v>
      </c>
      <c r="C27" s="4" t="str">
        <f>VLOOKUP($B27,[1]Master!$C$3:$AG$2165,2,0)</f>
        <v>RADHE RADHE PETROLEUM</v>
      </c>
      <c r="D27" s="2" t="str">
        <f>VLOOKUP($B27,[1]Master!$C$3:$AG$2165,3,0)</f>
        <v>HPCL</v>
      </c>
      <c r="E27" s="4" t="str">
        <f>VLOOKUP($B27,[1]Master!$C$3:$AG$2165,5,0)</f>
        <v>Pimpri Chinchwad RSA</v>
      </c>
      <c r="F27" s="2" t="s">
        <v>7</v>
      </c>
    </row>
    <row r="28" spans="1:6" x14ac:dyDescent="0.35">
      <c r="A28" s="2">
        <v>27</v>
      </c>
      <c r="B28" s="3">
        <v>333846</v>
      </c>
      <c r="C28" s="4" t="str">
        <f>VLOOKUP($B28,[1]Master!$C$3:$AG$2165,2,0)</f>
        <v>GHANSHYAM PETROLEUM</v>
      </c>
      <c r="D28" s="2" t="str">
        <f>VLOOKUP($B28,[1]Master!$C$3:$AG$2165,3,0)</f>
        <v>IOCL</v>
      </c>
      <c r="E28" s="4" t="str">
        <f>VLOOKUP($B28,[1]Master!$C$3:$AG$2165,5,0)</f>
        <v>Pimpri Chinchwad RSA</v>
      </c>
      <c r="F28" s="2" t="s">
        <v>7</v>
      </c>
    </row>
    <row r="29" spans="1:6" x14ac:dyDescent="0.35">
      <c r="A29" s="2">
        <v>28</v>
      </c>
      <c r="B29" s="3">
        <v>41055777</v>
      </c>
      <c r="C29" s="4" t="str">
        <f>VLOOKUP($B29,[1]Master!$C$3:$AG$2165,2,0)</f>
        <v>SHRI DYANMUKUT PETROL DEPOT</v>
      </c>
      <c r="D29" s="2" t="str">
        <f>VLOOKUP($B29,[1]Master!$C$3:$AG$2165,3,0)</f>
        <v>HPCL</v>
      </c>
      <c r="E29" s="4" t="str">
        <f>VLOOKUP($B29,[1]Master!$C$3:$AG$2165,5,0)</f>
        <v>Pimpri Chinchwad RSA</v>
      </c>
      <c r="F29" s="2" t="s">
        <v>7</v>
      </c>
    </row>
    <row r="30" spans="1:6" x14ac:dyDescent="0.35">
      <c r="A30" s="2">
        <v>29</v>
      </c>
      <c r="B30" s="3">
        <v>265541</v>
      </c>
      <c r="C30" s="4" t="str">
        <f>VLOOKUP($B30,[1]Master!$C$3:$AG$2165,2,0)</f>
        <v>B D Petroleum</v>
      </c>
      <c r="D30" s="2" t="str">
        <f>VLOOKUP($B30,[1]Master!$C$3:$AG$2165,3,0)</f>
        <v>IOCL</v>
      </c>
      <c r="E30" s="4" t="str">
        <f>VLOOKUP($B30,[1]Master!$C$3:$AG$2165,5,0)</f>
        <v>Pimpri Chinchwad RSA</v>
      </c>
      <c r="F30" s="2" t="s">
        <v>7</v>
      </c>
    </row>
    <row r="31" spans="1:6" x14ac:dyDescent="0.35">
      <c r="A31" s="2">
        <v>30</v>
      </c>
      <c r="B31" s="3">
        <v>234441</v>
      </c>
      <c r="C31" s="4" t="str">
        <f>VLOOKUP($B31,[1]Master!$C$3:$AG$2165,2,0)</f>
        <v>SHIVSHAKTI GROUP OF PETROLEUM</v>
      </c>
      <c r="D31" s="2" t="str">
        <f>VLOOKUP($B31,[1]Master!$C$3:$AG$2165,3,0)</f>
        <v>BPCL</v>
      </c>
      <c r="E31" s="4" t="str">
        <f>VLOOKUP($B31,[1]Master!$C$3:$AG$2165,5,0)</f>
        <v>Pimpri Chinchwad RSA</v>
      </c>
      <c r="F31" s="2" t="s">
        <v>7</v>
      </c>
    </row>
    <row r="32" spans="1:6" x14ac:dyDescent="0.35">
      <c r="A32" s="2">
        <v>31</v>
      </c>
      <c r="B32" s="3">
        <v>41034431</v>
      </c>
      <c r="C32" s="4" t="str">
        <f>VLOOKUP($B32,[1]Master!$C$3:$AG$2165,2,0)</f>
        <v>PADMANABH PETROLEUM</v>
      </c>
      <c r="D32" s="2" t="str">
        <f>VLOOKUP($B32,[1]Master!$C$3:$AG$2165,3,0)</f>
        <v>HPCL</v>
      </c>
      <c r="E32" s="4" t="str">
        <f>VLOOKUP($B32,[1]Master!$C$3:$AG$2165,5,0)</f>
        <v>Pimpri Chinchwad RSA</v>
      </c>
      <c r="F32" s="2" t="s">
        <v>7</v>
      </c>
    </row>
    <row r="33" spans="1:6" x14ac:dyDescent="0.35">
      <c r="A33" s="2">
        <v>32</v>
      </c>
      <c r="B33" s="3">
        <v>192263</v>
      </c>
      <c r="C33" s="4" t="str">
        <f>VLOOKUP($B33,[1]Master!$C$3:$AG$2165,2,0)</f>
        <v>MAHADEVI PETROL DEPOT</v>
      </c>
      <c r="D33" s="2" t="str">
        <f>VLOOKUP($B33,[1]Master!$C$3:$AG$2165,3,0)</f>
        <v>IOCL</v>
      </c>
      <c r="E33" s="4" t="str">
        <f>VLOOKUP($B33,[1]Master!$C$3:$AG$2165,5,0)</f>
        <v>Pimpri Chinchwad RSA</v>
      </c>
      <c r="F33" s="2" t="s">
        <v>7</v>
      </c>
    </row>
    <row r="34" spans="1:6" x14ac:dyDescent="0.35">
      <c r="A34" s="2">
        <v>33</v>
      </c>
      <c r="B34" s="3">
        <v>145871</v>
      </c>
      <c r="C34" s="4" t="str">
        <f>VLOOKUP($B34,[1]Master!$C$3:$AG$2165,2,0)</f>
        <v>SHUBAM PETROL DEPOT</v>
      </c>
      <c r="D34" s="2" t="str">
        <f>VLOOKUP($B34,[1]Master!$C$3:$AG$2165,3,0)</f>
        <v>BPCL</v>
      </c>
      <c r="E34" s="4" t="str">
        <f>VLOOKUP($B34,[1]Master!$C$3:$AG$2165,5,0)</f>
        <v>Pimpri Chinchwad RSA</v>
      </c>
      <c r="F34" s="2" t="s">
        <v>7</v>
      </c>
    </row>
    <row r="35" spans="1:6" x14ac:dyDescent="0.35">
      <c r="A35" s="2">
        <v>34</v>
      </c>
      <c r="B35" s="3">
        <v>41055739</v>
      </c>
      <c r="C35" s="4" t="str">
        <f>VLOOKUP($B35,[1]Master!$C$3:$AG$2165,2,0)</f>
        <v>SHAHID VIJAY KHANDEKAR  PETROLEUM</v>
      </c>
      <c r="D35" s="2" t="str">
        <f>VLOOKUP($B35,[1]Master!$C$3:$AG$2165,3,0)</f>
        <v>HPCL</v>
      </c>
      <c r="E35" s="4" t="str">
        <f>VLOOKUP($B35,[1]Master!$C$3:$AG$2165,5,0)</f>
        <v>Pimpri Chinchwad RSA</v>
      </c>
      <c r="F35" s="2" t="s">
        <v>7</v>
      </c>
    </row>
    <row r="36" spans="1:6" x14ac:dyDescent="0.35">
      <c r="A36" s="2">
        <v>35</v>
      </c>
      <c r="B36" s="3">
        <v>51815803</v>
      </c>
      <c r="C36" s="4" t="str">
        <f>VLOOKUP($B36,[1]Master!$C$3:$AG$2165,2,0)</f>
        <v>NEL Pune 9</v>
      </c>
      <c r="D36" s="2" t="str">
        <f>VLOOKUP($B36,[1]Master!$C$3:$AG$2165,3,0)</f>
        <v>NEL</v>
      </c>
      <c r="E36" s="4" t="str">
        <f>VLOOKUP($B36,[1]Master!$C$3:$AG$2165,5,0)</f>
        <v>Pimpri Chinchwad RSA</v>
      </c>
      <c r="F36" s="2" t="s">
        <v>7</v>
      </c>
    </row>
    <row r="37" spans="1:6" x14ac:dyDescent="0.35">
      <c r="A37" s="2">
        <v>36</v>
      </c>
      <c r="B37" s="3">
        <v>208865</v>
      </c>
      <c r="C37" s="4" t="str">
        <f>VLOOKUP($B37,[1]Master!$C$3:$AG$2165,2,0)</f>
        <v>BHEGADE SERVICE STATION</v>
      </c>
      <c r="D37" s="2" t="str">
        <f>VLOOKUP($B37,[1]Master!$C$3:$AG$2165,3,0)</f>
        <v>IOCL</v>
      </c>
      <c r="E37" s="4" t="str">
        <f>VLOOKUP($B37,[1]Master!$C$3:$AG$2165,5,0)</f>
        <v>Pimpri Chinchwad RSA</v>
      </c>
      <c r="F37" s="2" t="s">
        <v>7</v>
      </c>
    </row>
    <row r="38" spans="1:6" x14ac:dyDescent="0.35">
      <c r="A38" s="2">
        <v>37</v>
      </c>
      <c r="B38" s="3">
        <v>41043536</v>
      </c>
      <c r="C38" s="4" t="str">
        <f>VLOOKUP($B38,[1]Master!$C$3:$AG$2165,2,0)</f>
        <v>PRASHANT PETROLEUM</v>
      </c>
      <c r="D38" s="2" t="str">
        <f>VLOOKUP($B38,[1]Master!$C$3:$AG$2165,3,0)</f>
        <v>HPCL</v>
      </c>
      <c r="E38" s="4" t="str">
        <f>VLOOKUP($B38,[1]Master!$C$3:$AG$2165,5,0)</f>
        <v>Pimpri Chinchwad RSA</v>
      </c>
      <c r="F38" s="2" t="s">
        <v>7</v>
      </c>
    </row>
    <row r="39" spans="1:6" x14ac:dyDescent="0.35">
      <c r="A39" s="2">
        <v>38</v>
      </c>
      <c r="B39" s="3">
        <v>292488</v>
      </c>
      <c r="C39" s="4" t="str">
        <f>VLOOKUP($B39,[1]Master!$C$3:$AG$2165,2,0)</f>
        <v>PADMAVATI PETROLEUM</v>
      </c>
      <c r="D39" s="2" t="str">
        <f>VLOOKUP($B39,[1]Master!$C$3:$AG$2165,3,0)</f>
        <v>IOCL</v>
      </c>
      <c r="E39" s="4" t="str">
        <f>VLOOKUP($B39,[1]Master!$C$3:$AG$2165,5,0)</f>
        <v>Pimpri Chinchwad RSA</v>
      </c>
      <c r="F39" s="2" t="s">
        <v>7</v>
      </c>
    </row>
    <row r="40" spans="1:6" x14ac:dyDescent="0.35">
      <c r="A40" s="8"/>
      <c r="B40" s="9"/>
      <c r="C40" s="10"/>
      <c r="D40" s="11"/>
      <c r="E40" s="12"/>
      <c r="F40" s="11"/>
    </row>
    <row r="41" spans="1:6" x14ac:dyDescent="0.35">
      <c r="A41" s="13" t="s">
        <v>8</v>
      </c>
      <c r="B41" s="13"/>
      <c r="C41" s="14"/>
      <c r="D41" s="15" t="s">
        <v>3</v>
      </c>
      <c r="E41" s="15" t="s">
        <v>9</v>
      </c>
      <c r="F41" s="15" t="s">
        <v>10</v>
      </c>
    </row>
    <row r="42" spans="1:6" x14ac:dyDescent="0.35">
      <c r="A42" s="16"/>
      <c r="B42" s="16"/>
      <c r="C42" s="17"/>
      <c r="D42" s="15"/>
      <c r="E42" s="15"/>
      <c r="F42" s="15"/>
    </row>
    <row r="43" spans="1:6" x14ac:dyDescent="0.35">
      <c r="A43" s="16"/>
      <c r="B43" s="16"/>
      <c r="C43" s="17"/>
      <c r="D43" s="18" t="s">
        <v>11</v>
      </c>
      <c r="E43" s="19">
        <f t="shared" ref="E43:E48" si="0">COUNTIFS($D$4:$D$41,$D43)</f>
        <v>11</v>
      </c>
      <c r="F43" s="20" t="e">
        <f t="shared" ref="F43:F49" si="1">E43/$E$51*100</f>
        <v>#DIV/0!</v>
      </c>
    </row>
    <row r="44" spans="1:6" x14ac:dyDescent="0.35">
      <c r="A44" s="16"/>
      <c r="B44" s="16"/>
      <c r="C44" s="17"/>
      <c r="D44" s="18" t="s">
        <v>12</v>
      </c>
      <c r="E44" s="19">
        <f t="shared" si="0"/>
        <v>8</v>
      </c>
      <c r="F44" s="20" t="e">
        <f t="shared" si="1"/>
        <v>#DIV/0!</v>
      </c>
    </row>
    <row r="45" spans="1:6" x14ac:dyDescent="0.35">
      <c r="A45" s="16"/>
      <c r="B45" s="16"/>
      <c r="C45" s="17"/>
      <c r="D45" s="18" t="s">
        <v>13</v>
      </c>
      <c r="E45" s="19">
        <f t="shared" si="0"/>
        <v>13</v>
      </c>
      <c r="F45" s="20" t="e">
        <f t="shared" si="1"/>
        <v>#DIV/0!</v>
      </c>
    </row>
    <row r="46" spans="1:6" x14ac:dyDescent="0.35">
      <c r="A46" s="16"/>
      <c r="B46" s="16"/>
      <c r="C46" s="17"/>
      <c r="D46" s="18" t="s">
        <v>14</v>
      </c>
      <c r="E46" s="19">
        <f t="shared" si="0"/>
        <v>3</v>
      </c>
      <c r="F46" s="20" t="e">
        <f t="shared" si="1"/>
        <v>#DIV/0!</v>
      </c>
    </row>
    <row r="47" spans="1:6" x14ac:dyDescent="0.35">
      <c r="A47" s="16"/>
      <c r="B47" s="16"/>
      <c r="C47" s="17"/>
      <c r="D47" s="18" t="s">
        <v>15</v>
      </c>
      <c r="E47" s="19">
        <f t="shared" si="0"/>
        <v>0</v>
      </c>
      <c r="F47" s="20" t="e">
        <f t="shared" si="1"/>
        <v>#DIV/0!</v>
      </c>
    </row>
    <row r="48" spans="1:6" x14ac:dyDescent="0.35">
      <c r="A48" s="16"/>
      <c r="B48" s="16"/>
      <c r="C48" s="17"/>
      <c r="D48" s="18" t="s">
        <v>16</v>
      </c>
      <c r="E48" s="19">
        <f t="shared" si="0"/>
        <v>1</v>
      </c>
      <c r="F48" s="20" t="e">
        <f t="shared" si="1"/>
        <v>#DIV/0!</v>
      </c>
    </row>
    <row r="49" spans="1:6" x14ac:dyDescent="0.35">
      <c r="A49" s="16"/>
      <c r="B49" s="16"/>
      <c r="C49" s="17"/>
      <c r="D49" s="18" t="s">
        <v>17</v>
      </c>
      <c r="E49" s="19">
        <f>SUM(E43:E48)</f>
        <v>36</v>
      </c>
      <c r="F49" s="20" t="e">
        <f t="shared" si="1"/>
        <v>#DIV/0!</v>
      </c>
    </row>
  </sheetData>
  <mergeCells count="12">
    <mergeCell ref="S1:T1"/>
    <mergeCell ref="U1:V1"/>
    <mergeCell ref="W1:X1"/>
    <mergeCell ref="Y1:Z1"/>
    <mergeCell ref="AA1:AB1"/>
    <mergeCell ref="AC1:AD1"/>
    <mergeCell ref="A41:C49"/>
    <mergeCell ref="D41:D42"/>
    <mergeCell ref="E41:E42"/>
    <mergeCell ref="F41:F42"/>
    <mergeCell ref="L1:M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Chanchal Kislay Prasad</dc:creator>
  <cp:lastModifiedBy>Chanchal Kislay Prasad</cp:lastModifiedBy>
  <dcterms:created xsi:type="dcterms:W3CDTF">2026-07-04T08:59:06Z</dcterms:created>
  <dcterms:modified xsi:type="dcterms:W3CDTF">2026-07-04T09:02:19Z</dcterms:modified>
</cp:coreProperties>
</file>