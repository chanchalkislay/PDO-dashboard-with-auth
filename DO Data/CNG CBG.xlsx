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aude Cowork\Github Copy 1 July\DO Data\"/>
    </mc:Choice>
  </mc:AlternateContent>
  <xr:revisionPtr revIDLastSave="0" documentId="8_{FAC0180C-8945-4A23-A5E4-D9829DA4DDF7}" xr6:coauthVersionLast="47" xr6:coauthVersionMax="47" xr10:uidLastSave="{00000000-0000-0000-0000-000000000000}"/>
  <bookViews>
    <workbookView xWindow="-110" yWindow="-110" windowWidth="38620" windowHeight="21100" xr2:uid="{CBDE1804-6C5D-4AC0-A181-E25FEAE20439}"/>
  </bookViews>
  <sheets>
    <sheet name="CNG" sheetId="2" r:id="rId1"/>
    <sheet name="CBG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W62" i="2" l="1"/>
  <c r="BV62" i="2"/>
  <c r="BU62" i="2"/>
  <c r="BT62" i="2"/>
  <c r="BS62" i="2"/>
  <c r="BR62" i="2"/>
  <c r="BQ62" i="2"/>
  <c r="BP62" i="2"/>
  <c r="BO62" i="2"/>
  <c r="BN62" i="2"/>
  <c r="BM62" i="2"/>
  <c r="BL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BX61" i="2"/>
  <c r="BK61" i="2"/>
  <c r="AX61" i="2"/>
  <c r="AK61" i="2"/>
  <c r="BX60" i="2"/>
  <c r="BK60" i="2"/>
  <c r="AX60" i="2"/>
  <c r="AK60" i="2"/>
  <c r="BX59" i="2"/>
  <c r="BK59" i="2"/>
  <c r="AX59" i="2"/>
  <c r="AK59" i="2"/>
  <c r="BX58" i="2"/>
  <c r="BK58" i="2"/>
  <c r="AX58" i="2"/>
  <c r="AK58" i="2"/>
  <c r="BX57" i="2"/>
  <c r="BK57" i="2"/>
  <c r="AX57" i="2"/>
  <c r="AK57" i="2"/>
  <c r="BX56" i="2"/>
  <c r="BX62" i="2" s="1"/>
  <c r="BK56" i="2"/>
  <c r="BK62" i="2" s="1"/>
  <c r="AX56" i="2"/>
  <c r="AX62" i="2" s="1"/>
  <c r="AK56" i="2"/>
  <c r="BW52" i="2"/>
  <c r="BV52" i="2"/>
  <c r="BU52" i="2"/>
  <c r="BX52" i="2" s="1"/>
  <c r="BT52" i="2"/>
  <c r="BS52" i="2"/>
  <c r="BR52" i="2"/>
  <c r="BQ52" i="2"/>
  <c r="BP52" i="2"/>
  <c r="BO52" i="2"/>
  <c r="BN52" i="2"/>
  <c r="BM52" i="2"/>
  <c r="BL52" i="2"/>
  <c r="BJ52" i="2"/>
  <c r="BI52" i="2"/>
  <c r="BH52" i="2"/>
  <c r="BG52" i="2"/>
  <c r="BF52" i="2"/>
  <c r="BE52" i="2"/>
  <c r="BD52" i="2"/>
  <c r="BC52" i="2"/>
  <c r="BB52" i="2"/>
  <c r="BA52" i="2"/>
  <c r="BK52" i="2" s="1"/>
  <c r="AZ52" i="2"/>
  <c r="AY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X52" i="2" s="1"/>
  <c r="AJ52" i="2"/>
  <c r="AI52" i="2"/>
  <c r="AH52" i="2"/>
  <c r="AG52" i="2"/>
  <c r="AK52" i="2" s="1"/>
  <c r="AF52" i="2"/>
  <c r="AE52" i="2"/>
  <c r="AD52" i="2"/>
  <c r="AC52" i="2"/>
  <c r="AB52" i="2"/>
  <c r="AA52" i="2"/>
  <c r="Z52" i="2"/>
  <c r="Y52" i="2"/>
  <c r="W52" i="2"/>
  <c r="V52" i="2"/>
  <c r="U52" i="2"/>
  <c r="T52" i="2"/>
  <c r="S52" i="2"/>
  <c r="R52" i="2"/>
  <c r="Q52" i="2"/>
  <c r="P52" i="2"/>
  <c r="O52" i="2"/>
  <c r="N52" i="2"/>
  <c r="M52" i="2"/>
  <c r="X52" i="2" s="1"/>
  <c r="L52" i="2"/>
  <c r="BX50" i="2"/>
  <c r="BK50" i="2"/>
  <c r="AX50" i="2"/>
  <c r="AK50" i="2"/>
  <c r="X50" i="2"/>
  <c r="F50" i="2"/>
  <c r="E50" i="2"/>
  <c r="D50" i="2"/>
  <c r="C50" i="2"/>
  <c r="BX49" i="2"/>
  <c r="BK49" i="2"/>
  <c r="AX49" i="2"/>
  <c r="AK49" i="2"/>
  <c r="X49" i="2"/>
  <c r="F49" i="2"/>
  <c r="E49" i="2"/>
  <c r="D49" i="2"/>
  <c r="C49" i="2"/>
  <c r="BX48" i="2"/>
  <c r="BK48" i="2"/>
  <c r="AX48" i="2"/>
  <c r="AK48" i="2"/>
  <c r="X48" i="2"/>
  <c r="F48" i="2"/>
  <c r="E48" i="2"/>
  <c r="D48" i="2"/>
  <c r="C48" i="2"/>
  <c r="BX47" i="2"/>
  <c r="BK47" i="2"/>
  <c r="AX47" i="2"/>
  <c r="AK47" i="2"/>
  <c r="X47" i="2"/>
  <c r="F47" i="2"/>
  <c r="E47" i="2"/>
  <c r="D47" i="2"/>
  <c r="C47" i="2"/>
  <c r="BX46" i="2"/>
  <c r="BK46" i="2"/>
  <c r="AX46" i="2"/>
  <c r="AK46" i="2"/>
  <c r="X46" i="2"/>
  <c r="F46" i="2"/>
  <c r="E46" i="2"/>
  <c r="D46" i="2"/>
  <c r="C46" i="2"/>
  <c r="BX45" i="2"/>
  <c r="BK45" i="2"/>
  <c r="AX45" i="2"/>
  <c r="AK45" i="2"/>
  <c r="X45" i="2"/>
  <c r="BX44" i="2"/>
  <c r="BK44" i="2"/>
  <c r="AX44" i="2"/>
  <c r="AK44" i="2"/>
  <c r="X44" i="2"/>
  <c r="BX43" i="2"/>
  <c r="BK43" i="2"/>
  <c r="AX43" i="2"/>
  <c r="AK43" i="2"/>
  <c r="X43" i="2"/>
  <c r="BX42" i="2"/>
  <c r="BK42" i="2"/>
  <c r="AX42" i="2"/>
  <c r="AK42" i="2"/>
  <c r="X42" i="2"/>
  <c r="BX41" i="2"/>
  <c r="BK41" i="2"/>
  <c r="AX41" i="2"/>
  <c r="AK41" i="2"/>
  <c r="X41" i="2"/>
  <c r="BX40" i="2"/>
  <c r="BK40" i="2"/>
  <c r="AX40" i="2"/>
  <c r="AK40" i="2"/>
  <c r="X40" i="2"/>
  <c r="BX39" i="2"/>
  <c r="BK39" i="2"/>
  <c r="AX39" i="2"/>
  <c r="AK39" i="2"/>
  <c r="X39" i="2"/>
  <c r="BX38" i="2"/>
  <c r="BK38" i="2"/>
  <c r="AX38" i="2"/>
  <c r="AK38" i="2"/>
  <c r="X38" i="2"/>
  <c r="BX37" i="2"/>
  <c r="BK37" i="2"/>
  <c r="AX37" i="2"/>
  <c r="AK37" i="2"/>
  <c r="X37" i="2"/>
  <c r="BX36" i="2"/>
  <c r="BK36" i="2"/>
  <c r="AX36" i="2"/>
  <c r="AK36" i="2"/>
  <c r="X36" i="2"/>
  <c r="BX35" i="2"/>
  <c r="BK35" i="2"/>
  <c r="AX35" i="2"/>
  <c r="AK35" i="2"/>
  <c r="X35" i="2"/>
  <c r="BX34" i="2"/>
  <c r="BK34" i="2"/>
  <c r="AX34" i="2"/>
  <c r="AK34" i="2"/>
  <c r="X34" i="2"/>
  <c r="BX33" i="2"/>
  <c r="BK33" i="2"/>
  <c r="AX33" i="2"/>
  <c r="AK33" i="2"/>
  <c r="X33" i="2"/>
  <c r="BX32" i="2"/>
  <c r="BK32" i="2"/>
  <c r="AX32" i="2"/>
  <c r="AK32" i="2"/>
  <c r="X32" i="2"/>
  <c r="BX31" i="2"/>
  <c r="BK31" i="2"/>
  <c r="AX31" i="2"/>
  <c r="AK31" i="2"/>
  <c r="X31" i="2"/>
  <c r="BX30" i="2"/>
  <c r="BK30" i="2"/>
  <c r="AX30" i="2"/>
  <c r="AK30" i="2"/>
  <c r="X30" i="2"/>
  <c r="BX29" i="2"/>
  <c r="BK29" i="2"/>
  <c r="AX29" i="2"/>
  <c r="AK29" i="2"/>
  <c r="X29" i="2"/>
  <c r="BX28" i="2"/>
  <c r="BK28" i="2"/>
  <c r="AX28" i="2"/>
  <c r="AK28" i="2"/>
  <c r="X28" i="2"/>
  <c r="BX27" i="2"/>
  <c r="BK27" i="2"/>
  <c r="AX27" i="2"/>
  <c r="AK27" i="2"/>
  <c r="X27" i="2"/>
  <c r="BX26" i="2"/>
  <c r="BK26" i="2"/>
  <c r="AX26" i="2"/>
  <c r="AK26" i="2"/>
  <c r="X26" i="2"/>
  <c r="BX25" i="2"/>
  <c r="BK25" i="2"/>
  <c r="AX25" i="2"/>
  <c r="AK25" i="2"/>
  <c r="X25" i="2"/>
  <c r="BX24" i="2"/>
  <c r="BK24" i="2"/>
  <c r="AX24" i="2"/>
  <c r="AK24" i="2"/>
  <c r="X24" i="2"/>
  <c r="BX23" i="2"/>
  <c r="BK23" i="2"/>
  <c r="AX23" i="2"/>
  <c r="AK23" i="2"/>
  <c r="X23" i="2"/>
  <c r="BX22" i="2"/>
  <c r="BK22" i="2"/>
  <c r="AX22" i="2"/>
  <c r="AK22" i="2"/>
  <c r="X22" i="2"/>
  <c r="BX21" i="2"/>
  <c r="BK21" i="2"/>
  <c r="AX21" i="2"/>
  <c r="AK21" i="2"/>
  <c r="X21" i="2"/>
  <c r="BX20" i="2"/>
  <c r="BK20" i="2"/>
  <c r="AX20" i="2"/>
  <c r="AK20" i="2"/>
  <c r="X20" i="2"/>
  <c r="BX19" i="2"/>
  <c r="BK19" i="2"/>
  <c r="AX19" i="2"/>
  <c r="AK19" i="2"/>
  <c r="X19" i="2"/>
  <c r="BX18" i="2"/>
  <c r="BK18" i="2"/>
  <c r="AX18" i="2"/>
  <c r="AK18" i="2"/>
  <c r="X18" i="2"/>
  <c r="BX17" i="2"/>
  <c r="BK17" i="2"/>
  <c r="AX17" i="2"/>
  <c r="AK17" i="2"/>
  <c r="X17" i="2"/>
  <c r="BX16" i="2"/>
  <c r="BK16" i="2"/>
  <c r="AX16" i="2"/>
  <c r="AK16" i="2"/>
  <c r="X16" i="2"/>
  <c r="BX15" i="2"/>
  <c r="BK15" i="2"/>
  <c r="AX15" i="2"/>
  <c r="AK15" i="2"/>
  <c r="X15" i="2"/>
  <c r="BX14" i="2"/>
  <c r="BK14" i="2"/>
  <c r="AX14" i="2"/>
  <c r="AK14" i="2"/>
  <c r="X14" i="2"/>
  <c r="BX13" i="2"/>
  <c r="BK13" i="2"/>
  <c r="AX13" i="2"/>
  <c r="AK13" i="2"/>
  <c r="X13" i="2"/>
  <c r="BX12" i="2"/>
  <c r="BK12" i="2"/>
  <c r="AX12" i="2"/>
  <c r="AK12" i="2"/>
  <c r="X12" i="2"/>
  <c r="BX11" i="2"/>
  <c r="BK11" i="2"/>
  <c r="AX11" i="2"/>
  <c r="AK11" i="2"/>
  <c r="X11" i="2"/>
  <c r="BX10" i="2"/>
  <c r="BK10" i="2"/>
  <c r="AX10" i="2"/>
  <c r="AK10" i="2"/>
  <c r="X10" i="2"/>
  <c r="BX9" i="2"/>
  <c r="BK9" i="2"/>
  <c r="AX9" i="2"/>
  <c r="AK9" i="2"/>
  <c r="X9" i="2"/>
  <c r="BX8" i="2"/>
  <c r="BK8" i="2"/>
  <c r="AX8" i="2"/>
  <c r="AK8" i="2"/>
  <c r="X8" i="2"/>
  <c r="BX7" i="2"/>
  <c r="BK7" i="2"/>
  <c r="AX7" i="2"/>
  <c r="AK7" i="2"/>
  <c r="X7" i="2"/>
  <c r="BX6" i="2"/>
  <c r="BK6" i="2"/>
  <c r="AX6" i="2"/>
  <c r="AK6" i="2"/>
  <c r="X6" i="2"/>
  <c r="BX5" i="2"/>
  <c r="BK5" i="2"/>
  <c r="AX5" i="2"/>
  <c r="AK5" i="2"/>
  <c r="X5" i="2"/>
  <c r="BX4" i="2"/>
  <c r="BK4" i="2"/>
  <c r="AX4" i="2"/>
  <c r="AK4" i="2"/>
  <c r="X4" i="2"/>
  <c r="BX3" i="2"/>
  <c r="BK3" i="2"/>
  <c r="AX3" i="2"/>
  <c r="AK3" i="2"/>
  <c r="X3" i="2"/>
  <c r="BX2" i="2"/>
  <c r="BK2" i="2"/>
  <c r="AX2" i="2"/>
  <c r="AK2" i="2"/>
  <c r="X2" i="2"/>
  <c r="BV25" i="1"/>
  <c r="BU25" i="1"/>
  <c r="BT25" i="1"/>
  <c r="BS25" i="1"/>
  <c r="BR25" i="1"/>
  <c r="BQ25" i="1"/>
  <c r="BP25" i="1"/>
  <c r="BO25" i="1"/>
  <c r="BN25" i="1"/>
  <c r="BM25" i="1"/>
  <c r="BL25" i="1"/>
  <c r="BK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BW24" i="1"/>
  <c r="BJ24" i="1"/>
  <c r="AW24" i="1"/>
  <c r="AJ24" i="1"/>
  <c r="BW23" i="1"/>
  <c r="BJ23" i="1"/>
  <c r="AW23" i="1"/>
  <c r="AJ23" i="1"/>
  <c r="BW22" i="1"/>
  <c r="BJ22" i="1"/>
  <c r="AW22" i="1"/>
  <c r="AJ22" i="1"/>
  <c r="BW21" i="1"/>
  <c r="BJ21" i="1"/>
  <c r="AW21" i="1"/>
  <c r="AJ21" i="1"/>
  <c r="BW20" i="1"/>
  <c r="BJ20" i="1"/>
  <c r="AW20" i="1"/>
  <c r="AJ20" i="1"/>
  <c r="BW19" i="1"/>
  <c r="BW25" i="1" s="1"/>
  <c r="BJ19" i="1"/>
  <c r="BJ25" i="1" s="1"/>
  <c r="AW19" i="1"/>
  <c r="AW25" i="1" s="1"/>
  <c r="AJ19" i="1"/>
  <c r="AJ25" i="1" s="1"/>
  <c r="BV15" i="1"/>
  <c r="BU15" i="1"/>
  <c r="BT15" i="1"/>
  <c r="BS15" i="1"/>
  <c r="BR15" i="1"/>
  <c r="BQ15" i="1"/>
  <c r="BP15" i="1"/>
  <c r="BO15" i="1"/>
  <c r="BN15" i="1"/>
  <c r="BM15" i="1"/>
  <c r="BL15" i="1"/>
  <c r="BK15" i="1"/>
  <c r="BW15" i="1" s="1"/>
  <c r="BI15" i="1"/>
  <c r="BH15" i="1"/>
  <c r="BG15" i="1"/>
  <c r="BF15" i="1"/>
  <c r="BE15" i="1"/>
  <c r="BD15" i="1"/>
  <c r="BJ15" i="1" s="1"/>
  <c r="BC15" i="1"/>
  <c r="BB15" i="1"/>
  <c r="BA15" i="1"/>
  <c r="AZ15" i="1"/>
  <c r="AY15" i="1"/>
  <c r="AX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W15" i="1" s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V15" i="1"/>
  <c r="U15" i="1"/>
  <c r="T15" i="1"/>
  <c r="S15" i="1"/>
  <c r="R15" i="1"/>
  <c r="Q15" i="1"/>
  <c r="P15" i="1"/>
  <c r="W15" i="1" s="1"/>
  <c r="O15" i="1"/>
  <c r="N15" i="1"/>
  <c r="M15" i="1"/>
  <c r="L15" i="1"/>
  <c r="K15" i="1"/>
  <c r="BW13" i="1"/>
  <c r="BJ13" i="1"/>
  <c r="AW13" i="1"/>
  <c r="AJ13" i="1"/>
  <c r="W13" i="1"/>
  <c r="BW12" i="1"/>
  <c r="BJ12" i="1"/>
  <c r="AW12" i="1"/>
  <c r="AJ12" i="1"/>
  <c r="W12" i="1"/>
  <c r="F12" i="1"/>
  <c r="E12" i="1"/>
  <c r="D12" i="1"/>
  <c r="C12" i="1"/>
  <c r="BW11" i="1"/>
  <c r="BJ11" i="1"/>
  <c r="AW11" i="1"/>
  <c r="AJ11" i="1"/>
  <c r="W11" i="1"/>
  <c r="BW10" i="1"/>
  <c r="BJ10" i="1"/>
  <c r="AW10" i="1"/>
  <c r="AJ10" i="1"/>
  <c r="W10" i="1"/>
  <c r="BW9" i="1"/>
  <c r="BJ9" i="1"/>
  <c r="AW9" i="1"/>
  <c r="AJ9" i="1"/>
  <c r="W9" i="1"/>
  <c r="BW8" i="1"/>
  <c r="BJ8" i="1"/>
  <c r="AW8" i="1"/>
  <c r="AJ8" i="1"/>
  <c r="W8" i="1"/>
  <c r="BW7" i="1"/>
  <c r="BJ7" i="1"/>
  <c r="AW7" i="1"/>
  <c r="AJ7" i="1"/>
  <c r="W7" i="1"/>
  <c r="BW6" i="1"/>
  <c r="BJ6" i="1"/>
  <c r="AW6" i="1"/>
  <c r="AJ6" i="1"/>
  <c r="W6" i="1"/>
  <c r="BW5" i="1"/>
  <c r="BJ5" i="1"/>
  <c r="AW5" i="1"/>
  <c r="AJ5" i="1"/>
  <c r="W5" i="1"/>
  <c r="BW4" i="1"/>
  <c r="BJ4" i="1"/>
  <c r="AW4" i="1"/>
  <c r="AJ4" i="1"/>
  <c r="W4" i="1"/>
  <c r="BW3" i="1"/>
  <c r="BJ3" i="1"/>
  <c r="AW3" i="1"/>
  <c r="AJ3" i="1"/>
  <c r="W3" i="1"/>
  <c r="BW2" i="1"/>
  <c r="BJ2" i="1"/>
  <c r="AW2" i="1"/>
  <c r="AJ2" i="1"/>
  <c r="W2" i="1"/>
</calcChain>
</file>

<file path=xl/sharedStrings.xml><?xml version="1.0" encoding="utf-8"?>
<sst xmlns="http://schemas.openxmlformats.org/spreadsheetml/2006/main" count="711" uniqueCount="185">
  <si>
    <t>S.No</t>
  </si>
  <si>
    <t>RO Code</t>
  </si>
  <si>
    <t>RO Name</t>
  </si>
  <si>
    <t>Sales Area</t>
  </si>
  <si>
    <t>Type of Site</t>
  </si>
  <si>
    <t>Class of Market</t>
  </si>
  <si>
    <t xml:space="preserve"> Comm. Year</t>
  </si>
  <si>
    <t>CBG Sales Start</t>
  </si>
  <si>
    <t>CGD Co.</t>
  </si>
  <si>
    <t>Under CNG CBG Synchronization</t>
  </si>
  <si>
    <t>APR.22</t>
  </si>
  <si>
    <t>MAY.22</t>
  </si>
  <si>
    <t>JUN.22</t>
  </si>
  <si>
    <t>JUL.22</t>
  </si>
  <si>
    <t>AUG.22</t>
  </si>
  <si>
    <t>SEP.22</t>
  </si>
  <si>
    <t>OCT.22</t>
  </si>
  <si>
    <t>NOV.22</t>
  </si>
  <si>
    <t>DEC.22</t>
  </si>
  <si>
    <t>JAN.23</t>
  </si>
  <si>
    <t>FEB.23</t>
  </si>
  <si>
    <t>MAR.23</t>
  </si>
  <si>
    <t>2022-23</t>
  </si>
  <si>
    <t>APR.23</t>
  </si>
  <si>
    <t>MAY.23</t>
  </si>
  <si>
    <t>JUN.23</t>
  </si>
  <si>
    <t>JUL.23</t>
  </si>
  <si>
    <t>AUG.23</t>
  </si>
  <si>
    <t>SEP.23</t>
  </si>
  <si>
    <t>OCT.23</t>
  </si>
  <si>
    <t>NOV.23</t>
  </si>
  <si>
    <t>DEC.23</t>
  </si>
  <si>
    <t>JAN.24</t>
  </si>
  <si>
    <t>FEB.24</t>
  </si>
  <si>
    <t>MAR.24</t>
  </si>
  <si>
    <t>2023-24</t>
  </si>
  <si>
    <t>APR.24</t>
  </si>
  <si>
    <t>MAY.24</t>
  </si>
  <si>
    <t>JUN.24</t>
  </si>
  <si>
    <t>JUL.24</t>
  </si>
  <si>
    <t>AUG.24</t>
  </si>
  <si>
    <t>SEP.24</t>
  </si>
  <si>
    <t>OCT.24</t>
  </si>
  <si>
    <t>NOV.24</t>
  </si>
  <si>
    <t>DEC.24</t>
  </si>
  <si>
    <t>JAN.25</t>
  </si>
  <si>
    <t>FEB.25</t>
  </si>
  <si>
    <t>MAR.25</t>
  </si>
  <si>
    <t>2024-25</t>
  </si>
  <si>
    <t>APR.25</t>
  </si>
  <si>
    <t>MAY.25</t>
  </si>
  <si>
    <t>JUN.25</t>
  </si>
  <si>
    <t>JUL.25</t>
  </si>
  <si>
    <t>AUG.25</t>
  </si>
  <si>
    <t>SEP.25</t>
  </si>
  <si>
    <t>OCT.25</t>
  </si>
  <si>
    <t>NOV.25</t>
  </si>
  <si>
    <t>DEC.25</t>
  </si>
  <si>
    <t>JAN.26</t>
  </si>
  <si>
    <t>FEB.26</t>
  </si>
  <si>
    <t>MAR.26</t>
  </si>
  <si>
    <t>2025-26</t>
  </si>
  <si>
    <t>APR.26</t>
  </si>
  <si>
    <t>MAY.26</t>
  </si>
  <si>
    <t>JUN.26</t>
  </si>
  <si>
    <t>JUL.26</t>
  </si>
  <si>
    <t>AUG.26</t>
  </si>
  <si>
    <t>SEP.26</t>
  </si>
  <si>
    <t>OCT.26</t>
  </si>
  <si>
    <t>NOV.26</t>
  </si>
  <si>
    <t>DEC.26</t>
  </si>
  <si>
    <t>JAN.27</t>
  </si>
  <si>
    <t>FEB.27</t>
  </si>
  <si>
    <t>MAR.27</t>
  </si>
  <si>
    <t>2026-27</t>
  </si>
  <si>
    <t>New Auto Corner</t>
  </si>
  <si>
    <t>Pune Tathawade RSA</t>
  </si>
  <si>
    <t>B</t>
  </si>
  <si>
    <t>D1</t>
  </si>
  <si>
    <t>2020-21</t>
  </si>
  <si>
    <t>12.11.2020</t>
  </si>
  <si>
    <t>Noble Exchange</t>
  </si>
  <si>
    <t>No</t>
  </si>
  <si>
    <t>Unique Petroleum</t>
  </si>
  <si>
    <t>Pune Wagholi RSA</t>
  </si>
  <si>
    <t>A</t>
  </si>
  <si>
    <t>15.02.2024</t>
  </si>
  <si>
    <t>Torrent thru Shreenath Mhaskoba</t>
  </si>
  <si>
    <t>Yes</t>
  </si>
  <si>
    <t>Chaitanya Automobiles</t>
  </si>
  <si>
    <t>2021-22</t>
  </si>
  <si>
    <t>01.06.2023</t>
  </si>
  <si>
    <t>Torrent thru United Bio-Energy</t>
  </si>
  <si>
    <t>Sai Petro Link</t>
  </si>
  <si>
    <t>Satara West RSA</t>
  </si>
  <si>
    <t>28.04.2022</t>
  </si>
  <si>
    <t>Clarus</t>
  </si>
  <si>
    <t>Jaihind Petroleum KSK</t>
  </si>
  <si>
    <t>E</t>
  </si>
  <si>
    <t>08.08.2022</t>
  </si>
  <si>
    <t>Uday Fuel Services</t>
  </si>
  <si>
    <t>10.11.2023</t>
  </si>
  <si>
    <t>Undre Patil Petroleum</t>
  </si>
  <si>
    <t>02.04.2024</t>
  </si>
  <si>
    <t>Shreenath Mhaskoba</t>
  </si>
  <si>
    <t>Khot Petroluem</t>
  </si>
  <si>
    <t>YTS</t>
  </si>
  <si>
    <t>United Bio-Energy</t>
  </si>
  <si>
    <t>Shree Narayan Maharaj Petroleum</t>
  </si>
  <si>
    <t>Pune Hadapsar RSA</t>
  </si>
  <si>
    <t>D2</t>
  </si>
  <si>
    <t>26.03.2024</t>
  </si>
  <si>
    <t>Mahalaxmi Petro Link</t>
  </si>
  <si>
    <t>Khandoba Distilleries</t>
  </si>
  <si>
    <t>VITTHAL PETROLEUM</t>
  </si>
  <si>
    <t>Pune Saswad RSA</t>
  </si>
  <si>
    <t>C</t>
  </si>
  <si>
    <t>Torrent thru CBG Plant</t>
  </si>
  <si>
    <t>Y2 FIGURES</t>
  </si>
  <si>
    <t>IOCL</t>
  </si>
  <si>
    <t>BPCL</t>
  </si>
  <si>
    <t>HPCL</t>
  </si>
  <si>
    <t>NEL</t>
  </si>
  <si>
    <t>RBML</t>
  </si>
  <si>
    <t>SIMPL</t>
  </si>
  <si>
    <t>CNG Comm. Year</t>
  </si>
  <si>
    <t>CNG Sales Start</t>
  </si>
  <si>
    <t>Type of Station</t>
  </si>
  <si>
    <t>PIMPLE PETROLEUM</t>
  </si>
  <si>
    <t>Pimpri Chinchwad RSA</t>
  </si>
  <si>
    <t>2011-12</t>
  </si>
  <si>
    <t>MNGL</t>
  </si>
  <si>
    <t>JYOTI PETROLEUM</t>
  </si>
  <si>
    <t>Pune City RSA</t>
  </si>
  <si>
    <t>SHREE BALAJI PETROLEUM</t>
  </si>
  <si>
    <t>2013-14</t>
  </si>
  <si>
    <t>MAHADEVI PETROL DEPOT</t>
  </si>
  <si>
    <t>SARHAAN PETROLEUM</t>
  </si>
  <si>
    <t>2014-15</t>
  </si>
  <si>
    <t>LT. COL. SHAHEED PATIL</t>
  </si>
  <si>
    <t>SAI SAMARTHA PETROLEUM</t>
  </si>
  <si>
    <t>2016-17</t>
  </si>
  <si>
    <t>REGAL PETROLEUM</t>
  </si>
  <si>
    <t>2017-18</t>
  </si>
  <si>
    <t>JAYESH PETROLEUM</t>
  </si>
  <si>
    <t>2018-19</t>
  </si>
  <si>
    <t>TGL</t>
  </si>
  <si>
    <t>SAI GANESH PETROLEUM</t>
  </si>
  <si>
    <t>RAJLAXMI PETRO HUB</t>
  </si>
  <si>
    <t>KAJALE &amp; SONS</t>
  </si>
  <si>
    <t>YOGESH SERVICE STATION</t>
  </si>
  <si>
    <t>2019-20</t>
  </si>
  <si>
    <t>DUDHANE PETROLEUM</t>
  </si>
  <si>
    <t>MAULI PETROLEUM</t>
  </si>
  <si>
    <t>PATIL &amp; SONS PETROLEUM</t>
  </si>
  <si>
    <t>BHONGLE PETROLEUM</t>
  </si>
  <si>
    <t>SAI DWARKA PETROLEUM</t>
  </si>
  <si>
    <t>WANKHEDE PETROLEUM</t>
  </si>
  <si>
    <t>VEER PETROLEUM</t>
  </si>
  <si>
    <t>JADHAV PETRO PARK</t>
  </si>
  <si>
    <t>COMMANDANT SRPF GROUP-5</t>
  </si>
  <si>
    <t>SHREENATH PETROLEUM</t>
  </si>
  <si>
    <t>JADHAV PATIL PETROLEUM</t>
  </si>
  <si>
    <t>BHAMA PETROLEUM</t>
  </si>
  <si>
    <t>UNIQUE PETROLEUM</t>
  </si>
  <si>
    <t>BD PETROLEUM</t>
  </si>
  <si>
    <t>SHREE SWAMI SAMARTH AUTO CENTRE</t>
  </si>
  <si>
    <t>AFEXCO PETROLEUM</t>
  </si>
  <si>
    <t>CHAITANYA AUTOMOBILES</t>
  </si>
  <si>
    <t>JAIHIND PETROLEUM KSK</t>
  </si>
  <si>
    <t>Decommissioned</t>
  </si>
  <si>
    <t>ABC INDIA LTD.</t>
  </si>
  <si>
    <t>SHREE GAJANA MAHARAJ PETROLEUM</t>
  </si>
  <si>
    <t>LOKSEVA PETROLEUM</t>
  </si>
  <si>
    <t>SAI SINDHU PETROLEUM</t>
  </si>
  <si>
    <t>Shirdi RSA</t>
  </si>
  <si>
    <t>SHREE YASHWANTRAY PETROLEUM</t>
  </si>
  <si>
    <t>POONAM PETROLEUM</t>
  </si>
  <si>
    <t>GURUJI PETROLEUM</t>
  </si>
  <si>
    <t>ANIL AUTOMOBILES</t>
  </si>
  <si>
    <t>AKASHAYKIRAN PETROLEUM</t>
  </si>
  <si>
    <t>AHER PATIL &amp; SONS</t>
  </si>
  <si>
    <t>YASH PETROLEUM KSK</t>
  </si>
  <si>
    <t>Satara East RSA</t>
  </si>
  <si>
    <t>DUBASH PETROLEUM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</si>
</sst>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name val="Arial"/>
      <family val="2"/>
    </font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1" fontId="4" fillId="6" borderId="1" xfId="0" applyNumberFormat="1" applyFont="1" applyFill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 vertical="center"/>
    </xf>
    <xf numFmtId="3" fontId="0" fillId="0" borderId="0" xfId="0" applyNumberForma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center"/>
    </xf>
    <xf numFmtId="1" fontId="0" fillId="0" borderId="1" xfId="1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0" fillId="0" borderId="2" xfId="1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" fontId="2" fillId="8" borderId="1" xfId="1" applyNumberFormat="1" applyFont="1" applyFill="1" applyBorder="1" applyAlignment="1">
      <alignment horizontal="center"/>
    </xf>
  </cellXfs>
  <cellStyles count="2">
    <cellStyle name="Comma 5" xfId="1" xr:uid="{C16C0355-5601-4DAD-BC2A-51EFBF3037F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b99294f6f6ba084/01%20Pune/00%202025/2026-27/May%202026/Sales%20Master%20-%20May26.xlsx" TargetMode="External"/><Relationship Id="rId1" Type="http://schemas.openxmlformats.org/officeDocument/2006/relationships/externalLinkPath" Target="https://d.docs.live.net/0b99294f6f6ba084/01%20Pune/00%202025/2026-27/May%202026/Sales%20Master%20-%20May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-Class"/>
      <sheetName val="C-Class"/>
      <sheetName val="D1-Class"/>
      <sheetName val="D2-Class"/>
      <sheetName val="E-Class"/>
      <sheetName val="PESO"/>
      <sheetName val="MKT SHARE"/>
      <sheetName val="MS"/>
      <sheetName val="HSD"/>
      <sheetName val="XP95"/>
      <sheetName val="XG"/>
      <sheetName val="CNG"/>
      <sheetName val="CBG"/>
      <sheetName val="IOCL"/>
      <sheetName val="BPCL"/>
      <sheetName val="HPCL"/>
      <sheetName val="NEL"/>
      <sheetName val="RBML"/>
      <sheetName val="SIMPL"/>
      <sheetName val="Master"/>
      <sheetName val="MS High Potential"/>
      <sheetName val="Transformative"/>
      <sheetName val="Apnaghar"/>
      <sheetName val="R&amp;R"/>
      <sheetName val="Resitement"/>
      <sheetName val="TAA (MS)"/>
      <sheetName val="TAA (HSD)"/>
      <sheetName val="Class of Mkt"/>
      <sheetName val="Class of Mkt PSU"/>
      <sheetName val="M-Summary"/>
      <sheetName val="CY-Summary"/>
      <sheetName val="SWAGAT"/>
      <sheetName val="Swagat TAA"/>
      <sheetName val="MS IND RSA"/>
      <sheetName val="HSD IND RSA"/>
      <sheetName val="Trend IND"/>
      <sheetName val="MS PSU RSA"/>
      <sheetName val="HSD PSU RSA"/>
      <sheetName val="Trend PSU"/>
      <sheetName val="MS IND DIST"/>
      <sheetName val="HSD IND DIST"/>
      <sheetName val="MS PSU DIST"/>
      <sheetName val="HSD PSU Dist"/>
      <sheetName val="Trend Dist"/>
      <sheetName val="XP95 IND DIST"/>
      <sheetName val="%XP95"/>
      <sheetName val="%XG"/>
      <sheetName val="Dhruva"/>
      <sheetName val="SRMP 2023"/>
      <sheetName val="Attain"/>
      <sheetName val="Xperience"/>
      <sheetName val="Lube"/>
      <sheetName val="DEF"/>
      <sheetName val="XP"/>
      <sheetName val="XP Online"/>
      <sheetName val="XP Volume"/>
      <sheetName val="LOI"/>
      <sheetName val="-ve Selling ROs"/>
      <sheetName val="Nil Selling"/>
      <sheetName val="NFR"/>
      <sheetName val="eSL5"/>
      <sheetName val="EVCS 26-27"/>
      <sheetName val="Vendor Details"/>
      <sheetName val="EVCS"/>
      <sheetName val="CPCL"/>
      <sheetName val="RO Breakup"/>
      <sheetName val="OS"/>
      <sheetName val="Corp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">
          <cell r="C2" t="str">
            <v>OMC CODE</v>
          </cell>
          <cell r="D2" t="str">
            <v>RETAIL OUTLET NAME</v>
          </cell>
          <cell r="E2" t="str">
            <v>OIL CO</v>
          </cell>
          <cell r="F2" t="str">
            <v>YOC</v>
          </cell>
          <cell r="G2" t="str">
            <v>SALES AREA</v>
          </cell>
          <cell r="H2" t="str">
            <v>DOC</v>
          </cell>
          <cell r="I2" t="str">
            <v>Category</v>
          </cell>
          <cell r="J2" t="str">
            <v>TRADING AREA NAME</v>
          </cell>
          <cell r="K2" t="str">
            <v>DISTRICT</v>
          </cell>
          <cell r="L2" t="str">
            <v>CLASS OF MKT</v>
          </cell>
          <cell r="M2" t="str">
            <v>HIGHWAY NO.</v>
          </cell>
          <cell r="N2" t="str">
            <v>Chainage No</v>
          </cell>
          <cell r="O2" t="str">
            <v>A/B SITE</v>
          </cell>
        </row>
        <row r="3">
          <cell r="C3">
            <v>100107</v>
          </cell>
          <cell r="D3" t="str">
            <v>A.R. DOSHI</v>
          </cell>
          <cell r="E3" t="str">
            <v>BPCL</v>
          </cell>
          <cell r="G3" t="str">
            <v>Ahmednagar West RSA</v>
          </cell>
          <cell r="J3" t="str">
            <v>Rashin</v>
          </cell>
          <cell r="K3" t="str">
            <v>Ahmednagar</v>
          </cell>
          <cell r="L3" t="str">
            <v>D2</v>
          </cell>
          <cell r="O3" t="str">
            <v>A</v>
          </cell>
        </row>
        <row r="4">
          <cell r="C4">
            <v>100108</v>
          </cell>
          <cell r="D4" t="str">
            <v>ADARSH AUTOMOBILES</v>
          </cell>
          <cell r="E4" t="str">
            <v>BPCL</v>
          </cell>
          <cell r="G4" t="str">
            <v>Pune City RSA</v>
          </cell>
          <cell r="J4" t="str">
            <v>VADGAON SHERI</v>
          </cell>
          <cell r="K4" t="str">
            <v>Pune</v>
          </cell>
          <cell r="L4" t="str">
            <v>A</v>
          </cell>
          <cell r="O4" t="str">
            <v>B</v>
          </cell>
        </row>
        <row r="5">
          <cell r="C5">
            <v>100110</v>
          </cell>
          <cell r="D5" t="str">
            <v>ALFA SERVICE STATION, NAIGAON (HSD)</v>
          </cell>
          <cell r="E5" t="str">
            <v>BPCL</v>
          </cell>
          <cell r="G5" t="str">
            <v>Pune Hadapsar RSA</v>
          </cell>
          <cell r="J5" t="str">
            <v>Urlikanchan LHS</v>
          </cell>
          <cell r="K5" t="str">
            <v>Pune</v>
          </cell>
          <cell r="L5" t="str">
            <v>D1</v>
          </cell>
          <cell r="M5" t="str">
            <v>NH-65</v>
          </cell>
          <cell r="O5" t="str">
            <v>A</v>
          </cell>
        </row>
        <row r="6">
          <cell r="C6">
            <v>100111</v>
          </cell>
          <cell r="D6" t="str">
            <v>ALFA SERVICE STATION, (MS)</v>
          </cell>
          <cell r="E6" t="str">
            <v>BPCL</v>
          </cell>
          <cell r="G6" t="str">
            <v>Pune City RSA</v>
          </cell>
          <cell r="J6" t="str">
            <v>BOPODI/DAPODI/KIRKEE/WAKDEWADI</v>
          </cell>
          <cell r="K6" t="str">
            <v>Pune</v>
          </cell>
          <cell r="L6" t="str">
            <v>A</v>
          </cell>
          <cell r="O6" t="str">
            <v>A</v>
          </cell>
        </row>
        <row r="7">
          <cell r="C7">
            <v>100112</v>
          </cell>
          <cell r="D7" t="str">
            <v>AMIT SERVICE CENTRE</v>
          </cell>
          <cell r="E7" t="str">
            <v>BPCL</v>
          </cell>
          <cell r="G7" t="str">
            <v>Pune Tathawade RSA</v>
          </cell>
          <cell r="J7" t="str">
            <v>BHOR</v>
          </cell>
          <cell r="K7" t="str">
            <v>Pune</v>
          </cell>
          <cell r="L7" t="str">
            <v>D1</v>
          </cell>
          <cell r="M7" t="str">
            <v>NH-965DD</v>
          </cell>
          <cell r="O7" t="str">
            <v>A</v>
          </cell>
        </row>
        <row r="8">
          <cell r="C8">
            <v>100113</v>
          </cell>
          <cell r="D8" t="str">
            <v>ANANT OIL AGENCY</v>
          </cell>
          <cell r="E8" t="str">
            <v>BPCL</v>
          </cell>
          <cell r="G8" t="str">
            <v>Shirdi RSA</v>
          </cell>
          <cell r="J8" t="str">
            <v>RAHURI NH</v>
          </cell>
          <cell r="K8" t="str">
            <v>Ahmednagar</v>
          </cell>
          <cell r="L8" t="str">
            <v>D1</v>
          </cell>
          <cell r="M8" t="str">
            <v>NH-160</v>
          </cell>
          <cell r="O8" t="str">
            <v>A</v>
          </cell>
        </row>
        <row r="9">
          <cell r="C9">
            <v>100114</v>
          </cell>
          <cell r="D9" t="str">
            <v>ASHISH PETROLEUM</v>
          </cell>
          <cell r="E9" t="str">
            <v>BPCL</v>
          </cell>
          <cell r="G9" t="str">
            <v>Pune Tathawade RSA</v>
          </cell>
          <cell r="J9" t="str">
            <v>MORGAON</v>
          </cell>
          <cell r="K9" t="str">
            <v>Pune</v>
          </cell>
          <cell r="L9" t="str">
            <v>D1</v>
          </cell>
          <cell r="M9" t="str">
            <v>NH-965D</v>
          </cell>
          <cell r="O9" t="str">
            <v>B</v>
          </cell>
        </row>
        <row r="10">
          <cell r="C10">
            <v>100116</v>
          </cell>
          <cell r="D10" t="str">
            <v>ASHOK PETROLEUM</v>
          </cell>
          <cell r="E10" t="str">
            <v>BPCL</v>
          </cell>
          <cell r="G10" t="str">
            <v>Pune Hadapsar RSA</v>
          </cell>
          <cell r="J10" t="str">
            <v>Yawat RHS</v>
          </cell>
          <cell r="K10" t="str">
            <v>Pune</v>
          </cell>
          <cell r="L10" t="str">
            <v>D1</v>
          </cell>
          <cell r="M10" t="str">
            <v>NH-65</v>
          </cell>
          <cell r="O10" t="str">
            <v>A</v>
          </cell>
        </row>
        <row r="11">
          <cell r="C11">
            <v>100118</v>
          </cell>
          <cell r="D11" t="str">
            <v>DESHMUKH PETROLEUM(Bhapkar Petroleum)</v>
          </cell>
          <cell r="E11" t="str">
            <v>BPCL</v>
          </cell>
          <cell r="G11" t="str">
            <v>Pune City RSA</v>
          </cell>
          <cell r="J11" t="str">
            <v>SATARA ROAD</v>
          </cell>
          <cell r="K11" t="str">
            <v>Pune</v>
          </cell>
          <cell r="L11" t="str">
            <v>A</v>
          </cell>
          <cell r="O11" t="str">
            <v>A</v>
          </cell>
        </row>
        <row r="12">
          <cell r="C12">
            <v>100119</v>
          </cell>
          <cell r="D12" t="str">
            <v>BHARAT PETROL DEPOT</v>
          </cell>
          <cell r="E12" t="str">
            <v>BPCL</v>
          </cell>
          <cell r="G12" t="str">
            <v>Pune City RSA</v>
          </cell>
          <cell r="J12" t="str">
            <v>DANDEKAR CHOWK/NAVIPETH</v>
          </cell>
          <cell r="K12" t="str">
            <v>Pune</v>
          </cell>
          <cell r="L12" t="str">
            <v>A</v>
          </cell>
          <cell r="O12" t="str">
            <v>A</v>
          </cell>
        </row>
        <row r="13">
          <cell r="C13">
            <v>100120</v>
          </cell>
          <cell r="D13" t="str">
            <v>BHARAT PETROL DEPOT</v>
          </cell>
          <cell r="E13" t="str">
            <v>BPCL</v>
          </cell>
          <cell r="G13" t="str">
            <v>Pune City RSA</v>
          </cell>
          <cell r="J13" t="str">
            <v>SWARGATE</v>
          </cell>
          <cell r="K13" t="str">
            <v>Pune</v>
          </cell>
          <cell r="L13" t="str">
            <v>A</v>
          </cell>
          <cell r="O13" t="str">
            <v>A</v>
          </cell>
        </row>
        <row r="14">
          <cell r="C14">
            <v>100121</v>
          </cell>
          <cell r="D14" t="str">
            <v>BHAGWATI VSK</v>
          </cell>
          <cell r="E14" t="str">
            <v>BPCL</v>
          </cell>
          <cell r="G14" t="str">
            <v>Shirdi RSA</v>
          </cell>
          <cell r="J14" t="str">
            <v>KOLHAR</v>
          </cell>
          <cell r="K14" t="str">
            <v>Ahmednagar</v>
          </cell>
          <cell r="L14" t="str">
            <v>D1</v>
          </cell>
          <cell r="M14" t="str">
            <v>NH-160</v>
          </cell>
          <cell r="O14" t="str">
            <v>B</v>
          </cell>
        </row>
        <row r="15">
          <cell r="C15">
            <v>100123</v>
          </cell>
          <cell r="D15" t="str">
            <v>BRIGHT STAR SERVICES</v>
          </cell>
          <cell r="E15" t="str">
            <v>BPCL</v>
          </cell>
          <cell r="G15" t="str">
            <v>Pune City RSA</v>
          </cell>
          <cell r="J15" t="str">
            <v>GPO</v>
          </cell>
          <cell r="K15" t="str">
            <v>Pune</v>
          </cell>
          <cell r="L15" t="str">
            <v>A</v>
          </cell>
          <cell r="O15" t="str">
            <v>A</v>
          </cell>
        </row>
        <row r="16">
          <cell r="C16">
            <v>100124</v>
          </cell>
          <cell r="D16" t="str">
            <v>RAJENDRA FUEL CENTRE</v>
          </cell>
          <cell r="E16" t="str">
            <v>BPCL</v>
          </cell>
          <cell r="G16" t="str">
            <v>Pune Hadapsar RSA</v>
          </cell>
          <cell r="J16" t="str">
            <v>Loni LHS</v>
          </cell>
          <cell r="K16" t="str">
            <v>Pune</v>
          </cell>
          <cell r="L16" t="str">
            <v>D1</v>
          </cell>
          <cell r="M16" t="str">
            <v>NH-65</v>
          </cell>
          <cell r="O16" t="str">
            <v>A</v>
          </cell>
        </row>
        <row r="17">
          <cell r="C17">
            <v>100125</v>
          </cell>
          <cell r="D17" t="str">
            <v>D. G. MUTHA</v>
          </cell>
          <cell r="E17" t="str">
            <v>BPCL</v>
          </cell>
          <cell r="G17" t="str">
            <v>Pune Wagholi RSA</v>
          </cell>
          <cell r="J17" t="str">
            <v>Shirur</v>
          </cell>
          <cell r="K17" t="str">
            <v>Pune</v>
          </cell>
          <cell r="L17" t="str">
            <v>C</v>
          </cell>
          <cell r="O17" t="str">
            <v>A</v>
          </cell>
        </row>
        <row r="18">
          <cell r="C18">
            <v>100126</v>
          </cell>
          <cell r="D18" t="str">
            <v>DATTA AUTOMOBILES</v>
          </cell>
          <cell r="E18" t="str">
            <v>BPCL</v>
          </cell>
          <cell r="G18" t="str">
            <v>Pune Tathawade RSA</v>
          </cell>
          <cell r="J18" t="str">
            <v>JAMBHULWADI TO KHED SHIVAPUR</v>
          </cell>
          <cell r="K18" t="str">
            <v>Pune</v>
          </cell>
          <cell r="L18" t="str">
            <v>D1</v>
          </cell>
          <cell r="M18" t="str">
            <v>NH-48</v>
          </cell>
          <cell r="O18" t="str">
            <v>B</v>
          </cell>
        </row>
        <row r="19">
          <cell r="C19">
            <v>100130</v>
          </cell>
          <cell r="D19" t="str">
            <v>FAMOUS AUTO CENTRE</v>
          </cell>
          <cell r="E19" t="str">
            <v>BPCL</v>
          </cell>
          <cell r="G19" t="str">
            <v>Pune City RSA</v>
          </cell>
          <cell r="J19" t="str">
            <v>FC ROAD</v>
          </cell>
          <cell r="K19" t="str">
            <v>Pune</v>
          </cell>
          <cell r="L19" t="str">
            <v>A</v>
          </cell>
          <cell r="O19" t="str">
            <v>A</v>
          </cell>
        </row>
        <row r="20">
          <cell r="C20">
            <v>100132</v>
          </cell>
          <cell r="D20" t="str">
            <v>HARIKISON AUTO</v>
          </cell>
          <cell r="E20" t="str">
            <v>BPCL</v>
          </cell>
          <cell r="G20" t="str">
            <v>Ahmednagar East RSA</v>
          </cell>
          <cell r="J20" t="str">
            <v>Nagar city</v>
          </cell>
          <cell r="K20" t="str">
            <v>Ahmednagar</v>
          </cell>
          <cell r="L20" t="str">
            <v>D1</v>
          </cell>
          <cell r="M20" t="str">
            <v>NH-753F</v>
          </cell>
          <cell r="O20" t="str">
            <v>B</v>
          </cell>
        </row>
        <row r="21">
          <cell r="C21">
            <v>100133</v>
          </cell>
          <cell r="D21" t="str">
            <v>HUTATMA RAJGURU SERVICES</v>
          </cell>
          <cell r="E21" t="str">
            <v>BPCL</v>
          </cell>
          <cell r="G21" t="str">
            <v>Pimpri Chinchwad RSA</v>
          </cell>
          <cell r="J21" t="str">
            <v>chakan to rajgurunagar LHS</v>
          </cell>
          <cell r="K21" t="str">
            <v>Pune</v>
          </cell>
          <cell r="L21" t="str">
            <v>D1</v>
          </cell>
          <cell r="M21" t="str">
            <v>NH-60</v>
          </cell>
          <cell r="O21" t="str">
            <v>A</v>
          </cell>
        </row>
        <row r="22">
          <cell r="C22">
            <v>100134</v>
          </cell>
          <cell r="D22" t="str">
            <v>JAIHIND HIGHWAY SERVICE STATION</v>
          </cell>
          <cell r="E22" t="str">
            <v>BPCL</v>
          </cell>
          <cell r="G22" t="str">
            <v>Pune City RSA</v>
          </cell>
          <cell r="J22" t="str">
            <v>Pimpri</v>
          </cell>
          <cell r="K22" t="str">
            <v>Pune</v>
          </cell>
          <cell r="L22" t="str">
            <v>A</v>
          </cell>
          <cell r="O22" t="str">
            <v>A</v>
          </cell>
        </row>
        <row r="23">
          <cell r="C23">
            <v>100135</v>
          </cell>
          <cell r="D23" t="str">
            <v>JANATA AUTOMOBILES</v>
          </cell>
          <cell r="E23" t="str">
            <v>BPCL</v>
          </cell>
          <cell r="G23" t="str">
            <v>Pune City RSA</v>
          </cell>
          <cell r="J23" t="str">
            <v>MOLEDINA ROAD/E STREET</v>
          </cell>
          <cell r="K23" t="str">
            <v>Pune</v>
          </cell>
          <cell r="L23" t="str">
            <v>A</v>
          </cell>
          <cell r="O23" t="str">
            <v>A</v>
          </cell>
        </row>
        <row r="24">
          <cell r="C24">
            <v>100136</v>
          </cell>
          <cell r="D24" t="str">
            <v xml:space="preserve">GHUMATKAR PETROLEUM </v>
          </cell>
          <cell r="E24" t="str">
            <v>BPCL</v>
          </cell>
          <cell r="G24" t="str">
            <v>Pimpri Chinchwad RSA</v>
          </cell>
          <cell r="J24" t="str">
            <v>Rajgurunagar Town</v>
          </cell>
          <cell r="K24" t="str">
            <v>Pune</v>
          </cell>
          <cell r="L24" t="str">
            <v>C</v>
          </cell>
          <cell r="O24" t="str">
            <v>A</v>
          </cell>
        </row>
        <row r="25">
          <cell r="C25">
            <v>100137</v>
          </cell>
          <cell r="D25" t="str">
            <v>KB LAHOTI &amp; CO</v>
          </cell>
          <cell r="E25" t="str">
            <v>BPCL</v>
          </cell>
          <cell r="G25" t="str">
            <v>Shirdi RSA</v>
          </cell>
          <cell r="J25" t="str">
            <v>DILLI NAKA SANGAMNER</v>
          </cell>
          <cell r="K25" t="str">
            <v>Ahmednagar</v>
          </cell>
          <cell r="L25" t="str">
            <v>C</v>
          </cell>
          <cell r="O25" t="str">
            <v>B</v>
          </cell>
        </row>
        <row r="26">
          <cell r="C26">
            <v>100139</v>
          </cell>
          <cell r="D26" t="str">
            <v>KANCHAN SERVICE STATION</v>
          </cell>
          <cell r="E26" t="str">
            <v>BPCL</v>
          </cell>
          <cell r="G26" t="str">
            <v>Pune City RSA</v>
          </cell>
          <cell r="J26" t="str">
            <v>MOLEDINA ROAD/E STREET</v>
          </cell>
          <cell r="K26" t="str">
            <v>Pune</v>
          </cell>
          <cell r="L26" t="str">
            <v>A</v>
          </cell>
          <cell r="O26" t="str">
            <v>A</v>
          </cell>
        </row>
        <row r="27">
          <cell r="C27">
            <v>100140</v>
          </cell>
          <cell r="D27" t="str">
            <v>KHED SHIVAPUR AUTOMOBILES(Closed)</v>
          </cell>
          <cell r="E27" t="str">
            <v>BPCL</v>
          </cell>
          <cell r="G27" t="str">
            <v>Pune Tathawade RSA</v>
          </cell>
          <cell r="J27" t="str">
            <v>KHED SHIVAPUR TO JAMBHULWADI</v>
          </cell>
          <cell r="K27" t="str">
            <v>Pune</v>
          </cell>
          <cell r="L27" t="str">
            <v>D1</v>
          </cell>
          <cell r="M27" t="str">
            <v>NH-48</v>
          </cell>
          <cell r="O27" t="str">
            <v>B</v>
          </cell>
        </row>
        <row r="28">
          <cell r="C28">
            <v>100143</v>
          </cell>
          <cell r="D28" t="str">
            <v>MANEKCHAND &amp; SONS</v>
          </cell>
          <cell r="E28" t="str">
            <v>BPCL</v>
          </cell>
          <cell r="G28" t="str">
            <v>Ahmednagar East RSA</v>
          </cell>
          <cell r="J28" t="str">
            <v>Nagar city</v>
          </cell>
          <cell r="K28" t="str">
            <v>Ahmednagar</v>
          </cell>
          <cell r="L28" t="str">
            <v>D1</v>
          </cell>
          <cell r="M28" t="str">
            <v>NH-753F</v>
          </cell>
          <cell r="O28" t="str">
            <v>A</v>
          </cell>
        </row>
        <row r="29">
          <cell r="C29">
            <v>100144</v>
          </cell>
          <cell r="D29" t="str">
            <v>MEHROFI TRADERS</v>
          </cell>
          <cell r="E29" t="str">
            <v>BPCL</v>
          </cell>
          <cell r="G29" t="str">
            <v>Pune City RSA</v>
          </cell>
          <cell r="J29" t="str">
            <v>GANESH KHIND ROAD</v>
          </cell>
          <cell r="K29" t="str">
            <v>Pune</v>
          </cell>
          <cell r="L29" t="str">
            <v>A</v>
          </cell>
          <cell r="O29" t="str">
            <v>A</v>
          </cell>
        </row>
        <row r="30">
          <cell r="C30">
            <v>100146</v>
          </cell>
          <cell r="D30" t="str">
            <v>MOHANISH AUTO CENTRE</v>
          </cell>
          <cell r="E30" t="str">
            <v>BPCL</v>
          </cell>
          <cell r="G30" t="str">
            <v>Pune City RSA</v>
          </cell>
          <cell r="J30" t="str">
            <v xml:space="preserve">PUNE RTO </v>
          </cell>
          <cell r="K30" t="str">
            <v>Pune</v>
          </cell>
          <cell r="L30" t="str">
            <v>A</v>
          </cell>
          <cell r="O30" t="str">
            <v>A</v>
          </cell>
        </row>
        <row r="31">
          <cell r="C31">
            <v>100147</v>
          </cell>
          <cell r="D31" t="str">
            <v>N. M. MANKAR</v>
          </cell>
          <cell r="E31" t="str">
            <v>BPCL</v>
          </cell>
          <cell r="G31" t="str">
            <v>Pune City RSA</v>
          </cell>
          <cell r="J31" t="str">
            <v>BOPODI/DAPODI/KIRKEE/WAKDEWADI</v>
          </cell>
          <cell r="K31" t="str">
            <v>Pune</v>
          </cell>
          <cell r="L31" t="str">
            <v>A</v>
          </cell>
          <cell r="O31" t="str">
            <v>A</v>
          </cell>
        </row>
        <row r="32">
          <cell r="C32">
            <v>100148</v>
          </cell>
          <cell r="D32" t="str">
            <v>NAGAPUR AUTO</v>
          </cell>
          <cell r="E32" t="str">
            <v>BPCL</v>
          </cell>
          <cell r="G32" t="str">
            <v>Ahmednagar East RSA</v>
          </cell>
          <cell r="J32" t="str">
            <v>MIDC Nagapur</v>
          </cell>
          <cell r="K32" t="str">
            <v>Ahmednagar</v>
          </cell>
          <cell r="L32" t="str">
            <v>D2</v>
          </cell>
          <cell r="O32" t="str">
            <v>B</v>
          </cell>
        </row>
        <row r="33">
          <cell r="C33">
            <v>100149</v>
          </cell>
          <cell r="D33" t="str">
            <v>NUSSERWAN PETROL SERVICE STATION</v>
          </cell>
          <cell r="E33" t="str">
            <v>BPCL</v>
          </cell>
          <cell r="G33" t="str">
            <v>Pune City RSA</v>
          </cell>
          <cell r="J33" t="str">
            <v>SATARA ROAD</v>
          </cell>
          <cell r="K33" t="str">
            <v>Pune</v>
          </cell>
          <cell r="L33" t="str">
            <v>A</v>
          </cell>
          <cell r="O33" t="str">
            <v>A</v>
          </cell>
        </row>
        <row r="34">
          <cell r="C34">
            <v>100150</v>
          </cell>
          <cell r="D34" t="str">
            <v>OZA BROS TOWN ROAD</v>
          </cell>
          <cell r="E34" t="str">
            <v>BPCL</v>
          </cell>
          <cell r="G34" t="str">
            <v>Shirdi RSA</v>
          </cell>
          <cell r="J34" t="str">
            <v>SHRIRAMPUR TOWN</v>
          </cell>
          <cell r="K34" t="str">
            <v>Ahmednagar</v>
          </cell>
          <cell r="L34" t="str">
            <v>C</v>
          </cell>
          <cell r="O34" t="str">
            <v>B</v>
          </cell>
        </row>
        <row r="35">
          <cell r="C35">
            <v>100151</v>
          </cell>
          <cell r="D35" t="str">
            <v>OZA BROS S'NER ROAD</v>
          </cell>
          <cell r="E35" t="str">
            <v>BPCL</v>
          </cell>
          <cell r="G35" t="str">
            <v>Shirdi RSA</v>
          </cell>
          <cell r="J35" t="str">
            <v>SHRIRAMPUR TOWN</v>
          </cell>
          <cell r="K35" t="str">
            <v>Ahmednagar</v>
          </cell>
          <cell r="L35" t="str">
            <v>D2</v>
          </cell>
          <cell r="O35" t="str">
            <v>B</v>
          </cell>
        </row>
        <row r="36">
          <cell r="C36">
            <v>100153</v>
          </cell>
          <cell r="D36" t="str">
            <v>PREMCHAND LAXMICHAND &amp; SONS,KEDGAON</v>
          </cell>
          <cell r="E36" t="str">
            <v>BPCL</v>
          </cell>
          <cell r="G36" t="str">
            <v>Pune Hadapsar RSA</v>
          </cell>
          <cell r="J36" t="str">
            <v>Varvand RHS</v>
          </cell>
          <cell r="K36" t="str">
            <v>Pune</v>
          </cell>
          <cell r="L36" t="str">
            <v>D1</v>
          </cell>
          <cell r="M36" t="str">
            <v>NH-65</v>
          </cell>
          <cell r="O36" t="str">
            <v>A</v>
          </cell>
        </row>
        <row r="37">
          <cell r="C37">
            <v>100154</v>
          </cell>
          <cell r="D37" t="str">
            <v>PREMCHAND LAXMICHAND &amp; SONS, DAUND</v>
          </cell>
          <cell r="E37" t="str">
            <v>BPCL</v>
          </cell>
          <cell r="G37" t="str">
            <v>Pune Hadapsar RSA</v>
          </cell>
          <cell r="J37" t="str">
            <v>Daund-City</v>
          </cell>
          <cell r="K37" t="str">
            <v>Pune</v>
          </cell>
          <cell r="L37" t="str">
            <v>C</v>
          </cell>
          <cell r="O37" t="str">
            <v>A</v>
          </cell>
        </row>
        <row r="38">
          <cell r="C38">
            <v>100157</v>
          </cell>
          <cell r="D38" t="str">
            <v>PREMIER SUPPLY CO.</v>
          </cell>
          <cell r="E38" t="str">
            <v>BPCL</v>
          </cell>
          <cell r="G38" t="str">
            <v>Pune City RSA</v>
          </cell>
          <cell r="J38" t="str">
            <v>NATUBAUG</v>
          </cell>
          <cell r="K38" t="str">
            <v>Pune</v>
          </cell>
          <cell r="L38" t="str">
            <v>A</v>
          </cell>
          <cell r="O38" t="str">
            <v>A</v>
          </cell>
        </row>
        <row r="39">
          <cell r="C39">
            <v>100160</v>
          </cell>
          <cell r="D39" t="str">
            <v>RELIABLE PETROLEUM</v>
          </cell>
          <cell r="E39" t="str">
            <v>BPCL</v>
          </cell>
          <cell r="G39" t="str">
            <v>Pune Hadapsar RSA</v>
          </cell>
          <cell r="J39" t="str">
            <v>Yawat LHS</v>
          </cell>
          <cell r="K39" t="str">
            <v>Pune</v>
          </cell>
          <cell r="L39" t="str">
            <v>D1</v>
          </cell>
          <cell r="M39" t="str">
            <v>NH-65</v>
          </cell>
          <cell r="O39" t="str">
            <v>A</v>
          </cell>
        </row>
        <row r="40">
          <cell r="C40">
            <v>100161</v>
          </cell>
          <cell r="D40" t="str">
            <v>ROSHANI SERVICES</v>
          </cell>
          <cell r="E40" t="str">
            <v>BPCL</v>
          </cell>
          <cell r="G40" t="str">
            <v>Pune City RSA</v>
          </cell>
          <cell r="J40" t="str">
            <v>KOREGAON PARK</v>
          </cell>
          <cell r="K40" t="str">
            <v>Pune</v>
          </cell>
          <cell r="L40" t="str">
            <v>A</v>
          </cell>
          <cell r="O40" t="str">
            <v>A</v>
          </cell>
        </row>
        <row r="41">
          <cell r="C41">
            <v>100162</v>
          </cell>
          <cell r="D41" t="str">
            <v>S. G. DATE &amp; CO.</v>
          </cell>
          <cell r="E41" t="str">
            <v>BPCL</v>
          </cell>
          <cell r="G41" t="str">
            <v>Pune Tathawade RSA</v>
          </cell>
          <cell r="J41" t="str">
            <v>BARAMATI TOWN ON UNDEWADI ROAD</v>
          </cell>
          <cell r="K41" t="str">
            <v>Pune</v>
          </cell>
          <cell r="L41" t="str">
            <v>D1</v>
          </cell>
          <cell r="M41" t="str">
            <v>NH-160</v>
          </cell>
          <cell r="O41" t="str">
            <v>A</v>
          </cell>
        </row>
        <row r="42">
          <cell r="C42">
            <v>100163</v>
          </cell>
          <cell r="D42" t="str">
            <v>SHREE SADGURU SERVICE STATION</v>
          </cell>
          <cell r="E42" t="str">
            <v>BPCL</v>
          </cell>
          <cell r="G42" t="str">
            <v>Pune City RSA</v>
          </cell>
          <cell r="J42" t="str">
            <v>J M ROAD</v>
          </cell>
          <cell r="K42" t="str">
            <v>Pune</v>
          </cell>
          <cell r="L42" t="str">
            <v>A</v>
          </cell>
          <cell r="O42" t="str">
            <v>A</v>
          </cell>
        </row>
        <row r="43">
          <cell r="C43">
            <v>100164</v>
          </cell>
          <cell r="D43" t="str">
            <v>SARASWATI AUTO SERVICES</v>
          </cell>
          <cell r="E43" t="str">
            <v>BPCL</v>
          </cell>
          <cell r="G43" t="str">
            <v>Pune City RSA</v>
          </cell>
          <cell r="J43" t="str">
            <v>SHANKARSETH ROAD</v>
          </cell>
          <cell r="K43" t="str">
            <v>Pune</v>
          </cell>
          <cell r="L43" t="str">
            <v>A</v>
          </cell>
          <cell r="O43" t="str">
            <v>A</v>
          </cell>
        </row>
        <row r="44">
          <cell r="C44">
            <v>100165</v>
          </cell>
          <cell r="D44" t="str">
            <v>SELECT AUTOMOBILES</v>
          </cell>
          <cell r="E44" t="str">
            <v>BPCL</v>
          </cell>
          <cell r="G44" t="str">
            <v>Pune City RSA</v>
          </cell>
          <cell r="J44" t="str">
            <v>KARVE ROAD</v>
          </cell>
          <cell r="K44" t="str">
            <v>Pune</v>
          </cell>
          <cell r="L44" t="str">
            <v>A</v>
          </cell>
          <cell r="O44" t="str">
            <v>A</v>
          </cell>
        </row>
        <row r="45">
          <cell r="C45">
            <v>100168</v>
          </cell>
          <cell r="D45" t="str">
            <v>SHAH DHARSHI JIWAN &amp; CO., INDAPUR</v>
          </cell>
          <cell r="E45" t="str">
            <v>BPCL</v>
          </cell>
          <cell r="G45" t="str">
            <v>Pune Saswad RSA</v>
          </cell>
          <cell r="J45" t="str">
            <v>INDAPUR</v>
          </cell>
          <cell r="K45" t="str">
            <v>Pune</v>
          </cell>
          <cell r="L45" t="str">
            <v>C</v>
          </cell>
          <cell r="O45" t="str">
            <v>A</v>
          </cell>
        </row>
        <row r="46">
          <cell r="C46">
            <v>100169</v>
          </cell>
          <cell r="D46" t="str">
            <v>SHAH DHARSHI JIWAN &amp; CO., BHIGWAN</v>
          </cell>
          <cell r="E46" t="str">
            <v>BPCL</v>
          </cell>
          <cell r="G46" t="str">
            <v>Pune Saswad RSA</v>
          </cell>
          <cell r="J46" t="str">
            <v>BHIGWAN</v>
          </cell>
          <cell r="K46" t="str">
            <v>Pune</v>
          </cell>
          <cell r="L46" t="str">
            <v>D1</v>
          </cell>
          <cell r="M46" t="str">
            <v>NH-65</v>
          </cell>
          <cell r="O46" t="str">
            <v>A</v>
          </cell>
        </row>
        <row r="47">
          <cell r="C47">
            <v>100172</v>
          </cell>
          <cell r="D47" t="str">
            <v>SHRIGONDA FFC</v>
          </cell>
          <cell r="E47" t="str">
            <v>BPCL</v>
          </cell>
          <cell r="G47" t="str">
            <v>Ahmednagar West RSA</v>
          </cell>
          <cell r="J47" t="str">
            <v>SHRIGONDA-NH</v>
          </cell>
          <cell r="K47" t="str">
            <v>Ahmednagar</v>
          </cell>
          <cell r="L47" t="str">
            <v>D1</v>
          </cell>
          <cell r="M47" t="str">
            <v>NH-548D</v>
          </cell>
          <cell r="O47" t="str">
            <v>A</v>
          </cell>
        </row>
        <row r="48">
          <cell r="C48">
            <v>100173</v>
          </cell>
          <cell r="D48" t="str">
            <v>SHOLAPUR MOTOR STORES</v>
          </cell>
          <cell r="E48" t="str">
            <v>BPCL</v>
          </cell>
          <cell r="G48" t="str">
            <v>Pune City RSA</v>
          </cell>
          <cell r="J48" t="str">
            <v>SHIVAJINAGAR</v>
          </cell>
          <cell r="K48" t="str">
            <v>Pune</v>
          </cell>
          <cell r="L48" t="str">
            <v>A</v>
          </cell>
          <cell r="O48" t="str">
            <v>B</v>
          </cell>
        </row>
        <row r="49">
          <cell r="C49">
            <v>100174</v>
          </cell>
          <cell r="D49" t="str">
            <v>TEKAWADE SERVICE STATION</v>
          </cell>
          <cell r="E49" t="str">
            <v>BPCL</v>
          </cell>
          <cell r="G49" t="str">
            <v>Pune Hadapsar RSA</v>
          </cell>
          <cell r="J49" t="str">
            <v>Hadapsar RHS</v>
          </cell>
          <cell r="K49" t="str">
            <v>Pune</v>
          </cell>
          <cell r="L49" t="str">
            <v>A</v>
          </cell>
          <cell r="O49" t="str">
            <v>A</v>
          </cell>
        </row>
        <row r="50">
          <cell r="C50">
            <v>100177</v>
          </cell>
          <cell r="D50" t="str">
            <v>TOPUP CENTRE</v>
          </cell>
          <cell r="E50" t="str">
            <v>BPCL</v>
          </cell>
          <cell r="G50" t="str">
            <v>Ahmednagar East RSA</v>
          </cell>
          <cell r="J50" t="str">
            <v>Aurangabad Road</v>
          </cell>
          <cell r="K50" t="str">
            <v>Ahmednagar</v>
          </cell>
          <cell r="L50" t="str">
            <v>D1</v>
          </cell>
          <cell r="M50" t="str">
            <v>NH-753F</v>
          </cell>
          <cell r="O50" t="str">
            <v>A</v>
          </cell>
        </row>
        <row r="51">
          <cell r="C51">
            <v>100178</v>
          </cell>
          <cell r="D51" t="str">
            <v>U.P. GUJAR</v>
          </cell>
          <cell r="E51" t="str">
            <v>BPCL</v>
          </cell>
          <cell r="G51" t="str">
            <v>Pune Wagholi RSA</v>
          </cell>
          <cell r="J51" t="str">
            <v>Koregaon Bhima to Shikrapur LHS</v>
          </cell>
          <cell r="K51" t="str">
            <v>Pune</v>
          </cell>
          <cell r="L51" t="str">
            <v>D1</v>
          </cell>
          <cell r="M51" t="str">
            <v>NH-753F</v>
          </cell>
          <cell r="O51" t="str">
            <v>A</v>
          </cell>
        </row>
        <row r="52">
          <cell r="C52">
            <v>100180</v>
          </cell>
          <cell r="D52" t="str">
            <v xml:space="preserve">VARDHAMAN PETROL DEPOT, </v>
          </cell>
          <cell r="E52" t="str">
            <v>BPCL</v>
          </cell>
          <cell r="G52" t="str">
            <v>Pune Tathawade RSA</v>
          </cell>
          <cell r="J52" t="str">
            <v>BAVDHAN TO NARHE</v>
          </cell>
          <cell r="K52" t="str">
            <v>Pune</v>
          </cell>
          <cell r="L52" t="str">
            <v>A</v>
          </cell>
          <cell r="M52" t="str">
            <v>NH-48</v>
          </cell>
          <cell r="O52" t="str">
            <v>A</v>
          </cell>
        </row>
        <row r="53">
          <cell r="C53">
            <v>100182</v>
          </cell>
          <cell r="D53" t="str">
            <v>WESTERN TRANSPORT AGENCY</v>
          </cell>
          <cell r="E53" t="str">
            <v>BPCL</v>
          </cell>
          <cell r="G53" t="str">
            <v>Pune City RSA</v>
          </cell>
          <cell r="J53" t="str">
            <v>KATRAJ</v>
          </cell>
          <cell r="K53" t="str">
            <v>Pune</v>
          </cell>
          <cell r="L53" t="str">
            <v>A</v>
          </cell>
          <cell r="M53" t="str">
            <v>NH-60</v>
          </cell>
          <cell r="O53" t="str">
            <v>A</v>
          </cell>
        </row>
        <row r="54">
          <cell r="C54">
            <v>100211</v>
          </cell>
          <cell r="D54" t="str">
            <v>POHEGAON KHURD</v>
          </cell>
          <cell r="E54" t="str">
            <v>BPCL</v>
          </cell>
          <cell r="G54" t="str">
            <v>Shirdi RSA</v>
          </cell>
          <cell r="J54" t="str">
            <v>POHEGAON</v>
          </cell>
          <cell r="K54" t="str">
            <v>Ahmednagar</v>
          </cell>
          <cell r="L54" t="str">
            <v>D1</v>
          </cell>
          <cell r="M54" t="str">
            <v>NH-752I</v>
          </cell>
          <cell r="O54" t="str">
            <v>B</v>
          </cell>
        </row>
        <row r="55">
          <cell r="C55">
            <v>100212</v>
          </cell>
          <cell r="D55" t="str">
            <v>SHREE SERVICE STATION</v>
          </cell>
          <cell r="E55" t="str">
            <v>BPCL</v>
          </cell>
          <cell r="G55" t="str">
            <v>Pune City RSA</v>
          </cell>
          <cell r="J55" t="str">
            <v>Wagholi</v>
          </cell>
          <cell r="K55" t="str">
            <v>Pune</v>
          </cell>
          <cell r="L55" t="str">
            <v>D2</v>
          </cell>
          <cell r="O55" t="str">
            <v>B</v>
          </cell>
        </row>
        <row r="56">
          <cell r="C56">
            <v>101953</v>
          </cell>
          <cell r="D56" t="str">
            <v>MILLAN PETROLEUM</v>
          </cell>
          <cell r="E56" t="str">
            <v>BPCL</v>
          </cell>
          <cell r="G56" t="str">
            <v>Pune Tathawade RSA</v>
          </cell>
          <cell r="J56" t="str">
            <v>VADGAON TO KAMSHET</v>
          </cell>
          <cell r="K56" t="str">
            <v>Pune</v>
          </cell>
          <cell r="L56" t="str">
            <v>D1</v>
          </cell>
          <cell r="M56" t="str">
            <v>NH-48</v>
          </cell>
          <cell r="O56" t="str">
            <v>A</v>
          </cell>
        </row>
        <row r="57">
          <cell r="C57">
            <v>112174</v>
          </cell>
          <cell r="D57" t="str">
            <v>BRAHMANGAON PHALBAUG</v>
          </cell>
          <cell r="E57" t="str">
            <v>BPCL</v>
          </cell>
          <cell r="G57" t="str">
            <v>Shirdi RSA</v>
          </cell>
          <cell r="J57" t="str">
            <v>KOPARGAON NH</v>
          </cell>
          <cell r="K57" t="str">
            <v>Ahmednagar</v>
          </cell>
          <cell r="L57" t="str">
            <v>D1</v>
          </cell>
          <cell r="M57" t="str">
            <v>NH-752G</v>
          </cell>
          <cell r="O57" t="str">
            <v>B</v>
          </cell>
        </row>
        <row r="58">
          <cell r="C58">
            <v>112177</v>
          </cell>
          <cell r="D58" t="str">
            <v>GODAVARI PRAVARA</v>
          </cell>
          <cell r="E58" t="str">
            <v>BPCL</v>
          </cell>
          <cell r="G58" t="str">
            <v>Shirdi RSA</v>
          </cell>
          <cell r="J58" t="str">
            <v>KOPARGAON CITY</v>
          </cell>
          <cell r="K58" t="str">
            <v>Ahmednagar</v>
          </cell>
          <cell r="L58" t="str">
            <v>D1</v>
          </cell>
          <cell r="M58" t="str">
            <v>NH-752G</v>
          </cell>
          <cell r="O58" t="str">
            <v>B</v>
          </cell>
        </row>
        <row r="59">
          <cell r="C59">
            <v>113774</v>
          </cell>
          <cell r="D59" t="str">
            <v>V.B. PAREKH</v>
          </cell>
          <cell r="E59" t="str">
            <v>BPCL</v>
          </cell>
          <cell r="G59" t="str">
            <v>Satara West RSA</v>
          </cell>
          <cell r="J59" t="str">
            <v>Satara to Bhuinj</v>
          </cell>
          <cell r="K59" t="str">
            <v>Satara</v>
          </cell>
          <cell r="L59" t="str">
            <v>D1</v>
          </cell>
          <cell r="M59" t="str">
            <v>NH-48</v>
          </cell>
          <cell r="O59" t="str">
            <v>A</v>
          </cell>
        </row>
        <row r="60">
          <cell r="C60">
            <v>113775</v>
          </cell>
          <cell r="D60" t="str">
            <v>DANGARE AUTO SERVICES</v>
          </cell>
          <cell r="E60" t="str">
            <v>BPCL</v>
          </cell>
          <cell r="G60" t="str">
            <v>Satara East RSA</v>
          </cell>
          <cell r="J60" t="str">
            <v>Wai</v>
          </cell>
          <cell r="K60" t="str">
            <v>Satara</v>
          </cell>
          <cell r="L60" t="str">
            <v>D2</v>
          </cell>
          <cell r="O60" t="str">
            <v>B</v>
          </cell>
        </row>
        <row r="61">
          <cell r="C61">
            <v>113776</v>
          </cell>
          <cell r="D61" t="str">
            <v>R.M. DESAI &amp; CO</v>
          </cell>
          <cell r="E61" t="str">
            <v>BPCL</v>
          </cell>
          <cell r="G61" t="str">
            <v>Satara East RSA</v>
          </cell>
          <cell r="J61" t="str">
            <v>Mahabaleswar Panchgani</v>
          </cell>
          <cell r="K61" t="str">
            <v>Satara</v>
          </cell>
          <cell r="L61" t="str">
            <v>D1</v>
          </cell>
          <cell r="M61" t="str">
            <v>NH-548C</v>
          </cell>
          <cell r="O61" t="str">
            <v>A</v>
          </cell>
        </row>
        <row r="62">
          <cell r="C62">
            <v>113778</v>
          </cell>
          <cell r="D62" t="str">
            <v>DESAI &amp; COMPANY, TARADGAON</v>
          </cell>
          <cell r="E62" t="str">
            <v>BPCL</v>
          </cell>
          <cell r="G62" t="str">
            <v>Satara East RSA</v>
          </cell>
          <cell r="J62" t="str">
            <v>Satara City</v>
          </cell>
          <cell r="K62" t="str">
            <v>Satara</v>
          </cell>
          <cell r="L62" t="str">
            <v>D1</v>
          </cell>
          <cell r="M62" t="str">
            <v>NH-965</v>
          </cell>
          <cell r="O62" t="str">
            <v>B</v>
          </cell>
        </row>
        <row r="63">
          <cell r="C63">
            <v>113780</v>
          </cell>
          <cell r="D63" t="str">
            <v>DESAI &amp; COMPANY, NIRA</v>
          </cell>
          <cell r="E63" t="str">
            <v>BPCL</v>
          </cell>
          <cell r="G63" t="str">
            <v>Pune Saswad RSA</v>
          </cell>
          <cell r="J63" t="str">
            <v>Jejuri - Nira Road</v>
          </cell>
          <cell r="K63" t="str">
            <v>Pune</v>
          </cell>
          <cell r="L63" t="str">
            <v>D1</v>
          </cell>
          <cell r="M63" t="str">
            <v>NH-965</v>
          </cell>
          <cell r="O63" t="str">
            <v>A</v>
          </cell>
        </row>
        <row r="64">
          <cell r="C64">
            <v>113781</v>
          </cell>
          <cell r="D64" t="str">
            <v>G.D. GANDHI</v>
          </cell>
          <cell r="E64" t="str">
            <v>BPCL</v>
          </cell>
          <cell r="G64" t="str">
            <v>Satara West RSA</v>
          </cell>
          <cell r="J64" t="str">
            <v>Wai</v>
          </cell>
          <cell r="K64" t="str">
            <v>Satara</v>
          </cell>
          <cell r="L64" t="str">
            <v>D2</v>
          </cell>
          <cell r="O64" t="str">
            <v>B</v>
          </cell>
        </row>
        <row r="65">
          <cell r="C65">
            <v>113782</v>
          </cell>
          <cell r="D65" t="str">
            <v>IRANI PETROL PUMP</v>
          </cell>
          <cell r="E65" t="str">
            <v>BPCL</v>
          </cell>
          <cell r="G65" t="str">
            <v>Satara West RSA</v>
          </cell>
          <cell r="J65" t="str">
            <v>Mahabaleswar Panchgani</v>
          </cell>
          <cell r="K65" t="str">
            <v>Satara</v>
          </cell>
          <cell r="L65" t="str">
            <v>D2</v>
          </cell>
          <cell r="O65" t="str">
            <v>B</v>
          </cell>
        </row>
        <row r="66">
          <cell r="C66">
            <v>113783</v>
          </cell>
          <cell r="D66" t="str">
            <v>KALIDAS &amp; SONS</v>
          </cell>
          <cell r="E66" t="str">
            <v>BPCL</v>
          </cell>
          <cell r="G66" t="str">
            <v>Satara West RSA</v>
          </cell>
          <cell r="J66" t="str">
            <v>Satara City</v>
          </cell>
          <cell r="K66" t="str">
            <v>Satara</v>
          </cell>
          <cell r="L66" t="str">
            <v>C</v>
          </cell>
          <cell r="O66" t="str">
            <v>B</v>
          </cell>
        </row>
        <row r="67">
          <cell r="C67">
            <v>113785</v>
          </cell>
          <cell r="D67" t="str">
            <v>KRISHNA SSK LTD</v>
          </cell>
          <cell r="E67" t="str">
            <v>BPCL</v>
          </cell>
          <cell r="G67" t="str">
            <v>Satara West RSA</v>
          </cell>
          <cell r="J67" t="str">
            <v>Rethare</v>
          </cell>
          <cell r="K67" t="str">
            <v>Satara</v>
          </cell>
          <cell r="L67" t="str">
            <v>E</v>
          </cell>
          <cell r="O67" t="str">
            <v>A</v>
          </cell>
        </row>
        <row r="68">
          <cell r="C68">
            <v>113786</v>
          </cell>
          <cell r="D68" t="str">
            <v>KRISHNA SK UDYOG S LTD</v>
          </cell>
          <cell r="E68" t="str">
            <v>BPCL</v>
          </cell>
          <cell r="G68" t="str">
            <v>Satara West RSA</v>
          </cell>
          <cell r="J68" t="str">
            <v>Rethare</v>
          </cell>
          <cell r="K68" t="str">
            <v>Satara</v>
          </cell>
          <cell r="L68" t="str">
            <v>E</v>
          </cell>
          <cell r="O68" t="str">
            <v>B</v>
          </cell>
        </row>
        <row r="69">
          <cell r="C69">
            <v>113787</v>
          </cell>
          <cell r="D69" t="str">
            <v>M.P. AUTOMOBILES</v>
          </cell>
          <cell r="E69" t="str">
            <v>BPCL</v>
          </cell>
          <cell r="G69" t="str">
            <v>Satara West RSA</v>
          </cell>
          <cell r="J69" t="str">
            <v>Shendre to Borgaon</v>
          </cell>
          <cell r="K69" t="str">
            <v>Satara</v>
          </cell>
          <cell r="L69" t="str">
            <v>D1</v>
          </cell>
          <cell r="M69" t="str">
            <v>NH-48</v>
          </cell>
          <cell r="O69" t="str">
            <v>A</v>
          </cell>
        </row>
        <row r="70">
          <cell r="C70">
            <v>113788</v>
          </cell>
          <cell r="D70" t="str">
            <v>MHAVASHE AUTOMOBILES</v>
          </cell>
          <cell r="E70" t="str">
            <v>BPCL</v>
          </cell>
          <cell r="G70" t="str">
            <v>Satara West RSA</v>
          </cell>
          <cell r="J70" t="str">
            <v>SATARA ON NH48 LHS</v>
          </cell>
          <cell r="K70" t="str">
            <v>Satara</v>
          </cell>
          <cell r="L70" t="str">
            <v>D1</v>
          </cell>
          <cell r="M70" t="str">
            <v>NH-48</v>
          </cell>
          <cell r="O70" t="str">
            <v>A</v>
          </cell>
        </row>
        <row r="71">
          <cell r="C71">
            <v>113789</v>
          </cell>
          <cell r="D71" t="str">
            <v>NANDKUMAR &amp; BROTHERS</v>
          </cell>
          <cell r="E71" t="str">
            <v>BPCL</v>
          </cell>
          <cell r="G71" t="str">
            <v>Satara West RSA</v>
          </cell>
          <cell r="J71" t="str">
            <v>Satara to Mahagaon</v>
          </cell>
          <cell r="K71" t="str">
            <v>Satara</v>
          </cell>
          <cell r="L71" t="str">
            <v>D1</v>
          </cell>
          <cell r="M71" t="str">
            <v>NH-548C</v>
          </cell>
          <cell r="O71" t="str">
            <v>B</v>
          </cell>
        </row>
        <row r="72">
          <cell r="C72">
            <v>113790</v>
          </cell>
          <cell r="D72" t="str">
            <v>NITIRAJ SERVICE CENTRE</v>
          </cell>
          <cell r="E72" t="str">
            <v>BPCL</v>
          </cell>
          <cell r="G72" t="str">
            <v>Satara West RSA</v>
          </cell>
          <cell r="J72" t="str">
            <v>KARAD TO KASHIL</v>
          </cell>
          <cell r="K72" t="str">
            <v>Satara</v>
          </cell>
          <cell r="L72" t="str">
            <v>D1</v>
          </cell>
          <cell r="M72" t="str">
            <v>NH-48</v>
          </cell>
          <cell r="O72" t="str">
            <v>A</v>
          </cell>
        </row>
        <row r="73">
          <cell r="C73">
            <v>113791</v>
          </cell>
          <cell r="D73" t="str">
            <v>PANCHGANI TRADING CO</v>
          </cell>
          <cell r="E73" t="str">
            <v>BPCL</v>
          </cell>
          <cell r="G73" t="str">
            <v>Satara West RSA</v>
          </cell>
          <cell r="J73" t="str">
            <v>Mahabaleswar Panchgani</v>
          </cell>
          <cell r="K73" t="str">
            <v>Satara</v>
          </cell>
          <cell r="L73" t="str">
            <v>D2</v>
          </cell>
          <cell r="O73" t="str">
            <v>B</v>
          </cell>
        </row>
        <row r="74">
          <cell r="C74">
            <v>113792</v>
          </cell>
          <cell r="D74" t="str">
            <v>V.B. PAREKH, SATARA</v>
          </cell>
          <cell r="E74" t="str">
            <v>BPCL</v>
          </cell>
          <cell r="G74" t="str">
            <v>Satara West RSA</v>
          </cell>
          <cell r="J74" t="str">
            <v>Satara City</v>
          </cell>
          <cell r="K74" t="str">
            <v>Satara</v>
          </cell>
          <cell r="L74" t="str">
            <v>C</v>
          </cell>
          <cell r="O74" t="str">
            <v>A</v>
          </cell>
        </row>
        <row r="75">
          <cell r="C75">
            <v>113794</v>
          </cell>
          <cell r="D75" t="str">
            <v>PHALTAN INDUSTRIES</v>
          </cell>
          <cell r="E75" t="str">
            <v>BPCL</v>
          </cell>
          <cell r="G75" t="str">
            <v>Satara East RSA</v>
          </cell>
          <cell r="J75" t="str">
            <v>Satara City</v>
          </cell>
          <cell r="K75" t="str">
            <v>Satara</v>
          </cell>
          <cell r="L75" t="str">
            <v>D1</v>
          </cell>
          <cell r="M75" t="str">
            <v>NH-965</v>
          </cell>
          <cell r="O75" t="str">
            <v>B</v>
          </cell>
        </row>
        <row r="76">
          <cell r="C76">
            <v>113796</v>
          </cell>
          <cell r="D76" t="str">
            <v>PRAJAKTA F.S.</v>
          </cell>
          <cell r="E76" t="str">
            <v>BPCL</v>
          </cell>
          <cell r="G76" t="str">
            <v>Ahmednagar West RSA</v>
          </cell>
          <cell r="J76" t="str">
            <v>BELWANDI</v>
          </cell>
          <cell r="K76" t="str">
            <v>Ahmednagar</v>
          </cell>
          <cell r="L76" t="str">
            <v>D2</v>
          </cell>
          <cell r="O76" t="str">
            <v>A</v>
          </cell>
        </row>
        <row r="77">
          <cell r="C77">
            <v>113797</v>
          </cell>
          <cell r="D77" t="str">
            <v>RAJ AUTOMOBILES</v>
          </cell>
          <cell r="E77" t="str">
            <v>BPCL</v>
          </cell>
          <cell r="G77" t="str">
            <v>Satara West RSA</v>
          </cell>
          <cell r="J77" t="str">
            <v>Satara City</v>
          </cell>
          <cell r="K77" t="str">
            <v>Satara</v>
          </cell>
          <cell r="L77" t="str">
            <v>C</v>
          </cell>
          <cell r="O77" t="str">
            <v>A</v>
          </cell>
        </row>
        <row r="78">
          <cell r="C78">
            <v>113798</v>
          </cell>
          <cell r="D78" t="str">
            <v>SANGAM TRADING COMPANY</v>
          </cell>
          <cell r="E78" t="str">
            <v>BPCL</v>
          </cell>
          <cell r="G78" t="str">
            <v>Satara West RSA</v>
          </cell>
          <cell r="J78" t="str">
            <v>Karad On NH-166E</v>
          </cell>
          <cell r="K78" t="str">
            <v>Satara</v>
          </cell>
          <cell r="L78" t="str">
            <v>D1</v>
          </cell>
          <cell r="M78" t="str">
            <v>NH-166E</v>
          </cell>
          <cell r="O78" t="str">
            <v>A</v>
          </cell>
        </row>
        <row r="79">
          <cell r="C79">
            <v>113971</v>
          </cell>
          <cell r="D79" t="str">
            <v xml:space="preserve">GHUMATKAR PETROLEUM </v>
          </cell>
          <cell r="E79" t="str">
            <v>BPCL</v>
          </cell>
          <cell r="G79" t="str">
            <v>Pune Wagholi RSA</v>
          </cell>
          <cell r="J79" t="str">
            <v>Peth on NH LHS</v>
          </cell>
          <cell r="K79" t="str">
            <v>Pune</v>
          </cell>
          <cell r="L79" t="str">
            <v>D1</v>
          </cell>
          <cell r="M79" t="str">
            <v>NH-60</v>
          </cell>
          <cell r="O79" t="str">
            <v>A</v>
          </cell>
        </row>
        <row r="80">
          <cell r="C80">
            <v>117043</v>
          </cell>
          <cell r="D80" t="str">
            <v>Chandrashekhar Petroleum</v>
          </cell>
          <cell r="E80" t="str">
            <v>BPCL</v>
          </cell>
          <cell r="G80" t="str">
            <v>Pune Hadapsar RSA</v>
          </cell>
          <cell r="J80" t="str">
            <v>Kurkumbh RHS</v>
          </cell>
          <cell r="K80" t="str">
            <v>Pune</v>
          </cell>
          <cell r="L80" t="str">
            <v>D1</v>
          </cell>
          <cell r="M80" t="str">
            <v>NH-65</v>
          </cell>
          <cell r="O80" t="str">
            <v>A</v>
          </cell>
        </row>
        <row r="81">
          <cell r="C81">
            <v>130349</v>
          </cell>
          <cell r="D81" t="str">
            <v>BP PUNE RTO</v>
          </cell>
          <cell r="E81" t="str">
            <v>BPCL</v>
          </cell>
          <cell r="G81" t="str">
            <v>Pune City RSA</v>
          </cell>
          <cell r="J81" t="str">
            <v xml:space="preserve">PUNE RTO </v>
          </cell>
          <cell r="K81" t="str">
            <v>Pune</v>
          </cell>
          <cell r="L81" t="str">
            <v>A</v>
          </cell>
          <cell r="O81" t="str">
            <v>A</v>
          </cell>
        </row>
        <row r="82">
          <cell r="C82">
            <v>135471</v>
          </cell>
          <cell r="D82" t="str">
            <v>SWAMY SAMARTH</v>
          </cell>
          <cell r="E82" t="str">
            <v>BPCL</v>
          </cell>
          <cell r="G82" t="str">
            <v>Shirdi RSA</v>
          </cell>
          <cell r="J82" t="str">
            <v>YESGAON</v>
          </cell>
          <cell r="K82" t="str">
            <v>Ahmednagar</v>
          </cell>
          <cell r="L82" t="str">
            <v>D1</v>
          </cell>
          <cell r="M82" t="str">
            <v>NH-752G</v>
          </cell>
          <cell r="O82" t="str">
            <v>A</v>
          </cell>
        </row>
        <row r="83">
          <cell r="C83">
            <v>135490</v>
          </cell>
          <cell r="D83" t="str">
            <v>BP KHEDSHIVAPUR</v>
          </cell>
          <cell r="E83" t="str">
            <v>BPCL</v>
          </cell>
          <cell r="G83" t="str">
            <v>Pune Tathawade RSA</v>
          </cell>
          <cell r="J83" t="str">
            <v>KHEDSHIVAPUR TO HARISHCHANDRI</v>
          </cell>
          <cell r="K83" t="str">
            <v>Pune</v>
          </cell>
          <cell r="L83" t="str">
            <v>D1</v>
          </cell>
          <cell r="M83" t="str">
            <v>NH-48</v>
          </cell>
          <cell r="O83" t="str">
            <v>A</v>
          </cell>
        </row>
        <row r="84">
          <cell r="C84">
            <v>138326</v>
          </cell>
          <cell r="D84" t="str">
            <v>DEEPAK FUEL WORLD</v>
          </cell>
          <cell r="E84" t="str">
            <v>BPCL</v>
          </cell>
          <cell r="G84" t="str">
            <v>Ahmednagar East RSA</v>
          </cell>
          <cell r="J84" t="str">
            <v>Savedi</v>
          </cell>
          <cell r="K84" t="str">
            <v>Ahmednagar</v>
          </cell>
          <cell r="L84" t="str">
            <v>C</v>
          </cell>
          <cell r="O84" t="str">
            <v>A</v>
          </cell>
        </row>
        <row r="85">
          <cell r="C85">
            <v>138473</v>
          </cell>
          <cell r="D85" t="str">
            <v>NAMJOSHI PETROLEUM CORP.</v>
          </cell>
          <cell r="E85" t="str">
            <v>BPCL</v>
          </cell>
          <cell r="G85" t="str">
            <v>Satara East RSA</v>
          </cell>
          <cell r="J85" t="str">
            <v>Gharewadi</v>
          </cell>
          <cell r="K85" t="str">
            <v>Satara</v>
          </cell>
          <cell r="L85" t="str">
            <v>C</v>
          </cell>
          <cell r="O85" t="str">
            <v>B</v>
          </cell>
        </row>
        <row r="86">
          <cell r="C86">
            <v>138833</v>
          </cell>
          <cell r="D86" t="str">
            <v>TRINITY HIGHWAY SERVICES</v>
          </cell>
          <cell r="E86" t="str">
            <v>BPCL</v>
          </cell>
          <cell r="G86" t="str">
            <v>Satara West RSA</v>
          </cell>
          <cell r="J86" t="str">
            <v>PATAN</v>
          </cell>
          <cell r="K86" t="str">
            <v>Satara</v>
          </cell>
          <cell r="L86" t="str">
            <v>D1</v>
          </cell>
          <cell r="M86" t="str">
            <v>NH-166E</v>
          </cell>
          <cell r="O86" t="str">
            <v>B</v>
          </cell>
        </row>
        <row r="87">
          <cell r="C87">
            <v>138882</v>
          </cell>
          <cell r="D87" t="str">
            <v>KEDARI SERVICE STATION</v>
          </cell>
          <cell r="E87" t="str">
            <v>BPCL</v>
          </cell>
          <cell r="G87" t="str">
            <v>Pune City RSA</v>
          </cell>
          <cell r="J87" t="str">
            <v>WANWORIE</v>
          </cell>
          <cell r="K87" t="str">
            <v>Pune</v>
          </cell>
          <cell r="L87" t="str">
            <v>A</v>
          </cell>
          <cell r="O87" t="str">
            <v>A</v>
          </cell>
        </row>
        <row r="88">
          <cell r="C88">
            <v>138896</v>
          </cell>
          <cell r="D88" t="str">
            <v>MAGAR PETROLEUM</v>
          </cell>
          <cell r="E88" t="str">
            <v>BPCL</v>
          </cell>
          <cell r="G88" t="str">
            <v>Pune City RSA</v>
          </cell>
          <cell r="J88" t="str">
            <v>MAGARPATTA CITY</v>
          </cell>
          <cell r="K88" t="str">
            <v>Pune</v>
          </cell>
          <cell r="L88" t="str">
            <v>A</v>
          </cell>
          <cell r="O88" t="str">
            <v>A</v>
          </cell>
        </row>
        <row r="89">
          <cell r="C89">
            <v>139863</v>
          </cell>
          <cell r="D89" t="str">
            <v>KOTESHWAR PETROLEUM</v>
          </cell>
          <cell r="E89" t="str">
            <v>BPCL</v>
          </cell>
          <cell r="G89" t="str">
            <v>Pimpri Chinchwad RSA</v>
          </cell>
          <cell r="J89" t="str">
            <v>Kudal</v>
          </cell>
          <cell r="K89" t="str">
            <v>Pune</v>
          </cell>
          <cell r="L89" t="str">
            <v>A</v>
          </cell>
          <cell r="O89" t="str">
            <v>A</v>
          </cell>
        </row>
        <row r="90">
          <cell r="C90">
            <v>140030</v>
          </cell>
          <cell r="D90" t="str">
            <v>NEW  AGE  FUEL WORLD</v>
          </cell>
          <cell r="E90" t="str">
            <v>BPCL</v>
          </cell>
          <cell r="G90" t="str">
            <v>Ahmednagar East RSA</v>
          </cell>
          <cell r="J90" t="str">
            <v>MIDC Nagapur</v>
          </cell>
          <cell r="K90" t="str">
            <v>Ahmednagar</v>
          </cell>
          <cell r="L90" t="str">
            <v>D2</v>
          </cell>
          <cell r="O90" t="str">
            <v>B</v>
          </cell>
        </row>
        <row r="91">
          <cell r="C91">
            <v>140292</v>
          </cell>
          <cell r="D91" t="str">
            <v>ISHWAR SERVICE STATION</v>
          </cell>
          <cell r="E91" t="str">
            <v>BPCL</v>
          </cell>
          <cell r="G91" t="str">
            <v>Pune City RSA</v>
          </cell>
          <cell r="J91" t="str">
            <v>MARKET YARD/LULLANAGAR</v>
          </cell>
          <cell r="K91" t="str">
            <v>Pune</v>
          </cell>
          <cell r="L91" t="str">
            <v>A</v>
          </cell>
          <cell r="O91" t="str">
            <v>A</v>
          </cell>
        </row>
        <row r="92">
          <cell r="C92">
            <v>140498</v>
          </cell>
          <cell r="D92" t="str">
            <v>SHREEPAD HIGHWAY FUEL CENTRE</v>
          </cell>
          <cell r="E92" t="str">
            <v>BPCL</v>
          </cell>
          <cell r="G92" t="str">
            <v>Pune Saswad RSA</v>
          </cell>
          <cell r="J92" t="str">
            <v>LONI DEOKAR</v>
          </cell>
          <cell r="K92" t="str">
            <v>Pune</v>
          </cell>
          <cell r="L92" t="str">
            <v>D1</v>
          </cell>
          <cell r="M92" t="str">
            <v>NH-65</v>
          </cell>
          <cell r="O92" t="str">
            <v>B</v>
          </cell>
        </row>
        <row r="93">
          <cell r="C93">
            <v>140600</v>
          </cell>
          <cell r="D93" t="str">
            <v>KASAT PETROLEUMS</v>
          </cell>
          <cell r="E93" t="str">
            <v>BPCL</v>
          </cell>
          <cell r="G93" t="str">
            <v>Pune City RSA</v>
          </cell>
          <cell r="J93" t="str">
            <v>KARVE ROAD</v>
          </cell>
          <cell r="K93" t="str">
            <v>Pune</v>
          </cell>
          <cell r="L93" t="str">
            <v>A</v>
          </cell>
          <cell r="O93" t="str">
            <v>A</v>
          </cell>
        </row>
        <row r="94">
          <cell r="C94">
            <v>140948</v>
          </cell>
          <cell r="D94" t="str">
            <v>MITTALI SERVICE STATION</v>
          </cell>
          <cell r="E94" t="str">
            <v>BPCL</v>
          </cell>
          <cell r="G94" t="str">
            <v>Pune City RSA</v>
          </cell>
          <cell r="J94" t="str">
            <v>SINGHAD ROAD(RHS)</v>
          </cell>
          <cell r="K94" t="str">
            <v>Pune</v>
          </cell>
          <cell r="L94" t="str">
            <v>A</v>
          </cell>
          <cell r="O94" t="str">
            <v>A</v>
          </cell>
        </row>
        <row r="95">
          <cell r="C95">
            <v>140995</v>
          </cell>
          <cell r="D95" t="str">
            <v>SHIDDIVINAYAK PETROLEUM</v>
          </cell>
          <cell r="E95" t="str">
            <v>BPCL</v>
          </cell>
          <cell r="G95" t="str">
            <v>Pune Hadapsar RSA</v>
          </cell>
          <cell r="J95" t="str">
            <v>Hadapsar LHS</v>
          </cell>
          <cell r="K95" t="str">
            <v>Pune</v>
          </cell>
          <cell r="L95" t="str">
            <v>A</v>
          </cell>
          <cell r="O95" t="str">
            <v>A</v>
          </cell>
        </row>
        <row r="96">
          <cell r="C96">
            <v>141153</v>
          </cell>
          <cell r="D96" t="str">
            <v>UPKAR FUELS (CLOSED FROM NOV '08)</v>
          </cell>
          <cell r="E96" t="str">
            <v>BPCL</v>
          </cell>
          <cell r="G96" t="str">
            <v>Ahmednagar West RSA</v>
          </cell>
          <cell r="J96" t="str">
            <v>PATHARDI</v>
          </cell>
          <cell r="K96" t="str">
            <v>Ahmednagar</v>
          </cell>
          <cell r="L96" t="str">
            <v>D2</v>
          </cell>
          <cell r="O96" t="str">
            <v>B</v>
          </cell>
        </row>
        <row r="97">
          <cell r="C97">
            <v>141513</v>
          </cell>
          <cell r="D97" t="str">
            <v>OM SAI RAM FUEL CENTER</v>
          </cell>
          <cell r="E97" t="str">
            <v>BPCL</v>
          </cell>
          <cell r="G97" t="str">
            <v>Pimpri Chinchwad RSA</v>
          </cell>
          <cell r="J97" t="str">
            <v>Khandala to Shirwal</v>
          </cell>
          <cell r="K97" t="str">
            <v>Pune</v>
          </cell>
          <cell r="L97" t="str">
            <v>A</v>
          </cell>
          <cell r="O97" t="str">
            <v>A</v>
          </cell>
        </row>
        <row r="98">
          <cell r="C98">
            <v>141762</v>
          </cell>
          <cell r="D98" t="str">
            <v>BAFNA PVC</v>
          </cell>
          <cell r="E98" t="str">
            <v>BPCL</v>
          </cell>
          <cell r="G98" t="str">
            <v>Ahmednagar West RSA</v>
          </cell>
          <cell r="J98" t="str">
            <v>JAMKHED-NAGAR RD</v>
          </cell>
          <cell r="K98" t="str">
            <v>Ahmednagar</v>
          </cell>
          <cell r="L98" t="str">
            <v>D2</v>
          </cell>
          <cell r="O98" t="str">
            <v>A</v>
          </cell>
        </row>
        <row r="99">
          <cell r="C99">
            <v>142306</v>
          </cell>
          <cell r="D99" t="str">
            <v>PATEL SERVICE STATION</v>
          </cell>
          <cell r="E99" t="str">
            <v>BPCL</v>
          </cell>
          <cell r="G99" t="str">
            <v>Satara West RSA</v>
          </cell>
          <cell r="J99" t="str">
            <v>Karad City</v>
          </cell>
          <cell r="K99" t="str">
            <v>Satara</v>
          </cell>
          <cell r="L99" t="str">
            <v>C</v>
          </cell>
          <cell r="O99" t="str">
            <v>A</v>
          </cell>
        </row>
        <row r="100">
          <cell r="C100">
            <v>142887</v>
          </cell>
          <cell r="D100" t="str">
            <v>MADHUBAN PETROLEUM</v>
          </cell>
          <cell r="E100" t="str">
            <v>BPCL</v>
          </cell>
          <cell r="G100" t="str">
            <v>Shirdi RSA</v>
          </cell>
          <cell r="J100" t="str">
            <v>GHARGAON Nashik-Pune RHS</v>
          </cell>
          <cell r="K100" t="str">
            <v>Ahmednagar</v>
          </cell>
          <cell r="L100" t="str">
            <v>D1</v>
          </cell>
          <cell r="M100" t="str">
            <v>NH-60</v>
          </cell>
          <cell r="O100" t="str">
            <v>A</v>
          </cell>
        </row>
        <row r="101">
          <cell r="C101">
            <v>143008</v>
          </cell>
          <cell r="D101" t="str">
            <v>D.R.GAVANE</v>
          </cell>
          <cell r="E101" t="str">
            <v>BPCL</v>
          </cell>
          <cell r="G101" t="str">
            <v>Pimpri Chinchwad RSA</v>
          </cell>
          <cell r="J101" t="str">
            <v>Dhebewadi</v>
          </cell>
          <cell r="K101" t="str">
            <v>Pune</v>
          </cell>
          <cell r="L101" t="str">
            <v>A</v>
          </cell>
          <cell r="O101" t="str">
            <v>A</v>
          </cell>
        </row>
        <row r="102">
          <cell r="C102">
            <v>143009</v>
          </cell>
          <cell r="D102" t="str">
            <v>RAJLAXMI SERVICE CENTRE</v>
          </cell>
          <cell r="E102" t="str">
            <v>BPCL</v>
          </cell>
          <cell r="G102" t="str">
            <v>Pimpri Chinchwad RSA</v>
          </cell>
          <cell r="J102" t="str">
            <v>chakan to rajgurunagar LHS</v>
          </cell>
          <cell r="K102" t="str">
            <v>Pune</v>
          </cell>
          <cell r="L102" t="str">
            <v>D1</v>
          </cell>
          <cell r="M102" t="str">
            <v>NH-60</v>
          </cell>
          <cell r="O102" t="str">
            <v>A</v>
          </cell>
        </row>
        <row r="103">
          <cell r="C103">
            <v>143023</v>
          </cell>
          <cell r="D103" t="str">
            <v>SIDDHANT PETROLEUM</v>
          </cell>
          <cell r="E103" t="str">
            <v>BPCL</v>
          </cell>
          <cell r="G103" t="str">
            <v>Pune Wagholi RSA</v>
          </cell>
          <cell r="J103" t="str">
            <v>Ranjangaon LHS</v>
          </cell>
          <cell r="K103" t="str">
            <v>Pune</v>
          </cell>
          <cell r="L103" t="str">
            <v>D1</v>
          </cell>
          <cell r="M103" t="str">
            <v>NH-753F</v>
          </cell>
          <cell r="O103" t="str">
            <v>A</v>
          </cell>
        </row>
        <row r="104">
          <cell r="C104">
            <v>143938</v>
          </cell>
          <cell r="D104" t="str">
            <v>BHARAT FUEL CENTER</v>
          </cell>
          <cell r="E104" t="str">
            <v>BPCL</v>
          </cell>
          <cell r="G104" t="str">
            <v>Pune City RSA</v>
          </cell>
          <cell r="J104" t="str">
            <v>BHUKUM</v>
          </cell>
          <cell r="K104" t="str">
            <v>Pune</v>
          </cell>
          <cell r="L104" t="str">
            <v>D1</v>
          </cell>
          <cell r="M104" t="str">
            <v>NH-753F</v>
          </cell>
          <cell r="O104" t="str">
            <v>A</v>
          </cell>
        </row>
        <row r="105">
          <cell r="C105">
            <v>144051</v>
          </cell>
          <cell r="D105" t="str">
            <v>PACHPUTE K.S.</v>
          </cell>
          <cell r="E105" t="str">
            <v>BPCL</v>
          </cell>
          <cell r="G105" t="str">
            <v>Ahmednagar West RSA</v>
          </cell>
          <cell r="J105" t="str">
            <v>LONI VYNKNATH-KASHTI (NH)</v>
          </cell>
          <cell r="K105" t="str">
            <v>Ahmednagar</v>
          </cell>
          <cell r="L105" t="str">
            <v>D1</v>
          </cell>
          <cell r="M105" t="str">
            <v>NH-160</v>
          </cell>
          <cell r="O105" t="str">
            <v>A</v>
          </cell>
        </row>
        <row r="106">
          <cell r="C106">
            <v>144203</v>
          </cell>
          <cell r="D106" t="str">
            <v>SWAMI PETROLEUM</v>
          </cell>
          <cell r="E106" t="str">
            <v>BPCL</v>
          </cell>
          <cell r="G106" t="str">
            <v>Satara East RSA</v>
          </cell>
          <cell r="J106" t="str">
            <v>Umbraj on Patan SH</v>
          </cell>
          <cell r="K106" t="str">
            <v>Satara</v>
          </cell>
          <cell r="L106" t="str">
            <v>D1</v>
          </cell>
          <cell r="M106" t="str">
            <v>NH-965D</v>
          </cell>
          <cell r="O106" t="str">
            <v>A</v>
          </cell>
        </row>
        <row r="107">
          <cell r="C107">
            <v>144237</v>
          </cell>
          <cell r="D107" t="str">
            <v>SUPREME CREATIONS(closed)</v>
          </cell>
          <cell r="E107" t="str">
            <v>BPCL</v>
          </cell>
          <cell r="G107" t="str">
            <v>Pune City RSA</v>
          </cell>
          <cell r="J107" t="str">
            <v>LAVASA CITY</v>
          </cell>
          <cell r="K107" t="str">
            <v>Pune</v>
          </cell>
          <cell r="L107" t="str">
            <v>A</v>
          </cell>
          <cell r="O107" t="str">
            <v>B</v>
          </cell>
        </row>
        <row r="108">
          <cell r="C108">
            <v>144246</v>
          </cell>
          <cell r="D108" t="str">
            <v>DEVENDRA AUTOLINES</v>
          </cell>
          <cell r="E108" t="str">
            <v>BPCL</v>
          </cell>
          <cell r="G108" t="str">
            <v>Pimpri Chinchwad RSA</v>
          </cell>
          <cell r="J108" t="str">
            <v>Satara to Bhuinj</v>
          </cell>
          <cell r="K108" t="str">
            <v>Pune</v>
          </cell>
          <cell r="L108" t="str">
            <v>D1</v>
          </cell>
          <cell r="M108" t="str">
            <v>NH-60</v>
          </cell>
          <cell r="O108" t="str">
            <v>A</v>
          </cell>
        </row>
        <row r="109">
          <cell r="C109">
            <v>144381</v>
          </cell>
          <cell r="D109" t="str">
            <v>BHAIRAVNATH</v>
          </cell>
          <cell r="E109" t="str">
            <v>BPCL</v>
          </cell>
          <cell r="G109" t="str">
            <v>Shirdi RSA</v>
          </cell>
          <cell r="J109" t="str">
            <v>BHAIRAVNATH NAGAR</v>
          </cell>
          <cell r="K109" t="str">
            <v>Ahmednagar</v>
          </cell>
          <cell r="L109" t="str">
            <v>D2</v>
          </cell>
          <cell r="O109" t="str">
            <v>B</v>
          </cell>
        </row>
        <row r="110">
          <cell r="C110">
            <v>144457</v>
          </cell>
          <cell r="D110" t="str">
            <v>KADAM PETROLEUM</v>
          </cell>
          <cell r="E110" t="str">
            <v>BPCL</v>
          </cell>
          <cell r="G110" t="str">
            <v>Satara West RSA</v>
          </cell>
          <cell r="J110" t="str">
            <v>Satara City</v>
          </cell>
          <cell r="K110" t="str">
            <v>Satara</v>
          </cell>
          <cell r="L110" t="str">
            <v>C</v>
          </cell>
          <cell r="O110" t="str">
            <v>A</v>
          </cell>
        </row>
        <row r="111">
          <cell r="C111">
            <v>144554</v>
          </cell>
          <cell r="D111" t="str">
            <v>SP AHMEDNAGAR SHIRDI</v>
          </cell>
          <cell r="E111" t="str">
            <v>BPCL</v>
          </cell>
          <cell r="G111" t="str">
            <v>Shirdi RSA</v>
          </cell>
          <cell r="J111" t="str">
            <v>SHIRDI</v>
          </cell>
          <cell r="K111" t="str">
            <v>Ahmednagar</v>
          </cell>
          <cell r="L111" t="str">
            <v>D1</v>
          </cell>
          <cell r="M111" t="str">
            <v>NH-160</v>
          </cell>
          <cell r="O111" t="str">
            <v>B</v>
          </cell>
        </row>
        <row r="112">
          <cell r="C112">
            <v>144577</v>
          </cell>
          <cell r="D112" t="str">
            <v>SHREE SAI ROHIT</v>
          </cell>
          <cell r="E112" t="str">
            <v>BPCL</v>
          </cell>
          <cell r="G112" t="str">
            <v>Ahmednagar East RSA</v>
          </cell>
          <cell r="J112" t="str">
            <v>Kangoni</v>
          </cell>
          <cell r="K112" t="str">
            <v>Ahmednagar</v>
          </cell>
          <cell r="L112" t="str">
            <v>D1</v>
          </cell>
          <cell r="M112" t="str">
            <v>NH-753F</v>
          </cell>
          <cell r="O112" t="str">
            <v>A</v>
          </cell>
        </row>
        <row r="113">
          <cell r="C113">
            <v>144579</v>
          </cell>
          <cell r="D113" t="str">
            <v>ASHWIN AUTOMOBILES</v>
          </cell>
          <cell r="E113" t="str">
            <v>BPCL</v>
          </cell>
          <cell r="G113" t="str">
            <v>Ahmednagar East RSA</v>
          </cell>
          <cell r="J113" t="str">
            <v>Chas</v>
          </cell>
          <cell r="K113" t="str">
            <v>Ahmednagar</v>
          </cell>
          <cell r="L113" t="str">
            <v>D1</v>
          </cell>
          <cell r="M113" t="str">
            <v>NH-753F</v>
          </cell>
          <cell r="O113" t="str">
            <v>A</v>
          </cell>
        </row>
        <row r="114">
          <cell r="C114">
            <v>144580</v>
          </cell>
          <cell r="D114" t="str">
            <v>D. S. PETROWORLD</v>
          </cell>
          <cell r="E114" t="str">
            <v>BPCL</v>
          </cell>
          <cell r="G114" t="str">
            <v>Ahmednagar East RSA</v>
          </cell>
          <cell r="J114" t="str">
            <v>Shevgaon-Geori Road</v>
          </cell>
          <cell r="K114" t="str">
            <v>Ahmednagar</v>
          </cell>
          <cell r="L114" t="str">
            <v>D2</v>
          </cell>
          <cell r="O114" t="str">
            <v>A</v>
          </cell>
        </row>
        <row r="115">
          <cell r="C115">
            <v>144581</v>
          </cell>
          <cell r="D115" t="str">
            <v>SHANI MANATMEY EXP FUELS</v>
          </cell>
          <cell r="E115" t="str">
            <v>BPCL</v>
          </cell>
          <cell r="G115" t="str">
            <v>Ahmednagar East RSA</v>
          </cell>
          <cell r="J115" t="str">
            <v>Sonai</v>
          </cell>
          <cell r="K115" t="str">
            <v>Ahmednagar</v>
          </cell>
          <cell r="L115" t="str">
            <v>D1</v>
          </cell>
          <cell r="M115" t="str">
            <v>NH-160C</v>
          </cell>
          <cell r="O115" t="str">
            <v>A</v>
          </cell>
        </row>
        <row r="116">
          <cell r="C116">
            <v>144583</v>
          </cell>
          <cell r="D116" t="str">
            <v>SHANTILAL &amp; KANTILAL &amp; SONS</v>
          </cell>
          <cell r="E116" t="str">
            <v>BPCL</v>
          </cell>
          <cell r="G116" t="str">
            <v>Ahmednagar East RSA</v>
          </cell>
          <cell r="J116" t="str">
            <v>WAMBHORI</v>
          </cell>
          <cell r="K116" t="str">
            <v>Ahmednagar</v>
          </cell>
          <cell r="L116" t="str">
            <v>D2</v>
          </cell>
          <cell r="O116" t="str">
            <v>A</v>
          </cell>
        </row>
        <row r="117">
          <cell r="C117">
            <v>144877</v>
          </cell>
          <cell r="D117" t="str">
            <v>SHREE VENKATESHWARA</v>
          </cell>
          <cell r="E117" t="str">
            <v>BPCL</v>
          </cell>
          <cell r="G117" t="str">
            <v>Shirdi RSA</v>
          </cell>
          <cell r="J117" t="str">
            <v>VADGAONPAN</v>
          </cell>
          <cell r="K117" t="str">
            <v>Ahmednagar</v>
          </cell>
          <cell r="L117" t="str">
            <v>D2</v>
          </cell>
          <cell r="O117" t="str">
            <v>A</v>
          </cell>
        </row>
        <row r="118">
          <cell r="C118">
            <v>145124</v>
          </cell>
          <cell r="D118" t="str">
            <v>KISAN BORREWELL CO</v>
          </cell>
          <cell r="E118" t="str">
            <v>BPCL</v>
          </cell>
          <cell r="G118" t="str">
            <v>Satara West RSA</v>
          </cell>
          <cell r="J118" t="str">
            <v>Satara City</v>
          </cell>
          <cell r="K118" t="str">
            <v>Satara</v>
          </cell>
          <cell r="L118" t="str">
            <v>C</v>
          </cell>
          <cell r="O118" t="str">
            <v>A</v>
          </cell>
        </row>
        <row r="119">
          <cell r="C119">
            <v>145408</v>
          </cell>
          <cell r="D119" t="str">
            <v>DAULAT SERVICE STATION</v>
          </cell>
          <cell r="E119" t="str">
            <v>BPCL</v>
          </cell>
          <cell r="G119" t="str">
            <v>Pune City RSA</v>
          </cell>
          <cell r="J119" t="str">
            <v>BHUKUM</v>
          </cell>
          <cell r="K119" t="str">
            <v>Pune</v>
          </cell>
          <cell r="L119" t="str">
            <v>D1</v>
          </cell>
          <cell r="M119" t="str">
            <v>NH-753F</v>
          </cell>
          <cell r="O119" t="str">
            <v>A</v>
          </cell>
        </row>
        <row r="120">
          <cell r="C120">
            <v>145409</v>
          </cell>
          <cell r="D120" t="str">
            <v>MAULI PETROLEUM</v>
          </cell>
          <cell r="E120" t="str">
            <v>BPCL</v>
          </cell>
          <cell r="G120" t="str">
            <v>Pune City RSA</v>
          </cell>
          <cell r="J120" t="str">
            <v>BANER</v>
          </cell>
          <cell r="K120" t="str">
            <v>Pune</v>
          </cell>
          <cell r="L120" t="str">
            <v>A</v>
          </cell>
          <cell r="O120" t="str">
            <v>A</v>
          </cell>
        </row>
        <row r="121">
          <cell r="C121">
            <v>145670</v>
          </cell>
          <cell r="D121" t="str">
            <v>PRAJAKTA PETROLEUM</v>
          </cell>
          <cell r="E121" t="str">
            <v>BPCL</v>
          </cell>
          <cell r="G121" t="str">
            <v>Pune Hadapsar RSA</v>
          </cell>
          <cell r="J121" t="str">
            <v>Loni LHS</v>
          </cell>
          <cell r="K121" t="str">
            <v>Pune</v>
          </cell>
          <cell r="L121" t="str">
            <v>D1</v>
          </cell>
          <cell r="M121" t="str">
            <v>NH-65</v>
          </cell>
          <cell r="O121" t="str">
            <v>A</v>
          </cell>
        </row>
        <row r="122">
          <cell r="C122">
            <v>145810</v>
          </cell>
          <cell r="D122" t="str">
            <v>BAANDAL PETROLEUM</v>
          </cell>
          <cell r="E122" t="str">
            <v>BPCL</v>
          </cell>
          <cell r="G122" t="str">
            <v>Pune Wagholi RSA</v>
          </cell>
          <cell r="J122" t="str">
            <v>LONIKAND to KOREGAON BHIMA RHS</v>
          </cell>
          <cell r="K122" t="str">
            <v>Pune</v>
          </cell>
          <cell r="L122" t="str">
            <v>D1</v>
          </cell>
          <cell r="M122" t="str">
            <v>NH-753F</v>
          </cell>
          <cell r="O122" t="str">
            <v>A</v>
          </cell>
        </row>
        <row r="123">
          <cell r="C123">
            <v>145871</v>
          </cell>
          <cell r="D123" t="str">
            <v>SHUBAM PETROL DEPOT</v>
          </cell>
          <cell r="E123" t="str">
            <v>BPCL</v>
          </cell>
          <cell r="G123" t="str">
            <v>Pimpri Chinchwad RSA</v>
          </cell>
          <cell r="J123" t="str">
            <v>SATARA ON NH48 LHS</v>
          </cell>
          <cell r="K123" t="str">
            <v>Pune</v>
          </cell>
          <cell r="L123" t="str">
            <v>D1</v>
          </cell>
          <cell r="M123" t="str">
            <v>NH-548D</v>
          </cell>
          <cell r="O123" t="str">
            <v>A</v>
          </cell>
        </row>
        <row r="124">
          <cell r="C124">
            <v>145982</v>
          </cell>
          <cell r="D124" t="str">
            <v>OM SAI PETROLEUM</v>
          </cell>
          <cell r="E124" t="str">
            <v>BPCL</v>
          </cell>
          <cell r="G124" t="str">
            <v>Shirdi RSA</v>
          </cell>
          <cell r="J124" t="str">
            <v>BELAPUR</v>
          </cell>
          <cell r="K124" t="str">
            <v>Ahmednagar</v>
          </cell>
          <cell r="L124" t="str">
            <v>D2</v>
          </cell>
          <cell r="O124" t="str">
            <v>B</v>
          </cell>
        </row>
        <row r="125">
          <cell r="C125">
            <v>146014</v>
          </cell>
          <cell r="D125" t="str">
            <v>SHRI RAMCHANDRA SERVICE STATION</v>
          </cell>
          <cell r="E125" t="str">
            <v>BPCL</v>
          </cell>
          <cell r="G125" t="str">
            <v>Pune Wagholi RSA</v>
          </cell>
          <cell r="J125" t="str">
            <v>LONIKAND to KOREGAON BHIMA LHS</v>
          </cell>
          <cell r="K125" t="str">
            <v>Pune</v>
          </cell>
          <cell r="L125" t="str">
            <v>D1</v>
          </cell>
          <cell r="M125" t="str">
            <v>NH-753F</v>
          </cell>
          <cell r="O125" t="str">
            <v>A</v>
          </cell>
        </row>
        <row r="126">
          <cell r="C126">
            <v>146224</v>
          </cell>
          <cell r="D126" t="str">
            <v>DESHMUKH PETROLEUM</v>
          </cell>
          <cell r="E126" t="str">
            <v>BPCL</v>
          </cell>
          <cell r="G126" t="str">
            <v>Shirdi RSA</v>
          </cell>
          <cell r="J126" t="str">
            <v>KOTUL</v>
          </cell>
          <cell r="K126" t="str">
            <v>Ahmednagar</v>
          </cell>
          <cell r="L126" t="str">
            <v>D2</v>
          </cell>
          <cell r="O126" t="str">
            <v>B</v>
          </cell>
        </row>
        <row r="127">
          <cell r="C127">
            <v>146232</v>
          </cell>
          <cell r="D127" t="str">
            <v>RENUKA PETROLEUM</v>
          </cell>
          <cell r="E127" t="str">
            <v>BPCL</v>
          </cell>
          <cell r="G127" t="str">
            <v>Shirdi RSA</v>
          </cell>
          <cell r="J127" t="str">
            <v>DEOLALI</v>
          </cell>
          <cell r="K127" t="str">
            <v>Ahmednagar</v>
          </cell>
          <cell r="L127" t="str">
            <v>D2</v>
          </cell>
          <cell r="O127" t="str">
            <v>B</v>
          </cell>
        </row>
        <row r="128">
          <cell r="C128">
            <v>146233</v>
          </cell>
          <cell r="D128" t="str">
            <v>TRIMURTI PETROLEUM</v>
          </cell>
          <cell r="E128" t="str">
            <v>BPCL</v>
          </cell>
          <cell r="G128" t="str">
            <v>Ahmednagar East RSA</v>
          </cell>
          <cell r="J128" t="str">
            <v>manjari</v>
          </cell>
          <cell r="K128" t="str">
            <v>Ahmednagar</v>
          </cell>
          <cell r="L128" t="str">
            <v>E</v>
          </cell>
          <cell r="O128" t="str">
            <v>B</v>
          </cell>
        </row>
        <row r="129">
          <cell r="C129">
            <v>147529</v>
          </cell>
          <cell r="D129" t="str">
            <v>DIGAMBAR PETROLEUM/BAANDAL PACHUNDKAR PETROLEUM ADHOC</v>
          </cell>
          <cell r="E129" t="str">
            <v>BPCL</v>
          </cell>
          <cell r="G129" t="str">
            <v>Pune Wagholi RSA</v>
          </cell>
          <cell r="J129" t="str">
            <v>Ranjangaon LHS</v>
          </cell>
          <cell r="K129" t="str">
            <v>Pune</v>
          </cell>
          <cell r="L129" t="str">
            <v>D1</v>
          </cell>
          <cell r="M129" t="str">
            <v>NH-753F</v>
          </cell>
          <cell r="O129" t="str">
            <v>A</v>
          </cell>
        </row>
        <row r="130">
          <cell r="C130">
            <v>147811</v>
          </cell>
          <cell r="D130" t="str">
            <v>C.N.KATKADE</v>
          </cell>
          <cell r="E130" t="str">
            <v>BPCL</v>
          </cell>
          <cell r="G130" t="str">
            <v>Shirdi RSA</v>
          </cell>
          <cell r="J130" t="str">
            <v>PUNTAMBA PHATA</v>
          </cell>
          <cell r="K130" t="str">
            <v>Ahmednagar</v>
          </cell>
          <cell r="L130" t="str">
            <v>D1</v>
          </cell>
          <cell r="M130" t="str">
            <v>NH-752G</v>
          </cell>
          <cell r="O130" t="str">
            <v>B</v>
          </cell>
        </row>
        <row r="131">
          <cell r="C131">
            <v>148022</v>
          </cell>
          <cell r="D131" t="str">
            <v>HITESH TRANSPORT</v>
          </cell>
          <cell r="E131" t="str">
            <v>BPCL</v>
          </cell>
          <cell r="G131" t="str">
            <v>Pune Wagholi RSA</v>
          </cell>
          <cell r="J131" t="str">
            <v>Junnar</v>
          </cell>
          <cell r="K131" t="str">
            <v>Pune</v>
          </cell>
          <cell r="L131" t="str">
            <v>D2</v>
          </cell>
          <cell r="O131" t="str">
            <v>A</v>
          </cell>
        </row>
        <row r="132">
          <cell r="C132">
            <v>148023</v>
          </cell>
          <cell r="D132" t="str">
            <v>SAI SERVICES</v>
          </cell>
          <cell r="E132" t="str">
            <v>BPCL</v>
          </cell>
          <cell r="G132" t="str">
            <v>Pune City RSA</v>
          </cell>
          <cell r="J132" t="str">
            <v>KARVE ROAD</v>
          </cell>
          <cell r="K132" t="str">
            <v>Pune</v>
          </cell>
          <cell r="L132" t="str">
            <v>A</v>
          </cell>
          <cell r="O132" t="str">
            <v>B</v>
          </cell>
        </row>
        <row r="133">
          <cell r="C133">
            <v>148059</v>
          </cell>
          <cell r="D133" t="str">
            <v>GUNJAN PETROLEUM (247159 MANISHA PETROLEUM ADHOC (14809 SAGAR CONSTRUCTION ))</v>
          </cell>
          <cell r="E133" t="str">
            <v>BPCL</v>
          </cell>
          <cell r="G133" t="str">
            <v>Ahmednagar East RSA</v>
          </cell>
          <cell r="J133" t="str">
            <v>Dhangarwadi</v>
          </cell>
          <cell r="K133" t="str">
            <v>Ahmednagar</v>
          </cell>
          <cell r="L133" t="str">
            <v>D1</v>
          </cell>
          <cell r="M133" t="str">
            <v>NH-753F</v>
          </cell>
          <cell r="O133" t="str">
            <v>A</v>
          </cell>
        </row>
        <row r="134">
          <cell r="C134">
            <v>148067</v>
          </cell>
          <cell r="D134" t="str">
            <v>DHARMAWAT PETROLEUM</v>
          </cell>
          <cell r="E134" t="str">
            <v>BPCL</v>
          </cell>
          <cell r="G134" t="str">
            <v>Pune Hadapsar RSA</v>
          </cell>
          <cell r="J134" t="str">
            <v>Urlidevachi Undri Road</v>
          </cell>
          <cell r="K134" t="str">
            <v>Pune</v>
          </cell>
          <cell r="L134" t="str">
            <v>A</v>
          </cell>
          <cell r="O134" t="str">
            <v>A</v>
          </cell>
        </row>
        <row r="135">
          <cell r="C135">
            <v>148068</v>
          </cell>
          <cell r="D135" t="str">
            <v>SHREE RAM PETROLEUM</v>
          </cell>
          <cell r="E135" t="str">
            <v>BPCL</v>
          </cell>
          <cell r="G135" t="str">
            <v>Satara West RSA</v>
          </cell>
          <cell r="J135" t="str">
            <v>Kolewadi to Dhebewadi</v>
          </cell>
          <cell r="K135" t="str">
            <v>Satara</v>
          </cell>
          <cell r="L135" t="str">
            <v>E</v>
          </cell>
          <cell r="O135" t="str">
            <v>B</v>
          </cell>
        </row>
        <row r="136">
          <cell r="C136">
            <v>148069</v>
          </cell>
          <cell r="D136" t="str">
            <v>LOBH PETROLEUM</v>
          </cell>
          <cell r="E136" t="str">
            <v>BPCL</v>
          </cell>
          <cell r="G136" t="str">
            <v>Satara West RSA</v>
          </cell>
          <cell r="J136" t="str">
            <v>Bhuinj to Satara</v>
          </cell>
          <cell r="K136" t="str">
            <v>Satara</v>
          </cell>
          <cell r="L136" t="str">
            <v>D1</v>
          </cell>
          <cell r="M136" t="str">
            <v>NH-48</v>
          </cell>
          <cell r="O136" t="str">
            <v>A</v>
          </cell>
        </row>
        <row r="137">
          <cell r="C137">
            <v>148178</v>
          </cell>
          <cell r="D137" t="str">
            <v>ATUL SALES &amp; SERVICES</v>
          </cell>
          <cell r="E137" t="str">
            <v>BPCL</v>
          </cell>
          <cell r="G137" t="str">
            <v>Pimpri Chinchwad RSA</v>
          </cell>
          <cell r="J137" t="str">
            <v xml:space="preserve">Sablewadi to shikhrapur </v>
          </cell>
          <cell r="K137" t="str">
            <v>Pune</v>
          </cell>
          <cell r="L137" t="str">
            <v>D1</v>
          </cell>
          <cell r="M137" t="str">
            <v>NH-548D</v>
          </cell>
          <cell r="O137" t="str">
            <v>A</v>
          </cell>
        </row>
        <row r="138">
          <cell r="C138">
            <v>148180</v>
          </cell>
          <cell r="D138" t="str">
            <v>YASH PETROLEUM</v>
          </cell>
          <cell r="E138" t="str">
            <v>BPCL</v>
          </cell>
          <cell r="G138" t="str">
            <v>Pune City RSA</v>
          </cell>
          <cell r="J138" t="str">
            <v>MUNDHWA/GHORPADI</v>
          </cell>
          <cell r="K138" t="str">
            <v>Pune</v>
          </cell>
          <cell r="L138" t="str">
            <v>A</v>
          </cell>
          <cell r="O138" t="str">
            <v>A</v>
          </cell>
        </row>
        <row r="139">
          <cell r="C139">
            <v>148424</v>
          </cell>
          <cell r="D139" t="str">
            <v>TAWARE PETROLEUM AGENCY</v>
          </cell>
          <cell r="E139" t="str">
            <v>BPCL</v>
          </cell>
          <cell r="G139" t="str">
            <v>Pune Tathawade RSA</v>
          </cell>
          <cell r="J139" t="str">
            <v>MALEGAON</v>
          </cell>
          <cell r="K139" t="str">
            <v>Pune</v>
          </cell>
          <cell r="L139" t="str">
            <v>D2</v>
          </cell>
          <cell r="O139" t="str">
            <v>A</v>
          </cell>
        </row>
        <row r="140">
          <cell r="C140">
            <v>148459</v>
          </cell>
          <cell r="D140" t="str">
            <v>SONA HIRA PETROLEUM</v>
          </cell>
          <cell r="E140" t="str">
            <v>BPCL</v>
          </cell>
          <cell r="G140" t="str">
            <v>Satara West RSA</v>
          </cell>
          <cell r="J140" t="str">
            <v>Karad Shenoli Road</v>
          </cell>
          <cell r="K140" t="str">
            <v>Satara</v>
          </cell>
          <cell r="L140" t="str">
            <v>D1</v>
          </cell>
          <cell r="M140" t="str">
            <v>NH-266</v>
          </cell>
          <cell r="O140" t="str">
            <v>B</v>
          </cell>
        </row>
        <row r="141">
          <cell r="C141">
            <v>148460</v>
          </cell>
          <cell r="D141" t="str">
            <v>J K PETROLEUM</v>
          </cell>
          <cell r="E141" t="str">
            <v>BPCL</v>
          </cell>
          <cell r="G141" t="str">
            <v>Satara West RSA</v>
          </cell>
          <cell r="J141" t="str">
            <v>Karad Oglewadi Road</v>
          </cell>
          <cell r="K141" t="str">
            <v>Satara</v>
          </cell>
          <cell r="L141" t="str">
            <v>D1</v>
          </cell>
          <cell r="M141" t="str">
            <v>NH-166E</v>
          </cell>
          <cell r="O141" t="str">
            <v>B</v>
          </cell>
        </row>
        <row r="142">
          <cell r="C142">
            <v>148461</v>
          </cell>
          <cell r="D142" t="str">
            <v>SHREE BALAJI PETROLEUM</v>
          </cell>
          <cell r="E142" t="str">
            <v>BPCL</v>
          </cell>
          <cell r="G142" t="str">
            <v>Satara East RSA</v>
          </cell>
          <cell r="J142" t="str">
            <v>Medha</v>
          </cell>
          <cell r="K142" t="str">
            <v>Satara</v>
          </cell>
          <cell r="L142" t="str">
            <v>E</v>
          </cell>
          <cell r="O142" t="str">
            <v>B</v>
          </cell>
        </row>
        <row r="143">
          <cell r="C143">
            <v>148723</v>
          </cell>
          <cell r="D143" t="str">
            <v>SAI SHRADHA PETROLEUM</v>
          </cell>
          <cell r="E143" t="str">
            <v>BPCL</v>
          </cell>
          <cell r="G143" t="str">
            <v>Ahmednagar East RSA</v>
          </cell>
          <cell r="J143" t="str">
            <v>Kukana</v>
          </cell>
          <cell r="K143" t="str">
            <v>Ahmednagar</v>
          </cell>
          <cell r="L143" t="str">
            <v>D2</v>
          </cell>
          <cell r="O143" t="str">
            <v>A</v>
          </cell>
        </row>
        <row r="144">
          <cell r="C144">
            <v>148995</v>
          </cell>
          <cell r="D144" t="str">
            <v>SAI PETROLEUM</v>
          </cell>
          <cell r="E144" t="str">
            <v>BPCL</v>
          </cell>
          <cell r="G144" t="str">
            <v>Pune Wagholi RSA</v>
          </cell>
          <cell r="J144" t="str">
            <v>Shikrapur to Ranjangaon RHS</v>
          </cell>
          <cell r="K144" t="str">
            <v>Pune</v>
          </cell>
          <cell r="L144" t="str">
            <v>D1</v>
          </cell>
          <cell r="M144" t="str">
            <v>NH-753F</v>
          </cell>
          <cell r="O144" t="str">
            <v>A</v>
          </cell>
        </row>
        <row r="145">
          <cell r="C145">
            <v>149177</v>
          </cell>
          <cell r="D145" t="str">
            <v>ASHISH PETROLEUM (ADHOC)</v>
          </cell>
          <cell r="E145" t="str">
            <v>BPCL</v>
          </cell>
          <cell r="G145" t="str">
            <v>Pune Tathawade RSA</v>
          </cell>
          <cell r="J145" t="str">
            <v>Masur</v>
          </cell>
          <cell r="K145" t="str">
            <v>Pune</v>
          </cell>
          <cell r="L145" t="str">
            <v>D1</v>
          </cell>
          <cell r="M145" t="str">
            <v>NH-965G</v>
          </cell>
          <cell r="O145" t="str">
            <v>B</v>
          </cell>
        </row>
        <row r="146">
          <cell r="C146">
            <v>149992</v>
          </cell>
          <cell r="D146" t="str">
            <v>GAYATRI PETROLEUM</v>
          </cell>
          <cell r="E146" t="str">
            <v>BPCL</v>
          </cell>
          <cell r="G146" t="str">
            <v>Satara West RSA</v>
          </cell>
          <cell r="J146" t="str">
            <v>Masur</v>
          </cell>
          <cell r="K146" t="str">
            <v>Satara</v>
          </cell>
          <cell r="L146" t="str">
            <v>D2</v>
          </cell>
          <cell r="O146" t="str">
            <v>B</v>
          </cell>
        </row>
        <row r="147">
          <cell r="C147">
            <v>150337</v>
          </cell>
          <cell r="D147" t="str">
            <v>TRIMURTI PETROLEUM</v>
          </cell>
          <cell r="E147" t="str">
            <v>BPCL</v>
          </cell>
          <cell r="G147" t="str">
            <v>Satara West RSA</v>
          </cell>
          <cell r="J147" t="str">
            <v>KARAD TO WATHAR</v>
          </cell>
          <cell r="K147" t="str">
            <v>Satara</v>
          </cell>
          <cell r="L147" t="str">
            <v>D1</v>
          </cell>
          <cell r="M147" t="str">
            <v>NH-48</v>
          </cell>
          <cell r="O147" t="str">
            <v>A</v>
          </cell>
        </row>
        <row r="148">
          <cell r="C148">
            <v>150815</v>
          </cell>
          <cell r="D148" t="str">
            <v>BP-EXPRESS HIGHWAY</v>
          </cell>
          <cell r="E148" t="str">
            <v>BPCL</v>
          </cell>
          <cell r="G148" t="str">
            <v>Pune Tathawade RSA</v>
          </cell>
          <cell r="J148" t="str">
            <v>YCEW LONAVALA TO RAVET</v>
          </cell>
          <cell r="K148" t="str">
            <v>Pune</v>
          </cell>
          <cell r="L148" t="str">
            <v>D1</v>
          </cell>
          <cell r="M148" t="str">
            <v>NH-48</v>
          </cell>
          <cell r="O148" t="str">
            <v>A</v>
          </cell>
        </row>
        <row r="149">
          <cell r="C149">
            <v>154342</v>
          </cell>
          <cell r="D149" t="str">
            <v>BP - KELEWADE</v>
          </cell>
          <cell r="E149" t="str">
            <v>BPCL</v>
          </cell>
          <cell r="G149" t="str">
            <v>Pune Tathawade RSA</v>
          </cell>
          <cell r="J149" t="str">
            <v>HARISHCHANDRI TO KHED SHIVAPUR</v>
          </cell>
          <cell r="K149" t="str">
            <v>Pune</v>
          </cell>
          <cell r="L149" t="str">
            <v>D1</v>
          </cell>
          <cell r="M149" t="str">
            <v>NH-48</v>
          </cell>
          <cell r="O149" t="str">
            <v>A</v>
          </cell>
        </row>
        <row r="150">
          <cell r="C150">
            <v>154633</v>
          </cell>
          <cell r="D150" t="str">
            <v>SHREE SEWAGIRI PETROLEUM</v>
          </cell>
          <cell r="E150" t="str">
            <v>BPCL</v>
          </cell>
          <cell r="G150" t="str">
            <v>Satara East RSA</v>
          </cell>
          <cell r="J150" t="str">
            <v>Satara to Bhuinj</v>
          </cell>
          <cell r="K150" t="str">
            <v>Satara</v>
          </cell>
          <cell r="L150" t="str">
            <v>D1</v>
          </cell>
          <cell r="M150" t="str">
            <v>NH-548C</v>
          </cell>
          <cell r="O150" t="str">
            <v>B</v>
          </cell>
        </row>
        <row r="151">
          <cell r="C151">
            <v>154642</v>
          </cell>
          <cell r="D151" t="str">
            <v>ANAND PETROLEUM</v>
          </cell>
          <cell r="E151" t="str">
            <v>BPCL</v>
          </cell>
          <cell r="G151" t="str">
            <v>Ahmednagar West RSA</v>
          </cell>
          <cell r="J151" t="str">
            <v>ARANGAON</v>
          </cell>
          <cell r="K151" t="str">
            <v>Ahmednagar</v>
          </cell>
          <cell r="L151" t="str">
            <v>D1</v>
          </cell>
          <cell r="M151" t="str">
            <v>NH-160</v>
          </cell>
          <cell r="O151" t="str">
            <v>A</v>
          </cell>
        </row>
        <row r="152">
          <cell r="C152">
            <v>156097</v>
          </cell>
          <cell r="D152" t="str">
            <v>VIJAYRAJ PETROLEUM</v>
          </cell>
          <cell r="E152" t="str">
            <v>BPCL</v>
          </cell>
          <cell r="G152" t="str">
            <v>Satara East RSA</v>
          </cell>
          <cell r="J152" t="str">
            <v>Rajmachi to Kadegaon</v>
          </cell>
          <cell r="K152" t="str">
            <v>Satara</v>
          </cell>
          <cell r="L152" t="str">
            <v>D1</v>
          </cell>
          <cell r="M152" t="str">
            <v>NH-160</v>
          </cell>
          <cell r="O152" t="str">
            <v>B</v>
          </cell>
        </row>
        <row r="153">
          <cell r="C153">
            <v>157707</v>
          </cell>
          <cell r="D153" t="str">
            <v>SHRI SAMARTH MULTI SERVICE/ UPKAR FUELS</v>
          </cell>
          <cell r="E153" t="str">
            <v>BPCL</v>
          </cell>
          <cell r="G153" t="str">
            <v>Ahmednagar East RSA</v>
          </cell>
          <cell r="J153" t="str">
            <v>Supe toll</v>
          </cell>
          <cell r="K153" t="str">
            <v>Ahmednagar</v>
          </cell>
          <cell r="L153" t="str">
            <v>D1</v>
          </cell>
          <cell r="M153" t="str">
            <v>NH-753F</v>
          </cell>
          <cell r="O153" t="str">
            <v>A</v>
          </cell>
        </row>
        <row r="154">
          <cell r="C154">
            <v>158337</v>
          </cell>
          <cell r="D154" t="str">
            <v>AMBIKA PETROLEUM</v>
          </cell>
          <cell r="E154" t="str">
            <v>BPCL</v>
          </cell>
          <cell r="G154" t="str">
            <v>Satara East RSA</v>
          </cell>
          <cell r="J154" t="str">
            <v>Bhuinj to Khandala</v>
          </cell>
          <cell r="K154" t="str">
            <v>Satara</v>
          </cell>
          <cell r="L154" t="str">
            <v>D1</v>
          </cell>
          <cell r="M154" t="str">
            <v>NH-965D</v>
          </cell>
          <cell r="O154" t="str">
            <v>B</v>
          </cell>
        </row>
        <row r="155">
          <cell r="C155">
            <v>158522</v>
          </cell>
          <cell r="D155" t="str">
            <v>KAWADE PETROLEUM</v>
          </cell>
          <cell r="E155" t="str">
            <v>BPCL</v>
          </cell>
          <cell r="G155" t="str">
            <v>Pune City RSA</v>
          </cell>
          <cell r="J155" t="str">
            <v>MUNDHWA/GHORPADI</v>
          </cell>
          <cell r="K155" t="str">
            <v>Pune</v>
          </cell>
          <cell r="L155" t="str">
            <v>A</v>
          </cell>
          <cell r="O155" t="str">
            <v>A</v>
          </cell>
        </row>
        <row r="156">
          <cell r="C156">
            <v>158575</v>
          </cell>
          <cell r="D156" t="str">
            <v>BALAJI SALES CORPN</v>
          </cell>
          <cell r="E156" t="str">
            <v>BPCL</v>
          </cell>
          <cell r="G156" t="str">
            <v>Ahmednagar East RSA</v>
          </cell>
          <cell r="J156" t="str">
            <v>Newasa Budruk</v>
          </cell>
          <cell r="K156" t="str">
            <v>Ahmednagar</v>
          </cell>
          <cell r="L156" t="str">
            <v>D2</v>
          </cell>
          <cell r="O156" t="str">
            <v>B</v>
          </cell>
        </row>
        <row r="157">
          <cell r="C157">
            <v>158576</v>
          </cell>
          <cell r="D157" t="str">
            <v>VAIBHAVLAXMI PETROLEUM</v>
          </cell>
          <cell r="E157" t="str">
            <v>BPCL</v>
          </cell>
          <cell r="G157" t="str">
            <v>Ahmednagar West RSA</v>
          </cell>
          <cell r="J157" t="str">
            <v>Chichondi Patil</v>
          </cell>
          <cell r="K157" t="str">
            <v>Ahmednagar</v>
          </cell>
          <cell r="L157" t="str">
            <v>D2</v>
          </cell>
          <cell r="O157" t="str">
            <v>B</v>
          </cell>
        </row>
        <row r="158">
          <cell r="C158">
            <v>158577</v>
          </cell>
          <cell r="D158" t="str">
            <v>SAIDEEP PETROLEUM</v>
          </cell>
          <cell r="E158" t="str">
            <v>BPCL</v>
          </cell>
          <cell r="G158" t="str">
            <v>Ahmednagar West RSA</v>
          </cell>
          <cell r="J158" t="str">
            <v>ADHALGAON</v>
          </cell>
          <cell r="K158" t="str">
            <v>Ahmednagar</v>
          </cell>
          <cell r="L158" t="str">
            <v>D1</v>
          </cell>
          <cell r="M158" t="str">
            <v>NH-548D</v>
          </cell>
          <cell r="O158" t="str">
            <v>B</v>
          </cell>
        </row>
        <row r="159">
          <cell r="C159">
            <v>158578</v>
          </cell>
          <cell r="D159" t="str">
            <v>SADGURU PETROLEUM</v>
          </cell>
          <cell r="E159" t="str">
            <v>BPCL</v>
          </cell>
          <cell r="G159" t="str">
            <v>Ahmednagar West RSA</v>
          </cell>
          <cell r="J159" t="str">
            <v>Karjat</v>
          </cell>
          <cell r="K159" t="str">
            <v>Ahmednagar</v>
          </cell>
          <cell r="L159" t="str">
            <v>D2</v>
          </cell>
          <cell r="O159" t="str">
            <v>B</v>
          </cell>
        </row>
        <row r="160">
          <cell r="C160">
            <v>158579</v>
          </cell>
          <cell r="D160" t="str">
            <v>OM SAI SANGAMESHWAR</v>
          </cell>
          <cell r="E160" t="str">
            <v>BPCL</v>
          </cell>
          <cell r="G160" t="str">
            <v>Ahmednagar West RSA</v>
          </cell>
          <cell r="J160" t="str">
            <v>JAMKHED-KHARDA RD</v>
          </cell>
          <cell r="K160" t="str">
            <v>Ahmednagar</v>
          </cell>
          <cell r="L160" t="str">
            <v>D2</v>
          </cell>
          <cell r="O160" t="str">
            <v>B</v>
          </cell>
        </row>
        <row r="161">
          <cell r="C161">
            <v>158580</v>
          </cell>
          <cell r="D161" t="str">
            <v>PALM FUELS</v>
          </cell>
          <cell r="E161" t="str">
            <v>BPCL</v>
          </cell>
          <cell r="G161" t="str">
            <v>Ahmednagar East RSA</v>
          </cell>
          <cell r="J161" t="str">
            <v>Savedi</v>
          </cell>
          <cell r="K161" t="str">
            <v>Ahmednagar</v>
          </cell>
          <cell r="L161" t="str">
            <v>C</v>
          </cell>
          <cell r="O161" t="str">
            <v>A</v>
          </cell>
        </row>
        <row r="162">
          <cell r="C162">
            <v>160146</v>
          </cell>
          <cell r="D162" t="str">
            <v>SHAHID JAWAN BHAUSAHEB BADAKH/BAFNA PVC</v>
          </cell>
          <cell r="E162" t="str">
            <v>BPCL</v>
          </cell>
          <cell r="G162" t="str">
            <v>Ahmednagar East RSA</v>
          </cell>
          <cell r="J162" t="str">
            <v>WAMBHORI PHATA ON NH160</v>
          </cell>
          <cell r="K162" t="str">
            <v>Ahmednagar</v>
          </cell>
          <cell r="L162" t="str">
            <v>D1</v>
          </cell>
          <cell r="M162" t="str">
            <v>NH-160</v>
          </cell>
          <cell r="O162" t="str">
            <v>A</v>
          </cell>
        </row>
        <row r="163">
          <cell r="C163">
            <v>160152</v>
          </cell>
          <cell r="D163" t="str">
            <v>MALGANGA PETROLEUM /MALGANGA SERVICE STN</v>
          </cell>
          <cell r="E163" t="str">
            <v>BPCL</v>
          </cell>
          <cell r="G163" t="str">
            <v>Ahmednagar West RSA</v>
          </cell>
          <cell r="J163" t="str">
            <v>Nighoj</v>
          </cell>
          <cell r="K163" t="str">
            <v>Ahmednagar</v>
          </cell>
          <cell r="L163" t="str">
            <v>D1</v>
          </cell>
          <cell r="M163" t="str">
            <v>NH-761</v>
          </cell>
          <cell r="O163" t="str">
            <v>A</v>
          </cell>
        </row>
        <row r="164">
          <cell r="C164">
            <v>161293</v>
          </cell>
          <cell r="D164" t="str">
            <v>SAKHARE SERVICE STN</v>
          </cell>
          <cell r="E164" t="str">
            <v>BPCL</v>
          </cell>
          <cell r="G164" t="str">
            <v>Pune Hadapsar RSA</v>
          </cell>
          <cell r="J164" t="str">
            <v>Urlikanchan LHS</v>
          </cell>
          <cell r="K164" t="str">
            <v>Pune</v>
          </cell>
          <cell r="L164" t="str">
            <v>D1</v>
          </cell>
          <cell r="M164" t="str">
            <v>NH-65</v>
          </cell>
          <cell r="O164" t="str">
            <v>A</v>
          </cell>
        </row>
        <row r="165">
          <cell r="C165">
            <v>161490</v>
          </cell>
          <cell r="D165" t="str">
            <v xml:space="preserve">MAULI PETROLEUM (comm on July '08) / SUVIDHA SERVICES (Closed on </v>
          </cell>
          <cell r="E165" t="str">
            <v>BPCL</v>
          </cell>
          <cell r="G165" t="str">
            <v>Shirdi RSA</v>
          </cell>
          <cell r="J165" t="str">
            <v>AKOLE</v>
          </cell>
          <cell r="K165" t="str">
            <v>Ahmednagar</v>
          </cell>
          <cell r="L165" t="str">
            <v>D2</v>
          </cell>
          <cell r="O165" t="str">
            <v>B</v>
          </cell>
        </row>
        <row r="166">
          <cell r="C166">
            <v>161933</v>
          </cell>
          <cell r="D166" t="str">
            <v>BALAJI PETROLEUM</v>
          </cell>
          <cell r="E166" t="str">
            <v>BPCL</v>
          </cell>
          <cell r="G166" t="str">
            <v>Pune Wagholi RSA</v>
          </cell>
          <cell r="J166" t="str">
            <v>Alephata on Kalyan highway</v>
          </cell>
          <cell r="K166" t="str">
            <v>Pune</v>
          </cell>
          <cell r="L166" t="str">
            <v>D1</v>
          </cell>
          <cell r="M166" t="str">
            <v>NH-61</v>
          </cell>
          <cell r="O166" t="str">
            <v>A</v>
          </cell>
        </row>
        <row r="167">
          <cell r="C167">
            <v>161934</v>
          </cell>
          <cell r="D167" t="str">
            <v>SHRI SIDDIVINAYAK E-WAY</v>
          </cell>
          <cell r="E167" t="str">
            <v>BPCL</v>
          </cell>
          <cell r="G167" t="str">
            <v>Pune Tathawade RSA</v>
          </cell>
          <cell r="J167" t="str">
            <v>BALEWADI TO DEHU ROAD</v>
          </cell>
          <cell r="K167" t="str">
            <v>Pune</v>
          </cell>
          <cell r="L167" t="str">
            <v>A</v>
          </cell>
          <cell r="M167" t="str">
            <v>NH-48</v>
          </cell>
          <cell r="O167" t="str">
            <v>A</v>
          </cell>
        </row>
        <row r="168">
          <cell r="C168">
            <v>163873</v>
          </cell>
          <cell r="D168" t="str">
            <v>VASUDHA PETRLM Comm (Apr09)</v>
          </cell>
          <cell r="E168" t="str">
            <v>BPCL</v>
          </cell>
          <cell r="G168" t="str">
            <v>Satara East RSA</v>
          </cell>
          <cell r="J168" t="str">
            <v>Mahabaleswar Panchgani</v>
          </cell>
          <cell r="K168" t="str">
            <v>Satara</v>
          </cell>
          <cell r="L168" t="str">
            <v>D1</v>
          </cell>
          <cell r="M168" t="str">
            <v>NH-548C</v>
          </cell>
          <cell r="O168" t="str">
            <v>B</v>
          </cell>
        </row>
        <row r="169">
          <cell r="C169">
            <v>164897</v>
          </cell>
          <cell r="D169" t="str">
            <v>JAI BHARAT</v>
          </cell>
          <cell r="E169" t="str">
            <v>BPCL</v>
          </cell>
          <cell r="G169" t="str">
            <v>Pune Saswad RSA</v>
          </cell>
          <cell r="J169" t="str">
            <v>ZENDEWADI</v>
          </cell>
          <cell r="K169" t="str">
            <v>Pune</v>
          </cell>
          <cell r="L169" t="str">
            <v>D1</v>
          </cell>
          <cell r="M169" t="str">
            <v>NH-965</v>
          </cell>
          <cell r="O169" t="str">
            <v>B</v>
          </cell>
        </row>
        <row r="170">
          <cell r="C170">
            <v>165415</v>
          </cell>
          <cell r="D170" t="str">
            <v>KHODSHI HIGHWAY SERVICES</v>
          </cell>
          <cell r="E170" t="str">
            <v>BPCL</v>
          </cell>
          <cell r="G170" t="str">
            <v>Satara West RSA</v>
          </cell>
          <cell r="J170" t="str">
            <v>KARAD TO KASHIL</v>
          </cell>
          <cell r="K170" t="str">
            <v>Satara</v>
          </cell>
          <cell r="L170" t="str">
            <v>D1</v>
          </cell>
          <cell r="M170" t="str">
            <v>NH-48</v>
          </cell>
          <cell r="O170" t="str">
            <v>A</v>
          </cell>
        </row>
        <row r="171">
          <cell r="C171">
            <v>165560</v>
          </cell>
          <cell r="D171" t="str">
            <v>K. G. N. PETROLEUM</v>
          </cell>
          <cell r="E171" t="str">
            <v>BPCL</v>
          </cell>
          <cell r="G171" t="str">
            <v>Shirdi RSA</v>
          </cell>
          <cell r="J171" t="str">
            <v>KOLHAR</v>
          </cell>
          <cell r="K171" t="str">
            <v>Ahmednagar</v>
          </cell>
          <cell r="L171" t="str">
            <v>D1</v>
          </cell>
          <cell r="M171" t="str">
            <v>NH-160</v>
          </cell>
          <cell r="O171" t="str">
            <v>B</v>
          </cell>
        </row>
        <row r="172">
          <cell r="C172">
            <v>165995</v>
          </cell>
          <cell r="D172" t="str">
            <v>NM MORE &amp; SONS Comm (JAN'10)</v>
          </cell>
          <cell r="E172" t="str">
            <v>BPCL</v>
          </cell>
          <cell r="G172" t="str">
            <v>Satara East RSA</v>
          </cell>
          <cell r="J172" t="str">
            <v>Satara to Bhuinj</v>
          </cell>
          <cell r="K172" t="str">
            <v>Satara</v>
          </cell>
          <cell r="L172" t="str">
            <v>D1</v>
          </cell>
          <cell r="M172" t="str">
            <v>NH-160</v>
          </cell>
          <cell r="O172" t="str">
            <v>B</v>
          </cell>
        </row>
        <row r="173">
          <cell r="C173">
            <v>166091</v>
          </cell>
          <cell r="D173" t="str">
            <v>JAI SHAMBHO</v>
          </cell>
          <cell r="E173" t="str">
            <v>BPCL</v>
          </cell>
          <cell r="G173" t="str">
            <v>Pune Hadapsar RSA</v>
          </cell>
          <cell r="J173" t="str">
            <v>FURSUNGI</v>
          </cell>
          <cell r="K173" t="str">
            <v>Pune</v>
          </cell>
          <cell r="L173" t="str">
            <v>A</v>
          </cell>
          <cell r="O173" t="str">
            <v>B</v>
          </cell>
        </row>
        <row r="174">
          <cell r="C174">
            <v>166092</v>
          </cell>
          <cell r="D174" t="str">
            <v>DJ PETROLEUM</v>
          </cell>
          <cell r="E174" t="str">
            <v>BPCL</v>
          </cell>
          <cell r="G174" t="str">
            <v>Pune City RSA</v>
          </cell>
          <cell r="J174" t="str">
            <v>KATRAJ KONDHWA ROAD</v>
          </cell>
          <cell r="K174" t="str">
            <v>Pune</v>
          </cell>
          <cell r="L174" t="str">
            <v>A</v>
          </cell>
          <cell r="O174" t="str">
            <v>A</v>
          </cell>
        </row>
        <row r="175">
          <cell r="C175">
            <v>166211</v>
          </cell>
          <cell r="D175" t="str">
            <v>EKVIRA BP-COCO PUNE</v>
          </cell>
          <cell r="E175" t="str">
            <v>BPCL</v>
          </cell>
          <cell r="G175" t="str">
            <v>Pune City RSA</v>
          </cell>
          <cell r="J175" t="str">
            <v>BHAIROVA NALA</v>
          </cell>
          <cell r="K175" t="str">
            <v>Pune</v>
          </cell>
          <cell r="L175" t="str">
            <v>A</v>
          </cell>
          <cell r="O175" t="str">
            <v>A</v>
          </cell>
        </row>
        <row r="176">
          <cell r="C176">
            <v>166331</v>
          </cell>
          <cell r="D176" t="str">
            <v>SAI GAURI PETRLM/BP- BHOSARI</v>
          </cell>
          <cell r="E176" t="str">
            <v>BPCL</v>
          </cell>
          <cell r="G176" t="str">
            <v>Pimpri Chinchwad RSA</v>
          </cell>
          <cell r="J176" t="str">
            <v>KASHIL TO SHENDRE</v>
          </cell>
          <cell r="K176" t="str">
            <v>Pune</v>
          </cell>
          <cell r="L176" t="str">
            <v>A</v>
          </cell>
          <cell r="O176" t="str">
            <v>A</v>
          </cell>
        </row>
        <row r="177">
          <cell r="C177">
            <v>167492</v>
          </cell>
          <cell r="D177" t="str">
            <v>BEALS PETRO,</v>
          </cell>
          <cell r="E177" t="str">
            <v>BPCL</v>
          </cell>
          <cell r="G177" t="str">
            <v>Satara West RSA</v>
          </cell>
          <cell r="J177" t="str">
            <v>Wai</v>
          </cell>
          <cell r="K177" t="str">
            <v>Satara</v>
          </cell>
          <cell r="L177" t="str">
            <v>D2</v>
          </cell>
          <cell r="O177" t="str">
            <v>A</v>
          </cell>
        </row>
        <row r="178">
          <cell r="C178">
            <v>167514</v>
          </cell>
          <cell r="D178" t="str">
            <v xml:space="preserve">LAXMI PETROLEUM </v>
          </cell>
          <cell r="E178" t="str">
            <v>BPCL</v>
          </cell>
          <cell r="G178" t="str">
            <v>Pune City RSA</v>
          </cell>
          <cell r="J178" t="str">
            <v>HINJEWADI MANN ROAD</v>
          </cell>
          <cell r="K178" t="str">
            <v>Pune</v>
          </cell>
          <cell r="L178" t="str">
            <v>A</v>
          </cell>
          <cell r="O178" t="str">
            <v>A</v>
          </cell>
        </row>
        <row r="179">
          <cell r="C179">
            <v>167671</v>
          </cell>
          <cell r="D179" t="str">
            <v>EXPRESS PETRO SERV/VARDHMAN ADHOC/BP- DAPODI</v>
          </cell>
          <cell r="E179" t="str">
            <v>BPCL</v>
          </cell>
          <cell r="G179" t="str">
            <v>Pimpri Chinchwad RSA</v>
          </cell>
          <cell r="J179" t="str">
            <v>Kodoli to Ghojegaon</v>
          </cell>
          <cell r="K179" t="str">
            <v>Pune</v>
          </cell>
          <cell r="L179" t="str">
            <v>A</v>
          </cell>
          <cell r="O179" t="str">
            <v>A</v>
          </cell>
        </row>
        <row r="180">
          <cell r="C180">
            <v>168661</v>
          </cell>
          <cell r="D180" t="str">
            <v>POURNIMA PETROLEUM</v>
          </cell>
          <cell r="E180" t="str">
            <v>BPCL</v>
          </cell>
          <cell r="G180" t="str">
            <v>Ahmednagar West RSA</v>
          </cell>
          <cell r="J180" t="str">
            <v>SIDDHITEK-SH</v>
          </cell>
          <cell r="K180" t="str">
            <v>Ahmednagar</v>
          </cell>
          <cell r="L180" t="str">
            <v>D2</v>
          </cell>
          <cell r="O180" t="str">
            <v>A</v>
          </cell>
        </row>
        <row r="181">
          <cell r="C181">
            <v>169991</v>
          </cell>
          <cell r="D181" t="str">
            <v>SWARAJ PETRLM</v>
          </cell>
          <cell r="E181" t="str">
            <v>BPCL</v>
          </cell>
          <cell r="G181" t="str">
            <v>Pune City RSA</v>
          </cell>
          <cell r="J181" t="str">
            <v>HINJEWADI</v>
          </cell>
          <cell r="K181" t="str">
            <v>Pune</v>
          </cell>
          <cell r="L181" t="str">
            <v>A</v>
          </cell>
          <cell r="O181" t="str">
            <v>A</v>
          </cell>
        </row>
        <row r="182">
          <cell r="C182">
            <v>170921</v>
          </cell>
          <cell r="D182" t="str">
            <v>BORAWAKE PETROLEUM (Feb'11)</v>
          </cell>
          <cell r="E182" t="str">
            <v>BPCL</v>
          </cell>
          <cell r="G182" t="str">
            <v>Satara East RSA</v>
          </cell>
          <cell r="J182" t="str">
            <v>KARAD ON NH 48 RHS</v>
          </cell>
          <cell r="K182" t="str">
            <v>Satara</v>
          </cell>
          <cell r="L182" t="str">
            <v>D1</v>
          </cell>
          <cell r="M182" t="str">
            <v>NH-160</v>
          </cell>
          <cell r="O182" t="str">
            <v>A</v>
          </cell>
        </row>
        <row r="183">
          <cell r="C183">
            <v>171210</v>
          </cell>
          <cell r="D183" t="str">
            <v>DINESH FUELING ZONE</v>
          </cell>
          <cell r="E183" t="str">
            <v>BPCL</v>
          </cell>
          <cell r="G183" t="str">
            <v>Ahmednagar East RSA</v>
          </cell>
          <cell r="J183" t="str">
            <v>Nagar-Manmad Bypass</v>
          </cell>
          <cell r="K183" t="str">
            <v>Ahmednagar</v>
          </cell>
          <cell r="L183" t="str">
            <v>D1</v>
          </cell>
          <cell r="M183" t="str">
            <v>NH-160</v>
          </cell>
          <cell r="O183" t="str">
            <v>A</v>
          </cell>
        </row>
        <row r="184">
          <cell r="C184">
            <v>171213</v>
          </cell>
          <cell r="D184" t="str">
            <v>SAI KRUPA SAKHAR KARKANA LTD</v>
          </cell>
          <cell r="E184" t="str">
            <v>BPCL</v>
          </cell>
          <cell r="G184" t="str">
            <v>Ahmednagar West RSA</v>
          </cell>
          <cell r="J184" t="str">
            <v>Hiradgaon</v>
          </cell>
          <cell r="K184" t="str">
            <v>Ahmednagar</v>
          </cell>
          <cell r="L184" t="str">
            <v>E</v>
          </cell>
          <cell r="O184" t="str">
            <v>B</v>
          </cell>
        </row>
        <row r="185">
          <cell r="C185">
            <v>171254</v>
          </cell>
          <cell r="D185" t="str">
            <v>NANA DHUMAL PETROLEUM</v>
          </cell>
          <cell r="E185" t="str">
            <v>BPCL</v>
          </cell>
          <cell r="G185" t="str">
            <v>Pune Saswad RSA</v>
          </cell>
          <cell r="J185" t="str">
            <v>SASWAD</v>
          </cell>
          <cell r="K185" t="str">
            <v>Pune</v>
          </cell>
          <cell r="L185" t="str">
            <v>C</v>
          </cell>
          <cell r="O185" t="str">
            <v>A</v>
          </cell>
        </row>
        <row r="186">
          <cell r="C186">
            <v>171644</v>
          </cell>
          <cell r="D186" t="str">
            <v>SAHYADRI SERVICE STATION</v>
          </cell>
          <cell r="E186" t="str">
            <v>BPCL</v>
          </cell>
          <cell r="G186" t="str">
            <v>Pune Tathawade RSA</v>
          </cell>
          <cell r="J186" t="str">
            <v>KAPURHOL TO SAROLA</v>
          </cell>
          <cell r="K186" t="str">
            <v>Pune</v>
          </cell>
          <cell r="L186" t="str">
            <v>D1</v>
          </cell>
          <cell r="M186" t="str">
            <v>NH-48</v>
          </cell>
          <cell r="O186" t="str">
            <v>A</v>
          </cell>
        </row>
        <row r="187">
          <cell r="C187">
            <v>172076</v>
          </cell>
          <cell r="D187" t="str">
            <v>SANDIP PETROLEUM</v>
          </cell>
          <cell r="E187" t="str">
            <v>BPCL</v>
          </cell>
          <cell r="G187" t="str">
            <v>Pune Tathawade RSA</v>
          </cell>
          <cell r="J187" t="str">
            <v>BARAMATI MIDC</v>
          </cell>
          <cell r="K187" t="str">
            <v>Pune</v>
          </cell>
          <cell r="L187" t="str">
            <v>D1</v>
          </cell>
          <cell r="M187" t="str">
            <v>NH-965G</v>
          </cell>
          <cell r="O187" t="str">
            <v>A</v>
          </cell>
        </row>
        <row r="188">
          <cell r="C188">
            <v>172175</v>
          </cell>
          <cell r="D188" t="str">
            <v>SAI SIDDHANT PETROLEUM</v>
          </cell>
          <cell r="E188" t="str">
            <v>BPCL</v>
          </cell>
          <cell r="G188" t="str">
            <v>Shirdi RSA</v>
          </cell>
          <cell r="J188" t="str">
            <v>AURANGPUR</v>
          </cell>
          <cell r="K188" t="str">
            <v>Ahmednagar</v>
          </cell>
          <cell r="L188" t="str">
            <v>D2</v>
          </cell>
          <cell r="O188" t="str">
            <v>A</v>
          </cell>
        </row>
        <row r="189">
          <cell r="C189">
            <v>173221</v>
          </cell>
          <cell r="D189" t="str">
            <v>AJIT PETROLEUM</v>
          </cell>
          <cell r="E189" t="str">
            <v>BPCL</v>
          </cell>
          <cell r="G189" t="str">
            <v>Pune Wagholi RSA</v>
          </cell>
          <cell r="J189" t="str">
            <v>Shikrapur to Inamgaon</v>
          </cell>
          <cell r="K189" t="str">
            <v>Pune</v>
          </cell>
          <cell r="L189" t="str">
            <v>D1</v>
          </cell>
          <cell r="M189" t="str">
            <v>NH-548D</v>
          </cell>
          <cell r="O189" t="str">
            <v>B</v>
          </cell>
        </row>
        <row r="190">
          <cell r="C190">
            <v>173223</v>
          </cell>
          <cell r="D190" t="str">
            <v>MANTHAN PETROLEUM</v>
          </cell>
          <cell r="E190" t="str">
            <v>BPCL</v>
          </cell>
          <cell r="G190" t="str">
            <v>Pune Tathawade RSA</v>
          </cell>
          <cell r="J190" t="str">
            <v>Vadgaon Nimbalkar to Pandare</v>
          </cell>
          <cell r="K190" t="str">
            <v>Pune</v>
          </cell>
          <cell r="L190" t="str">
            <v>D2</v>
          </cell>
          <cell r="O190" t="str">
            <v>B</v>
          </cell>
        </row>
        <row r="191">
          <cell r="C191">
            <v>173310</v>
          </cell>
          <cell r="D191" t="str">
            <v>B.G.R. PETROLEUM</v>
          </cell>
          <cell r="E191" t="str">
            <v>BPCL</v>
          </cell>
          <cell r="G191" t="str">
            <v>Ahmednagar East RSA</v>
          </cell>
          <cell r="J191" t="str">
            <v>Chas</v>
          </cell>
          <cell r="K191" t="str">
            <v>Ahmednagar</v>
          </cell>
          <cell r="L191" t="str">
            <v>D1</v>
          </cell>
          <cell r="M191" t="str">
            <v>NH-753F</v>
          </cell>
          <cell r="O191" t="str">
            <v>A</v>
          </cell>
        </row>
        <row r="192">
          <cell r="C192">
            <v>173311</v>
          </cell>
          <cell r="D192" t="str">
            <v>PHALKE PATIL &amp; SONS</v>
          </cell>
          <cell r="E192" t="str">
            <v>BPCL</v>
          </cell>
          <cell r="G192" t="str">
            <v>Ahmednagar West RSA</v>
          </cell>
          <cell r="J192" t="str">
            <v>Ghogargoan</v>
          </cell>
          <cell r="K192" t="str">
            <v>Ahmednagar</v>
          </cell>
          <cell r="L192" t="str">
            <v>D2</v>
          </cell>
          <cell r="O192" t="str">
            <v>A</v>
          </cell>
        </row>
        <row r="193">
          <cell r="C193">
            <v>173455</v>
          </cell>
          <cell r="D193" t="str">
            <v>SAIRAM PETROLEUM</v>
          </cell>
          <cell r="E193" t="str">
            <v>BPCL</v>
          </cell>
          <cell r="G193" t="str">
            <v>Shirdi RSA</v>
          </cell>
          <cell r="J193" t="str">
            <v>RAHURI RURAL</v>
          </cell>
          <cell r="K193" t="str">
            <v>Ahmednagar</v>
          </cell>
          <cell r="L193" t="str">
            <v>D1</v>
          </cell>
          <cell r="M193" t="str">
            <v>NH-160</v>
          </cell>
          <cell r="O193" t="str">
            <v>B</v>
          </cell>
        </row>
        <row r="194">
          <cell r="C194">
            <v>173853</v>
          </cell>
          <cell r="D194" t="str">
            <v>ESHWAR PETROLEUM</v>
          </cell>
          <cell r="E194" t="str">
            <v>BPCL</v>
          </cell>
          <cell r="G194" t="str">
            <v>Shirdi RSA</v>
          </cell>
          <cell r="J194" t="str">
            <v>PRATAPPUR ASHWI</v>
          </cell>
          <cell r="K194" t="str">
            <v>Ahmednagar</v>
          </cell>
          <cell r="L194" t="str">
            <v>E</v>
          </cell>
          <cell r="O194" t="str">
            <v>B</v>
          </cell>
        </row>
        <row r="195">
          <cell r="C195">
            <v>174187</v>
          </cell>
          <cell r="D195" t="str">
            <v>SHREE SWAMISAMARTH</v>
          </cell>
          <cell r="E195" t="str">
            <v>BPCL</v>
          </cell>
          <cell r="G195" t="str">
            <v>Satara East RSA</v>
          </cell>
          <cell r="J195" t="str">
            <v>Narayanwadi Not on NH</v>
          </cell>
          <cell r="K195" t="str">
            <v>Satara</v>
          </cell>
          <cell r="L195" t="str">
            <v>D2</v>
          </cell>
          <cell r="O195" t="str">
            <v>B</v>
          </cell>
        </row>
        <row r="196">
          <cell r="C196">
            <v>174350</v>
          </cell>
          <cell r="D196" t="str">
            <v xml:space="preserve">SHRI SWAMY SAMARTH PETROLEUM </v>
          </cell>
          <cell r="E196" t="str">
            <v>BPCL</v>
          </cell>
          <cell r="G196" t="str">
            <v>Ahmednagar West RSA</v>
          </cell>
          <cell r="J196" t="str">
            <v>TISGAON (MIRI RD)</v>
          </cell>
          <cell r="K196" t="str">
            <v>Ahmednagar</v>
          </cell>
          <cell r="L196" t="str">
            <v>E</v>
          </cell>
          <cell r="O196" t="str">
            <v>B</v>
          </cell>
        </row>
        <row r="197">
          <cell r="C197">
            <v>174353</v>
          </cell>
          <cell r="D197" t="str">
            <v>SHREERAM PETRLM</v>
          </cell>
          <cell r="E197" t="str">
            <v>BPCL</v>
          </cell>
          <cell r="G197" t="str">
            <v>Satara West RSA</v>
          </cell>
          <cell r="J197" t="str">
            <v>Gharewadi</v>
          </cell>
          <cell r="K197" t="str">
            <v>Satara</v>
          </cell>
          <cell r="L197" t="str">
            <v>E</v>
          </cell>
          <cell r="O197" t="str">
            <v>B</v>
          </cell>
        </row>
        <row r="198">
          <cell r="C198">
            <v>174419</v>
          </cell>
          <cell r="D198" t="str">
            <v>RADHE RADHE PETROLEUM</v>
          </cell>
          <cell r="E198" t="str">
            <v>BPCL</v>
          </cell>
          <cell r="G198" t="str">
            <v>Pimpri Chinchwad RSA</v>
          </cell>
          <cell r="J198" t="str">
            <v>WATHAR TO KARAD</v>
          </cell>
          <cell r="K198" t="str">
            <v>Pune</v>
          </cell>
          <cell r="L198" t="str">
            <v>E</v>
          </cell>
          <cell r="O198" t="str">
            <v>B</v>
          </cell>
        </row>
        <row r="199">
          <cell r="C199">
            <v>174966</v>
          </cell>
          <cell r="D199" t="str">
            <v xml:space="preserve">Beldare Patil Petroleum </v>
          </cell>
          <cell r="E199" t="str">
            <v>BPCL</v>
          </cell>
          <cell r="G199" t="str">
            <v>Pune City RSA</v>
          </cell>
          <cell r="J199" t="str">
            <v>AMBEGAON/WARJE</v>
          </cell>
          <cell r="K199" t="str">
            <v>Pune</v>
          </cell>
          <cell r="L199" t="str">
            <v>A</v>
          </cell>
          <cell r="O199" t="str">
            <v>A</v>
          </cell>
        </row>
        <row r="200">
          <cell r="C200">
            <v>175046</v>
          </cell>
          <cell r="D200" t="str">
            <v>VAISHALI PETROLEUM</v>
          </cell>
          <cell r="E200" t="str">
            <v>BPCL</v>
          </cell>
          <cell r="G200" t="str">
            <v>Ahmednagar West RSA</v>
          </cell>
          <cell r="J200" t="str">
            <v>Kanhoor (Parner)</v>
          </cell>
          <cell r="K200" t="str">
            <v>Ahmednagar</v>
          </cell>
          <cell r="L200" t="str">
            <v>E</v>
          </cell>
          <cell r="O200" t="str">
            <v>B</v>
          </cell>
        </row>
        <row r="201">
          <cell r="C201">
            <v>175633</v>
          </cell>
          <cell r="D201" t="str">
            <v>Dhawade Petroleum</v>
          </cell>
          <cell r="E201" t="str">
            <v>BPCL</v>
          </cell>
          <cell r="G201" t="str">
            <v>Pune City RSA</v>
          </cell>
          <cell r="J201" t="str">
            <v>WARJE/UTTAMNAGAR</v>
          </cell>
          <cell r="K201" t="str">
            <v>Pune</v>
          </cell>
          <cell r="L201" t="str">
            <v>A</v>
          </cell>
          <cell r="O201" t="str">
            <v>A</v>
          </cell>
        </row>
        <row r="202">
          <cell r="C202">
            <v>175732</v>
          </cell>
          <cell r="D202" t="str">
            <v>SHREE GAJANAN PETROLEUM</v>
          </cell>
          <cell r="E202" t="str">
            <v>BPCL</v>
          </cell>
          <cell r="G202" t="str">
            <v>Pune Hadapsar RSA</v>
          </cell>
          <cell r="J202" t="str">
            <v>Manjari</v>
          </cell>
          <cell r="K202" t="str">
            <v>Pune</v>
          </cell>
          <cell r="L202" t="str">
            <v>A</v>
          </cell>
          <cell r="O202" t="str">
            <v>A</v>
          </cell>
        </row>
        <row r="203">
          <cell r="C203">
            <v>175927</v>
          </cell>
          <cell r="D203" t="str">
            <v>RAJYOG PETROLEUM</v>
          </cell>
          <cell r="E203" t="str">
            <v>BPCL</v>
          </cell>
          <cell r="G203" t="str">
            <v>Pimpri Chinchwad RSA</v>
          </cell>
          <cell r="J203" t="str">
            <v>KARAD TO WATHAR</v>
          </cell>
          <cell r="K203" t="str">
            <v>Pune</v>
          </cell>
          <cell r="L203" t="str">
            <v>A</v>
          </cell>
          <cell r="O203" t="str">
            <v>B</v>
          </cell>
        </row>
        <row r="204">
          <cell r="C204">
            <v>176439</v>
          </cell>
          <cell r="D204" t="str">
            <v>MAHI PETRO TRADERS</v>
          </cell>
          <cell r="E204" t="str">
            <v>BPCL</v>
          </cell>
          <cell r="F204" t="str">
            <v>2012-13</v>
          </cell>
          <cell r="G204" t="str">
            <v>Pune Saswad RSA</v>
          </cell>
          <cell r="J204" t="str">
            <v>JEJURI</v>
          </cell>
          <cell r="K204" t="str">
            <v>Pune</v>
          </cell>
          <cell r="L204" t="str">
            <v>D1</v>
          </cell>
          <cell r="M204" t="str">
            <v>NH-965</v>
          </cell>
          <cell r="O204" t="str">
            <v>A</v>
          </cell>
        </row>
        <row r="205">
          <cell r="C205">
            <v>176580</v>
          </cell>
          <cell r="D205" t="str">
            <v>SAI GANESH FUELS</v>
          </cell>
          <cell r="E205" t="str">
            <v>BPCL</v>
          </cell>
          <cell r="G205" t="str">
            <v>Ahmednagar East RSA</v>
          </cell>
          <cell r="J205" t="str">
            <v>Shevgaon</v>
          </cell>
          <cell r="K205" t="str">
            <v>Ahmednagar</v>
          </cell>
          <cell r="L205" t="str">
            <v>D2</v>
          </cell>
          <cell r="O205" t="str">
            <v>A</v>
          </cell>
        </row>
        <row r="206">
          <cell r="C206">
            <v>176581</v>
          </cell>
          <cell r="D206" t="str">
            <v>SAI SHIVRAM PETROLEUM</v>
          </cell>
          <cell r="E206" t="str">
            <v>BPCL</v>
          </cell>
          <cell r="F206" t="str">
            <v>2012-13</v>
          </cell>
          <cell r="G206" t="str">
            <v>Shirdi RSA</v>
          </cell>
          <cell r="J206" t="str">
            <v>RAHURI FACTORY LHS</v>
          </cell>
          <cell r="K206" t="str">
            <v>Ahmednagar</v>
          </cell>
          <cell r="L206" t="str">
            <v>D1</v>
          </cell>
          <cell r="M206" t="str">
            <v>NH-160</v>
          </cell>
          <cell r="O206" t="str">
            <v>A</v>
          </cell>
        </row>
        <row r="207">
          <cell r="C207">
            <v>176582</v>
          </cell>
          <cell r="D207" t="str">
            <v>SHRI GANESH PETROLEUM</v>
          </cell>
          <cell r="E207" t="str">
            <v>BPCL</v>
          </cell>
          <cell r="G207" t="str">
            <v>Ahmednagar West RSA</v>
          </cell>
          <cell r="J207" t="str">
            <v>Pimpri Kolander</v>
          </cell>
          <cell r="K207" t="str">
            <v>Ahmednagar</v>
          </cell>
          <cell r="L207" t="str">
            <v>D2</v>
          </cell>
          <cell r="O207" t="str">
            <v>A</v>
          </cell>
        </row>
        <row r="208">
          <cell r="C208">
            <v>176583</v>
          </cell>
          <cell r="D208" t="str">
            <v>VITTHAL HIGHWAY</v>
          </cell>
          <cell r="E208" t="str">
            <v>BPCL</v>
          </cell>
          <cell r="G208" t="str">
            <v>Ahmednagar East RSA</v>
          </cell>
          <cell r="J208" t="str">
            <v>Shendi</v>
          </cell>
          <cell r="K208" t="str">
            <v>Ahmednagar</v>
          </cell>
          <cell r="L208" t="str">
            <v>D1</v>
          </cell>
          <cell r="M208" t="str">
            <v>NH-753F</v>
          </cell>
          <cell r="O208" t="str">
            <v>B</v>
          </cell>
        </row>
        <row r="209">
          <cell r="C209">
            <v>176713</v>
          </cell>
          <cell r="D209" t="str">
            <v>SHRI SAI  PETROLEUM</v>
          </cell>
          <cell r="E209" t="str">
            <v>BPCL</v>
          </cell>
          <cell r="F209" t="str">
            <v>2012-13</v>
          </cell>
          <cell r="G209" t="str">
            <v>Pune Tathawade RSA</v>
          </cell>
          <cell r="J209" t="str">
            <v>Vadgaon Nimbalkar to Pandare</v>
          </cell>
          <cell r="K209" t="str">
            <v>Pune</v>
          </cell>
          <cell r="L209" t="str">
            <v>D2</v>
          </cell>
          <cell r="O209" t="str">
            <v>A</v>
          </cell>
        </row>
        <row r="210">
          <cell r="C210">
            <v>177345</v>
          </cell>
          <cell r="D210" t="str">
            <v>AVADAI PETROLEUM</v>
          </cell>
          <cell r="E210" t="str">
            <v>BPCL</v>
          </cell>
          <cell r="F210" t="str">
            <v>2012-13</v>
          </cell>
          <cell r="G210" t="str">
            <v>Pune Tathawade RSA</v>
          </cell>
          <cell r="J210" t="str">
            <v>VADGAON TO KAMSHET</v>
          </cell>
          <cell r="K210" t="str">
            <v>Pune</v>
          </cell>
          <cell r="L210" t="str">
            <v>D1</v>
          </cell>
          <cell r="M210" t="str">
            <v>NH-48</v>
          </cell>
          <cell r="O210" t="str">
            <v>B</v>
          </cell>
        </row>
        <row r="211">
          <cell r="C211">
            <v>177378</v>
          </cell>
          <cell r="D211" t="str">
            <v>YASH PETRO</v>
          </cell>
          <cell r="E211" t="str">
            <v>BPCL</v>
          </cell>
          <cell r="F211" t="str">
            <v>2012-13</v>
          </cell>
          <cell r="G211" t="str">
            <v>Satara East RSA</v>
          </cell>
          <cell r="J211" t="str">
            <v>Satara to Bhuinj</v>
          </cell>
          <cell r="K211" t="str">
            <v>Satara</v>
          </cell>
          <cell r="L211" t="str">
            <v>D1</v>
          </cell>
          <cell r="M211" t="str">
            <v>NH-548C</v>
          </cell>
          <cell r="O211" t="str">
            <v>B</v>
          </cell>
        </row>
        <row r="212">
          <cell r="C212">
            <v>177551</v>
          </cell>
          <cell r="D212" t="str">
            <v>JAY GANESH PETROLEUM</v>
          </cell>
          <cell r="E212" t="str">
            <v>BPCL</v>
          </cell>
          <cell r="F212" t="str">
            <v>2012-13</v>
          </cell>
          <cell r="G212" t="str">
            <v>Pune Hadapsar RSA</v>
          </cell>
          <cell r="J212" t="str">
            <v>Urlidevachi Undri Road</v>
          </cell>
          <cell r="K212" t="str">
            <v>Pune</v>
          </cell>
          <cell r="L212" t="str">
            <v>A</v>
          </cell>
          <cell r="O212" t="str">
            <v>A</v>
          </cell>
        </row>
        <row r="213">
          <cell r="C213">
            <v>177677</v>
          </cell>
          <cell r="D213" t="str">
            <v>HARSHAD PETROLEUM</v>
          </cell>
          <cell r="E213" t="str">
            <v>BPCL</v>
          </cell>
          <cell r="F213" t="str">
            <v>2012-13</v>
          </cell>
          <cell r="G213" t="str">
            <v>Pune Hadapsar RSA</v>
          </cell>
          <cell r="J213" t="str">
            <v>Mandavgaon Farata</v>
          </cell>
          <cell r="K213" t="str">
            <v>Pune</v>
          </cell>
          <cell r="L213" t="str">
            <v>E</v>
          </cell>
          <cell r="O213" t="str">
            <v>B</v>
          </cell>
        </row>
        <row r="214">
          <cell r="C214">
            <v>177959</v>
          </cell>
          <cell r="D214" t="str">
            <v>SHUBHAM PETROLEUM</v>
          </cell>
          <cell r="E214" t="str">
            <v>BPCL</v>
          </cell>
          <cell r="F214" t="str">
            <v>2012-13</v>
          </cell>
          <cell r="G214" t="str">
            <v>Pune Saswad RSA</v>
          </cell>
          <cell r="J214" t="str">
            <v>bhigwan-rashin road</v>
          </cell>
          <cell r="K214" t="str">
            <v>Pune</v>
          </cell>
          <cell r="L214" t="str">
            <v>D2</v>
          </cell>
          <cell r="O214" t="str">
            <v>A</v>
          </cell>
        </row>
        <row r="215">
          <cell r="C215">
            <v>177972</v>
          </cell>
          <cell r="D215" t="str">
            <v>VAIBHAV PETROLEUM</v>
          </cell>
          <cell r="E215" t="str">
            <v>BPCL</v>
          </cell>
          <cell r="F215" t="str">
            <v>2012-13</v>
          </cell>
          <cell r="G215" t="str">
            <v>Pune Hadapsar RSA</v>
          </cell>
          <cell r="J215" t="str">
            <v>DAUND</v>
          </cell>
          <cell r="K215" t="str">
            <v>Pune</v>
          </cell>
          <cell r="L215" t="str">
            <v>D2</v>
          </cell>
          <cell r="O215" t="str">
            <v>A</v>
          </cell>
        </row>
        <row r="216">
          <cell r="C216">
            <v>178117</v>
          </cell>
          <cell r="D216" t="str">
            <v>RAHUL PETROLEUM</v>
          </cell>
          <cell r="E216" t="str">
            <v>BPCL</v>
          </cell>
          <cell r="F216" t="str">
            <v>2012-13</v>
          </cell>
          <cell r="G216" t="str">
            <v>Satara East RSA</v>
          </cell>
          <cell r="J216" t="str">
            <v>ATIT TO KASHIL</v>
          </cell>
          <cell r="K216" t="str">
            <v>Satara</v>
          </cell>
          <cell r="L216" t="str">
            <v>E</v>
          </cell>
          <cell r="O216" t="str">
            <v>B</v>
          </cell>
        </row>
        <row r="217">
          <cell r="C217">
            <v>178127</v>
          </cell>
          <cell r="D217" t="str">
            <v>SHRI JAGDAMBA FUELS</v>
          </cell>
          <cell r="E217" t="str">
            <v>BPCL</v>
          </cell>
          <cell r="F217" t="str">
            <v>2012-13</v>
          </cell>
          <cell r="G217" t="str">
            <v>Ahmednagar West RSA</v>
          </cell>
          <cell r="J217" t="str">
            <v>Koradgaon</v>
          </cell>
          <cell r="K217" t="str">
            <v>Ahmednagar</v>
          </cell>
          <cell r="L217" t="str">
            <v>E</v>
          </cell>
          <cell r="O217" t="str">
            <v>B</v>
          </cell>
        </row>
        <row r="218">
          <cell r="C218">
            <v>178344</v>
          </cell>
          <cell r="D218" t="str">
            <v>WANDHEKAR PETROLEUM</v>
          </cell>
          <cell r="E218" t="str">
            <v>BPCL</v>
          </cell>
          <cell r="F218" t="str">
            <v>2012-13</v>
          </cell>
          <cell r="G218" t="str">
            <v>Pune Saswad RSA</v>
          </cell>
          <cell r="J218" t="str">
            <v>Saswad-Narayanpur Road</v>
          </cell>
          <cell r="K218" t="str">
            <v>Pune</v>
          </cell>
          <cell r="L218" t="str">
            <v>D2</v>
          </cell>
          <cell r="O218" t="str">
            <v>A</v>
          </cell>
        </row>
        <row r="219">
          <cell r="C219">
            <v>178430</v>
          </cell>
          <cell r="D219" t="str">
            <v>ANAND KUNDAN PETROLEUM</v>
          </cell>
          <cell r="E219" t="str">
            <v>BPCL</v>
          </cell>
          <cell r="G219" t="str">
            <v>Ahmednagar West RSA</v>
          </cell>
          <cell r="J219" t="str">
            <v>Bhalawani</v>
          </cell>
          <cell r="K219" t="str">
            <v>Ahmednagar</v>
          </cell>
          <cell r="L219" t="str">
            <v>D1</v>
          </cell>
          <cell r="M219" t="str">
            <v>NH-61</v>
          </cell>
          <cell r="O219" t="str">
            <v>A</v>
          </cell>
        </row>
        <row r="220">
          <cell r="C220">
            <v>178582</v>
          </cell>
          <cell r="D220" t="str">
            <v>DEV PETROLEUM</v>
          </cell>
          <cell r="E220" t="str">
            <v>BPCL</v>
          </cell>
          <cell r="F220" t="str">
            <v>2012-13</v>
          </cell>
          <cell r="G220" t="str">
            <v>Pune Wagholi RSA</v>
          </cell>
          <cell r="J220" t="str">
            <v>Narayangaon to Alephata RHS</v>
          </cell>
          <cell r="K220" t="str">
            <v>Pune</v>
          </cell>
          <cell r="L220" t="str">
            <v>D1</v>
          </cell>
          <cell r="M220" t="str">
            <v>NH-60</v>
          </cell>
          <cell r="O220" t="str">
            <v>A</v>
          </cell>
        </row>
        <row r="221">
          <cell r="C221">
            <v>178603</v>
          </cell>
          <cell r="D221" t="str">
            <v>B. K. NAIK PETROLEUM</v>
          </cell>
          <cell r="E221" t="str">
            <v>BPCL</v>
          </cell>
          <cell r="F221" t="str">
            <v>2012-13</v>
          </cell>
          <cell r="G221" t="str">
            <v>Shirdi RSA</v>
          </cell>
          <cell r="J221" t="str">
            <v>BELAPUR</v>
          </cell>
          <cell r="K221" t="str">
            <v>Ahmednagar</v>
          </cell>
          <cell r="L221" t="str">
            <v>D2</v>
          </cell>
          <cell r="O221" t="str">
            <v>B</v>
          </cell>
        </row>
        <row r="222">
          <cell r="C222">
            <v>179154</v>
          </cell>
          <cell r="D222" t="str">
            <v>VAISHNAVI PETROLEUM</v>
          </cell>
          <cell r="E222" t="str">
            <v>BPCL</v>
          </cell>
          <cell r="F222" t="str">
            <v>2012-13</v>
          </cell>
          <cell r="G222" t="str">
            <v>Ahmednagar East RSA</v>
          </cell>
          <cell r="J222" t="str">
            <v>Supe toll</v>
          </cell>
          <cell r="K222" t="str">
            <v>Ahmednagar</v>
          </cell>
          <cell r="L222" t="str">
            <v>D1</v>
          </cell>
          <cell r="M222" t="str">
            <v>NH-753F</v>
          </cell>
          <cell r="O222" t="str">
            <v>A</v>
          </cell>
        </row>
        <row r="223">
          <cell r="C223">
            <v>179337</v>
          </cell>
          <cell r="D223" t="str">
            <v>VISHAL FUEL STATION</v>
          </cell>
          <cell r="E223" t="str">
            <v>BPCL</v>
          </cell>
          <cell r="F223" t="str">
            <v>2012-13</v>
          </cell>
          <cell r="G223" t="str">
            <v>Ahmednagar West RSA</v>
          </cell>
          <cell r="J223" t="str">
            <v>ARANGAON</v>
          </cell>
          <cell r="K223" t="str">
            <v>Ahmednagar</v>
          </cell>
          <cell r="L223" t="str">
            <v>D1</v>
          </cell>
          <cell r="M223" t="str">
            <v>NH-160</v>
          </cell>
          <cell r="O223" t="str">
            <v>B</v>
          </cell>
        </row>
        <row r="224">
          <cell r="C224">
            <v>179338</v>
          </cell>
          <cell r="D224" t="str">
            <v>KUNDAN PETROLEUM</v>
          </cell>
          <cell r="E224" t="str">
            <v>BPCL</v>
          </cell>
          <cell r="F224" t="str">
            <v>2012-13</v>
          </cell>
          <cell r="G224" t="str">
            <v>Shirdi RSA</v>
          </cell>
          <cell r="J224" t="str">
            <v>RAHATA</v>
          </cell>
          <cell r="K224" t="str">
            <v>Ahmednagar</v>
          </cell>
          <cell r="L224" t="str">
            <v>D1</v>
          </cell>
          <cell r="M224" t="str">
            <v>NH-160</v>
          </cell>
          <cell r="O224" t="str">
            <v>B</v>
          </cell>
        </row>
        <row r="225">
          <cell r="C225">
            <v>179606</v>
          </cell>
          <cell r="D225" t="str">
            <v>Shree Ganesha Petroleum</v>
          </cell>
          <cell r="E225" t="str">
            <v>BPCL</v>
          </cell>
          <cell r="F225" t="str">
            <v>2012-13</v>
          </cell>
          <cell r="G225" t="str">
            <v>Pune Wagholi RSA</v>
          </cell>
          <cell r="J225" t="str">
            <v>Ranjangaon RHS</v>
          </cell>
          <cell r="K225" t="str">
            <v>Pune</v>
          </cell>
          <cell r="L225" t="str">
            <v>D1</v>
          </cell>
          <cell r="M225" t="str">
            <v>NH-753F</v>
          </cell>
          <cell r="O225" t="str">
            <v>A</v>
          </cell>
        </row>
        <row r="226">
          <cell r="C226">
            <v>179623</v>
          </cell>
          <cell r="D226" t="str">
            <v>Kunal Autolines</v>
          </cell>
          <cell r="E226" t="str">
            <v>BPCL</v>
          </cell>
          <cell r="F226" t="str">
            <v>2012-13</v>
          </cell>
          <cell r="G226" t="str">
            <v>Pune Saswad RSA</v>
          </cell>
          <cell r="J226" t="str">
            <v>JUNCTION</v>
          </cell>
          <cell r="K226" t="str">
            <v>Pune</v>
          </cell>
          <cell r="L226" t="str">
            <v>D1</v>
          </cell>
          <cell r="M226" t="str">
            <v>NH-965G</v>
          </cell>
          <cell r="O226" t="str">
            <v>A</v>
          </cell>
        </row>
        <row r="227">
          <cell r="C227">
            <v>179631</v>
          </cell>
          <cell r="D227" t="str">
            <v>Gholap Petroluem</v>
          </cell>
          <cell r="E227" t="str">
            <v>BPCL</v>
          </cell>
          <cell r="F227" t="str">
            <v>2012-13</v>
          </cell>
          <cell r="G227" t="str">
            <v>Pune Tathawade RSA</v>
          </cell>
          <cell r="J227" t="str">
            <v>BARAMATI INDAPUR ROAD</v>
          </cell>
          <cell r="K227" t="str">
            <v>Pune</v>
          </cell>
          <cell r="L227" t="str">
            <v>D1</v>
          </cell>
          <cell r="M227" t="str">
            <v>NH-965G</v>
          </cell>
          <cell r="O227" t="str">
            <v>A</v>
          </cell>
        </row>
        <row r="228">
          <cell r="C228">
            <v>180047</v>
          </cell>
          <cell r="D228" t="str">
            <v>SHIVRAJ PETROLEUM</v>
          </cell>
          <cell r="E228" t="str">
            <v>BPCL</v>
          </cell>
          <cell r="F228" t="str">
            <v>2012-13</v>
          </cell>
          <cell r="G228" t="str">
            <v>Satara East RSA</v>
          </cell>
          <cell r="J228" t="str">
            <v>Kolewadi to Dhebewadi</v>
          </cell>
          <cell r="K228" t="str">
            <v>Satara</v>
          </cell>
          <cell r="L228" t="str">
            <v>D1</v>
          </cell>
          <cell r="M228" t="str">
            <v>NH-965</v>
          </cell>
          <cell r="O228" t="str">
            <v>B</v>
          </cell>
        </row>
        <row r="229">
          <cell r="C229">
            <v>180053</v>
          </cell>
          <cell r="D229" t="str">
            <v>YASHRAJ PETROLEUM</v>
          </cell>
          <cell r="E229" t="str">
            <v>BPCL</v>
          </cell>
          <cell r="F229" t="str">
            <v>2012-13</v>
          </cell>
          <cell r="G229" t="str">
            <v>Pune Saswad RSA</v>
          </cell>
          <cell r="J229" t="str">
            <v>Junction-Nimgaon Ketki Raod</v>
          </cell>
          <cell r="K229" t="str">
            <v>Pune</v>
          </cell>
          <cell r="L229" t="str">
            <v>D1</v>
          </cell>
          <cell r="M229" t="str">
            <v>NH-965G</v>
          </cell>
          <cell r="O229" t="str">
            <v>A</v>
          </cell>
        </row>
        <row r="230">
          <cell r="C230">
            <v>180054</v>
          </cell>
          <cell r="D230" t="str">
            <v>SAI SIDDHI PETROLEUM</v>
          </cell>
          <cell r="E230" t="str">
            <v>BPCL</v>
          </cell>
          <cell r="F230" t="str">
            <v>2012-13</v>
          </cell>
          <cell r="G230" t="str">
            <v>Shirdi RSA</v>
          </cell>
          <cell r="J230" t="str">
            <v>TALEGAON SANGAMNER NH</v>
          </cell>
          <cell r="K230" t="str">
            <v>Ahmednagar</v>
          </cell>
          <cell r="L230" t="str">
            <v>D2</v>
          </cell>
          <cell r="O230" t="str">
            <v>A</v>
          </cell>
        </row>
        <row r="231">
          <cell r="C231">
            <v>180055</v>
          </cell>
          <cell r="D231" t="str">
            <v>YADRUCCHA PETROLEUM</v>
          </cell>
          <cell r="E231" t="str">
            <v>BPCL</v>
          </cell>
          <cell r="F231" t="str">
            <v>2012-13</v>
          </cell>
          <cell r="G231" t="str">
            <v>Shirdi RSA</v>
          </cell>
          <cell r="J231" t="str">
            <v>TALEGAON SANGAMNER SH</v>
          </cell>
          <cell r="K231" t="str">
            <v>Ahmednagar</v>
          </cell>
          <cell r="L231" t="str">
            <v>D2</v>
          </cell>
          <cell r="O231" t="str">
            <v>B</v>
          </cell>
        </row>
        <row r="232">
          <cell r="C232">
            <v>180190</v>
          </cell>
          <cell r="D232" t="str">
            <v>SAHYADRI FUEL STATION</v>
          </cell>
          <cell r="E232" t="str">
            <v>BPCL</v>
          </cell>
          <cell r="F232" t="str">
            <v>2013-14</v>
          </cell>
          <cell r="G232" t="str">
            <v>Ahmednagar West RSA</v>
          </cell>
          <cell r="J232" t="str">
            <v>KHARDA</v>
          </cell>
          <cell r="K232" t="str">
            <v>Ahmednagar</v>
          </cell>
          <cell r="L232" t="str">
            <v>D2</v>
          </cell>
          <cell r="O232" t="str">
            <v>B</v>
          </cell>
        </row>
        <row r="233">
          <cell r="C233">
            <v>180191</v>
          </cell>
          <cell r="D233" t="str">
            <v>Banbro Metal Pvt.Ltd</v>
          </cell>
          <cell r="E233" t="str">
            <v>BPCL</v>
          </cell>
          <cell r="F233" t="str">
            <v>2021-22</v>
          </cell>
          <cell r="G233" t="str">
            <v>Ahmednagar East RSA</v>
          </cell>
          <cell r="J233" t="str">
            <v>MIDC Nagapur</v>
          </cell>
          <cell r="K233" t="str">
            <v>Ahmednagar</v>
          </cell>
          <cell r="L233" t="str">
            <v>C</v>
          </cell>
          <cell r="O233" t="str">
            <v>A</v>
          </cell>
        </row>
        <row r="234">
          <cell r="C234">
            <v>180192</v>
          </cell>
          <cell r="D234" t="str">
            <v>Chaitanya Petroleum</v>
          </cell>
          <cell r="E234" t="str">
            <v>BPCL</v>
          </cell>
          <cell r="F234" t="str">
            <v>2016-17</v>
          </cell>
          <cell r="G234" t="str">
            <v>Shirdi RSA</v>
          </cell>
          <cell r="J234" t="str">
            <v>MIDC SANGAMNER</v>
          </cell>
          <cell r="K234" t="str">
            <v>Ahmednagar</v>
          </cell>
          <cell r="L234" t="str">
            <v>D1</v>
          </cell>
          <cell r="M234" t="str">
            <v>NH-60</v>
          </cell>
          <cell r="O234" t="str">
            <v>B</v>
          </cell>
        </row>
        <row r="235">
          <cell r="C235">
            <v>180232</v>
          </cell>
          <cell r="D235" t="str">
            <v>Laxminarayan Petroi Pump</v>
          </cell>
          <cell r="E235" t="str">
            <v>BPCL</v>
          </cell>
          <cell r="F235" t="str">
            <v>2013-14</v>
          </cell>
          <cell r="G235" t="str">
            <v>Shirdi RSA</v>
          </cell>
          <cell r="J235" t="str">
            <v>KHOKAR-BHOKAR</v>
          </cell>
          <cell r="K235" t="str">
            <v>Ahmednagar</v>
          </cell>
          <cell r="L235" t="str">
            <v>D2</v>
          </cell>
          <cell r="O235" t="str">
            <v>B</v>
          </cell>
        </row>
        <row r="236">
          <cell r="C236">
            <v>180281</v>
          </cell>
          <cell r="D236" t="str">
            <v>Govind Fuel Station</v>
          </cell>
          <cell r="E236" t="str">
            <v>BPCL</v>
          </cell>
          <cell r="F236" t="str">
            <v>2013-14</v>
          </cell>
          <cell r="G236" t="str">
            <v>Shirdi RSA</v>
          </cell>
          <cell r="J236" t="str">
            <v>NIMGAON JALI</v>
          </cell>
          <cell r="K236" t="str">
            <v>Ahmednagar</v>
          </cell>
          <cell r="L236" t="str">
            <v>D2</v>
          </cell>
          <cell r="O236" t="str">
            <v>B</v>
          </cell>
        </row>
        <row r="237">
          <cell r="C237">
            <v>180357</v>
          </cell>
          <cell r="D237" t="str">
            <v>HARIOM PETROLEUM</v>
          </cell>
          <cell r="E237" t="str">
            <v>BPCL</v>
          </cell>
          <cell r="F237" t="str">
            <v>2012-13</v>
          </cell>
          <cell r="G237" t="str">
            <v>Satara West RSA</v>
          </cell>
          <cell r="J237" t="str">
            <v>Khandala to Shirwal</v>
          </cell>
          <cell r="K237" t="str">
            <v>Satara</v>
          </cell>
          <cell r="L237" t="str">
            <v>D1</v>
          </cell>
          <cell r="M237" t="str">
            <v>NH-48</v>
          </cell>
          <cell r="O237" t="str">
            <v>A</v>
          </cell>
        </row>
        <row r="238">
          <cell r="C238">
            <v>180369</v>
          </cell>
          <cell r="D238" t="str">
            <v>Vittal Balaji Dherange &amp; Co.</v>
          </cell>
          <cell r="E238" t="str">
            <v>BPCL</v>
          </cell>
          <cell r="F238" t="str">
            <v>2014-15</v>
          </cell>
          <cell r="G238" t="str">
            <v>Shirdi RSA</v>
          </cell>
          <cell r="J238" t="str">
            <v>SANGAMNER KHURD ON NH</v>
          </cell>
          <cell r="K238" t="str">
            <v>Ahmednagar</v>
          </cell>
          <cell r="L238" t="str">
            <v>D1</v>
          </cell>
          <cell r="M238" t="str">
            <v>NH-60</v>
          </cell>
          <cell r="O238" t="str">
            <v>B</v>
          </cell>
        </row>
        <row r="239">
          <cell r="C239">
            <v>180422</v>
          </cell>
          <cell r="D239" t="str">
            <v>MAG PETROLEUM</v>
          </cell>
          <cell r="E239" t="str">
            <v>BPCL</v>
          </cell>
          <cell r="F239" t="str">
            <v>2012-13</v>
          </cell>
          <cell r="G239" t="str">
            <v>Satara East RSA</v>
          </cell>
          <cell r="J239" t="str">
            <v>KHOJEWADI</v>
          </cell>
          <cell r="K239" t="str">
            <v>Satara</v>
          </cell>
          <cell r="L239" t="str">
            <v>D1</v>
          </cell>
          <cell r="M239" t="str">
            <v>NH-965</v>
          </cell>
          <cell r="O239" t="str">
            <v>A</v>
          </cell>
        </row>
        <row r="240">
          <cell r="C240">
            <v>180429</v>
          </cell>
          <cell r="D240" t="str">
            <v>REKHA PETROLEUM</v>
          </cell>
          <cell r="E240" t="str">
            <v>BPCL</v>
          </cell>
          <cell r="F240" t="str">
            <v>2012-13</v>
          </cell>
          <cell r="G240" t="str">
            <v>Satara East RSA</v>
          </cell>
          <cell r="J240" t="str">
            <v>Bhuinj to Khandala</v>
          </cell>
          <cell r="K240" t="str">
            <v>Satara</v>
          </cell>
          <cell r="L240" t="str">
            <v>E</v>
          </cell>
          <cell r="O240" t="str">
            <v>B</v>
          </cell>
        </row>
        <row r="241">
          <cell r="C241">
            <v>180498</v>
          </cell>
          <cell r="D241" t="str">
            <v>SONAWANE PETROLEUM</v>
          </cell>
          <cell r="E241" t="str">
            <v>BPCL</v>
          </cell>
          <cell r="F241" t="str">
            <v>2012-13</v>
          </cell>
          <cell r="G241" t="str">
            <v>Pune Hadapsar RSA</v>
          </cell>
          <cell r="J241" t="str">
            <v>Pilanwadi</v>
          </cell>
          <cell r="K241" t="str">
            <v>Pune</v>
          </cell>
          <cell r="L241" t="str">
            <v>D2</v>
          </cell>
          <cell r="O241" t="str">
            <v>B</v>
          </cell>
        </row>
        <row r="242">
          <cell r="C242">
            <v>180499</v>
          </cell>
          <cell r="D242" t="str">
            <v>DIGVIJAY PETRO</v>
          </cell>
          <cell r="E242" t="str">
            <v>BPCL</v>
          </cell>
          <cell r="F242" t="str">
            <v>2012-13</v>
          </cell>
          <cell r="G242" t="str">
            <v>Pune Tathawade RSA</v>
          </cell>
          <cell r="J242" t="str">
            <v>Nandgaon to Ghogaon</v>
          </cell>
          <cell r="K242" t="str">
            <v>Pune</v>
          </cell>
          <cell r="L242" t="str">
            <v>D1</v>
          </cell>
          <cell r="M242" t="str">
            <v>NH-160</v>
          </cell>
          <cell r="O242" t="str">
            <v>A</v>
          </cell>
        </row>
        <row r="243">
          <cell r="C243">
            <v>180500</v>
          </cell>
          <cell r="D243" t="str">
            <v>JANAI PETROLEUM</v>
          </cell>
          <cell r="E243" t="str">
            <v>BPCL</v>
          </cell>
          <cell r="F243" t="str">
            <v>2012-13</v>
          </cell>
          <cell r="G243" t="str">
            <v>Pune Tathawade RSA</v>
          </cell>
          <cell r="J243" t="str">
            <v>MORGAON-BARAMATI RD</v>
          </cell>
          <cell r="K243" t="str">
            <v>Pune</v>
          </cell>
          <cell r="L243" t="str">
            <v>D2</v>
          </cell>
          <cell r="O243" t="str">
            <v>A</v>
          </cell>
        </row>
        <row r="244">
          <cell r="C244">
            <v>180504</v>
          </cell>
          <cell r="D244" t="str">
            <v>TIRUPATI PETROLEUM</v>
          </cell>
          <cell r="E244" t="str">
            <v>BPCL</v>
          </cell>
          <cell r="F244" t="str">
            <v>2012-13</v>
          </cell>
          <cell r="G244" t="str">
            <v>Pune Saswad RSA</v>
          </cell>
          <cell r="J244" t="str">
            <v>INDAPUR</v>
          </cell>
          <cell r="K244" t="str">
            <v>Pune</v>
          </cell>
          <cell r="L244" t="str">
            <v>C</v>
          </cell>
          <cell r="O244" t="str">
            <v>A</v>
          </cell>
        </row>
        <row r="245">
          <cell r="C245">
            <v>180505</v>
          </cell>
          <cell r="D245" t="str">
            <v>OMKAR PETROLEUM</v>
          </cell>
          <cell r="E245" t="str">
            <v>BPCL</v>
          </cell>
          <cell r="F245" t="str">
            <v>2012-13</v>
          </cell>
          <cell r="G245" t="str">
            <v>Pune Saswad RSA</v>
          </cell>
          <cell r="J245" t="str">
            <v>WALCHANDNAGAR-BAVDA ROAD</v>
          </cell>
          <cell r="K245" t="str">
            <v>Pune</v>
          </cell>
          <cell r="L245" t="str">
            <v>D2</v>
          </cell>
          <cell r="O245" t="str">
            <v>A</v>
          </cell>
        </row>
        <row r="246">
          <cell r="C246">
            <v>180556</v>
          </cell>
          <cell r="D246" t="str">
            <v>NEELKANTH PETROLEUM</v>
          </cell>
          <cell r="E246" t="str">
            <v>BPCL</v>
          </cell>
          <cell r="F246" t="str">
            <v>2012-13</v>
          </cell>
          <cell r="G246" t="str">
            <v>Satara East RSA</v>
          </cell>
          <cell r="J246" t="str">
            <v>Karad to Masur Road</v>
          </cell>
          <cell r="K246" t="str">
            <v>Satara</v>
          </cell>
          <cell r="L246" t="str">
            <v>D1</v>
          </cell>
          <cell r="M246" t="str">
            <v>NH-160</v>
          </cell>
          <cell r="O246" t="str">
            <v>B</v>
          </cell>
        </row>
        <row r="247">
          <cell r="C247">
            <v>180562</v>
          </cell>
          <cell r="D247" t="str">
            <v>NANAPATIL GHOGARE FUEL STATIO</v>
          </cell>
          <cell r="E247" t="str">
            <v>BPCL</v>
          </cell>
          <cell r="F247" t="str">
            <v>2014-15</v>
          </cell>
          <cell r="G247" t="str">
            <v>Shirdi RSA</v>
          </cell>
          <cell r="J247" t="str">
            <v>LONI PRAVARA SH</v>
          </cell>
          <cell r="K247" t="str">
            <v>Ahmednagar</v>
          </cell>
          <cell r="L247" t="str">
            <v>D2</v>
          </cell>
          <cell r="O247" t="str">
            <v>B</v>
          </cell>
        </row>
        <row r="248">
          <cell r="C248">
            <v>180603</v>
          </cell>
          <cell r="D248" t="str">
            <v>PATINGESHWAR PETROLEUM</v>
          </cell>
          <cell r="E248" t="str">
            <v>BPCL</v>
          </cell>
          <cell r="F248" t="str">
            <v>2014-15</v>
          </cell>
          <cell r="G248" t="str">
            <v>Shirdi RSA</v>
          </cell>
          <cell r="J248" t="str">
            <v>KALAS AKOLE</v>
          </cell>
          <cell r="K248" t="str">
            <v>Ahmednagar</v>
          </cell>
          <cell r="L248" t="str">
            <v>D2</v>
          </cell>
          <cell r="O248" t="str">
            <v>B</v>
          </cell>
        </row>
        <row r="249">
          <cell r="C249">
            <v>180664</v>
          </cell>
          <cell r="D249" t="str">
            <v>JAYANT PETROLEUM</v>
          </cell>
          <cell r="E249" t="str">
            <v>BPCL</v>
          </cell>
          <cell r="G249" t="str">
            <v>Ahmednagar West RSA</v>
          </cell>
          <cell r="J249" t="str">
            <v>Visapur</v>
          </cell>
          <cell r="K249" t="str">
            <v>Ahmednagar</v>
          </cell>
          <cell r="L249" t="str">
            <v>E</v>
          </cell>
          <cell r="O249" t="str">
            <v>B</v>
          </cell>
        </row>
        <row r="250">
          <cell r="C250">
            <v>180738</v>
          </cell>
          <cell r="D250" t="str">
            <v>SVAYAM SIYA PETROLEUM</v>
          </cell>
          <cell r="E250" t="str">
            <v>BPCL</v>
          </cell>
          <cell r="F250" t="str">
            <v>2012-13</v>
          </cell>
          <cell r="G250" t="str">
            <v>Ahmednagar East RSA</v>
          </cell>
          <cell r="J250" t="str">
            <v>Nagar-Manmad Bypass</v>
          </cell>
          <cell r="K250" t="str">
            <v>Ahmednagar</v>
          </cell>
          <cell r="L250" t="str">
            <v>D1</v>
          </cell>
          <cell r="M250" t="str">
            <v>NH-160</v>
          </cell>
          <cell r="O250" t="str">
            <v>A</v>
          </cell>
        </row>
        <row r="251">
          <cell r="C251">
            <v>180780</v>
          </cell>
          <cell r="D251" t="str">
            <v>VIJAY PETROLEUM</v>
          </cell>
          <cell r="E251" t="str">
            <v>BPCL</v>
          </cell>
          <cell r="F251" t="str">
            <v>2012-13</v>
          </cell>
          <cell r="G251" t="str">
            <v>Satara West RSA</v>
          </cell>
          <cell r="J251" t="str">
            <v>Shirwal to Khandala</v>
          </cell>
          <cell r="K251" t="str">
            <v>Satara</v>
          </cell>
          <cell r="L251" t="str">
            <v>D1</v>
          </cell>
          <cell r="M251" t="str">
            <v>NH-48</v>
          </cell>
          <cell r="O251" t="str">
            <v>A</v>
          </cell>
        </row>
        <row r="252">
          <cell r="C252">
            <v>180797</v>
          </cell>
          <cell r="D252" t="str">
            <v>DHRUV PETROLEUM</v>
          </cell>
          <cell r="E252" t="str">
            <v>BPCL</v>
          </cell>
          <cell r="F252" t="str">
            <v>2012-13</v>
          </cell>
          <cell r="G252" t="str">
            <v>Satara West RSA</v>
          </cell>
          <cell r="J252" t="str">
            <v>ATIT TO KASHIL</v>
          </cell>
          <cell r="K252" t="str">
            <v>Satara</v>
          </cell>
          <cell r="L252" t="str">
            <v>D1</v>
          </cell>
          <cell r="M252" t="str">
            <v>NH-48</v>
          </cell>
          <cell r="O252" t="str">
            <v>A</v>
          </cell>
        </row>
        <row r="253">
          <cell r="C253">
            <v>180858</v>
          </cell>
          <cell r="D253" t="str">
            <v>J P PETROLEUM</v>
          </cell>
          <cell r="E253" t="str">
            <v>BPCL</v>
          </cell>
          <cell r="F253" t="str">
            <v>2012-13</v>
          </cell>
          <cell r="G253" t="str">
            <v>Satara East RSA</v>
          </cell>
          <cell r="J253" t="str">
            <v>Ambawade S.Wagholi</v>
          </cell>
          <cell r="K253" t="str">
            <v>Satara</v>
          </cell>
          <cell r="L253" t="str">
            <v>D1</v>
          </cell>
          <cell r="M253" t="str">
            <v>NH-965D</v>
          </cell>
          <cell r="O253" t="str">
            <v>B</v>
          </cell>
        </row>
        <row r="254">
          <cell r="C254">
            <v>181554</v>
          </cell>
          <cell r="D254" t="str">
            <v>SAYHADRI PETROLEUM</v>
          </cell>
          <cell r="E254" t="str">
            <v>BPCL</v>
          </cell>
          <cell r="F254" t="str">
            <v>2013-14</v>
          </cell>
          <cell r="G254" t="str">
            <v>Satara West RSA</v>
          </cell>
          <cell r="J254" t="str">
            <v>Kudal</v>
          </cell>
          <cell r="K254" t="str">
            <v>Satara</v>
          </cell>
          <cell r="L254" t="str">
            <v>C</v>
          </cell>
          <cell r="O254" t="str">
            <v>B</v>
          </cell>
        </row>
        <row r="255">
          <cell r="C255">
            <v>181775</v>
          </cell>
          <cell r="D255" t="str">
            <v>OM PETROLEUM</v>
          </cell>
          <cell r="E255" t="str">
            <v>BPCL</v>
          </cell>
          <cell r="F255" t="str">
            <v>2013-14</v>
          </cell>
          <cell r="G255" t="str">
            <v>Pune Saswad RSA</v>
          </cell>
          <cell r="J255" t="str">
            <v>Jejuri Morgaon Road</v>
          </cell>
          <cell r="K255" t="str">
            <v>Pune</v>
          </cell>
          <cell r="L255" t="str">
            <v>D2</v>
          </cell>
          <cell r="O255" t="str">
            <v>B</v>
          </cell>
        </row>
        <row r="256">
          <cell r="C256">
            <v>181776</v>
          </cell>
          <cell r="D256" t="str">
            <v>SHRI SWAMI SAMARTH PETROLEUM</v>
          </cell>
          <cell r="E256" t="str">
            <v>BPCL</v>
          </cell>
          <cell r="F256" t="str">
            <v>2013-14</v>
          </cell>
          <cell r="G256" t="str">
            <v>Pune Tathawade RSA</v>
          </cell>
          <cell r="J256" t="str">
            <v>Mekhali Road</v>
          </cell>
          <cell r="K256" t="str">
            <v>Pune</v>
          </cell>
          <cell r="L256" t="str">
            <v>E</v>
          </cell>
          <cell r="O256" t="str">
            <v>A</v>
          </cell>
        </row>
        <row r="257">
          <cell r="C257">
            <v>181786</v>
          </cell>
          <cell r="D257" t="str">
            <v>SHIVSHAKTI PETROLEUM</v>
          </cell>
          <cell r="E257" t="str">
            <v>BPCL</v>
          </cell>
          <cell r="F257" t="str">
            <v>2013-14</v>
          </cell>
          <cell r="G257" t="str">
            <v>Satara East RSA</v>
          </cell>
          <cell r="J257" t="str">
            <v>Lonand</v>
          </cell>
          <cell r="K257" t="str">
            <v>Satara</v>
          </cell>
          <cell r="L257" t="str">
            <v>D1</v>
          </cell>
          <cell r="M257" t="str">
            <v>NH-965D</v>
          </cell>
          <cell r="O257" t="str">
            <v>A</v>
          </cell>
        </row>
        <row r="258">
          <cell r="C258">
            <v>181791</v>
          </cell>
          <cell r="D258" t="str">
            <v>SHERU PETROLEUM</v>
          </cell>
          <cell r="E258" t="str">
            <v>BPCL</v>
          </cell>
          <cell r="F258" t="str">
            <v>2013-14</v>
          </cell>
          <cell r="G258" t="str">
            <v>Pune Hadapsar RSA</v>
          </cell>
          <cell r="J258" t="str">
            <v>Yawat RHS</v>
          </cell>
          <cell r="K258" t="str">
            <v>Pune</v>
          </cell>
          <cell r="L258" t="str">
            <v>D1</v>
          </cell>
          <cell r="M258" t="str">
            <v>NH-65</v>
          </cell>
          <cell r="O258" t="str">
            <v>A</v>
          </cell>
        </row>
        <row r="259">
          <cell r="C259">
            <v>181812</v>
          </cell>
          <cell r="D259" t="str">
            <v>SHRI NAGESHWAR PETROLEUM</v>
          </cell>
          <cell r="E259" t="str">
            <v>BPCL</v>
          </cell>
          <cell r="F259" t="str">
            <v>2013-14</v>
          </cell>
          <cell r="G259" t="str">
            <v>Pimpri Chinchwad RSA</v>
          </cell>
          <cell r="J259" t="str">
            <v>Moshi</v>
          </cell>
          <cell r="K259" t="str">
            <v>Pune</v>
          </cell>
          <cell r="L259" t="str">
            <v>A</v>
          </cell>
          <cell r="O259" t="str">
            <v>A</v>
          </cell>
        </row>
        <row r="260">
          <cell r="C260">
            <v>182098</v>
          </cell>
          <cell r="D260" t="str">
            <v>MANISHA PETROLEUM</v>
          </cell>
          <cell r="E260" t="str">
            <v>BPCL</v>
          </cell>
          <cell r="F260" t="str">
            <v>2013-14</v>
          </cell>
          <cell r="G260" t="str">
            <v>Ahmednagar East RSA</v>
          </cell>
          <cell r="J260" t="str">
            <v>Ghodegaon</v>
          </cell>
          <cell r="K260" t="str">
            <v>Ahmednagar</v>
          </cell>
          <cell r="L260" t="str">
            <v>D1</v>
          </cell>
          <cell r="M260" t="str">
            <v>NH-753F</v>
          </cell>
          <cell r="O260" t="str">
            <v>A</v>
          </cell>
        </row>
        <row r="261">
          <cell r="C261">
            <v>182204</v>
          </cell>
          <cell r="D261" t="str">
            <v>DEVALE PETROLEUM</v>
          </cell>
          <cell r="E261" t="str">
            <v>BPCL</v>
          </cell>
          <cell r="F261" t="str">
            <v>2013-14</v>
          </cell>
          <cell r="G261" t="str">
            <v>Pune Tathawade RSA</v>
          </cell>
          <cell r="J261" t="str">
            <v>Gunawadi</v>
          </cell>
          <cell r="K261" t="str">
            <v>Pune</v>
          </cell>
          <cell r="L261" t="str">
            <v>D2</v>
          </cell>
          <cell r="O261" t="str">
            <v>A</v>
          </cell>
        </row>
        <row r="262">
          <cell r="C262">
            <v>182205</v>
          </cell>
          <cell r="D262" t="str">
            <v>JAGADALE PETROLEUM</v>
          </cell>
          <cell r="E262" t="str">
            <v>BPCL</v>
          </cell>
          <cell r="F262" t="str">
            <v>2013-14</v>
          </cell>
          <cell r="G262" t="str">
            <v>Pune Tathawade RSA</v>
          </cell>
          <cell r="J262" t="str">
            <v>MORGAON</v>
          </cell>
          <cell r="K262" t="str">
            <v>Pune</v>
          </cell>
          <cell r="L262" t="str">
            <v>D1</v>
          </cell>
          <cell r="M262" t="str">
            <v>NH-965D</v>
          </cell>
          <cell r="O262" t="str">
            <v>A</v>
          </cell>
        </row>
        <row r="263">
          <cell r="C263">
            <v>182297</v>
          </cell>
          <cell r="D263" t="str">
            <v>D R Jamdade</v>
          </cell>
          <cell r="E263" t="str">
            <v>BPCL</v>
          </cell>
          <cell r="F263" t="str">
            <v>2013-14</v>
          </cell>
          <cell r="G263" t="str">
            <v>Shirdi RSA</v>
          </cell>
          <cell r="J263" t="str">
            <v>SAVLIHIR</v>
          </cell>
          <cell r="K263" t="str">
            <v>Ahmednagar</v>
          </cell>
          <cell r="L263" t="str">
            <v>D1</v>
          </cell>
          <cell r="M263" t="str">
            <v>NH-160</v>
          </cell>
          <cell r="O263" t="str">
            <v>B</v>
          </cell>
        </row>
        <row r="264">
          <cell r="C264">
            <v>182460</v>
          </cell>
          <cell r="D264" t="str">
            <v>JAYWANT PETROLEUM</v>
          </cell>
          <cell r="E264" t="str">
            <v>BPCL</v>
          </cell>
          <cell r="G264" t="str">
            <v>Satara West RSA</v>
          </cell>
          <cell r="J264" t="str">
            <v>Chore</v>
          </cell>
          <cell r="K264" t="str">
            <v>Satara</v>
          </cell>
          <cell r="L264" t="str">
            <v>E</v>
          </cell>
          <cell r="O264" t="str">
            <v>B</v>
          </cell>
        </row>
        <row r="265">
          <cell r="C265">
            <v>182537</v>
          </cell>
          <cell r="D265" t="str">
            <v>VINAYAK PETROLEUM</v>
          </cell>
          <cell r="E265" t="str">
            <v>BPCL</v>
          </cell>
          <cell r="F265" t="str">
            <v>2013-14</v>
          </cell>
          <cell r="G265" t="str">
            <v>Pune Hadapsar RSA</v>
          </cell>
          <cell r="J265" t="str">
            <v>Theur</v>
          </cell>
          <cell r="K265" t="str">
            <v>Pune</v>
          </cell>
          <cell r="L265" t="str">
            <v>D1</v>
          </cell>
          <cell r="M265" t="str">
            <v>NH-548DD</v>
          </cell>
          <cell r="O265" t="str">
            <v>A</v>
          </cell>
        </row>
        <row r="266">
          <cell r="C266">
            <v>182538</v>
          </cell>
          <cell r="D266" t="str">
            <v>SANJEEVANI PETROLEUM</v>
          </cell>
          <cell r="E266" t="str">
            <v>BPCL</v>
          </cell>
          <cell r="F266" t="str">
            <v>2013-14</v>
          </cell>
          <cell r="G266" t="str">
            <v>Pune Saswad RSA</v>
          </cell>
          <cell r="J266" t="str">
            <v>KALAS INDAPUR</v>
          </cell>
          <cell r="K266" t="str">
            <v>Pune</v>
          </cell>
          <cell r="L266" t="str">
            <v>D2</v>
          </cell>
          <cell r="O266" t="str">
            <v>A</v>
          </cell>
        </row>
        <row r="267">
          <cell r="C267">
            <v>182643</v>
          </cell>
          <cell r="D267" t="str">
            <v>SHIV PARVATI PETROLEUM</v>
          </cell>
          <cell r="E267" t="str">
            <v>BPCL</v>
          </cell>
          <cell r="F267" t="str">
            <v>2013-14</v>
          </cell>
          <cell r="G267" t="str">
            <v>Pune Saswad RSA</v>
          </cell>
          <cell r="J267" t="str">
            <v>Kapurhol-Ketkawale Road</v>
          </cell>
          <cell r="K267" t="str">
            <v>Pune</v>
          </cell>
          <cell r="L267" t="str">
            <v>D2</v>
          </cell>
          <cell r="O267" t="str">
            <v>A</v>
          </cell>
        </row>
        <row r="268">
          <cell r="C268">
            <v>182695</v>
          </cell>
          <cell r="D268" t="str">
            <v>SHREE GHUMAIDEVI PETROLEUM</v>
          </cell>
          <cell r="E268" t="str">
            <v>BPCL</v>
          </cell>
          <cell r="F268" t="str">
            <v>2013-14</v>
          </cell>
          <cell r="G268" t="str">
            <v>Satara East RSA</v>
          </cell>
          <cell r="J268" t="str">
            <v>Pimpode</v>
          </cell>
          <cell r="K268" t="str">
            <v>Satara</v>
          </cell>
          <cell r="L268" t="str">
            <v>E</v>
          </cell>
          <cell r="O268" t="str">
            <v>A</v>
          </cell>
        </row>
        <row r="269">
          <cell r="C269">
            <v>182696</v>
          </cell>
          <cell r="D269" t="str">
            <v>AZAD PETROLEUM</v>
          </cell>
          <cell r="E269" t="str">
            <v>BPCL</v>
          </cell>
          <cell r="F269" t="str">
            <v>2013-14</v>
          </cell>
          <cell r="G269" t="str">
            <v>Satara West RSA</v>
          </cell>
          <cell r="J269" t="str">
            <v>KARAD TO KASHIL</v>
          </cell>
          <cell r="K269" t="str">
            <v>Satara</v>
          </cell>
          <cell r="L269" t="str">
            <v>D1</v>
          </cell>
          <cell r="M269" t="str">
            <v>NH-48</v>
          </cell>
          <cell r="O269" t="str">
            <v>A</v>
          </cell>
        </row>
        <row r="270">
          <cell r="C270">
            <v>182871</v>
          </cell>
          <cell r="D270" t="str">
            <v>TULJABHAVANI PETROLEUM</v>
          </cell>
          <cell r="E270" t="str">
            <v>BPCL</v>
          </cell>
          <cell r="F270" t="str">
            <v>2013-14</v>
          </cell>
          <cell r="G270" t="str">
            <v>Pimpri Chinchwad RSA</v>
          </cell>
          <cell r="J270" t="str">
            <v>Dudhalgaon</v>
          </cell>
          <cell r="K270" t="str">
            <v>Pune</v>
          </cell>
          <cell r="L270" t="str">
            <v>A</v>
          </cell>
          <cell r="O270" t="str">
            <v>A</v>
          </cell>
        </row>
        <row r="271">
          <cell r="C271">
            <v>183124</v>
          </cell>
          <cell r="D271" t="str">
            <v>SHREE GUPTALING PETROL PUMP</v>
          </cell>
          <cell r="E271" t="str">
            <v>BPCL</v>
          </cell>
          <cell r="F271" t="str">
            <v>2013-14</v>
          </cell>
          <cell r="G271" t="str">
            <v>Satara East RSA</v>
          </cell>
          <cell r="J271" t="str">
            <v>Shingnapur</v>
          </cell>
          <cell r="K271" t="str">
            <v>Satara</v>
          </cell>
          <cell r="L271" t="str">
            <v>E</v>
          </cell>
          <cell r="O271" t="str">
            <v>B</v>
          </cell>
        </row>
        <row r="272">
          <cell r="C272">
            <v>183754</v>
          </cell>
          <cell r="D272" t="str">
            <v>Keshav Enterprises</v>
          </cell>
          <cell r="E272" t="str">
            <v>BPCL</v>
          </cell>
          <cell r="F272" t="str">
            <v>2014-15</v>
          </cell>
          <cell r="G272" t="str">
            <v>Shirdi RSA</v>
          </cell>
          <cell r="J272" t="str">
            <v>SHRIRAMPUR RURAL</v>
          </cell>
          <cell r="K272" t="str">
            <v>Ahmednagar</v>
          </cell>
          <cell r="L272" t="str">
            <v>D2</v>
          </cell>
          <cell r="O272" t="str">
            <v>B</v>
          </cell>
        </row>
        <row r="273">
          <cell r="C273">
            <v>183993</v>
          </cell>
          <cell r="D273" t="str">
            <v>ASHOK AUTOMOBILES (WALUNJ) Resitement</v>
          </cell>
          <cell r="E273" t="str">
            <v>BPCL</v>
          </cell>
          <cell r="G273" t="str">
            <v>Ahmednagar West RSA</v>
          </cell>
          <cell r="J273" t="str">
            <v>Walunj</v>
          </cell>
          <cell r="K273" t="str">
            <v>Ahmednagar</v>
          </cell>
          <cell r="L273" t="str">
            <v>D1</v>
          </cell>
          <cell r="M273" t="str">
            <v>NH-561A</v>
          </cell>
          <cell r="O273" t="str">
            <v>A</v>
          </cell>
        </row>
        <row r="274">
          <cell r="C274">
            <v>184385</v>
          </cell>
          <cell r="D274" t="str">
            <v>Meera Petroleum</v>
          </cell>
          <cell r="E274" t="str">
            <v>BPCL</v>
          </cell>
          <cell r="F274" t="str">
            <v>2013-14</v>
          </cell>
          <cell r="G274" t="str">
            <v>Satara West RSA</v>
          </cell>
          <cell r="J274" t="str">
            <v>Bhuinj to Khandala</v>
          </cell>
          <cell r="K274" t="str">
            <v>Satara</v>
          </cell>
          <cell r="L274" t="str">
            <v>D1</v>
          </cell>
          <cell r="M274" t="str">
            <v>NH-48</v>
          </cell>
          <cell r="O274" t="str">
            <v>A</v>
          </cell>
        </row>
        <row r="275">
          <cell r="C275">
            <v>184387</v>
          </cell>
          <cell r="D275" t="str">
            <v>SHRI SIDDHI PETROLEUM</v>
          </cell>
          <cell r="E275" t="str">
            <v>BPCL</v>
          </cell>
          <cell r="F275" t="str">
            <v>2014-15</v>
          </cell>
          <cell r="G275" t="str">
            <v>Satara West RSA</v>
          </cell>
          <cell r="J275" t="str">
            <v>Nandgaon to Ghogaon</v>
          </cell>
          <cell r="K275" t="str">
            <v>Satara</v>
          </cell>
          <cell r="L275" t="str">
            <v>D2</v>
          </cell>
          <cell r="O275" t="str">
            <v>B</v>
          </cell>
        </row>
        <row r="276">
          <cell r="C276">
            <v>184388</v>
          </cell>
          <cell r="D276" t="str">
            <v>Aditya Vikram Petroleum</v>
          </cell>
          <cell r="E276" t="str">
            <v>BPCL</v>
          </cell>
          <cell r="F276" t="str">
            <v>2013-14</v>
          </cell>
          <cell r="G276" t="str">
            <v>Satara East RSA</v>
          </cell>
          <cell r="J276" t="str">
            <v>Sangvi</v>
          </cell>
          <cell r="K276" t="str">
            <v>Satara</v>
          </cell>
          <cell r="L276" t="str">
            <v>E</v>
          </cell>
          <cell r="O276" t="str">
            <v>B</v>
          </cell>
        </row>
        <row r="277">
          <cell r="C277">
            <v>184456</v>
          </cell>
          <cell r="D277" t="str">
            <v>Shivthare Petroleum</v>
          </cell>
          <cell r="E277" t="str">
            <v>BPCL</v>
          </cell>
          <cell r="F277" t="str">
            <v>2013-14</v>
          </cell>
          <cell r="G277" t="str">
            <v>Satara East RSA</v>
          </cell>
          <cell r="J277" t="str">
            <v>Lonand Shirval Road</v>
          </cell>
          <cell r="K277" t="str">
            <v>Satara</v>
          </cell>
          <cell r="L277" t="str">
            <v>D1</v>
          </cell>
          <cell r="M277" t="str">
            <v>NH-965DD</v>
          </cell>
          <cell r="O277" t="str">
            <v>A</v>
          </cell>
        </row>
        <row r="278">
          <cell r="C278">
            <v>184487</v>
          </cell>
          <cell r="D278" t="str">
            <v>SAVITA PETROLEUM</v>
          </cell>
          <cell r="E278" t="str">
            <v>BPCL</v>
          </cell>
          <cell r="F278" t="str">
            <v>2014-15</v>
          </cell>
          <cell r="G278" t="str">
            <v>Shirdi RSA</v>
          </cell>
          <cell r="J278" t="str">
            <v>VIRGAON</v>
          </cell>
          <cell r="K278" t="str">
            <v>Ahmednagar</v>
          </cell>
          <cell r="L278" t="str">
            <v>D2</v>
          </cell>
          <cell r="O278" t="str">
            <v>B</v>
          </cell>
        </row>
        <row r="279">
          <cell r="C279">
            <v>184488</v>
          </cell>
          <cell r="D279" t="str">
            <v>SONAI PETROLEUM</v>
          </cell>
          <cell r="E279" t="str">
            <v>BPCL</v>
          </cell>
          <cell r="F279" t="str">
            <v>2014-15</v>
          </cell>
          <cell r="G279" t="str">
            <v>Pune Saswad RSA</v>
          </cell>
          <cell r="J279" t="str">
            <v>Saswad-Jejuri Road</v>
          </cell>
          <cell r="K279" t="str">
            <v>Pune</v>
          </cell>
          <cell r="L279" t="str">
            <v>D1</v>
          </cell>
          <cell r="M279" t="str">
            <v>NH-965</v>
          </cell>
          <cell r="O279" t="str">
            <v>A</v>
          </cell>
        </row>
        <row r="280">
          <cell r="C280">
            <v>184489</v>
          </cell>
          <cell r="D280" t="str">
            <v>SHANKAR PARVATI PETROLEUM</v>
          </cell>
          <cell r="E280" t="str">
            <v>BPCL</v>
          </cell>
          <cell r="F280" t="str">
            <v>2014-15</v>
          </cell>
          <cell r="G280" t="str">
            <v>Ahmednagar East RSA</v>
          </cell>
          <cell r="J280" t="str">
            <v>TAKLIMIYA</v>
          </cell>
          <cell r="K280" t="str">
            <v>Ahmednagar</v>
          </cell>
          <cell r="L280" t="str">
            <v>E</v>
          </cell>
          <cell r="O280" t="str">
            <v>A</v>
          </cell>
        </row>
        <row r="281">
          <cell r="C281">
            <v>185010</v>
          </cell>
          <cell r="D281" t="str">
            <v>SHREE SAI PETROLEUM</v>
          </cell>
          <cell r="E281" t="str">
            <v>BPCL</v>
          </cell>
          <cell r="G281" t="str">
            <v>Pune City RSA</v>
          </cell>
          <cell r="J281" t="str">
            <v>LOHAGAON WAGHOLI ROAD</v>
          </cell>
          <cell r="K281" t="str">
            <v>Pune</v>
          </cell>
          <cell r="L281" t="str">
            <v>A</v>
          </cell>
          <cell r="O281" t="str">
            <v>A</v>
          </cell>
        </row>
        <row r="282">
          <cell r="C282">
            <v>185336</v>
          </cell>
          <cell r="D282" t="str">
            <v>R J FUELS</v>
          </cell>
          <cell r="E282" t="str">
            <v>BPCL</v>
          </cell>
          <cell r="F282" t="str">
            <v>2014-15</v>
          </cell>
          <cell r="G282" t="str">
            <v>Shirdi RSA</v>
          </cell>
          <cell r="J282" t="str">
            <v>SAVLIHIR</v>
          </cell>
          <cell r="K282" t="str">
            <v>Ahmednagar</v>
          </cell>
          <cell r="L282" t="str">
            <v>D1</v>
          </cell>
          <cell r="M282" t="str">
            <v>NH-160</v>
          </cell>
          <cell r="O282" t="str">
            <v>B</v>
          </cell>
        </row>
        <row r="283">
          <cell r="C283">
            <v>185551</v>
          </cell>
          <cell r="D283" t="str">
            <v>LADKAT PETROLEUM</v>
          </cell>
          <cell r="E283" t="str">
            <v>BPCL</v>
          </cell>
          <cell r="F283" t="str">
            <v>2014-15</v>
          </cell>
          <cell r="G283" t="str">
            <v>Ahmednagar West RSA</v>
          </cell>
          <cell r="J283" t="str">
            <v>Pargaon Sudrik</v>
          </cell>
          <cell r="K283" t="str">
            <v>Ahmednagar</v>
          </cell>
          <cell r="L283" t="str">
            <v>D2</v>
          </cell>
          <cell r="O283" t="str">
            <v>B</v>
          </cell>
        </row>
        <row r="284">
          <cell r="C284">
            <v>185997</v>
          </cell>
          <cell r="D284" t="str">
            <v>ARNAV PETROLEUM</v>
          </cell>
          <cell r="E284" t="str">
            <v>BPCL</v>
          </cell>
          <cell r="F284" t="str">
            <v>2014-15</v>
          </cell>
          <cell r="G284" t="str">
            <v>Pune Saswad RSA</v>
          </cell>
          <cell r="J284" t="str">
            <v>WALCHANDNAGAR-BAVDA ROAD</v>
          </cell>
          <cell r="K284" t="str">
            <v>Pune</v>
          </cell>
          <cell r="L284" t="str">
            <v>D2</v>
          </cell>
          <cell r="O284" t="str">
            <v>B</v>
          </cell>
        </row>
        <row r="285">
          <cell r="C285">
            <v>186188</v>
          </cell>
          <cell r="D285" t="str">
            <v>Aaruj Petroleun</v>
          </cell>
          <cell r="E285" t="str">
            <v>BPCL</v>
          </cell>
          <cell r="F285" t="str">
            <v>2014-15</v>
          </cell>
          <cell r="G285" t="str">
            <v>Pune Tathawade RSA</v>
          </cell>
          <cell r="J285" t="str">
            <v>BARAMATI BHIGWAN ROAD</v>
          </cell>
          <cell r="K285" t="str">
            <v>Pune</v>
          </cell>
          <cell r="L285" t="str">
            <v>D2</v>
          </cell>
          <cell r="O285" t="str">
            <v>B</v>
          </cell>
        </row>
        <row r="286">
          <cell r="C286">
            <v>186208</v>
          </cell>
          <cell r="D286" t="str">
            <v>VIJAY PETROLEUM  (ADHOC) Vasudha Petroleum Adhoc</v>
          </cell>
          <cell r="E286" t="str">
            <v>BPCL</v>
          </cell>
          <cell r="G286" t="str">
            <v>Satara East RSA</v>
          </cell>
          <cell r="J286" t="str">
            <v>Waduj</v>
          </cell>
          <cell r="K286" t="str">
            <v>Satara</v>
          </cell>
          <cell r="L286" t="str">
            <v>D2</v>
          </cell>
          <cell r="O286" t="str">
            <v>B</v>
          </cell>
        </row>
        <row r="287">
          <cell r="C287">
            <v>186495</v>
          </cell>
          <cell r="D287" t="str">
            <v>PRAJVAL PETROLEUM</v>
          </cell>
          <cell r="E287" t="str">
            <v>BPCL</v>
          </cell>
          <cell r="F287" t="str">
            <v>2014-15</v>
          </cell>
          <cell r="G287" t="str">
            <v>Ahmednagar East RSA</v>
          </cell>
          <cell r="J287" t="str">
            <v>Bodhegaon</v>
          </cell>
          <cell r="K287" t="str">
            <v>Ahmednagar</v>
          </cell>
          <cell r="L287" t="str">
            <v>D2</v>
          </cell>
          <cell r="O287" t="str">
            <v>B</v>
          </cell>
        </row>
        <row r="288">
          <cell r="C288">
            <v>186679</v>
          </cell>
          <cell r="D288" t="str">
            <v>Balsiddhanath Petroleum</v>
          </cell>
          <cell r="E288" t="str">
            <v>BPCL</v>
          </cell>
          <cell r="F288" t="str">
            <v>2014-15</v>
          </cell>
          <cell r="G288" t="str">
            <v>Satara East RSA</v>
          </cell>
          <cell r="J288" t="str">
            <v>Khandala</v>
          </cell>
          <cell r="K288" t="str">
            <v>Satara</v>
          </cell>
          <cell r="L288" t="str">
            <v>E</v>
          </cell>
          <cell r="O288" t="str">
            <v>B</v>
          </cell>
        </row>
        <row r="289">
          <cell r="C289">
            <v>186741</v>
          </cell>
          <cell r="D289" t="str">
            <v>SHREEDATTA PETROLEUM</v>
          </cell>
          <cell r="E289" t="str">
            <v>BPCL</v>
          </cell>
          <cell r="F289" t="str">
            <v>2014-15</v>
          </cell>
          <cell r="G289" t="str">
            <v>Ahmednagar West RSA</v>
          </cell>
          <cell r="J289" t="str">
            <v>Halgaon</v>
          </cell>
          <cell r="K289" t="str">
            <v>Ahmednagar</v>
          </cell>
          <cell r="L289" t="str">
            <v>E</v>
          </cell>
          <cell r="O289" t="str">
            <v>B</v>
          </cell>
        </row>
        <row r="290">
          <cell r="C290">
            <v>187630</v>
          </cell>
          <cell r="D290" t="str">
            <v>PADMA PETROLEUM</v>
          </cell>
          <cell r="E290" t="str">
            <v>BPCL</v>
          </cell>
          <cell r="F290" t="str">
            <v>2014-15</v>
          </cell>
          <cell r="G290" t="str">
            <v>Pune Saswad RSA</v>
          </cell>
          <cell r="J290" t="str">
            <v>Bhigwan - Baramati Road</v>
          </cell>
          <cell r="K290" t="str">
            <v>Pune</v>
          </cell>
          <cell r="L290" t="str">
            <v>D2</v>
          </cell>
          <cell r="O290" t="str">
            <v>B</v>
          </cell>
        </row>
        <row r="291">
          <cell r="C291">
            <v>187759</v>
          </cell>
          <cell r="D291" t="str">
            <v>YOGESHWAR PETROLEUM</v>
          </cell>
          <cell r="E291" t="str">
            <v>BPCL</v>
          </cell>
          <cell r="F291" t="str">
            <v>2014-15</v>
          </cell>
          <cell r="G291" t="str">
            <v>Ahmednagar East RSA</v>
          </cell>
          <cell r="J291" t="str">
            <v>Amrapur</v>
          </cell>
          <cell r="K291" t="str">
            <v>Ahmednagar</v>
          </cell>
          <cell r="L291" t="str">
            <v>D2</v>
          </cell>
          <cell r="O291" t="str">
            <v>B</v>
          </cell>
        </row>
        <row r="292">
          <cell r="C292">
            <v>187810</v>
          </cell>
          <cell r="D292" t="str">
            <v>Shevantai Petroleum</v>
          </cell>
          <cell r="E292" t="str">
            <v>BPCL</v>
          </cell>
          <cell r="F292" t="str">
            <v>2015-16</v>
          </cell>
          <cell r="G292" t="str">
            <v>Pune Wagholi RSA</v>
          </cell>
          <cell r="J292" t="str">
            <v>Narayangaon</v>
          </cell>
          <cell r="K292" t="str">
            <v>Pune</v>
          </cell>
          <cell r="L292" t="str">
            <v>C</v>
          </cell>
          <cell r="O292" t="str">
            <v>A</v>
          </cell>
        </row>
        <row r="293">
          <cell r="C293">
            <v>187824</v>
          </cell>
          <cell r="D293" t="str">
            <v>J P Divekar &amp; Sons</v>
          </cell>
          <cell r="E293" t="str">
            <v>BPCL</v>
          </cell>
          <cell r="F293" t="str">
            <v>2015-16</v>
          </cell>
          <cell r="G293" t="str">
            <v>Pune Hadapsar RSA</v>
          </cell>
          <cell r="J293" t="str">
            <v>Varvand LHS</v>
          </cell>
          <cell r="K293" t="str">
            <v>Pune</v>
          </cell>
          <cell r="L293" t="str">
            <v>D1</v>
          </cell>
          <cell r="M293" t="str">
            <v>NH-65</v>
          </cell>
          <cell r="O293" t="str">
            <v>A</v>
          </cell>
        </row>
        <row r="294">
          <cell r="C294">
            <v>187826</v>
          </cell>
          <cell r="D294" t="str">
            <v>Babji Petroleum</v>
          </cell>
          <cell r="E294" t="str">
            <v>BPCL</v>
          </cell>
          <cell r="F294" t="str">
            <v>2015-16</v>
          </cell>
          <cell r="G294" t="str">
            <v>Pune City RSA</v>
          </cell>
          <cell r="J294" t="str">
            <v>AMBEGAON/WARJE</v>
          </cell>
          <cell r="K294" t="str">
            <v>Pune</v>
          </cell>
          <cell r="L294" t="str">
            <v>A</v>
          </cell>
          <cell r="O294" t="str">
            <v>A</v>
          </cell>
        </row>
        <row r="295">
          <cell r="C295">
            <v>188080</v>
          </cell>
          <cell r="D295" t="str">
            <v>YUVRAJ PETROLEUM</v>
          </cell>
          <cell r="E295" t="str">
            <v>BPCL</v>
          </cell>
          <cell r="F295" t="str">
            <v>2014-15</v>
          </cell>
          <cell r="G295" t="str">
            <v>Ahmednagar West RSA</v>
          </cell>
          <cell r="J295" t="str">
            <v>MAHI JALGAON-NH</v>
          </cell>
          <cell r="K295" t="str">
            <v>Ahmednagar</v>
          </cell>
          <cell r="L295" t="str">
            <v>D2</v>
          </cell>
          <cell r="O295" t="str">
            <v>B</v>
          </cell>
        </row>
        <row r="296">
          <cell r="C296">
            <v>188201</v>
          </cell>
          <cell r="D296" t="str">
            <v>PREMSHREE PETROLEUM</v>
          </cell>
          <cell r="E296" t="str">
            <v>BPCL</v>
          </cell>
          <cell r="F296" t="str">
            <v>2014-15</v>
          </cell>
          <cell r="G296" t="str">
            <v>Ahmednagar West RSA</v>
          </cell>
          <cell r="J296" t="str">
            <v>PATHARDI-SH</v>
          </cell>
          <cell r="K296" t="str">
            <v>Ahmednagar</v>
          </cell>
          <cell r="L296" t="str">
            <v>D2</v>
          </cell>
          <cell r="O296" t="str">
            <v>A</v>
          </cell>
        </row>
        <row r="297">
          <cell r="C297">
            <v>188243</v>
          </cell>
          <cell r="D297" t="str">
            <v>SIDDHESHWAR PETROLEUM</v>
          </cell>
          <cell r="E297" t="str">
            <v>BPCL</v>
          </cell>
          <cell r="F297" t="str">
            <v>2015-16</v>
          </cell>
          <cell r="G297" t="str">
            <v>Ahmednagar West RSA</v>
          </cell>
          <cell r="J297" t="str">
            <v>MIRAJGAON-SH</v>
          </cell>
          <cell r="K297" t="str">
            <v>Ahmednagar</v>
          </cell>
          <cell r="L297" t="str">
            <v>D2</v>
          </cell>
          <cell r="O297" t="str">
            <v>B</v>
          </cell>
        </row>
        <row r="298">
          <cell r="C298">
            <v>188446</v>
          </cell>
          <cell r="D298" t="str">
            <v>SUJAY PETROLEUM</v>
          </cell>
          <cell r="E298" t="str">
            <v>BPCL</v>
          </cell>
          <cell r="F298" t="str">
            <v>2014-15</v>
          </cell>
          <cell r="G298" t="str">
            <v>Shirdi RSA</v>
          </cell>
          <cell r="J298" t="str">
            <v>SANGAMNER - GOLIBAR</v>
          </cell>
          <cell r="K298" t="str">
            <v>Ahmednagar</v>
          </cell>
          <cell r="L298" t="str">
            <v>C</v>
          </cell>
          <cell r="O298" t="str">
            <v>B</v>
          </cell>
        </row>
        <row r="299">
          <cell r="C299">
            <v>188568</v>
          </cell>
          <cell r="D299" t="str">
            <v>RAJ ENTERPRISES</v>
          </cell>
          <cell r="E299" t="str">
            <v>BPCL</v>
          </cell>
          <cell r="F299" t="str">
            <v>2014-15</v>
          </cell>
          <cell r="G299" t="str">
            <v>Shirdi RSA</v>
          </cell>
          <cell r="J299" t="str">
            <v>BHAIRAVNATH NAGAR</v>
          </cell>
          <cell r="K299" t="str">
            <v>Ahmednagar</v>
          </cell>
          <cell r="L299" t="str">
            <v>D2</v>
          </cell>
          <cell r="O299" t="str">
            <v>A</v>
          </cell>
        </row>
        <row r="300">
          <cell r="C300">
            <v>188855</v>
          </cell>
          <cell r="D300" t="str">
            <v>VARAD PETROLEUM</v>
          </cell>
          <cell r="E300" t="str">
            <v>BPCL</v>
          </cell>
          <cell r="F300" t="str">
            <v>2015-16</v>
          </cell>
          <cell r="G300" t="str">
            <v>Pune Wagholi RSA</v>
          </cell>
          <cell r="J300" t="str">
            <v>Koregaon Bhima to Shikrapur LHS</v>
          </cell>
          <cell r="K300" t="str">
            <v>Pune</v>
          </cell>
          <cell r="L300" t="str">
            <v>D1</v>
          </cell>
          <cell r="M300" t="str">
            <v>NH-753F</v>
          </cell>
          <cell r="O300" t="str">
            <v>A</v>
          </cell>
        </row>
        <row r="301">
          <cell r="C301">
            <v>188859</v>
          </cell>
          <cell r="D301" t="str">
            <v>Kedarnath Petroleum</v>
          </cell>
          <cell r="E301" t="str">
            <v>BPCL</v>
          </cell>
          <cell r="F301" t="str">
            <v>2015-16</v>
          </cell>
          <cell r="G301" t="str">
            <v>Satara West RSA</v>
          </cell>
          <cell r="J301" t="str">
            <v>KARAD ON NH 48 RHS</v>
          </cell>
          <cell r="K301" t="str">
            <v>Satara</v>
          </cell>
          <cell r="L301" t="str">
            <v>D1</v>
          </cell>
          <cell r="M301" t="str">
            <v>NH-48</v>
          </cell>
          <cell r="O301" t="str">
            <v>A</v>
          </cell>
        </row>
        <row r="302">
          <cell r="C302">
            <v>189606</v>
          </cell>
          <cell r="D302" t="str">
            <v>Shitole Petroleum</v>
          </cell>
          <cell r="E302" t="str">
            <v>BPCL</v>
          </cell>
          <cell r="F302" t="str">
            <v>2015-16</v>
          </cell>
          <cell r="G302" t="str">
            <v>Pune City RSA</v>
          </cell>
          <cell r="J302" t="str">
            <v>SANGAVI</v>
          </cell>
          <cell r="K302" t="str">
            <v>Pune</v>
          </cell>
          <cell r="L302" t="str">
            <v>A</v>
          </cell>
          <cell r="O302" t="str">
            <v>A</v>
          </cell>
        </row>
        <row r="303">
          <cell r="C303">
            <v>190129</v>
          </cell>
          <cell r="D303" t="str">
            <v>K. B. Petroleum</v>
          </cell>
          <cell r="E303" t="str">
            <v>BPCL</v>
          </cell>
          <cell r="F303" t="str">
            <v>2015-16</v>
          </cell>
          <cell r="G303" t="str">
            <v>Pune City RSA</v>
          </cell>
          <cell r="J303" t="str">
            <v>HINJEWADI</v>
          </cell>
          <cell r="K303" t="str">
            <v>Pune</v>
          </cell>
          <cell r="L303" t="str">
            <v>A</v>
          </cell>
          <cell r="O303" t="str">
            <v>B</v>
          </cell>
        </row>
        <row r="304">
          <cell r="C304">
            <v>190152</v>
          </cell>
          <cell r="D304" t="str">
            <v>Radhey Petroleum</v>
          </cell>
          <cell r="E304" t="str">
            <v>BPCL</v>
          </cell>
          <cell r="F304" t="str">
            <v>2015-16</v>
          </cell>
          <cell r="G304" t="str">
            <v>Satara West RSA</v>
          </cell>
          <cell r="J304" t="str">
            <v>Wadhe to Shivthar</v>
          </cell>
          <cell r="K304" t="str">
            <v>Satara</v>
          </cell>
          <cell r="L304" t="str">
            <v>D1</v>
          </cell>
          <cell r="M304" t="str">
            <v>NH-965D</v>
          </cell>
          <cell r="O304" t="str">
            <v>B</v>
          </cell>
        </row>
        <row r="305">
          <cell r="C305">
            <v>190309</v>
          </cell>
          <cell r="D305" t="str">
            <v>ARYAN PETROLEUM</v>
          </cell>
          <cell r="E305" t="str">
            <v>BPCL</v>
          </cell>
          <cell r="F305" t="str">
            <v>2015-16</v>
          </cell>
          <cell r="G305" t="str">
            <v>Pune City RSA</v>
          </cell>
          <cell r="J305" t="str">
            <v>PAUD ROAD</v>
          </cell>
          <cell r="K305" t="str">
            <v>Pune</v>
          </cell>
          <cell r="L305" t="str">
            <v>D1</v>
          </cell>
          <cell r="M305" t="str">
            <v>NH-753F</v>
          </cell>
          <cell r="O305" t="str">
            <v>A</v>
          </cell>
        </row>
        <row r="306">
          <cell r="C306">
            <v>190526</v>
          </cell>
          <cell r="D306" t="str">
            <v>Raghunandan Petroleum</v>
          </cell>
          <cell r="E306" t="str">
            <v>BPCL</v>
          </cell>
          <cell r="F306" t="str">
            <v>2015-16</v>
          </cell>
          <cell r="G306" t="str">
            <v>Pune City RSA</v>
          </cell>
          <cell r="J306" t="str">
            <v>Thergaon</v>
          </cell>
          <cell r="K306" t="str">
            <v>Pune</v>
          </cell>
          <cell r="L306" t="str">
            <v>A</v>
          </cell>
          <cell r="O306" t="str">
            <v>B</v>
          </cell>
        </row>
        <row r="307">
          <cell r="C307">
            <v>190805</v>
          </cell>
          <cell r="D307" t="str">
            <v>Sathe Patil Petroleum</v>
          </cell>
          <cell r="E307" t="str">
            <v>BPCL</v>
          </cell>
          <cell r="F307" t="str">
            <v>2015-16</v>
          </cell>
          <cell r="G307" t="str">
            <v>Pune City RSA</v>
          </cell>
          <cell r="J307" t="str">
            <v>WAKAD</v>
          </cell>
          <cell r="K307" t="str">
            <v>Pune</v>
          </cell>
          <cell r="L307" t="str">
            <v>A</v>
          </cell>
          <cell r="O307" t="str">
            <v>B</v>
          </cell>
        </row>
        <row r="308">
          <cell r="C308">
            <v>191641</v>
          </cell>
          <cell r="D308" t="str">
            <v>BABA PETROLEUM</v>
          </cell>
          <cell r="E308" t="str">
            <v>BPCL</v>
          </cell>
          <cell r="F308" t="str">
            <v>2015-16</v>
          </cell>
          <cell r="G308" t="str">
            <v>Ahmednagar East RSA</v>
          </cell>
          <cell r="J308" t="str">
            <v>Dhangarwadi</v>
          </cell>
          <cell r="K308" t="str">
            <v>Ahmednagar</v>
          </cell>
          <cell r="L308" t="str">
            <v>D1</v>
          </cell>
          <cell r="M308" t="str">
            <v>NH-753F</v>
          </cell>
          <cell r="O308" t="str">
            <v>B</v>
          </cell>
        </row>
        <row r="309">
          <cell r="C309">
            <v>191642</v>
          </cell>
          <cell r="D309" t="str">
            <v>ANJALI PETROLEUM</v>
          </cell>
          <cell r="E309" t="str">
            <v>BPCL</v>
          </cell>
          <cell r="F309" t="str">
            <v>2015-16</v>
          </cell>
          <cell r="G309" t="str">
            <v>Ahmednagar West RSA</v>
          </cell>
          <cell r="J309" t="str">
            <v>Mahi Jalgaon</v>
          </cell>
          <cell r="K309" t="str">
            <v>Ahmednagar</v>
          </cell>
          <cell r="L309" t="str">
            <v>D2</v>
          </cell>
          <cell r="O309" t="str">
            <v>A</v>
          </cell>
        </row>
        <row r="310">
          <cell r="C310">
            <v>191643</v>
          </cell>
          <cell r="D310" t="str">
            <v>Himalaya Petroleum</v>
          </cell>
          <cell r="E310" t="str">
            <v>BPCL</v>
          </cell>
          <cell r="F310" t="str">
            <v>2015-16</v>
          </cell>
          <cell r="G310" t="str">
            <v>Ahmednagar West RSA</v>
          </cell>
          <cell r="J310" t="str">
            <v>JAMKHED-NAGAR RD</v>
          </cell>
          <cell r="K310" t="str">
            <v>Ahmednagar</v>
          </cell>
          <cell r="L310" t="str">
            <v>D2</v>
          </cell>
          <cell r="O310" t="str">
            <v>B</v>
          </cell>
        </row>
        <row r="311">
          <cell r="C311">
            <v>191644</v>
          </cell>
          <cell r="D311" t="str">
            <v>Chandrabhaga Petroleum</v>
          </cell>
          <cell r="E311" t="str">
            <v>BPCL</v>
          </cell>
          <cell r="F311" t="str">
            <v>2015-16</v>
          </cell>
          <cell r="G311" t="str">
            <v>Ahmednagar West RSA</v>
          </cell>
          <cell r="J311" t="str">
            <v>Khed</v>
          </cell>
          <cell r="K311" t="str">
            <v>Ahmednagar</v>
          </cell>
          <cell r="L311" t="str">
            <v>D2</v>
          </cell>
          <cell r="O311" t="str">
            <v>B</v>
          </cell>
        </row>
        <row r="312">
          <cell r="C312">
            <v>191876</v>
          </cell>
          <cell r="D312" t="str">
            <v>Shalini Petroleum(OTUR-Hutatma Rajguru)Closed RO</v>
          </cell>
          <cell r="E312" t="str">
            <v>BPCL</v>
          </cell>
          <cell r="G312" t="str">
            <v>Pune Wagholi RSA</v>
          </cell>
          <cell r="J312" t="str">
            <v>Alephata to Ottur</v>
          </cell>
          <cell r="K312" t="str">
            <v>Pune</v>
          </cell>
          <cell r="L312" t="str">
            <v>D1</v>
          </cell>
          <cell r="M312" t="str">
            <v>NH-61</v>
          </cell>
          <cell r="O312" t="str">
            <v>A</v>
          </cell>
        </row>
        <row r="313">
          <cell r="C313">
            <v>192077</v>
          </cell>
          <cell r="D313" t="str">
            <v>RISHA PETROLEUM</v>
          </cell>
          <cell r="E313" t="str">
            <v>BPCL</v>
          </cell>
          <cell r="F313" t="str">
            <v>2015-16</v>
          </cell>
          <cell r="G313" t="str">
            <v>Pune City RSA</v>
          </cell>
          <cell r="J313" t="str">
            <v>TAMHINI</v>
          </cell>
          <cell r="K313" t="str">
            <v>Pune</v>
          </cell>
          <cell r="L313" t="str">
            <v>D1</v>
          </cell>
          <cell r="M313" t="str">
            <v>NH-753F</v>
          </cell>
          <cell r="O313" t="str">
            <v>A</v>
          </cell>
        </row>
        <row r="314">
          <cell r="C314">
            <v>192178</v>
          </cell>
          <cell r="D314" t="str">
            <v>SHINDE PETROLEUM</v>
          </cell>
          <cell r="E314" t="str">
            <v>BPCL</v>
          </cell>
          <cell r="F314" t="str">
            <v>2015-16</v>
          </cell>
          <cell r="G314" t="str">
            <v>Satara West RSA</v>
          </cell>
          <cell r="J314" t="str">
            <v>Karad City</v>
          </cell>
          <cell r="K314" t="str">
            <v>Satara</v>
          </cell>
          <cell r="L314" t="str">
            <v>C</v>
          </cell>
          <cell r="O314" t="str">
            <v>B</v>
          </cell>
        </row>
        <row r="315">
          <cell r="C315">
            <v>192197</v>
          </cell>
          <cell r="D315" t="str">
            <v>SAI PRASAD PETROLEUM</v>
          </cell>
          <cell r="E315" t="str">
            <v>BPCL</v>
          </cell>
          <cell r="F315" t="str">
            <v>2015-16</v>
          </cell>
          <cell r="G315" t="str">
            <v>Shirdi RSA</v>
          </cell>
          <cell r="J315" t="str">
            <v>PUNTAMBA PHATA</v>
          </cell>
          <cell r="K315" t="str">
            <v>Ahmednagar</v>
          </cell>
          <cell r="L315" t="str">
            <v>D1</v>
          </cell>
          <cell r="M315" t="str">
            <v>NH-752G</v>
          </cell>
          <cell r="O315" t="str">
            <v>B</v>
          </cell>
        </row>
        <row r="316">
          <cell r="C316">
            <v>192198</v>
          </cell>
          <cell r="D316" t="str">
            <v>SARTHAK PETROLEUM</v>
          </cell>
          <cell r="E316" t="str">
            <v>BPCL</v>
          </cell>
          <cell r="F316" t="str">
            <v>2015-16</v>
          </cell>
          <cell r="G316" t="str">
            <v>Shirdi RSA</v>
          </cell>
          <cell r="J316" t="str">
            <v>LONI PRAVARA NH</v>
          </cell>
          <cell r="K316" t="str">
            <v>Ahmednagar</v>
          </cell>
          <cell r="L316" t="str">
            <v>D1</v>
          </cell>
          <cell r="M316" t="str">
            <v>NH-160D</v>
          </cell>
          <cell r="O316" t="str">
            <v>B</v>
          </cell>
        </row>
        <row r="317">
          <cell r="C317">
            <v>192554</v>
          </cell>
          <cell r="D317" t="str">
            <v>SATYABHAMA PETROLEUM</v>
          </cell>
          <cell r="E317" t="str">
            <v>BPCL</v>
          </cell>
          <cell r="F317" t="str">
            <v>2015-16</v>
          </cell>
          <cell r="G317" t="str">
            <v>Ahmednagar West RSA</v>
          </cell>
          <cell r="J317" t="str">
            <v>PATHARDI-NH</v>
          </cell>
          <cell r="K317" t="str">
            <v>Ahmednagar</v>
          </cell>
          <cell r="L317" t="str">
            <v>D1</v>
          </cell>
          <cell r="M317" t="str">
            <v>NH-61</v>
          </cell>
          <cell r="O317" t="str">
            <v>A</v>
          </cell>
        </row>
        <row r="318">
          <cell r="C318">
            <v>192571</v>
          </cell>
          <cell r="D318" t="str">
            <v>S G ABHANG PETROLEUM</v>
          </cell>
          <cell r="E318" t="str">
            <v>BPCL</v>
          </cell>
          <cell r="F318" t="str">
            <v>2015-16</v>
          </cell>
          <cell r="G318" t="str">
            <v>Shirdi RSA</v>
          </cell>
          <cell r="J318" t="str">
            <v>SANGAMNER - GOLIBAR</v>
          </cell>
          <cell r="K318" t="str">
            <v>Ahmednagar</v>
          </cell>
          <cell r="L318" t="str">
            <v>C</v>
          </cell>
          <cell r="O318" t="str">
            <v>A</v>
          </cell>
        </row>
        <row r="319">
          <cell r="C319">
            <v>193712</v>
          </cell>
          <cell r="D319" t="str">
            <v>Ramchandra Petroleum</v>
          </cell>
          <cell r="E319" t="str">
            <v>BPCL</v>
          </cell>
          <cell r="F319" t="str">
            <v>2016-17</v>
          </cell>
          <cell r="G319" t="str">
            <v>Ahmednagar East RSA</v>
          </cell>
          <cell r="J319" t="str">
            <v>Antarwali Kh</v>
          </cell>
          <cell r="K319" t="str">
            <v>Ahmednagar</v>
          </cell>
          <cell r="L319" t="str">
            <v>E</v>
          </cell>
          <cell r="O319" t="str">
            <v>B</v>
          </cell>
        </row>
        <row r="320">
          <cell r="C320">
            <v>193739</v>
          </cell>
          <cell r="D320" t="str">
            <v>PRIYANVADA PETROLEUM</v>
          </cell>
          <cell r="E320" t="str">
            <v>BPCL</v>
          </cell>
          <cell r="F320" t="str">
            <v>2016-17</v>
          </cell>
          <cell r="G320" t="str">
            <v>Ahmednagar East RSA</v>
          </cell>
          <cell r="J320" t="str">
            <v>Akolner</v>
          </cell>
          <cell r="K320" t="str">
            <v>Ahmednagar</v>
          </cell>
          <cell r="L320" t="str">
            <v>E</v>
          </cell>
          <cell r="O320" t="str">
            <v>B</v>
          </cell>
        </row>
        <row r="321">
          <cell r="C321">
            <v>193916</v>
          </cell>
          <cell r="D321" t="str">
            <v>SAIKRUSHNA PETROLEUM</v>
          </cell>
          <cell r="E321" t="str">
            <v>BPCL</v>
          </cell>
          <cell r="F321" t="str">
            <v>2016-17</v>
          </cell>
          <cell r="G321" t="str">
            <v>Shirdi RSA</v>
          </cell>
          <cell r="J321" t="str">
            <v>SHIRDI PIMPALWADI SH</v>
          </cell>
          <cell r="K321" t="str">
            <v>Ahmednagar</v>
          </cell>
          <cell r="L321" t="str">
            <v>D2</v>
          </cell>
          <cell r="O321" t="str">
            <v>B</v>
          </cell>
        </row>
        <row r="322">
          <cell r="C322">
            <v>194549</v>
          </cell>
          <cell r="D322" t="str">
            <v>Abnave Petroleum</v>
          </cell>
          <cell r="E322" t="str">
            <v>BPCL</v>
          </cell>
          <cell r="F322" t="str">
            <v>2016-17</v>
          </cell>
          <cell r="G322" t="str">
            <v>Pune Wagholi RSA</v>
          </cell>
          <cell r="J322" t="str">
            <v>LONIKAND SH</v>
          </cell>
          <cell r="K322" t="str">
            <v>Pune</v>
          </cell>
          <cell r="L322" t="str">
            <v>D2</v>
          </cell>
          <cell r="O322" t="str">
            <v>A</v>
          </cell>
        </row>
        <row r="323">
          <cell r="C323">
            <v>194626</v>
          </cell>
          <cell r="D323" t="str">
            <v>SAHAKARMAHARSHI BHAUSAHEB THORAT SAHAKARI SAKHAR KARKHANA LTD.</v>
          </cell>
          <cell r="E323" t="str">
            <v>BPCL</v>
          </cell>
          <cell r="G323" t="str">
            <v>Shirdi RSA</v>
          </cell>
          <cell r="J323" t="str">
            <v>SANGAMNER - GOLIBAR</v>
          </cell>
          <cell r="K323" t="str">
            <v>Ahmednagar</v>
          </cell>
          <cell r="L323" t="str">
            <v>C</v>
          </cell>
          <cell r="O323" t="str">
            <v>A</v>
          </cell>
        </row>
        <row r="324">
          <cell r="C324">
            <v>194808</v>
          </cell>
          <cell r="D324" t="str">
            <v xml:space="preserve">Ashtavinayak Petro </v>
          </cell>
          <cell r="E324" t="str">
            <v>BPCL</v>
          </cell>
          <cell r="F324" t="str">
            <v>2017-18</v>
          </cell>
          <cell r="G324" t="str">
            <v>Pune Wagholi RSA</v>
          </cell>
          <cell r="J324" t="str">
            <v>Narayangaon to Alephata LHS</v>
          </cell>
          <cell r="K324" t="str">
            <v>Pune</v>
          </cell>
          <cell r="L324" t="str">
            <v>D1</v>
          </cell>
          <cell r="M324" t="str">
            <v>NH-60</v>
          </cell>
          <cell r="O324" t="str">
            <v>A</v>
          </cell>
        </row>
        <row r="325">
          <cell r="C325">
            <v>195779</v>
          </cell>
          <cell r="D325" t="str">
            <v>Khandeshwar Petroleum</v>
          </cell>
          <cell r="E325" t="str">
            <v>BPCL</v>
          </cell>
          <cell r="F325" t="str">
            <v>2017-18</v>
          </cell>
          <cell r="G325" t="str">
            <v>Ahmednagar West RSA</v>
          </cell>
          <cell r="J325" t="str">
            <v>ALKUTI</v>
          </cell>
          <cell r="K325" t="str">
            <v>Ahmednagar</v>
          </cell>
          <cell r="L325" t="str">
            <v>D2</v>
          </cell>
          <cell r="O325" t="str">
            <v>A</v>
          </cell>
        </row>
        <row r="326">
          <cell r="C326">
            <v>195782</v>
          </cell>
          <cell r="D326" t="str">
            <v>R J PETROELUM</v>
          </cell>
          <cell r="E326" t="str">
            <v>BPCL</v>
          </cell>
          <cell r="F326" t="str">
            <v>2017-18</v>
          </cell>
          <cell r="G326" t="str">
            <v>Ahmednagar West RSA</v>
          </cell>
          <cell r="J326" t="str">
            <v>KOLGAON</v>
          </cell>
          <cell r="K326" t="str">
            <v>Ahmednagar</v>
          </cell>
          <cell r="L326" t="str">
            <v>D1</v>
          </cell>
          <cell r="M326" t="str">
            <v>NH-160</v>
          </cell>
          <cell r="O326" t="str">
            <v>B</v>
          </cell>
        </row>
        <row r="327">
          <cell r="C327">
            <v>196018</v>
          </cell>
          <cell r="D327" t="str">
            <v>SANT KRUPA PETROLEUM</v>
          </cell>
          <cell r="E327" t="str">
            <v>BPCL</v>
          </cell>
          <cell r="F327" t="str">
            <v>2016-17</v>
          </cell>
          <cell r="G327" t="str">
            <v>Ahmednagar West RSA</v>
          </cell>
          <cell r="J327" t="str">
            <v>Kasar Pimpalgaon</v>
          </cell>
          <cell r="K327" t="str">
            <v>Ahmednagar</v>
          </cell>
          <cell r="L327" t="str">
            <v>D2</v>
          </cell>
          <cell r="O327" t="str">
            <v>A</v>
          </cell>
        </row>
        <row r="328">
          <cell r="C328">
            <v>196113</v>
          </cell>
          <cell r="D328" t="str">
            <v>SHRI SAMARATH PETROLEUM</v>
          </cell>
          <cell r="E328" t="str">
            <v>BPCL</v>
          </cell>
          <cell r="F328" t="str">
            <v>2017-18</v>
          </cell>
          <cell r="G328" t="str">
            <v>Pune City RSA</v>
          </cell>
          <cell r="J328" t="str">
            <v>Dhanori</v>
          </cell>
          <cell r="K328" t="str">
            <v>Pune</v>
          </cell>
          <cell r="L328" t="str">
            <v>A</v>
          </cell>
          <cell r="O328" t="str">
            <v>A</v>
          </cell>
        </row>
        <row r="329">
          <cell r="C329">
            <v>196186</v>
          </cell>
          <cell r="D329" t="str">
            <v>JIJAMATA PETROLEUM</v>
          </cell>
          <cell r="E329" t="str">
            <v>BPCL</v>
          </cell>
          <cell r="F329" t="str">
            <v>2017-18</v>
          </cell>
          <cell r="G329" t="str">
            <v>Pune Saswad RSA</v>
          </cell>
          <cell r="J329" t="str">
            <v>BAVDA</v>
          </cell>
          <cell r="K329" t="str">
            <v>Pune</v>
          </cell>
          <cell r="L329" t="str">
            <v>D1</v>
          </cell>
          <cell r="M329" t="str">
            <v>NH-965G</v>
          </cell>
          <cell r="O329" t="str">
            <v>A</v>
          </cell>
        </row>
        <row r="330">
          <cell r="C330">
            <v>196483</v>
          </cell>
          <cell r="D330" t="str">
            <v>Venkata Oil Hubs</v>
          </cell>
          <cell r="E330" t="str">
            <v>BPCL</v>
          </cell>
          <cell r="F330" t="str">
            <v>2017-18</v>
          </cell>
          <cell r="G330" t="str">
            <v>Shirdi RSA</v>
          </cell>
          <cell r="J330" t="str">
            <v>RAHURI FACTORY RHS</v>
          </cell>
          <cell r="K330" t="str">
            <v>Ahmednagar</v>
          </cell>
          <cell r="L330" t="str">
            <v>D1</v>
          </cell>
          <cell r="M330" t="str">
            <v>NH-160</v>
          </cell>
          <cell r="O330" t="str">
            <v>A</v>
          </cell>
        </row>
        <row r="331">
          <cell r="C331">
            <v>196740</v>
          </cell>
          <cell r="D331" t="str">
            <v>SAIKRUPA SERVICES</v>
          </cell>
          <cell r="E331" t="str">
            <v>BPCL</v>
          </cell>
          <cell r="F331" t="str">
            <v>2017-18</v>
          </cell>
          <cell r="G331" t="str">
            <v>Pune City RSA</v>
          </cell>
          <cell r="J331" t="str">
            <v>RAVET</v>
          </cell>
          <cell r="K331" t="str">
            <v>Pune</v>
          </cell>
          <cell r="L331" t="str">
            <v>A</v>
          </cell>
          <cell r="O331" t="str">
            <v>B</v>
          </cell>
        </row>
        <row r="332">
          <cell r="C332">
            <v>197028</v>
          </cell>
          <cell r="D332" t="str">
            <v>Rahi Petroleum</v>
          </cell>
          <cell r="E332" t="str">
            <v>BPCL</v>
          </cell>
          <cell r="F332" t="str">
            <v>2017-18</v>
          </cell>
          <cell r="G332" t="str">
            <v>Pimpri Chinchwad RSA</v>
          </cell>
          <cell r="J332" t="str">
            <v>ALANDI MARKAL ROAD</v>
          </cell>
          <cell r="K332" t="str">
            <v>Pune</v>
          </cell>
          <cell r="L332" t="str">
            <v>D2</v>
          </cell>
          <cell r="O332" t="str">
            <v>B</v>
          </cell>
        </row>
        <row r="333">
          <cell r="C333">
            <v>197400</v>
          </cell>
          <cell r="D333" t="str">
            <v>B J Salunke Petroleum</v>
          </cell>
          <cell r="E333" t="str">
            <v>BPCL</v>
          </cell>
          <cell r="F333" t="str">
            <v>2017-18</v>
          </cell>
          <cell r="G333" t="str">
            <v>Shirdi RSA</v>
          </cell>
          <cell r="J333" t="str">
            <v>PUNTAMBA</v>
          </cell>
          <cell r="K333" t="str">
            <v>Ahmednagar</v>
          </cell>
          <cell r="L333" t="str">
            <v>E</v>
          </cell>
          <cell r="O333" t="str">
            <v>B</v>
          </cell>
        </row>
        <row r="334">
          <cell r="C334">
            <v>197520</v>
          </cell>
          <cell r="D334" t="str">
            <v>M S SHINDE PETROLEUM</v>
          </cell>
          <cell r="E334" t="str">
            <v>BPCL</v>
          </cell>
          <cell r="F334" t="str">
            <v>2019-20</v>
          </cell>
          <cell r="G334" t="str">
            <v>Pune Wagholi RSA</v>
          </cell>
          <cell r="J334" t="str">
            <v>Manchar bypass LHS</v>
          </cell>
          <cell r="K334" t="str">
            <v>Pune</v>
          </cell>
          <cell r="L334" t="str">
            <v>D1</v>
          </cell>
          <cell r="M334" t="str">
            <v>NH-60</v>
          </cell>
          <cell r="O334" t="str">
            <v>A</v>
          </cell>
        </row>
        <row r="335">
          <cell r="C335">
            <v>198755</v>
          </cell>
          <cell r="D335" t="str">
            <v>Bhagat Petroleum</v>
          </cell>
          <cell r="E335" t="str">
            <v>BPCL</v>
          </cell>
          <cell r="F335" t="str">
            <v>2017-18</v>
          </cell>
          <cell r="G335" t="str">
            <v>Pune Tathawade RSA</v>
          </cell>
          <cell r="J335" t="str">
            <v>BARAMATI BHIGWAN ROAD</v>
          </cell>
          <cell r="K335" t="str">
            <v>Pune</v>
          </cell>
          <cell r="L335" t="str">
            <v>D2</v>
          </cell>
          <cell r="O335" t="str">
            <v>A</v>
          </cell>
        </row>
        <row r="336">
          <cell r="C336">
            <v>198816</v>
          </cell>
          <cell r="D336" t="str">
            <v>Shashikala Petroleum</v>
          </cell>
          <cell r="E336" t="str">
            <v>BPCL</v>
          </cell>
          <cell r="F336" t="str">
            <v>2017-18</v>
          </cell>
          <cell r="G336" t="str">
            <v>Shirdi RSA</v>
          </cell>
          <cell r="J336" t="str">
            <v>LAKH</v>
          </cell>
          <cell r="K336" t="str">
            <v>Ahmednagar</v>
          </cell>
          <cell r="L336" t="str">
            <v>E</v>
          </cell>
          <cell r="O336" t="str">
            <v>B</v>
          </cell>
        </row>
        <row r="337">
          <cell r="C337">
            <v>198904</v>
          </cell>
          <cell r="D337" t="str">
            <v>SHRAVANI PETROLEUM</v>
          </cell>
          <cell r="E337" t="str">
            <v>BPCL</v>
          </cell>
          <cell r="G337" t="str">
            <v>Satara West RSA</v>
          </cell>
          <cell r="J337" t="str">
            <v>Khandala to Shirwal</v>
          </cell>
          <cell r="K337" t="str">
            <v>Satara</v>
          </cell>
          <cell r="L337" t="str">
            <v>D1</v>
          </cell>
          <cell r="M337" t="str">
            <v>NH-48</v>
          </cell>
          <cell r="O337" t="str">
            <v>A</v>
          </cell>
        </row>
        <row r="338">
          <cell r="C338">
            <v>198982</v>
          </cell>
          <cell r="D338" t="str">
            <v>KETAN PETROLEUM</v>
          </cell>
          <cell r="E338" t="str">
            <v>BPCL</v>
          </cell>
          <cell r="G338" t="str">
            <v>Ahmednagar West RSA</v>
          </cell>
          <cell r="J338" t="str">
            <v>Ruichattisi</v>
          </cell>
          <cell r="K338" t="str">
            <v>Ahmednagar</v>
          </cell>
          <cell r="L338" t="str">
            <v>D1</v>
          </cell>
          <cell r="M338" t="str">
            <v>NH-561A</v>
          </cell>
          <cell r="O338" t="str">
            <v>A</v>
          </cell>
        </row>
        <row r="339">
          <cell r="C339">
            <v>199460</v>
          </cell>
          <cell r="D339" t="str">
            <v>Tanhai Petroleum</v>
          </cell>
          <cell r="E339" t="str">
            <v>BPCL</v>
          </cell>
          <cell r="F339" t="str">
            <v>2017-18</v>
          </cell>
          <cell r="G339" t="str">
            <v>Ahmednagar West RSA</v>
          </cell>
          <cell r="J339" t="str">
            <v>Manikdaundi</v>
          </cell>
          <cell r="K339" t="str">
            <v>Ahmednagar</v>
          </cell>
          <cell r="L339" t="str">
            <v>E</v>
          </cell>
          <cell r="O339" t="str">
            <v>B</v>
          </cell>
        </row>
        <row r="340">
          <cell r="C340">
            <v>199616</v>
          </cell>
          <cell r="D340" t="str">
            <v>Sathe Petroleum</v>
          </cell>
          <cell r="E340" t="str">
            <v>BPCL</v>
          </cell>
          <cell r="F340" t="str">
            <v>2017-18</v>
          </cell>
          <cell r="G340" t="str">
            <v>Pune City RSA</v>
          </cell>
          <cell r="J340" t="str">
            <v>LOHAGAON URBAN</v>
          </cell>
          <cell r="K340" t="str">
            <v>Pune</v>
          </cell>
          <cell r="L340" t="str">
            <v>A</v>
          </cell>
          <cell r="O340" t="str">
            <v>A</v>
          </cell>
        </row>
        <row r="341">
          <cell r="C341">
            <v>200119</v>
          </cell>
          <cell r="D341" t="str">
            <v>Om Sai Petroleum</v>
          </cell>
          <cell r="E341" t="str">
            <v>BPCL</v>
          </cell>
          <cell r="F341" t="str">
            <v>2017-18</v>
          </cell>
          <cell r="G341" t="str">
            <v>Pune Wagholi RSA</v>
          </cell>
          <cell r="J341" t="str">
            <v>Ane</v>
          </cell>
          <cell r="K341" t="str">
            <v>Pune</v>
          </cell>
          <cell r="L341" t="str">
            <v>D1</v>
          </cell>
          <cell r="M341" t="str">
            <v>NH-61</v>
          </cell>
          <cell r="O341" t="str">
            <v>B</v>
          </cell>
        </row>
        <row r="342">
          <cell r="C342">
            <v>200581</v>
          </cell>
          <cell r="D342" t="str">
            <v>Shree Moraya Petroleum</v>
          </cell>
          <cell r="E342" t="str">
            <v>BPCL</v>
          </cell>
          <cell r="F342" t="str">
            <v>2017-18</v>
          </cell>
          <cell r="G342" t="str">
            <v>Pune Hadapsar RSA</v>
          </cell>
          <cell r="J342" t="str">
            <v>Patas-Kangaon Road</v>
          </cell>
          <cell r="K342" t="str">
            <v>Pune</v>
          </cell>
          <cell r="L342" t="str">
            <v>E</v>
          </cell>
          <cell r="O342" t="str">
            <v>A</v>
          </cell>
        </row>
        <row r="343">
          <cell r="C343">
            <v>200715</v>
          </cell>
          <cell r="D343" t="str">
            <v>Vikas Petroleum</v>
          </cell>
          <cell r="E343" t="str">
            <v>BPCL</v>
          </cell>
          <cell r="F343" t="str">
            <v>2017-18</v>
          </cell>
          <cell r="G343" t="str">
            <v>Satara East RSA</v>
          </cell>
          <cell r="J343" t="str">
            <v>Ambheri</v>
          </cell>
          <cell r="K343" t="str">
            <v>Satara</v>
          </cell>
          <cell r="L343" t="str">
            <v>E</v>
          </cell>
          <cell r="O343" t="str">
            <v>B</v>
          </cell>
        </row>
        <row r="344">
          <cell r="C344">
            <v>200803</v>
          </cell>
          <cell r="D344" t="str">
            <v>Astvinayak Petroleum</v>
          </cell>
          <cell r="E344" t="str">
            <v>BPCL</v>
          </cell>
          <cell r="F344" t="str">
            <v>2017-18</v>
          </cell>
          <cell r="G344" t="str">
            <v>Ahmednagar East RSA</v>
          </cell>
          <cell r="J344" t="str">
            <v>KHEDLE PARMANAND</v>
          </cell>
          <cell r="K344" t="str">
            <v>Ahmednagar</v>
          </cell>
          <cell r="L344" t="str">
            <v>D2</v>
          </cell>
          <cell r="O344" t="str">
            <v>B</v>
          </cell>
        </row>
        <row r="345">
          <cell r="C345">
            <v>200918</v>
          </cell>
          <cell r="D345" t="str">
            <v>YASHWANT PETROLEUM</v>
          </cell>
          <cell r="E345" t="str">
            <v>BPCL</v>
          </cell>
          <cell r="F345" t="str">
            <v>2017-18</v>
          </cell>
          <cell r="G345" t="str">
            <v>Ahmednagar West RSA</v>
          </cell>
          <cell r="J345" t="str">
            <v>Mandavgan</v>
          </cell>
          <cell r="K345" t="str">
            <v>Ahmednagar</v>
          </cell>
          <cell r="L345" t="str">
            <v>E</v>
          </cell>
          <cell r="O345" t="str">
            <v>B</v>
          </cell>
        </row>
        <row r="346">
          <cell r="C346">
            <v>201627</v>
          </cell>
          <cell r="D346" t="str">
            <v>BB KOLPE PETROLEUM</v>
          </cell>
          <cell r="E346" t="str">
            <v>BPCL</v>
          </cell>
          <cell r="F346" t="str">
            <v>2017-18</v>
          </cell>
          <cell r="G346" t="str">
            <v>Shirdi RSA</v>
          </cell>
          <cell r="J346" t="str">
            <v>CHAS NALI</v>
          </cell>
          <cell r="K346" t="str">
            <v>Ahmednagar</v>
          </cell>
          <cell r="L346" t="str">
            <v>D2</v>
          </cell>
          <cell r="O346" t="str">
            <v>B</v>
          </cell>
        </row>
        <row r="347">
          <cell r="C347">
            <v>201776</v>
          </cell>
          <cell r="D347" t="str">
            <v>Shelar Petroleum</v>
          </cell>
          <cell r="E347" t="str">
            <v>BPCL</v>
          </cell>
          <cell r="F347" t="str">
            <v>2017-18</v>
          </cell>
          <cell r="G347" t="str">
            <v>Pune Tathawade RSA</v>
          </cell>
          <cell r="J347" t="str">
            <v>Nimbut to Someshwar Nagar</v>
          </cell>
          <cell r="K347" t="str">
            <v>Pune</v>
          </cell>
          <cell r="L347" t="str">
            <v>D2</v>
          </cell>
          <cell r="O347" t="str">
            <v>B</v>
          </cell>
        </row>
        <row r="348">
          <cell r="C348">
            <v>201785</v>
          </cell>
          <cell r="D348" t="str">
            <v>Shree Swami Shankar Petroleum</v>
          </cell>
          <cell r="E348" t="str">
            <v>BPCL</v>
          </cell>
          <cell r="F348" t="str">
            <v>2017-18</v>
          </cell>
          <cell r="G348" t="str">
            <v>Pune City RSA</v>
          </cell>
          <cell r="J348" t="str">
            <v>NANDED CITY</v>
          </cell>
          <cell r="K348" t="str">
            <v>Pune</v>
          </cell>
          <cell r="L348" t="str">
            <v>A</v>
          </cell>
          <cell r="O348" t="str">
            <v>B</v>
          </cell>
        </row>
        <row r="349">
          <cell r="C349">
            <v>202620</v>
          </cell>
          <cell r="D349" t="str">
            <v>Shri Wagh Petroleum</v>
          </cell>
          <cell r="E349" t="str">
            <v>BPCL</v>
          </cell>
          <cell r="F349" t="str">
            <v>2017-18</v>
          </cell>
          <cell r="G349" t="str">
            <v>Pune Saswad RSA</v>
          </cell>
          <cell r="J349" t="str">
            <v>Indapur Bypass</v>
          </cell>
          <cell r="K349" t="str">
            <v>Pune</v>
          </cell>
          <cell r="L349" t="str">
            <v>D1</v>
          </cell>
          <cell r="M349" t="str">
            <v>NH-65</v>
          </cell>
          <cell r="O349" t="str">
            <v>A</v>
          </cell>
        </row>
        <row r="350">
          <cell r="C350">
            <v>202883</v>
          </cell>
          <cell r="D350" t="str">
            <v>Samiksha Petroleum</v>
          </cell>
          <cell r="E350" t="str">
            <v>BPCL</v>
          </cell>
          <cell r="F350" t="str">
            <v>2017-18</v>
          </cell>
          <cell r="G350" t="str">
            <v>Satara West RSA</v>
          </cell>
          <cell r="J350" t="str">
            <v>WATHAR TO KARAD</v>
          </cell>
          <cell r="K350" t="str">
            <v>Satara</v>
          </cell>
          <cell r="L350" t="str">
            <v>D1</v>
          </cell>
          <cell r="M350" t="str">
            <v>NH-48</v>
          </cell>
          <cell r="O350" t="str">
            <v>A</v>
          </cell>
        </row>
        <row r="351">
          <cell r="C351">
            <v>202969</v>
          </cell>
          <cell r="D351" t="str">
            <v>SAI SERVICE</v>
          </cell>
          <cell r="E351" t="str">
            <v>BPCL</v>
          </cell>
          <cell r="F351" t="str">
            <v>2018-19</v>
          </cell>
          <cell r="G351" t="str">
            <v>Ahmednagar East RSA</v>
          </cell>
          <cell r="J351" t="str">
            <v>DAHIGAON-NE</v>
          </cell>
          <cell r="K351" t="str">
            <v>Ahmednagar</v>
          </cell>
          <cell r="L351" t="str">
            <v>E</v>
          </cell>
          <cell r="O351" t="str">
            <v>B</v>
          </cell>
        </row>
        <row r="352">
          <cell r="C352">
            <v>203215</v>
          </cell>
          <cell r="D352" t="str">
            <v>BP-Khadaki</v>
          </cell>
          <cell r="E352" t="str">
            <v>BPCL</v>
          </cell>
          <cell r="F352" t="str">
            <v>2017-18</v>
          </cell>
          <cell r="G352" t="str">
            <v>Pune Hadapsar RSA</v>
          </cell>
          <cell r="J352" t="str">
            <v>Ravangaon LHS</v>
          </cell>
          <cell r="K352" t="str">
            <v>Pune</v>
          </cell>
          <cell r="L352" t="str">
            <v>D1</v>
          </cell>
          <cell r="M352" t="str">
            <v>NH-65</v>
          </cell>
          <cell r="O352" t="str">
            <v>B</v>
          </cell>
        </row>
        <row r="353">
          <cell r="C353">
            <v>204233</v>
          </cell>
          <cell r="D353" t="str">
            <v>PRAGATI PETROLEUM</v>
          </cell>
          <cell r="E353" t="str">
            <v>BPCL</v>
          </cell>
          <cell r="F353" t="str">
            <v>2018-19</v>
          </cell>
          <cell r="G353" t="str">
            <v>Shirdi RSA</v>
          </cell>
          <cell r="J353" t="str">
            <v>VIRGAON</v>
          </cell>
          <cell r="K353" t="str">
            <v>Ahmednagar</v>
          </cell>
          <cell r="L353" t="str">
            <v>D2</v>
          </cell>
          <cell r="O353" t="str">
            <v>A</v>
          </cell>
        </row>
        <row r="354">
          <cell r="C354">
            <v>204402</v>
          </cell>
          <cell r="D354" t="str">
            <v>Pirjade Petroleum</v>
          </cell>
          <cell r="E354" t="str">
            <v>BPCL</v>
          </cell>
          <cell r="F354" t="str">
            <v>2018-19</v>
          </cell>
          <cell r="G354" t="str">
            <v>Ahmednagar West RSA</v>
          </cell>
          <cell r="J354" t="str">
            <v>Pedgaon</v>
          </cell>
          <cell r="K354" t="str">
            <v>Ahmednagar</v>
          </cell>
          <cell r="L354" t="str">
            <v>E</v>
          </cell>
          <cell r="O354" t="str">
            <v>B</v>
          </cell>
        </row>
        <row r="355">
          <cell r="C355">
            <v>204481</v>
          </cell>
          <cell r="D355" t="str">
            <v>ARANESHWAR PETROLEUM</v>
          </cell>
          <cell r="E355" t="str">
            <v>BPCL</v>
          </cell>
          <cell r="F355" t="str">
            <v>2018-19</v>
          </cell>
          <cell r="G355" t="str">
            <v>Ahmednagar West RSA</v>
          </cell>
          <cell r="J355" t="str">
            <v>ARANGAON (JAMKHED)-E CLASS</v>
          </cell>
          <cell r="K355" t="str">
            <v>Ahmednagar</v>
          </cell>
          <cell r="L355" t="str">
            <v>E</v>
          </cell>
          <cell r="O355" t="str">
            <v>B</v>
          </cell>
        </row>
        <row r="356">
          <cell r="C356">
            <v>205223</v>
          </cell>
          <cell r="D356" t="str">
            <v>Shree Mane Petroleum</v>
          </cell>
          <cell r="E356" t="str">
            <v>BPCL</v>
          </cell>
          <cell r="F356" t="str">
            <v>2018-19</v>
          </cell>
          <cell r="G356" t="str">
            <v>Pune Saswad RSA</v>
          </cell>
          <cell r="J356" t="str">
            <v>Kurvali</v>
          </cell>
          <cell r="K356" t="str">
            <v>Pune</v>
          </cell>
          <cell r="L356" t="str">
            <v>E</v>
          </cell>
          <cell r="O356" t="str">
            <v>A</v>
          </cell>
        </row>
        <row r="357">
          <cell r="C357">
            <v>205230</v>
          </cell>
          <cell r="D357" t="str">
            <v>Pari Petroleum</v>
          </cell>
          <cell r="E357" t="str">
            <v>BPCL</v>
          </cell>
          <cell r="F357" t="str">
            <v>2018-19</v>
          </cell>
          <cell r="G357" t="str">
            <v>Pune Hadapsar RSA</v>
          </cell>
          <cell r="J357" t="str">
            <v>DAUND</v>
          </cell>
          <cell r="K357" t="str">
            <v>Pune</v>
          </cell>
          <cell r="L357" t="str">
            <v>D2</v>
          </cell>
          <cell r="O357" t="str">
            <v>A</v>
          </cell>
        </row>
        <row r="358">
          <cell r="C358">
            <v>205480</v>
          </cell>
          <cell r="D358" t="str">
            <v>RAJYOG PETROLEUM</v>
          </cell>
          <cell r="E358" t="str">
            <v>BPCL</v>
          </cell>
          <cell r="F358" t="str">
            <v>2018-19</v>
          </cell>
          <cell r="G358" t="str">
            <v>Ahmednagar West RSA</v>
          </cell>
          <cell r="J358" t="str">
            <v>Walki</v>
          </cell>
          <cell r="K358" t="str">
            <v>Ahmednagar</v>
          </cell>
          <cell r="L358" t="str">
            <v>E</v>
          </cell>
          <cell r="O358" t="str">
            <v>A</v>
          </cell>
        </row>
        <row r="359">
          <cell r="C359">
            <v>205598</v>
          </cell>
          <cell r="D359" t="str">
            <v>Sairaj Petroleum</v>
          </cell>
          <cell r="E359" t="str">
            <v>BPCL</v>
          </cell>
          <cell r="F359" t="str">
            <v>2018-19</v>
          </cell>
          <cell r="G359" t="str">
            <v>Satara West RSA</v>
          </cell>
          <cell r="J359" t="str">
            <v>Bhuinj to Satara</v>
          </cell>
          <cell r="K359" t="str">
            <v>Satara</v>
          </cell>
          <cell r="L359" t="str">
            <v>D1</v>
          </cell>
          <cell r="M359" t="str">
            <v>NH-48</v>
          </cell>
          <cell r="O359" t="str">
            <v>A</v>
          </cell>
        </row>
        <row r="360">
          <cell r="C360">
            <v>205711</v>
          </cell>
          <cell r="D360" t="str">
            <v>KRISHNATARA PETROLEUM</v>
          </cell>
          <cell r="E360" t="str">
            <v>BPCL</v>
          </cell>
          <cell r="F360" t="str">
            <v>2018-19</v>
          </cell>
          <cell r="G360" t="str">
            <v>Ahmednagar West RSA</v>
          </cell>
          <cell r="J360" t="str">
            <v>Vadzire</v>
          </cell>
          <cell r="K360" t="str">
            <v>Ahmednagar</v>
          </cell>
          <cell r="L360" t="str">
            <v>D2</v>
          </cell>
          <cell r="O360" t="str">
            <v>A</v>
          </cell>
        </row>
        <row r="361">
          <cell r="C361">
            <v>206855</v>
          </cell>
          <cell r="D361" t="str">
            <v>Navale Petroleum</v>
          </cell>
          <cell r="E361" t="str">
            <v>BPCL</v>
          </cell>
          <cell r="F361" t="str">
            <v>2018-19</v>
          </cell>
          <cell r="G361" t="str">
            <v>Ahmednagar West RSA</v>
          </cell>
          <cell r="J361" t="str">
            <v>JAMKHED-MOHA RD</v>
          </cell>
          <cell r="K361" t="str">
            <v>Ahmednagar</v>
          </cell>
          <cell r="L361" t="str">
            <v>D1</v>
          </cell>
          <cell r="M361" t="str">
            <v>NH-548D</v>
          </cell>
          <cell r="O361" t="str">
            <v>A</v>
          </cell>
        </row>
        <row r="362">
          <cell r="C362">
            <v>206930</v>
          </cell>
          <cell r="D362" t="str">
            <v>BAANDAL PACHUNDKAR PETROLEUM</v>
          </cell>
          <cell r="E362" t="str">
            <v>BPCL</v>
          </cell>
          <cell r="F362" t="str">
            <v>2018-19</v>
          </cell>
          <cell r="G362" t="str">
            <v>Pune Wagholi RSA</v>
          </cell>
          <cell r="J362" t="str">
            <v>Ranjangaon LHS</v>
          </cell>
          <cell r="K362" t="str">
            <v>Pune</v>
          </cell>
          <cell r="L362" t="str">
            <v>D1</v>
          </cell>
          <cell r="M362" t="str">
            <v>NH-753F</v>
          </cell>
          <cell r="O362" t="str">
            <v>A</v>
          </cell>
        </row>
        <row r="363">
          <cell r="C363">
            <v>206983</v>
          </cell>
          <cell r="D363" t="str">
            <v>JIJAI PETROLEUM</v>
          </cell>
          <cell r="E363" t="str">
            <v>BPCL</v>
          </cell>
          <cell r="F363" t="str">
            <v>2018-19</v>
          </cell>
          <cell r="G363" t="str">
            <v>Pune Hadapsar RSA</v>
          </cell>
          <cell r="J363" t="str">
            <v>Khamgaon</v>
          </cell>
          <cell r="K363" t="str">
            <v>Pune</v>
          </cell>
          <cell r="L363" t="str">
            <v>E</v>
          </cell>
          <cell r="O363" t="str">
            <v>A</v>
          </cell>
        </row>
        <row r="364">
          <cell r="C364">
            <v>207285</v>
          </cell>
          <cell r="D364" t="str">
            <v>SHIVRAI PETROLEUM</v>
          </cell>
          <cell r="E364" t="str">
            <v>BPCL</v>
          </cell>
          <cell r="F364" t="str">
            <v>2018-19</v>
          </cell>
          <cell r="G364" t="str">
            <v>Pune Wagholi RSA</v>
          </cell>
          <cell r="J364" t="str">
            <v>Karde</v>
          </cell>
          <cell r="K364" t="str">
            <v>Pune</v>
          </cell>
          <cell r="L364" t="str">
            <v>D2</v>
          </cell>
          <cell r="O364" t="str">
            <v>B</v>
          </cell>
        </row>
        <row r="365">
          <cell r="C365">
            <v>207413</v>
          </cell>
          <cell r="D365" t="str">
            <v>Shiv Petroleum</v>
          </cell>
          <cell r="E365" t="str">
            <v>BPCL</v>
          </cell>
          <cell r="F365" t="str">
            <v>2018-19</v>
          </cell>
          <cell r="G365" t="str">
            <v>Ahmednagar West RSA</v>
          </cell>
          <cell r="J365" t="str">
            <v>Shahapur</v>
          </cell>
          <cell r="K365" t="str">
            <v>Ahmednagar</v>
          </cell>
          <cell r="L365" t="str">
            <v>D1</v>
          </cell>
          <cell r="M365" t="str">
            <v>NH-61</v>
          </cell>
          <cell r="O365" t="str">
            <v>A</v>
          </cell>
        </row>
        <row r="366">
          <cell r="C366">
            <v>207469</v>
          </cell>
          <cell r="D366" t="str">
            <v>Nathkrupa Petroleum</v>
          </cell>
          <cell r="E366" t="str">
            <v>BPCL</v>
          </cell>
          <cell r="F366" t="str">
            <v>2018-19</v>
          </cell>
          <cell r="G366" t="str">
            <v>Ahmednagar West RSA</v>
          </cell>
          <cell r="J366" t="str">
            <v>Chincholi Kaldat</v>
          </cell>
          <cell r="K366" t="str">
            <v>Ahmednagar</v>
          </cell>
          <cell r="L366" t="str">
            <v>D1</v>
          </cell>
          <cell r="M366" t="str">
            <v>NH-548D</v>
          </cell>
          <cell r="O366" t="str">
            <v>A</v>
          </cell>
        </row>
        <row r="367">
          <cell r="C367">
            <v>207470</v>
          </cell>
          <cell r="D367" t="str">
            <v>LALBAUG CHA RAJA PETROLEUM</v>
          </cell>
          <cell r="E367" t="str">
            <v>BPCL</v>
          </cell>
          <cell r="F367" t="str">
            <v>2019-20</v>
          </cell>
          <cell r="G367" t="str">
            <v>Shirdi RSA</v>
          </cell>
          <cell r="J367" t="str">
            <v>BRAMHANWADA</v>
          </cell>
          <cell r="K367" t="str">
            <v>Ahmednagar</v>
          </cell>
          <cell r="L367" t="str">
            <v>D2</v>
          </cell>
          <cell r="O367" t="str">
            <v>A</v>
          </cell>
        </row>
        <row r="368">
          <cell r="C368">
            <v>207575</v>
          </cell>
          <cell r="D368" t="str">
            <v>CHANDRAMAULI PETROLEUM</v>
          </cell>
          <cell r="E368" t="str">
            <v>BPCL</v>
          </cell>
          <cell r="F368" t="str">
            <v>2019-20</v>
          </cell>
          <cell r="G368" t="str">
            <v>Shirdi RSA</v>
          </cell>
          <cell r="J368" t="str">
            <v>SHIDVAD</v>
          </cell>
          <cell r="K368" t="str">
            <v>Ahmednagar</v>
          </cell>
          <cell r="L368" t="str">
            <v>D2</v>
          </cell>
          <cell r="O368" t="str">
            <v>A</v>
          </cell>
        </row>
        <row r="369">
          <cell r="C369">
            <v>208703</v>
          </cell>
          <cell r="D369" t="str">
            <v>Phonix Petroleum</v>
          </cell>
          <cell r="E369" t="str">
            <v>BPCL</v>
          </cell>
          <cell r="F369" t="str">
            <v>2018-19</v>
          </cell>
          <cell r="G369" t="str">
            <v>Pune Tathawade RSA</v>
          </cell>
          <cell r="J369" t="str">
            <v>SUPE BARAMATI</v>
          </cell>
          <cell r="K369" t="str">
            <v>Pune</v>
          </cell>
          <cell r="L369" t="str">
            <v>D1</v>
          </cell>
          <cell r="M369" t="str">
            <v>NH-965D</v>
          </cell>
          <cell r="O369" t="str">
            <v>B</v>
          </cell>
        </row>
        <row r="370">
          <cell r="C370">
            <v>209014</v>
          </cell>
          <cell r="D370" t="str">
            <v>Onyx Petroleum</v>
          </cell>
          <cell r="E370" t="str">
            <v>BPCL</v>
          </cell>
          <cell r="F370" t="str">
            <v>2018-19</v>
          </cell>
          <cell r="G370" t="str">
            <v>Pune Wagholi RSA</v>
          </cell>
          <cell r="J370" t="str">
            <v xml:space="preserve">Pabal to rajgurunagar </v>
          </cell>
          <cell r="K370" t="str">
            <v>Pune</v>
          </cell>
          <cell r="L370" t="str">
            <v>D2</v>
          </cell>
          <cell r="O370" t="str">
            <v>B</v>
          </cell>
        </row>
        <row r="371">
          <cell r="C371">
            <v>209194</v>
          </cell>
          <cell r="D371" t="str">
            <v>Ghundare Patil Petroleum</v>
          </cell>
          <cell r="E371" t="str">
            <v>BPCL</v>
          </cell>
          <cell r="F371" t="str">
            <v>2018-19</v>
          </cell>
          <cell r="G371" t="str">
            <v>Pimpri Chinchwad RSA</v>
          </cell>
          <cell r="J371" t="str">
            <v>ALANDI MARKAL ROAD</v>
          </cell>
          <cell r="K371" t="str">
            <v>Pune</v>
          </cell>
          <cell r="L371" t="str">
            <v>D2</v>
          </cell>
          <cell r="O371" t="str">
            <v>A</v>
          </cell>
        </row>
        <row r="372">
          <cell r="C372">
            <v>209447</v>
          </cell>
          <cell r="D372" t="str">
            <v>SHRI KRUPASINDHU PETROLEUM</v>
          </cell>
          <cell r="E372" t="str">
            <v>BPCL</v>
          </cell>
          <cell r="F372" t="str">
            <v>2019-20</v>
          </cell>
          <cell r="G372" t="str">
            <v>Ahmednagar East RSA</v>
          </cell>
          <cell r="J372" t="str">
            <v>Miri</v>
          </cell>
          <cell r="K372" t="str">
            <v>Ahmednagar</v>
          </cell>
          <cell r="L372" t="str">
            <v>D2</v>
          </cell>
          <cell r="O372" t="str">
            <v>A</v>
          </cell>
        </row>
        <row r="373">
          <cell r="C373">
            <v>210854</v>
          </cell>
          <cell r="D373" t="str">
            <v>DATTAKRUPA PETROLEUM</v>
          </cell>
          <cell r="E373" t="str">
            <v>BPCL</v>
          </cell>
          <cell r="F373" t="str">
            <v>2019-20</v>
          </cell>
          <cell r="G373" t="str">
            <v>Pune Hadapsar RSA</v>
          </cell>
          <cell r="J373" t="str">
            <v>CHOUFULLA-KHEDGAON</v>
          </cell>
          <cell r="K373" t="str">
            <v>Pune</v>
          </cell>
          <cell r="L373" t="str">
            <v>D2</v>
          </cell>
          <cell r="O373" t="str">
            <v>A</v>
          </cell>
        </row>
        <row r="374">
          <cell r="C374">
            <v>210994</v>
          </cell>
          <cell r="D374" t="str">
            <v>PAWAR PETROLEUM</v>
          </cell>
          <cell r="E374" t="str">
            <v>BPCL</v>
          </cell>
          <cell r="F374" t="str">
            <v>2019-20</v>
          </cell>
          <cell r="G374" t="str">
            <v>Satara East RSA</v>
          </cell>
          <cell r="J374" t="str">
            <v>chitali</v>
          </cell>
          <cell r="K374" t="str">
            <v>Satara</v>
          </cell>
          <cell r="L374" t="str">
            <v>D2</v>
          </cell>
          <cell r="O374" t="str">
            <v>A</v>
          </cell>
        </row>
        <row r="375">
          <cell r="C375">
            <v>211240</v>
          </cell>
          <cell r="D375" t="str">
            <v>Anna Mahadik Petroleum</v>
          </cell>
          <cell r="E375" t="str">
            <v>BPCL</v>
          </cell>
          <cell r="F375" t="str">
            <v>2019-20</v>
          </cell>
          <cell r="G375" t="str">
            <v>Pune Hadapsar RSA</v>
          </cell>
          <cell r="J375" t="str">
            <v>Urlikanchan LHS</v>
          </cell>
          <cell r="K375" t="str">
            <v>Pune</v>
          </cell>
          <cell r="L375" t="str">
            <v>D1</v>
          </cell>
          <cell r="M375" t="str">
            <v>NH-65</v>
          </cell>
          <cell r="O375" t="str">
            <v>A</v>
          </cell>
        </row>
        <row r="376">
          <cell r="C376">
            <v>211252</v>
          </cell>
          <cell r="D376" t="str">
            <v>SHIVPADMA PETROLEUM</v>
          </cell>
          <cell r="E376" t="str">
            <v>BPCL</v>
          </cell>
          <cell r="F376" t="str">
            <v>2019-20</v>
          </cell>
          <cell r="G376" t="str">
            <v>Shirdi RSA</v>
          </cell>
          <cell r="J376" t="str">
            <v>CHAS NALI</v>
          </cell>
          <cell r="K376" t="str">
            <v>Ahmednagar</v>
          </cell>
          <cell r="L376" t="str">
            <v>D2</v>
          </cell>
          <cell r="O376" t="str">
            <v>A</v>
          </cell>
        </row>
        <row r="377">
          <cell r="C377">
            <v>211634</v>
          </cell>
          <cell r="D377" t="str">
            <v>SK PETROLEUM /earlier ...KEDARNATH PETROLEUM ADHOC (207254) /earlier ...NITIRAJ SERVICE CENTRE ADHOC (201116)</v>
          </cell>
          <cell r="E377" t="str">
            <v>BPCL</v>
          </cell>
          <cell r="G377" t="str">
            <v>Satara West RSA</v>
          </cell>
          <cell r="J377" t="str">
            <v>KASHIL TO KARAD</v>
          </cell>
          <cell r="K377" t="str">
            <v>Satara</v>
          </cell>
          <cell r="L377" t="str">
            <v>D1</v>
          </cell>
          <cell r="M377" t="str">
            <v>NH-48</v>
          </cell>
          <cell r="O377" t="str">
            <v>A</v>
          </cell>
        </row>
        <row r="378">
          <cell r="C378">
            <v>212204</v>
          </cell>
          <cell r="D378" t="str">
            <v>SALVI PETRO STATION</v>
          </cell>
          <cell r="E378" t="str">
            <v>BPCL</v>
          </cell>
          <cell r="F378" t="str">
            <v>2019-20</v>
          </cell>
          <cell r="G378" t="str">
            <v>Pune City RSA</v>
          </cell>
          <cell r="J378" t="str">
            <v>KHARADI BYPASS</v>
          </cell>
          <cell r="K378" t="str">
            <v>Pune</v>
          </cell>
          <cell r="L378" t="str">
            <v>A</v>
          </cell>
          <cell r="O378" t="str">
            <v>B</v>
          </cell>
        </row>
        <row r="379">
          <cell r="C379">
            <v>212217</v>
          </cell>
          <cell r="D379" t="str">
            <v>Pathare Petroleum</v>
          </cell>
          <cell r="E379" t="str">
            <v>BPCL</v>
          </cell>
          <cell r="F379" t="str">
            <v>2019-20</v>
          </cell>
          <cell r="G379" t="str">
            <v>Pune Hadapsar RSA</v>
          </cell>
          <cell r="J379" t="str">
            <v>P5_Kesnand</v>
          </cell>
          <cell r="K379" t="str">
            <v>Pune</v>
          </cell>
          <cell r="L379" t="str">
            <v>C</v>
          </cell>
          <cell r="O379" t="str">
            <v>A</v>
          </cell>
        </row>
        <row r="380">
          <cell r="C380">
            <v>212445</v>
          </cell>
          <cell r="D380" t="str">
            <v>K B MURTADAK &amp; SONS PETROLEUM</v>
          </cell>
          <cell r="E380" t="str">
            <v>BPCL</v>
          </cell>
          <cell r="F380" t="str">
            <v>2019-20</v>
          </cell>
          <cell r="G380" t="str">
            <v>Shirdi RSA</v>
          </cell>
          <cell r="J380" t="str">
            <v>TALEGAON SANGAMNER NH</v>
          </cell>
          <cell r="K380" t="str">
            <v>Ahmednagar</v>
          </cell>
          <cell r="L380" t="str">
            <v>D2</v>
          </cell>
          <cell r="O380" t="str">
            <v>B</v>
          </cell>
        </row>
        <row r="381">
          <cell r="C381">
            <v>212446</v>
          </cell>
          <cell r="D381" t="str">
            <v>SAI MALHAR PETROELUM</v>
          </cell>
          <cell r="E381" t="str">
            <v>BPCL</v>
          </cell>
          <cell r="F381" t="str">
            <v>2019-20</v>
          </cell>
          <cell r="G381" t="str">
            <v>Shirdi RSA</v>
          </cell>
          <cell r="J381" t="str">
            <v>GANESHNAGAR</v>
          </cell>
          <cell r="K381" t="str">
            <v>Ahmednagar</v>
          </cell>
          <cell r="L381" t="str">
            <v>D2</v>
          </cell>
          <cell r="O381" t="str">
            <v>B</v>
          </cell>
        </row>
        <row r="382">
          <cell r="C382">
            <v>212658</v>
          </cell>
          <cell r="D382" t="str">
            <v>MAHALAXMI PETROLEUM</v>
          </cell>
          <cell r="E382" t="str">
            <v>BPCL</v>
          </cell>
          <cell r="G382" t="str">
            <v>Pimpri Chinchwad RSA</v>
          </cell>
          <cell r="J382" t="str">
            <v>Talegaon</v>
          </cell>
          <cell r="K382" t="str">
            <v>Pune</v>
          </cell>
          <cell r="L382" t="str">
            <v>D1</v>
          </cell>
          <cell r="M382" t="str">
            <v>NH-548D</v>
          </cell>
          <cell r="O382" t="str">
            <v>A</v>
          </cell>
        </row>
        <row r="383">
          <cell r="C383">
            <v>213173</v>
          </cell>
          <cell r="D383" t="str">
            <v>JAY SANTOSHI MATA PETROLEUM</v>
          </cell>
          <cell r="E383" t="str">
            <v>BPCL</v>
          </cell>
          <cell r="F383" t="str">
            <v>2019-20</v>
          </cell>
          <cell r="G383" t="str">
            <v>Ahmednagar West RSA</v>
          </cell>
          <cell r="J383" t="str">
            <v>Jawalke (Jamkhed)</v>
          </cell>
          <cell r="K383" t="str">
            <v>Ahmednagar</v>
          </cell>
          <cell r="L383" t="str">
            <v>E</v>
          </cell>
          <cell r="O383" t="str">
            <v>A</v>
          </cell>
        </row>
        <row r="384">
          <cell r="C384">
            <v>213560</v>
          </cell>
          <cell r="D384" t="str">
            <v>Shree Mahalaxmi Petroleum</v>
          </cell>
          <cell r="E384" t="str">
            <v>BPCL</v>
          </cell>
          <cell r="F384" t="str">
            <v>2019-20</v>
          </cell>
          <cell r="G384" t="str">
            <v>Pune Wagholi RSA</v>
          </cell>
          <cell r="J384" t="str">
            <v>Awasari Khurd</v>
          </cell>
          <cell r="K384" t="str">
            <v>Pune</v>
          </cell>
          <cell r="L384" t="str">
            <v>E</v>
          </cell>
          <cell r="O384" t="str">
            <v>A</v>
          </cell>
        </row>
        <row r="385">
          <cell r="C385">
            <v>213591</v>
          </cell>
          <cell r="D385" t="str">
            <v>Krushnadeep Petroleum</v>
          </cell>
          <cell r="E385" t="str">
            <v>BPCL</v>
          </cell>
          <cell r="F385" t="str">
            <v>2019-20</v>
          </cell>
          <cell r="G385" t="str">
            <v>Pune Hadapsar RSA</v>
          </cell>
          <cell r="J385" t="str">
            <v>Theur</v>
          </cell>
          <cell r="K385" t="str">
            <v>Pune</v>
          </cell>
          <cell r="L385" t="str">
            <v>D1</v>
          </cell>
          <cell r="M385" t="str">
            <v>NH-548DD</v>
          </cell>
          <cell r="O385" t="str">
            <v>B</v>
          </cell>
        </row>
        <row r="386">
          <cell r="C386">
            <v>213886</v>
          </cell>
          <cell r="D386" t="str">
            <v>JAI GANESH PETRO SERVICES</v>
          </cell>
          <cell r="E386" t="str">
            <v>BPCL</v>
          </cell>
          <cell r="F386" t="str">
            <v>2019-20</v>
          </cell>
          <cell r="G386" t="str">
            <v>Pune Saswad RSA</v>
          </cell>
          <cell r="J386" t="str">
            <v>Saswad-Bopdev-Pune Road</v>
          </cell>
          <cell r="K386" t="str">
            <v>Pune</v>
          </cell>
          <cell r="L386" t="str">
            <v>D2</v>
          </cell>
          <cell r="O386" t="str">
            <v>B</v>
          </cell>
        </row>
        <row r="387">
          <cell r="C387">
            <v>213900</v>
          </cell>
          <cell r="D387" t="str">
            <v>MAULI KRUPA PETROLEUM</v>
          </cell>
          <cell r="E387" t="str">
            <v>BPCL</v>
          </cell>
          <cell r="F387" t="str">
            <v>2019-20</v>
          </cell>
          <cell r="G387" t="str">
            <v>Pimpri Chinchwad RSA</v>
          </cell>
          <cell r="J387" t="str">
            <v>Alandi</v>
          </cell>
          <cell r="K387" t="str">
            <v>Pune</v>
          </cell>
          <cell r="L387" t="str">
            <v>A</v>
          </cell>
          <cell r="O387" t="str">
            <v>B</v>
          </cell>
        </row>
        <row r="388">
          <cell r="C388">
            <v>213901</v>
          </cell>
          <cell r="D388" t="str">
            <v>SHREE MURARI PETROLEUM</v>
          </cell>
          <cell r="E388" t="str">
            <v>BPCL</v>
          </cell>
          <cell r="F388" t="str">
            <v>2019-20</v>
          </cell>
          <cell r="G388" t="str">
            <v>Pune City RSA</v>
          </cell>
          <cell r="J388" t="str">
            <v>WAKAD</v>
          </cell>
          <cell r="K388" t="str">
            <v>Pune</v>
          </cell>
          <cell r="L388" t="str">
            <v>A</v>
          </cell>
          <cell r="O388" t="str">
            <v>B</v>
          </cell>
        </row>
        <row r="389">
          <cell r="C389">
            <v>213925</v>
          </cell>
          <cell r="D389" t="str">
            <v>SHIR SIDDHA PETROLEUM</v>
          </cell>
          <cell r="E389" t="str">
            <v>BPCL</v>
          </cell>
          <cell r="F389" t="str">
            <v>2019-20</v>
          </cell>
          <cell r="G389" t="str">
            <v>Pune Saswad RSA</v>
          </cell>
          <cell r="J389" t="str">
            <v>Malshiras Purandar</v>
          </cell>
          <cell r="K389" t="str">
            <v>Pune</v>
          </cell>
          <cell r="L389" t="str">
            <v>D2</v>
          </cell>
          <cell r="O389" t="str">
            <v>B</v>
          </cell>
        </row>
        <row r="390">
          <cell r="C390">
            <v>214011</v>
          </cell>
          <cell r="D390" t="str">
            <v>Samarth Petroleum</v>
          </cell>
          <cell r="E390" t="str">
            <v>BPCL</v>
          </cell>
          <cell r="F390" t="str">
            <v>2019-20</v>
          </cell>
          <cell r="G390" t="str">
            <v>Satara West RSA</v>
          </cell>
          <cell r="J390" t="str">
            <v>Dhebewadi</v>
          </cell>
          <cell r="K390" t="str">
            <v>Satara</v>
          </cell>
          <cell r="L390" t="str">
            <v>E</v>
          </cell>
          <cell r="O390" t="str">
            <v>B</v>
          </cell>
        </row>
        <row r="391">
          <cell r="C391">
            <v>214353</v>
          </cell>
          <cell r="D391" t="str">
            <v>BABA FUELS</v>
          </cell>
          <cell r="E391" t="str">
            <v>BPCL</v>
          </cell>
          <cell r="F391" t="str">
            <v>2019-20</v>
          </cell>
          <cell r="G391" t="str">
            <v>Pune Wagholi RSA</v>
          </cell>
          <cell r="J391" t="str">
            <v>LONIKAND SH</v>
          </cell>
          <cell r="K391" t="str">
            <v>Pune</v>
          </cell>
          <cell r="L391" t="str">
            <v>D2</v>
          </cell>
          <cell r="O391" t="str">
            <v>B</v>
          </cell>
        </row>
        <row r="392">
          <cell r="C392">
            <v>214773</v>
          </cell>
          <cell r="D392" t="str">
            <v>DHANRAJ PETROLEUM</v>
          </cell>
          <cell r="E392" t="str">
            <v>BPCL</v>
          </cell>
          <cell r="F392" t="str">
            <v>2019-20</v>
          </cell>
          <cell r="G392" t="str">
            <v>Pune Hadapsar RSA</v>
          </cell>
          <cell r="J392" t="str">
            <v>Kurkumbh LHS</v>
          </cell>
          <cell r="K392" t="str">
            <v>Pune</v>
          </cell>
          <cell r="L392" t="str">
            <v>D1</v>
          </cell>
          <cell r="M392" t="str">
            <v>NH-65</v>
          </cell>
          <cell r="O392" t="str">
            <v>B</v>
          </cell>
        </row>
        <row r="393">
          <cell r="C393">
            <v>214803</v>
          </cell>
          <cell r="D393" t="str">
            <v>KRUSHNAI PETROLEUM</v>
          </cell>
          <cell r="E393" t="str">
            <v>BPCL</v>
          </cell>
          <cell r="F393" t="str">
            <v>2019-20</v>
          </cell>
          <cell r="G393" t="str">
            <v>Pimpri Chinchwad RSA</v>
          </cell>
          <cell r="J393" t="str">
            <v>Alandi</v>
          </cell>
          <cell r="K393" t="str">
            <v>Pune</v>
          </cell>
          <cell r="L393" t="str">
            <v>A</v>
          </cell>
          <cell r="O393" t="str">
            <v>B</v>
          </cell>
        </row>
        <row r="394">
          <cell r="C394">
            <v>214920</v>
          </cell>
          <cell r="D394" t="str">
            <v>MARUTI PETROLEUM</v>
          </cell>
          <cell r="E394" t="str">
            <v>BPCL</v>
          </cell>
          <cell r="F394" t="str">
            <v>2020-21</v>
          </cell>
          <cell r="G394" t="str">
            <v>Pimpri Chinchwad RSA</v>
          </cell>
          <cell r="J394" t="str">
            <v>Chakan MIDC</v>
          </cell>
          <cell r="K394" t="str">
            <v>Pune</v>
          </cell>
          <cell r="L394" t="str">
            <v>C</v>
          </cell>
          <cell r="O394" t="str">
            <v>B</v>
          </cell>
        </row>
        <row r="395">
          <cell r="C395">
            <v>214928</v>
          </cell>
          <cell r="D395" t="str">
            <v>POLICE WELFARE PETROL PUMP</v>
          </cell>
          <cell r="E395" t="str">
            <v>BPCL</v>
          </cell>
          <cell r="F395" t="str">
            <v>2019-20</v>
          </cell>
          <cell r="G395" t="str">
            <v>Satara West RSA</v>
          </cell>
          <cell r="J395" t="str">
            <v>Karad City</v>
          </cell>
          <cell r="K395" t="str">
            <v>Satara</v>
          </cell>
          <cell r="L395" t="str">
            <v>C</v>
          </cell>
          <cell r="O395" t="str">
            <v>B</v>
          </cell>
        </row>
        <row r="396">
          <cell r="C396">
            <v>214991</v>
          </cell>
          <cell r="D396" t="str">
            <v>SHIV SAMARTH PETROLEUM</v>
          </cell>
          <cell r="E396" t="str">
            <v>BPCL</v>
          </cell>
          <cell r="F396" t="str">
            <v>2019-20</v>
          </cell>
          <cell r="G396" t="str">
            <v>Pune Tathawade RSA</v>
          </cell>
          <cell r="J396" t="str">
            <v>Nimbut to Someshwar Nagar</v>
          </cell>
          <cell r="K396" t="str">
            <v>Pune</v>
          </cell>
          <cell r="L396" t="str">
            <v>D2</v>
          </cell>
          <cell r="O396" t="str">
            <v>A</v>
          </cell>
        </row>
        <row r="397">
          <cell r="C397">
            <v>215012</v>
          </cell>
          <cell r="D397" t="str">
            <v>SHRINATH PETROLEUM</v>
          </cell>
          <cell r="E397" t="str">
            <v>BPCL</v>
          </cell>
          <cell r="F397" t="str">
            <v>2020-21</v>
          </cell>
          <cell r="G397" t="str">
            <v>Pune Saswad RSA</v>
          </cell>
          <cell r="J397" t="str">
            <v>saswad-veer-lonand road</v>
          </cell>
          <cell r="K397" t="str">
            <v>Pune</v>
          </cell>
          <cell r="L397" t="str">
            <v>D2</v>
          </cell>
          <cell r="O397" t="str">
            <v>B</v>
          </cell>
        </row>
        <row r="398">
          <cell r="C398">
            <v>215047</v>
          </cell>
          <cell r="D398" t="str">
            <v>OMSHREE PETROLEUM</v>
          </cell>
          <cell r="E398" t="str">
            <v>BPCL</v>
          </cell>
          <cell r="F398" t="str">
            <v>2019-20</v>
          </cell>
          <cell r="G398" t="str">
            <v>Ahmednagar West RSA</v>
          </cell>
          <cell r="J398" t="str">
            <v>Hangewadi</v>
          </cell>
          <cell r="K398" t="str">
            <v>Ahmednagar</v>
          </cell>
          <cell r="L398" t="str">
            <v>E</v>
          </cell>
          <cell r="O398" t="str">
            <v>B</v>
          </cell>
        </row>
        <row r="399">
          <cell r="C399">
            <v>215055</v>
          </cell>
          <cell r="D399" t="str">
            <v>AASHIRWAD PETROLEUM</v>
          </cell>
          <cell r="E399" t="str">
            <v>BPCL</v>
          </cell>
          <cell r="F399" t="str">
            <v>2020-21</v>
          </cell>
          <cell r="G399" t="str">
            <v>Ahmednagar West RSA</v>
          </cell>
          <cell r="J399" t="str">
            <v>Ajnuj</v>
          </cell>
          <cell r="K399" t="str">
            <v>Ahmednagar</v>
          </cell>
          <cell r="L399" t="str">
            <v>E</v>
          </cell>
          <cell r="O399" t="str">
            <v>A</v>
          </cell>
        </row>
        <row r="400">
          <cell r="C400">
            <v>215436</v>
          </cell>
          <cell r="D400" t="str">
            <v>VKD PETROLEUM</v>
          </cell>
          <cell r="E400" t="str">
            <v>BPCL</v>
          </cell>
          <cell r="F400" t="str">
            <v>2019-20</v>
          </cell>
          <cell r="G400" t="str">
            <v>Pune City RSA</v>
          </cell>
          <cell r="J400" t="str">
            <v>AMBEGAON/WARJE</v>
          </cell>
          <cell r="K400" t="str">
            <v>Pune</v>
          </cell>
          <cell r="L400" t="str">
            <v>A</v>
          </cell>
          <cell r="O400" t="str">
            <v>B</v>
          </cell>
        </row>
        <row r="401">
          <cell r="C401">
            <v>215515</v>
          </cell>
          <cell r="D401" t="str">
            <v>S R NAVALEPATIL PETROLEUM</v>
          </cell>
          <cell r="E401" t="str">
            <v>BPCL</v>
          </cell>
          <cell r="F401" t="str">
            <v>2020-21</v>
          </cell>
          <cell r="G401" t="str">
            <v>Shirdi RSA</v>
          </cell>
          <cell r="J401" t="str">
            <v>KALAS AKOLE</v>
          </cell>
          <cell r="K401" t="str">
            <v>Ahmednagar</v>
          </cell>
          <cell r="L401" t="str">
            <v>D2</v>
          </cell>
          <cell r="O401" t="str">
            <v>B</v>
          </cell>
        </row>
        <row r="402">
          <cell r="C402">
            <v>215700</v>
          </cell>
          <cell r="D402" t="str">
            <v>Mane Petroleum</v>
          </cell>
          <cell r="E402" t="str">
            <v>BPCL</v>
          </cell>
          <cell r="F402" t="str">
            <v>2020-21</v>
          </cell>
          <cell r="G402" t="str">
            <v>Pune Saswad RSA</v>
          </cell>
          <cell r="J402" t="str">
            <v>SHELGAON</v>
          </cell>
          <cell r="K402" t="str">
            <v>Pune</v>
          </cell>
          <cell r="L402" t="str">
            <v>E</v>
          </cell>
          <cell r="O402" t="str">
            <v>B</v>
          </cell>
        </row>
        <row r="403">
          <cell r="C403">
            <v>215701</v>
          </cell>
          <cell r="D403" t="str">
            <v>SUDAMA PETROLEUM</v>
          </cell>
          <cell r="E403" t="str">
            <v>BPCL</v>
          </cell>
          <cell r="F403" t="str">
            <v>2020-21</v>
          </cell>
          <cell r="G403" t="str">
            <v>Shirdi RSA</v>
          </cell>
          <cell r="J403" t="str">
            <v>VADGAONPAN</v>
          </cell>
          <cell r="K403" t="str">
            <v>Ahmednagar</v>
          </cell>
          <cell r="L403" t="str">
            <v>D2</v>
          </cell>
          <cell r="O403" t="str">
            <v>B</v>
          </cell>
        </row>
        <row r="404">
          <cell r="C404">
            <v>215732</v>
          </cell>
          <cell r="D404" t="str">
            <v>SHREEGURU PETROLEUM</v>
          </cell>
          <cell r="E404" t="str">
            <v>BPCL</v>
          </cell>
          <cell r="F404" t="str">
            <v>2020-21</v>
          </cell>
          <cell r="G404" t="str">
            <v>Ahmednagar East RSA</v>
          </cell>
          <cell r="J404" t="str">
            <v>Miri</v>
          </cell>
          <cell r="K404" t="str">
            <v>Ahmednagar</v>
          </cell>
          <cell r="L404" t="str">
            <v>D2</v>
          </cell>
          <cell r="O404" t="str">
            <v>B</v>
          </cell>
        </row>
        <row r="405">
          <cell r="C405">
            <v>215738</v>
          </cell>
          <cell r="D405" t="str">
            <v>VEERA PETROLEUM</v>
          </cell>
          <cell r="E405" t="str">
            <v>BPCL</v>
          </cell>
          <cell r="F405" t="str">
            <v>2020-21</v>
          </cell>
          <cell r="G405" t="str">
            <v>Shirdi RSA</v>
          </cell>
          <cell r="J405" t="str">
            <v>LONI PRAVARA SH</v>
          </cell>
          <cell r="K405" t="str">
            <v>Ahmednagar</v>
          </cell>
          <cell r="L405" t="str">
            <v>D2</v>
          </cell>
          <cell r="O405" t="str">
            <v>B</v>
          </cell>
        </row>
        <row r="406">
          <cell r="C406">
            <v>215794</v>
          </cell>
          <cell r="D406" t="str">
            <v>Hausai Petroleum</v>
          </cell>
          <cell r="E406" t="str">
            <v>BPCL</v>
          </cell>
          <cell r="F406" t="str">
            <v>2020-21</v>
          </cell>
          <cell r="G406" t="str">
            <v>Pune Hadapsar RSA</v>
          </cell>
          <cell r="J406" t="str">
            <v>Virobawadi</v>
          </cell>
          <cell r="K406" t="str">
            <v>Pune</v>
          </cell>
          <cell r="L406" t="str">
            <v>D2</v>
          </cell>
          <cell r="O406" t="str">
            <v>B</v>
          </cell>
        </row>
        <row r="407">
          <cell r="C407">
            <v>215800</v>
          </cell>
          <cell r="D407" t="str">
            <v>AMARDEEP PETROLEUM</v>
          </cell>
          <cell r="E407" t="str">
            <v>BPCL</v>
          </cell>
          <cell r="F407" t="str">
            <v>2020-21</v>
          </cell>
          <cell r="G407" t="str">
            <v>Pune Wagholi RSA</v>
          </cell>
          <cell r="J407" t="str">
            <v>Karde</v>
          </cell>
          <cell r="K407" t="str">
            <v>Pune</v>
          </cell>
          <cell r="L407" t="str">
            <v>D2</v>
          </cell>
          <cell r="O407" t="str">
            <v>B</v>
          </cell>
        </row>
        <row r="408">
          <cell r="C408">
            <v>217180</v>
          </cell>
          <cell r="D408" t="str">
            <v>ANAND PETROLEUM</v>
          </cell>
          <cell r="E408" t="str">
            <v>BPCL</v>
          </cell>
          <cell r="F408" t="str">
            <v>2020-21</v>
          </cell>
          <cell r="G408" t="str">
            <v>Pune Hadapsar RSA</v>
          </cell>
          <cell r="J408" t="str">
            <v>Kurkumbh LHS</v>
          </cell>
          <cell r="K408" t="str">
            <v>Pune</v>
          </cell>
          <cell r="L408" t="str">
            <v>D1</v>
          </cell>
          <cell r="M408" t="str">
            <v>NH-65</v>
          </cell>
          <cell r="O408" t="str">
            <v>B</v>
          </cell>
        </row>
        <row r="409">
          <cell r="C409">
            <v>217249</v>
          </cell>
          <cell r="D409" t="str">
            <v>SANGRAJE PETROLEUM</v>
          </cell>
          <cell r="E409" t="str">
            <v>BPCL</v>
          </cell>
          <cell r="F409" t="str">
            <v>2020-21</v>
          </cell>
          <cell r="G409" t="str">
            <v>Shirdi RSA</v>
          </cell>
          <cell r="J409" t="str">
            <v>SAVLIHIR</v>
          </cell>
          <cell r="K409" t="str">
            <v>Ahmednagar</v>
          </cell>
          <cell r="L409" t="str">
            <v>D1</v>
          </cell>
          <cell r="M409" t="str">
            <v>NH-160</v>
          </cell>
          <cell r="O409" t="str">
            <v>B</v>
          </cell>
        </row>
        <row r="410">
          <cell r="C410">
            <v>217412</v>
          </cell>
          <cell r="D410" t="str">
            <v>Siddhanath Petroleum</v>
          </cell>
          <cell r="E410" t="str">
            <v>BPCL</v>
          </cell>
          <cell r="F410" t="str">
            <v>2020-21</v>
          </cell>
          <cell r="G410" t="str">
            <v>Satara East RSA</v>
          </cell>
          <cell r="J410" t="str">
            <v>ANDRUD</v>
          </cell>
          <cell r="K410" t="str">
            <v>Satara</v>
          </cell>
          <cell r="L410" t="str">
            <v>E</v>
          </cell>
          <cell r="O410" t="str">
            <v>A</v>
          </cell>
        </row>
        <row r="411">
          <cell r="C411">
            <v>217586</v>
          </cell>
          <cell r="D411" t="str">
            <v>KATRAJ PETROLEUM</v>
          </cell>
          <cell r="E411" t="str">
            <v>BPCL</v>
          </cell>
          <cell r="F411" t="str">
            <v>2020-21</v>
          </cell>
          <cell r="G411" t="str">
            <v>Pune City RSA</v>
          </cell>
          <cell r="J411" t="str">
            <v>KATRAJ</v>
          </cell>
          <cell r="K411" t="str">
            <v>Pune</v>
          </cell>
          <cell r="L411" t="str">
            <v>A</v>
          </cell>
          <cell r="O411" t="str">
            <v>A</v>
          </cell>
        </row>
        <row r="412">
          <cell r="C412">
            <v>218007</v>
          </cell>
          <cell r="D412" t="str">
            <v>Komal Petroleum</v>
          </cell>
          <cell r="E412" t="str">
            <v>BPCL</v>
          </cell>
          <cell r="F412" t="str">
            <v>2020-21</v>
          </cell>
          <cell r="G412" t="str">
            <v>Pimpri Chinchwad RSA</v>
          </cell>
          <cell r="J412" t="str">
            <v>Chakan MIDC</v>
          </cell>
          <cell r="K412" t="str">
            <v>Pune</v>
          </cell>
          <cell r="L412" t="str">
            <v>C</v>
          </cell>
          <cell r="O412" t="str">
            <v>B</v>
          </cell>
        </row>
        <row r="413">
          <cell r="C413">
            <v>218010</v>
          </cell>
          <cell r="D413" t="str">
            <v>Vishakha Petroleum</v>
          </cell>
          <cell r="E413" t="str">
            <v>BPCL</v>
          </cell>
          <cell r="F413" t="str">
            <v>2020-21</v>
          </cell>
          <cell r="G413" t="str">
            <v>Pimpri Chinchwad RSA</v>
          </cell>
          <cell r="J413" t="str">
            <v>Chakan MIDC</v>
          </cell>
          <cell r="K413" t="str">
            <v>Pune</v>
          </cell>
          <cell r="L413" t="str">
            <v>C</v>
          </cell>
          <cell r="O413" t="str">
            <v>B</v>
          </cell>
        </row>
        <row r="414">
          <cell r="C414">
            <v>218021</v>
          </cell>
          <cell r="D414" t="str">
            <v>BM PETROLEUM</v>
          </cell>
          <cell r="E414" t="str">
            <v>BPCL</v>
          </cell>
          <cell r="F414" t="str">
            <v>2020-21</v>
          </cell>
          <cell r="G414" t="str">
            <v>Pimpri Chinchwad RSA</v>
          </cell>
          <cell r="J414" t="str">
            <v>Talegaon MIDC</v>
          </cell>
          <cell r="K414" t="str">
            <v>Pune</v>
          </cell>
          <cell r="L414" t="str">
            <v>C</v>
          </cell>
          <cell r="O414" t="str">
            <v>B</v>
          </cell>
        </row>
        <row r="415">
          <cell r="C415">
            <v>218067</v>
          </cell>
          <cell r="D415" t="str">
            <v>SHRI RASAI PETROLEUM</v>
          </cell>
          <cell r="E415" t="str">
            <v>BPCL</v>
          </cell>
          <cell r="F415" t="str">
            <v>2020-21</v>
          </cell>
          <cell r="G415" t="str">
            <v>Pune Hadapsar RSA</v>
          </cell>
          <cell r="J415" t="str">
            <v>Mandavgaon Farata</v>
          </cell>
          <cell r="K415" t="str">
            <v>Pune</v>
          </cell>
          <cell r="L415" t="str">
            <v>E</v>
          </cell>
          <cell r="O415" t="str">
            <v>B</v>
          </cell>
        </row>
        <row r="416">
          <cell r="C416">
            <v>218300</v>
          </cell>
          <cell r="D416" t="str">
            <v>GAIKWAD PETROLEUM</v>
          </cell>
          <cell r="E416" t="str">
            <v>BPCL</v>
          </cell>
          <cell r="F416" t="str">
            <v>2020-21</v>
          </cell>
          <cell r="G416" t="str">
            <v>Pune Wagholi RSA</v>
          </cell>
          <cell r="J416" t="str">
            <v>Koregaon Bhima to Shikrapur LHS</v>
          </cell>
          <cell r="K416" t="str">
            <v>Pune</v>
          </cell>
          <cell r="L416" t="str">
            <v>D1</v>
          </cell>
          <cell r="M416" t="str">
            <v>NH-753F</v>
          </cell>
          <cell r="O416" t="str">
            <v>B</v>
          </cell>
        </row>
        <row r="417">
          <cell r="C417">
            <v>218701</v>
          </cell>
          <cell r="D417" t="str">
            <v>Shreeji Petroleum</v>
          </cell>
          <cell r="E417" t="str">
            <v>BPCL</v>
          </cell>
          <cell r="F417" t="str">
            <v>2020-21</v>
          </cell>
          <cell r="G417" t="str">
            <v>Satara West RSA</v>
          </cell>
          <cell r="J417" t="str">
            <v>Bhuinj to Satara</v>
          </cell>
          <cell r="K417" t="str">
            <v>Satara</v>
          </cell>
          <cell r="L417" t="str">
            <v>D1</v>
          </cell>
          <cell r="M417" t="str">
            <v>NH-48</v>
          </cell>
          <cell r="O417" t="str">
            <v>B</v>
          </cell>
        </row>
        <row r="418">
          <cell r="C418">
            <v>219079</v>
          </cell>
          <cell r="D418" t="str">
            <v>Barde Petroleum</v>
          </cell>
          <cell r="E418" t="str">
            <v>BPCL</v>
          </cell>
          <cell r="F418" t="str">
            <v>2020-21</v>
          </cell>
          <cell r="G418" t="str">
            <v>Shirdi RSA</v>
          </cell>
          <cell r="J418" t="str">
            <v>UNDIRGAON</v>
          </cell>
          <cell r="K418" t="str">
            <v>Ahmednagar</v>
          </cell>
          <cell r="L418" t="str">
            <v>D2</v>
          </cell>
          <cell r="O418" t="str">
            <v>A</v>
          </cell>
        </row>
        <row r="419">
          <cell r="C419">
            <v>219479</v>
          </cell>
          <cell r="D419" t="str">
            <v>shere Petroleum</v>
          </cell>
          <cell r="E419" t="str">
            <v>BPCL</v>
          </cell>
          <cell r="F419" t="str">
            <v>2020-21</v>
          </cell>
          <cell r="G419" t="str">
            <v>Pune Tathawade RSA</v>
          </cell>
          <cell r="J419" t="str">
            <v>Jalochi</v>
          </cell>
          <cell r="K419" t="str">
            <v>Pune</v>
          </cell>
          <cell r="L419" t="str">
            <v>C</v>
          </cell>
          <cell r="O419" t="str">
            <v>B</v>
          </cell>
        </row>
        <row r="420">
          <cell r="C420">
            <v>220310</v>
          </cell>
          <cell r="D420" t="str">
            <v>SHREE VENKATESH PETROLEUM</v>
          </cell>
          <cell r="E420" t="str">
            <v>BPCL</v>
          </cell>
          <cell r="F420" t="str">
            <v>2020-21</v>
          </cell>
          <cell r="G420" t="str">
            <v>Shirdi RSA</v>
          </cell>
          <cell r="J420" t="str">
            <v>DHAMORI KOPARGAON</v>
          </cell>
          <cell r="K420" t="str">
            <v>Ahmednagar</v>
          </cell>
          <cell r="L420" t="str">
            <v>E</v>
          </cell>
          <cell r="O420" t="str">
            <v>B</v>
          </cell>
        </row>
        <row r="421">
          <cell r="C421">
            <v>220352</v>
          </cell>
          <cell r="D421" t="str">
            <v>GORDE PATIL PETROLEUM</v>
          </cell>
          <cell r="E421" t="str">
            <v>BPCL</v>
          </cell>
          <cell r="F421" t="str">
            <v>2020-21</v>
          </cell>
          <cell r="G421" t="str">
            <v>Shirdi RSA</v>
          </cell>
          <cell r="J421" t="str">
            <v>GOGALGAON</v>
          </cell>
          <cell r="K421" t="str">
            <v>Ahmednagar</v>
          </cell>
          <cell r="L421" t="str">
            <v>E</v>
          </cell>
          <cell r="O421" t="str">
            <v>B</v>
          </cell>
        </row>
        <row r="422">
          <cell r="C422">
            <v>220481</v>
          </cell>
          <cell r="D422" t="str">
            <v>AKSHADA PETROLEUM</v>
          </cell>
          <cell r="E422" t="str">
            <v>BPCL</v>
          </cell>
          <cell r="F422" t="str">
            <v>2020-21</v>
          </cell>
          <cell r="G422" t="str">
            <v>Shirdi RSA</v>
          </cell>
          <cell r="J422" t="str">
            <v>KALAS AKOLE</v>
          </cell>
          <cell r="K422" t="str">
            <v>Ahmednagar</v>
          </cell>
          <cell r="L422" t="str">
            <v>D2</v>
          </cell>
          <cell r="O422" t="str">
            <v>B</v>
          </cell>
        </row>
        <row r="423">
          <cell r="C423">
            <v>220514</v>
          </cell>
          <cell r="D423" t="str">
            <v>GAIKWAD PETROLEUM</v>
          </cell>
          <cell r="E423" t="str">
            <v>BPCL</v>
          </cell>
          <cell r="F423" t="str">
            <v>2020-21</v>
          </cell>
          <cell r="G423" t="str">
            <v>Pimpri Chinchwad RSA</v>
          </cell>
          <cell r="J423" t="str">
            <v>CHAKAN NH-60 RHS</v>
          </cell>
          <cell r="K423" t="str">
            <v>Pune</v>
          </cell>
          <cell r="L423" t="str">
            <v>D1</v>
          </cell>
          <cell r="M423" t="str">
            <v>NH-60</v>
          </cell>
          <cell r="O423" t="str">
            <v>A</v>
          </cell>
        </row>
        <row r="424">
          <cell r="C424">
            <v>220515</v>
          </cell>
          <cell r="D424" t="str">
            <v>SARJAA PETROLEUM</v>
          </cell>
          <cell r="E424" t="str">
            <v>BPCL</v>
          </cell>
          <cell r="F424" t="str">
            <v>2020-21</v>
          </cell>
          <cell r="G424" t="str">
            <v>Pune Wagholi RSA</v>
          </cell>
          <cell r="J424" t="str">
            <v>Ghodegaon_Ambegaon</v>
          </cell>
          <cell r="K424" t="str">
            <v>Pune</v>
          </cell>
          <cell r="L424" t="str">
            <v>D2</v>
          </cell>
          <cell r="O424" t="str">
            <v>A</v>
          </cell>
        </row>
        <row r="425">
          <cell r="C425">
            <v>220663</v>
          </cell>
          <cell r="D425" t="str">
            <v>R K Petrolem</v>
          </cell>
          <cell r="E425" t="str">
            <v>BPCL</v>
          </cell>
          <cell r="F425" t="str">
            <v>2020-21</v>
          </cell>
          <cell r="G425" t="str">
            <v>Pimpri Chinchwad RSA</v>
          </cell>
          <cell r="J425" t="str">
            <v>Talegaon MIDC</v>
          </cell>
          <cell r="K425" t="str">
            <v>Pune</v>
          </cell>
          <cell r="L425" t="str">
            <v>C</v>
          </cell>
          <cell r="O425" t="str">
            <v>B</v>
          </cell>
        </row>
        <row r="426">
          <cell r="C426">
            <v>221304</v>
          </cell>
          <cell r="D426" t="str">
            <v>SHREE MAULI PETROLEUM</v>
          </cell>
          <cell r="E426" t="str">
            <v>BPCL</v>
          </cell>
          <cell r="F426" t="str">
            <v>2020-21</v>
          </cell>
          <cell r="G426" t="str">
            <v>Ahmednagar East RSA</v>
          </cell>
          <cell r="J426" t="str">
            <v>Shevgaon</v>
          </cell>
          <cell r="K426" t="str">
            <v>Ahmednagar</v>
          </cell>
          <cell r="L426" t="str">
            <v>D2</v>
          </cell>
          <cell r="O426" t="str">
            <v>A</v>
          </cell>
        </row>
        <row r="427">
          <cell r="C427">
            <v>221676</v>
          </cell>
          <cell r="D427" t="str">
            <v>DR. VITTHALRAO VIKHE PATIL SSK LTD.(Resitement)</v>
          </cell>
          <cell r="E427" t="str">
            <v>BPCL</v>
          </cell>
          <cell r="G427" t="str">
            <v>Shirdi RSA</v>
          </cell>
          <cell r="J427" t="str">
            <v>PRAVARA NAGAR</v>
          </cell>
          <cell r="K427" t="str">
            <v>Ahmednagar</v>
          </cell>
          <cell r="L427" t="str">
            <v>E</v>
          </cell>
          <cell r="O427" t="str">
            <v>B</v>
          </cell>
        </row>
        <row r="428">
          <cell r="C428">
            <v>221708</v>
          </cell>
          <cell r="D428" t="str">
            <v>Suryawanshi Petroleum</v>
          </cell>
          <cell r="E428" t="str">
            <v>BPCL</v>
          </cell>
          <cell r="F428" t="str">
            <v>2020-21</v>
          </cell>
          <cell r="G428" t="str">
            <v>Satara East RSA</v>
          </cell>
          <cell r="J428" t="str">
            <v>Mhaswad not on NH</v>
          </cell>
          <cell r="K428" t="str">
            <v>Satara</v>
          </cell>
          <cell r="L428" t="str">
            <v>E</v>
          </cell>
          <cell r="O428" t="str">
            <v>B</v>
          </cell>
        </row>
        <row r="429">
          <cell r="C429">
            <v>221729</v>
          </cell>
          <cell r="D429" t="str">
            <v>Sonam Petroleum</v>
          </cell>
          <cell r="E429" t="str">
            <v>BPCL</v>
          </cell>
          <cell r="F429" t="str">
            <v>2020-21</v>
          </cell>
          <cell r="G429" t="str">
            <v>Satara East RSA</v>
          </cell>
          <cell r="J429" t="str">
            <v>GOPUJ</v>
          </cell>
          <cell r="K429" t="str">
            <v>Satara</v>
          </cell>
          <cell r="L429" t="str">
            <v>E</v>
          </cell>
          <cell r="O429" t="str">
            <v>B</v>
          </cell>
        </row>
        <row r="430">
          <cell r="C430">
            <v>263416</v>
          </cell>
          <cell r="D430" t="str">
            <v>M.P.AUTOMOBILE ADHOC (J P PETROLEUM ADHOC (KISAN BOREWELL CO ADHOC-246739 (222037 R.M. DESAI &amp; CO ADHOC/222037 J P PETROLEUM ADHOC : KAMAL SERV CENTRE- TERMINATED (163872)))</v>
          </cell>
          <cell r="E430" t="str">
            <v>BPCL</v>
          </cell>
          <cell r="G430" t="str">
            <v>Satara East RSA</v>
          </cell>
          <cell r="J430" t="str">
            <v>Nhavi Budruk</v>
          </cell>
          <cell r="K430" t="str">
            <v>Satara</v>
          </cell>
          <cell r="L430" t="str">
            <v>E</v>
          </cell>
          <cell r="O430" t="str">
            <v>A</v>
          </cell>
        </row>
        <row r="431">
          <cell r="C431">
            <v>222081</v>
          </cell>
          <cell r="D431" t="str">
            <v>JAGDAMB PETROLEUM</v>
          </cell>
          <cell r="E431" t="str">
            <v>BPCL</v>
          </cell>
          <cell r="F431" t="str">
            <v>2020-21</v>
          </cell>
          <cell r="G431" t="str">
            <v>Ahmednagar East RSA</v>
          </cell>
          <cell r="J431" t="str">
            <v>Salbatpur</v>
          </cell>
          <cell r="K431" t="str">
            <v>Ahmednagar</v>
          </cell>
          <cell r="L431" t="str">
            <v>E</v>
          </cell>
          <cell r="O431" t="str">
            <v>B</v>
          </cell>
        </row>
        <row r="432">
          <cell r="C432">
            <v>222273</v>
          </cell>
          <cell r="D432" t="str">
            <v>KISANGIRI PETROLEUM</v>
          </cell>
          <cell r="E432" t="str">
            <v>BPCL</v>
          </cell>
          <cell r="F432" t="str">
            <v>2020-21</v>
          </cell>
          <cell r="G432" t="str">
            <v>Ahmednagar East RSA</v>
          </cell>
          <cell r="J432" t="str">
            <v>Khupati</v>
          </cell>
          <cell r="K432" t="str">
            <v>Ahmednagar</v>
          </cell>
          <cell r="L432" t="str">
            <v>D2</v>
          </cell>
          <cell r="O432" t="str">
            <v>B</v>
          </cell>
        </row>
        <row r="433">
          <cell r="C433">
            <v>222347</v>
          </cell>
          <cell r="D433" t="str">
            <v>SHRI SADGURU KRUPA PETROLEUM</v>
          </cell>
          <cell r="E433" t="str">
            <v>BPCL</v>
          </cell>
          <cell r="F433" t="str">
            <v>2020-21</v>
          </cell>
          <cell r="G433" t="str">
            <v>Pune City RSA</v>
          </cell>
          <cell r="J433" t="str">
            <v>WANWORIE</v>
          </cell>
          <cell r="K433" t="str">
            <v>Pune</v>
          </cell>
          <cell r="L433" t="str">
            <v>A</v>
          </cell>
          <cell r="O433" t="str">
            <v>A</v>
          </cell>
        </row>
        <row r="434">
          <cell r="C434">
            <v>223428</v>
          </cell>
          <cell r="D434" t="str">
            <v>JYOTIRLING PETROLEUM</v>
          </cell>
          <cell r="E434" t="str">
            <v>BPCL</v>
          </cell>
          <cell r="F434" t="str">
            <v>2020-21</v>
          </cell>
          <cell r="G434" t="str">
            <v>Pune Saswad RSA</v>
          </cell>
          <cell r="J434" t="str">
            <v>Gulunche</v>
          </cell>
          <cell r="K434" t="str">
            <v>Pune</v>
          </cell>
          <cell r="L434" t="str">
            <v>D1</v>
          </cell>
          <cell r="M434" t="str">
            <v>NH-965D</v>
          </cell>
          <cell r="O434" t="str">
            <v>B</v>
          </cell>
        </row>
        <row r="435">
          <cell r="C435">
            <v>223586</v>
          </cell>
          <cell r="D435" t="str">
            <v>SHASHIKALA ENTERPRISES</v>
          </cell>
          <cell r="E435" t="str">
            <v>BPCL</v>
          </cell>
          <cell r="F435" t="str">
            <v>2020-21</v>
          </cell>
          <cell r="G435" t="str">
            <v>Pune Saswad RSA</v>
          </cell>
          <cell r="J435" t="str">
            <v>JEJURI DHALEWADI ROAD</v>
          </cell>
          <cell r="K435" t="str">
            <v>Pune</v>
          </cell>
          <cell r="L435" t="str">
            <v>E</v>
          </cell>
          <cell r="O435" t="str">
            <v>B</v>
          </cell>
        </row>
        <row r="436">
          <cell r="C436">
            <v>224652</v>
          </cell>
          <cell r="D436" t="str">
            <v>D P LANDGE PETROLEUM</v>
          </cell>
          <cell r="E436" t="str">
            <v>BPCL</v>
          </cell>
          <cell r="F436" t="str">
            <v>2020-21</v>
          </cell>
          <cell r="G436" t="str">
            <v>Pimpri Chinchwad RSA</v>
          </cell>
          <cell r="J436" t="str">
            <v>Bhosari</v>
          </cell>
          <cell r="K436" t="str">
            <v>Pune</v>
          </cell>
          <cell r="L436" t="str">
            <v>A</v>
          </cell>
          <cell r="O436" t="str">
            <v>B</v>
          </cell>
        </row>
        <row r="437">
          <cell r="C437">
            <v>224776</v>
          </cell>
          <cell r="D437" t="str">
            <v>SHREE SADGURU PETROLEUM</v>
          </cell>
          <cell r="E437" t="str">
            <v>BPCL</v>
          </cell>
          <cell r="F437" t="str">
            <v>2020-21</v>
          </cell>
          <cell r="G437" t="str">
            <v>Pune City RSA</v>
          </cell>
          <cell r="J437" t="str">
            <v>GHOTAWADE</v>
          </cell>
          <cell r="K437" t="str">
            <v>Pune</v>
          </cell>
          <cell r="L437" t="str">
            <v>D2</v>
          </cell>
          <cell r="O437" t="str">
            <v>B</v>
          </cell>
        </row>
        <row r="438">
          <cell r="C438">
            <v>225015</v>
          </cell>
          <cell r="D438" t="str">
            <v>JB PETROLEUM</v>
          </cell>
          <cell r="E438" t="str">
            <v>BPCL</v>
          </cell>
          <cell r="F438" t="str">
            <v>2020-21</v>
          </cell>
          <cell r="G438" t="str">
            <v>Satara West RSA</v>
          </cell>
          <cell r="J438" t="str">
            <v>Bhuinj to Satara</v>
          </cell>
          <cell r="K438" t="str">
            <v>Satara</v>
          </cell>
          <cell r="L438" t="str">
            <v>D1</v>
          </cell>
          <cell r="M438" t="str">
            <v>NH-48</v>
          </cell>
          <cell r="O438" t="str">
            <v>B</v>
          </cell>
        </row>
        <row r="439">
          <cell r="C439">
            <v>225344</v>
          </cell>
          <cell r="D439" t="str">
            <v>RAMESHWAR PETROLEUM</v>
          </cell>
          <cell r="E439" t="str">
            <v>BPCL</v>
          </cell>
          <cell r="F439" t="str">
            <v>2020-21</v>
          </cell>
          <cell r="G439" t="str">
            <v>Ahmednagar West RSA</v>
          </cell>
          <cell r="J439" t="str">
            <v>Parner Balavani Rd</v>
          </cell>
          <cell r="K439" t="str">
            <v>Ahmednagar</v>
          </cell>
          <cell r="L439" t="str">
            <v>E</v>
          </cell>
          <cell r="O439" t="str">
            <v>B</v>
          </cell>
        </row>
        <row r="440">
          <cell r="C440">
            <v>225346</v>
          </cell>
          <cell r="D440" t="str">
            <v>SHREE RAM PETROLEUM ADHOC / C B PETROLEUM (150335)</v>
          </cell>
          <cell r="E440" t="str">
            <v>BPCL</v>
          </cell>
          <cell r="G440" t="str">
            <v>Satara West RSA</v>
          </cell>
          <cell r="J440" t="str">
            <v>MALHARPETH TO NADE</v>
          </cell>
          <cell r="K440" t="str">
            <v>Satara</v>
          </cell>
          <cell r="L440" t="str">
            <v>D1</v>
          </cell>
          <cell r="M440" t="str">
            <v>NH-166E</v>
          </cell>
          <cell r="O440" t="str">
            <v>B</v>
          </cell>
        </row>
        <row r="441">
          <cell r="C441">
            <v>225347</v>
          </cell>
          <cell r="D441" t="str">
            <v>SHIVPARVATI FUELS</v>
          </cell>
          <cell r="E441" t="str">
            <v>BPCL</v>
          </cell>
          <cell r="F441" t="str">
            <v>2020-21</v>
          </cell>
          <cell r="G441" t="str">
            <v>Ahmednagar West RSA</v>
          </cell>
          <cell r="J441" t="str">
            <v>SHRIGONDA-MDR</v>
          </cell>
          <cell r="K441" t="str">
            <v>Ahmednagar</v>
          </cell>
          <cell r="L441" t="str">
            <v>C</v>
          </cell>
          <cell r="O441" t="str">
            <v>B</v>
          </cell>
        </row>
        <row r="442">
          <cell r="C442">
            <v>225384</v>
          </cell>
          <cell r="D442" t="str">
            <v>LONKAR PETROLEUM</v>
          </cell>
          <cell r="E442" t="str">
            <v>BPCL</v>
          </cell>
          <cell r="F442" t="str">
            <v>2020-21</v>
          </cell>
          <cell r="G442" t="str">
            <v>Pune Hadapsar RSA</v>
          </cell>
          <cell r="J442" t="str">
            <v>Manjari</v>
          </cell>
          <cell r="K442" t="str">
            <v>Pune</v>
          </cell>
          <cell r="L442" t="str">
            <v>A</v>
          </cell>
          <cell r="O442" t="str">
            <v>A</v>
          </cell>
        </row>
        <row r="443">
          <cell r="C443">
            <v>225546</v>
          </cell>
          <cell r="D443" t="str">
            <v>ANUP PETROLEUM</v>
          </cell>
          <cell r="E443" t="str">
            <v>BPCL</v>
          </cell>
          <cell r="F443" t="str">
            <v>2020-21</v>
          </cell>
          <cell r="G443" t="str">
            <v>Pune Tathawade RSA</v>
          </cell>
          <cell r="J443" t="str">
            <v>KHEDSHIVAPUR TO HARISHCHANDRI</v>
          </cell>
          <cell r="K443" t="str">
            <v>Pune</v>
          </cell>
          <cell r="L443" t="str">
            <v>D1</v>
          </cell>
          <cell r="M443" t="str">
            <v>NH-48</v>
          </cell>
          <cell r="O443" t="str">
            <v>A</v>
          </cell>
        </row>
        <row r="444">
          <cell r="C444">
            <v>225547</v>
          </cell>
          <cell r="D444" t="str">
            <v>WAGHJAI PETROLEUM</v>
          </cell>
          <cell r="E444" t="str">
            <v>BPCL</v>
          </cell>
          <cell r="F444" t="str">
            <v>2020-21</v>
          </cell>
          <cell r="G444" t="str">
            <v>Pimpri Chinchwad RSA</v>
          </cell>
          <cell r="J444" t="str">
            <v>Moshi</v>
          </cell>
          <cell r="K444" t="str">
            <v>Pune</v>
          </cell>
          <cell r="L444" t="str">
            <v>A</v>
          </cell>
          <cell r="O444" t="str">
            <v>A</v>
          </cell>
        </row>
        <row r="445">
          <cell r="C445">
            <v>225653</v>
          </cell>
          <cell r="D445" t="str">
            <v>GORE PETROLEUM</v>
          </cell>
          <cell r="E445" t="str">
            <v>BPCL</v>
          </cell>
          <cell r="F445" t="str">
            <v>2020-21</v>
          </cell>
          <cell r="G445" t="str">
            <v>Shirdi RSA</v>
          </cell>
          <cell r="J445" t="str">
            <v>BHERADAPUR</v>
          </cell>
          <cell r="K445" t="str">
            <v>Ahmednagar</v>
          </cell>
          <cell r="L445" t="str">
            <v>E</v>
          </cell>
          <cell r="O445" t="str">
            <v>B</v>
          </cell>
        </row>
        <row r="446">
          <cell r="C446">
            <v>225809</v>
          </cell>
          <cell r="D446" t="str">
            <v>WANDHEKAR FUEL STATION</v>
          </cell>
          <cell r="E446" t="str">
            <v>BPCL</v>
          </cell>
          <cell r="F446" t="str">
            <v>2020-21</v>
          </cell>
          <cell r="G446" t="str">
            <v>Pune Saswad RSA</v>
          </cell>
          <cell r="J446" t="str">
            <v>Saswad-Bopdev-Pune Road</v>
          </cell>
          <cell r="K446" t="str">
            <v>Pune</v>
          </cell>
          <cell r="L446" t="str">
            <v>D2</v>
          </cell>
          <cell r="O446" t="str">
            <v>B</v>
          </cell>
        </row>
        <row r="447">
          <cell r="C447">
            <v>225959</v>
          </cell>
          <cell r="D447" t="str">
            <v>SHRI SWAMI SAMARTH PETROLEUM</v>
          </cell>
          <cell r="E447" t="str">
            <v>BPCL</v>
          </cell>
          <cell r="F447" t="str">
            <v>2020-21</v>
          </cell>
          <cell r="G447" t="str">
            <v>Pune Hadapsar RSA</v>
          </cell>
          <cell r="J447" t="str">
            <v>SAHAJPUR</v>
          </cell>
          <cell r="K447" t="str">
            <v>Pune</v>
          </cell>
          <cell r="L447" t="str">
            <v>E</v>
          </cell>
          <cell r="O447" t="str">
            <v>B</v>
          </cell>
        </row>
        <row r="448">
          <cell r="C448">
            <v>226960</v>
          </cell>
          <cell r="D448" t="str">
            <v>SP PR WELFARE PETROL PUMP</v>
          </cell>
          <cell r="E448" t="str">
            <v>BPCL</v>
          </cell>
          <cell r="F448" t="str">
            <v>2021-22</v>
          </cell>
          <cell r="G448" t="str">
            <v>Pune City RSA</v>
          </cell>
          <cell r="J448" t="str">
            <v>BANER</v>
          </cell>
          <cell r="K448" t="str">
            <v>Pune</v>
          </cell>
          <cell r="L448" t="str">
            <v>A</v>
          </cell>
          <cell r="O448" t="str">
            <v>B</v>
          </cell>
        </row>
        <row r="449">
          <cell r="C449">
            <v>227012</v>
          </cell>
          <cell r="D449" t="str">
            <v>SP PR WELFARE PETROL PUMP</v>
          </cell>
          <cell r="E449" t="str">
            <v>BPCL</v>
          </cell>
          <cell r="F449" t="str">
            <v>2021-22</v>
          </cell>
          <cell r="G449" t="str">
            <v>Pune City RSA</v>
          </cell>
          <cell r="J449" t="str">
            <v>BANER</v>
          </cell>
          <cell r="K449" t="str">
            <v>Pune</v>
          </cell>
          <cell r="L449" t="str">
            <v>A</v>
          </cell>
          <cell r="O449" t="str">
            <v>B</v>
          </cell>
        </row>
        <row r="450">
          <cell r="C450">
            <v>228239</v>
          </cell>
          <cell r="D450" t="str">
            <v>Shivneri Petroleum</v>
          </cell>
          <cell r="E450" t="str">
            <v>BPCL</v>
          </cell>
          <cell r="F450" t="str">
            <v>2021-22</v>
          </cell>
          <cell r="G450" t="str">
            <v>Shirdi RSA</v>
          </cell>
          <cell r="J450" t="str">
            <v>VADGAONPAN</v>
          </cell>
          <cell r="K450" t="str">
            <v>Ahmednagar</v>
          </cell>
          <cell r="L450" t="str">
            <v>D2</v>
          </cell>
          <cell r="O450" t="str">
            <v>A</v>
          </cell>
        </row>
        <row r="451">
          <cell r="C451">
            <v>228466</v>
          </cell>
          <cell r="D451" t="str">
            <v>ANNA MAHADIK SERVICE STATION</v>
          </cell>
          <cell r="E451" t="str">
            <v>BPCL</v>
          </cell>
          <cell r="F451" t="str">
            <v>2021-22</v>
          </cell>
          <cell r="G451" t="str">
            <v>Pune Hadapsar RSA</v>
          </cell>
          <cell r="J451" t="str">
            <v>Urlikanchan LHS</v>
          </cell>
          <cell r="K451" t="str">
            <v>Pune</v>
          </cell>
          <cell r="L451" t="str">
            <v>D1</v>
          </cell>
          <cell r="M451" t="str">
            <v>NH-65</v>
          </cell>
          <cell r="O451" t="str">
            <v>A</v>
          </cell>
        </row>
        <row r="452">
          <cell r="C452">
            <v>229042</v>
          </cell>
          <cell r="D452" t="str">
            <v>M.D MOZE PETROLEUM</v>
          </cell>
          <cell r="E452" t="str">
            <v>BPCL</v>
          </cell>
          <cell r="F452" t="str">
            <v>2021-22</v>
          </cell>
          <cell r="G452" t="str">
            <v>Pune City RSA</v>
          </cell>
          <cell r="J452" t="str">
            <v>LOHAGAON URBAN</v>
          </cell>
          <cell r="K452" t="str">
            <v>Pune</v>
          </cell>
          <cell r="L452" t="str">
            <v>A</v>
          </cell>
          <cell r="O452" t="str">
            <v>A</v>
          </cell>
        </row>
        <row r="453">
          <cell r="C453">
            <v>229099</v>
          </cell>
          <cell r="D453" t="str">
            <v>Baba Petrol Pump</v>
          </cell>
          <cell r="E453" t="str">
            <v>BPCL</v>
          </cell>
          <cell r="F453" t="str">
            <v>2021-22</v>
          </cell>
          <cell r="G453" t="str">
            <v>Satara East RSA</v>
          </cell>
          <cell r="J453" t="str">
            <v>Kinhai</v>
          </cell>
          <cell r="K453" t="str">
            <v>Satara</v>
          </cell>
          <cell r="L453" t="str">
            <v>E</v>
          </cell>
          <cell r="O453" t="str">
            <v>A</v>
          </cell>
        </row>
        <row r="454">
          <cell r="C454">
            <v>229289</v>
          </cell>
          <cell r="D454" t="str">
            <v>JAI GANESH PETRO STATION</v>
          </cell>
          <cell r="E454" t="str">
            <v>BPCL</v>
          </cell>
          <cell r="F454" t="str">
            <v>2021-22</v>
          </cell>
          <cell r="G454" t="str">
            <v>Pune Hadapsar RSA</v>
          </cell>
          <cell r="J454" t="str">
            <v>Urlidevachi Undri Road</v>
          </cell>
          <cell r="K454" t="str">
            <v>Pune</v>
          </cell>
          <cell r="L454" t="str">
            <v>A</v>
          </cell>
          <cell r="O454" t="str">
            <v>A</v>
          </cell>
        </row>
        <row r="455">
          <cell r="C455">
            <v>229325</v>
          </cell>
          <cell r="D455" t="str">
            <v>VITHOBA RAJE PETROLEUM</v>
          </cell>
          <cell r="E455" t="str">
            <v>BPCL</v>
          </cell>
          <cell r="F455" t="str">
            <v>2021-22</v>
          </cell>
          <cell r="G455" t="str">
            <v>Ahmednagar West RSA</v>
          </cell>
          <cell r="J455" t="str">
            <v>PATHARDI-NH</v>
          </cell>
          <cell r="K455" t="str">
            <v>Ahmednagar</v>
          </cell>
          <cell r="L455" t="str">
            <v>D1</v>
          </cell>
          <cell r="M455" t="str">
            <v>NH-61</v>
          </cell>
          <cell r="O455" t="str">
            <v>A</v>
          </cell>
        </row>
        <row r="456">
          <cell r="C456">
            <v>229694</v>
          </cell>
          <cell r="D456" t="str">
            <v>SHREE SIDDHIVINAYAK PETROLEUM</v>
          </cell>
          <cell r="E456" t="str">
            <v>BPCL</v>
          </cell>
          <cell r="F456" t="str">
            <v>2021-22</v>
          </cell>
          <cell r="G456" t="str">
            <v>Satara West RSA</v>
          </cell>
          <cell r="J456" t="str">
            <v>Umbraj on Patan SH</v>
          </cell>
          <cell r="K456" t="str">
            <v>Satara</v>
          </cell>
          <cell r="L456" t="str">
            <v>D2</v>
          </cell>
          <cell r="O456" t="str">
            <v>A</v>
          </cell>
        </row>
        <row r="457">
          <cell r="C457">
            <v>229905</v>
          </cell>
          <cell r="D457" t="str">
            <v>KHATARE PETROLEUM</v>
          </cell>
          <cell r="E457" t="str">
            <v>BPCL</v>
          </cell>
          <cell r="G457" t="str">
            <v>Ahmednagar West RSA</v>
          </cell>
          <cell r="J457" t="str">
            <v>VISAPUR-NH</v>
          </cell>
          <cell r="K457" t="str">
            <v>Ahmednagar</v>
          </cell>
          <cell r="L457" t="str">
            <v>D1</v>
          </cell>
          <cell r="M457" t="str">
            <v>NH-160</v>
          </cell>
          <cell r="O457" t="str">
            <v>A</v>
          </cell>
        </row>
        <row r="458">
          <cell r="C458">
            <v>230142</v>
          </cell>
          <cell r="D458" t="str">
            <v>ASHA PETROLEUM</v>
          </cell>
          <cell r="E458" t="str">
            <v>BPCL</v>
          </cell>
          <cell r="F458" t="str">
            <v>2021-22</v>
          </cell>
          <cell r="G458" t="str">
            <v>Ahmednagar West RSA</v>
          </cell>
          <cell r="J458" t="str">
            <v>KARPADI</v>
          </cell>
          <cell r="K458" t="str">
            <v>Ahmednagar</v>
          </cell>
          <cell r="L458" t="str">
            <v>E</v>
          </cell>
          <cell r="O458" t="str">
            <v>A</v>
          </cell>
        </row>
        <row r="459">
          <cell r="C459">
            <v>230334</v>
          </cell>
          <cell r="D459" t="str">
            <v>KADU PATIL PETROLEUM</v>
          </cell>
          <cell r="E459" t="str">
            <v>BPCL</v>
          </cell>
          <cell r="F459" t="str">
            <v>2021-22</v>
          </cell>
          <cell r="G459" t="str">
            <v>Pune City RSA</v>
          </cell>
          <cell r="J459" t="str">
            <v>NANDED CITY</v>
          </cell>
          <cell r="K459" t="str">
            <v>Pune</v>
          </cell>
          <cell r="L459" t="str">
            <v>A</v>
          </cell>
          <cell r="O459" t="str">
            <v>A</v>
          </cell>
        </row>
        <row r="460">
          <cell r="C460">
            <v>230449</v>
          </cell>
          <cell r="D460" t="str">
            <v>SHRI SADGURU KRUPA PETROLEUM</v>
          </cell>
          <cell r="E460" t="str">
            <v>BPCL</v>
          </cell>
          <cell r="F460" t="str">
            <v>2021-22</v>
          </cell>
          <cell r="G460" t="str">
            <v>Shirdi RSA</v>
          </cell>
          <cell r="J460" t="str">
            <v>CHAS NALI</v>
          </cell>
          <cell r="K460" t="str">
            <v>Ahmednagar</v>
          </cell>
          <cell r="L460" t="str">
            <v>D2</v>
          </cell>
          <cell r="O460" t="str">
            <v>A</v>
          </cell>
        </row>
        <row r="461">
          <cell r="C461">
            <v>230684</v>
          </cell>
          <cell r="D461" t="str">
            <v>FUELOCITY TECH PRIVATE LIMITED</v>
          </cell>
          <cell r="E461" t="str">
            <v>BPCL</v>
          </cell>
          <cell r="G461" t="str">
            <v>Pune City RSA</v>
          </cell>
          <cell r="J461" t="str">
            <v>DDD</v>
          </cell>
          <cell r="K461" t="str">
            <v>Pune</v>
          </cell>
          <cell r="L461" t="str">
            <v>A</v>
          </cell>
          <cell r="O461" t="str">
            <v>A</v>
          </cell>
        </row>
        <row r="462">
          <cell r="C462">
            <v>230711</v>
          </cell>
          <cell r="D462" t="str">
            <v>S. N. JAJU PETROLEUM</v>
          </cell>
          <cell r="E462" t="str">
            <v>BPCL</v>
          </cell>
          <cell r="F462" t="str">
            <v>2021-22</v>
          </cell>
          <cell r="G462" t="str">
            <v>Shirdi RSA</v>
          </cell>
          <cell r="J462" t="str">
            <v>SANGAMNER - GOLIBAR</v>
          </cell>
          <cell r="K462" t="str">
            <v>Ahmednagar</v>
          </cell>
          <cell r="L462" t="str">
            <v>C</v>
          </cell>
          <cell r="O462" t="str">
            <v>A</v>
          </cell>
        </row>
        <row r="463">
          <cell r="C463">
            <v>230794</v>
          </cell>
          <cell r="D463" t="str">
            <v>D C PETROLEUM</v>
          </cell>
          <cell r="E463" t="str">
            <v>BPCL</v>
          </cell>
          <cell r="F463" t="str">
            <v>2021-22</v>
          </cell>
          <cell r="G463" t="str">
            <v>Pimpri Chinchwad RSA</v>
          </cell>
          <cell r="J463" t="str">
            <v>Ambethan</v>
          </cell>
          <cell r="K463" t="str">
            <v>Pune</v>
          </cell>
          <cell r="L463" t="str">
            <v>E</v>
          </cell>
          <cell r="O463" t="str">
            <v>A</v>
          </cell>
        </row>
        <row r="464">
          <cell r="C464">
            <v>230978</v>
          </cell>
          <cell r="D464" t="str">
            <v>SOPANKAKA PETROLEUM</v>
          </cell>
          <cell r="E464" t="str">
            <v>BPCL</v>
          </cell>
          <cell r="F464" t="str">
            <v>2021-22</v>
          </cell>
          <cell r="G464" t="str">
            <v>Satara East RSA</v>
          </cell>
          <cell r="J464" t="str">
            <v>BORWAT</v>
          </cell>
          <cell r="K464" t="str">
            <v>Satara</v>
          </cell>
          <cell r="L464" t="str">
            <v>E</v>
          </cell>
          <cell r="O464" t="str">
            <v>A</v>
          </cell>
        </row>
        <row r="465">
          <cell r="C465">
            <v>231793</v>
          </cell>
          <cell r="D465" t="str">
            <v>ASHOKRAO PETROLEUM</v>
          </cell>
          <cell r="E465" t="str">
            <v>BPCL</v>
          </cell>
          <cell r="F465" t="str">
            <v>2021-22</v>
          </cell>
          <cell r="G465" t="str">
            <v>Ahmednagar East RSA</v>
          </cell>
          <cell r="J465" t="str">
            <v>Kamargaon</v>
          </cell>
          <cell r="K465" t="str">
            <v>Ahmednagar</v>
          </cell>
          <cell r="L465" t="str">
            <v>D1</v>
          </cell>
          <cell r="M465" t="str">
            <v>NH-753F</v>
          </cell>
          <cell r="O465" t="str">
            <v>B</v>
          </cell>
        </row>
        <row r="466">
          <cell r="C466">
            <v>231815</v>
          </cell>
          <cell r="D466" t="str">
            <v>SHRI MUNGADEVI PETROLEUM</v>
          </cell>
          <cell r="E466" t="str">
            <v>BPCL</v>
          </cell>
          <cell r="F466" t="str">
            <v>2021-22</v>
          </cell>
          <cell r="G466" t="str">
            <v>Ahmednagar East RSA</v>
          </cell>
          <cell r="J466" t="str">
            <v>Mungi- Hatgaon NH752E</v>
          </cell>
          <cell r="K466" t="str">
            <v>Ahmednagar</v>
          </cell>
          <cell r="L466" t="str">
            <v>D1</v>
          </cell>
          <cell r="M466" t="str">
            <v>NH-752E</v>
          </cell>
          <cell r="O466" t="str">
            <v>A</v>
          </cell>
        </row>
        <row r="467">
          <cell r="C467">
            <v>231927</v>
          </cell>
          <cell r="D467" t="str">
            <v>PPS ENTERPRISES</v>
          </cell>
          <cell r="E467" t="str">
            <v>BPCL</v>
          </cell>
          <cell r="F467" t="str">
            <v>2021-22</v>
          </cell>
          <cell r="G467" t="str">
            <v>Pune Wagholi RSA</v>
          </cell>
          <cell r="J467" t="str">
            <v>Peth on NH RHS</v>
          </cell>
          <cell r="K467" t="str">
            <v>Pune</v>
          </cell>
          <cell r="L467" t="str">
            <v>D1</v>
          </cell>
          <cell r="M467" t="str">
            <v>NH-60</v>
          </cell>
          <cell r="O467" t="str">
            <v>A</v>
          </cell>
        </row>
        <row r="468">
          <cell r="C468">
            <v>232048</v>
          </cell>
          <cell r="D468" t="str">
            <v>KANHERKAR PETROLEUM</v>
          </cell>
          <cell r="E468" t="str">
            <v>BPCL</v>
          </cell>
          <cell r="F468" t="str">
            <v>2021-22</v>
          </cell>
          <cell r="G468" t="str">
            <v>Pune Saswad RSA</v>
          </cell>
          <cell r="J468" t="str">
            <v>badalwadi</v>
          </cell>
          <cell r="K468" t="str">
            <v>Pune</v>
          </cell>
          <cell r="L468" t="str">
            <v>D1</v>
          </cell>
          <cell r="M468" t="str">
            <v>NH-65</v>
          </cell>
          <cell r="O468" t="str">
            <v>A</v>
          </cell>
        </row>
        <row r="469">
          <cell r="C469">
            <v>232344</v>
          </cell>
          <cell r="D469" t="str">
            <v>SWARA PETROLEUM</v>
          </cell>
          <cell r="E469" t="str">
            <v>BPCL</v>
          </cell>
          <cell r="F469" t="str">
            <v>2021-22</v>
          </cell>
          <cell r="G469" t="str">
            <v>Pimpri Chinchwad RSA</v>
          </cell>
          <cell r="J469" t="str">
            <v xml:space="preserve">Sablewadi to shikhrapur </v>
          </cell>
          <cell r="K469" t="str">
            <v>Pune</v>
          </cell>
          <cell r="L469" t="str">
            <v>D1</v>
          </cell>
          <cell r="M469" t="str">
            <v>NH-548D</v>
          </cell>
          <cell r="O469" t="str">
            <v>A</v>
          </cell>
        </row>
        <row r="470">
          <cell r="C470">
            <v>232957</v>
          </cell>
          <cell r="D470" t="str">
            <v>JAGADGURU ENERGY STATION</v>
          </cell>
          <cell r="E470" t="str">
            <v>BPCL</v>
          </cell>
          <cell r="F470" t="str">
            <v>2022-23</v>
          </cell>
          <cell r="G470" t="str">
            <v>Pimpri Chinchwad RSA</v>
          </cell>
          <cell r="J470" t="str">
            <v>Dehu Talegaon Road</v>
          </cell>
          <cell r="K470" t="str">
            <v>Pune</v>
          </cell>
          <cell r="L470" t="str">
            <v>C</v>
          </cell>
          <cell r="O470" t="str">
            <v>B</v>
          </cell>
        </row>
        <row r="471">
          <cell r="C471">
            <v>232959</v>
          </cell>
          <cell r="D471" t="str">
            <v>SRINIVAS PETROLEUM</v>
          </cell>
          <cell r="E471" t="str">
            <v>BPCL</v>
          </cell>
          <cell r="F471" t="str">
            <v>2021-22</v>
          </cell>
          <cell r="G471" t="str">
            <v>Satara West RSA</v>
          </cell>
          <cell r="J471" t="str">
            <v>Kodoli to Ghojegaon</v>
          </cell>
          <cell r="K471" t="str">
            <v>Satara</v>
          </cell>
          <cell r="L471" t="str">
            <v>D2</v>
          </cell>
          <cell r="O471" t="str">
            <v>A</v>
          </cell>
        </row>
        <row r="472">
          <cell r="C472">
            <v>232968</v>
          </cell>
          <cell r="D472" t="str">
            <v>SHEWALE AUTOBAHN AND PETROLEU</v>
          </cell>
          <cell r="E472" t="str">
            <v>BPCL</v>
          </cell>
          <cell r="F472" t="str">
            <v>2021-22</v>
          </cell>
          <cell r="G472" t="str">
            <v>Satara West RSA</v>
          </cell>
          <cell r="J472" t="str">
            <v>Satara to Bhuinj</v>
          </cell>
          <cell r="K472" t="str">
            <v>Satara</v>
          </cell>
          <cell r="L472" t="str">
            <v>D1</v>
          </cell>
          <cell r="M472" t="str">
            <v>NH-48</v>
          </cell>
          <cell r="O472" t="str">
            <v>A</v>
          </cell>
        </row>
        <row r="473">
          <cell r="C473">
            <v>232971</v>
          </cell>
          <cell r="D473" t="str">
            <v>AARADHYA PETROLEUM</v>
          </cell>
          <cell r="E473" t="str">
            <v>BPCL</v>
          </cell>
          <cell r="F473" t="str">
            <v>2021-22</v>
          </cell>
          <cell r="G473" t="str">
            <v>Ahmednagar East RSA</v>
          </cell>
          <cell r="J473" t="str">
            <v>MIDC Nagapur</v>
          </cell>
          <cell r="K473" t="str">
            <v>Ahmednagar</v>
          </cell>
          <cell r="L473" t="str">
            <v>D2</v>
          </cell>
          <cell r="O473" t="str">
            <v>A</v>
          </cell>
        </row>
        <row r="474">
          <cell r="C474">
            <v>232979</v>
          </cell>
          <cell r="D474" t="str">
            <v>YASHWANT PETROLEUM</v>
          </cell>
          <cell r="E474" t="str">
            <v>BPCL</v>
          </cell>
          <cell r="F474" t="str">
            <v>2021-22</v>
          </cell>
          <cell r="G474" t="str">
            <v>Satara West RSA</v>
          </cell>
          <cell r="J474" t="str">
            <v>Nandgaon to Ghogaon</v>
          </cell>
          <cell r="K474" t="str">
            <v>Satara</v>
          </cell>
          <cell r="L474" t="str">
            <v>D2</v>
          </cell>
          <cell r="O474" t="str">
            <v>A</v>
          </cell>
        </row>
        <row r="475">
          <cell r="C475">
            <v>232996</v>
          </cell>
          <cell r="D475" t="str">
            <v>UNIQUE PETROLEUM (TRINITY HIGHWAY SERVICES- 113800)</v>
          </cell>
          <cell r="E475" t="str">
            <v>BPCL</v>
          </cell>
          <cell r="G475" t="str">
            <v>Satara East RSA</v>
          </cell>
          <cell r="J475" t="str">
            <v>Thakurki</v>
          </cell>
          <cell r="K475" t="str">
            <v>Satara</v>
          </cell>
          <cell r="L475" t="str">
            <v>D2</v>
          </cell>
          <cell r="O475" t="str">
            <v>A</v>
          </cell>
        </row>
        <row r="476">
          <cell r="C476">
            <v>233284</v>
          </cell>
          <cell r="D476" t="str">
            <v>PACHUNDKAR BAANDAL PETROLEUM</v>
          </cell>
          <cell r="E476" t="str">
            <v>BPCL</v>
          </cell>
          <cell r="F476" t="str">
            <v>2021-22</v>
          </cell>
          <cell r="G476" t="str">
            <v>Pune Wagholi RSA</v>
          </cell>
          <cell r="J476" t="str">
            <v>LONIKAND to KOREGAON BHIMA LHS</v>
          </cell>
          <cell r="K476" t="str">
            <v>Pune</v>
          </cell>
          <cell r="L476" t="str">
            <v>D1</v>
          </cell>
          <cell r="M476" t="str">
            <v>NH-753F</v>
          </cell>
          <cell r="O476" t="str">
            <v>A</v>
          </cell>
        </row>
        <row r="477">
          <cell r="C477">
            <v>233285</v>
          </cell>
          <cell r="D477" t="str">
            <v>SHIV NINE PETROLEUM</v>
          </cell>
          <cell r="E477" t="str">
            <v>BPCL</v>
          </cell>
          <cell r="F477" t="str">
            <v>2021-22</v>
          </cell>
          <cell r="G477" t="str">
            <v>Ahmednagar West RSA</v>
          </cell>
          <cell r="J477" t="str">
            <v>JAKHANGAON</v>
          </cell>
          <cell r="K477" t="str">
            <v>Ahmednagar</v>
          </cell>
          <cell r="L477" t="str">
            <v>D1</v>
          </cell>
          <cell r="M477" t="str">
            <v>NH-61</v>
          </cell>
          <cell r="O477" t="str">
            <v>A</v>
          </cell>
        </row>
        <row r="478">
          <cell r="C478">
            <v>233370</v>
          </cell>
          <cell r="D478" t="str">
            <v>SHRI SIDDHIVINAYAK PETROLEUM</v>
          </cell>
          <cell r="E478" t="str">
            <v>BPCL</v>
          </cell>
          <cell r="F478" t="str">
            <v>2021-22</v>
          </cell>
          <cell r="G478" t="str">
            <v>Ahmednagar West RSA</v>
          </cell>
          <cell r="J478" t="str">
            <v>TAKLI KAZI</v>
          </cell>
          <cell r="K478" t="str">
            <v>Ahmednagar</v>
          </cell>
          <cell r="L478" t="str">
            <v>D1</v>
          </cell>
          <cell r="M478" t="str">
            <v>NH-561</v>
          </cell>
          <cell r="O478" t="str">
            <v>A</v>
          </cell>
        </row>
        <row r="479">
          <cell r="C479">
            <v>233622</v>
          </cell>
          <cell r="D479" t="str">
            <v>SWAMI OM PETROLEUM</v>
          </cell>
          <cell r="E479" t="str">
            <v>BPCL</v>
          </cell>
          <cell r="F479" t="str">
            <v>2021-22</v>
          </cell>
          <cell r="G479" t="str">
            <v>Pune Hadapsar RSA</v>
          </cell>
          <cell r="J479" t="str">
            <v>Rajegaon</v>
          </cell>
          <cell r="K479" t="str">
            <v>Pune</v>
          </cell>
          <cell r="L479" t="str">
            <v>E</v>
          </cell>
          <cell r="O479" t="str">
            <v>A</v>
          </cell>
        </row>
        <row r="480">
          <cell r="C480">
            <v>233630</v>
          </cell>
          <cell r="D480" t="str">
            <v>GAWADE ENERGY STATION</v>
          </cell>
          <cell r="E480" t="str">
            <v>BPCL</v>
          </cell>
          <cell r="F480" t="str">
            <v>2021-22</v>
          </cell>
          <cell r="G480" t="str">
            <v>Pimpri Chinchwad RSA</v>
          </cell>
          <cell r="J480" t="str">
            <v>Rajgurunagar on SH</v>
          </cell>
          <cell r="K480" t="str">
            <v>Pune</v>
          </cell>
          <cell r="L480" t="str">
            <v>D2</v>
          </cell>
          <cell r="O480" t="str">
            <v>A</v>
          </cell>
        </row>
        <row r="481">
          <cell r="C481">
            <v>233639</v>
          </cell>
          <cell r="D481" t="str">
            <v>ANANDA PETROLEUM</v>
          </cell>
          <cell r="E481" t="str">
            <v>BPCL</v>
          </cell>
          <cell r="F481" t="str">
            <v>2021-22</v>
          </cell>
          <cell r="G481" t="str">
            <v>Pune Hadapsar RSA</v>
          </cell>
          <cell r="J481" t="str">
            <v>Nagargaon</v>
          </cell>
          <cell r="K481" t="str">
            <v>Pune</v>
          </cell>
          <cell r="L481" t="str">
            <v>E</v>
          </cell>
          <cell r="O481" t="str">
            <v>A</v>
          </cell>
        </row>
        <row r="482">
          <cell r="C482">
            <v>234218</v>
          </cell>
          <cell r="D482" t="str">
            <v>RAJASHREE PETROLEUM</v>
          </cell>
          <cell r="E482" t="str">
            <v>BPCL</v>
          </cell>
          <cell r="F482" t="str">
            <v>2021-22</v>
          </cell>
          <cell r="G482" t="str">
            <v>Shirdi RSA</v>
          </cell>
          <cell r="J482" t="str">
            <v>KOLHEWADI</v>
          </cell>
          <cell r="K482" t="str">
            <v>Ahmednagar</v>
          </cell>
          <cell r="L482" t="str">
            <v>E</v>
          </cell>
          <cell r="O482" t="str">
            <v>A</v>
          </cell>
        </row>
        <row r="483">
          <cell r="C483">
            <v>234441</v>
          </cell>
          <cell r="D483" t="str">
            <v>SHIVSHAKTI GROUP OF PETROLEUM</v>
          </cell>
          <cell r="E483" t="str">
            <v>BPCL</v>
          </cell>
          <cell r="F483" t="str">
            <v>2022-23</v>
          </cell>
          <cell r="G483" t="str">
            <v>Pimpri Chinchwad RSA</v>
          </cell>
          <cell r="J483" t="str">
            <v>sakhurde</v>
          </cell>
          <cell r="K483" t="str">
            <v>Pune</v>
          </cell>
          <cell r="L483" t="str">
            <v>D1</v>
          </cell>
          <cell r="M483" t="str">
            <v>NH-548D</v>
          </cell>
          <cell r="O483" t="str">
            <v>B</v>
          </cell>
        </row>
        <row r="484">
          <cell r="C484">
            <v>234442</v>
          </cell>
          <cell r="D484" t="str">
            <v>SBS ENERGY</v>
          </cell>
          <cell r="E484" t="str">
            <v>BPCL</v>
          </cell>
          <cell r="F484" t="str">
            <v>2022-23</v>
          </cell>
          <cell r="G484" t="str">
            <v>Pune Wagholi RSA</v>
          </cell>
          <cell r="J484" t="str">
            <v>Otur Malshej</v>
          </cell>
          <cell r="K484" t="str">
            <v>Pune</v>
          </cell>
          <cell r="L484" t="str">
            <v>D1</v>
          </cell>
          <cell r="M484" t="str">
            <v>NH-61</v>
          </cell>
          <cell r="O484" t="str">
            <v>A</v>
          </cell>
        </row>
        <row r="485">
          <cell r="C485">
            <v>234445</v>
          </cell>
          <cell r="D485" t="str">
            <v>PUJA PETROLEUM</v>
          </cell>
          <cell r="E485" t="str">
            <v>BPCL</v>
          </cell>
          <cell r="F485" t="str">
            <v>2021-22</v>
          </cell>
          <cell r="G485" t="str">
            <v>Pune Tathawade RSA</v>
          </cell>
          <cell r="J485" t="str">
            <v>MORGAON-BARAMATI RD</v>
          </cell>
          <cell r="K485" t="str">
            <v>Pune</v>
          </cell>
          <cell r="L485" t="str">
            <v>D2</v>
          </cell>
          <cell r="O485" t="str">
            <v>A</v>
          </cell>
        </row>
        <row r="486">
          <cell r="C486">
            <v>234483</v>
          </cell>
          <cell r="D486" t="str">
            <v>SHRI VADJAI PETROLEUM</v>
          </cell>
          <cell r="E486" t="str">
            <v>BPCL</v>
          </cell>
          <cell r="F486" t="str">
            <v>2022-23</v>
          </cell>
          <cell r="G486" t="str">
            <v>Satara East RSA</v>
          </cell>
          <cell r="J486" t="str">
            <v>VADJAL</v>
          </cell>
          <cell r="K486" t="str">
            <v>Satara</v>
          </cell>
          <cell r="L486" t="str">
            <v>D2</v>
          </cell>
          <cell r="O486" t="str">
            <v>B</v>
          </cell>
        </row>
        <row r="487">
          <cell r="C487">
            <v>235268</v>
          </cell>
          <cell r="D487" t="str">
            <v>AVNISH FUELS PRIVATE LIMITED</v>
          </cell>
          <cell r="E487" t="str">
            <v>BPCL</v>
          </cell>
          <cell r="G487" t="str">
            <v>Shirdi RSA</v>
          </cell>
          <cell r="J487" t="str">
            <v>DDD</v>
          </cell>
          <cell r="K487" t="str">
            <v>Ahmednagar</v>
          </cell>
          <cell r="L487" t="str">
            <v>D2</v>
          </cell>
          <cell r="O487" t="str">
            <v>A</v>
          </cell>
        </row>
        <row r="488">
          <cell r="C488">
            <v>235439</v>
          </cell>
          <cell r="D488" t="str">
            <v>SHRI SWAMI SAI FUELS</v>
          </cell>
          <cell r="E488" t="str">
            <v>BPCL</v>
          </cell>
          <cell r="F488" t="str">
            <v>2022-23</v>
          </cell>
          <cell r="G488" t="str">
            <v>Shirdi RSA</v>
          </cell>
          <cell r="J488" t="str">
            <v>DAHIGAON BOLKA</v>
          </cell>
          <cell r="K488" t="str">
            <v>Ahmednagar</v>
          </cell>
          <cell r="L488" t="str">
            <v>D1</v>
          </cell>
          <cell r="M488" t="str">
            <v>NH-160</v>
          </cell>
          <cell r="O488" t="str">
            <v>B</v>
          </cell>
        </row>
        <row r="489">
          <cell r="C489">
            <v>235775</v>
          </cell>
          <cell r="D489" t="str">
            <v>CHANDRAKANT PETROLEUM</v>
          </cell>
          <cell r="E489" t="str">
            <v>BPCL</v>
          </cell>
          <cell r="F489" t="str">
            <v>2022-23</v>
          </cell>
          <cell r="G489" t="str">
            <v>Shirdi RSA</v>
          </cell>
          <cell r="J489" t="str">
            <v>RAJUR</v>
          </cell>
          <cell r="K489" t="str">
            <v>Ahmednagar</v>
          </cell>
          <cell r="L489" t="str">
            <v>D2</v>
          </cell>
          <cell r="O489" t="str">
            <v>B</v>
          </cell>
        </row>
        <row r="490">
          <cell r="C490">
            <v>235776</v>
          </cell>
          <cell r="D490" t="str">
            <v>DHOKESHWAR SAINIK PUMP</v>
          </cell>
          <cell r="E490" t="str">
            <v>BPCL</v>
          </cell>
          <cell r="F490" t="str">
            <v>2022-23</v>
          </cell>
          <cell r="G490" t="str">
            <v>Ahmednagar West RSA</v>
          </cell>
          <cell r="J490" t="str">
            <v>WASUNDE</v>
          </cell>
          <cell r="K490" t="str">
            <v>Ahmednagar</v>
          </cell>
          <cell r="L490" t="str">
            <v>D2</v>
          </cell>
          <cell r="O490" t="str">
            <v>B</v>
          </cell>
        </row>
        <row r="491">
          <cell r="C491">
            <v>235805</v>
          </cell>
          <cell r="D491" t="str">
            <v>VIJAYA PETROLEUM</v>
          </cell>
          <cell r="E491" t="str">
            <v>BPCL</v>
          </cell>
          <cell r="F491" t="str">
            <v>2022-23</v>
          </cell>
          <cell r="G491" t="str">
            <v>Shirdi RSA</v>
          </cell>
          <cell r="J491" t="str">
            <v>GHARGAON Nashik-Pune LHS</v>
          </cell>
          <cell r="K491" t="str">
            <v>Ahmednagar</v>
          </cell>
          <cell r="L491" t="str">
            <v>D1</v>
          </cell>
          <cell r="M491" t="str">
            <v>NH-60</v>
          </cell>
          <cell r="O491" t="str">
            <v>A</v>
          </cell>
        </row>
        <row r="492">
          <cell r="C492">
            <v>236967</v>
          </cell>
          <cell r="D492" t="str">
            <v>KHUPTE PETROLEUM</v>
          </cell>
          <cell r="E492" t="str">
            <v>BPCL</v>
          </cell>
          <cell r="F492" t="str">
            <v>2022-23</v>
          </cell>
          <cell r="G492" t="str">
            <v>Pune Wagholi RSA</v>
          </cell>
          <cell r="J492" t="str">
            <v>Malthan</v>
          </cell>
          <cell r="K492" t="str">
            <v>Pune</v>
          </cell>
          <cell r="L492" t="str">
            <v>D2</v>
          </cell>
          <cell r="O492" t="str">
            <v>B</v>
          </cell>
        </row>
        <row r="493">
          <cell r="C493">
            <v>238950</v>
          </cell>
          <cell r="D493" t="str">
            <v>SHREESH ENERGY – Nagthane, Satara on NH-04, D1</v>
          </cell>
          <cell r="E493" t="str">
            <v>BPCL</v>
          </cell>
          <cell r="F493" t="str">
            <v>2022-23</v>
          </cell>
          <cell r="G493" t="str">
            <v>Satara West RSA</v>
          </cell>
          <cell r="J493" t="str">
            <v>KASHIL TO SHENDRE</v>
          </cell>
          <cell r="K493" t="str">
            <v>Satara</v>
          </cell>
          <cell r="L493" t="str">
            <v>D1</v>
          </cell>
          <cell r="M493" t="str">
            <v>NH-48</v>
          </cell>
          <cell r="O493" t="str">
            <v>B</v>
          </cell>
        </row>
        <row r="494">
          <cell r="C494">
            <v>238952</v>
          </cell>
          <cell r="D494" t="str">
            <v>TULJAI PETROLEUM</v>
          </cell>
          <cell r="E494" t="str">
            <v>BPCL</v>
          </cell>
          <cell r="F494" t="str">
            <v>2022-23</v>
          </cell>
          <cell r="G494" t="str">
            <v>Satara West RSA</v>
          </cell>
          <cell r="J494" t="str">
            <v>Asale - Wai Road</v>
          </cell>
          <cell r="K494" t="str">
            <v>Satara</v>
          </cell>
          <cell r="L494" t="str">
            <v>E</v>
          </cell>
          <cell r="O494" t="str">
            <v>B</v>
          </cell>
        </row>
        <row r="495">
          <cell r="C495">
            <v>238957</v>
          </cell>
          <cell r="D495" t="str">
            <v>BHAGYALAXMI PETROLEUM – Kenjal (Wai Shirur Road, D2, Satara)</v>
          </cell>
          <cell r="E495" t="str">
            <v>BPCL</v>
          </cell>
          <cell r="F495" t="str">
            <v>2022-23</v>
          </cell>
          <cell r="G495" t="str">
            <v>Satara West RSA</v>
          </cell>
          <cell r="J495" t="str">
            <v>Kavthe Wai Surur Road</v>
          </cell>
          <cell r="K495" t="str">
            <v>Satara</v>
          </cell>
          <cell r="L495" t="str">
            <v>D2</v>
          </cell>
          <cell r="O495" t="str">
            <v>B</v>
          </cell>
        </row>
        <row r="496">
          <cell r="C496">
            <v>239256</v>
          </cell>
          <cell r="D496" t="str">
            <v>FUELZING TECHNOLOGIES PRIVATE LTD</v>
          </cell>
          <cell r="E496" t="str">
            <v>BPCL</v>
          </cell>
          <cell r="G496" t="str">
            <v>Pune City RSA</v>
          </cell>
          <cell r="J496" t="str">
            <v>DDD</v>
          </cell>
          <cell r="K496" t="str">
            <v>Pune</v>
          </cell>
          <cell r="L496" t="str">
            <v>D1</v>
          </cell>
          <cell r="M496" t="str">
            <v>NH-753F</v>
          </cell>
          <cell r="O496" t="str">
            <v>A</v>
          </cell>
        </row>
        <row r="497">
          <cell r="C497">
            <v>239865</v>
          </cell>
          <cell r="D497" t="str">
            <v>HENDRE PETROLEUM</v>
          </cell>
          <cell r="E497" t="str">
            <v>BPCL</v>
          </cell>
          <cell r="F497" t="str">
            <v>2022-23</v>
          </cell>
          <cell r="G497" t="str">
            <v>Pune Saswad RSA</v>
          </cell>
          <cell r="J497" t="str">
            <v>SASWAD</v>
          </cell>
          <cell r="K497" t="str">
            <v>Pune</v>
          </cell>
          <cell r="L497" t="str">
            <v>C</v>
          </cell>
          <cell r="O497" t="str">
            <v>B</v>
          </cell>
        </row>
        <row r="498">
          <cell r="C498">
            <v>239910</v>
          </cell>
          <cell r="D498" t="str">
            <v>VELOCITY ENERGIES PRIVATE LTD</v>
          </cell>
          <cell r="E498" t="str">
            <v>BPCL</v>
          </cell>
          <cell r="G498" t="str">
            <v>Pimpri Chinchwad RSA</v>
          </cell>
          <cell r="J498" t="str">
            <v>DDD</v>
          </cell>
          <cell r="K498" t="str">
            <v>Pune</v>
          </cell>
          <cell r="L498" t="str">
            <v>D1</v>
          </cell>
          <cell r="M498" t="str">
            <v>NH-548D</v>
          </cell>
          <cell r="O498" t="str">
            <v>A</v>
          </cell>
        </row>
        <row r="499">
          <cell r="C499">
            <v>240102</v>
          </cell>
          <cell r="D499" t="str">
            <v>Thange Petroleum</v>
          </cell>
          <cell r="E499" t="str">
            <v>BPCL</v>
          </cell>
          <cell r="F499" t="str">
            <v>2022-23</v>
          </cell>
          <cell r="G499" t="str">
            <v>Ahmednagar East RSA</v>
          </cell>
          <cell r="J499" t="str">
            <v>nalegaon</v>
          </cell>
          <cell r="K499" t="str">
            <v>Ahmednagar</v>
          </cell>
          <cell r="L499" t="str">
            <v>C</v>
          </cell>
          <cell r="O499" t="str">
            <v>A</v>
          </cell>
        </row>
        <row r="500">
          <cell r="C500">
            <v>240147</v>
          </cell>
          <cell r="D500" t="str">
            <v>MAHALAXMI PETROLEUM</v>
          </cell>
          <cell r="E500" t="str">
            <v>BPCL</v>
          </cell>
          <cell r="F500" t="str">
            <v>2022-23</v>
          </cell>
          <cell r="G500" t="str">
            <v>Ahmednagar West RSA</v>
          </cell>
          <cell r="J500" t="str">
            <v>LONI VYNKNATH-KASHTI (NH)</v>
          </cell>
          <cell r="K500" t="str">
            <v>Ahmednagar</v>
          </cell>
          <cell r="L500" t="str">
            <v>D1</v>
          </cell>
          <cell r="M500" t="str">
            <v>NH-160</v>
          </cell>
          <cell r="O500" t="str">
            <v>B</v>
          </cell>
        </row>
        <row r="501">
          <cell r="C501">
            <v>240441</v>
          </cell>
          <cell r="D501" t="str">
            <v>DEVENDRA AUTOLINES ADHOC (191804 SHUBAM PETROLEUM ADHOC)</v>
          </cell>
          <cell r="E501" t="str">
            <v>BPCL</v>
          </cell>
          <cell r="G501" t="str">
            <v>Pune Tathawade RSA</v>
          </cell>
          <cell r="J501" t="str">
            <v>Lonavala</v>
          </cell>
          <cell r="K501" t="str">
            <v>Pune</v>
          </cell>
          <cell r="L501" t="str">
            <v>D1</v>
          </cell>
          <cell r="M501" t="str">
            <v>NH-48</v>
          </cell>
          <cell r="O501" t="str">
            <v>A</v>
          </cell>
        </row>
        <row r="502">
          <cell r="C502">
            <v>240972</v>
          </cell>
          <cell r="D502" t="str">
            <v>Shivshanti Petroleum</v>
          </cell>
          <cell r="E502" t="str">
            <v>BPCL</v>
          </cell>
          <cell r="F502" t="str">
            <v>2022-23</v>
          </cell>
          <cell r="G502" t="str">
            <v>Satara East RSA</v>
          </cell>
          <cell r="J502" t="str">
            <v>GURSALE</v>
          </cell>
          <cell r="K502" t="str">
            <v>Satara</v>
          </cell>
          <cell r="L502" t="str">
            <v>E</v>
          </cell>
          <cell r="O502" t="str">
            <v>B</v>
          </cell>
        </row>
        <row r="503">
          <cell r="C503">
            <v>241197</v>
          </cell>
          <cell r="D503" t="str">
            <v>T AND T FUEL SOLUTIONS PRIVATE LTD</v>
          </cell>
          <cell r="E503" t="str">
            <v>BPCL</v>
          </cell>
          <cell r="G503" t="str">
            <v>Pimpri Chinchwad RSA</v>
          </cell>
          <cell r="J503" t="str">
            <v>DDD</v>
          </cell>
          <cell r="K503" t="str">
            <v>Pune</v>
          </cell>
          <cell r="L503" t="str">
            <v>D1</v>
          </cell>
          <cell r="M503" t="str">
            <v>NH-548D</v>
          </cell>
          <cell r="O503" t="str">
            <v>A</v>
          </cell>
        </row>
        <row r="504">
          <cell r="C504">
            <v>241432</v>
          </cell>
          <cell r="D504" t="str">
            <v>KAMAL PETROLEUM</v>
          </cell>
          <cell r="E504" t="str">
            <v>BPCL</v>
          </cell>
          <cell r="F504" t="str">
            <v>2022-23</v>
          </cell>
          <cell r="G504" t="str">
            <v>Shirdi RSA</v>
          </cell>
          <cell r="J504" t="str">
            <v>DEVGAON</v>
          </cell>
          <cell r="K504" t="str">
            <v>Ahmednagar</v>
          </cell>
          <cell r="L504" t="str">
            <v>E</v>
          </cell>
          <cell r="O504" t="str">
            <v>B</v>
          </cell>
        </row>
        <row r="505">
          <cell r="C505">
            <v>241434</v>
          </cell>
          <cell r="D505" t="str">
            <v>SAIDEEP PETROLEUM</v>
          </cell>
          <cell r="E505" t="str">
            <v>BPCL</v>
          </cell>
          <cell r="F505" t="str">
            <v>2022-23</v>
          </cell>
          <cell r="G505" t="str">
            <v>Shirdi RSA</v>
          </cell>
          <cell r="J505" t="str">
            <v>KHADAKEWAKE</v>
          </cell>
          <cell r="K505" t="str">
            <v>Ahmednagar</v>
          </cell>
          <cell r="L505" t="str">
            <v>E</v>
          </cell>
          <cell r="O505" t="str">
            <v>B</v>
          </cell>
        </row>
        <row r="506">
          <cell r="C506">
            <v>242494</v>
          </cell>
          <cell r="D506" t="str">
            <v>ORANGE PETROLEUM</v>
          </cell>
          <cell r="E506" t="str">
            <v>BPCL</v>
          </cell>
          <cell r="F506" t="str">
            <v>2023-24</v>
          </cell>
          <cell r="G506" t="str">
            <v>Ahmednagar East RSA</v>
          </cell>
          <cell r="J506" t="str">
            <v>Kangoni</v>
          </cell>
          <cell r="K506" t="str">
            <v>Ahmednagar</v>
          </cell>
          <cell r="L506" t="str">
            <v>D1</v>
          </cell>
          <cell r="M506" t="str">
            <v>NH-753F</v>
          </cell>
          <cell r="O506" t="str">
            <v>B</v>
          </cell>
        </row>
        <row r="507">
          <cell r="C507">
            <v>242867</v>
          </cell>
          <cell r="D507" t="str">
            <v>SHIVNERI ENERGY STATION</v>
          </cell>
          <cell r="E507" t="str">
            <v>BPCL</v>
          </cell>
          <cell r="F507" t="str">
            <v>2023-24</v>
          </cell>
          <cell r="G507" t="str">
            <v>Pune Wagholi RSA</v>
          </cell>
          <cell r="J507" t="str">
            <v>Narayangaon to Alephata RHS</v>
          </cell>
          <cell r="K507" t="str">
            <v>Pune</v>
          </cell>
          <cell r="L507" t="str">
            <v>D1</v>
          </cell>
          <cell r="M507" t="str">
            <v>NH-60</v>
          </cell>
          <cell r="O507" t="str">
            <v>B</v>
          </cell>
        </row>
        <row r="508">
          <cell r="C508">
            <v>243243</v>
          </cell>
          <cell r="D508" t="str">
            <v>SHREE HARI FUELS</v>
          </cell>
          <cell r="E508" t="str">
            <v>BPCL</v>
          </cell>
          <cell r="F508" t="str">
            <v>2023-24</v>
          </cell>
          <cell r="G508" t="str">
            <v>Ahmednagar West RSA</v>
          </cell>
          <cell r="J508" t="str">
            <v>Karanji</v>
          </cell>
          <cell r="K508" t="str">
            <v>Ahmednagar</v>
          </cell>
          <cell r="L508" t="str">
            <v>D1</v>
          </cell>
          <cell r="M508" t="str">
            <v>NH-61</v>
          </cell>
          <cell r="O508" t="str">
            <v>A</v>
          </cell>
        </row>
        <row r="509">
          <cell r="C509">
            <v>243261</v>
          </cell>
          <cell r="D509" t="str">
            <v>ANUPAMA PETROLEUM</v>
          </cell>
          <cell r="E509" t="str">
            <v>BPCL</v>
          </cell>
          <cell r="F509" t="str">
            <v>2023-24</v>
          </cell>
          <cell r="G509" t="str">
            <v>Ahmednagar West RSA</v>
          </cell>
          <cell r="J509" t="str">
            <v>Kanhoor (Parner)</v>
          </cell>
          <cell r="K509" t="str">
            <v>Ahmednagar</v>
          </cell>
          <cell r="L509" t="str">
            <v>E</v>
          </cell>
          <cell r="O509" t="str">
            <v>A</v>
          </cell>
        </row>
        <row r="510">
          <cell r="C510">
            <v>243716</v>
          </cell>
          <cell r="D510" t="str">
            <v>SAI ANANAD PETROLUIM</v>
          </cell>
          <cell r="E510" t="str">
            <v>BPCL</v>
          </cell>
          <cell r="F510" t="str">
            <v>2023-24</v>
          </cell>
          <cell r="G510" t="str">
            <v>Pune Tathawade RSA</v>
          </cell>
          <cell r="J510" t="str">
            <v>Bhor-Kapurhol Road</v>
          </cell>
          <cell r="K510" t="str">
            <v>Pune</v>
          </cell>
          <cell r="L510" t="str">
            <v>E</v>
          </cell>
          <cell r="O510" t="str">
            <v>A</v>
          </cell>
        </row>
        <row r="511">
          <cell r="C511">
            <v>244064</v>
          </cell>
          <cell r="D511" t="str">
            <v>CHINTAMANI PETROLEUM</v>
          </cell>
          <cell r="E511" t="str">
            <v>BPCL</v>
          </cell>
          <cell r="F511" t="str">
            <v>2023-24</v>
          </cell>
          <cell r="G511" t="str">
            <v>Pune City RSA</v>
          </cell>
          <cell r="J511" t="str">
            <v>RAVET</v>
          </cell>
          <cell r="K511" t="str">
            <v>Pune</v>
          </cell>
          <cell r="L511" t="str">
            <v>A</v>
          </cell>
          <cell r="O511" t="str">
            <v>A</v>
          </cell>
        </row>
        <row r="512">
          <cell r="C512">
            <v>244340</v>
          </cell>
          <cell r="D512" t="str">
            <v>SB DIVEKAR PETROLEUM</v>
          </cell>
          <cell r="E512" t="str">
            <v>BPCL</v>
          </cell>
          <cell r="F512" t="str">
            <v>2023-24</v>
          </cell>
          <cell r="G512" t="str">
            <v>Shirdi RSA</v>
          </cell>
          <cell r="J512" t="str">
            <v>GUNJALWADI</v>
          </cell>
          <cell r="K512" t="str">
            <v>Ahmednagar</v>
          </cell>
          <cell r="L512" t="str">
            <v>D2</v>
          </cell>
          <cell r="O512" t="str">
            <v>A</v>
          </cell>
        </row>
        <row r="513">
          <cell r="C513">
            <v>244793</v>
          </cell>
          <cell r="D513" t="str">
            <v>AARYA PETROLEUM</v>
          </cell>
          <cell r="E513" t="str">
            <v>BPCL</v>
          </cell>
          <cell r="F513" t="str">
            <v>2023-24</v>
          </cell>
          <cell r="G513" t="str">
            <v>Shirdi RSA</v>
          </cell>
          <cell r="J513" t="str">
            <v>TAKLIBHAN</v>
          </cell>
          <cell r="K513" t="str">
            <v>Ahmednagar</v>
          </cell>
          <cell r="L513" t="str">
            <v>D2</v>
          </cell>
          <cell r="O513" t="str">
            <v>A</v>
          </cell>
        </row>
        <row r="514">
          <cell r="C514">
            <v>244807</v>
          </cell>
          <cell r="D514" t="str">
            <v>SITAIKRUPA PETROLEUM</v>
          </cell>
          <cell r="E514" t="str">
            <v>BPCL</v>
          </cell>
          <cell r="F514" t="str">
            <v>2023-24</v>
          </cell>
          <cell r="G514" t="str">
            <v>Pimpri Chinchwad RSA</v>
          </cell>
          <cell r="J514" t="str">
            <v>Rajgurunagar on SH</v>
          </cell>
          <cell r="K514" t="str">
            <v>Pune</v>
          </cell>
          <cell r="L514" t="str">
            <v>D2</v>
          </cell>
          <cell r="O514" t="str">
            <v>B</v>
          </cell>
        </row>
        <row r="515">
          <cell r="C515">
            <v>244808</v>
          </cell>
          <cell r="D515" t="str">
            <v>GURUKRUPA PETROLEUM</v>
          </cell>
          <cell r="E515" t="str">
            <v>BPCL</v>
          </cell>
          <cell r="F515" t="str">
            <v>2023-24</v>
          </cell>
          <cell r="G515" t="str">
            <v>Satara West RSA</v>
          </cell>
          <cell r="J515" t="str">
            <v>MALHARPETH TO NADE</v>
          </cell>
          <cell r="K515" t="str">
            <v>Satara</v>
          </cell>
          <cell r="L515" t="str">
            <v>D1</v>
          </cell>
          <cell r="M515" t="str">
            <v>NH-166E</v>
          </cell>
          <cell r="O515" t="str">
            <v>A</v>
          </cell>
        </row>
        <row r="516">
          <cell r="C516">
            <v>244809</v>
          </cell>
          <cell r="D516" t="str">
            <v>RADHEY PETROLINKS</v>
          </cell>
          <cell r="E516" t="str">
            <v>BPCL</v>
          </cell>
          <cell r="F516" t="str">
            <v>2023-24</v>
          </cell>
          <cell r="G516" t="str">
            <v>Satara West RSA</v>
          </cell>
          <cell r="J516" t="str">
            <v>WAGHERI</v>
          </cell>
          <cell r="K516" t="str">
            <v>Satara</v>
          </cell>
          <cell r="L516" t="str">
            <v>C</v>
          </cell>
          <cell r="O516" t="str">
            <v>A</v>
          </cell>
        </row>
        <row r="517">
          <cell r="C517">
            <v>245588</v>
          </cell>
          <cell r="D517" t="str">
            <v>TATHE PETROLEUM</v>
          </cell>
          <cell r="E517" t="str">
            <v>BPCL</v>
          </cell>
          <cell r="F517" t="str">
            <v>2023-24</v>
          </cell>
          <cell r="G517" t="str">
            <v>Pimpri Chinchwad RSA</v>
          </cell>
          <cell r="J517" t="str">
            <v>Chakan Bhose</v>
          </cell>
          <cell r="K517" t="str">
            <v>Pune</v>
          </cell>
          <cell r="L517" t="str">
            <v>D1</v>
          </cell>
          <cell r="M517" t="str">
            <v>NH-548D</v>
          </cell>
          <cell r="O517" t="str">
            <v>A</v>
          </cell>
        </row>
        <row r="518">
          <cell r="C518">
            <v>245875</v>
          </cell>
          <cell r="D518" t="str">
            <v xml:space="preserve">Sai Shraddha Fuels </v>
          </cell>
          <cell r="E518" t="str">
            <v>BPCL</v>
          </cell>
          <cell r="F518" t="str">
            <v>2023-24</v>
          </cell>
          <cell r="G518" t="str">
            <v>Ahmednagar West RSA</v>
          </cell>
          <cell r="J518" t="str">
            <v>Walwad (Karjat)</v>
          </cell>
          <cell r="K518" t="str">
            <v>Ahmednagar</v>
          </cell>
          <cell r="L518" t="str">
            <v>D1</v>
          </cell>
          <cell r="M518" t="str">
            <v>NH-548D</v>
          </cell>
          <cell r="O518" t="str">
            <v>B</v>
          </cell>
        </row>
        <row r="519">
          <cell r="C519">
            <v>246165</v>
          </cell>
          <cell r="D519" t="str">
            <v>MAULI PETROLEUM</v>
          </cell>
          <cell r="E519" t="str">
            <v>BPCL</v>
          </cell>
          <cell r="F519" t="str">
            <v>2023-24</v>
          </cell>
          <cell r="G519" t="str">
            <v>Pimpri Chinchwad RSA</v>
          </cell>
          <cell r="J519" t="str">
            <v>ALANDI RURAL</v>
          </cell>
          <cell r="K519" t="str">
            <v>Pune</v>
          </cell>
          <cell r="L519" t="str">
            <v>E</v>
          </cell>
          <cell r="O519" t="str">
            <v>A</v>
          </cell>
        </row>
        <row r="520">
          <cell r="C520">
            <v>246893</v>
          </cell>
          <cell r="D520" t="str">
            <v>SHANTAI PETROLEUM</v>
          </cell>
          <cell r="E520" t="str">
            <v>BPCL</v>
          </cell>
          <cell r="F520" t="str">
            <v>2023-24</v>
          </cell>
          <cell r="G520" t="str">
            <v>Pune Hadapsar RSA</v>
          </cell>
          <cell r="J520" t="str">
            <v>UrliDevachi</v>
          </cell>
          <cell r="K520" t="str">
            <v>Pune</v>
          </cell>
          <cell r="L520" t="str">
            <v>D1</v>
          </cell>
          <cell r="M520" t="str">
            <v>NH-965</v>
          </cell>
          <cell r="O520" t="str">
            <v>A</v>
          </cell>
        </row>
        <row r="521">
          <cell r="C521">
            <v>249138</v>
          </cell>
          <cell r="D521" t="str">
            <v>KALBHOR PETROLEUM</v>
          </cell>
          <cell r="E521" t="str">
            <v>BPCL</v>
          </cell>
          <cell r="F521" t="str">
            <v>2024-25</v>
          </cell>
          <cell r="G521" t="str">
            <v>Pune Hadapsar RSA</v>
          </cell>
          <cell r="J521" t="str">
            <v>Ravangaon RHS</v>
          </cell>
          <cell r="K521" t="str">
            <v>Pune</v>
          </cell>
          <cell r="L521" t="str">
            <v>D1</v>
          </cell>
          <cell r="M521" t="str">
            <v>NH-65</v>
          </cell>
          <cell r="O521" t="str">
            <v>A</v>
          </cell>
        </row>
        <row r="522">
          <cell r="C522">
            <v>249194</v>
          </cell>
          <cell r="D522" t="str">
            <v>SAI BHAGWAN PETROLEUM</v>
          </cell>
          <cell r="E522" t="str">
            <v>BPCL</v>
          </cell>
          <cell r="F522" t="str">
            <v>2024-25</v>
          </cell>
          <cell r="G522" t="str">
            <v>Ahmednagar West RSA</v>
          </cell>
          <cell r="J522" t="str">
            <v>SHEKTE</v>
          </cell>
          <cell r="K522" t="str">
            <v>Ahmednagar</v>
          </cell>
          <cell r="L522" t="str">
            <v>D1</v>
          </cell>
          <cell r="M522" t="str">
            <v>NH-61</v>
          </cell>
          <cell r="O522" t="str">
            <v>B</v>
          </cell>
        </row>
        <row r="523">
          <cell r="C523">
            <v>249666</v>
          </cell>
          <cell r="D523" t="str">
            <v>MAULI PETROLEUM</v>
          </cell>
          <cell r="E523" t="str">
            <v>BPCL</v>
          </cell>
          <cell r="F523" t="str">
            <v>2024-25</v>
          </cell>
          <cell r="G523" t="str">
            <v>Ahmednagar East RSA</v>
          </cell>
          <cell r="J523" t="str">
            <v>Bhenda</v>
          </cell>
          <cell r="K523" t="str">
            <v>Ahmednagar</v>
          </cell>
          <cell r="L523" t="str">
            <v>D2</v>
          </cell>
          <cell r="O523" t="str">
            <v>B</v>
          </cell>
        </row>
        <row r="524">
          <cell r="C524">
            <v>249819</v>
          </cell>
          <cell r="D524" t="str">
            <v>SHIVGANGA PETROLEUM</v>
          </cell>
          <cell r="E524" t="str">
            <v>BPCL</v>
          </cell>
          <cell r="F524" t="str">
            <v>2024-25</v>
          </cell>
          <cell r="G524" t="str">
            <v>Pune Wagholi RSA</v>
          </cell>
          <cell r="J524" t="str">
            <v>LONIKAND to KOREGAON BHIMA LHS</v>
          </cell>
          <cell r="K524" t="str">
            <v>Pune</v>
          </cell>
          <cell r="L524" t="str">
            <v>D1</v>
          </cell>
          <cell r="M524" t="str">
            <v>NH-753F</v>
          </cell>
          <cell r="O524" t="str">
            <v>A</v>
          </cell>
        </row>
        <row r="525">
          <cell r="C525">
            <v>249858</v>
          </cell>
          <cell r="D525" t="str">
            <v>NATH PETROLEUM</v>
          </cell>
          <cell r="E525" t="str">
            <v>BPCL</v>
          </cell>
          <cell r="F525" t="str">
            <v>2024-25</v>
          </cell>
          <cell r="G525" t="str">
            <v>Pimpri Chinchwad RSA</v>
          </cell>
          <cell r="J525" t="str">
            <v>Chakan Bhose</v>
          </cell>
          <cell r="K525" t="str">
            <v>Pune</v>
          </cell>
          <cell r="L525" t="str">
            <v>D1</v>
          </cell>
          <cell r="M525" t="str">
            <v>NH-548D</v>
          </cell>
          <cell r="O525" t="str">
            <v>B</v>
          </cell>
        </row>
        <row r="526">
          <cell r="C526">
            <v>250392</v>
          </cell>
          <cell r="D526" t="str">
            <v>VIJAYRAJ PETROLEUM</v>
          </cell>
          <cell r="E526" t="str">
            <v>BPCL</v>
          </cell>
          <cell r="F526" t="str">
            <v>2024-25</v>
          </cell>
          <cell r="G526" t="str">
            <v>Ahmednagar West RSA</v>
          </cell>
          <cell r="J526" t="str">
            <v>JAKHANGAON</v>
          </cell>
          <cell r="K526" t="str">
            <v>Ahmednagar</v>
          </cell>
          <cell r="L526" t="str">
            <v>D1</v>
          </cell>
          <cell r="M526" t="str">
            <v>NH-61</v>
          </cell>
          <cell r="O526" t="str">
            <v>A</v>
          </cell>
        </row>
        <row r="527">
          <cell r="C527">
            <v>250398</v>
          </cell>
          <cell r="D527" t="str">
            <v>DHUMAL NANA PETROLEUM</v>
          </cell>
          <cell r="E527" t="str">
            <v>BPCL</v>
          </cell>
          <cell r="F527" t="str">
            <v>2024-25</v>
          </cell>
          <cell r="G527" t="str">
            <v>Pune Saswad RSA</v>
          </cell>
          <cell r="J527" t="str">
            <v>SASWAD WAGHAPUR YAVAT ROAD</v>
          </cell>
          <cell r="K527" t="str">
            <v>Pune</v>
          </cell>
          <cell r="L527" t="str">
            <v>D2</v>
          </cell>
          <cell r="O527" t="str">
            <v>B</v>
          </cell>
        </row>
        <row r="528">
          <cell r="C528">
            <v>250936</v>
          </cell>
          <cell r="D528" t="str">
            <v>KRUSHNAI PETROLEUM</v>
          </cell>
          <cell r="E528" t="str">
            <v>BPCL</v>
          </cell>
          <cell r="F528" t="str">
            <v>2024-25</v>
          </cell>
          <cell r="G528" t="str">
            <v>Pune Tathawade RSA</v>
          </cell>
          <cell r="J528" t="str">
            <v>BARAMATI TOWN ON UNDEWADI ROAD</v>
          </cell>
          <cell r="K528" t="str">
            <v>Pune</v>
          </cell>
          <cell r="L528" t="str">
            <v>D1</v>
          </cell>
          <cell r="M528" t="str">
            <v>NH-160</v>
          </cell>
          <cell r="O528" t="str">
            <v>A</v>
          </cell>
        </row>
        <row r="529">
          <cell r="C529">
            <v>250943</v>
          </cell>
          <cell r="D529" t="str">
            <v>ROYAL FUELS</v>
          </cell>
          <cell r="E529" t="str">
            <v>BPCL</v>
          </cell>
          <cell r="F529" t="str">
            <v>2024-25</v>
          </cell>
          <cell r="G529" t="str">
            <v>Satara East RSA</v>
          </cell>
          <cell r="J529" t="str">
            <v>Waduj Dahiwadi Road</v>
          </cell>
          <cell r="K529" t="str">
            <v>Satara</v>
          </cell>
          <cell r="L529" t="str">
            <v>D2</v>
          </cell>
          <cell r="O529" t="str">
            <v>B</v>
          </cell>
        </row>
        <row r="530">
          <cell r="C530">
            <v>250949</v>
          </cell>
          <cell r="D530" t="str">
            <v>RUDRANSH PETROLEUM</v>
          </cell>
          <cell r="E530" t="str">
            <v>BPCL</v>
          </cell>
          <cell r="F530" t="str">
            <v>2024-25</v>
          </cell>
          <cell r="G530" t="str">
            <v>Satara West RSA</v>
          </cell>
          <cell r="J530" t="str">
            <v>Shirwal to Khandala</v>
          </cell>
          <cell r="K530" t="str">
            <v>Satara</v>
          </cell>
          <cell r="L530" t="str">
            <v>D1</v>
          </cell>
          <cell r="M530" t="str">
            <v>NH-48</v>
          </cell>
          <cell r="O530" t="str">
            <v>B</v>
          </cell>
        </row>
        <row r="531">
          <cell r="C531">
            <v>251823</v>
          </cell>
          <cell r="D531" t="str">
            <v>KANDHARE PETROLEUM</v>
          </cell>
          <cell r="E531" t="str">
            <v>BPCL</v>
          </cell>
          <cell r="F531" t="str">
            <v>2024-25</v>
          </cell>
          <cell r="G531" t="str">
            <v>Pune City RSA</v>
          </cell>
          <cell r="J531" t="str">
            <v>Akole-Mulshi</v>
          </cell>
          <cell r="K531" t="str">
            <v>Pune</v>
          </cell>
          <cell r="L531" t="str">
            <v>D1</v>
          </cell>
          <cell r="M531" t="str">
            <v>NH-753F</v>
          </cell>
          <cell r="O531" t="str">
            <v>A</v>
          </cell>
        </row>
        <row r="532">
          <cell r="C532">
            <v>252210</v>
          </cell>
          <cell r="D532" t="str">
            <v>SHUBHAM PETROLEUM</v>
          </cell>
          <cell r="E532" t="str">
            <v>BPCL</v>
          </cell>
          <cell r="F532" t="str">
            <v>2024-25</v>
          </cell>
          <cell r="G532" t="str">
            <v>Ahmednagar West RSA</v>
          </cell>
          <cell r="J532" t="str">
            <v>Walki</v>
          </cell>
          <cell r="K532" t="str">
            <v>Ahmednagar</v>
          </cell>
          <cell r="L532" t="str">
            <v>E</v>
          </cell>
          <cell r="O532" t="str">
            <v>B</v>
          </cell>
        </row>
        <row r="533">
          <cell r="C533">
            <v>252670</v>
          </cell>
          <cell r="D533" t="str">
            <v>N. M. MANKAR &amp; CO</v>
          </cell>
          <cell r="E533" t="str">
            <v>BPCL</v>
          </cell>
          <cell r="F533" t="str">
            <v>2024-25</v>
          </cell>
          <cell r="G533" t="str">
            <v>Pune Hadapsar RSA</v>
          </cell>
          <cell r="J533" t="str">
            <v>Urlidevachi Undri Road</v>
          </cell>
          <cell r="K533" t="str">
            <v>Pune</v>
          </cell>
          <cell r="L533" t="str">
            <v>A</v>
          </cell>
          <cell r="O533" t="str">
            <v>A</v>
          </cell>
        </row>
        <row r="534">
          <cell r="C534">
            <v>253035</v>
          </cell>
          <cell r="D534" t="str">
            <v>VIRAJ PETROLEUM</v>
          </cell>
          <cell r="E534" t="str">
            <v>BPCL</v>
          </cell>
          <cell r="F534" t="str">
            <v>2024-25</v>
          </cell>
          <cell r="G534" t="str">
            <v>Ahmednagar East RSA</v>
          </cell>
          <cell r="J534" t="str">
            <v>Savedi</v>
          </cell>
          <cell r="K534" t="str">
            <v>Ahmednagar</v>
          </cell>
          <cell r="L534" t="str">
            <v>C</v>
          </cell>
          <cell r="O534" t="str">
            <v>A</v>
          </cell>
        </row>
        <row r="535">
          <cell r="C535">
            <v>253036</v>
          </cell>
          <cell r="D535" t="str">
            <v>SUYOG PETROLEUM</v>
          </cell>
          <cell r="E535" t="str">
            <v>BPCL</v>
          </cell>
          <cell r="F535" t="str">
            <v>2024-25</v>
          </cell>
          <cell r="G535" t="str">
            <v>Ahmednagar East RSA</v>
          </cell>
          <cell r="J535" t="str">
            <v>Chanda</v>
          </cell>
          <cell r="K535" t="str">
            <v>Ahmednagar</v>
          </cell>
          <cell r="L535" t="str">
            <v>D2</v>
          </cell>
          <cell r="O535" t="str">
            <v>B</v>
          </cell>
        </row>
        <row r="536">
          <cell r="C536">
            <v>253195</v>
          </cell>
          <cell r="D536" t="str">
            <v>PETRO PLUS</v>
          </cell>
          <cell r="E536" t="str">
            <v>BPCL</v>
          </cell>
          <cell r="F536" t="str">
            <v>2024-25</v>
          </cell>
          <cell r="G536" t="str">
            <v>Satara West RSA</v>
          </cell>
          <cell r="J536" t="str">
            <v>WATHAR TO KARAD</v>
          </cell>
          <cell r="K536" t="str">
            <v>Satara</v>
          </cell>
          <cell r="L536" t="str">
            <v>D1</v>
          </cell>
          <cell r="M536" t="str">
            <v>NH-48</v>
          </cell>
          <cell r="O536" t="str">
            <v>B</v>
          </cell>
        </row>
        <row r="537">
          <cell r="C537">
            <v>253312</v>
          </cell>
          <cell r="D537" t="str">
            <v>SHANKAR MAHARAJ PETROLEUM</v>
          </cell>
          <cell r="E537" t="str">
            <v>BPCL</v>
          </cell>
          <cell r="F537" t="str">
            <v>2024-25</v>
          </cell>
          <cell r="G537" t="str">
            <v>Pune City RSA</v>
          </cell>
          <cell r="J537" t="str">
            <v>Bopkhel</v>
          </cell>
          <cell r="K537" t="str">
            <v>Pune</v>
          </cell>
          <cell r="L537" t="str">
            <v>A</v>
          </cell>
          <cell r="O537" t="str">
            <v>B</v>
          </cell>
        </row>
        <row r="538">
          <cell r="C538">
            <v>253336</v>
          </cell>
          <cell r="D538" t="str">
            <v>RENUKA PETROLEUM</v>
          </cell>
          <cell r="E538" t="str">
            <v>BPCL</v>
          </cell>
          <cell r="F538" t="str">
            <v>2024-25</v>
          </cell>
          <cell r="G538" t="str">
            <v>Satara West RSA</v>
          </cell>
          <cell r="J538" t="str">
            <v>KARAD TO WATHAR</v>
          </cell>
          <cell r="K538" t="str">
            <v>Satara</v>
          </cell>
          <cell r="L538" t="str">
            <v>D1</v>
          </cell>
          <cell r="M538" t="str">
            <v>NH-48</v>
          </cell>
          <cell r="O538" t="str">
            <v>B</v>
          </cell>
        </row>
        <row r="539">
          <cell r="C539">
            <v>253452</v>
          </cell>
          <cell r="D539" t="str">
            <v>KRISHNA PETROLEUM</v>
          </cell>
          <cell r="E539" t="str">
            <v>BPCL</v>
          </cell>
          <cell r="F539" t="str">
            <v>2024-25</v>
          </cell>
          <cell r="G539" t="str">
            <v>Satara West RSA</v>
          </cell>
          <cell r="J539" t="str">
            <v>Bhuinj to Satara</v>
          </cell>
          <cell r="K539" t="str">
            <v>Satara</v>
          </cell>
          <cell r="L539" t="str">
            <v>D1</v>
          </cell>
          <cell r="M539" t="str">
            <v>NH-48</v>
          </cell>
          <cell r="O539" t="str">
            <v>B</v>
          </cell>
        </row>
        <row r="540">
          <cell r="C540">
            <v>253819</v>
          </cell>
          <cell r="D540" t="str">
            <v>WAGHJAI PETROLEUM</v>
          </cell>
          <cell r="E540" t="str">
            <v>BPCL</v>
          </cell>
          <cell r="F540" t="str">
            <v>2024-25</v>
          </cell>
          <cell r="G540" t="str">
            <v>Pune City RSA</v>
          </cell>
          <cell r="J540" t="str">
            <v>PANSHET ROAD</v>
          </cell>
          <cell r="K540" t="str">
            <v>Pune</v>
          </cell>
          <cell r="L540" t="str">
            <v>E</v>
          </cell>
          <cell r="O540" t="str">
            <v>B</v>
          </cell>
        </row>
        <row r="541">
          <cell r="C541">
            <v>253982</v>
          </cell>
          <cell r="D541" t="str">
            <v>GAURAV PETROLEUM</v>
          </cell>
          <cell r="E541" t="str">
            <v>BPCL</v>
          </cell>
          <cell r="F541" t="str">
            <v>2024-25</v>
          </cell>
          <cell r="G541" t="str">
            <v>Satara West RSA</v>
          </cell>
          <cell r="J541" t="str">
            <v>Satara to Bhuinj</v>
          </cell>
          <cell r="K541" t="str">
            <v>Satara</v>
          </cell>
          <cell r="L541" t="str">
            <v>D1</v>
          </cell>
          <cell r="M541" t="str">
            <v>NH-48</v>
          </cell>
          <cell r="O541" t="str">
            <v>B</v>
          </cell>
        </row>
        <row r="542">
          <cell r="C542">
            <v>253990</v>
          </cell>
          <cell r="D542" t="str">
            <v>GAIKWAD PETROLEUM</v>
          </cell>
          <cell r="E542" t="str">
            <v>BPCL</v>
          </cell>
          <cell r="F542" t="str">
            <v>2024-25</v>
          </cell>
          <cell r="G542" t="str">
            <v>Pune City RSA</v>
          </cell>
          <cell r="J542" t="str">
            <v>KASARSAI</v>
          </cell>
          <cell r="K542" t="str">
            <v>Pune</v>
          </cell>
          <cell r="L542" t="str">
            <v>A</v>
          </cell>
          <cell r="O542" t="str">
            <v>B</v>
          </cell>
        </row>
        <row r="543">
          <cell r="C543">
            <v>254077</v>
          </cell>
          <cell r="D543" t="str">
            <v>SHREE MAHAKAL PETROLEUM</v>
          </cell>
          <cell r="E543" t="str">
            <v>BPCL</v>
          </cell>
          <cell r="F543" t="str">
            <v>2024-25</v>
          </cell>
          <cell r="G543" t="str">
            <v>Pimpri Chinchwad RSA</v>
          </cell>
          <cell r="J543" t="str">
            <v>chakan to rajgurunagar LHS</v>
          </cell>
          <cell r="K543" t="str">
            <v>Pune</v>
          </cell>
          <cell r="L543" t="str">
            <v>D1</v>
          </cell>
          <cell r="M543" t="str">
            <v>NH-60</v>
          </cell>
          <cell r="O543" t="str">
            <v>A</v>
          </cell>
        </row>
        <row r="544">
          <cell r="C544">
            <v>254087</v>
          </cell>
          <cell r="D544" t="str">
            <v>DAKSON PETROLEUM</v>
          </cell>
          <cell r="E544" t="str">
            <v>BPCL</v>
          </cell>
          <cell r="F544" t="str">
            <v>2024-25</v>
          </cell>
          <cell r="G544" t="str">
            <v>Ahmednagar West RSA</v>
          </cell>
          <cell r="J544" t="str">
            <v>WALUNJ-BYPASS</v>
          </cell>
          <cell r="K544" t="str">
            <v>Ahmednagar</v>
          </cell>
          <cell r="L544" t="str">
            <v>D1</v>
          </cell>
          <cell r="M544" t="str">
            <v>NH-61</v>
          </cell>
          <cell r="O544" t="str">
            <v>B</v>
          </cell>
        </row>
        <row r="545">
          <cell r="C545">
            <v>254165</v>
          </cell>
          <cell r="D545" t="str">
            <v>TRIMURTI PETROLEUM</v>
          </cell>
          <cell r="E545" t="str">
            <v>BPCL</v>
          </cell>
          <cell r="F545" t="str">
            <v>2024-25</v>
          </cell>
          <cell r="G545" t="str">
            <v>Shirdi RSA</v>
          </cell>
          <cell r="J545" t="str">
            <v>VARVANDI</v>
          </cell>
          <cell r="K545" t="str">
            <v>Ahmednagar</v>
          </cell>
          <cell r="L545" t="str">
            <v>D2</v>
          </cell>
          <cell r="O545" t="str">
            <v>A</v>
          </cell>
        </row>
        <row r="546">
          <cell r="C546">
            <v>254866</v>
          </cell>
          <cell r="D546" t="str">
            <v>MUKTAI PETROLEUM</v>
          </cell>
          <cell r="E546" t="str">
            <v>BPCL</v>
          </cell>
          <cell r="F546" t="str">
            <v>2024-25</v>
          </cell>
          <cell r="G546" t="str">
            <v>Ahmednagar East RSA</v>
          </cell>
          <cell r="J546" t="str">
            <v>Sonai</v>
          </cell>
          <cell r="K546" t="str">
            <v>Ahmednagar</v>
          </cell>
          <cell r="L546" t="str">
            <v>E</v>
          </cell>
          <cell r="O546" t="str">
            <v>A</v>
          </cell>
        </row>
        <row r="547">
          <cell r="C547">
            <v>254999</v>
          </cell>
          <cell r="D547" t="str">
            <v>SHUBHLAXMI PETROLEUM</v>
          </cell>
          <cell r="E547" t="str">
            <v>BPCL</v>
          </cell>
          <cell r="F547" t="str">
            <v>2024-25</v>
          </cell>
          <cell r="G547" t="str">
            <v>Pune Wagholi RSA</v>
          </cell>
          <cell r="J547" t="str">
            <v>Narayangaon Ozar Road</v>
          </cell>
          <cell r="K547" t="str">
            <v>Pune</v>
          </cell>
          <cell r="L547" t="str">
            <v>D2</v>
          </cell>
          <cell r="O547" t="str">
            <v>B</v>
          </cell>
        </row>
        <row r="548">
          <cell r="C548">
            <v>255181</v>
          </cell>
          <cell r="D548" t="str">
            <v>NIMJAI PETROLEUM SERVICES</v>
          </cell>
          <cell r="E548" t="str">
            <v>BPCL</v>
          </cell>
          <cell r="F548" t="str">
            <v>2024-25</v>
          </cell>
          <cell r="G548" t="str">
            <v>Satara East RSA</v>
          </cell>
          <cell r="J548" t="str">
            <v>Vidani</v>
          </cell>
          <cell r="K548" t="str">
            <v>Satara</v>
          </cell>
          <cell r="L548" t="str">
            <v>D1</v>
          </cell>
          <cell r="M548" t="str">
            <v>NH-965</v>
          </cell>
          <cell r="O548" t="str">
            <v>A</v>
          </cell>
        </row>
        <row r="549">
          <cell r="C549">
            <v>255672</v>
          </cell>
          <cell r="D549" t="str">
            <v>SADGURUKRUPA PETROLEUM</v>
          </cell>
          <cell r="E549" t="str">
            <v>BPCL</v>
          </cell>
          <cell r="F549" t="str">
            <v>2024-25</v>
          </cell>
          <cell r="G549" t="str">
            <v>Pimpri Chinchwad RSA</v>
          </cell>
          <cell r="J549" t="str">
            <v>Alandi Rural</v>
          </cell>
          <cell r="K549" t="str">
            <v>Pune</v>
          </cell>
          <cell r="L549" t="str">
            <v>E</v>
          </cell>
          <cell r="O549" t="str">
            <v>B</v>
          </cell>
        </row>
        <row r="550">
          <cell r="C550">
            <v>255682</v>
          </cell>
          <cell r="D550" t="str">
            <v>TANPURE ENERGY STATION</v>
          </cell>
          <cell r="E550" t="str">
            <v>BPCL</v>
          </cell>
          <cell r="F550" t="str">
            <v>2024-25</v>
          </cell>
          <cell r="G550" t="str">
            <v>Ahmednagar West RSA</v>
          </cell>
          <cell r="J550" t="str">
            <v>ARANGAON</v>
          </cell>
          <cell r="K550" t="str">
            <v>Ahmednagar</v>
          </cell>
          <cell r="L550" t="str">
            <v>D1</v>
          </cell>
          <cell r="M550" t="str">
            <v>NH-160</v>
          </cell>
          <cell r="O550" t="str">
            <v>B</v>
          </cell>
        </row>
        <row r="551">
          <cell r="C551">
            <v>255683</v>
          </cell>
          <cell r="D551" t="str">
            <v>AMRIT PETROLEUM</v>
          </cell>
          <cell r="E551" t="str">
            <v>BPCL</v>
          </cell>
          <cell r="F551" t="str">
            <v>2024-25</v>
          </cell>
          <cell r="G551" t="str">
            <v>Ahmednagar East RSA</v>
          </cell>
          <cell r="J551" t="str">
            <v>Nagar-Manmad Bypass</v>
          </cell>
          <cell r="K551" t="str">
            <v>Ahmednagar</v>
          </cell>
          <cell r="L551" t="str">
            <v>D1</v>
          </cell>
          <cell r="M551" t="str">
            <v>NH-160</v>
          </cell>
          <cell r="O551" t="str">
            <v>B</v>
          </cell>
        </row>
        <row r="552">
          <cell r="C552">
            <v>255816</v>
          </cell>
          <cell r="D552" t="str">
            <v>SHAU PETRO STATION</v>
          </cell>
          <cell r="E552" t="str">
            <v>BPCL</v>
          </cell>
          <cell r="F552" t="str">
            <v>2024-25</v>
          </cell>
          <cell r="G552" t="str">
            <v>Pune Hadapsar RSA</v>
          </cell>
          <cell r="J552" t="str">
            <v>UrliDevachi</v>
          </cell>
          <cell r="K552" t="str">
            <v>Pune</v>
          </cell>
          <cell r="L552" t="str">
            <v>D1</v>
          </cell>
          <cell r="M552" t="str">
            <v>NH-965</v>
          </cell>
          <cell r="O552" t="str">
            <v>B</v>
          </cell>
        </row>
        <row r="553">
          <cell r="C553">
            <v>255844</v>
          </cell>
          <cell r="D553" t="str">
            <v>ADITYARAJ PETROLEUM</v>
          </cell>
          <cell r="E553" t="str">
            <v>BPCL</v>
          </cell>
          <cell r="F553" t="str">
            <v>2024-25</v>
          </cell>
          <cell r="G553" t="str">
            <v>Pimpri Chinchwad RSA</v>
          </cell>
          <cell r="J553" t="str">
            <v>Takve Budruk</v>
          </cell>
          <cell r="K553" t="str">
            <v>Pune</v>
          </cell>
          <cell r="L553" t="str">
            <v>E</v>
          </cell>
          <cell r="O553" t="str">
            <v>B</v>
          </cell>
        </row>
        <row r="554">
          <cell r="C554">
            <v>255891</v>
          </cell>
          <cell r="D554" t="str">
            <v>YODHAN PETROLEUM</v>
          </cell>
          <cell r="E554" t="str">
            <v>BPCL</v>
          </cell>
          <cell r="F554" t="str">
            <v>2024-25</v>
          </cell>
          <cell r="G554" t="str">
            <v>Pune Tathawade RSA</v>
          </cell>
          <cell r="J554" t="str">
            <v>Vadgaon Nimbalkar to Pandare</v>
          </cell>
          <cell r="K554" t="str">
            <v>Pune</v>
          </cell>
          <cell r="L554" t="str">
            <v>D2</v>
          </cell>
          <cell r="O554" t="str">
            <v>A</v>
          </cell>
        </row>
        <row r="555">
          <cell r="C555">
            <v>256456</v>
          </cell>
          <cell r="D555" t="str">
            <v>MATOSHRI PETROLEUM</v>
          </cell>
          <cell r="E555" t="str">
            <v>BPCL</v>
          </cell>
          <cell r="F555" t="str">
            <v>2024-25</v>
          </cell>
          <cell r="G555" t="str">
            <v>Ahmednagar West RSA</v>
          </cell>
          <cell r="J555" t="str">
            <v>Parner</v>
          </cell>
          <cell r="K555" t="str">
            <v>Ahmednagar</v>
          </cell>
          <cell r="L555" t="str">
            <v>C</v>
          </cell>
          <cell r="O555" t="str">
            <v>B</v>
          </cell>
        </row>
        <row r="556">
          <cell r="C556">
            <v>256697</v>
          </cell>
          <cell r="D556" t="str">
            <v>CHAMUNDA PETROLEUM</v>
          </cell>
          <cell r="E556" t="str">
            <v>BPCL</v>
          </cell>
          <cell r="F556" t="str">
            <v>2024-25</v>
          </cell>
          <cell r="G556" t="str">
            <v>Pune Wagholi RSA</v>
          </cell>
          <cell r="J556" t="str">
            <v>Manchar bypass LHS</v>
          </cell>
          <cell r="K556" t="str">
            <v>Pune</v>
          </cell>
          <cell r="L556" t="str">
            <v>D1</v>
          </cell>
          <cell r="M556" t="str">
            <v>NH-60</v>
          </cell>
          <cell r="O556" t="str">
            <v>B</v>
          </cell>
        </row>
        <row r="557">
          <cell r="C557">
            <v>256698</v>
          </cell>
          <cell r="D557" t="str">
            <v>BRAHMA PETROLEUM</v>
          </cell>
          <cell r="E557" t="str">
            <v>BPCL</v>
          </cell>
          <cell r="F557" t="str">
            <v>2024-25</v>
          </cell>
          <cell r="G557" t="str">
            <v>Pune City RSA</v>
          </cell>
          <cell r="J557" t="str">
            <v>Satesai</v>
          </cell>
          <cell r="K557" t="str">
            <v>Pune</v>
          </cell>
          <cell r="L557" t="str">
            <v>E</v>
          </cell>
          <cell r="O557" t="str">
            <v>B</v>
          </cell>
        </row>
        <row r="558">
          <cell r="C558">
            <v>256712</v>
          </cell>
          <cell r="D558" t="str">
            <v>NIRMITI PETROLEUM</v>
          </cell>
          <cell r="E558" t="str">
            <v>BPCL</v>
          </cell>
          <cell r="F558" t="str">
            <v>2024-25</v>
          </cell>
          <cell r="G558" t="str">
            <v>Pune Tathawade RSA</v>
          </cell>
          <cell r="J558" t="str">
            <v>MORGAON</v>
          </cell>
          <cell r="K558" t="str">
            <v>Pune</v>
          </cell>
          <cell r="L558" t="str">
            <v>D1</v>
          </cell>
          <cell r="M558" t="str">
            <v>NH-965D</v>
          </cell>
          <cell r="O558" t="str">
            <v>A</v>
          </cell>
        </row>
        <row r="559">
          <cell r="C559">
            <v>204479</v>
          </cell>
          <cell r="D559" t="str">
            <v>SAI KRUSHNA PETROLEUM ADHOC (RENUKA PETROLEUM ADHOC -256714(DINESH FUELING ZONE ADHOC-250523 (204479 SAI KRUSHNA PETROLEUM ADHOC (217443 RENUKA PETROLEUM ADHOC (Nirmal Pimpri)))</v>
          </cell>
          <cell r="E559" t="str">
            <v>BPCL</v>
          </cell>
          <cell r="G559" t="str">
            <v>Shirdi RSA</v>
          </cell>
          <cell r="J559" t="str">
            <v>ASTAGAON</v>
          </cell>
          <cell r="K559" t="str">
            <v>Ahmednagar</v>
          </cell>
          <cell r="L559" t="str">
            <v>D2</v>
          </cell>
          <cell r="O559" t="str">
            <v>B</v>
          </cell>
        </row>
        <row r="560">
          <cell r="C560">
            <v>256862</v>
          </cell>
          <cell r="D560" t="str">
            <v>JADHAV PETROLEUM</v>
          </cell>
          <cell r="E560" t="str">
            <v>BPCL</v>
          </cell>
          <cell r="F560" t="str">
            <v>2025-26</v>
          </cell>
          <cell r="G560" t="str">
            <v>Pune Hadapsar RSA</v>
          </cell>
          <cell r="J560" t="str">
            <v>DAUND</v>
          </cell>
          <cell r="K560" t="str">
            <v>Pune</v>
          </cell>
          <cell r="L560" t="str">
            <v>D1</v>
          </cell>
          <cell r="M560" t="str">
            <v>NH-65</v>
          </cell>
          <cell r="O560" t="str">
            <v>B</v>
          </cell>
        </row>
        <row r="561">
          <cell r="C561">
            <v>258166</v>
          </cell>
          <cell r="D561" t="str">
            <v>MORESHWAR PETROLEUM CORPORATION</v>
          </cell>
          <cell r="E561" t="str">
            <v>BPCL</v>
          </cell>
          <cell r="F561" t="str">
            <v>2025-26</v>
          </cell>
          <cell r="G561" t="str">
            <v>Pune Hadapsar RSA</v>
          </cell>
          <cell r="J561" t="str">
            <v>Ravangaon LHS</v>
          </cell>
          <cell r="K561" t="str">
            <v>Pune</v>
          </cell>
          <cell r="L561" t="str">
            <v>D1</v>
          </cell>
          <cell r="M561" t="str">
            <v>NH-65</v>
          </cell>
          <cell r="O561" t="str">
            <v>B</v>
          </cell>
        </row>
        <row r="562">
          <cell r="C562">
            <v>258203</v>
          </cell>
          <cell r="D562" t="str">
            <v>NAMO PETROLEUM SERVICES</v>
          </cell>
          <cell r="E562" t="str">
            <v>BPCL</v>
          </cell>
          <cell r="F562" t="str">
            <v>2025-26</v>
          </cell>
          <cell r="G562" t="str">
            <v>Pimpri Chinchwad RSA</v>
          </cell>
          <cell r="J562" t="str">
            <v>Induri</v>
          </cell>
          <cell r="K562" t="str">
            <v>Pune</v>
          </cell>
          <cell r="L562" t="str">
            <v>D1</v>
          </cell>
          <cell r="M562" t="str">
            <v>NH-548D</v>
          </cell>
          <cell r="O562" t="str">
            <v>B</v>
          </cell>
        </row>
        <row r="563">
          <cell r="C563">
            <v>258312</v>
          </cell>
          <cell r="D563" t="str">
            <v>DENGALE PETROLEUM</v>
          </cell>
          <cell r="E563" t="str">
            <v>BPCL</v>
          </cell>
          <cell r="F563" t="str">
            <v>2025-26</v>
          </cell>
          <cell r="G563" t="str">
            <v>Pune Tathawade RSA</v>
          </cell>
          <cell r="J563" t="str">
            <v>BARAMATI NIRA ROAD</v>
          </cell>
          <cell r="K563" t="str">
            <v>Pune</v>
          </cell>
          <cell r="L563" t="str">
            <v>D2</v>
          </cell>
          <cell r="O563" t="str">
            <v>B</v>
          </cell>
        </row>
        <row r="564">
          <cell r="C564">
            <v>258494</v>
          </cell>
          <cell r="D564" t="str">
            <v>ANANT PETROLEUM</v>
          </cell>
          <cell r="E564" t="str">
            <v>BPCL</v>
          </cell>
          <cell r="F564" t="str">
            <v>2025-26</v>
          </cell>
          <cell r="G564" t="str">
            <v>Pune Tathawade RSA</v>
          </cell>
          <cell r="J564" t="str">
            <v>KHED SHIVAPUR TO JAMBHULWADI</v>
          </cell>
          <cell r="K564" t="str">
            <v>Pune</v>
          </cell>
          <cell r="L564" t="str">
            <v>D1</v>
          </cell>
          <cell r="M564" t="str">
            <v>NH-48</v>
          </cell>
          <cell r="O564" t="str">
            <v>B</v>
          </cell>
        </row>
        <row r="565">
          <cell r="C565">
            <v>258593</v>
          </cell>
          <cell r="D565" t="str">
            <v>HIRA PETROLEUM</v>
          </cell>
          <cell r="E565" t="str">
            <v>BPCL</v>
          </cell>
          <cell r="F565" t="str">
            <v>2025-26</v>
          </cell>
          <cell r="G565" t="str">
            <v>Satara East RSA</v>
          </cell>
          <cell r="J565" t="str">
            <v>Mhaswad</v>
          </cell>
          <cell r="K565" t="str">
            <v>Satara</v>
          </cell>
          <cell r="L565" t="str">
            <v>D1</v>
          </cell>
          <cell r="M565" t="str">
            <v>NH-548C</v>
          </cell>
          <cell r="O565" t="str">
            <v>B</v>
          </cell>
        </row>
        <row r="566">
          <cell r="C566">
            <v>258595</v>
          </cell>
          <cell r="D566" t="str">
            <v>TARAN PETROLEUM</v>
          </cell>
          <cell r="E566" t="str">
            <v>BPCL</v>
          </cell>
          <cell r="F566" t="str">
            <v>2025-26</v>
          </cell>
          <cell r="G566" t="str">
            <v>Pune City RSA</v>
          </cell>
          <cell r="J566" t="str">
            <v>Wagholi</v>
          </cell>
          <cell r="K566" t="str">
            <v>Pune</v>
          </cell>
          <cell r="L566" t="str">
            <v>A</v>
          </cell>
          <cell r="O566" t="str">
            <v>B</v>
          </cell>
        </row>
        <row r="567">
          <cell r="C567">
            <v>258678</v>
          </cell>
          <cell r="D567" t="str">
            <v>SHIVPARVATI PETROLEUM</v>
          </cell>
          <cell r="E567" t="str">
            <v>BPCL</v>
          </cell>
          <cell r="F567" t="str">
            <v>2025-26</v>
          </cell>
          <cell r="G567" t="str">
            <v>Pune Tathawade RSA</v>
          </cell>
          <cell r="J567" t="str">
            <v>Loni-Bapkar Baramati</v>
          </cell>
          <cell r="K567" t="str">
            <v>Pune</v>
          </cell>
          <cell r="L567" t="str">
            <v>D2</v>
          </cell>
          <cell r="O567" t="str">
            <v>B</v>
          </cell>
        </row>
        <row r="568">
          <cell r="C568">
            <v>258744</v>
          </cell>
          <cell r="D568" t="str">
            <v>SUSHANT KALUKHE PETROLEUM</v>
          </cell>
          <cell r="E568" t="str">
            <v>BPCL</v>
          </cell>
          <cell r="F568" t="str">
            <v>2025-26</v>
          </cell>
          <cell r="G568" t="str">
            <v>Satara East RSA</v>
          </cell>
          <cell r="J568" t="str">
            <v>Chorade</v>
          </cell>
          <cell r="K568" t="str">
            <v>Satara</v>
          </cell>
          <cell r="L568" t="str">
            <v>D2</v>
          </cell>
          <cell r="O568" t="str">
            <v>A</v>
          </cell>
        </row>
        <row r="569">
          <cell r="C569">
            <v>259151</v>
          </cell>
          <cell r="D569" t="str">
            <v>GURU PETROLEUM</v>
          </cell>
          <cell r="E569" t="str">
            <v>BPCL</v>
          </cell>
          <cell r="F569" t="str">
            <v>2025-26</v>
          </cell>
          <cell r="G569" t="str">
            <v>Ahmednagar East RSA</v>
          </cell>
          <cell r="J569" t="str">
            <v>WAMBHORI PHATA ON NH160</v>
          </cell>
          <cell r="K569" t="str">
            <v>Ahmednagar</v>
          </cell>
          <cell r="L569" t="str">
            <v>D1</v>
          </cell>
          <cell r="M569" t="str">
            <v>NH-160</v>
          </cell>
          <cell r="O569" t="str">
            <v>A</v>
          </cell>
        </row>
        <row r="570">
          <cell r="C570">
            <v>259173</v>
          </cell>
          <cell r="D570" t="str">
            <v>AKSHAY PETROLEUM</v>
          </cell>
          <cell r="E570" t="str">
            <v>BPCL</v>
          </cell>
          <cell r="F570" t="str">
            <v>2025-26</v>
          </cell>
          <cell r="G570" t="str">
            <v>Ahmednagar East RSA</v>
          </cell>
          <cell r="J570" t="str">
            <v>Aurangabad Road</v>
          </cell>
          <cell r="K570" t="str">
            <v>Ahmednagar</v>
          </cell>
          <cell r="L570" t="str">
            <v>D1</v>
          </cell>
          <cell r="M570" t="str">
            <v>NH-753F</v>
          </cell>
          <cell r="O570" t="str">
            <v>B</v>
          </cell>
        </row>
        <row r="571">
          <cell r="C571">
            <v>258599</v>
          </cell>
          <cell r="D571" t="str">
            <v>SAISHREE FUELS</v>
          </cell>
          <cell r="E571" t="str">
            <v>BPCL</v>
          </cell>
          <cell r="F571" t="str">
            <v>2025-26</v>
          </cell>
          <cell r="G571" t="str">
            <v>Pune Wagholi RSA</v>
          </cell>
          <cell r="J571" t="str">
            <v>Belhe to Loni on belhe jejuri highway</v>
          </cell>
          <cell r="K571" t="str">
            <v>Pune</v>
          </cell>
          <cell r="L571" t="str">
            <v>D2</v>
          </cell>
          <cell r="O571" t="str">
            <v>B</v>
          </cell>
        </row>
        <row r="572">
          <cell r="C572">
            <v>259804</v>
          </cell>
          <cell r="D572" t="str">
            <v>WANDHEKAR PETRO SERVICES</v>
          </cell>
          <cell r="E572" t="str">
            <v>BPCL</v>
          </cell>
          <cell r="F572" t="str">
            <v>2025-26</v>
          </cell>
          <cell r="G572" t="str">
            <v>Pune Saswad RSA</v>
          </cell>
          <cell r="J572" t="str">
            <v>Jejuri -Belsar-Urulikanchan Road</v>
          </cell>
          <cell r="K572" t="str">
            <v>Pune</v>
          </cell>
          <cell r="L572" t="str">
            <v>D2</v>
          </cell>
          <cell r="O572" t="str">
            <v>B</v>
          </cell>
        </row>
        <row r="573">
          <cell r="C573">
            <v>259891</v>
          </cell>
          <cell r="D573" t="str">
            <v>SAI GANESHA PETROLEUM</v>
          </cell>
          <cell r="E573" t="str">
            <v>BPCL</v>
          </cell>
          <cell r="F573" t="str">
            <v>2025-26</v>
          </cell>
          <cell r="G573" t="str">
            <v>Pune Wagholi RSA</v>
          </cell>
          <cell r="J573" t="str">
            <v>Belhe to Loni on belhe jejuri highway</v>
          </cell>
          <cell r="K573" t="str">
            <v>Pune</v>
          </cell>
          <cell r="L573" t="str">
            <v>D2</v>
          </cell>
          <cell r="O573" t="str">
            <v>B</v>
          </cell>
        </row>
        <row r="574">
          <cell r="C574">
            <v>259882</v>
          </cell>
          <cell r="D574" t="str">
            <v>JANKI PETROLEUM</v>
          </cell>
          <cell r="E574" t="str">
            <v>BPCL</v>
          </cell>
          <cell r="F574" t="str">
            <v>2025-26</v>
          </cell>
          <cell r="G574" t="str">
            <v>Ahmednagar East RSA</v>
          </cell>
          <cell r="J574" t="str">
            <v>Newasa Budruk</v>
          </cell>
          <cell r="K574" t="str">
            <v>Ahmednagar</v>
          </cell>
          <cell r="L574" t="str">
            <v>D2</v>
          </cell>
          <cell r="O574" t="str">
            <v>B</v>
          </cell>
        </row>
        <row r="575">
          <cell r="C575">
            <v>259860</v>
          </cell>
          <cell r="D575" t="str">
            <v>B K GAIKWAD PETROLEUM</v>
          </cell>
          <cell r="E575" t="str">
            <v>BPCL</v>
          </cell>
          <cell r="F575" t="str">
            <v>2025-26</v>
          </cell>
          <cell r="G575" t="str">
            <v>Pune Wagholi RSA</v>
          </cell>
          <cell r="J575" t="str">
            <v>Loni to shikhrapur on belhe jejuri highway</v>
          </cell>
          <cell r="K575" t="str">
            <v>Pune</v>
          </cell>
          <cell r="L575" t="str">
            <v>D2</v>
          </cell>
          <cell r="O575" t="str">
            <v>B</v>
          </cell>
        </row>
        <row r="576">
          <cell r="C576">
            <v>260565</v>
          </cell>
          <cell r="D576" t="str">
            <v>URJA PETROLEUM</v>
          </cell>
          <cell r="E576" t="str">
            <v>BPCL</v>
          </cell>
          <cell r="F576" t="str">
            <v>2025-26</v>
          </cell>
          <cell r="G576" t="str">
            <v>Satara West RSA</v>
          </cell>
          <cell r="J576" t="str">
            <v>KARAD TO WATHAR</v>
          </cell>
          <cell r="K576" t="str">
            <v>Satara</v>
          </cell>
          <cell r="L576" t="str">
            <v>D1</v>
          </cell>
          <cell r="M576" t="str">
            <v>NH-48</v>
          </cell>
          <cell r="O576" t="str">
            <v>B</v>
          </cell>
        </row>
        <row r="577">
          <cell r="C577">
            <v>259959</v>
          </cell>
          <cell r="D577" t="str">
            <v>SAI SHRADDHA PETROLEUM</v>
          </cell>
          <cell r="E577" t="str">
            <v>BPCL</v>
          </cell>
          <cell r="F577" t="str">
            <v>2025-26</v>
          </cell>
          <cell r="G577" t="str">
            <v>Shirdi RSA</v>
          </cell>
          <cell r="J577" t="str">
            <v>KOLHAR</v>
          </cell>
          <cell r="K577" t="str">
            <v>Ahmednagar</v>
          </cell>
          <cell r="L577" t="str">
            <v>D1</v>
          </cell>
          <cell r="M577" t="str">
            <v>NH-160</v>
          </cell>
          <cell r="O577" t="str">
            <v>B</v>
          </cell>
        </row>
        <row r="578">
          <cell r="C578">
            <v>260550</v>
          </cell>
          <cell r="D578" t="str">
            <v>SWAMIRAJ PETROLEUM</v>
          </cell>
          <cell r="E578" t="str">
            <v>BPCL</v>
          </cell>
          <cell r="F578" t="str">
            <v>2025-26</v>
          </cell>
          <cell r="G578" t="str">
            <v>Ahmednagar East RSA</v>
          </cell>
          <cell r="J578" t="str">
            <v>Shendi</v>
          </cell>
          <cell r="K578" t="str">
            <v>Ahmednagar</v>
          </cell>
          <cell r="L578" t="str">
            <v>D1</v>
          </cell>
          <cell r="M578" t="str">
            <v>NH-753F</v>
          </cell>
          <cell r="O578" t="str">
            <v>B</v>
          </cell>
        </row>
        <row r="579">
          <cell r="C579">
            <v>258944</v>
          </cell>
          <cell r="D579" t="str">
            <v>JAY PRAKASH PETROLEUM</v>
          </cell>
          <cell r="E579" t="str">
            <v>BPCL</v>
          </cell>
          <cell r="F579" t="str">
            <v>2025-26</v>
          </cell>
          <cell r="G579" t="str">
            <v>Pune Hadapsar RSA</v>
          </cell>
          <cell r="J579" t="str">
            <v>FURSUNGI</v>
          </cell>
          <cell r="K579" t="str">
            <v>Pune</v>
          </cell>
          <cell r="L579" t="str">
            <v>A</v>
          </cell>
          <cell r="O579" t="str">
            <v>B</v>
          </cell>
        </row>
        <row r="580">
          <cell r="C580">
            <v>260899</v>
          </cell>
          <cell r="D580" t="str">
            <v>USHADEVI PETROLEUM</v>
          </cell>
          <cell r="E580" t="str">
            <v>BPCL</v>
          </cell>
          <cell r="F580" t="str">
            <v>2025-26</v>
          </cell>
          <cell r="G580" t="str">
            <v>Pune Hadapsar RSA</v>
          </cell>
          <cell r="J580" t="str">
            <v>Yawat RHS</v>
          </cell>
          <cell r="K580" t="str">
            <v>Pune</v>
          </cell>
          <cell r="L580" t="str">
            <v>D1</v>
          </cell>
          <cell r="M580" t="str">
            <v>NH-65</v>
          </cell>
          <cell r="O580" t="str">
            <v>B</v>
          </cell>
        </row>
        <row r="581">
          <cell r="C581">
            <v>261041</v>
          </cell>
          <cell r="D581" t="str">
            <v>ANURANG PETROLEUM</v>
          </cell>
          <cell r="E581" t="str">
            <v>BPCL</v>
          </cell>
          <cell r="F581" t="str">
            <v>2025-26</v>
          </cell>
          <cell r="G581" t="str">
            <v>Pune Wagholi RSA</v>
          </cell>
          <cell r="J581" t="str">
            <v>Shikrapur to Inamgaon</v>
          </cell>
          <cell r="K581" t="str">
            <v>Pune</v>
          </cell>
          <cell r="L581" t="str">
            <v>D1</v>
          </cell>
          <cell r="M581" t="str">
            <v>NH-548D</v>
          </cell>
          <cell r="O581" t="str">
            <v>B</v>
          </cell>
        </row>
        <row r="582">
          <cell r="C582">
            <v>261045</v>
          </cell>
          <cell r="D582" t="str">
            <v>GP ENERGY STATION</v>
          </cell>
          <cell r="E582" t="str">
            <v>BPCL</v>
          </cell>
          <cell r="F582" t="str">
            <v>2025-26</v>
          </cell>
          <cell r="G582" t="str">
            <v>Pune Tathawade RSA</v>
          </cell>
          <cell r="J582" t="str">
            <v>KAMSHET TO VADGAON</v>
          </cell>
          <cell r="K582" t="str">
            <v>Pune</v>
          </cell>
          <cell r="L582" t="str">
            <v>D1</v>
          </cell>
          <cell r="M582" t="str">
            <v>NH-48</v>
          </cell>
          <cell r="O582" t="str">
            <v>B</v>
          </cell>
        </row>
        <row r="583">
          <cell r="C583">
            <v>260918</v>
          </cell>
          <cell r="D583" t="str">
            <v>SATDARSHAN PETROLEUM SAKUR</v>
          </cell>
          <cell r="E583" t="str">
            <v>BPCL</v>
          </cell>
          <cell r="F583" t="str">
            <v>2025-26</v>
          </cell>
          <cell r="G583" t="str">
            <v>Ahmednagar West RSA</v>
          </cell>
          <cell r="J583" t="str">
            <v>Sakur</v>
          </cell>
          <cell r="K583" t="str">
            <v>Ahmednagar</v>
          </cell>
          <cell r="L583" t="str">
            <v>E</v>
          </cell>
          <cell r="O583" t="str">
            <v>B</v>
          </cell>
        </row>
        <row r="584">
          <cell r="C584">
            <v>260928</v>
          </cell>
          <cell r="D584" t="str">
            <v>BHAU BABA PETROLEUM</v>
          </cell>
          <cell r="E584" t="str">
            <v>BPCL</v>
          </cell>
          <cell r="F584" t="str">
            <v>2025-26</v>
          </cell>
          <cell r="G584" t="str">
            <v>Ahmednagar West RSA</v>
          </cell>
          <cell r="J584" t="str">
            <v>Pathardi</v>
          </cell>
          <cell r="K584" t="str">
            <v>Ahmednagar</v>
          </cell>
          <cell r="L584" t="str">
            <v>D2</v>
          </cell>
          <cell r="O584" t="str">
            <v>B</v>
          </cell>
        </row>
        <row r="585">
          <cell r="C585">
            <v>262061</v>
          </cell>
          <cell r="D585" t="str">
            <v>SADGURU PETROLEUM</v>
          </cell>
          <cell r="E585" t="str">
            <v>BPCL</v>
          </cell>
          <cell r="F585" t="str">
            <v>2025-26</v>
          </cell>
          <cell r="G585" t="str">
            <v>Satara East RSA</v>
          </cell>
          <cell r="J585" t="str">
            <v>Pusegaon</v>
          </cell>
          <cell r="K585" t="str">
            <v>Satara</v>
          </cell>
          <cell r="L585" t="str">
            <v>D1</v>
          </cell>
          <cell r="M585" t="str">
            <v>NH-548C</v>
          </cell>
          <cell r="O585" t="str">
            <v>B</v>
          </cell>
        </row>
        <row r="586">
          <cell r="C586">
            <v>260900</v>
          </cell>
          <cell r="D586" t="str">
            <v>TALEGAON MIDC PETROLEUM</v>
          </cell>
          <cell r="E586" t="str">
            <v>BPCL</v>
          </cell>
          <cell r="F586" t="str">
            <v>2025-26</v>
          </cell>
          <cell r="G586" t="str">
            <v>Pimpri Chinchwad RSA</v>
          </cell>
          <cell r="J586" t="str">
            <v>Talegaon MIDC</v>
          </cell>
          <cell r="K586" t="str">
            <v>Pune</v>
          </cell>
          <cell r="L586" t="str">
            <v>C</v>
          </cell>
          <cell r="O586" t="str">
            <v>B</v>
          </cell>
        </row>
        <row r="587">
          <cell r="C587">
            <v>261053</v>
          </cell>
          <cell r="D587" t="str">
            <v>MALHAR PETRO CORP</v>
          </cell>
          <cell r="E587" t="str">
            <v>BPCL</v>
          </cell>
          <cell r="F587" t="str">
            <v>2025-26</v>
          </cell>
          <cell r="G587" t="str">
            <v>Pimpri Chinchwad RSA</v>
          </cell>
          <cell r="J587" t="str">
            <v>Shirgaon</v>
          </cell>
          <cell r="K587" t="str">
            <v>Pune</v>
          </cell>
          <cell r="L587" t="str">
            <v>A</v>
          </cell>
          <cell r="O587" t="str">
            <v>B</v>
          </cell>
        </row>
        <row r="588">
          <cell r="C588">
            <v>262371</v>
          </cell>
          <cell r="D588" t="str">
            <v>JAY BHAVANI PETROLEUM</v>
          </cell>
          <cell r="E588" t="str">
            <v>BPCL</v>
          </cell>
          <cell r="F588" t="str">
            <v>2025-26</v>
          </cell>
          <cell r="G588" t="str">
            <v>Pune Saswad RSA</v>
          </cell>
          <cell r="J588" t="str">
            <v>BHAVANINAGAR</v>
          </cell>
          <cell r="K588" t="str">
            <v>Pune</v>
          </cell>
          <cell r="L588" t="str">
            <v>D1</v>
          </cell>
          <cell r="M588" t="str">
            <v>NH-965G</v>
          </cell>
          <cell r="O588" t="str">
            <v>B</v>
          </cell>
        </row>
        <row r="589">
          <cell r="C589">
            <v>262429</v>
          </cell>
          <cell r="D589" t="str">
            <v>VINOD PETROLEUM</v>
          </cell>
          <cell r="E589" t="str">
            <v>BPCL</v>
          </cell>
          <cell r="F589" t="str">
            <v>2025-26</v>
          </cell>
          <cell r="G589" t="str">
            <v>Pune Hadapsar RSA</v>
          </cell>
          <cell r="J589" t="str">
            <v>CHOUFULLA-KHEDGAON</v>
          </cell>
          <cell r="K589" t="str">
            <v>Pune</v>
          </cell>
          <cell r="L589" t="str">
            <v>D1</v>
          </cell>
          <cell r="M589" t="str">
            <v>NH-548DG</v>
          </cell>
          <cell r="O589" t="str">
            <v>B</v>
          </cell>
        </row>
        <row r="590">
          <cell r="C590">
            <v>262574</v>
          </cell>
          <cell r="D590" t="str">
            <v>NIRMITEE PETROLEUM</v>
          </cell>
          <cell r="E590" t="str">
            <v>BPCL</v>
          </cell>
          <cell r="F590" t="str">
            <v>2025-26</v>
          </cell>
          <cell r="G590" t="str">
            <v>Pune Hadapsar RSA</v>
          </cell>
          <cell r="J590" t="str">
            <v>Pimpalgaon</v>
          </cell>
          <cell r="K590" t="str">
            <v>Pune</v>
          </cell>
          <cell r="L590" t="str">
            <v>E</v>
          </cell>
          <cell r="O590" t="str">
            <v>B</v>
          </cell>
        </row>
        <row r="591">
          <cell r="C591">
            <v>262633</v>
          </cell>
          <cell r="D591" t="str">
            <v>SAIRAJ PETROLEUM</v>
          </cell>
          <cell r="E591" t="str">
            <v>BPCL</v>
          </cell>
          <cell r="F591" t="str">
            <v>2025-26</v>
          </cell>
          <cell r="G591" t="str">
            <v>Pune Wagholi RSA</v>
          </cell>
          <cell r="J591" t="str">
            <v>PIMPALWANDI</v>
          </cell>
          <cell r="K591" t="str">
            <v>Pune</v>
          </cell>
          <cell r="L591" t="str">
            <v>E</v>
          </cell>
          <cell r="O591" t="str">
            <v>B</v>
          </cell>
        </row>
        <row r="592">
          <cell r="C592">
            <v>262080</v>
          </cell>
          <cell r="D592" t="str">
            <v>SAI GANESH PETROLEUM</v>
          </cell>
          <cell r="E592" t="str">
            <v>BPCL</v>
          </cell>
          <cell r="F592" t="str">
            <v>2025-26</v>
          </cell>
          <cell r="G592" t="str">
            <v>Ahmednagar West RSA</v>
          </cell>
          <cell r="J592" t="str">
            <v>SHEKTE</v>
          </cell>
          <cell r="K592" t="str">
            <v>Ahmednagar</v>
          </cell>
          <cell r="L592" t="str">
            <v>D1</v>
          </cell>
          <cell r="M592" t="str">
            <v>NH-61</v>
          </cell>
          <cell r="O592" t="str">
            <v>B</v>
          </cell>
        </row>
        <row r="593">
          <cell r="C593">
            <v>261043</v>
          </cell>
          <cell r="D593" t="str">
            <v>CHANDRAPRABHA PETROLEUM</v>
          </cell>
          <cell r="E593" t="str">
            <v>BPCL</v>
          </cell>
          <cell r="F593" t="str">
            <v>2025-26</v>
          </cell>
          <cell r="G593" t="str">
            <v>Pune City RSA</v>
          </cell>
          <cell r="J593" t="str">
            <v>LOHAGOAN RURAL</v>
          </cell>
          <cell r="K593" t="str">
            <v>Pune</v>
          </cell>
          <cell r="L593" t="str">
            <v>A</v>
          </cell>
          <cell r="O593" t="str">
            <v>B</v>
          </cell>
        </row>
        <row r="594">
          <cell r="C594">
            <v>262894</v>
          </cell>
          <cell r="D594" t="str">
            <v>VIGHNAHARTA PETROLEUM</v>
          </cell>
          <cell r="E594" t="str">
            <v>BPCL</v>
          </cell>
          <cell r="F594" t="str">
            <v>2025-26</v>
          </cell>
          <cell r="G594" t="str">
            <v>Ahmednagar West RSA</v>
          </cell>
          <cell r="J594" t="str">
            <v>JAWALA</v>
          </cell>
          <cell r="K594" t="str">
            <v>Ahmednagar</v>
          </cell>
          <cell r="L594" t="str">
            <v>D2</v>
          </cell>
          <cell r="O594" t="str">
            <v>B</v>
          </cell>
        </row>
        <row r="595">
          <cell r="C595">
            <v>264005</v>
          </cell>
          <cell r="D595" t="str">
            <v>ASHTAVINAYAK ENERGY</v>
          </cell>
          <cell r="E595" t="str">
            <v>BPCL</v>
          </cell>
          <cell r="F595" t="str">
            <v>2025-26</v>
          </cell>
          <cell r="G595" t="str">
            <v>Pune Wagholi RSA</v>
          </cell>
          <cell r="J595" t="str">
            <v>Narayangaon to Alephata LHS</v>
          </cell>
          <cell r="K595" t="str">
            <v>Pune</v>
          </cell>
          <cell r="L595" t="str">
            <v>D1</v>
          </cell>
          <cell r="M595" t="str">
            <v>NH-60</v>
          </cell>
          <cell r="O595" t="str">
            <v>B</v>
          </cell>
        </row>
        <row r="596">
          <cell r="C596">
            <v>264052</v>
          </cell>
          <cell r="D596" t="str">
            <v>SHREE MAHAKALESHWAR PETROLEUM</v>
          </cell>
          <cell r="E596" t="str">
            <v>BPCL</v>
          </cell>
          <cell r="F596" t="str">
            <v>2025-26</v>
          </cell>
          <cell r="G596" t="str">
            <v>Pune Tathawade RSA</v>
          </cell>
          <cell r="J596" t="str">
            <v>NARHE TO BAVDHAN</v>
          </cell>
          <cell r="K596" t="str">
            <v>Pune</v>
          </cell>
          <cell r="L596" t="str">
            <v>A</v>
          </cell>
          <cell r="O596" t="str">
            <v>A</v>
          </cell>
        </row>
        <row r="597">
          <cell r="C597">
            <v>264659</v>
          </cell>
          <cell r="D597" t="str">
            <v>SP PETROLEUM</v>
          </cell>
          <cell r="E597" t="str">
            <v>BPCL</v>
          </cell>
          <cell r="F597" t="str">
            <v>2025-26</v>
          </cell>
          <cell r="G597" t="str">
            <v>Pune Hadapsar RSA</v>
          </cell>
          <cell r="J597" t="str">
            <v>Kurkumbh RHS</v>
          </cell>
          <cell r="K597" t="str">
            <v>Pune</v>
          </cell>
          <cell r="L597" t="str">
            <v>D1</v>
          </cell>
          <cell r="M597" t="str">
            <v>NH-65</v>
          </cell>
          <cell r="O597" t="str">
            <v>B</v>
          </cell>
        </row>
        <row r="598">
          <cell r="C598">
            <v>265000</v>
          </cell>
          <cell r="D598" t="str">
            <v>KRUPA PETROLEUM</v>
          </cell>
          <cell r="E598" t="str">
            <v>BPCL</v>
          </cell>
          <cell r="F598" t="str">
            <v>2025-26</v>
          </cell>
          <cell r="G598" t="str">
            <v>Satara West RSA</v>
          </cell>
          <cell r="J598" t="str">
            <v>Karad to Masur Road</v>
          </cell>
          <cell r="K598" t="str">
            <v>Satara</v>
          </cell>
          <cell r="L598" t="str">
            <v>D2</v>
          </cell>
          <cell r="O598" t="str">
            <v>A</v>
          </cell>
        </row>
        <row r="599">
          <cell r="C599">
            <v>265157</v>
          </cell>
          <cell r="D599" t="str">
            <v>SUNANDA PETROLEUM</v>
          </cell>
          <cell r="E599" t="str">
            <v>BPCL</v>
          </cell>
          <cell r="F599" t="str">
            <v>2025-26</v>
          </cell>
          <cell r="G599" t="str">
            <v>Satara West RSA</v>
          </cell>
          <cell r="J599" t="str">
            <v>Satara to Bhuinj</v>
          </cell>
          <cell r="K599" t="str">
            <v>Satara</v>
          </cell>
          <cell r="L599" t="str">
            <v>D1</v>
          </cell>
          <cell r="M599" t="str">
            <v>NH-48</v>
          </cell>
          <cell r="O599" t="str">
            <v>B</v>
          </cell>
        </row>
        <row r="600">
          <cell r="C600">
            <v>264813</v>
          </cell>
          <cell r="D600" t="str">
            <v>ABHIJEET FUEL STATION</v>
          </cell>
          <cell r="E600" t="str">
            <v>BPCL</v>
          </cell>
          <cell r="F600" t="str">
            <v>2025-26</v>
          </cell>
          <cell r="G600" t="str">
            <v>Ahmednagar West RSA</v>
          </cell>
          <cell r="J600" t="str">
            <v>GHOGARGAON</v>
          </cell>
          <cell r="K600" t="str">
            <v>Ahmednagar</v>
          </cell>
          <cell r="L600" t="str">
            <v>D1</v>
          </cell>
          <cell r="M600" t="str">
            <v>NH-561A</v>
          </cell>
          <cell r="O600" t="str">
            <v>A</v>
          </cell>
        </row>
        <row r="601">
          <cell r="C601">
            <v>265412</v>
          </cell>
          <cell r="D601" t="str">
            <v>WABLE PETROLEUM</v>
          </cell>
          <cell r="E601" t="str">
            <v>BPCL</v>
          </cell>
          <cell r="F601" t="str">
            <v>2025-26</v>
          </cell>
          <cell r="G601" t="str">
            <v>Ahmednagar West RSA</v>
          </cell>
          <cell r="J601" t="str">
            <v>LONI VYNKNATH-KASHTI (NH)</v>
          </cell>
          <cell r="K601" t="str">
            <v>Ahmednagar</v>
          </cell>
          <cell r="L601" t="str">
            <v>D1</v>
          </cell>
          <cell r="M601" t="str">
            <v>NH-160</v>
          </cell>
          <cell r="O601" t="str">
            <v>B</v>
          </cell>
        </row>
        <row r="602">
          <cell r="C602">
            <v>0</v>
          </cell>
          <cell r="D602" t="str">
            <v xml:space="preserve">B. P. Jadhav- MS </v>
          </cell>
          <cell r="E602" t="str">
            <v>HPCL</v>
          </cell>
          <cell r="G602" t="str">
            <v>Shirdi RSA</v>
          </cell>
          <cell r="J602" t="str">
            <v>SHIRDI</v>
          </cell>
          <cell r="K602" t="str">
            <v>Ahmednagar</v>
          </cell>
          <cell r="L602" t="str">
            <v>D1</v>
          </cell>
          <cell r="M602" t="str">
            <v>NH-160</v>
          </cell>
          <cell r="O602" t="str">
            <v>B</v>
          </cell>
        </row>
        <row r="603">
          <cell r="C603">
            <v>1</v>
          </cell>
          <cell r="D603" t="str">
            <v>S.L. Mhaske (Terminated)</v>
          </cell>
          <cell r="E603" t="str">
            <v>HPCL</v>
          </cell>
          <cell r="G603" t="str">
            <v>Shirdi RSA</v>
          </cell>
          <cell r="J603" t="str">
            <v>BABLESHWAR NH</v>
          </cell>
          <cell r="K603" t="str">
            <v>Ahmednagar</v>
          </cell>
          <cell r="L603" t="str">
            <v>D2</v>
          </cell>
          <cell r="O603" t="str">
            <v>B</v>
          </cell>
        </row>
        <row r="604">
          <cell r="C604">
            <v>2</v>
          </cell>
          <cell r="D604" t="str">
            <v>B. V. Vikhe</v>
          </cell>
          <cell r="E604" t="str">
            <v>HPCL</v>
          </cell>
          <cell r="G604" t="str">
            <v>Shirdi RSA</v>
          </cell>
          <cell r="J604" t="str">
            <v>LONI PRAVARA SH</v>
          </cell>
          <cell r="K604" t="str">
            <v>Ahmednagar</v>
          </cell>
          <cell r="L604" t="str">
            <v>D2</v>
          </cell>
          <cell r="O604" t="str">
            <v>B</v>
          </cell>
        </row>
        <row r="605">
          <cell r="C605">
            <v>3</v>
          </cell>
          <cell r="D605" t="str">
            <v>SUPREME AUTOMOBILES</v>
          </cell>
          <cell r="E605" t="str">
            <v>HPCL</v>
          </cell>
          <cell r="G605" t="str">
            <v>Pune City RSA</v>
          </cell>
          <cell r="J605" t="str">
            <v>Pimpri</v>
          </cell>
          <cell r="K605" t="str">
            <v>Pune</v>
          </cell>
          <cell r="L605" t="str">
            <v>A</v>
          </cell>
          <cell r="O605" t="str">
            <v>B</v>
          </cell>
        </row>
        <row r="606">
          <cell r="C606">
            <v>4</v>
          </cell>
          <cell r="D606" t="str">
            <v>MAHARASHTRA GASOLINE STATION</v>
          </cell>
          <cell r="E606" t="str">
            <v>HPCL</v>
          </cell>
          <cell r="G606" t="str">
            <v>Pune City RSA</v>
          </cell>
          <cell r="J606" t="str">
            <v>DDD</v>
          </cell>
          <cell r="K606" t="str">
            <v>Pune</v>
          </cell>
          <cell r="L606" t="str">
            <v>D2</v>
          </cell>
          <cell r="O606" t="str">
            <v>B</v>
          </cell>
        </row>
        <row r="607">
          <cell r="C607">
            <v>5</v>
          </cell>
          <cell r="D607" t="str">
            <v>Kamal Petrol Depot -HSD  SITE</v>
          </cell>
          <cell r="E607" t="str">
            <v>HPCL</v>
          </cell>
          <cell r="G607" t="str">
            <v>Shirdi RSA</v>
          </cell>
          <cell r="J607" t="str">
            <v>DILLI NAKA SANGAMNER</v>
          </cell>
          <cell r="K607" t="str">
            <v>Ahmednagar</v>
          </cell>
          <cell r="L607" t="str">
            <v>C</v>
          </cell>
          <cell r="O607" t="str">
            <v>B</v>
          </cell>
        </row>
        <row r="608">
          <cell r="C608">
            <v>6</v>
          </cell>
          <cell r="D608" t="str">
            <v>Shri Shanaishwar KSK (ADHOC AJANI)</v>
          </cell>
          <cell r="E608" t="str">
            <v>HPCL</v>
          </cell>
          <cell r="F608" t="str">
            <v>2017-18</v>
          </cell>
          <cell r="G608" t="str">
            <v>Ahmednagar East RSA</v>
          </cell>
          <cell r="J608" t="str">
            <v>Monopoly</v>
          </cell>
          <cell r="K608" t="str">
            <v>Ahmednagar</v>
          </cell>
          <cell r="L608" t="str">
            <v>D2</v>
          </cell>
          <cell r="O608" t="str">
            <v>A</v>
          </cell>
        </row>
        <row r="609">
          <cell r="C609">
            <v>41000002</v>
          </cell>
          <cell r="D609" t="str">
            <v>RAHIM SERVICE STATION, HSD</v>
          </cell>
          <cell r="E609" t="str">
            <v>HPCL</v>
          </cell>
          <cell r="G609" t="str">
            <v>Pune Wagholi RSA</v>
          </cell>
          <cell r="J609" t="str">
            <v>LONIKAND to KOREGAON BHIMA RHS</v>
          </cell>
          <cell r="K609" t="str">
            <v>Pune</v>
          </cell>
          <cell r="L609" t="str">
            <v>D1</v>
          </cell>
          <cell r="M609" t="str">
            <v>NH-753F</v>
          </cell>
          <cell r="O609" t="str">
            <v>A</v>
          </cell>
        </row>
        <row r="610">
          <cell r="C610">
            <v>41000022</v>
          </cell>
          <cell r="D610" t="str">
            <v>CHATURSRINGI SERVICE STATION</v>
          </cell>
          <cell r="E610" t="str">
            <v>HPCL</v>
          </cell>
          <cell r="G610" t="str">
            <v>Pune Hadapsar RSA</v>
          </cell>
          <cell r="J610" t="str">
            <v>Loni RHS</v>
          </cell>
          <cell r="K610" t="str">
            <v>Pune</v>
          </cell>
          <cell r="L610" t="str">
            <v>D1</v>
          </cell>
          <cell r="M610" t="str">
            <v>NH-65</v>
          </cell>
          <cell r="O610" t="str">
            <v>A</v>
          </cell>
        </row>
        <row r="611">
          <cell r="C611">
            <v>41000026</v>
          </cell>
          <cell r="D611" t="str">
            <v xml:space="preserve">SONAJ &amp; COMPANY </v>
          </cell>
          <cell r="E611" t="str">
            <v>HPCL</v>
          </cell>
          <cell r="G611" t="str">
            <v>Pune Saswad RSA</v>
          </cell>
          <cell r="J611" t="str">
            <v>Indapur Bypass</v>
          </cell>
          <cell r="K611" t="str">
            <v>Pune</v>
          </cell>
          <cell r="L611" t="str">
            <v>D1</v>
          </cell>
          <cell r="M611" t="str">
            <v>NH-65</v>
          </cell>
          <cell r="O611" t="str">
            <v>B</v>
          </cell>
        </row>
        <row r="612">
          <cell r="C612">
            <v>41024073</v>
          </cell>
          <cell r="D612" t="str">
            <v>SHINDE PETROLEUM</v>
          </cell>
          <cell r="E612" t="str">
            <v>HPCL</v>
          </cell>
          <cell r="G612" t="str">
            <v>Pune City RSA</v>
          </cell>
          <cell r="J612" t="str">
            <v>CHANDANI CHOWK</v>
          </cell>
          <cell r="K612" t="str">
            <v>Pune</v>
          </cell>
          <cell r="L612" t="str">
            <v>A</v>
          </cell>
          <cell r="O612" t="str">
            <v>A</v>
          </cell>
        </row>
        <row r="613">
          <cell r="C613">
            <v>41024301</v>
          </cell>
          <cell r="D613" t="str">
            <v>ARUNA  AUTOMOBILES(ADHOC TEJAS)</v>
          </cell>
          <cell r="E613" t="str">
            <v>HPCL</v>
          </cell>
          <cell r="G613" t="str">
            <v>Satara West RSA</v>
          </cell>
          <cell r="J613" t="str">
            <v>SATARA ON NH48 LHS</v>
          </cell>
          <cell r="K613" t="str">
            <v>Satara</v>
          </cell>
          <cell r="L613" t="str">
            <v>D1</v>
          </cell>
          <cell r="M613" t="str">
            <v>NH-48</v>
          </cell>
          <cell r="O613" t="str">
            <v>A</v>
          </cell>
        </row>
        <row r="614">
          <cell r="C614">
            <v>41034125</v>
          </cell>
          <cell r="D614" t="str">
            <v>Shri Sai Balaji Petroleum</v>
          </cell>
          <cell r="E614" t="str">
            <v>HPCL</v>
          </cell>
          <cell r="F614" t="str">
            <v>2022-23</v>
          </cell>
          <cell r="G614" t="str">
            <v>Shirdi RSA</v>
          </cell>
          <cell r="J614" t="str">
            <v>GHARGAON Nashik-Pune LHS</v>
          </cell>
          <cell r="K614" t="str">
            <v>Ahmednagar</v>
          </cell>
          <cell r="L614" t="str">
            <v>D1</v>
          </cell>
          <cell r="M614" t="str">
            <v>NH-60</v>
          </cell>
          <cell r="O614" t="str">
            <v>B</v>
          </cell>
        </row>
        <row r="615">
          <cell r="C615">
            <v>41034128</v>
          </cell>
          <cell r="D615" t="str">
            <v>APMC Sangamner</v>
          </cell>
          <cell r="E615" t="str">
            <v>HPCL</v>
          </cell>
          <cell r="F615" t="str">
            <v>2022-23</v>
          </cell>
          <cell r="G615" t="str">
            <v>Shirdi RSA</v>
          </cell>
          <cell r="J615" t="str">
            <v>SANGAMNER - GOLIBAR</v>
          </cell>
          <cell r="K615" t="str">
            <v>Ahmednagar</v>
          </cell>
          <cell r="L615" t="str">
            <v>C</v>
          </cell>
          <cell r="O615" t="str">
            <v>B</v>
          </cell>
        </row>
        <row r="616">
          <cell r="C616">
            <v>41034420</v>
          </cell>
          <cell r="D616" t="str">
            <v>SEETAI PETROLEUM</v>
          </cell>
          <cell r="E616" t="str">
            <v>HPCL</v>
          </cell>
          <cell r="F616" t="str">
            <v>2022-23</v>
          </cell>
          <cell r="G616" t="str">
            <v>Pune City RSA</v>
          </cell>
          <cell r="J616" t="str">
            <v>MUNDHWA/GHORPADI</v>
          </cell>
          <cell r="K616" t="str">
            <v>Pune</v>
          </cell>
          <cell r="L616" t="str">
            <v>A</v>
          </cell>
          <cell r="O616" t="str">
            <v>B</v>
          </cell>
        </row>
        <row r="617">
          <cell r="C617">
            <v>41034423</v>
          </cell>
          <cell r="D617" t="str">
            <v>ADITYA PETROLEUM</v>
          </cell>
          <cell r="E617" t="str">
            <v>HPCL</v>
          </cell>
          <cell r="F617" t="str">
            <v>2023-24</v>
          </cell>
          <cell r="G617" t="str">
            <v>Pimpri Chinchwad RSA</v>
          </cell>
          <cell r="J617" t="str">
            <v>Talegaon MIDC</v>
          </cell>
          <cell r="K617" t="str">
            <v>Pune</v>
          </cell>
          <cell r="L617" t="str">
            <v>C</v>
          </cell>
          <cell r="O617" t="str">
            <v>A</v>
          </cell>
        </row>
        <row r="618">
          <cell r="C618">
            <v>41034426</v>
          </cell>
          <cell r="D618" t="str">
            <v>APMC UNDEWADI</v>
          </cell>
          <cell r="E618" t="str">
            <v>HPCL</v>
          </cell>
          <cell r="F618" t="str">
            <v>2022-23</v>
          </cell>
          <cell r="G618" t="str">
            <v>Pune Tathawade RSA</v>
          </cell>
          <cell r="J618" t="str">
            <v>BARAMATI PATAS ROAD</v>
          </cell>
          <cell r="K618" t="str">
            <v>Pune</v>
          </cell>
          <cell r="L618" t="str">
            <v>D1</v>
          </cell>
          <cell r="M618" t="str">
            <v>NH-160</v>
          </cell>
          <cell r="O618" t="str">
            <v>B</v>
          </cell>
        </row>
        <row r="619">
          <cell r="C619">
            <v>41034429</v>
          </cell>
          <cell r="D619" t="str">
            <v>DDD KHWAHISH FUELS LLP</v>
          </cell>
          <cell r="E619" t="str">
            <v>HPCL</v>
          </cell>
          <cell r="G619" t="str">
            <v>Pune City RSA</v>
          </cell>
          <cell r="J619" t="str">
            <v>DDD</v>
          </cell>
          <cell r="K619" t="str">
            <v>Pune</v>
          </cell>
          <cell r="L619" t="str">
            <v>D1</v>
          </cell>
          <cell r="M619" t="str">
            <v>NH-753F</v>
          </cell>
          <cell r="O619" t="str">
            <v>B</v>
          </cell>
        </row>
        <row r="620">
          <cell r="C620">
            <v>41034431</v>
          </cell>
          <cell r="D620" t="str">
            <v>PADMANABH PETROLEUM</v>
          </cell>
          <cell r="E620" t="str">
            <v>HPCL</v>
          </cell>
          <cell r="F620" t="str">
            <v>2023-24</v>
          </cell>
          <cell r="G620" t="str">
            <v>Pimpri Chinchwad RSA</v>
          </cell>
          <cell r="J620" t="str">
            <v>Kharabwadi</v>
          </cell>
          <cell r="K620" t="str">
            <v>Pune</v>
          </cell>
          <cell r="L620" t="str">
            <v>D1</v>
          </cell>
          <cell r="M620" t="str">
            <v>NH-548D</v>
          </cell>
          <cell r="O620" t="str">
            <v>B</v>
          </cell>
        </row>
        <row r="621">
          <cell r="C621">
            <v>41034434</v>
          </cell>
          <cell r="D621" t="str">
            <v>HP AUTO CARE, LONAVLA</v>
          </cell>
          <cell r="E621" t="str">
            <v>HPCL</v>
          </cell>
          <cell r="G621" t="str">
            <v>Pune Tathawade RSA</v>
          </cell>
          <cell r="J621" t="str">
            <v>Lonavala</v>
          </cell>
          <cell r="K621" t="str">
            <v>Pune</v>
          </cell>
          <cell r="L621" t="str">
            <v>D1</v>
          </cell>
          <cell r="M621" t="str">
            <v>NH-48</v>
          </cell>
          <cell r="O621" t="str">
            <v>A</v>
          </cell>
        </row>
        <row r="622">
          <cell r="C622">
            <v>41034685</v>
          </cell>
          <cell r="D622" t="str">
            <v>Gururaj Petroleum</v>
          </cell>
          <cell r="E622" t="str">
            <v>HPCL</v>
          </cell>
          <cell r="F622" t="str">
            <v>2022-23</v>
          </cell>
          <cell r="G622" t="str">
            <v>Shirdi RSA</v>
          </cell>
          <cell r="J622" t="str">
            <v>DAHIGAON BOLKA</v>
          </cell>
          <cell r="K622" t="str">
            <v>Ahmednagar</v>
          </cell>
          <cell r="L622" t="str">
            <v>D1</v>
          </cell>
          <cell r="M622" t="str">
            <v>NH-752I</v>
          </cell>
          <cell r="O622" t="str">
            <v>A</v>
          </cell>
        </row>
        <row r="623">
          <cell r="C623">
            <v>41034706</v>
          </cell>
          <cell r="D623" t="str">
            <v>KRISHNAANJAINATH PETROLEUM</v>
          </cell>
          <cell r="E623" t="str">
            <v>HPCL</v>
          </cell>
          <cell r="F623" t="str">
            <v>2022-23</v>
          </cell>
          <cell r="G623" t="str">
            <v>Ahmednagar West RSA</v>
          </cell>
          <cell r="J623" t="str">
            <v>Vadzire</v>
          </cell>
          <cell r="K623" t="str">
            <v>Ahmednagar</v>
          </cell>
          <cell r="L623" t="str">
            <v>D2</v>
          </cell>
          <cell r="O623" t="str">
            <v>A</v>
          </cell>
        </row>
        <row r="624">
          <cell r="C624">
            <v>41035612</v>
          </cell>
          <cell r="D624" t="str">
            <v>CHANDRAMOULI PETROLEUM</v>
          </cell>
          <cell r="E624" t="str">
            <v>HPCL</v>
          </cell>
          <cell r="F624" t="str">
            <v>2022-23</v>
          </cell>
          <cell r="G624" t="str">
            <v>Satara West RSA</v>
          </cell>
          <cell r="J624" t="str">
            <v>CHAREGAON</v>
          </cell>
          <cell r="K624" t="str">
            <v>Satara</v>
          </cell>
          <cell r="L624" t="str">
            <v>D2</v>
          </cell>
          <cell r="O624" t="str">
            <v>A</v>
          </cell>
        </row>
        <row r="625">
          <cell r="C625">
            <v>41035615</v>
          </cell>
          <cell r="D625" t="str">
            <v>RAJGAD PETROLEUM POWER STATION</v>
          </cell>
          <cell r="E625" t="str">
            <v>HPCL</v>
          </cell>
          <cell r="F625" t="str">
            <v>2022-23</v>
          </cell>
          <cell r="G625" t="str">
            <v>Pune Tathawade RSA</v>
          </cell>
          <cell r="J625" t="str">
            <v>HARISHCHANDRI TO KHED SHIVAPUR</v>
          </cell>
          <cell r="K625" t="str">
            <v>Pune</v>
          </cell>
          <cell r="L625" t="str">
            <v>D1</v>
          </cell>
          <cell r="M625" t="str">
            <v>NH-48</v>
          </cell>
          <cell r="O625" t="str">
            <v>B</v>
          </cell>
        </row>
        <row r="626">
          <cell r="C626">
            <v>41035776</v>
          </cell>
          <cell r="D626" t="str">
            <v>KM Petroleum</v>
          </cell>
          <cell r="E626" t="str">
            <v>HPCL</v>
          </cell>
          <cell r="F626" t="str">
            <v>2023-24</v>
          </cell>
          <cell r="G626" t="str">
            <v>Satara East RSA</v>
          </cell>
          <cell r="J626" t="str">
            <v>PADAL</v>
          </cell>
          <cell r="K626" t="str">
            <v>Satara</v>
          </cell>
          <cell r="L626" t="str">
            <v>D2</v>
          </cell>
          <cell r="O626" t="str">
            <v>B</v>
          </cell>
        </row>
        <row r="627">
          <cell r="C627">
            <v>41035778</v>
          </cell>
          <cell r="D627" t="str">
            <v>SHRI SWAMI SAMARTH PETROLEUM</v>
          </cell>
          <cell r="E627" t="str">
            <v>HPCL</v>
          </cell>
          <cell r="F627" t="str">
            <v>2022-23</v>
          </cell>
          <cell r="G627" t="str">
            <v>Satara West RSA</v>
          </cell>
          <cell r="J627" t="str">
            <v>Bhuinj Rural</v>
          </cell>
          <cell r="K627" t="str">
            <v>Satara</v>
          </cell>
          <cell r="L627" t="str">
            <v>E</v>
          </cell>
          <cell r="O627" t="str">
            <v>B</v>
          </cell>
        </row>
        <row r="628">
          <cell r="C628">
            <v>41036407</v>
          </cell>
          <cell r="D628" t="str">
            <v>ACIA PETROLEUM</v>
          </cell>
          <cell r="E628" t="str">
            <v>HPCL</v>
          </cell>
          <cell r="F628" t="str">
            <v>2022-23</v>
          </cell>
          <cell r="G628" t="str">
            <v>Pune Tathawade RSA</v>
          </cell>
          <cell r="J628" t="str">
            <v>Gulunche</v>
          </cell>
          <cell r="K628" t="str">
            <v>Pune</v>
          </cell>
          <cell r="L628" t="str">
            <v>D1</v>
          </cell>
          <cell r="M628" t="str">
            <v>NH-965D</v>
          </cell>
          <cell r="O628" t="str">
            <v>B</v>
          </cell>
        </row>
        <row r="629">
          <cell r="C629">
            <v>41036715</v>
          </cell>
          <cell r="D629" t="str">
            <v>DESHPANDE'S PETROLEUM</v>
          </cell>
          <cell r="E629" t="str">
            <v>HPCL</v>
          </cell>
          <cell r="F629" t="str">
            <v>2022-23</v>
          </cell>
          <cell r="G629" t="str">
            <v>Satara West RSA</v>
          </cell>
          <cell r="J629" t="str">
            <v>Karad City</v>
          </cell>
          <cell r="K629" t="str">
            <v>Satara</v>
          </cell>
          <cell r="L629" t="str">
            <v>C</v>
          </cell>
          <cell r="O629" t="str">
            <v>B</v>
          </cell>
        </row>
        <row r="630">
          <cell r="C630">
            <v>41036720</v>
          </cell>
          <cell r="D630" t="str">
            <v>KRISHDEV PETROLEUM BHADLI</v>
          </cell>
          <cell r="E630" t="str">
            <v>HPCL</v>
          </cell>
          <cell r="F630" t="str">
            <v>2022-23</v>
          </cell>
          <cell r="G630" t="str">
            <v>Satara East RSA</v>
          </cell>
          <cell r="J630" t="str">
            <v>Phalton Dahiwadi road</v>
          </cell>
          <cell r="K630" t="str">
            <v>Satara</v>
          </cell>
          <cell r="L630" t="str">
            <v>D1</v>
          </cell>
          <cell r="M630" t="str">
            <v>NH-160</v>
          </cell>
          <cell r="O630" t="str">
            <v>B</v>
          </cell>
        </row>
        <row r="631">
          <cell r="C631">
            <v>41049469</v>
          </cell>
          <cell r="D631" t="str">
            <v>ADHOC BALAJI AUTOMOBILES (ADHOC SARAI PETROLEUM-41036728)</v>
          </cell>
          <cell r="E631" t="str">
            <v>HPCL</v>
          </cell>
          <cell r="F631" t="str">
            <v>2013-14</v>
          </cell>
          <cell r="G631" t="str">
            <v>Satara East RSA</v>
          </cell>
          <cell r="J631" t="str">
            <v>MAYANI</v>
          </cell>
          <cell r="K631" t="str">
            <v>Satara</v>
          </cell>
          <cell r="L631" t="str">
            <v>D1</v>
          </cell>
          <cell r="M631" t="str">
            <v>NH-160</v>
          </cell>
          <cell r="O631" t="str">
            <v>A</v>
          </cell>
        </row>
        <row r="632">
          <cell r="C632">
            <v>41036732</v>
          </cell>
          <cell r="D632" t="str">
            <v>SHAKUNTALA PETROLEUM</v>
          </cell>
          <cell r="E632" t="str">
            <v>HPCL</v>
          </cell>
          <cell r="F632" t="str">
            <v>2022-23</v>
          </cell>
          <cell r="G632" t="str">
            <v>Satara East RSA</v>
          </cell>
          <cell r="J632" t="str">
            <v>Lonand Shirval Road</v>
          </cell>
          <cell r="K632" t="str">
            <v>Satara</v>
          </cell>
          <cell r="L632" t="str">
            <v>D1</v>
          </cell>
          <cell r="M632" t="str">
            <v>NH-965DD</v>
          </cell>
          <cell r="O632" t="str">
            <v>B</v>
          </cell>
        </row>
        <row r="633">
          <cell r="C633">
            <v>41036785</v>
          </cell>
          <cell r="D633" t="str">
            <v xml:space="preserve">Gendalal &amp; Sons Petroleum   </v>
          </cell>
          <cell r="E633" t="str">
            <v>HPCL</v>
          </cell>
          <cell r="F633" t="str">
            <v>2022-23</v>
          </cell>
          <cell r="G633" t="str">
            <v>Ahmednagar West RSA</v>
          </cell>
          <cell r="J633" t="str">
            <v>Bhalawani</v>
          </cell>
          <cell r="K633" t="str">
            <v>Ahmednagar</v>
          </cell>
          <cell r="L633" t="str">
            <v>D1</v>
          </cell>
          <cell r="M633" t="str">
            <v>NH-61</v>
          </cell>
          <cell r="O633" t="str">
            <v>B</v>
          </cell>
        </row>
        <row r="634">
          <cell r="C634">
            <v>41036792</v>
          </cell>
          <cell r="D634" t="str">
            <v xml:space="preserve"> SHRIRAM &amp; SONS PETROLEUM          </v>
          </cell>
          <cell r="E634" t="str">
            <v>HPCL</v>
          </cell>
          <cell r="F634" t="str">
            <v>2022-23</v>
          </cell>
          <cell r="G634" t="str">
            <v>Ahmednagar West RSA</v>
          </cell>
          <cell r="J634" t="str">
            <v>WALUNJ-BYPASS</v>
          </cell>
          <cell r="K634" t="str">
            <v>Ahmednagar</v>
          </cell>
          <cell r="L634" t="str">
            <v>D1</v>
          </cell>
          <cell r="M634" t="str">
            <v>NH-61</v>
          </cell>
          <cell r="O634" t="str">
            <v>B</v>
          </cell>
        </row>
        <row r="635">
          <cell r="C635">
            <v>41037559</v>
          </cell>
          <cell r="D635" t="str">
            <v>Phulkar Namdeo Petroleum</v>
          </cell>
          <cell r="E635" t="str">
            <v>HPCL</v>
          </cell>
          <cell r="F635" t="str">
            <v>2021-22</v>
          </cell>
          <cell r="G635" t="str">
            <v>Ahmednagar East RSA</v>
          </cell>
          <cell r="J635" t="str">
            <v>Newasa Budruk</v>
          </cell>
          <cell r="K635" t="str">
            <v>Ahmednagar</v>
          </cell>
          <cell r="L635" t="str">
            <v>D2</v>
          </cell>
          <cell r="O635" t="str">
            <v>A</v>
          </cell>
        </row>
        <row r="636">
          <cell r="C636">
            <v>41037560</v>
          </cell>
          <cell r="D636" t="str">
            <v>Shivmudra Petroleum</v>
          </cell>
          <cell r="E636" t="str">
            <v>HPCL</v>
          </cell>
          <cell r="F636" t="str">
            <v>2021-22</v>
          </cell>
          <cell r="G636" t="str">
            <v>Ahmednagar West RSA</v>
          </cell>
          <cell r="J636" t="str">
            <v>CHIKHALI</v>
          </cell>
          <cell r="K636" t="str">
            <v>Ahmednagar</v>
          </cell>
          <cell r="L636" t="str">
            <v>D1</v>
          </cell>
          <cell r="M636" t="str">
            <v>NH-160</v>
          </cell>
          <cell r="O636" t="str">
            <v>A</v>
          </cell>
        </row>
        <row r="637">
          <cell r="C637">
            <v>41037861</v>
          </cell>
          <cell r="D637" t="str">
            <v>Aakash Petroleum</v>
          </cell>
          <cell r="E637" t="str">
            <v>HPCL</v>
          </cell>
          <cell r="F637" t="str">
            <v>2022-23</v>
          </cell>
          <cell r="G637" t="str">
            <v>Shirdi RSA</v>
          </cell>
          <cell r="J637" t="str">
            <v>TANDULNER</v>
          </cell>
          <cell r="K637" t="str">
            <v>Ahmednagar</v>
          </cell>
          <cell r="L637" t="str">
            <v>E</v>
          </cell>
          <cell r="O637" t="str">
            <v>B</v>
          </cell>
        </row>
        <row r="638">
          <cell r="C638">
            <v>41038479</v>
          </cell>
          <cell r="D638" t="str">
            <v xml:space="preserve">SAIPOOJA PETROLEUM                </v>
          </cell>
          <cell r="E638" t="str">
            <v>HPCL</v>
          </cell>
          <cell r="F638" t="str">
            <v>2022-23</v>
          </cell>
          <cell r="G638" t="str">
            <v>Pune Wagholi RSA</v>
          </cell>
          <cell r="J638" t="str">
            <v>DHAYGUDEWADI</v>
          </cell>
          <cell r="K638" t="str">
            <v>Pune</v>
          </cell>
          <cell r="L638" t="str">
            <v>E</v>
          </cell>
          <cell r="O638" t="str">
            <v>B</v>
          </cell>
        </row>
        <row r="639">
          <cell r="C639">
            <v>41038487</v>
          </cell>
          <cell r="D639" t="str">
            <v>SARSHI PETROLEUM</v>
          </cell>
          <cell r="E639" t="str">
            <v>HPCL</v>
          </cell>
          <cell r="F639" t="str">
            <v>2022-23</v>
          </cell>
          <cell r="G639" t="str">
            <v>Pune City RSA</v>
          </cell>
          <cell r="J639" t="str">
            <v>BHUKUM</v>
          </cell>
          <cell r="K639" t="str">
            <v>Pune</v>
          </cell>
          <cell r="L639" t="str">
            <v>D1</v>
          </cell>
          <cell r="M639" t="str">
            <v>NH-753F</v>
          </cell>
          <cell r="O639" t="str">
            <v>B</v>
          </cell>
        </row>
        <row r="640">
          <cell r="C640">
            <v>41038492</v>
          </cell>
          <cell r="D640" t="str">
            <v>SHREE GURUDATTA PETROLEUM</v>
          </cell>
          <cell r="E640" t="str">
            <v>HPCL</v>
          </cell>
          <cell r="F640" t="str">
            <v>2022-23</v>
          </cell>
          <cell r="G640" t="str">
            <v>Pune Saswad RSA</v>
          </cell>
          <cell r="J640" t="str">
            <v>Saswad-Narayanpur Road</v>
          </cell>
          <cell r="K640" t="str">
            <v>Pune</v>
          </cell>
          <cell r="L640" t="str">
            <v>D2</v>
          </cell>
          <cell r="O640" t="str">
            <v>B</v>
          </cell>
        </row>
        <row r="641">
          <cell r="C641">
            <v>41038498</v>
          </cell>
          <cell r="D641" t="str">
            <v>SHARAYU PETROLEUM</v>
          </cell>
          <cell r="E641" t="str">
            <v>HPCL</v>
          </cell>
          <cell r="F641" t="str">
            <v>2022-23</v>
          </cell>
          <cell r="G641" t="str">
            <v>Pimpri Chinchwad RSA</v>
          </cell>
          <cell r="J641" t="str">
            <v>Talegaon MIDC</v>
          </cell>
          <cell r="K641" t="str">
            <v>Pune</v>
          </cell>
          <cell r="L641" t="str">
            <v>C</v>
          </cell>
          <cell r="O641" t="str">
            <v>A</v>
          </cell>
        </row>
        <row r="642">
          <cell r="C642">
            <v>41038618</v>
          </cell>
          <cell r="D642" t="str">
            <v>KRISHIDEV PETROLEUM SASKAL</v>
          </cell>
          <cell r="E642" t="str">
            <v>HPCL</v>
          </cell>
          <cell r="F642" t="str">
            <v>2022-23</v>
          </cell>
          <cell r="G642" t="str">
            <v>Satara East RSA</v>
          </cell>
          <cell r="J642" t="str">
            <v>SASKAL</v>
          </cell>
          <cell r="K642" t="str">
            <v>Satara</v>
          </cell>
          <cell r="L642" t="str">
            <v>E</v>
          </cell>
          <cell r="O642" t="str">
            <v>B</v>
          </cell>
        </row>
        <row r="643">
          <cell r="C643">
            <v>41038621</v>
          </cell>
          <cell r="D643" t="str">
            <v>SEVA PETROLEUM</v>
          </cell>
          <cell r="E643" t="str">
            <v>HPCL</v>
          </cell>
          <cell r="F643" t="str">
            <v>2022-23</v>
          </cell>
          <cell r="G643" t="str">
            <v>Pune Tathawade RSA</v>
          </cell>
          <cell r="J643" t="str">
            <v>Lonavala Jalvayu Marg</v>
          </cell>
          <cell r="K643" t="str">
            <v>Pune</v>
          </cell>
          <cell r="L643" t="str">
            <v>E</v>
          </cell>
          <cell r="O643" t="str">
            <v>B</v>
          </cell>
        </row>
        <row r="644">
          <cell r="C644">
            <v>41038624</v>
          </cell>
          <cell r="D644" t="str">
            <v>MURHE PETROLEUM</v>
          </cell>
          <cell r="E644" t="str">
            <v>HPCL</v>
          </cell>
          <cell r="F644" t="str">
            <v>2023-24</v>
          </cell>
          <cell r="G644" t="str">
            <v>Pimpri Chinchwad RSA</v>
          </cell>
          <cell r="J644" t="str">
            <v>CHAKAN NH-60 LHS</v>
          </cell>
          <cell r="K644" t="str">
            <v>Pune</v>
          </cell>
          <cell r="L644" t="str">
            <v>D1</v>
          </cell>
          <cell r="M644" t="str">
            <v>NH-60</v>
          </cell>
          <cell r="O644" t="str">
            <v>A</v>
          </cell>
        </row>
        <row r="645">
          <cell r="C645">
            <v>41038820</v>
          </cell>
          <cell r="D645" t="str">
            <v>Ovikiran Petroleum</v>
          </cell>
          <cell r="E645" t="str">
            <v>HPCL</v>
          </cell>
          <cell r="F645" t="str">
            <v>2021-22</v>
          </cell>
          <cell r="G645" t="str">
            <v>Ahmednagar East RSA</v>
          </cell>
          <cell r="J645" t="str">
            <v>Ghotan</v>
          </cell>
          <cell r="K645" t="str">
            <v>Ahmednagar</v>
          </cell>
          <cell r="L645" t="str">
            <v>D2</v>
          </cell>
          <cell r="O645" t="str">
            <v>A</v>
          </cell>
        </row>
        <row r="646">
          <cell r="C646">
            <v>41038822</v>
          </cell>
          <cell r="D646" t="str">
            <v>SAI SAHEBA PETROLEUM</v>
          </cell>
          <cell r="E646" t="str">
            <v>HPCL</v>
          </cell>
          <cell r="F646" t="str">
            <v>2021-22</v>
          </cell>
          <cell r="G646" t="str">
            <v>Shirdi RSA</v>
          </cell>
          <cell r="J646" t="str">
            <v>CHAS NALI</v>
          </cell>
          <cell r="K646" t="str">
            <v>Ahmednagar</v>
          </cell>
          <cell r="L646" t="str">
            <v>D2</v>
          </cell>
          <cell r="O646" t="str">
            <v>A</v>
          </cell>
        </row>
        <row r="647">
          <cell r="C647">
            <v>41038826</v>
          </cell>
          <cell r="D647" t="str">
            <v>ShivShree Petroleum</v>
          </cell>
          <cell r="E647" t="str">
            <v>HPCL</v>
          </cell>
          <cell r="F647" t="str">
            <v>2021-22</v>
          </cell>
          <cell r="G647" t="str">
            <v>Ahmednagar East RSA</v>
          </cell>
          <cell r="J647" t="str">
            <v>Supe toll</v>
          </cell>
          <cell r="K647" t="str">
            <v>Ahmednagar</v>
          </cell>
          <cell r="L647" t="str">
            <v>D1</v>
          </cell>
          <cell r="M647" t="str">
            <v>NH-753F</v>
          </cell>
          <cell r="O647" t="str">
            <v>A</v>
          </cell>
        </row>
        <row r="648">
          <cell r="C648">
            <v>41039037</v>
          </cell>
          <cell r="D648" t="str">
            <v>Palve Petroleum</v>
          </cell>
          <cell r="E648" t="str">
            <v>HPCL</v>
          </cell>
          <cell r="F648" t="str">
            <v>2021-22</v>
          </cell>
          <cell r="G648" t="str">
            <v>Shirdi RSA</v>
          </cell>
          <cell r="J648" t="str">
            <v>GADADHE AKHADA</v>
          </cell>
          <cell r="K648" t="str">
            <v>Ahmednagar</v>
          </cell>
          <cell r="L648" t="str">
            <v>E</v>
          </cell>
          <cell r="O648" t="str">
            <v>A</v>
          </cell>
        </row>
        <row r="649">
          <cell r="C649">
            <v>41039321</v>
          </cell>
          <cell r="D649" t="str">
            <v>DNYANRAJ PETROLEUM</v>
          </cell>
          <cell r="E649" t="str">
            <v>HPCL</v>
          </cell>
          <cell r="F649" t="str">
            <v>2021-22</v>
          </cell>
          <cell r="G649" t="str">
            <v>Pune Tathawade RSA</v>
          </cell>
          <cell r="J649" t="str">
            <v>Gunawadi</v>
          </cell>
          <cell r="K649" t="str">
            <v>Pune</v>
          </cell>
          <cell r="L649" t="str">
            <v>D2</v>
          </cell>
          <cell r="O649" t="str">
            <v>A</v>
          </cell>
        </row>
        <row r="650">
          <cell r="C650">
            <v>41039594</v>
          </cell>
          <cell r="D650" t="str">
            <v>ASHTAVINAYAK FUEL CENTRE</v>
          </cell>
          <cell r="E650" t="str">
            <v>HPCL</v>
          </cell>
          <cell r="F650" t="str">
            <v>2021-22</v>
          </cell>
          <cell r="G650" t="str">
            <v>Satara West RSA</v>
          </cell>
          <cell r="J650" t="str">
            <v>Karad Shenoli Road</v>
          </cell>
          <cell r="K650" t="str">
            <v>Satara</v>
          </cell>
          <cell r="L650" t="str">
            <v>D1</v>
          </cell>
          <cell r="M650" t="str">
            <v>NH-266</v>
          </cell>
          <cell r="O650" t="str">
            <v>A</v>
          </cell>
        </row>
        <row r="651">
          <cell r="C651">
            <v>41039596</v>
          </cell>
          <cell r="D651" t="str">
            <v>SHIVAM PETROLEUM</v>
          </cell>
          <cell r="E651" t="str">
            <v>HPCL</v>
          </cell>
          <cell r="F651" t="str">
            <v>2021-22</v>
          </cell>
          <cell r="G651" t="str">
            <v>Satara West RSA</v>
          </cell>
          <cell r="J651" t="str">
            <v>Shamgaon</v>
          </cell>
          <cell r="K651" t="str">
            <v>Satara</v>
          </cell>
          <cell r="L651" t="str">
            <v>D2</v>
          </cell>
          <cell r="O651" t="str">
            <v>A</v>
          </cell>
        </row>
        <row r="652">
          <cell r="C652">
            <v>41039598</v>
          </cell>
          <cell r="D652" t="str">
            <v>SHRI DUTTA PETROLEUM</v>
          </cell>
          <cell r="E652" t="str">
            <v>HPCL</v>
          </cell>
          <cell r="F652" t="str">
            <v>2021-22</v>
          </cell>
          <cell r="G652" t="str">
            <v>Pune Hadapsar RSA</v>
          </cell>
          <cell r="J652" t="str">
            <v>Kedgaon-Supe</v>
          </cell>
          <cell r="K652" t="str">
            <v>Pune</v>
          </cell>
          <cell r="L652" t="str">
            <v>D1</v>
          </cell>
          <cell r="M652" t="str">
            <v>NH-965D</v>
          </cell>
          <cell r="O652" t="str">
            <v>A</v>
          </cell>
        </row>
        <row r="653">
          <cell r="C653">
            <v>41039600</v>
          </cell>
          <cell r="D653" t="str">
            <v>SHREE DATTA PETROLEUM</v>
          </cell>
          <cell r="E653" t="str">
            <v>HPCL</v>
          </cell>
          <cell r="F653" t="str">
            <v>2021-22</v>
          </cell>
          <cell r="G653" t="str">
            <v>Pune Wagholi RSA</v>
          </cell>
          <cell r="J653" t="str">
            <v>Narayangaon junnar SH</v>
          </cell>
          <cell r="K653" t="str">
            <v>Pune</v>
          </cell>
          <cell r="L653" t="str">
            <v>D2</v>
          </cell>
          <cell r="O653" t="str">
            <v>B</v>
          </cell>
        </row>
        <row r="654">
          <cell r="C654">
            <v>41039602</v>
          </cell>
          <cell r="D654" t="str">
            <v>SHREE SOMNATH PETROLEUM</v>
          </cell>
          <cell r="E654" t="str">
            <v>HPCL</v>
          </cell>
          <cell r="F654" t="str">
            <v>2022-23</v>
          </cell>
          <cell r="G654" t="str">
            <v>Pune Tathawade RSA</v>
          </cell>
          <cell r="J654" t="str">
            <v>Sastewadi</v>
          </cell>
          <cell r="K654" t="str">
            <v>Pune</v>
          </cell>
          <cell r="L654" t="str">
            <v>E</v>
          </cell>
          <cell r="O654" t="str">
            <v>B</v>
          </cell>
        </row>
        <row r="655">
          <cell r="C655">
            <v>41039604</v>
          </cell>
          <cell r="D655" t="str">
            <v>M K PETROLEUM</v>
          </cell>
          <cell r="E655" t="str">
            <v>HPCL</v>
          </cell>
          <cell r="F655" t="str">
            <v>2022-23</v>
          </cell>
          <cell r="G655" t="str">
            <v>Pune Tathawade RSA</v>
          </cell>
          <cell r="J655" t="str">
            <v>MALEGAON</v>
          </cell>
          <cell r="K655" t="str">
            <v>Pune</v>
          </cell>
          <cell r="L655" t="str">
            <v>D2</v>
          </cell>
          <cell r="O655" t="str">
            <v>B</v>
          </cell>
        </row>
        <row r="656">
          <cell r="C656">
            <v>41039607</v>
          </cell>
          <cell r="D656" t="str">
            <v>BHOSLE PETROLEUM COMPANY</v>
          </cell>
          <cell r="E656" t="str">
            <v>HPCL</v>
          </cell>
          <cell r="F656" t="str">
            <v>2021-22</v>
          </cell>
          <cell r="G656" t="str">
            <v>Pimpri Chinchwad RSA</v>
          </cell>
          <cell r="J656" t="str">
            <v>Urse</v>
          </cell>
          <cell r="K656" t="str">
            <v>Pune</v>
          </cell>
          <cell r="L656" t="str">
            <v>E</v>
          </cell>
          <cell r="O656" t="str">
            <v>A</v>
          </cell>
        </row>
        <row r="657">
          <cell r="C657">
            <v>41039614</v>
          </cell>
          <cell r="D657" t="str">
            <v>DDD FUELOCITY TECH PRIVATE LIMITED</v>
          </cell>
          <cell r="E657" t="str">
            <v>HPCL</v>
          </cell>
          <cell r="G657" t="str">
            <v>Pune City RSA</v>
          </cell>
          <cell r="J657" t="str">
            <v>DDD</v>
          </cell>
          <cell r="K657" t="str">
            <v>Pune</v>
          </cell>
          <cell r="L657" t="str">
            <v>C</v>
          </cell>
          <cell r="O657" t="str">
            <v>B</v>
          </cell>
        </row>
        <row r="658">
          <cell r="C658">
            <v>41039621</v>
          </cell>
          <cell r="D658" t="str">
            <v>M/S POKALE PATIL PETROLEUM</v>
          </cell>
          <cell r="E658" t="str">
            <v>HPCL</v>
          </cell>
          <cell r="F658" t="str">
            <v>2023-24</v>
          </cell>
          <cell r="G658" t="str">
            <v>Pune City RSA</v>
          </cell>
          <cell r="J658" t="str">
            <v>DHAYARI</v>
          </cell>
          <cell r="K658" t="str">
            <v>Pune</v>
          </cell>
          <cell r="L658" t="str">
            <v>A</v>
          </cell>
          <cell r="O658" t="str">
            <v>A</v>
          </cell>
        </row>
        <row r="659">
          <cell r="C659">
            <v>41039727</v>
          </cell>
          <cell r="D659" t="str">
            <v>Nandanvan Petroleum</v>
          </cell>
          <cell r="E659" t="str">
            <v>HPCL</v>
          </cell>
          <cell r="F659" t="str">
            <v>2021-22</v>
          </cell>
          <cell r="G659" t="str">
            <v>Ahmednagar East RSA</v>
          </cell>
          <cell r="J659" t="str">
            <v>MIRI</v>
          </cell>
          <cell r="K659" t="str">
            <v>Ahmednagar</v>
          </cell>
          <cell r="L659" t="str">
            <v>D2</v>
          </cell>
          <cell r="O659" t="str">
            <v>A</v>
          </cell>
        </row>
        <row r="660">
          <cell r="C660">
            <v>41039731</v>
          </cell>
          <cell r="D660" t="str">
            <v>Prathmesh Mhaske HP Petrol Pump</v>
          </cell>
          <cell r="E660" t="str">
            <v>HPCL</v>
          </cell>
          <cell r="F660" t="str">
            <v>2022-23</v>
          </cell>
          <cell r="G660" t="str">
            <v>Ahmednagar West RSA</v>
          </cell>
          <cell r="J660" t="str">
            <v>Takli Dhokeshwar</v>
          </cell>
          <cell r="K660" t="str">
            <v>Ahmednagar</v>
          </cell>
          <cell r="L660" t="str">
            <v>D1</v>
          </cell>
          <cell r="M660" t="str">
            <v>NH-61</v>
          </cell>
          <cell r="O660" t="str">
            <v>B</v>
          </cell>
        </row>
        <row r="661">
          <cell r="C661">
            <v>41040638</v>
          </cell>
          <cell r="D661" t="str">
            <v>S R Navalepatil Petroleum</v>
          </cell>
          <cell r="E661" t="str">
            <v>HPCL</v>
          </cell>
          <cell r="F661" t="str">
            <v>2021-22</v>
          </cell>
          <cell r="G661" t="str">
            <v>Shirdi RSA</v>
          </cell>
          <cell r="J661" t="str">
            <v>NIMGAON JALI</v>
          </cell>
          <cell r="K661" t="str">
            <v>Ahmednagar</v>
          </cell>
          <cell r="L661" t="str">
            <v>D2</v>
          </cell>
          <cell r="O661" t="str">
            <v>A</v>
          </cell>
        </row>
        <row r="662">
          <cell r="C662">
            <v>41040641</v>
          </cell>
          <cell r="D662" t="str">
            <v>SAI AMRUT PETROLEUM</v>
          </cell>
          <cell r="E662" t="str">
            <v>HPCL</v>
          </cell>
          <cell r="F662" t="str">
            <v>2021-22</v>
          </cell>
          <cell r="G662" t="str">
            <v>Shirdi RSA</v>
          </cell>
          <cell r="J662" t="str">
            <v>SANGAMNER KHURD ON NH</v>
          </cell>
          <cell r="K662" t="str">
            <v>Ahmednagar</v>
          </cell>
          <cell r="L662" t="str">
            <v>D1</v>
          </cell>
          <cell r="M662" t="str">
            <v>NH-60</v>
          </cell>
          <cell r="O662" t="str">
            <v>A</v>
          </cell>
        </row>
        <row r="663">
          <cell r="C663">
            <v>41040809</v>
          </cell>
          <cell r="D663" t="str">
            <v>DDD BATCO ENERGY PRIVATE LIMITED</v>
          </cell>
          <cell r="E663" t="str">
            <v>HPCL</v>
          </cell>
          <cell r="G663" t="str">
            <v>Pune Saswad RSA</v>
          </cell>
          <cell r="J663" t="str">
            <v>DDD</v>
          </cell>
          <cell r="K663" t="str">
            <v>Pune</v>
          </cell>
          <cell r="L663" t="str">
            <v>D1</v>
          </cell>
          <cell r="M663" t="str">
            <v>NH-65</v>
          </cell>
          <cell r="O663" t="str">
            <v>A</v>
          </cell>
        </row>
        <row r="664">
          <cell r="C664">
            <v>41040816</v>
          </cell>
          <cell r="D664" t="str">
            <v>RAJE AND DESHMUKH BROTHER'S</v>
          </cell>
          <cell r="E664" t="str">
            <v>HPCL</v>
          </cell>
          <cell r="F664" t="str">
            <v>2021-22</v>
          </cell>
          <cell r="G664" t="str">
            <v>Satara West RSA</v>
          </cell>
          <cell r="J664" t="str">
            <v>ATIT TO KASHIL</v>
          </cell>
          <cell r="K664" t="str">
            <v>Satara</v>
          </cell>
          <cell r="L664" t="str">
            <v>D1</v>
          </cell>
          <cell r="M664" t="str">
            <v>NH-48</v>
          </cell>
          <cell r="O664" t="str">
            <v>A</v>
          </cell>
        </row>
        <row r="665">
          <cell r="C665">
            <v>41040819</v>
          </cell>
          <cell r="D665" t="str">
            <v>SANVI PETROLEUM</v>
          </cell>
          <cell r="E665" t="str">
            <v>HPCL</v>
          </cell>
          <cell r="F665" t="str">
            <v>2022-23</v>
          </cell>
          <cell r="G665" t="str">
            <v>Satara West RSA</v>
          </cell>
          <cell r="J665" t="str">
            <v>KARAD TO WATHAR</v>
          </cell>
          <cell r="K665" t="str">
            <v>Satara</v>
          </cell>
          <cell r="L665" t="str">
            <v>D1</v>
          </cell>
          <cell r="M665" t="str">
            <v>NH-48</v>
          </cell>
          <cell r="O665" t="str">
            <v>B</v>
          </cell>
        </row>
        <row r="666">
          <cell r="C666">
            <v>41040822</v>
          </cell>
          <cell r="D666" t="str">
            <v>PTC KHANDALA WELFARE FUND</v>
          </cell>
          <cell r="E666" t="str">
            <v>HPCL</v>
          </cell>
          <cell r="F666" t="str">
            <v>2022-23</v>
          </cell>
          <cell r="G666" t="str">
            <v>Pune Tathawade RSA</v>
          </cell>
          <cell r="J666" t="str">
            <v>Lonavala</v>
          </cell>
          <cell r="K666" t="str">
            <v>Pune</v>
          </cell>
          <cell r="L666" t="str">
            <v>D1</v>
          </cell>
          <cell r="M666" t="str">
            <v>NH-48</v>
          </cell>
          <cell r="O666" t="str">
            <v>B</v>
          </cell>
        </row>
        <row r="667">
          <cell r="C667">
            <v>41040825</v>
          </cell>
          <cell r="D667" t="str">
            <v>DIAL FUEL EXPRESS PRIVATE LIMITED</v>
          </cell>
          <cell r="E667" t="str">
            <v>HPCL</v>
          </cell>
          <cell r="G667" t="str">
            <v>Satara East RSA</v>
          </cell>
          <cell r="J667" t="str">
            <v>Dudhebavi</v>
          </cell>
          <cell r="K667" t="str">
            <v>Satara</v>
          </cell>
          <cell r="L667" t="str">
            <v>C</v>
          </cell>
          <cell r="O667" t="str">
            <v>B</v>
          </cell>
        </row>
        <row r="668">
          <cell r="C668">
            <v>41040827</v>
          </cell>
          <cell r="D668" t="str">
            <v>KRISHIDEV PETROLEUM ANDRUD</v>
          </cell>
          <cell r="E668" t="str">
            <v>HPCL</v>
          </cell>
          <cell r="F668" t="str">
            <v>2021-22</v>
          </cell>
          <cell r="G668" t="str">
            <v>Satara East RSA</v>
          </cell>
          <cell r="J668" t="str">
            <v>ANDRUD</v>
          </cell>
          <cell r="K668" t="str">
            <v>Satara</v>
          </cell>
          <cell r="L668" t="str">
            <v>E</v>
          </cell>
          <cell r="O668" t="str">
            <v>A</v>
          </cell>
        </row>
        <row r="669">
          <cell r="C669">
            <v>41040830</v>
          </cell>
          <cell r="D669" t="str">
            <v>ADHOC SAVITA PETROLEUM</v>
          </cell>
          <cell r="E669" t="str">
            <v>HPCL</v>
          </cell>
          <cell r="F669" t="str">
            <v>2021-22</v>
          </cell>
          <cell r="G669" t="str">
            <v>Pune Wagholi RSA</v>
          </cell>
          <cell r="J669" t="str">
            <v>Chandoli Khurd</v>
          </cell>
          <cell r="K669" t="str">
            <v>Pune</v>
          </cell>
          <cell r="L669" t="str">
            <v>E</v>
          </cell>
          <cell r="O669" t="str">
            <v>A</v>
          </cell>
        </row>
        <row r="670">
          <cell r="C670">
            <v>41095195</v>
          </cell>
          <cell r="D670" t="str">
            <v>ADHOC TEJAS PETROLEUM (41040833 ADHOC SHREE GURUDUTT PETROLEUM 41036724 ADHOC MANIK SONA PETRO HUB)</v>
          </cell>
          <cell r="E670" t="str">
            <v>HPCL</v>
          </cell>
          <cell r="F670" t="str">
            <v>2017-18</v>
          </cell>
          <cell r="G670" t="str">
            <v>Satara East RSA</v>
          </cell>
          <cell r="J670" t="str">
            <v>Lonand Shirval Road</v>
          </cell>
          <cell r="K670" t="str">
            <v>Satara</v>
          </cell>
          <cell r="L670" t="str">
            <v>D1</v>
          </cell>
          <cell r="M670" t="str">
            <v>NH-965DD</v>
          </cell>
          <cell r="O670" t="str">
            <v>B</v>
          </cell>
        </row>
        <row r="671">
          <cell r="C671">
            <v>41040836</v>
          </cell>
          <cell r="D671" t="str">
            <v>VYANKATESHWARA PETROLEUM</v>
          </cell>
          <cell r="E671" t="str">
            <v>HPCL</v>
          </cell>
          <cell r="F671" t="str">
            <v>2022-23</v>
          </cell>
          <cell r="G671" t="str">
            <v>Pune Tathawade RSA</v>
          </cell>
          <cell r="J671" t="str">
            <v>NARHE TO BAVDHAN</v>
          </cell>
          <cell r="K671" t="str">
            <v>Pune</v>
          </cell>
          <cell r="L671" t="str">
            <v>A</v>
          </cell>
          <cell r="M671" t="str">
            <v>NH-48</v>
          </cell>
          <cell r="O671" t="str">
            <v>B</v>
          </cell>
        </row>
        <row r="672">
          <cell r="C672">
            <v>41041848</v>
          </cell>
          <cell r="D672" t="str">
            <v>SHRIRAM PETROLEUM</v>
          </cell>
          <cell r="E672" t="str">
            <v>HPCL</v>
          </cell>
          <cell r="F672" t="str">
            <v>2021-22</v>
          </cell>
          <cell r="G672" t="str">
            <v>Ahmednagar West RSA</v>
          </cell>
          <cell r="J672" t="str">
            <v>Belwandi</v>
          </cell>
          <cell r="K672" t="str">
            <v>Ahmednagar</v>
          </cell>
          <cell r="L672" t="str">
            <v>D2</v>
          </cell>
          <cell r="O672" t="str">
            <v>A</v>
          </cell>
        </row>
        <row r="673">
          <cell r="C673">
            <v>41041851</v>
          </cell>
          <cell r="D673" t="str">
            <v>Haribaba Petroleum</v>
          </cell>
          <cell r="E673" t="str">
            <v>HPCL</v>
          </cell>
          <cell r="F673" t="str">
            <v>2021-22</v>
          </cell>
          <cell r="G673" t="str">
            <v>Shirdi RSA</v>
          </cell>
          <cell r="J673" t="str">
            <v>MIDC SANGAMNER</v>
          </cell>
          <cell r="K673" t="str">
            <v>Ahmednagar</v>
          </cell>
          <cell r="L673" t="str">
            <v>D1</v>
          </cell>
          <cell r="M673" t="str">
            <v>NH-60</v>
          </cell>
          <cell r="O673" t="str">
            <v>A</v>
          </cell>
        </row>
        <row r="674">
          <cell r="C674">
            <v>41041854</v>
          </cell>
          <cell r="D674" t="str">
            <v>Sneh Petroleum</v>
          </cell>
          <cell r="E674" t="str">
            <v>HPCL</v>
          </cell>
          <cell r="F674" t="str">
            <v>2021-22</v>
          </cell>
          <cell r="G674" t="str">
            <v>Shirdi RSA</v>
          </cell>
          <cell r="J674" t="str">
            <v>SANGAMNER KHURD ON NH</v>
          </cell>
          <cell r="K674" t="str">
            <v>Ahmednagar</v>
          </cell>
          <cell r="L674" t="str">
            <v>D1</v>
          </cell>
          <cell r="M674" t="str">
            <v>NH-60</v>
          </cell>
          <cell r="O674" t="str">
            <v>B</v>
          </cell>
        </row>
        <row r="675">
          <cell r="C675">
            <v>41041959</v>
          </cell>
          <cell r="D675" t="str">
            <v>SURYABHAN PATIL TAMBE &amp; SONS</v>
          </cell>
          <cell r="E675" t="str">
            <v>HPCL</v>
          </cell>
          <cell r="F675" t="str">
            <v>2021-22</v>
          </cell>
          <cell r="G675" t="str">
            <v>Shirdi RSA</v>
          </cell>
          <cell r="J675" t="str">
            <v>LONI PRAVARA SH</v>
          </cell>
          <cell r="K675" t="str">
            <v>Ahmednagar</v>
          </cell>
          <cell r="L675" t="str">
            <v>D2</v>
          </cell>
          <cell r="O675" t="str">
            <v>B</v>
          </cell>
        </row>
        <row r="676">
          <cell r="C676">
            <v>41042417</v>
          </cell>
          <cell r="D676" t="str">
            <v>VIJAY PETROLEUM ADHOC SURAJ PETROLEUM RAJESH FUEL CENTRE(12528730) (RAMLING PETROLEUM12175760)</v>
          </cell>
          <cell r="E676" t="str">
            <v>HPCL</v>
          </cell>
          <cell r="G676" t="str">
            <v>Pune Wagholi RSA</v>
          </cell>
          <cell r="J676" t="str">
            <v>Shikrapur to Ranjangaon RHS</v>
          </cell>
          <cell r="K676" t="str">
            <v>Pune</v>
          </cell>
          <cell r="L676" t="str">
            <v>D1</v>
          </cell>
          <cell r="M676" t="str">
            <v>NH-753F</v>
          </cell>
          <cell r="O676" t="str">
            <v>A</v>
          </cell>
        </row>
        <row r="677">
          <cell r="C677">
            <v>41042419</v>
          </cell>
          <cell r="D677" t="str">
            <v>JAYPRADNYA PETROLEUM</v>
          </cell>
          <cell r="E677" t="str">
            <v>HPCL</v>
          </cell>
          <cell r="F677" t="str">
            <v>2020-21</v>
          </cell>
          <cell r="G677" t="str">
            <v>Pimpri Chinchwad RSA</v>
          </cell>
          <cell r="J677" t="str">
            <v>Moshi</v>
          </cell>
          <cell r="K677" t="str">
            <v>Pune</v>
          </cell>
          <cell r="L677" t="str">
            <v>A</v>
          </cell>
          <cell r="O677" t="str">
            <v>A</v>
          </cell>
        </row>
        <row r="678">
          <cell r="C678">
            <v>41042424</v>
          </cell>
          <cell r="D678" t="str">
            <v xml:space="preserve">Krishna Petroleum </v>
          </cell>
          <cell r="E678" t="str">
            <v>HPCL</v>
          </cell>
          <cell r="F678" t="str">
            <v>2020-21</v>
          </cell>
          <cell r="G678" t="str">
            <v>Pune Wagholi RSA</v>
          </cell>
          <cell r="J678" t="str">
            <v>Alephata on Kalyan highway</v>
          </cell>
          <cell r="K678" t="str">
            <v>Pune</v>
          </cell>
          <cell r="L678" t="str">
            <v>D1</v>
          </cell>
          <cell r="M678" t="str">
            <v>NH-61</v>
          </cell>
          <cell r="O678" t="str">
            <v>A</v>
          </cell>
        </row>
        <row r="679">
          <cell r="C679">
            <v>41042444</v>
          </cell>
          <cell r="D679" t="str">
            <v>Auto Care Centre HL-3</v>
          </cell>
          <cell r="E679" t="str">
            <v>HPCL</v>
          </cell>
          <cell r="F679" t="str">
            <v>2020-21</v>
          </cell>
          <cell r="G679" t="str">
            <v>Pune City RSA</v>
          </cell>
          <cell r="J679" t="str">
            <v>Pimpri</v>
          </cell>
          <cell r="K679" t="str">
            <v>Pune</v>
          </cell>
          <cell r="L679" t="str">
            <v>A</v>
          </cell>
          <cell r="O679" t="str">
            <v>B</v>
          </cell>
        </row>
        <row r="680">
          <cell r="C680">
            <v>41042590</v>
          </cell>
          <cell r="D680" t="str">
            <v>Yadav Petroleum</v>
          </cell>
          <cell r="E680" t="str">
            <v>HPCL</v>
          </cell>
          <cell r="F680" t="str">
            <v>2020-21</v>
          </cell>
          <cell r="G680" t="str">
            <v>Ahmednagar West RSA</v>
          </cell>
          <cell r="J680" t="str">
            <v>Rehkuri</v>
          </cell>
          <cell r="K680" t="str">
            <v>Ahmednagar</v>
          </cell>
          <cell r="L680" t="str">
            <v>E</v>
          </cell>
          <cell r="O680" t="str">
            <v>B</v>
          </cell>
        </row>
        <row r="681">
          <cell r="C681">
            <v>41042673</v>
          </cell>
          <cell r="D681" t="str">
            <v>Vithai Petroleum</v>
          </cell>
          <cell r="E681" t="str">
            <v>HPCL</v>
          </cell>
          <cell r="F681" t="str">
            <v>2021-22</v>
          </cell>
          <cell r="G681" t="str">
            <v>Ahmednagar West RSA</v>
          </cell>
          <cell r="J681" t="str">
            <v>SHEKTE</v>
          </cell>
          <cell r="K681" t="str">
            <v>Ahmednagar</v>
          </cell>
          <cell r="L681" t="str">
            <v>D1</v>
          </cell>
          <cell r="M681" t="str">
            <v>NH-61</v>
          </cell>
          <cell r="O681" t="str">
            <v>A</v>
          </cell>
        </row>
        <row r="682">
          <cell r="C682">
            <v>41043307</v>
          </cell>
          <cell r="D682" t="str">
            <v xml:space="preserve">Date Petroleum                </v>
          </cell>
          <cell r="E682" t="str">
            <v>HPCL</v>
          </cell>
          <cell r="F682" t="str">
            <v>2020-21</v>
          </cell>
          <cell r="G682" t="str">
            <v>Ahmednagar West RSA</v>
          </cell>
          <cell r="J682" t="str">
            <v>KHADAKWADI</v>
          </cell>
          <cell r="K682" t="str">
            <v>Ahmednagar</v>
          </cell>
          <cell r="L682" t="str">
            <v>D2</v>
          </cell>
          <cell r="O682" t="str">
            <v>A</v>
          </cell>
        </row>
        <row r="683">
          <cell r="C683">
            <v>41043312</v>
          </cell>
          <cell r="D683" t="str">
            <v>Rajendra Petroleum</v>
          </cell>
          <cell r="E683" t="str">
            <v>HPCL</v>
          </cell>
          <cell r="F683" t="str">
            <v>2020-21</v>
          </cell>
          <cell r="G683" t="str">
            <v>Ahmednagar East RSA</v>
          </cell>
          <cell r="J683" t="str">
            <v>Chanda</v>
          </cell>
          <cell r="K683" t="str">
            <v>Ahmednagar</v>
          </cell>
          <cell r="L683" t="str">
            <v>D2</v>
          </cell>
          <cell r="O683" t="str">
            <v>B</v>
          </cell>
        </row>
        <row r="684">
          <cell r="C684">
            <v>41043446</v>
          </cell>
          <cell r="D684" t="str">
            <v xml:space="preserve"> SAMBHAJIRAO BHISE PETROLEUM</v>
          </cell>
          <cell r="E684" t="str">
            <v>HPCL</v>
          </cell>
          <cell r="F684" t="str">
            <v>2020-21</v>
          </cell>
          <cell r="G684" t="str">
            <v>Pune Tathawade RSA</v>
          </cell>
          <cell r="J684" t="str">
            <v>Songaon</v>
          </cell>
          <cell r="K684" t="str">
            <v>Pune</v>
          </cell>
          <cell r="L684" t="str">
            <v>D2</v>
          </cell>
          <cell r="O684" t="str">
            <v>B</v>
          </cell>
        </row>
        <row r="685">
          <cell r="C685">
            <v>41043449</v>
          </cell>
          <cell r="D685" t="str">
            <v>SIDDHARTH PETROLEUM</v>
          </cell>
          <cell r="E685" t="str">
            <v>HPCL</v>
          </cell>
          <cell r="F685" t="str">
            <v>2020-21</v>
          </cell>
          <cell r="G685" t="str">
            <v>Pune City RSA</v>
          </cell>
          <cell r="J685" t="str">
            <v>MUNDHWA/GHORPADI</v>
          </cell>
          <cell r="K685" t="str">
            <v>Pune</v>
          </cell>
          <cell r="L685" t="str">
            <v>A</v>
          </cell>
          <cell r="O685" t="str">
            <v>A</v>
          </cell>
        </row>
        <row r="686">
          <cell r="C686">
            <v>41043453</v>
          </cell>
          <cell r="D686" t="str">
            <v>SWAMI RAJ PETROLEUM</v>
          </cell>
          <cell r="E686" t="str">
            <v>HPCL</v>
          </cell>
          <cell r="F686" t="str">
            <v>2020-21</v>
          </cell>
          <cell r="G686" t="str">
            <v>Pune Wagholi RSA</v>
          </cell>
          <cell r="J686" t="str">
            <v>Manchar Bypass RHS</v>
          </cell>
          <cell r="K686" t="str">
            <v>Pune</v>
          </cell>
          <cell r="L686" t="str">
            <v>D1</v>
          </cell>
          <cell r="M686" t="str">
            <v>NH-60</v>
          </cell>
          <cell r="O686" t="str">
            <v>A</v>
          </cell>
        </row>
        <row r="687">
          <cell r="C687">
            <v>41043457</v>
          </cell>
          <cell r="D687" t="str">
            <v>CHAKRESHWAR PETROLEUM</v>
          </cell>
          <cell r="E687" t="str">
            <v>HPCL</v>
          </cell>
          <cell r="F687" t="str">
            <v>2020-21</v>
          </cell>
          <cell r="G687" t="str">
            <v>Pimpri Chinchwad RSA</v>
          </cell>
          <cell r="J687" t="str">
            <v>Chakan Bhose</v>
          </cell>
          <cell r="K687" t="str">
            <v>Pune</v>
          </cell>
          <cell r="L687" t="str">
            <v>D1</v>
          </cell>
          <cell r="M687" t="str">
            <v>NH-548D</v>
          </cell>
          <cell r="O687" t="str">
            <v>A</v>
          </cell>
        </row>
        <row r="688">
          <cell r="C688">
            <v>41043460</v>
          </cell>
          <cell r="D688" t="str">
            <v>RAJNANDANI PETROLEUM</v>
          </cell>
          <cell r="E688" t="str">
            <v>HPCL</v>
          </cell>
          <cell r="F688" t="str">
            <v>2020-21</v>
          </cell>
          <cell r="G688" t="str">
            <v>Pimpri Chinchwad RSA</v>
          </cell>
          <cell r="J688" t="str">
            <v>Rajgurunagar to Ghodegaon</v>
          </cell>
          <cell r="K688" t="str">
            <v>Pune</v>
          </cell>
          <cell r="L688" t="str">
            <v>D2</v>
          </cell>
          <cell r="O688" t="str">
            <v>A</v>
          </cell>
        </row>
        <row r="689">
          <cell r="C689">
            <v>41043463</v>
          </cell>
          <cell r="D689" t="str">
            <v>GAIKWAD PETROLEUM</v>
          </cell>
          <cell r="E689" t="str">
            <v>HPCL</v>
          </cell>
          <cell r="F689" t="str">
            <v>2020-21</v>
          </cell>
          <cell r="G689" t="str">
            <v>Pune City RSA</v>
          </cell>
          <cell r="J689" t="str">
            <v>RASIKWADI</v>
          </cell>
          <cell r="K689" t="str">
            <v>Pune</v>
          </cell>
          <cell r="L689" t="str">
            <v>A</v>
          </cell>
          <cell r="O689" t="str">
            <v>A</v>
          </cell>
        </row>
        <row r="690">
          <cell r="C690">
            <v>41043467</v>
          </cell>
          <cell r="D690" t="str">
            <v>SHRI MANE PETROLEUM</v>
          </cell>
          <cell r="E690" t="str">
            <v>HPCL</v>
          </cell>
          <cell r="F690" t="str">
            <v>2020-21</v>
          </cell>
          <cell r="G690" t="str">
            <v>Pune Saswad RSA</v>
          </cell>
          <cell r="J690" t="str">
            <v>Junction-Nimgaon Ketki Raod</v>
          </cell>
          <cell r="K690" t="str">
            <v>Pune</v>
          </cell>
          <cell r="L690" t="str">
            <v>D1</v>
          </cell>
          <cell r="M690" t="str">
            <v>NH-965G</v>
          </cell>
          <cell r="O690" t="str">
            <v>A</v>
          </cell>
        </row>
        <row r="691">
          <cell r="C691">
            <v>41043471</v>
          </cell>
          <cell r="D691" t="str">
            <v>HP AUTO CARE CENTRE HAL 2</v>
          </cell>
          <cell r="E691" t="str">
            <v>HPCL</v>
          </cell>
          <cell r="F691" t="str">
            <v>2020-21</v>
          </cell>
          <cell r="G691" t="str">
            <v>Pimpri Chinchwad RSA</v>
          </cell>
          <cell r="J691" t="str">
            <v>Nehru Nagar</v>
          </cell>
          <cell r="K691" t="str">
            <v>Pune</v>
          </cell>
          <cell r="L691" t="str">
            <v>A</v>
          </cell>
          <cell r="O691" t="str">
            <v>A</v>
          </cell>
        </row>
        <row r="692">
          <cell r="C692">
            <v>41043474</v>
          </cell>
          <cell r="D692" t="str">
            <v>TRK WALKE PETROLEUM</v>
          </cell>
          <cell r="E692" t="str">
            <v>HPCL</v>
          </cell>
          <cell r="F692" t="str">
            <v>2021-22</v>
          </cell>
          <cell r="G692" t="str">
            <v>Pimpri Chinchwad RSA</v>
          </cell>
          <cell r="J692" t="str">
            <v>Alandi</v>
          </cell>
          <cell r="K692" t="str">
            <v>Pune</v>
          </cell>
          <cell r="L692" t="str">
            <v>A</v>
          </cell>
          <cell r="O692" t="str">
            <v>B</v>
          </cell>
        </row>
        <row r="693">
          <cell r="C693">
            <v>41043481</v>
          </cell>
          <cell r="D693" t="str">
            <v>SHRI PADMAVATI PETROLEUM</v>
          </cell>
          <cell r="E693" t="str">
            <v>HPCL</v>
          </cell>
          <cell r="F693" t="str">
            <v>2020-21</v>
          </cell>
          <cell r="G693" t="str">
            <v>Pune Saswad RSA</v>
          </cell>
          <cell r="J693" t="str">
            <v>Bhigwan - Baramati Road</v>
          </cell>
          <cell r="K693" t="str">
            <v>Pune</v>
          </cell>
          <cell r="L693" t="str">
            <v>D2</v>
          </cell>
          <cell r="O693" t="str">
            <v>A</v>
          </cell>
        </row>
        <row r="694">
          <cell r="C694">
            <v>41043484</v>
          </cell>
          <cell r="D694" t="str">
            <v>RAMKRISHNA PETROLEUM</v>
          </cell>
          <cell r="E694" t="str">
            <v>HPCL</v>
          </cell>
          <cell r="F694" t="str">
            <v>2020-21</v>
          </cell>
          <cell r="G694" t="str">
            <v>Pune Hadapsar RSA</v>
          </cell>
          <cell r="J694" t="str">
            <v>DAUND</v>
          </cell>
          <cell r="K694" t="str">
            <v>Pune</v>
          </cell>
          <cell r="L694" t="str">
            <v>D2</v>
          </cell>
          <cell r="O694" t="str">
            <v>B</v>
          </cell>
        </row>
        <row r="695">
          <cell r="C695">
            <v>41043487</v>
          </cell>
          <cell r="D695" t="str">
            <v xml:space="preserve">SHREENATH PETROLEUM </v>
          </cell>
          <cell r="E695" t="str">
            <v>HPCL</v>
          </cell>
          <cell r="F695" t="str">
            <v>2020-21</v>
          </cell>
          <cell r="G695" t="str">
            <v>Pune Wagholi RSA</v>
          </cell>
          <cell r="J695" t="str">
            <v>Manjrewadi</v>
          </cell>
          <cell r="K695" t="str">
            <v>Pune</v>
          </cell>
          <cell r="L695" t="str">
            <v>D2</v>
          </cell>
          <cell r="O695" t="str">
            <v>B</v>
          </cell>
        </row>
        <row r="696">
          <cell r="C696">
            <v>41043490</v>
          </cell>
          <cell r="D696" t="str">
            <v>DEWAASHEESH PETROLEUM</v>
          </cell>
          <cell r="E696" t="str">
            <v>HPCL</v>
          </cell>
          <cell r="F696" t="str">
            <v>2021-22</v>
          </cell>
          <cell r="G696" t="str">
            <v>Satara West RSA</v>
          </cell>
          <cell r="J696" t="str">
            <v>Bhuinj to Satara</v>
          </cell>
          <cell r="K696" t="str">
            <v>Satara</v>
          </cell>
          <cell r="L696" t="str">
            <v>D1</v>
          </cell>
          <cell r="M696" t="str">
            <v>NH-48</v>
          </cell>
          <cell r="O696" t="str">
            <v>A</v>
          </cell>
        </row>
        <row r="697">
          <cell r="C697">
            <v>41043494</v>
          </cell>
          <cell r="D697" t="str">
            <v>J B PETROLEUM</v>
          </cell>
          <cell r="E697" t="str">
            <v>HPCL</v>
          </cell>
          <cell r="F697" t="str">
            <v>2021-22</v>
          </cell>
          <cell r="G697" t="str">
            <v>Satara West RSA</v>
          </cell>
          <cell r="J697" t="str">
            <v>KARAD ON NH 48 RHS</v>
          </cell>
          <cell r="K697" t="str">
            <v>Satara</v>
          </cell>
          <cell r="L697" t="str">
            <v>D1</v>
          </cell>
          <cell r="M697" t="str">
            <v>NH-48</v>
          </cell>
          <cell r="O697" t="str">
            <v>A</v>
          </cell>
        </row>
        <row r="698">
          <cell r="C698">
            <v>41043498</v>
          </cell>
          <cell r="D698" t="str">
            <v>JAGDAMB PETROLEUM</v>
          </cell>
          <cell r="E698" t="str">
            <v>HPCL</v>
          </cell>
          <cell r="F698" t="str">
            <v>2020-21</v>
          </cell>
          <cell r="G698" t="str">
            <v>Satara East RSA</v>
          </cell>
          <cell r="J698" t="str">
            <v>RANAND</v>
          </cell>
          <cell r="K698" t="str">
            <v>Satara</v>
          </cell>
          <cell r="L698" t="str">
            <v>E</v>
          </cell>
          <cell r="O698" t="str">
            <v>B</v>
          </cell>
        </row>
        <row r="699">
          <cell r="C699">
            <v>41043501</v>
          </cell>
          <cell r="D699" t="str">
            <v>SARITA SERVICES</v>
          </cell>
          <cell r="E699" t="str">
            <v>HPCL</v>
          </cell>
          <cell r="F699" t="str">
            <v>2020-21</v>
          </cell>
          <cell r="G699" t="str">
            <v>Pune City RSA</v>
          </cell>
          <cell r="J699" t="str">
            <v>Thergaon</v>
          </cell>
          <cell r="K699" t="str">
            <v>Pune</v>
          </cell>
          <cell r="L699" t="str">
            <v>A</v>
          </cell>
          <cell r="O699" t="str">
            <v>A</v>
          </cell>
        </row>
        <row r="700">
          <cell r="C700">
            <v>41043505</v>
          </cell>
          <cell r="D700" t="str">
            <v>CHOUDHARIS PETROLIEUM</v>
          </cell>
          <cell r="E700" t="str">
            <v>HPCL</v>
          </cell>
          <cell r="F700" t="str">
            <v>2021-22</v>
          </cell>
          <cell r="G700" t="str">
            <v>Pune Tathawade RSA</v>
          </cell>
          <cell r="J700" t="str">
            <v>BAVDHAN TO NARHE</v>
          </cell>
          <cell r="K700" t="str">
            <v>Pune</v>
          </cell>
          <cell r="L700" t="str">
            <v>A</v>
          </cell>
          <cell r="M700" t="str">
            <v>NH-48</v>
          </cell>
          <cell r="O700" t="str">
            <v>B</v>
          </cell>
        </row>
        <row r="701">
          <cell r="C701">
            <v>41043508</v>
          </cell>
          <cell r="D701" t="str">
            <v>PARVATI PETROLEUM</v>
          </cell>
          <cell r="E701" t="str">
            <v>HPCL</v>
          </cell>
          <cell r="F701" t="str">
            <v>2021-22</v>
          </cell>
          <cell r="G701" t="str">
            <v>Pune Hadapsar RSA</v>
          </cell>
          <cell r="J701" t="str">
            <v>Pimpri Sandaz</v>
          </cell>
          <cell r="K701" t="str">
            <v>Pune</v>
          </cell>
          <cell r="L701" t="str">
            <v>D2</v>
          </cell>
          <cell r="O701" t="str">
            <v>A</v>
          </cell>
        </row>
        <row r="702">
          <cell r="C702">
            <v>41043514</v>
          </cell>
          <cell r="D702" t="str">
            <v>BANGANGA PETROLEUM</v>
          </cell>
          <cell r="E702" t="str">
            <v>HPCL</v>
          </cell>
          <cell r="F702" t="str">
            <v>2020-21</v>
          </cell>
          <cell r="G702" t="str">
            <v>Satara East RSA</v>
          </cell>
          <cell r="J702" t="str">
            <v>PHALTAN UPLAVE ROAD</v>
          </cell>
          <cell r="K702" t="str">
            <v>Satara</v>
          </cell>
          <cell r="L702" t="str">
            <v>E</v>
          </cell>
          <cell r="O702" t="str">
            <v>B</v>
          </cell>
        </row>
        <row r="703">
          <cell r="C703">
            <v>41043517</v>
          </cell>
          <cell r="D703" t="str">
            <v>Om Shivshambhu Petroleum</v>
          </cell>
          <cell r="E703" t="str">
            <v>HPCL</v>
          </cell>
          <cell r="F703" t="str">
            <v>2021-22</v>
          </cell>
          <cell r="G703" t="str">
            <v>Pimpri Chinchwad RSA</v>
          </cell>
          <cell r="J703" t="str">
            <v>CHIKHLI</v>
          </cell>
          <cell r="K703" t="str">
            <v>Pune</v>
          </cell>
          <cell r="L703" t="str">
            <v>A</v>
          </cell>
          <cell r="O703" t="str">
            <v>A</v>
          </cell>
        </row>
        <row r="704">
          <cell r="C704">
            <v>41043521</v>
          </cell>
          <cell r="D704" t="str">
            <v>SAMARTH PETROLEUM</v>
          </cell>
          <cell r="E704" t="str">
            <v>HPCL</v>
          </cell>
          <cell r="F704" t="str">
            <v>2021-22</v>
          </cell>
          <cell r="G704" t="str">
            <v>Pune Hadapsar RSA</v>
          </cell>
          <cell r="J704" t="str">
            <v>Manjari</v>
          </cell>
          <cell r="K704" t="str">
            <v>Pune</v>
          </cell>
          <cell r="L704" t="str">
            <v>A</v>
          </cell>
          <cell r="O704" t="str">
            <v>A</v>
          </cell>
        </row>
        <row r="705">
          <cell r="C705">
            <v>41043524</v>
          </cell>
          <cell r="D705" t="str">
            <v>MSHSD C K PETROLEUM</v>
          </cell>
          <cell r="E705" t="str">
            <v>HPCL</v>
          </cell>
          <cell r="F705" t="str">
            <v>2021-22</v>
          </cell>
          <cell r="G705" t="str">
            <v>Pune Hadapsar RSA</v>
          </cell>
          <cell r="J705" t="str">
            <v>Manjari</v>
          </cell>
          <cell r="K705" t="str">
            <v>Pune</v>
          </cell>
          <cell r="L705" t="str">
            <v>A</v>
          </cell>
          <cell r="O705" t="str">
            <v>A</v>
          </cell>
        </row>
        <row r="706">
          <cell r="C706">
            <v>41043527</v>
          </cell>
          <cell r="D706" t="str">
            <v>SUTAR PETROLEUM</v>
          </cell>
          <cell r="E706" t="str">
            <v>HPCL</v>
          </cell>
          <cell r="F706" t="str">
            <v>2021-22</v>
          </cell>
          <cell r="G706" t="str">
            <v>Pune City RSA</v>
          </cell>
          <cell r="J706" t="str">
            <v>HINJEWADI MANN ROAD</v>
          </cell>
          <cell r="K706" t="str">
            <v>Pune</v>
          </cell>
          <cell r="L706" t="str">
            <v>A</v>
          </cell>
          <cell r="O706" t="str">
            <v>A</v>
          </cell>
        </row>
        <row r="707">
          <cell r="C707">
            <v>41043529</v>
          </cell>
          <cell r="D707" t="str">
            <v>DATTAGURU PETROLEUM</v>
          </cell>
          <cell r="E707" t="str">
            <v>HPCL</v>
          </cell>
          <cell r="F707" t="str">
            <v>2021-22</v>
          </cell>
          <cell r="G707" t="str">
            <v>Pimpri Chinchwad RSA</v>
          </cell>
          <cell r="J707" t="str">
            <v>CHIKHLI</v>
          </cell>
          <cell r="K707" t="str">
            <v>Pune</v>
          </cell>
          <cell r="L707" t="str">
            <v>A</v>
          </cell>
          <cell r="O707" t="str">
            <v>A</v>
          </cell>
        </row>
        <row r="708">
          <cell r="C708">
            <v>41043531</v>
          </cell>
          <cell r="D708" t="str">
            <v>Mahalaxmi Energy</v>
          </cell>
          <cell r="E708" t="str">
            <v>HPCL</v>
          </cell>
          <cell r="F708" t="str">
            <v>2021-22</v>
          </cell>
          <cell r="G708" t="str">
            <v>Pune Tathawade RSA</v>
          </cell>
          <cell r="J708" t="str">
            <v>DEHU ROAD TO BALEWADI</v>
          </cell>
          <cell r="K708" t="str">
            <v>Pune</v>
          </cell>
          <cell r="L708" t="str">
            <v>A</v>
          </cell>
          <cell r="M708" t="str">
            <v>NH-48</v>
          </cell>
          <cell r="O708" t="str">
            <v>A</v>
          </cell>
        </row>
        <row r="709">
          <cell r="C709">
            <v>41043534</v>
          </cell>
          <cell r="D709" t="str">
            <v>Indrayani Petroleum</v>
          </cell>
          <cell r="E709" t="str">
            <v>HPCL</v>
          </cell>
          <cell r="F709" t="str">
            <v>2021-22</v>
          </cell>
          <cell r="G709" t="str">
            <v>Pimpri Chinchwad RSA</v>
          </cell>
          <cell r="J709" t="str">
            <v>Tulapur</v>
          </cell>
          <cell r="K709" t="str">
            <v>Pune</v>
          </cell>
          <cell r="L709" t="str">
            <v>D2</v>
          </cell>
          <cell r="O709" t="str">
            <v>B</v>
          </cell>
        </row>
        <row r="710">
          <cell r="C710">
            <v>41043536</v>
          </cell>
          <cell r="D710" t="str">
            <v>PRASHANT PETROLEUM</v>
          </cell>
          <cell r="E710" t="str">
            <v>HPCL</v>
          </cell>
          <cell r="F710" t="str">
            <v>2021-22</v>
          </cell>
          <cell r="G710" t="str">
            <v>Pimpri Chinchwad RSA</v>
          </cell>
          <cell r="J710" t="str">
            <v>Induri</v>
          </cell>
          <cell r="K710" t="str">
            <v>Pune</v>
          </cell>
          <cell r="L710" t="str">
            <v>D1</v>
          </cell>
          <cell r="M710" t="str">
            <v>NH-548D</v>
          </cell>
          <cell r="O710" t="str">
            <v>B</v>
          </cell>
        </row>
        <row r="711">
          <cell r="C711">
            <v>41043708</v>
          </cell>
          <cell r="D711" t="str">
            <v>SHRI BHULESHWAR PETROLEUM</v>
          </cell>
          <cell r="E711" t="str">
            <v>HPCL</v>
          </cell>
          <cell r="F711" t="str">
            <v>2021-22</v>
          </cell>
          <cell r="G711" t="str">
            <v>Pune Hadapsar RSA</v>
          </cell>
          <cell r="J711" t="str">
            <v>Malshiras</v>
          </cell>
          <cell r="K711" t="str">
            <v>Pune</v>
          </cell>
          <cell r="L711" t="str">
            <v>D2</v>
          </cell>
          <cell r="O711" t="str">
            <v>A</v>
          </cell>
        </row>
        <row r="712">
          <cell r="C712">
            <v>41043711</v>
          </cell>
          <cell r="D712" t="str">
            <v>OM SAI SIDDHI PETROLEUM</v>
          </cell>
          <cell r="E712" t="str">
            <v>HPCL</v>
          </cell>
          <cell r="F712" t="str">
            <v>2021-22</v>
          </cell>
          <cell r="G712" t="str">
            <v>Pune Wagholi RSA</v>
          </cell>
          <cell r="J712" t="str">
            <v>Nhawra Village SH</v>
          </cell>
          <cell r="K712" t="str">
            <v>Pune</v>
          </cell>
          <cell r="L712" t="str">
            <v>D2</v>
          </cell>
          <cell r="O712" t="str">
            <v>A</v>
          </cell>
        </row>
        <row r="713">
          <cell r="C713">
            <v>41043713</v>
          </cell>
          <cell r="D713" t="str">
            <v>SHRI MAHALAKSHMI PETROLEUM</v>
          </cell>
          <cell r="E713" t="str">
            <v>HPCL</v>
          </cell>
          <cell r="F713" t="str">
            <v>2021-22</v>
          </cell>
          <cell r="G713" t="str">
            <v>Pune Wagholi RSA</v>
          </cell>
          <cell r="J713" t="str">
            <v>Gunjalwadi P4</v>
          </cell>
          <cell r="K713" t="str">
            <v>Pune</v>
          </cell>
          <cell r="L713" t="str">
            <v>E</v>
          </cell>
          <cell r="O713" t="str">
            <v>A</v>
          </cell>
        </row>
        <row r="714">
          <cell r="C714">
            <v>41043715</v>
          </cell>
          <cell r="D714" t="str">
            <v>BHAIRAVNATH FUEL STATION</v>
          </cell>
          <cell r="E714" t="str">
            <v>HPCL</v>
          </cell>
          <cell r="F714" t="str">
            <v>2021-22</v>
          </cell>
          <cell r="G714" t="str">
            <v>Pune Hadapsar RSA</v>
          </cell>
          <cell r="J714" t="str">
            <v>Vasunde</v>
          </cell>
          <cell r="K714" t="str">
            <v>Pune</v>
          </cell>
          <cell r="L714" t="str">
            <v>D1</v>
          </cell>
          <cell r="M714" t="str">
            <v>NH-965G</v>
          </cell>
          <cell r="O714" t="str">
            <v>A</v>
          </cell>
        </row>
        <row r="715">
          <cell r="C715">
            <v>41043717</v>
          </cell>
          <cell r="D715" t="str">
            <v>VENKATESHA PETROLEUM</v>
          </cell>
          <cell r="E715" t="str">
            <v>HPCL</v>
          </cell>
          <cell r="F715" t="str">
            <v>2021-22</v>
          </cell>
          <cell r="G715" t="str">
            <v>Satara East RSA</v>
          </cell>
          <cell r="J715" t="str">
            <v>VIKHALE</v>
          </cell>
          <cell r="K715" t="str">
            <v>Satara</v>
          </cell>
          <cell r="L715" t="str">
            <v>D2</v>
          </cell>
          <cell r="O715" t="str">
            <v>A</v>
          </cell>
        </row>
        <row r="716">
          <cell r="C716">
            <v>41043720</v>
          </cell>
          <cell r="D716" t="str">
            <v>GAWADE PETROLEUM</v>
          </cell>
          <cell r="E716" t="str">
            <v>HPCL</v>
          </cell>
          <cell r="F716" t="str">
            <v>2021-22</v>
          </cell>
          <cell r="G716" t="str">
            <v>Pune Wagholi RSA</v>
          </cell>
          <cell r="J716" t="str">
            <v>Khed Pabal Road</v>
          </cell>
          <cell r="K716" t="str">
            <v>Pune</v>
          </cell>
          <cell r="L716" t="str">
            <v>D2</v>
          </cell>
          <cell r="O716" t="str">
            <v>B</v>
          </cell>
        </row>
        <row r="717">
          <cell r="C717">
            <v>41043723</v>
          </cell>
          <cell r="D717" t="str">
            <v>Shri Vighnahar SSL Ltd</v>
          </cell>
          <cell r="E717" t="str">
            <v>HPCL</v>
          </cell>
          <cell r="F717" t="str">
            <v>2021-22</v>
          </cell>
          <cell r="G717" t="str">
            <v>Pune Wagholi RSA</v>
          </cell>
          <cell r="J717" t="str">
            <v>Wafgaon</v>
          </cell>
          <cell r="K717" t="str">
            <v>Pune</v>
          </cell>
          <cell r="L717" t="str">
            <v>E</v>
          </cell>
          <cell r="O717" t="str">
            <v>A</v>
          </cell>
        </row>
        <row r="718">
          <cell r="C718">
            <v>41043726</v>
          </cell>
          <cell r="D718" t="str">
            <v>JK PETROLEUM</v>
          </cell>
          <cell r="E718" t="str">
            <v>HPCL</v>
          </cell>
          <cell r="F718" t="str">
            <v>2021-22</v>
          </cell>
          <cell r="G718" t="str">
            <v>Satara East RSA</v>
          </cell>
          <cell r="J718" t="str">
            <v>MALAVADI</v>
          </cell>
          <cell r="K718" t="str">
            <v>Satara</v>
          </cell>
          <cell r="L718" t="str">
            <v>E</v>
          </cell>
          <cell r="O718" t="str">
            <v>A</v>
          </cell>
        </row>
        <row r="719">
          <cell r="C719">
            <v>41043729</v>
          </cell>
          <cell r="D719" t="str">
            <v>Siddhivinayak Service Station</v>
          </cell>
          <cell r="E719" t="str">
            <v>HPCL</v>
          </cell>
          <cell r="F719" t="str">
            <v>2021-22</v>
          </cell>
          <cell r="G719" t="str">
            <v>Pune Hadapsar RSA</v>
          </cell>
          <cell r="J719" t="str">
            <v>Virobawadi</v>
          </cell>
          <cell r="K719" t="str">
            <v>Pune</v>
          </cell>
          <cell r="L719" t="str">
            <v>D2</v>
          </cell>
          <cell r="O719" t="str">
            <v>A</v>
          </cell>
        </row>
        <row r="720">
          <cell r="C720">
            <v>41043732</v>
          </cell>
          <cell r="D720" t="str">
            <v>SHRIRAM PETROLEUM</v>
          </cell>
          <cell r="E720" t="str">
            <v>HPCL</v>
          </cell>
          <cell r="F720" t="str">
            <v>2022-23</v>
          </cell>
          <cell r="G720" t="str">
            <v>Satara West RSA</v>
          </cell>
          <cell r="J720" t="str">
            <v>Shendre to Borgaon</v>
          </cell>
          <cell r="K720" t="str">
            <v>Satara</v>
          </cell>
          <cell r="L720" t="str">
            <v>D1</v>
          </cell>
          <cell r="M720" t="str">
            <v>NH-48</v>
          </cell>
          <cell r="O720" t="str">
            <v>B</v>
          </cell>
        </row>
        <row r="721">
          <cell r="C721">
            <v>41043735</v>
          </cell>
          <cell r="D721" t="str">
            <v>KRUPASINDHU PETROLEUM</v>
          </cell>
          <cell r="E721" t="str">
            <v>HPCL</v>
          </cell>
          <cell r="F721" t="str">
            <v>2021-22</v>
          </cell>
          <cell r="G721" t="str">
            <v>Satara East RSA</v>
          </cell>
          <cell r="J721" t="str">
            <v>Kumthe</v>
          </cell>
          <cell r="K721" t="str">
            <v>Satara</v>
          </cell>
          <cell r="L721" t="str">
            <v>E</v>
          </cell>
          <cell r="O721" t="str">
            <v>A</v>
          </cell>
        </row>
        <row r="722">
          <cell r="C722">
            <v>41043737</v>
          </cell>
          <cell r="D722" t="str">
            <v>MSHSD MANDEKAR PETROLEUM</v>
          </cell>
          <cell r="E722" t="str">
            <v>HPCL</v>
          </cell>
          <cell r="F722" t="str">
            <v>2021-22</v>
          </cell>
          <cell r="G722" t="str">
            <v>Pune City RSA</v>
          </cell>
          <cell r="J722" t="str">
            <v>J M ROAD</v>
          </cell>
          <cell r="K722" t="str">
            <v>Pune</v>
          </cell>
          <cell r="L722" t="str">
            <v>A</v>
          </cell>
          <cell r="O722" t="str">
            <v>A</v>
          </cell>
        </row>
        <row r="723">
          <cell r="C723">
            <v>41043746</v>
          </cell>
          <cell r="D723" t="str">
            <v>OJASVI PETROLEUM</v>
          </cell>
          <cell r="E723" t="str">
            <v>HPCL</v>
          </cell>
          <cell r="F723" t="str">
            <v>2021-22</v>
          </cell>
          <cell r="G723" t="str">
            <v>Pune Saswad RSA</v>
          </cell>
          <cell r="J723" t="str">
            <v>KALAS INDAPUR</v>
          </cell>
          <cell r="K723" t="str">
            <v>Pune</v>
          </cell>
          <cell r="L723" t="str">
            <v>D2</v>
          </cell>
          <cell r="O723" t="str">
            <v>A</v>
          </cell>
        </row>
        <row r="724">
          <cell r="C724">
            <v>41043748</v>
          </cell>
          <cell r="D724" t="str">
            <v>SHREE GANESH PETROLEUM</v>
          </cell>
          <cell r="E724" t="str">
            <v>HPCL</v>
          </cell>
          <cell r="F724" t="str">
            <v>2021-22</v>
          </cell>
          <cell r="G724" t="str">
            <v>Satara West RSA</v>
          </cell>
          <cell r="J724" t="str">
            <v>WATHAR TO KARAD</v>
          </cell>
          <cell r="K724" t="str">
            <v>Satara</v>
          </cell>
          <cell r="L724" t="str">
            <v>D1</v>
          </cell>
          <cell r="M724" t="str">
            <v>NH-48</v>
          </cell>
          <cell r="O724" t="str">
            <v>B</v>
          </cell>
        </row>
        <row r="725">
          <cell r="C725">
            <v>41043754</v>
          </cell>
          <cell r="D725" t="str">
            <v>MEENAKSHI PETROLEUM</v>
          </cell>
          <cell r="E725" t="str">
            <v>HPCL</v>
          </cell>
          <cell r="F725" t="str">
            <v>2021-22</v>
          </cell>
          <cell r="G725" t="str">
            <v>Pune Saswad RSA</v>
          </cell>
          <cell r="J725" t="str">
            <v>BHIGWAN</v>
          </cell>
          <cell r="K725" t="str">
            <v>Pune</v>
          </cell>
          <cell r="L725" t="str">
            <v>D1</v>
          </cell>
          <cell r="M725" t="str">
            <v>NH-65</v>
          </cell>
          <cell r="O725" t="str">
            <v>A</v>
          </cell>
        </row>
        <row r="726">
          <cell r="C726">
            <v>41043868</v>
          </cell>
          <cell r="D726" t="str">
            <v>SHIVRAJ PETROLEUM(Jan'09)</v>
          </cell>
          <cell r="E726" t="str">
            <v>HPCL</v>
          </cell>
          <cell r="G726" t="str">
            <v>Satara East RSA</v>
          </cell>
          <cell r="J726" t="str">
            <v>Waduj</v>
          </cell>
          <cell r="K726" t="str">
            <v>Satara</v>
          </cell>
          <cell r="L726" t="str">
            <v>D2</v>
          </cell>
          <cell r="O726" t="str">
            <v>B</v>
          </cell>
        </row>
        <row r="727">
          <cell r="C727">
            <v>41043879</v>
          </cell>
          <cell r="D727" t="str">
            <v>SAI PETROL PUMP(HP AUTO CARE)</v>
          </cell>
          <cell r="E727" t="str">
            <v>HPCL</v>
          </cell>
          <cell r="G727" t="str">
            <v>Satara West RSA</v>
          </cell>
          <cell r="J727" t="str">
            <v>Satara City</v>
          </cell>
          <cell r="K727" t="str">
            <v>Satara</v>
          </cell>
          <cell r="L727" t="str">
            <v>C</v>
          </cell>
          <cell r="O727" t="str">
            <v>A</v>
          </cell>
        </row>
        <row r="728">
          <cell r="C728">
            <v>41043894</v>
          </cell>
          <cell r="D728" t="str">
            <v>D.P. KADAM &amp; SONS(Mar'10)</v>
          </cell>
          <cell r="E728" t="str">
            <v>HPCL</v>
          </cell>
          <cell r="G728" t="str">
            <v>Satara East RSA</v>
          </cell>
          <cell r="J728" t="str">
            <v>Pusesavali Kadepur Road</v>
          </cell>
          <cell r="K728" t="str">
            <v>Satara</v>
          </cell>
          <cell r="L728" t="str">
            <v>D2</v>
          </cell>
          <cell r="O728" t="str">
            <v>B</v>
          </cell>
        </row>
        <row r="729">
          <cell r="C729">
            <v>41044059</v>
          </cell>
          <cell r="D729" t="str">
            <v>Ananya Petroleum</v>
          </cell>
          <cell r="E729" t="str">
            <v>HPCL</v>
          </cell>
          <cell r="F729" t="str">
            <v>2020-21</v>
          </cell>
          <cell r="G729" t="str">
            <v>Shirdi RSA</v>
          </cell>
          <cell r="J729" t="str">
            <v>BHAIRAVNATH NAGAR</v>
          </cell>
          <cell r="K729" t="str">
            <v>Ahmednagar</v>
          </cell>
          <cell r="L729" t="str">
            <v>D2</v>
          </cell>
          <cell r="O729" t="str">
            <v>B</v>
          </cell>
        </row>
        <row r="730">
          <cell r="C730">
            <v>41044074</v>
          </cell>
          <cell r="D730" t="str">
            <v>Vaishnavimata Petroleum</v>
          </cell>
          <cell r="E730" t="str">
            <v>HPCL</v>
          </cell>
          <cell r="F730" t="str">
            <v>2020-21</v>
          </cell>
          <cell r="G730" t="str">
            <v>Ahmednagar East RSA</v>
          </cell>
          <cell r="J730" t="str">
            <v>Supe toll</v>
          </cell>
          <cell r="K730" t="str">
            <v>Ahmednagar</v>
          </cell>
          <cell r="L730" t="str">
            <v>D1</v>
          </cell>
          <cell r="M730" t="str">
            <v>NH-753F</v>
          </cell>
          <cell r="O730" t="str">
            <v>B</v>
          </cell>
        </row>
        <row r="731">
          <cell r="C731">
            <v>41044077</v>
          </cell>
          <cell r="D731" t="str">
            <v>Chandrama Petroleum</v>
          </cell>
          <cell r="E731" t="str">
            <v>HPCL</v>
          </cell>
          <cell r="F731" t="str">
            <v>2020-21</v>
          </cell>
          <cell r="G731" t="str">
            <v>Shirdi RSA</v>
          </cell>
          <cell r="J731" t="str">
            <v>RAHATA</v>
          </cell>
          <cell r="K731" t="str">
            <v>Ahmednagar</v>
          </cell>
          <cell r="L731" t="str">
            <v>D1</v>
          </cell>
          <cell r="M731" t="str">
            <v>NH-160</v>
          </cell>
          <cell r="O731" t="str">
            <v>B</v>
          </cell>
        </row>
        <row r="732">
          <cell r="C732">
            <v>41044084</v>
          </cell>
          <cell r="D732" t="str">
            <v>Sarang Petroleum</v>
          </cell>
          <cell r="E732" t="str">
            <v>HPCL</v>
          </cell>
          <cell r="F732" t="str">
            <v>2020-21</v>
          </cell>
          <cell r="G732" t="str">
            <v>Ahmednagar East RSA</v>
          </cell>
          <cell r="J732" t="str">
            <v>Ghotan</v>
          </cell>
          <cell r="K732" t="str">
            <v>Ahmednagar</v>
          </cell>
          <cell r="L732" t="str">
            <v>D2</v>
          </cell>
          <cell r="O732" t="str">
            <v>B</v>
          </cell>
        </row>
        <row r="733">
          <cell r="C733">
            <v>41044087</v>
          </cell>
          <cell r="D733" t="str">
            <v>Gayatri Petroleum</v>
          </cell>
          <cell r="E733" t="str">
            <v>HPCL</v>
          </cell>
          <cell r="F733" t="str">
            <v>2020-21</v>
          </cell>
          <cell r="G733" t="str">
            <v>Ahmednagar West RSA</v>
          </cell>
          <cell r="J733" t="str">
            <v>Ralegan Siddhi</v>
          </cell>
          <cell r="K733" t="str">
            <v>Ahmednagar</v>
          </cell>
          <cell r="L733" t="str">
            <v>D2</v>
          </cell>
          <cell r="O733" t="str">
            <v>B</v>
          </cell>
        </row>
        <row r="734">
          <cell r="C734">
            <v>41044108</v>
          </cell>
          <cell r="D734" t="str">
            <v>Saluke Fuel</v>
          </cell>
          <cell r="E734" t="str">
            <v>HPCL</v>
          </cell>
          <cell r="F734" t="str">
            <v>2020-21</v>
          </cell>
          <cell r="G734" t="str">
            <v>Shirdi RSA</v>
          </cell>
          <cell r="J734" t="str">
            <v>BELAPUR</v>
          </cell>
          <cell r="K734" t="str">
            <v>Ahmednagar</v>
          </cell>
          <cell r="L734" t="str">
            <v>D2</v>
          </cell>
          <cell r="O734" t="str">
            <v>B</v>
          </cell>
        </row>
        <row r="735">
          <cell r="C735">
            <v>41044130</v>
          </cell>
          <cell r="D735" t="str">
            <v>SHREE GURUDUTT PETRO</v>
          </cell>
          <cell r="E735" t="str">
            <v>HPCL</v>
          </cell>
          <cell r="G735" t="str">
            <v>Satara East RSA</v>
          </cell>
          <cell r="J735" t="str">
            <v>Khandala</v>
          </cell>
          <cell r="K735" t="str">
            <v>Satara</v>
          </cell>
          <cell r="L735" t="str">
            <v>E</v>
          </cell>
          <cell r="O735" t="str">
            <v>A</v>
          </cell>
        </row>
        <row r="736">
          <cell r="C736">
            <v>41044134</v>
          </cell>
          <cell r="D736" t="str">
            <v>BHUMIKA PETROLEIM (Dec'10)</v>
          </cell>
          <cell r="E736" t="str">
            <v>HPCL</v>
          </cell>
          <cell r="G736" t="str">
            <v>Satara West RSA</v>
          </cell>
          <cell r="J736" t="str">
            <v>Wadhe to Shivthar</v>
          </cell>
          <cell r="K736" t="str">
            <v>Satara</v>
          </cell>
          <cell r="L736" t="str">
            <v>D1</v>
          </cell>
          <cell r="M736" t="str">
            <v>NH-965D</v>
          </cell>
          <cell r="O736" t="str">
            <v>A</v>
          </cell>
        </row>
        <row r="737">
          <cell r="C737">
            <v>41044138</v>
          </cell>
          <cell r="D737" t="str">
            <v xml:space="preserve">TEJ PETROLEUM </v>
          </cell>
          <cell r="E737" t="str">
            <v>HPCL</v>
          </cell>
          <cell r="G737" t="str">
            <v>Satara East RSA</v>
          </cell>
          <cell r="J737" t="str">
            <v>Nimbhore RHS</v>
          </cell>
          <cell r="K737" t="str">
            <v>Satara</v>
          </cell>
          <cell r="L737" t="str">
            <v>D1</v>
          </cell>
          <cell r="M737" t="str">
            <v>NH-965</v>
          </cell>
          <cell r="O737" t="str">
            <v>B</v>
          </cell>
        </row>
        <row r="738">
          <cell r="C738">
            <v>41044156</v>
          </cell>
          <cell r="D738" t="str">
            <v>APPULKI PETROLEUM (Dec'10)</v>
          </cell>
          <cell r="E738" t="str">
            <v>HPCL</v>
          </cell>
          <cell r="G738" t="str">
            <v>Satara West RSA</v>
          </cell>
          <cell r="J738" t="str">
            <v>Kudal</v>
          </cell>
          <cell r="K738" t="str">
            <v>Satara</v>
          </cell>
          <cell r="L738" t="str">
            <v>E</v>
          </cell>
          <cell r="O738" t="str">
            <v>B</v>
          </cell>
        </row>
        <row r="739">
          <cell r="C739">
            <v>41044161</v>
          </cell>
          <cell r="D739" t="str">
            <v>TEJAS PETROLEUM(Nov'10)</v>
          </cell>
          <cell r="E739" t="str">
            <v>HPCL</v>
          </cell>
          <cell r="G739" t="str">
            <v>Satara West RSA</v>
          </cell>
          <cell r="J739" t="str">
            <v>Kodoli to Ghojegaon</v>
          </cell>
          <cell r="K739" t="str">
            <v>Satara</v>
          </cell>
          <cell r="L739" t="str">
            <v>D2</v>
          </cell>
          <cell r="O739" t="str">
            <v>A</v>
          </cell>
        </row>
        <row r="740">
          <cell r="C740">
            <v>41044169</v>
          </cell>
          <cell r="D740" t="str">
            <v>JADHAV PETRO (Nov'10)</v>
          </cell>
          <cell r="E740" t="str">
            <v>HPCL</v>
          </cell>
          <cell r="G740" t="str">
            <v>Satara West RSA</v>
          </cell>
          <cell r="J740" t="str">
            <v>Karad On NH-166E</v>
          </cell>
          <cell r="K740" t="str">
            <v>Satara</v>
          </cell>
          <cell r="L740" t="str">
            <v>D1</v>
          </cell>
          <cell r="M740" t="str">
            <v>NH-166E</v>
          </cell>
          <cell r="O740" t="str">
            <v>A</v>
          </cell>
        </row>
        <row r="741">
          <cell r="C741">
            <v>41044176</v>
          </cell>
          <cell r="D741" t="str">
            <v>POL PETROLEUM(Feb'11)</v>
          </cell>
          <cell r="E741" t="str">
            <v>HPCL</v>
          </cell>
          <cell r="G741" t="str">
            <v>Satara East RSA</v>
          </cell>
          <cell r="J741" t="str">
            <v>Mhaswad</v>
          </cell>
          <cell r="K741" t="str">
            <v>Satara</v>
          </cell>
          <cell r="L741" t="str">
            <v>D1</v>
          </cell>
          <cell r="M741" t="str">
            <v>NH-548C</v>
          </cell>
          <cell r="O741" t="str">
            <v>B</v>
          </cell>
        </row>
        <row r="742">
          <cell r="C742">
            <v>41044194</v>
          </cell>
          <cell r="D742" t="str">
            <v>KATERESHWAR P/P (Mar'11)</v>
          </cell>
          <cell r="E742" t="str">
            <v>HPCL</v>
          </cell>
          <cell r="G742" t="str">
            <v>Satara East RSA</v>
          </cell>
          <cell r="J742" t="str">
            <v>Katar Khatav</v>
          </cell>
          <cell r="K742" t="str">
            <v>Satara</v>
          </cell>
          <cell r="L742" t="str">
            <v>D1</v>
          </cell>
          <cell r="M742" t="str">
            <v>NH-160</v>
          </cell>
          <cell r="O742" t="str">
            <v>B</v>
          </cell>
        </row>
        <row r="743">
          <cell r="C743">
            <v>41044209</v>
          </cell>
          <cell r="D743" t="str">
            <v>MANIK SONA PETRO HUM (July'11)</v>
          </cell>
          <cell r="E743" t="str">
            <v>HPCL</v>
          </cell>
          <cell r="G743" t="str">
            <v>Satara East RSA</v>
          </cell>
          <cell r="J743" t="str">
            <v>Lonand</v>
          </cell>
          <cell r="K743" t="str">
            <v>Satara</v>
          </cell>
          <cell r="L743" t="str">
            <v>D1</v>
          </cell>
          <cell r="M743" t="str">
            <v>NH-965D</v>
          </cell>
          <cell r="O743" t="str">
            <v>A</v>
          </cell>
        </row>
        <row r="744">
          <cell r="C744">
            <v>41044214</v>
          </cell>
          <cell r="D744" t="str">
            <v>SH. SIDDHIVINAYAK/ADHOC SATARA PETROL DEPOT/MASWADKAR  PETROLEUM</v>
          </cell>
          <cell r="E744" t="str">
            <v>HPCL</v>
          </cell>
          <cell r="G744" t="str">
            <v>Satara West RSA</v>
          </cell>
          <cell r="J744" t="str">
            <v>Variye</v>
          </cell>
          <cell r="K744" t="str">
            <v>Satara</v>
          </cell>
          <cell r="L744" t="str">
            <v>E</v>
          </cell>
          <cell r="O744" t="str">
            <v>A</v>
          </cell>
        </row>
        <row r="745">
          <cell r="C745">
            <v>41044219</v>
          </cell>
          <cell r="D745" t="str">
            <v>BOBADE PETROLEUM</v>
          </cell>
          <cell r="E745" t="str">
            <v>HPCL</v>
          </cell>
          <cell r="G745" t="str">
            <v>Satara East RSA</v>
          </cell>
          <cell r="J745" t="str">
            <v>Nimbhore</v>
          </cell>
          <cell r="K745" t="str">
            <v>Satara</v>
          </cell>
          <cell r="L745" t="str">
            <v>D1</v>
          </cell>
          <cell r="M745" t="str">
            <v>NH-965</v>
          </cell>
          <cell r="O745" t="str">
            <v>A</v>
          </cell>
        </row>
        <row r="746">
          <cell r="C746">
            <v>41044222</v>
          </cell>
          <cell r="D746" t="str">
            <v>M/s. SARASWATI PETROLEIUM (Sept'12)</v>
          </cell>
          <cell r="E746" t="str">
            <v>HPCL</v>
          </cell>
          <cell r="F746" t="str">
            <v>2012-13</v>
          </cell>
          <cell r="G746" t="str">
            <v>Satara West RSA</v>
          </cell>
          <cell r="J746" t="str">
            <v>Karad Oglewadi Road</v>
          </cell>
          <cell r="K746" t="str">
            <v>Satara</v>
          </cell>
          <cell r="L746" t="str">
            <v>D1</v>
          </cell>
          <cell r="M746" t="str">
            <v>NH-166E</v>
          </cell>
          <cell r="O746" t="str">
            <v>A</v>
          </cell>
        </row>
        <row r="747">
          <cell r="C747">
            <v>41044233</v>
          </cell>
          <cell r="D747" t="str">
            <v>SHIVSHAMBHU PET (MAR'13)</v>
          </cell>
          <cell r="E747" t="str">
            <v>HPCL</v>
          </cell>
          <cell r="G747" t="str">
            <v>Satara East RSA</v>
          </cell>
          <cell r="J747" t="str">
            <v>Koregaon</v>
          </cell>
          <cell r="K747" t="str">
            <v>Satara</v>
          </cell>
          <cell r="L747" t="str">
            <v>D1</v>
          </cell>
          <cell r="M747" t="str">
            <v>NH-548C</v>
          </cell>
          <cell r="O747" t="str">
            <v>A</v>
          </cell>
        </row>
        <row r="748">
          <cell r="C748">
            <v>41044234</v>
          </cell>
          <cell r="D748" t="str">
            <v>KAUSTUBH PET (MAR'13)</v>
          </cell>
          <cell r="E748" t="str">
            <v>HPCL</v>
          </cell>
          <cell r="F748" t="str">
            <v>2013-14</v>
          </cell>
          <cell r="G748" t="str">
            <v>Satara West RSA</v>
          </cell>
          <cell r="J748" t="str">
            <v>Medha</v>
          </cell>
          <cell r="K748" t="str">
            <v>Satara</v>
          </cell>
          <cell r="L748" t="str">
            <v>D2</v>
          </cell>
          <cell r="O748" t="str">
            <v>B</v>
          </cell>
        </row>
        <row r="749">
          <cell r="C749">
            <v>41044436</v>
          </cell>
          <cell r="D749" t="str">
            <v>Palkar Petroleum</v>
          </cell>
          <cell r="E749" t="str">
            <v>HPCL</v>
          </cell>
          <cell r="G749" t="str">
            <v>Satara West RSA</v>
          </cell>
          <cell r="J749" t="str">
            <v>KASHIL TO KARAD</v>
          </cell>
          <cell r="K749" t="str">
            <v>Satara</v>
          </cell>
          <cell r="L749" t="str">
            <v>D1</v>
          </cell>
          <cell r="M749" t="str">
            <v>NH-48</v>
          </cell>
          <cell r="O749" t="str">
            <v>A</v>
          </cell>
        </row>
        <row r="750">
          <cell r="C750">
            <v>41044446</v>
          </cell>
          <cell r="D750" t="str">
            <v>DIGVIJAY PET (SEPT'13)</v>
          </cell>
          <cell r="E750" t="str">
            <v>HPCL</v>
          </cell>
          <cell r="F750" t="str">
            <v>2013-14</v>
          </cell>
          <cell r="G750" t="str">
            <v>Satara West RSA</v>
          </cell>
          <cell r="J750" t="str">
            <v>Umbraj on Patan SH</v>
          </cell>
          <cell r="K750" t="str">
            <v>Satara</v>
          </cell>
          <cell r="L750" t="str">
            <v>D2</v>
          </cell>
          <cell r="O750" t="str">
            <v>A</v>
          </cell>
        </row>
        <row r="751">
          <cell r="C751">
            <v>41044456</v>
          </cell>
          <cell r="D751" t="str">
            <v>Sahyadri sakhar</v>
          </cell>
          <cell r="E751" t="str">
            <v>HPCL</v>
          </cell>
          <cell r="G751" t="str">
            <v>Satara West RSA</v>
          </cell>
          <cell r="J751" t="str">
            <v>Masur</v>
          </cell>
          <cell r="K751" t="str">
            <v>Satara</v>
          </cell>
          <cell r="L751" t="str">
            <v>D2</v>
          </cell>
          <cell r="O751" t="str">
            <v>A</v>
          </cell>
        </row>
        <row r="752">
          <cell r="C752">
            <v>41044468</v>
          </cell>
          <cell r="D752" t="str">
            <v>JANAKI PETROLEUM</v>
          </cell>
          <cell r="E752" t="str">
            <v>HPCL</v>
          </cell>
          <cell r="F752" t="str">
            <v>2013-14</v>
          </cell>
          <cell r="G752" t="str">
            <v>Satara West RSA</v>
          </cell>
          <cell r="J752" t="str">
            <v>Kavthe Wai Surur Road</v>
          </cell>
          <cell r="K752" t="str">
            <v>Satara</v>
          </cell>
          <cell r="L752" t="str">
            <v>D2</v>
          </cell>
          <cell r="O752" t="str">
            <v>A</v>
          </cell>
        </row>
        <row r="753">
          <cell r="C753">
            <v>41044679</v>
          </cell>
          <cell r="D753" t="str">
            <v>Swatantrasenani P W Pawar Fuels</v>
          </cell>
          <cell r="E753" t="str">
            <v>HPCL</v>
          </cell>
          <cell r="F753" t="str">
            <v>2019-20</v>
          </cell>
          <cell r="G753" t="str">
            <v>Ahmednagar East RSA</v>
          </cell>
          <cell r="J753" t="str">
            <v>WAMBHORI PHATA ON NH160</v>
          </cell>
          <cell r="K753" t="str">
            <v>Ahmednagar</v>
          </cell>
          <cell r="L753" t="str">
            <v>D1</v>
          </cell>
          <cell r="M753" t="str">
            <v>NH-160</v>
          </cell>
          <cell r="O753" t="str">
            <v>A</v>
          </cell>
        </row>
        <row r="754">
          <cell r="C754">
            <v>41044684</v>
          </cell>
          <cell r="D754" t="str">
            <v xml:space="preserve">APMC Akole Kotul </v>
          </cell>
          <cell r="E754" t="str">
            <v>HPCL</v>
          </cell>
          <cell r="F754" t="str">
            <v>2019-20</v>
          </cell>
          <cell r="G754" t="str">
            <v>Shirdi RSA</v>
          </cell>
          <cell r="J754" t="str">
            <v>KOTUL</v>
          </cell>
          <cell r="K754" t="str">
            <v>Ahmednagar</v>
          </cell>
          <cell r="L754" t="str">
            <v>D2</v>
          </cell>
          <cell r="O754" t="str">
            <v>A</v>
          </cell>
        </row>
        <row r="755">
          <cell r="C755">
            <v>41044688</v>
          </cell>
          <cell r="D755" t="str">
            <v>SAURABH PETROLEUM</v>
          </cell>
          <cell r="E755" t="str">
            <v>HPCL</v>
          </cell>
          <cell r="F755" t="str">
            <v>2019-20</v>
          </cell>
          <cell r="G755" t="str">
            <v>Ahmednagar West RSA</v>
          </cell>
          <cell r="J755" t="str">
            <v>Takli Dhokeshwar</v>
          </cell>
          <cell r="K755" t="str">
            <v>Ahmednagar</v>
          </cell>
          <cell r="L755" t="str">
            <v>D1</v>
          </cell>
          <cell r="M755" t="str">
            <v>NH-61</v>
          </cell>
          <cell r="O755" t="str">
            <v>A</v>
          </cell>
        </row>
        <row r="756">
          <cell r="C756">
            <v>41044934</v>
          </cell>
          <cell r="D756" t="str">
            <v>APMC RAHURI</v>
          </cell>
          <cell r="E756" t="str">
            <v>HPCL</v>
          </cell>
          <cell r="F756" t="str">
            <v>2020-21</v>
          </cell>
          <cell r="G756" t="str">
            <v>Shirdi RSA</v>
          </cell>
          <cell r="J756" t="str">
            <v>RAHURI FACTORY RHS</v>
          </cell>
          <cell r="K756" t="str">
            <v>Ahmednagar</v>
          </cell>
          <cell r="L756" t="str">
            <v>D1</v>
          </cell>
          <cell r="M756" t="str">
            <v>NH-160</v>
          </cell>
          <cell r="O756" t="str">
            <v>A</v>
          </cell>
        </row>
        <row r="757">
          <cell r="C757">
            <v>41045027</v>
          </cell>
          <cell r="D757" t="str">
            <v>NAITIK PETROLEUM</v>
          </cell>
          <cell r="E757" t="str">
            <v>HPCL</v>
          </cell>
          <cell r="F757" t="str">
            <v>2019-20</v>
          </cell>
          <cell r="G757" t="str">
            <v>Pimpri Chinchwad RSA</v>
          </cell>
          <cell r="J757" t="str">
            <v>Dudhalgaon</v>
          </cell>
          <cell r="K757" t="str">
            <v>Pune</v>
          </cell>
          <cell r="L757" t="str">
            <v>A</v>
          </cell>
          <cell r="O757" t="str">
            <v>A</v>
          </cell>
        </row>
        <row r="758">
          <cell r="C758">
            <v>41045029</v>
          </cell>
          <cell r="D758" t="str">
            <v>Babar Petroleum</v>
          </cell>
          <cell r="E758" t="str">
            <v>HPCL</v>
          </cell>
          <cell r="F758" t="str">
            <v>2019-20</v>
          </cell>
          <cell r="G758" t="str">
            <v>Pimpri Chinchwad RSA</v>
          </cell>
          <cell r="J758" t="str">
            <v>Bhosari</v>
          </cell>
          <cell r="K758" t="str">
            <v>Pune</v>
          </cell>
          <cell r="L758" t="str">
            <v>A</v>
          </cell>
          <cell r="O758" t="str">
            <v>B</v>
          </cell>
        </row>
        <row r="759">
          <cell r="C759">
            <v>41045033</v>
          </cell>
          <cell r="D759" t="str">
            <v>Shaurya Petroleum</v>
          </cell>
          <cell r="E759" t="str">
            <v>HPCL</v>
          </cell>
          <cell r="F759" t="str">
            <v>2019-20</v>
          </cell>
          <cell r="G759" t="str">
            <v>Pune Tathawade RSA</v>
          </cell>
          <cell r="J759" t="str">
            <v>BARAMATI TOWN ON BHIGWAN ROAD</v>
          </cell>
          <cell r="K759" t="str">
            <v>Pune</v>
          </cell>
          <cell r="L759" t="str">
            <v>D1</v>
          </cell>
          <cell r="M759" t="str">
            <v>NH-965G</v>
          </cell>
          <cell r="O759" t="str">
            <v>A</v>
          </cell>
        </row>
        <row r="760">
          <cell r="C760">
            <v>41045035</v>
          </cell>
          <cell r="D760" t="str">
            <v>Jai Adesh Petroleum Services</v>
          </cell>
          <cell r="E760" t="str">
            <v>HPCL</v>
          </cell>
          <cell r="F760" t="str">
            <v>2019-20</v>
          </cell>
          <cell r="G760" t="str">
            <v>Pimpri Chinchwad RSA</v>
          </cell>
          <cell r="J760" t="str">
            <v>CHIKHLI</v>
          </cell>
          <cell r="K760" t="str">
            <v>Pune</v>
          </cell>
          <cell r="L760" t="str">
            <v>A</v>
          </cell>
          <cell r="O760" t="str">
            <v>A</v>
          </cell>
        </row>
        <row r="761">
          <cell r="C761">
            <v>41045037</v>
          </cell>
          <cell r="D761" t="str">
            <v>SARTAK PETROLEUM</v>
          </cell>
          <cell r="E761" t="str">
            <v>HPCL</v>
          </cell>
          <cell r="F761" t="str">
            <v>2019-20</v>
          </cell>
          <cell r="G761" t="str">
            <v>Satara West RSA</v>
          </cell>
          <cell r="J761" t="str">
            <v>Kolewadi to Dhebewadi</v>
          </cell>
          <cell r="K761" t="str">
            <v>Satara</v>
          </cell>
          <cell r="L761" t="str">
            <v>E</v>
          </cell>
          <cell r="O761" t="str">
            <v>A</v>
          </cell>
        </row>
        <row r="762">
          <cell r="C762">
            <v>41045053</v>
          </cell>
          <cell r="D762" t="str">
            <v>BARAMATI TALUKA SAH DOODH SANGH</v>
          </cell>
          <cell r="E762" t="str">
            <v>HPCL</v>
          </cell>
          <cell r="F762" t="str">
            <v>2019-20</v>
          </cell>
          <cell r="G762" t="str">
            <v>Pune Tathawade RSA</v>
          </cell>
          <cell r="J762" t="str">
            <v>BARAMATI TOWN ON MORGAON RD</v>
          </cell>
          <cell r="K762" t="str">
            <v>Pune</v>
          </cell>
          <cell r="L762" t="str">
            <v>D2</v>
          </cell>
          <cell r="O762" t="str">
            <v>B</v>
          </cell>
        </row>
        <row r="763">
          <cell r="C763">
            <v>41045054</v>
          </cell>
          <cell r="D763" t="str">
            <v>SAI BABA PETROLEUM</v>
          </cell>
          <cell r="E763" t="str">
            <v>HPCL</v>
          </cell>
          <cell r="F763" t="str">
            <v>2019-20</v>
          </cell>
          <cell r="G763" t="str">
            <v>Pimpri Chinchwad RSA</v>
          </cell>
          <cell r="J763" t="str">
            <v>CHAKAN NH-60 RHS</v>
          </cell>
          <cell r="K763" t="str">
            <v>Pune</v>
          </cell>
          <cell r="L763" t="str">
            <v>D1</v>
          </cell>
          <cell r="M763" t="str">
            <v>NH-60</v>
          </cell>
          <cell r="O763" t="str">
            <v>A</v>
          </cell>
        </row>
        <row r="764">
          <cell r="C764">
            <v>41045055</v>
          </cell>
          <cell r="D764" t="str">
            <v>SAMRUDDHI PETROLEUM</v>
          </cell>
          <cell r="E764" t="str">
            <v>HPCL</v>
          </cell>
          <cell r="F764" t="str">
            <v>2019-20</v>
          </cell>
          <cell r="G764" t="str">
            <v>Pimpri Chinchwad RSA</v>
          </cell>
          <cell r="J764" t="str">
            <v>Ambethan</v>
          </cell>
          <cell r="K764" t="str">
            <v>Pune</v>
          </cell>
          <cell r="L764" t="str">
            <v>E</v>
          </cell>
          <cell r="O764" t="str">
            <v>B</v>
          </cell>
        </row>
        <row r="765">
          <cell r="C765">
            <v>41045056</v>
          </cell>
          <cell r="D765" t="str">
            <v>Shree Chaitanya Petroleum</v>
          </cell>
          <cell r="E765" t="str">
            <v>HPCL</v>
          </cell>
          <cell r="F765" t="str">
            <v>2019-20</v>
          </cell>
          <cell r="G765" t="str">
            <v>Satara East RSA</v>
          </cell>
          <cell r="J765" t="str">
            <v>Kadam Vasti</v>
          </cell>
          <cell r="K765" t="str">
            <v>Satara</v>
          </cell>
          <cell r="L765" t="str">
            <v>E</v>
          </cell>
          <cell r="O765" t="str">
            <v>A</v>
          </cell>
        </row>
        <row r="766">
          <cell r="C766">
            <v>41045057</v>
          </cell>
          <cell r="D766" t="str">
            <v>NAYANA PETROLEUM</v>
          </cell>
          <cell r="E766" t="str">
            <v>HPCL</v>
          </cell>
          <cell r="F766" t="str">
            <v>2020-21</v>
          </cell>
          <cell r="G766" t="str">
            <v>Satara West RSA</v>
          </cell>
          <cell r="J766" t="str">
            <v>Shendre to Borgaon</v>
          </cell>
          <cell r="K766" t="str">
            <v>Satara</v>
          </cell>
          <cell r="L766" t="str">
            <v>D1</v>
          </cell>
          <cell r="M766" t="str">
            <v>NH-48</v>
          </cell>
          <cell r="O766" t="str">
            <v>A</v>
          </cell>
        </row>
        <row r="767">
          <cell r="C767">
            <v>41045058</v>
          </cell>
          <cell r="D767" t="str">
            <v>RAJ PETROLEUM</v>
          </cell>
          <cell r="E767" t="str">
            <v>HPCL</v>
          </cell>
          <cell r="F767" t="str">
            <v>2020-21</v>
          </cell>
          <cell r="G767" t="str">
            <v>Satara West RSA</v>
          </cell>
          <cell r="J767" t="str">
            <v>Satara to Mahagaon</v>
          </cell>
          <cell r="K767" t="str">
            <v>Satara</v>
          </cell>
          <cell r="L767" t="str">
            <v>D1</v>
          </cell>
          <cell r="M767" t="str">
            <v>NH-548C</v>
          </cell>
          <cell r="O767" t="str">
            <v>B</v>
          </cell>
        </row>
        <row r="768">
          <cell r="C768">
            <v>41045059</v>
          </cell>
          <cell r="D768" t="str">
            <v>IJGUDE PETROLEUM</v>
          </cell>
          <cell r="E768" t="str">
            <v>HPCL</v>
          </cell>
          <cell r="F768" t="str">
            <v>2019-20</v>
          </cell>
          <cell r="G768" t="str">
            <v>Pune Saswad RSA</v>
          </cell>
          <cell r="J768" t="str">
            <v>INDAPUR</v>
          </cell>
          <cell r="K768" t="str">
            <v>Pune</v>
          </cell>
          <cell r="L768" t="str">
            <v>C</v>
          </cell>
          <cell r="O768" t="str">
            <v>A</v>
          </cell>
        </row>
        <row r="769">
          <cell r="C769">
            <v>41045060</v>
          </cell>
          <cell r="D769" t="str">
            <v>APMC Suple</v>
          </cell>
          <cell r="E769" t="str">
            <v>HPCL</v>
          </cell>
          <cell r="F769" t="str">
            <v>2019-20</v>
          </cell>
          <cell r="G769" t="str">
            <v>Pune Tathawade RSA</v>
          </cell>
          <cell r="J769" t="str">
            <v>SUPE BARAMATI</v>
          </cell>
          <cell r="K769" t="str">
            <v>Pune</v>
          </cell>
          <cell r="L769" t="str">
            <v>D1</v>
          </cell>
          <cell r="M769" t="str">
            <v>NH-965D</v>
          </cell>
          <cell r="O769" t="str">
            <v>A</v>
          </cell>
        </row>
        <row r="770">
          <cell r="C770">
            <v>41045062</v>
          </cell>
          <cell r="D770" t="str">
            <v>SHREE VISHWA PETROLEUM</v>
          </cell>
          <cell r="E770" t="str">
            <v>HPCL</v>
          </cell>
          <cell r="F770" t="str">
            <v>2020-21</v>
          </cell>
          <cell r="G770" t="str">
            <v>Pune Hadapsar RSA</v>
          </cell>
          <cell r="J770" t="str">
            <v>Urlikanchan LHS</v>
          </cell>
          <cell r="K770" t="str">
            <v>Pune</v>
          </cell>
          <cell r="L770" t="str">
            <v>D1</v>
          </cell>
          <cell r="M770" t="str">
            <v>NH-65</v>
          </cell>
          <cell r="O770" t="str">
            <v>B</v>
          </cell>
        </row>
        <row r="771">
          <cell r="C771">
            <v>41045064</v>
          </cell>
          <cell r="D771" t="str">
            <v>KRISHNAI PETROLEUM</v>
          </cell>
          <cell r="E771" t="str">
            <v>HPCL</v>
          </cell>
          <cell r="F771" t="str">
            <v>2020-21</v>
          </cell>
          <cell r="G771" t="str">
            <v>Satara West RSA</v>
          </cell>
          <cell r="J771" t="str">
            <v>Satara to Bhuinj</v>
          </cell>
          <cell r="K771" t="str">
            <v>Satara</v>
          </cell>
          <cell r="L771" t="str">
            <v>D1</v>
          </cell>
          <cell r="M771" t="str">
            <v>NH-48</v>
          </cell>
          <cell r="O771" t="str">
            <v>A</v>
          </cell>
        </row>
        <row r="772">
          <cell r="C772">
            <v>41045204</v>
          </cell>
          <cell r="D772" t="str">
            <v>HEERKANI REAL ESTATE PVT LTD</v>
          </cell>
          <cell r="E772" t="str">
            <v>HPCL</v>
          </cell>
          <cell r="F772" t="str">
            <v>2020-21</v>
          </cell>
          <cell r="G772" t="str">
            <v>Pune Tathawade RSA</v>
          </cell>
          <cell r="J772" t="str">
            <v>BARAMATI MIDC</v>
          </cell>
          <cell r="K772" t="str">
            <v>Pune</v>
          </cell>
          <cell r="L772" t="str">
            <v>D1</v>
          </cell>
          <cell r="M772" t="str">
            <v>NH-965G</v>
          </cell>
          <cell r="O772" t="str">
            <v>B</v>
          </cell>
        </row>
        <row r="773">
          <cell r="C773">
            <v>41045210</v>
          </cell>
          <cell r="D773" t="str">
            <v>JANHAVI PETROLEUM</v>
          </cell>
          <cell r="E773" t="str">
            <v>HPCL</v>
          </cell>
          <cell r="F773" t="str">
            <v>2019-20</v>
          </cell>
          <cell r="G773" t="str">
            <v>Pimpri Chinchwad RSA</v>
          </cell>
          <cell r="J773" t="str">
            <v xml:space="preserve">Sablewadi to shikhrapur </v>
          </cell>
          <cell r="K773" t="str">
            <v>Pune</v>
          </cell>
          <cell r="L773" t="str">
            <v>D1</v>
          </cell>
          <cell r="M773" t="str">
            <v>NH-548D</v>
          </cell>
          <cell r="O773" t="str">
            <v>B</v>
          </cell>
        </row>
        <row r="774">
          <cell r="C774">
            <v>41045215</v>
          </cell>
          <cell r="D774" t="str">
            <v>KAKDE PATIL PETROLEUM</v>
          </cell>
          <cell r="E774" t="str">
            <v>HPCL</v>
          </cell>
          <cell r="F774" t="str">
            <v>2020-21</v>
          </cell>
          <cell r="G774" t="str">
            <v>Pune Wagholi RSA</v>
          </cell>
          <cell r="J774" t="str">
            <v>AMBLE SHIRUR</v>
          </cell>
          <cell r="K774" t="str">
            <v>Pune</v>
          </cell>
          <cell r="L774" t="str">
            <v>D2</v>
          </cell>
          <cell r="O774" t="str">
            <v>B</v>
          </cell>
        </row>
        <row r="775">
          <cell r="C775">
            <v>41045219</v>
          </cell>
          <cell r="D775" t="str">
            <v>DESHMUKH PETROLEUM</v>
          </cell>
          <cell r="E775" t="str">
            <v>HPCL</v>
          </cell>
          <cell r="F775" t="str">
            <v>2020-21</v>
          </cell>
          <cell r="G775" t="str">
            <v>Pimpri Chinchwad RSA</v>
          </cell>
          <cell r="J775" t="str">
            <v>Tulapur</v>
          </cell>
          <cell r="K775" t="str">
            <v>Pune</v>
          </cell>
          <cell r="L775" t="str">
            <v>D2</v>
          </cell>
          <cell r="O775" t="str">
            <v>B</v>
          </cell>
        </row>
        <row r="776">
          <cell r="C776">
            <v>41045223</v>
          </cell>
          <cell r="D776" t="str">
            <v>FAUJI PETROLEUM</v>
          </cell>
          <cell r="E776" t="str">
            <v>HPCL</v>
          </cell>
          <cell r="F776" t="str">
            <v>2020-21</v>
          </cell>
          <cell r="G776" t="str">
            <v>Satara West RSA</v>
          </cell>
          <cell r="J776" t="str">
            <v>Asale - Wai Road</v>
          </cell>
          <cell r="K776" t="str">
            <v>Satara</v>
          </cell>
          <cell r="L776" t="str">
            <v>E</v>
          </cell>
          <cell r="O776" t="str">
            <v>A</v>
          </cell>
        </row>
        <row r="777">
          <cell r="C777">
            <v>41045227</v>
          </cell>
          <cell r="D777" t="str">
            <v>Shiv Petroleum</v>
          </cell>
          <cell r="E777" t="str">
            <v>HPCL</v>
          </cell>
          <cell r="F777" t="str">
            <v>2020-21</v>
          </cell>
          <cell r="G777" t="str">
            <v>Satara East RSA</v>
          </cell>
          <cell r="J777" t="str">
            <v>ANDRUD</v>
          </cell>
          <cell r="K777" t="str">
            <v>Satara</v>
          </cell>
          <cell r="L777" t="str">
            <v>E</v>
          </cell>
          <cell r="O777" t="str">
            <v>B</v>
          </cell>
        </row>
        <row r="778">
          <cell r="C778">
            <v>41045231</v>
          </cell>
          <cell r="D778" t="str">
            <v xml:space="preserve">APMC Phalthan </v>
          </cell>
          <cell r="E778" t="str">
            <v>HPCL</v>
          </cell>
          <cell r="F778" t="str">
            <v>2020-21</v>
          </cell>
          <cell r="G778" t="str">
            <v>Satara East RSA</v>
          </cell>
          <cell r="J778" t="str">
            <v>pusegaon phaltan road</v>
          </cell>
          <cell r="K778" t="str">
            <v>Satara</v>
          </cell>
          <cell r="L778" t="str">
            <v>D2</v>
          </cell>
          <cell r="O778" t="str">
            <v>A</v>
          </cell>
        </row>
        <row r="779">
          <cell r="C779">
            <v>41045236</v>
          </cell>
          <cell r="D779" t="str">
            <v>MSHSD JD PETROLEUM</v>
          </cell>
          <cell r="E779" t="str">
            <v>HPCL</v>
          </cell>
          <cell r="F779" t="str">
            <v>2020-21</v>
          </cell>
          <cell r="G779" t="str">
            <v>Satara West RSA</v>
          </cell>
          <cell r="J779" t="str">
            <v>Rajmachi to Kadegaon</v>
          </cell>
          <cell r="K779" t="str">
            <v>Satara</v>
          </cell>
          <cell r="L779" t="str">
            <v>D1</v>
          </cell>
          <cell r="M779" t="str">
            <v>NH-166E</v>
          </cell>
          <cell r="O779" t="str">
            <v>A</v>
          </cell>
        </row>
        <row r="780">
          <cell r="C780">
            <v>41045240</v>
          </cell>
          <cell r="D780" t="str">
            <v>GAYATRI PETROLEUM</v>
          </cell>
          <cell r="E780" t="str">
            <v>HPCL</v>
          </cell>
          <cell r="F780" t="str">
            <v>2020-21</v>
          </cell>
          <cell r="G780" t="str">
            <v>Pimpri Chinchwad RSA</v>
          </cell>
          <cell r="J780" t="str">
            <v>Rajgurunagar to Ghodegaon</v>
          </cell>
          <cell r="K780" t="str">
            <v>Pune</v>
          </cell>
          <cell r="L780" t="str">
            <v>D2</v>
          </cell>
          <cell r="O780" t="str">
            <v>A</v>
          </cell>
        </row>
        <row r="781">
          <cell r="C781">
            <v>41045244</v>
          </cell>
          <cell r="D781" t="str">
            <v>INGAWALE PETROLEUM</v>
          </cell>
          <cell r="E781" t="str">
            <v>HPCL</v>
          </cell>
          <cell r="F781" t="str">
            <v>2020-21</v>
          </cell>
          <cell r="G781" t="str">
            <v>Pune City RSA</v>
          </cell>
          <cell r="J781" t="str">
            <v>BHUKUM</v>
          </cell>
          <cell r="K781" t="str">
            <v>Pune</v>
          </cell>
          <cell r="L781" t="str">
            <v>D1</v>
          </cell>
          <cell r="M781" t="str">
            <v>NH-753F</v>
          </cell>
          <cell r="O781" t="str">
            <v>A</v>
          </cell>
        </row>
        <row r="782">
          <cell r="C782">
            <v>41045250</v>
          </cell>
          <cell r="D782" t="str">
            <v>DHORE PETROLEUM</v>
          </cell>
          <cell r="E782" t="str">
            <v>HPCL</v>
          </cell>
          <cell r="F782" t="str">
            <v>2020-21</v>
          </cell>
          <cell r="G782" t="str">
            <v>Pune Hadapsar RSA</v>
          </cell>
          <cell r="J782" t="str">
            <v>FURSUNGI</v>
          </cell>
          <cell r="K782" t="str">
            <v>Pune</v>
          </cell>
          <cell r="L782" t="str">
            <v>A</v>
          </cell>
          <cell r="O782" t="str">
            <v>B</v>
          </cell>
        </row>
        <row r="783">
          <cell r="C783">
            <v>41045255</v>
          </cell>
          <cell r="D783" t="str">
            <v>NAKHATE PETROLEUM</v>
          </cell>
          <cell r="E783" t="str">
            <v>HPCL</v>
          </cell>
          <cell r="F783" t="str">
            <v>2020-21</v>
          </cell>
          <cell r="G783" t="str">
            <v>Pune City RSA</v>
          </cell>
          <cell r="J783" t="str">
            <v>Pimple Saudagar</v>
          </cell>
          <cell r="K783" t="str">
            <v>Pune</v>
          </cell>
          <cell r="L783" t="str">
            <v>A</v>
          </cell>
          <cell r="O783" t="str">
            <v>B</v>
          </cell>
        </row>
        <row r="784">
          <cell r="C784">
            <v>41045260</v>
          </cell>
          <cell r="D784" t="str">
            <v>KIYAANSHH PETROLEUM</v>
          </cell>
          <cell r="E784" t="str">
            <v>HPCL</v>
          </cell>
          <cell r="F784" t="str">
            <v>2022-23</v>
          </cell>
          <cell r="G784" t="str">
            <v>Pune Hadapsar RSA</v>
          </cell>
          <cell r="J784" t="str">
            <v>Urlidevachi Undri Road</v>
          </cell>
          <cell r="K784" t="str">
            <v>Pune</v>
          </cell>
          <cell r="L784" t="str">
            <v>A</v>
          </cell>
          <cell r="O784" t="str">
            <v>B</v>
          </cell>
        </row>
        <row r="785">
          <cell r="C785">
            <v>41045265</v>
          </cell>
          <cell r="D785" t="str">
            <v>ISHWARI PETROLEUM</v>
          </cell>
          <cell r="E785" t="str">
            <v>HPCL</v>
          </cell>
          <cell r="F785" t="str">
            <v>2020-21</v>
          </cell>
          <cell r="G785" t="str">
            <v>Pune Hadapsar RSA</v>
          </cell>
          <cell r="J785" t="str">
            <v>UrliDevachi</v>
          </cell>
          <cell r="K785" t="str">
            <v>Pune</v>
          </cell>
          <cell r="L785" t="str">
            <v>D1</v>
          </cell>
          <cell r="M785" t="str">
            <v>NH-965</v>
          </cell>
          <cell r="O785" t="str">
            <v>B</v>
          </cell>
        </row>
        <row r="786">
          <cell r="C786">
            <v>41046467</v>
          </cell>
          <cell r="D786" t="str">
            <v>Star Petroleum</v>
          </cell>
          <cell r="E786" t="str">
            <v>HPCL</v>
          </cell>
          <cell r="F786" t="str">
            <v>2017-18</v>
          </cell>
          <cell r="G786" t="str">
            <v>Ahmednagar West RSA</v>
          </cell>
          <cell r="J786" t="str">
            <v>Arangaon (Jamkhed)</v>
          </cell>
          <cell r="K786" t="str">
            <v>Ahmednagar</v>
          </cell>
          <cell r="L786" t="str">
            <v>D1</v>
          </cell>
          <cell r="M786" t="str">
            <v>NH-548D</v>
          </cell>
          <cell r="O786" t="str">
            <v>A</v>
          </cell>
        </row>
        <row r="787">
          <cell r="C787">
            <v>41047699</v>
          </cell>
          <cell r="D787" t="str">
            <v>Hi-Tech Fuel Station</v>
          </cell>
          <cell r="E787" t="str">
            <v>HPCL</v>
          </cell>
          <cell r="G787" t="str">
            <v>Ahmednagar East RSA</v>
          </cell>
          <cell r="J787" t="str">
            <v>Aurangabad Road</v>
          </cell>
          <cell r="K787" t="str">
            <v>Ahmednagar</v>
          </cell>
          <cell r="L787" t="str">
            <v>D1</v>
          </cell>
          <cell r="M787" t="str">
            <v>NH-753F</v>
          </cell>
          <cell r="O787" t="str">
            <v>A</v>
          </cell>
        </row>
        <row r="788">
          <cell r="C788">
            <v>41047705</v>
          </cell>
          <cell r="D788" t="str">
            <v>Sai Kisan Vikas Kendra</v>
          </cell>
          <cell r="E788" t="str">
            <v>HPCL</v>
          </cell>
          <cell r="G788" t="str">
            <v>Shirdi RSA</v>
          </cell>
          <cell r="J788" t="str">
            <v>POHEGAON</v>
          </cell>
          <cell r="K788" t="str">
            <v>Ahmednagar</v>
          </cell>
          <cell r="L788" t="str">
            <v>D1</v>
          </cell>
          <cell r="M788" t="str">
            <v>NH-160B</v>
          </cell>
          <cell r="O788" t="str">
            <v>B</v>
          </cell>
        </row>
        <row r="789">
          <cell r="C789">
            <v>41047909</v>
          </cell>
          <cell r="D789" t="str">
            <v>APMC SHRIRAMPUR</v>
          </cell>
          <cell r="E789" t="str">
            <v>HPCL</v>
          </cell>
          <cell r="G789" t="str">
            <v>Shirdi RSA</v>
          </cell>
          <cell r="J789" t="str">
            <v>SHIRASGAON</v>
          </cell>
          <cell r="K789" t="str">
            <v>Ahmednagar</v>
          </cell>
          <cell r="L789" t="str">
            <v>D2</v>
          </cell>
          <cell r="O789" t="str">
            <v>A</v>
          </cell>
        </row>
        <row r="790">
          <cell r="C790">
            <v>41047911</v>
          </cell>
          <cell r="D790" t="str">
            <v>Shivsai Petroleum</v>
          </cell>
          <cell r="E790" t="str">
            <v>HPCL</v>
          </cell>
          <cell r="F790" t="str">
            <v>2018-19</v>
          </cell>
          <cell r="G790" t="str">
            <v>Shirdi RSA</v>
          </cell>
          <cell r="J790" t="str">
            <v>PUNTAMBA PHATA</v>
          </cell>
          <cell r="K790" t="str">
            <v>Ahmednagar</v>
          </cell>
          <cell r="L790" t="str">
            <v>D1</v>
          </cell>
          <cell r="M790" t="str">
            <v>NH-752G</v>
          </cell>
          <cell r="O790" t="str">
            <v>A</v>
          </cell>
        </row>
        <row r="791">
          <cell r="C791">
            <v>41047912</v>
          </cell>
          <cell r="D791" t="str">
            <v>Dosti Petroleum</v>
          </cell>
          <cell r="E791" t="str">
            <v>HPCL</v>
          </cell>
          <cell r="F791" t="str">
            <v>2018-19</v>
          </cell>
          <cell r="G791" t="str">
            <v>Shirdi RSA</v>
          </cell>
          <cell r="J791" t="str">
            <v>GHARGAON Nashik-Pune RHS</v>
          </cell>
          <cell r="K791" t="str">
            <v>Ahmednagar</v>
          </cell>
          <cell r="L791" t="str">
            <v>D1</v>
          </cell>
          <cell r="M791" t="str">
            <v>NH-60</v>
          </cell>
          <cell r="O791" t="str">
            <v>A</v>
          </cell>
        </row>
        <row r="792">
          <cell r="C792">
            <v>41048003</v>
          </cell>
          <cell r="D792" t="str">
            <v>Apurva Petroleum</v>
          </cell>
          <cell r="E792" t="str">
            <v>HPCL</v>
          </cell>
          <cell r="F792" t="str">
            <v>2017-18</v>
          </cell>
          <cell r="G792" t="str">
            <v>Ahmednagar West RSA</v>
          </cell>
          <cell r="J792" t="str">
            <v>Karanji</v>
          </cell>
          <cell r="K792" t="str">
            <v>Ahmednagar</v>
          </cell>
          <cell r="L792" t="str">
            <v>D1</v>
          </cell>
          <cell r="M792" t="str">
            <v>NH-61</v>
          </cell>
          <cell r="O792" t="str">
            <v>A</v>
          </cell>
        </row>
        <row r="793">
          <cell r="C793">
            <v>41048006</v>
          </cell>
          <cell r="D793" t="str">
            <v>R.K.Petroleum</v>
          </cell>
          <cell r="E793" t="str">
            <v>HPCL</v>
          </cell>
          <cell r="F793" t="str">
            <v>2017-18</v>
          </cell>
          <cell r="G793" t="str">
            <v>Ahmednagar West RSA</v>
          </cell>
          <cell r="J793" t="str">
            <v>Chichondi Patil</v>
          </cell>
          <cell r="K793" t="str">
            <v>Ahmednagar</v>
          </cell>
          <cell r="L793" t="str">
            <v>D2</v>
          </cell>
          <cell r="O793" t="str">
            <v>A</v>
          </cell>
        </row>
        <row r="794">
          <cell r="C794">
            <v>41048330</v>
          </cell>
          <cell r="D794" t="str">
            <v>Mauli Fuel Station</v>
          </cell>
          <cell r="E794" t="str">
            <v>HPCL</v>
          </cell>
          <cell r="F794" t="str">
            <v>2017-18</v>
          </cell>
          <cell r="G794" t="str">
            <v>Ahmednagar East RSA</v>
          </cell>
          <cell r="J794" t="str">
            <v>Dhangarwadi</v>
          </cell>
          <cell r="K794" t="str">
            <v>Ahmednagar</v>
          </cell>
          <cell r="L794" t="str">
            <v>D1</v>
          </cell>
          <cell r="M794" t="str">
            <v>NH-753F</v>
          </cell>
          <cell r="O794" t="str">
            <v>B</v>
          </cell>
        </row>
        <row r="795">
          <cell r="C795">
            <v>41048430</v>
          </cell>
          <cell r="D795" t="str">
            <v>ATHARVA HINGE PETROLEUM</v>
          </cell>
          <cell r="E795" t="str">
            <v>HPCL</v>
          </cell>
          <cell r="G795" t="str">
            <v>Ahmednagar West RSA</v>
          </cell>
          <cell r="J795" t="str">
            <v>SHEKTE</v>
          </cell>
          <cell r="K795" t="str">
            <v>Ahmednagar</v>
          </cell>
          <cell r="L795" t="str">
            <v>D1</v>
          </cell>
          <cell r="M795" t="str">
            <v>NH-61</v>
          </cell>
          <cell r="O795" t="str">
            <v>A</v>
          </cell>
        </row>
        <row r="796">
          <cell r="C796">
            <v>41048431</v>
          </cell>
          <cell r="D796" t="str">
            <v>Shri Mallikarjun Petroleum</v>
          </cell>
          <cell r="E796" t="str">
            <v>HPCL</v>
          </cell>
          <cell r="G796" t="str">
            <v>Ahmednagar East RSA</v>
          </cell>
          <cell r="J796" t="str">
            <v>Bodhegaon</v>
          </cell>
          <cell r="K796" t="str">
            <v>Ahmednagar</v>
          </cell>
          <cell r="L796" t="str">
            <v>D2</v>
          </cell>
          <cell r="O796" t="str">
            <v>B</v>
          </cell>
        </row>
        <row r="797">
          <cell r="C797">
            <v>41048432</v>
          </cell>
          <cell r="D797" t="str">
            <v>Om Sai Krishi Seva Kendra</v>
          </cell>
          <cell r="E797" t="str">
            <v>HPCL</v>
          </cell>
          <cell r="G797" t="str">
            <v>Ahmednagar West RSA</v>
          </cell>
          <cell r="J797" t="str">
            <v>ALKUTI</v>
          </cell>
          <cell r="K797" t="str">
            <v>Ahmednagar</v>
          </cell>
          <cell r="L797" t="str">
            <v>D2</v>
          </cell>
          <cell r="O797" t="str">
            <v>A</v>
          </cell>
        </row>
        <row r="798">
          <cell r="C798">
            <v>41048437</v>
          </cell>
          <cell r="D798" t="str">
            <v>J S &amp; Sons</v>
          </cell>
          <cell r="E798" t="str">
            <v>HPCL</v>
          </cell>
          <cell r="F798" t="str">
            <v>2017-18</v>
          </cell>
          <cell r="G798" t="str">
            <v>Ahmednagar East RSA</v>
          </cell>
          <cell r="J798" t="str">
            <v>Bodhegaon</v>
          </cell>
          <cell r="K798" t="str">
            <v>Ahmednagar</v>
          </cell>
          <cell r="L798" t="str">
            <v>D2</v>
          </cell>
          <cell r="O798" t="str">
            <v>A</v>
          </cell>
        </row>
        <row r="799">
          <cell r="C799">
            <v>41048442</v>
          </cell>
          <cell r="D799" t="str">
            <v>SAISH Petroleum</v>
          </cell>
          <cell r="E799" t="str">
            <v>HPCL</v>
          </cell>
          <cell r="G799" t="str">
            <v>Shirdi RSA</v>
          </cell>
          <cell r="J799" t="str">
            <v>JEUR KUMBHARI</v>
          </cell>
          <cell r="K799" t="str">
            <v>Ahmednagar</v>
          </cell>
          <cell r="L799" t="str">
            <v>D1</v>
          </cell>
          <cell r="M799" t="str">
            <v>NH-752G</v>
          </cell>
          <cell r="O799" t="str">
            <v>B</v>
          </cell>
        </row>
        <row r="800">
          <cell r="C800">
            <v>41048444</v>
          </cell>
          <cell r="D800" t="str">
            <v>H K &amp; Sons Petroleum</v>
          </cell>
          <cell r="E800" t="str">
            <v>HPCL</v>
          </cell>
          <cell r="F800" t="str">
            <v>2017-18</v>
          </cell>
          <cell r="G800" t="str">
            <v>Ahmednagar East RSA</v>
          </cell>
          <cell r="J800" t="str">
            <v>Shevgaon-Geori Road</v>
          </cell>
          <cell r="K800" t="str">
            <v>Ahmednagar</v>
          </cell>
          <cell r="L800" t="str">
            <v>D2</v>
          </cell>
          <cell r="O800" t="str">
            <v>A</v>
          </cell>
        </row>
        <row r="801">
          <cell r="C801">
            <v>41048557</v>
          </cell>
          <cell r="D801" t="str">
            <v>Aishwarya Filling Station</v>
          </cell>
          <cell r="E801" t="str">
            <v>HPCL</v>
          </cell>
          <cell r="G801" t="str">
            <v>Shirdi RSA</v>
          </cell>
          <cell r="J801" t="str">
            <v>SANGAMNER - GOLIBAR</v>
          </cell>
          <cell r="K801" t="str">
            <v>Ahmednagar</v>
          </cell>
          <cell r="L801" t="str">
            <v>C</v>
          </cell>
          <cell r="O801" t="str">
            <v>B</v>
          </cell>
        </row>
        <row r="802">
          <cell r="C802">
            <v>41094026</v>
          </cell>
          <cell r="D802" t="str">
            <v>ADHOC NIRMALA AUTO CARE CENTRE (41048945 Surya Petroleum)</v>
          </cell>
          <cell r="E802" t="str">
            <v>HPCL</v>
          </cell>
          <cell r="F802" t="str">
            <v>2016-17</v>
          </cell>
          <cell r="G802" t="str">
            <v>Ahmednagar West RSA</v>
          </cell>
          <cell r="J802" t="str">
            <v>Ruichattisi</v>
          </cell>
          <cell r="K802" t="str">
            <v>Ahmednagar</v>
          </cell>
          <cell r="L802" t="str">
            <v>D1</v>
          </cell>
          <cell r="M802" t="str">
            <v>NH-561A</v>
          </cell>
          <cell r="O802" t="str">
            <v>A</v>
          </cell>
        </row>
        <row r="803">
          <cell r="C803">
            <v>41048948</v>
          </cell>
          <cell r="D803" t="str">
            <v>DARSHAN PETROLEUM</v>
          </cell>
          <cell r="E803" t="str">
            <v>HPCL</v>
          </cell>
          <cell r="F803" t="str">
            <v>2016-17</v>
          </cell>
          <cell r="G803" t="str">
            <v>Ahmednagar East RSA</v>
          </cell>
          <cell r="J803" t="str">
            <v>Shevgaon-Geori Road</v>
          </cell>
          <cell r="K803" t="str">
            <v>Ahmednagar</v>
          </cell>
          <cell r="L803" t="str">
            <v>D2</v>
          </cell>
          <cell r="O803" t="str">
            <v>B</v>
          </cell>
        </row>
        <row r="804">
          <cell r="C804">
            <v>41049048</v>
          </cell>
          <cell r="D804" t="str">
            <v>SHINDE AUTOMOBILES</v>
          </cell>
          <cell r="E804" t="str">
            <v>HPCL</v>
          </cell>
          <cell r="G804" t="str">
            <v>Pune Tathawade RSA</v>
          </cell>
          <cell r="J804" t="str">
            <v>DEHU ROAD TO BALEWADI</v>
          </cell>
          <cell r="K804" t="str">
            <v>Pune</v>
          </cell>
          <cell r="L804" t="str">
            <v>A</v>
          </cell>
          <cell r="M804" t="str">
            <v>NH-48</v>
          </cell>
          <cell r="O804" t="str">
            <v>A</v>
          </cell>
        </row>
        <row r="805">
          <cell r="C805">
            <v>41049162</v>
          </cell>
          <cell r="D805" t="str">
            <v>GAJANAN PETROLEUM</v>
          </cell>
          <cell r="E805" t="str">
            <v>HPCL</v>
          </cell>
          <cell r="F805" t="str">
            <v>2015-16</v>
          </cell>
          <cell r="G805" t="str">
            <v>Ahmednagar West RSA</v>
          </cell>
          <cell r="J805" t="str">
            <v>Chichondi Patil</v>
          </cell>
          <cell r="K805" t="str">
            <v>Ahmednagar</v>
          </cell>
          <cell r="L805" t="str">
            <v>D2</v>
          </cell>
          <cell r="O805" t="str">
            <v>B</v>
          </cell>
        </row>
        <row r="806">
          <cell r="C806">
            <v>41049167</v>
          </cell>
          <cell r="D806" t="str">
            <v>ARNAV PETROLEUM</v>
          </cell>
          <cell r="E806" t="str">
            <v>HPCL</v>
          </cell>
          <cell r="F806" t="str">
            <v>2015-16</v>
          </cell>
          <cell r="G806" t="str">
            <v>Ahmednagar East RSA</v>
          </cell>
          <cell r="J806" t="str">
            <v>Sultanpur</v>
          </cell>
          <cell r="K806" t="str">
            <v>Ahmednagar</v>
          </cell>
          <cell r="L806" t="str">
            <v>E</v>
          </cell>
          <cell r="O806" t="str">
            <v>B</v>
          </cell>
        </row>
        <row r="807">
          <cell r="C807">
            <v>41049170</v>
          </cell>
          <cell r="D807" t="str">
            <v>SHRI VITTHAL PETROLEUM</v>
          </cell>
          <cell r="E807" t="str">
            <v>HPCL</v>
          </cell>
          <cell r="G807" t="str">
            <v>Pune Hadapsar RSA</v>
          </cell>
          <cell r="J807" t="str">
            <v>FURSUNGI</v>
          </cell>
          <cell r="K807" t="str">
            <v>Pune</v>
          </cell>
          <cell r="L807" t="str">
            <v>A</v>
          </cell>
          <cell r="O807" t="str">
            <v>A</v>
          </cell>
        </row>
        <row r="808">
          <cell r="C808">
            <v>41049324</v>
          </cell>
          <cell r="D808" t="str">
            <v>Sai Balaji</v>
          </cell>
          <cell r="E808" t="str">
            <v>HPCL</v>
          </cell>
          <cell r="F808" t="str">
            <v>2015-16</v>
          </cell>
          <cell r="G808" t="str">
            <v>Shirdi RSA</v>
          </cell>
          <cell r="J808" t="str">
            <v>TALEGAON SANGAMNER NH</v>
          </cell>
          <cell r="K808" t="str">
            <v>Ahmednagar</v>
          </cell>
          <cell r="L808" t="str">
            <v>D2</v>
          </cell>
          <cell r="O808" t="str">
            <v>B</v>
          </cell>
        </row>
        <row r="809">
          <cell r="C809">
            <v>41049326</v>
          </cell>
          <cell r="D809" t="str">
            <v>KANAN PETROLEUM</v>
          </cell>
          <cell r="E809" t="str">
            <v>HPCL</v>
          </cell>
          <cell r="F809" t="str">
            <v>2016-17</v>
          </cell>
          <cell r="G809" t="str">
            <v>Ahmednagar West RSA</v>
          </cell>
          <cell r="J809" t="str">
            <v>SHRIGONDA-MDR</v>
          </cell>
          <cell r="K809" t="str">
            <v>Ahmednagar</v>
          </cell>
          <cell r="L809" t="str">
            <v>E</v>
          </cell>
          <cell r="O809" t="str">
            <v>A</v>
          </cell>
        </row>
        <row r="810">
          <cell r="C810">
            <v>41049328</v>
          </cell>
          <cell r="D810" t="str">
            <v>ANAND PETROLEUM</v>
          </cell>
          <cell r="E810" t="str">
            <v>HPCL</v>
          </cell>
          <cell r="F810" t="str">
            <v>2016-17</v>
          </cell>
          <cell r="G810" t="str">
            <v>Ahmednagar West RSA</v>
          </cell>
          <cell r="J810" t="str">
            <v>Shahapur</v>
          </cell>
          <cell r="K810" t="str">
            <v>Ahmednagar</v>
          </cell>
          <cell r="L810" t="str">
            <v>D1</v>
          </cell>
          <cell r="M810" t="str">
            <v>NH-61</v>
          </cell>
          <cell r="O810" t="str">
            <v>A</v>
          </cell>
        </row>
        <row r="811">
          <cell r="C811">
            <v>41049332</v>
          </cell>
          <cell r="D811" t="str">
            <v>URJA STROT PETROLEUM</v>
          </cell>
          <cell r="E811" t="str">
            <v>HPCL</v>
          </cell>
          <cell r="F811" t="str">
            <v>2016-17</v>
          </cell>
          <cell r="G811" t="str">
            <v>Ahmednagar West RSA</v>
          </cell>
          <cell r="J811" t="str">
            <v>Pathardi</v>
          </cell>
          <cell r="K811" t="str">
            <v>Ahmednagar</v>
          </cell>
          <cell r="L811" t="str">
            <v>D2</v>
          </cell>
          <cell r="O811" t="str">
            <v>A</v>
          </cell>
        </row>
        <row r="812">
          <cell r="C812">
            <v>41049386</v>
          </cell>
          <cell r="D812" t="str">
            <v>Rajmundra Fuel Centre</v>
          </cell>
          <cell r="E812" t="str">
            <v>HPCL</v>
          </cell>
          <cell r="F812" t="str">
            <v>2015-16</v>
          </cell>
          <cell r="G812" t="str">
            <v>Pune Wagholi RSA</v>
          </cell>
          <cell r="J812" t="str">
            <v>Ranjangaon LHS</v>
          </cell>
          <cell r="K812" t="str">
            <v>Pune</v>
          </cell>
          <cell r="L812" t="str">
            <v>D1</v>
          </cell>
          <cell r="M812" t="str">
            <v>NH-753F</v>
          </cell>
          <cell r="O812" t="str">
            <v>A</v>
          </cell>
        </row>
        <row r="813">
          <cell r="C813">
            <v>41049388</v>
          </cell>
          <cell r="D813" t="str">
            <v>Shree Jagadguru Petroleum</v>
          </cell>
          <cell r="E813" t="str">
            <v>HPCL</v>
          </cell>
          <cell r="F813" t="str">
            <v>2016-17</v>
          </cell>
          <cell r="G813" t="str">
            <v>Pune City RSA</v>
          </cell>
          <cell r="J813" t="str">
            <v>LOHAGAON URBAN</v>
          </cell>
          <cell r="K813" t="str">
            <v>Pune</v>
          </cell>
          <cell r="L813" t="str">
            <v>A</v>
          </cell>
          <cell r="O813" t="str">
            <v>A</v>
          </cell>
        </row>
        <row r="814">
          <cell r="C814">
            <v>41049392</v>
          </cell>
          <cell r="D814" t="str">
            <v>Sangram Petroleum</v>
          </cell>
          <cell r="E814" t="str">
            <v>HPCL</v>
          </cell>
          <cell r="F814" t="str">
            <v>2017-18</v>
          </cell>
          <cell r="G814" t="str">
            <v>Pune Saswad RSA</v>
          </cell>
          <cell r="J814" t="str">
            <v>Jejuri Morgaon Road</v>
          </cell>
          <cell r="K814" t="str">
            <v>Pune</v>
          </cell>
          <cell r="L814" t="str">
            <v>D2</v>
          </cell>
          <cell r="O814" t="str">
            <v>B</v>
          </cell>
        </row>
        <row r="815">
          <cell r="C815">
            <v>41049394</v>
          </cell>
          <cell r="D815" t="str">
            <v xml:space="preserve">CHIKATE PETROLEUM </v>
          </cell>
          <cell r="E815" t="str">
            <v>HPCL</v>
          </cell>
          <cell r="F815" t="str">
            <v>2016-17</v>
          </cell>
          <cell r="G815" t="str">
            <v>Satara West RSA</v>
          </cell>
          <cell r="J815" t="str">
            <v>Bhuinj to Satara</v>
          </cell>
          <cell r="K815" t="str">
            <v>Satara</v>
          </cell>
          <cell r="L815" t="str">
            <v>D1</v>
          </cell>
          <cell r="M815" t="str">
            <v>NH-48</v>
          </cell>
          <cell r="O815" t="str">
            <v>A</v>
          </cell>
        </row>
        <row r="816">
          <cell r="C816">
            <v>41049396</v>
          </cell>
          <cell r="D816" t="str">
            <v>MAHESH PETROLEUM</v>
          </cell>
          <cell r="E816" t="str">
            <v>HPCL</v>
          </cell>
          <cell r="F816" t="str">
            <v>2016-17</v>
          </cell>
          <cell r="G816" t="str">
            <v>Pune Hadapsar RSA</v>
          </cell>
          <cell r="J816" t="str">
            <v>Kurkumbh RHS</v>
          </cell>
          <cell r="K816" t="str">
            <v>Pune</v>
          </cell>
          <cell r="L816" t="str">
            <v>D1</v>
          </cell>
          <cell r="M816" t="str">
            <v>NH-65</v>
          </cell>
          <cell r="O816" t="str">
            <v>A</v>
          </cell>
        </row>
        <row r="817">
          <cell r="C817">
            <v>41049400</v>
          </cell>
          <cell r="D817" t="str">
            <v>RAUT PETROLEUM</v>
          </cell>
          <cell r="E817" t="str">
            <v>HPCL</v>
          </cell>
          <cell r="F817" t="str">
            <v>2017-18</v>
          </cell>
          <cell r="G817" t="str">
            <v>Satara West RSA</v>
          </cell>
          <cell r="J817" t="str">
            <v>Bhuinj to Khandala</v>
          </cell>
          <cell r="K817" t="str">
            <v>Satara</v>
          </cell>
          <cell r="L817" t="str">
            <v>D1</v>
          </cell>
          <cell r="M817" t="str">
            <v>NH-48</v>
          </cell>
          <cell r="O817" t="str">
            <v>A</v>
          </cell>
        </row>
        <row r="818">
          <cell r="C818">
            <v>41049402</v>
          </cell>
          <cell r="D818" t="str">
            <v>Siddhakala Petroleum</v>
          </cell>
          <cell r="E818" t="str">
            <v>HPCL</v>
          </cell>
          <cell r="F818" t="str">
            <v>2017-18</v>
          </cell>
          <cell r="G818" t="str">
            <v>Satara East RSA</v>
          </cell>
          <cell r="J818" t="str">
            <v>Nhavi Budruk</v>
          </cell>
          <cell r="K818" t="str">
            <v>Satara</v>
          </cell>
          <cell r="L818" t="str">
            <v>D2</v>
          </cell>
          <cell r="O818" t="str">
            <v>A</v>
          </cell>
        </row>
        <row r="819">
          <cell r="C819">
            <v>41049404</v>
          </cell>
          <cell r="D819" t="str">
            <v>Kiran Petroleum</v>
          </cell>
          <cell r="E819" t="str">
            <v>HPCL</v>
          </cell>
          <cell r="F819" t="str">
            <v>2016-17</v>
          </cell>
          <cell r="G819" t="str">
            <v>Pune Hadapsar RSA</v>
          </cell>
          <cell r="J819" t="str">
            <v>Theur</v>
          </cell>
          <cell r="K819" t="str">
            <v>Pune</v>
          </cell>
          <cell r="L819" t="str">
            <v>D1</v>
          </cell>
          <cell r="M819" t="str">
            <v>NH-548DD</v>
          </cell>
          <cell r="O819" t="str">
            <v>A</v>
          </cell>
        </row>
        <row r="820">
          <cell r="C820">
            <v>41049406</v>
          </cell>
          <cell r="D820" t="str">
            <v>MSHSD CHANDRASEN PETROLEUM</v>
          </cell>
          <cell r="E820" t="str">
            <v>HPCL</v>
          </cell>
          <cell r="F820" t="str">
            <v>2016-17</v>
          </cell>
          <cell r="G820" t="str">
            <v>Satara West RSA</v>
          </cell>
          <cell r="J820" t="str">
            <v>Sakurdi</v>
          </cell>
          <cell r="K820" t="str">
            <v>Satara</v>
          </cell>
          <cell r="L820" t="str">
            <v>D1</v>
          </cell>
          <cell r="M820" t="str">
            <v>NH-166E</v>
          </cell>
          <cell r="O820" t="str">
            <v>A</v>
          </cell>
        </row>
        <row r="821">
          <cell r="C821">
            <v>41049410</v>
          </cell>
          <cell r="D821" t="str">
            <v>MSHSD SHRI BHAIRAVNATH PETROLE</v>
          </cell>
          <cell r="E821" t="str">
            <v>HPCL</v>
          </cell>
          <cell r="F821" t="str">
            <v>2016-17</v>
          </cell>
          <cell r="G821" t="str">
            <v>Satara East RSA</v>
          </cell>
          <cell r="J821" t="str">
            <v>Gunaware</v>
          </cell>
          <cell r="K821" t="str">
            <v>Satara</v>
          </cell>
          <cell r="L821" t="str">
            <v>E</v>
          </cell>
          <cell r="O821" t="str">
            <v>B</v>
          </cell>
        </row>
        <row r="822">
          <cell r="C822">
            <v>41049412</v>
          </cell>
          <cell r="D822" t="str">
            <v>ATLANTA PETROLEUM</v>
          </cell>
          <cell r="E822" t="str">
            <v>HPCL</v>
          </cell>
          <cell r="F822" t="str">
            <v>2017-18</v>
          </cell>
          <cell r="G822" t="str">
            <v>Satara West RSA</v>
          </cell>
          <cell r="J822" t="str">
            <v>KHOJEWADI</v>
          </cell>
          <cell r="K822" t="str">
            <v>Satara</v>
          </cell>
          <cell r="L822" t="str">
            <v>E</v>
          </cell>
          <cell r="O822" t="str">
            <v>A</v>
          </cell>
        </row>
        <row r="823">
          <cell r="C823">
            <v>41049414</v>
          </cell>
          <cell r="D823" t="str">
            <v>MAHALAXMI PETROLEUM</v>
          </cell>
          <cell r="E823" t="str">
            <v>HPCL</v>
          </cell>
          <cell r="F823" t="str">
            <v>2017-18</v>
          </cell>
          <cell r="G823" t="str">
            <v>Pune Tathawade RSA</v>
          </cell>
          <cell r="J823" t="str">
            <v>BARAMATI NIRA ROAD</v>
          </cell>
          <cell r="K823" t="str">
            <v>Pune</v>
          </cell>
          <cell r="L823" t="str">
            <v>D2</v>
          </cell>
          <cell r="O823" t="str">
            <v>B</v>
          </cell>
        </row>
        <row r="824">
          <cell r="C824">
            <v>41049416</v>
          </cell>
          <cell r="D824" t="str">
            <v>SADDGURU FUELS</v>
          </cell>
          <cell r="E824" t="str">
            <v>HPCL</v>
          </cell>
          <cell r="F824" t="str">
            <v>2017-18</v>
          </cell>
          <cell r="G824" t="str">
            <v>Pune Hadapsar RSA</v>
          </cell>
          <cell r="J824" t="str">
            <v>kesnand</v>
          </cell>
          <cell r="K824" t="str">
            <v>Pune</v>
          </cell>
          <cell r="L824" t="str">
            <v>D1</v>
          </cell>
          <cell r="M824" t="str">
            <v>NH-548DD</v>
          </cell>
          <cell r="O824" t="str">
            <v>A</v>
          </cell>
        </row>
        <row r="825">
          <cell r="C825">
            <v>41049418</v>
          </cell>
          <cell r="D825" t="str">
            <v>Swami Samarth Service Station</v>
          </cell>
          <cell r="E825" t="str">
            <v>HPCL</v>
          </cell>
          <cell r="F825" t="str">
            <v>2017-18</v>
          </cell>
          <cell r="G825" t="str">
            <v>Pune City RSA</v>
          </cell>
          <cell r="J825" t="str">
            <v>MAGARPATTA CITY</v>
          </cell>
          <cell r="K825" t="str">
            <v>Pune</v>
          </cell>
          <cell r="L825" t="str">
            <v>A</v>
          </cell>
          <cell r="O825" t="str">
            <v>A</v>
          </cell>
        </row>
        <row r="826">
          <cell r="C826">
            <v>41049453</v>
          </cell>
          <cell r="D826" t="str">
            <v>Magar Fuel Station</v>
          </cell>
          <cell r="E826" t="str">
            <v>HPCL</v>
          </cell>
          <cell r="F826" t="str">
            <v>2017-18</v>
          </cell>
          <cell r="G826" t="str">
            <v>Pune City RSA</v>
          </cell>
          <cell r="J826" t="str">
            <v>MAGARPATTA CITY</v>
          </cell>
          <cell r="K826" t="str">
            <v>Pune</v>
          </cell>
          <cell r="L826" t="str">
            <v>A</v>
          </cell>
          <cell r="O826" t="str">
            <v>A</v>
          </cell>
        </row>
        <row r="827">
          <cell r="C827">
            <v>41049454</v>
          </cell>
          <cell r="D827" t="str">
            <v>Ranwara Petroluem</v>
          </cell>
          <cell r="E827" t="str">
            <v>HPCL</v>
          </cell>
          <cell r="F827" t="str">
            <v>2017-18</v>
          </cell>
          <cell r="G827" t="str">
            <v>Pune Wagholi RSA</v>
          </cell>
          <cell r="J827" t="str">
            <v>Ane</v>
          </cell>
          <cell r="K827" t="str">
            <v>Pune</v>
          </cell>
          <cell r="L827" t="str">
            <v>D1</v>
          </cell>
          <cell r="M827" t="str">
            <v>NH-61</v>
          </cell>
          <cell r="O827" t="str">
            <v>A</v>
          </cell>
        </row>
        <row r="828">
          <cell r="C828">
            <v>41049455</v>
          </cell>
          <cell r="D828" t="str">
            <v>SAVITA PETROLEUM</v>
          </cell>
          <cell r="E828" t="str">
            <v>HPCL</v>
          </cell>
          <cell r="F828" t="str">
            <v>2017-18</v>
          </cell>
          <cell r="G828" t="str">
            <v>Pune Wagholi RSA</v>
          </cell>
          <cell r="J828" t="str">
            <v>Alephata on Kalyan highway</v>
          </cell>
          <cell r="K828" t="str">
            <v>Pune</v>
          </cell>
          <cell r="L828" t="str">
            <v>D1</v>
          </cell>
          <cell r="M828" t="str">
            <v>NH-61</v>
          </cell>
          <cell r="O828" t="str">
            <v>A</v>
          </cell>
        </row>
        <row r="829">
          <cell r="C829">
            <v>41049457</v>
          </cell>
          <cell r="D829" t="str">
            <v>SHRI MALHAR PETROLEUM</v>
          </cell>
          <cell r="E829" t="str">
            <v>HPCL</v>
          </cell>
          <cell r="F829" t="str">
            <v>2017-18</v>
          </cell>
          <cell r="G829" t="str">
            <v>Pune Hadapsar RSA</v>
          </cell>
          <cell r="J829" t="str">
            <v>Yawat LHS</v>
          </cell>
          <cell r="K829" t="str">
            <v>Pune</v>
          </cell>
          <cell r="L829" t="str">
            <v>D1</v>
          </cell>
          <cell r="M829" t="str">
            <v>NH-65</v>
          </cell>
          <cell r="O829" t="str">
            <v>A</v>
          </cell>
        </row>
        <row r="830">
          <cell r="C830">
            <v>41049459</v>
          </cell>
          <cell r="D830" t="str">
            <v>MORE PETROLEUM</v>
          </cell>
          <cell r="E830" t="str">
            <v>HPCL</v>
          </cell>
          <cell r="F830" t="str">
            <v>2017-18</v>
          </cell>
          <cell r="G830" t="str">
            <v>Pune Hadapsar RSA</v>
          </cell>
          <cell r="J830" t="str">
            <v>Yawat RHS</v>
          </cell>
          <cell r="K830" t="str">
            <v>Pune</v>
          </cell>
          <cell r="L830" t="str">
            <v>D1</v>
          </cell>
          <cell r="M830" t="str">
            <v>NH-65</v>
          </cell>
          <cell r="O830" t="str">
            <v>A</v>
          </cell>
        </row>
        <row r="831">
          <cell r="C831">
            <v>41049460</v>
          </cell>
          <cell r="D831" t="str">
            <v>Shri Tatyashri Petroleum</v>
          </cell>
          <cell r="E831" t="str">
            <v>HPCL</v>
          </cell>
          <cell r="F831" t="str">
            <v>2017-18</v>
          </cell>
          <cell r="G831" t="str">
            <v>Pimpri Chinchwad RSA</v>
          </cell>
          <cell r="J831" t="str">
            <v>Moi</v>
          </cell>
          <cell r="K831" t="str">
            <v>Pune</v>
          </cell>
          <cell r="L831" t="str">
            <v>E</v>
          </cell>
          <cell r="O831" t="str">
            <v>B</v>
          </cell>
        </row>
        <row r="832">
          <cell r="C832">
            <v>41049461</v>
          </cell>
          <cell r="D832" t="str">
            <v>Prasanna Petroleum</v>
          </cell>
          <cell r="E832" t="str">
            <v>HPCL</v>
          </cell>
          <cell r="F832" t="str">
            <v>2017-18</v>
          </cell>
          <cell r="G832" t="str">
            <v>Satara East RSA</v>
          </cell>
          <cell r="J832" t="str">
            <v>Phalton Dahiwadi road</v>
          </cell>
          <cell r="K832" t="str">
            <v>Satara</v>
          </cell>
          <cell r="L832" t="str">
            <v>D1</v>
          </cell>
          <cell r="M832" t="str">
            <v>NH-160</v>
          </cell>
          <cell r="O832" t="str">
            <v>B</v>
          </cell>
        </row>
        <row r="833">
          <cell r="C833">
            <v>41049462</v>
          </cell>
          <cell r="D833" t="str">
            <v>Jijai Petroleum</v>
          </cell>
          <cell r="E833" t="str">
            <v>HPCL</v>
          </cell>
          <cell r="G833" t="str">
            <v>Satara West RSA</v>
          </cell>
          <cell r="J833" t="str">
            <v>Khandala to Bhuinj</v>
          </cell>
          <cell r="K833" t="str">
            <v>Satara</v>
          </cell>
          <cell r="L833" t="str">
            <v>D1</v>
          </cell>
          <cell r="M833" t="str">
            <v>NH-48</v>
          </cell>
          <cell r="O833" t="str">
            <v>A</v>
          </cell>
        </row>
        <row r="834">
          <cell r="C834">
            <v>41049463</v>
          </cell>
          <cell r="D834" t="str">
            <v>Anusaya Petrolem</v>
          </cell>
          <cell r="E834" t="str">
            <v>HPCL</v>
          </cell>
          <cell r="F834" t="str">
            <v>2017-18</v>
          </cell>
          <cell r="G834" t="str">
            <v>Pune Wagholi RSA</v>
          </cell>
          <cell r="J834" t="str">
            <v>Narayangaon to Alephata LHS</v>
          </cell>
          <cell r="K834" t="str">
            <v>Pune</v>
          </cell>
          <cell r="L834" t="str">
            <v>D1</v>
          </cell>
          <cell r="M834" t="str">
            <v>NH-60</v>
          </cell>
          <cell r="O834" t="str">
            <v>A</v>
          </cell>
        </row>
        <row r="835">
          <cell r="C835">
            <v>41049464</v>
          </cell>
          <cell r="D835" t="str">
            <v>Khairmode &amp; Sons Petroleum</v>
          </cell>
          <cell r="E835" t="str">
            <v>HPCL</v>
          </cell>
          <cell r="F835" t="str">
            <v>2017-18</v>
          </cell>
          <cell r="G835" t="str">
            <v>Pune Saswad RSA</v>
          </cell>
          <cell r="J835" t="str">
            <v>walhe</v>
          </cell>
          <cell r="K835" t="str">
            <v>Pune</v>
          </cell>
          <cell r="L835" t="str">
            <v>D1</v>
          </cell>
          <cell r="M835" t="str">
            <v>NH-965</v>
          </cell>
          <cell r="O835" t="str">
            <v>B</v>
          </cell>
        </row>
        <row r="836">
          <cell r="C836">
            <v>41049465</v>
          </cell>
          <cell r="D836" t="str">
            <v>ARUN KATHWATE &amp; SONS STATION</v>
          </cell>
          <cell r="E836" t="str">
            <v>HPCL</v>
          </cell>
          <cell r="F836" t="str">
            <v>2023-24</v>
          </cell>
          <cell r="G836" t="str">
            <v>Pune City RSA</v>
          </cell>
          <cell r="J836" t="str">
            <v>HINJEWADI</v>
          </cell>
          <cell r="K836" t="str">
            <v>Pune</v>
          </cell>
          <cell r="L836" t="str">
            <v>A</v>
          </cell>
          <cell r="O836" t="str">
            <v>A</v>
          </cell>
        </row>
        <row r="837">
          <cell r="C837">
            <v>41049466</v>
          </cell>
          <cell r="D837" t="str">
            <v>Bhosale Petroleum</v>
          </cell>
          <cell r="E837" t="str">
            <v>HPCL</v>
          </cell>
          <cell r="F837" t="str">
            <v>2018-19</v>
          </cell>
          <cell r="G837" t="str">
            <v>Pimpri Chinchwad RSA</v>
          </cell>
          <cell r="J837" t="str">
            <v>Chakan MIDC</v>
          </cell>
          <cell r="K837" t="str">
            <v>Pune</v>
          </cell>
          <cell r="L837" t="str">
            <v>C</v>
          </cell>
          <cell r="O837" t="str">
            <v>A</v>
          </cell>
        </row>
        <row r="838">
          <cell r="C838">
            <v>41049467</v>
          </cell>
          <cell r="D838" t="str">
            <v>ROYAL PETROLEUM</v>
          </cell>
          <cell r="E838" t="str">
            <v>HPCL</v>
          </cell>
          <cell r="F838" t="str">
            <v>2018-19</v>
          </cell>
          <cell r="G838" t="str">
            <v>Satara East RSA</v>
          </cell>
          <cell r="J838" t="str">
            <v>Koregaon Rahimatpur Road</v>
          </cell>
          <cell r="K838" t="str">
            <v>Satara</v>
          </cell>
          <cell r="L838" t="str">
            <v>E</v>
          </cell>
          <cell r="O838" t="str">
            <v>A</v>
          </cell>
        </row>
        <row r="839">
          <cell r="C839">
            <v>41049468</v>
          </cell>
          <cell r="D839" t="str">
            <v>POLIC WELFARE PETROL PUMP</v>
          </cell>
          <cell r="E839" t="str">
            <v>HPCL</v>
          </cell>
          <cell r="F839" t="str">
            <v>2018-19</v>
          </cell>
          <cell r="G839" t="str">
            <v>Pune City RSA</v>
          </cell>
          <cell r="J839" t="str">
            <v>SANGAVI</v>
          </cell>
          <cell r="K839" t="str">
            <v>Pune</v>
          </cell>
          <cell r="L839" t="str">
            <v>A</v>
          </cell>
          <cell r="O839" t="str">
            <v>B</v>
          </cell>
        </row>
        <row r="840">
          <cell r="C840">
            <v>41049470</v>
          </cell>
          <cell r="D840" t="str">
            <v>KRUSHNAI PETROLEUM</v>
          </cell>
          <cell r="E840" t="str">
            <v>HPCL</v>
          </cell>
          <cell r="F840" t="str">
            <v>2018-19</v>
          </cell>
          <cell r="G840" t="str">
            <v>Satara West RSA</v>
          </cell>
          <cell r="J840" t="str">
            <v>Joshi Vihir to Wai</v>
          </cell>
          <cell r="K840" t="str">
            <v>Satara</v>
          </cell>
          <cell r="L840" t="str">
            <v>D2</v>
          </cell>
          <cell r="O840" t="str">
            <v>A</v>
          </cell>
        </row>
        <row r="841">
          <cell r="C841">
            <v>41049471</v>
          </cell>
          <cell r="D841" t="str">
            <v>ABHIJEET PETROLEUM</v>
          </cell>
          <cell r="E841" t="str">
            <v>HPCL</v>
          </cell>
          <cell r="F841" t="str">
            <v>2018-19</v>
          </cell>
          <cell r="G841" t="str">
            <v>Pune Saswad RSA</v>
          </cell>
          <cell r="J841" t="str">
            <v>BAVDA</v>
          </cell>
          <cell r="K841" t="str">
            <v>Pune</v>
          </cell>
          <cell r="L841" t="str">
            <v>D1</v>
          </cell>
          <cell r="M841" t="str">
            <v>NH-965G</v>
          </cell>
          <cell r="O841" t="str">
            <v>B</v>
          </cell>
        </row>
        <row r="842">
          <cell r="C842">
            <v>41049473</v>
          </cell>
          <cell r="D842" t="str">
            <v>SARAI PETROLEUM</v>
          </cell>
          <cell r="E842" t="str">
            <v>HPCL</v>
          </cell>
          <cell r="F842" t="str">
            <v>2018-19</v>
          </cell>
          <cell r="G842" t="str">
            <v>Satara East RSA</v>
          </cell>
          <cell r="J842" t="str">
            <v>VADJAL</v>
          </cell>
          <cell r="K842" t="str">
            <v>Satara</v>
          </cell>
          <cell r="L842" t="str">
            <v>D2</v>
          </cell>
          <cell r="O842" t="str">
            <v>A</v>
          </cell>
        </row>
        <row r="843">
          <cell r="C843">
            <v>41049474</v>
          </cell>
          <cell r="D843" t="str">
            <v>KALOKHE PETROLEUM</v>
          </cell>
          <cell r="E843" t="str">
            <v>HPCL</v>
          </cell>
          <cell r="F843" t="str">
            <v>2018-19</v>
          </cell>
          <cell r="G843" t="str">
            <v>Pune Tathawade RSA</v>
          </cell>
          <cell r="J843" t="str">
            <v>DEHU ROAD TO TALEGAON DABHADE</v>
          </cell>
          <cell r="K843" t="str">
            <v>Pune</v>
          </cell>
          <cell r="L843" t="str">
            <v>D1</v>
          </cell>
          <cell r="M843" t="str">
            <v>NH-48</v>
          </cell>
          <cell r="O843" t="str">
            <v>A</v>
          </cell>
        </row>
        <row r="844">
          <cell r="C844">
            <v>41049476</v>
          </cell>
          <cell r="D844" t="str">
            <v>APMC INDAPUR</v>
          </cell>
          <cell r="E844" t="str">
            <v>HPCL</v>
          </cell>
          <cell r="F844" t="str">
            <v>2018-19</v>
          </cell>
          <cell r="G844" t="str">
            <v>Pune Saswad RSA</v>
          </cell>
          <cell r="J844" t="str">
            <v>Vadapuri</v>
          </cell>
          <cell r="K844" t="str">
            <v>Pune</v>
          </cell>
          <cell r="L844" t="str">
            <v>D1</v>
          </cell>
          <cell r="M844" t="str">
            <v>NH-965G</v>
          </cell>
          <cell r="O844" t="str">
            <v>B</v>
          </cell>
        </row>
        <row r="845">
          <cell r="C845">
            <v>41049477</v>
          </cell>
          <cell r="D845" t="str">
            <v>APMC JALOCHI PETROLEUM</v>
          </cell>
          <cell r="E845" t="str">
            <v>HPCL</v>
          </cell>
          <cell r="F845" t="str">
            <v>2018-19</v>
          </cell>
          <cell r="G845" t="str">
            <v>Pune Tathawade RSA</v>
          </cell>
          <cell r="J845" t="str">
            <v>Jalochi</v>
          </cell>
          <cell r="K845" t="str">
            <v>Pune</v>
          </cell>
          <cell r="L845" t="str">
            <v>C</v>
          </cell>
          <cell r="O845" t="str">
            <v>B</v>
          </cell>
        </row>
        <row r="846">
          <cell r="C846">
            <v>41049478</v>
          </cell>
          <cell r="D846" t="str">
            <v>APMC KARAD</v>
          </cell>
          <cell r="E846" t="str">
            <v>HPCL</v>
          </cell>
          <cell r="F846" t="str">
            <v>2018-19</v>
          </cell>
          <cell r="G846" t="str">
            <v>Satara West RSA</v>
          </cell>
          <cell r="J846" t="str">
            <v>Karad City</v>
          </cell>
          <cell r="K846" t="str">
            <v>Satara</v>
          </cell>
          <cell r="L846" t="str">
            <v>C</v>
          </cell>
          <cell r="O846" t="str">
            <v>A</v>
          </cell>
        </row>
        <row r="847">
          <cell r="C847">
            <v>41049480</v>
          </cell>
          <cell r="D847" t="str">
            <v>Deokar Petroleum</v>
          </cell>
          <cell r="E847" t="str">
            <v>HPCL</v>
          </cell>
          <cell r="F847" t="str">
            <v>2019-20</v>
          </cell>
          <cell r="G847" t="str">
            <v>Pune Hadapsar RSA</v>
          </cell>
          <cell r="J847" t="str">
            <v>Sortapwadi RHS</v>
          </cell>
          <cell r="K847" t="str">
            <v>Pune</v>
          </cell>
          <cell r="L847" t="str">
            <v>D1</v>
          </cell>
          <cell r="M847" t="str">
            <v>NH-65</v>
          </cell>
          <cell r="O847" t="str">
            <v>A</v>
          </cell>
        </row>
        <row r="848">
          <cell r="C848">
            <v>41049520</v>
          </cell>
          <cell r="D848" t="str">
            <v>BARAMATI TALUKA K.V.S. LTD</v>
          </cell>
          <cell r="E848" t="str">
            <v>HPCL</v>
          </cell>
          <cell r="G848" t="str">
            <v>Pune Tathawade RSA</v>
          </cell>
          <cell r="J848" t="str">
            <v>BARAMATI BHIGWAN ROAD</v>
          </cell>
          <cell r="K848" t="str">
            <v>Pune</v>
          </cell>
          <cell r="L848" t="str">
            <v>D2</v>
          </cell>
          <cell r="O848" t="str">
            <v>A</v>
          </cell>
        </row>
        <row r="849">
          <cell r="C849">
            <v>41049557</v>
          </cell>
          <cell r="D849" t="str">
            <v>JOSHI PETROLEUM</v>
          </cell>
          <cell r="E849" t="str">
            <v>HPCL</v>
          </cell>
          <cell r="F849" t="str">
            <v>2015-16</v>
          </cell>
          <cell r="G849" t="str">
            <v>Shirdi RSA</v>
          </cell>
          <cell r="J849" t="str">
            <v>MIDC SANGAMNER</v>
          </cell>
          <cell r="K849" t="str">
            <v>Ahmednagar</v>
          </cell>
          <cell r="L849" t="str">
            <v>D1</v>
          </cell>
          <cell r="M849" t="str">
            <v>NH-60</v>
          </cell>
          <cell r="O849" t="str">
            <v>B</v>
          </cell>
        </row>
        <row r="850">
          <cell r="C850">
            <v>41049558</v>
          </cell>
          <cell r="D850" t="str">
            <v>AYUSH LAMKHADE PETROLEUM</v>
          </cell>
          <cell r="E850" t="str">
            <v>HPCL</v>
          </cell>
          <cell r="F850" t="str">
            <v>2015-16</v>
          </cell>
          <cell r="G850" t="str">
            <v>Ahmednagar East RSA</v>
          </cell>
          <cell r="J850" t="str">
            <v>Nagar-Manmad Bypass</v>
          </cell>
          <cell r="K850" t="str">
            <v>Ahmednagar</v>
          </cell>
          <cell r="L850" t="str">
            <v>D1</v>
          </cell>
          <cell r="M850" t="str">
            <v>NH-160</v>
          </cell>
          <cell r="O850" t="str">
            <v>A</v>
          </cell>
        </row>
        <row r="851">
          <cell r="C851">
            <v>41049653</v>
          </cell>
          <cell r="D851" t="str">
            <v>SAI PETROLEUM</v>
          </cell>
          <cell r="E851" t="str">
            <v>HPCL</v>
          </cell>
          <cell r="G851" t="str">
            <v>Pune Tathawade RSA</v>
          </cell>
          <cell r="J851" t="str">
            <v>BARAMATI PHALTAN ROAD</v>
          </cell>
          <cell r="K851" t="str">
            <v>Pune</v>
          </cell>
          <cell r="L851" t="str">
            <v>D1</v>
          </cell>
          <cell r="M851" t="str">
            <v>NH-160</v>
          </cell>
          <cell r="O851" t="str">
            <v>B</v>
          </cell>
        </row>
        <row r="852">
          <cell r="C852">
            <v>41049665</v>
          </cell>
          <cell r="D852" t="str">
            <v>SAI OM PETROLEUM</v>
          </cell>
          <cell r="E852" t="str">
            <v>HPCL</v>
          </cell>
          <cell r="G852" t="str">
            <v>Pune Hadapsar RSA</v>
          </cell>
          <cell r="J852" t="str">
            <v>UrliDevachi</v>
          </cell>
          <cell r="K852" t="str">
            <v>Pune</v>
          </cell>
          <cell r="L852" t="str">
            <v>D1</v>
          </cell>
          <cell r="M852" t="str">
            <v>NH-965</v>
          </cell>
          <cell r="O852" t="str">
            <v>A</v>
          </cell>
        </row>
        <row r="853">
          <cell r="C853">
            <v>41049667</v>
          </cell>
          <cell r="D853" t="str">
            <v>SHREE SWAMI SAMARTH ENTERPRISES</v>
          </cell>
          <cell r="E853" t="str">
            <v>HPCL</v>
          </cell>
          <cell r="G853" t="str">
            <v>Pimpri Chinchwad RSA</v>
          </cell>
          <cell r="J853" t="str">
            <v>Bhosari</v>
          </cell>
          <cell r="K853" t="str">
            <v>Pune</v>
          </cell>
          <cell r="L853" t="str">
            <v>A</v>
          </cell>
          <cell r="M853" t="str">
            <v>NH-60</v>
          </cell>
          <cell r="O853" t="str">
            <v>B</v>
          </cell>
        </row>
        <row r="854">
          <cell r="C854">
            <v>41049678</v>
          </cell>
          <cell r="D854" t="str">
            <v>Padmavati Petroleum</v>
          </cell>
          <cell r="E854" t="str">
            <v>HPCL</v>
          </cell>
          <cell r="G854" t="str">
            <v>Ahmednagar East RSA</v>
          </cell>
          <cell r="J854" t="str">
            <v>Savedi</v>
          </cell>
          <cell r="K854" t="str">
            <v>Ahmednagar</v>
          </cell>
          <cell r="L854" t="str">
            <v>C</v>
          </cell>
          <cell r="O854" t="str">
            <v>A</v>
          </cell>
        </row>
        <row r="855">
          <cell r="C855">
            <v>41049844</v>
          </cell>
          <cell r="D855" t="str">
            <v>AUGASTI PETROLEUM</v>
          </cell>
          <cell r="E855" t="str">
            <v>HPCL</v>
          </cell>
          <cell r="F855" t="str">
            <v>2015-16</v>
          </cell>
          <cell r="G855" t="str">
            <v>Shirdi RSA</v>
          </cell>
          <cell r="J855" t="str">
            <v>VIRGAON</v>
          </cell>
          <cell r="K855" t="str">
            <v>Ahmednagar</v>
          </cell>
          <cell r="L855" t="str">
            <v>D2</v>
          </cell>
          <cell r="O855" t="str">
            <v>B</v>
          </cell>
        </row>
        <row r="856">
          <cell r="C856">
            <v>41049845</v>
          </cell>
          <cell r="D856" t="str">
            <v>SHRI GURUDATTA</v>
          </cell>
          <cell r="E856" t="str">
            <v>HPCL</v>
          </cell>
          <cell r="F856" t="str">
            <v>2015-16</v>
          </cell>
          <cell r="G856" t="str">
            <v>Shirdi RSA</v>
          </cell>
          <cell r="J856" t="str">
            <v>AURANGPUR</v>
          </cell>
          <cell r="K856" t="str">
            <v>Ahmednagar</v>
          </cell>
          <cell r="L856" t="str">
            <v>D2</v>
          </cell>
          <cell r="O856" t="str">
            <v>B</v>
          </cell>
        </row>
        <row r="857">
          <cell r="C857">
            <v>41049847</v>
          </cell>
          <cell r="D857" t="str">
            <v>Atharva Petroleum</v>
          </cell>
          <cell r="E857" t="str">
            <v>HPCL</v>
          </cell>
          <cell r="F857" t="str">
            <v>2015-16</v>
          </cell>
          <cell r="G857" t="str">
            <v>Ahmednagar East RSA</v>
          </cell>
          <cell r="J857" t="str">
            <v>Shevgaon</v>
          </cell>
          <cell r="K857" t="str">
            <v>Ahmednagar</v>
          </cell>
          <cell r="L857" t="str">
            <v>D2</v>
          </cell>
          <cell r="O857" t="str">
            <v>A</v>
          </cell>
        </row>
        <row r="858">
          <cell r="C858">
            <v>41049848</v>
          </cell>
          <cell r="D858" t="str">
            <v>Shri Datta Petroleum</v>
          </cell>
          <cell r="E858" t="str">
            <v>HPCL</v>
          </cell>
          <cell r="F858" t="str">
            <v>2015-16</v>
          </cell>
          <cell r="G858" t="str">
            <v>Ahmednagar East RSA</v>
          </cell>
          <cell r="J858" t="str">
            <v>Miri</v>
          </cell>
          <cell r="K858" t="str">
            <v>Ahmednagar</v>
          </cell>
          <cell r="L858" t="str">
            <v>D2</v>
          </cell>
          <cell r="O858" t="str">
            <v>B</v>
          </cell>
        </row>
        <row r="859">
          <cell r="C859">
            <v>41049949</v>
          </cell>
          <cell r="D859" t="str">
            <v>LAXMI BALAJI PETROLEUM</v>
          </cell>
          <cell r="E859" t="str">
            <v>HPCL</v>
          </cell>
          <cell r="F859" t="str">
            <v>2014-15</v>
          </cell>
          <cell r="G859" t="str">
            <v>Shirdi RSA</v>
          </cell>
          <cell r="J859" t="str">
            <v>VADGAONPAN</v>
          </cell>
          <cell r="K859" t="str">
            <v>Ahmednagar</v>
          </cell>
          <cell r="L859" t="str">
            <v>D2</v>
          </cell>
          <cell r="O859" t="str">
            <v>B</v>
          </cell>
        </row>
        <row r="860">
          <cell r="C860">
            <v>41050100</v>
          </cell>
          <cell r="D860" t="str">
            <v>BADHE SERVICE STATION</v>
          </cell>
          <cell r="E860" t="str">
            <v>HPCL</v>
          </cell>
          <cell r="G860" t="str">
            <v>Pune Wagholi RSA</v>
          </cell>
          <cell r="J860" t="str">
            <v>Narayangaon to Alephata LHS</v>
          </cell>
          <cell r="K860" t="str">
            <v>Pune</v>
          </cell>
          <cell r="L860" t="str">
            <v>D1</v>
          </cell>
          <cell r="M860" t="str">
            <v>NH-60</v>
          </cell>
          <cell r="O860" t="str">
            <v>A</v>
          </cell>
        </row>
        <row r="861">
          <cell r="C861">
            <v>41050290</v>
          </cell>
          <cell r="D861" t="str">
            <v>HP FUEL CENTRE TAJE</v>
          </cell>
          <cell r="E861" t="str">
            <v>HPCL</v>
          </cell>
          <cell r="G861" t="str">
            <v>Pune Tathawade RSA</v>
          </cell>
          <cell r="J861" t="str">
            <v>YCEW RAVET TO LONAVALA</v>
          </cell>
          <cell r="K861" t="str">
            <v>Pune</v>
          </cell>
          <cell r="L861" t="str">
            <v>D1</v>
          </cell>
          <cell r="M861" t="str">
            <v>NH-48</v>
          </cell>
          <cell r="O861" t="str">
            <v>A</v>
          </cell>
        </row>
        <row r="862">
          <cell r="C862">
            <v>41050296</v>
          </cell>
          <cell r="D862" t="str">
            <v>GAIKWAD SERVICE STATION</v>
          </cell>
          <cell r="E862" t="str">
            <v>HPCL</v>
          </cell>
          <cell r="G862" t="str">
            <v>Pune City RSA</v>
          </cell>
          <cell r="J862" t="str">
            <v>BANER</v>
          </cell>
          <cell r="K862" t="str">
            <v>Pune</v>
          </cell>
          <cell r="L862" t="str">
            <v>A</v>
          </cell>
          <cell r="O862" t="str">
            <v>A</v>
          </cell>
        </row>
        <row r="863">
          <cell r="C863">
            <v>41050297</v>
          </cell>
          <cell r="D863" t="str">
            <v>OMKAR PETROLEUM</v>
          </cell>
          <cell r="E863" t="str">
            <v>HPCL</v>
          </cell>
          <cell r="G863" t="str">
            <v>Pune Wagholi RSA</v>
          </cell>
          <cell r="J863" t="str">
            <v>Koregaon Bhima to Shikrapur LHS</v>
          </cell>
          <cell r="K863" t="str">
            <v>Pune</v>
          </cell>
          <cell r="L863" t="str">
            <v>D1</v>
          </cell>
          <cell r="M863" t="str">
            <v>NH-753F</v>
          </cell>
          <cell r="O863" t="str">
            <v>A</v>
          </cell>
        </row>
        <row r="864">
          <cell r="C864">
            <v>41050299</v>
          </cell>
          <cell r="D864" t="str">
            <v>SHRI SADGURU TRANSPORT PETROLEUM</v>
          </cell>
          <cell r="E864" t="str">
            <v>HPCL</v>
          </cell>
          <cell r="G864" t="str">
            <v>Pimpri Chinchwad RSA</v>
          </cell>
          <cell r="J864" t="str">
            <v>Chakan MIDC</v>
          </cell>
          <cell r="K864" t="str">
            <v>Pune</v>
          </cell>
          <cell r="L864" t="str">
            <v>C</v>
          </cell>
          <cell r="O864" t="str">
            <v>B</v>
          </cell>
        </row>
        <row r="865">
          <cell r="C865">
            <v>41050303</v>
          </cell>
          <cell r="D865" t="str">
            <v>SHIVAJI SERVICE STATION</v>
          </cell>
          <cell r="E865" t="str">
            <v>HPCL</v>
          </cell>
          <cell r="G865" t="str">
            <v>Pune Hadapsar RSA</v>
          </cell>
          <cell r="J865" t="str">
            <v>Hadapsar RHS</v>
          </cell>
          <cell r="K865" t="str">
            <v>Pune</v>
          </cell>
          <cell r="L865" t="str">
            <v>A</v>
          </cell>
          <cell r="O865" t="str">
            <v>A</v>
          </cell>
        </row>
        <row r="866">
          <cell r="C866">
            <v>41050346</v>
          </cell>
          <cell r="D866" t="str">
            <v>POOJA PETROLEUM</v>
          </cell>
          <cell r="E866" t="str">
            <v>HPCL</v>
          </cell>
          <cell r="G866" t="str">
            <v>Satara West RSA</v>
          </cell>
          <cell r="J866" t="str">
            <v>Satara to Bhuinj</v>
          </cell>
          <cell r="K866" t="str">
            <v>Satara</v>
          </cell>
          <cell r="L866" t="str">
            <v>D1</v>
          </cell>
          <cell r="M866" t="str">
            <v>NH-48</v>
          </cell>
          <cell r="O866" t="str">
            <v>B</v>
          </cell>
        </row>
        <row r="867">
          <cell r="C867">
            <v>41050354</v>
          </cell>
          <cell r="D867" t="str">
            <v>SHRI BALAJI PETROLEUM</v>
          </cell>
          <cell r="E867" t="str">
            <v>HPCL</v>
          </cell>
          <cell r="G867" t="str">
            <v>Pune Saswad RSA</v>
          </cell>
          <cell r="J867" t="str">
            <v>Kapurhol-Ketkawale Road</v>
          </cell>
          <cell r="K867" t="str">
            <v>Pune</v>
          </cell>
          <cell r="L867" t="str">
            <v>D2</v>
          </cell>
          <cell r="O867" t="str">
            <v>A</v>
          </cell>
        </row>
        <row r="868">
          <cell r="C868">
            <v>41050358</v>
          </cell>
          <cell r="D868" t="str">
            <v>ADHOC L KUDALE NEW GOLDEN SERVICE STATION (11459440)</v>
          </cell>
          <cell r="E868" t="str">
            <v>HPCL</v>
          </cell>
          <cell r="G868" t="str">
            <v>Pune Tathawade RSA</v>
          </cell>
          <cell r="J868" t="str">
            <v>KHEDSHIVAPUR TO HARISHCHANDRI</v>
          </cell>
          <cell r="K868" t="str">
            <v>Pune</v>
          </cell>
          <cell r="L868" t="str">
            <v>D1</v>
          </cell>
          <cell r="M868" t="str">
            <v>NH-48</v>
          </cell>
          <cell r="O868" t="str">
            <v>A</v>
          </cell>
        </row>
        <row r="869">
          <cell r="C869">
            <v>41050359</v>
          </cell>
          <cell r="D869" t="str">
            <v>SUDESH TRANSPORT SERVICE STATION</v>
          </cell>
          <cell r="E869" t="str">
            <v>HPCL</v>
          </cell>
          <cell r="G869" t="str">
            <v>Pune Wagholi RSA</v>
          </cell>
          <cell r="J869" t="str">
            <v>Manchar</v>
          </cell>
          <cell r="K869" t="str">
            <v>Pune</v>
          </cell>
          <cell r="L869" t="str">
            <v>C</v>
          </cell>
          <cell r="O869" t="str">
            <v>A</v>
          </cell>
        </row>
        <row r="870">
          <cell r="C870">
            <v>41050367</v>
          </cell>
          <cell r="D870" t="str">
            <v>DEEP PETROLEUM</v>
          </cell>
          <cell r="E870" t="str">
            <v>HPCL</v>
          </cell>
          <cell r="G870" t="str">
            <v>Pune Wagholi RSA</v>
          </cell>
          <cell r="J870" t="str">
            <v>Pabal to rajgurunagar</v>
          </cell>
          <cell r="K870" t="str">
            <v>Pune</v>
          </cell>
          <cell r="L870" t="str">
            <v>D2</v>
          </cell>
          <cell r="O870" t="str">
            <v>A</v>
          </cell>
        </row>
        <row r="871">
          <cell r="C871">
            <v>41050373</v>
          </cell>
          <cell r="D871" t="str">
            <v>RAJESH PETROLEUM</v>
          </cell>
          <cell r="E871" t="str">
            <v>HPCL</v>
          </cell>
          <cell r="G871" t="str">
            <v>Pune Wagholi RSA</v>
          </cell>
          <cell r="J871" t="str">
            <v>Shikrapur to Ranjangaon RHS</v>
          </cell>
          <cell r="K871" t="str">
            <v>Pune</v>
          </cell>
          <cell r="L871" t="str">
            <v>D1</v>
          </cell>
          <cell r="M871" t="str">
            <v>NH-753F</v>
          </cell>
          <cell r="O871" t="str">
            <v>A</v>
          </cell>
        </row>
        <row r="872">
          <cell r="C872">
            <v>41050374</v>
          </cell>
          <cell r="D872" t="str">
            <v>SHRI VIGHNAHAR AUTOMOBILES SERVIC</v>
          </cell>
          <cell r="E872" t="str">
            <v>HPCL</v>
          </cell>
          <cell r="G872" t="str">
            <v>Pune Wagholi RSA</v>
          </cell>
          <cell r="J872" t="str">
            <v>Junnar</v>
          </cell>
          <cell r="K872" t="str">
            <v>Pune</v>
          </cell>
          <cell r="L872" t="str">
            <v>D2</v>
          </cell>
          <cell r="O872" t="str">
            <v>A</v>
          </cell>
        </row>
        <row r="873">
          <cell r="C873">
            <v>41050375</v>
          </cell>
          <cell r="D873" t="str">
            <v>RADESHYAM PETROLEUM</v>
          </cell>
          <cell r="E873" t="str">
            <v>HPCL</v>
          </cell>
          <cell r="G873" t="str">
            <v>Pune City RSA</v>
          </cell>
          <cell r="J873" t="str">
            <v>PAUD ROAD</v>
          </cell>
          <cell r="K873" t="str">
            <v>Pune</v>
          </cell>
          <cell r="L873" t="str">
            <v>D1</v>
          </cell>
          <cell r="M873" t="str">
            <v>NH-753F</v>
          </cell>
          <cell r="O873" t="str">
            <v>A</v>
          </cell>
        </row>
        <row r="874">
          <cell r="C874">
            <v>41050376</v>
          </cell>
          <cell r="D874" t="str">
            <v>WAGISHWARI AUTOMOBILES</v>
          </cell>
          <cell r="E874" t="str">
            <v>HPCL</v>
          </cell>
          <cell r="G874" t="str">
            <v>Pune Hadapsar RSA</v>
          </cell>
          <cell r="J874" t="str">
            <v>CHOUFULLA-KHEDGAON</v>
          </cell>
          <cell r="K874" t="str">
            <v>Pune</v>
          </cell>
          <cell r="L874" t="str">
            <v>D2</v>
          </cell>
          <cell r="O874" t="str">
            <v>A</v>
          </cell>
        </row>
        <row r="875">
          <cell r="C875">
            <v>41050377</v>
          </cell>
          <cell r="D875" t="str">
            <v>BALAJI AUTOMOBILES</v>
          </cell>
          <cell r="E875" t="str">
            <v>HPCL</v>
          </cell>
          <cell r="G875" t="str">
            <v>Satara East RSA</v>
          </cell>
          <cell r="J875" t="str">
            <v>Dahiwadi on NH</v>
          </cell>
          <cell r="K875" t="str">
            <v>Satara</v>
          </cell>
          <cell r="L875" t="str">
            <v>D1</v>
          </cell>
          <cell r="M875" t="str">
            <v>NH-160</v>
          </cell>
          <cell r="O875" t="str">
            <v>B</v>
          </cell>
        </row>
        <row r="876">
          <cell r="C876">
            <v>41050380</v>
          </cell>
          <cell r="D876" t="str">
            <v>BALWADKAR AUTO SERVICE</v>
          </cell>
          <cell r="E876" t="str">
            <v>HPCL</v>
          </cell>
          <cell r="G876" t="str">
            <v>Pune Tathawade RSA</v>
          </cell>
          <cell r="J876" t="str">
            <v>DEHU ROAD TO BALEWADI</v>
          </cell>
          <cell r="K876" t="str">
            <v>Pune</v>
          </cell>
          <cell r="L876" t="str">
            <v>A</v>
          </cell>
          <cell r="M876" t="str">
            <v>NH-48</v>
          </cell>
          <cell r="O876" t="str">
            <v>A</v>
          </cell>
        </row>
        <row r="877">
          <cell r="C877">
            <v>41050381</v>
          </cell>
          <cell r="D877" t="str">
            <v>DEO KRIPA SERVICE STATION</v>
          </cell>
          <cell r="E877" t="str">
            <v>HPCL</v>
          </cell>
          <cell r="G877" t="str">
            <v>Pimpri Chinchwad RSA</v>
          </cell>
          <cell r="J877" t="str">
            <v>Alandi</v>
          </cell>
          <cell r="K877" t="str">
            <v>Pune</v>
          </cell>
          <cell r="L877" t="str">
            <v>A</v>
          </cell>
          <cell r="O877" t="str">
            <v>B</v>
          </cell>
        </row>
        <row r="878">
          <cell r="C878">
            <v>41050383</v>
          </cell>
          <cell r="D878" t="str">
            <v>PRITHVIRAJ PETROLEUM</v>
          </cell>
          <cell r="E878" t="str">
            <v>HPCL</v>
          </cell>
          <cell r="G878" t="str">
            <v>Pune Tathawade RSA</v>
          </cell>
          <cell r="J878" t="str">
            <v>BHOR Town</v>
          </cell>
          <cell r="K878" t="str">
            <v>Pune</v>
          </cell>
          <cell r="L878" t="str">
            <v>C</v>
          </cell>
          <cell r="O878" t="str">
            <v>A</v>
          </cell>
        </row>
        <row r="879">
          <cell r="C879">
            <v>41050384</v>
          </cell>
          <cell r="D879" t="str">
            <v>MAYURESHWAR SERVICE STATION</v>
          </cell>
          <cell r="E879" t="str">
            <v>HPCL</v>
          </cell>
          <cell r="G879" t="str">
            <v>Pune Tathawade RSA</v>
          </cell>
          <cell r="J879" t="str">
            <v>SUPE BARAMATI</v>
          </cell>
          <cell r="K879" t="str">
            <v>Pune</v>
          </cell>
          <cell r="L879" t="str">
            <v>D1</v>
          </cell>
          <cell r="M879" t="str">
            <v>NH-965D</v>
          </cell>
          <cell r="O879" t="str">
            <v>B</v>
          </cell>
        </row>
        <row r="880">
          <cell r="C880">
            <v>41050385</v>
          </cell>
          <cell r="D880" t="str">
            <v>OMSHIV PETROLEUM</v>
          </cell>
          <cell r="E880" t="str">
            <v>HPCL</v>
          </cell>
          <cell r="G880" t="str">
            <v>Pune Hadapsar RSA</v>
          </cell>
          <cell r="J880" t="str">
            <v>Varvand LHS</v>
          </cell>
          <cell r="K880" t="str">
            <v>Pune</v>
          </cell>
          <cell r="L880" t="str">
            <v>D1</v>
          </cell>
          <cell r="M880" t="str">
            <v>NH-65</v>
          </cell>
          <cell r="O880" t="str">
            <v>A</v>
          </cell>
        </row>
        <row r="881">
          <cell r="C881">
            <v>41050386</v>
          </cell>
          <cell r="D881" t="str">
            <v>SAMARTH SERVICE STATION</v>
          </cell>
          <cell r="E881" t="str">
            <v>HPCL</v>
          </cell>
          <cell r="G881" t="str">
            <v>Pune City RSA</v>
          </cell>
          <cell r="J881" t="str">
            <v>HINJEWADI</v>
          </cell>
          <cell r="K881" t="str">
            <v>Pune</v>
          </cell>
          <cell r="L881" t="str">
            <v>A</v>
          </cell>
          <cell r="O881" t="str">
            <v>B</v>
          </cell>
        </row>
        <row r="882">
          <cell r="C882">
            <v>41050390</v>
          </cell>
          <cell r="D882" t="str">
            <v>SAI EXPRESSWAY SERVICE</v>
          </cell>
          <cell r="E882" t="str">
            <v>HPCL</v>
          </cell>
          <cell r="G882" t="str">
            <v>Pune Tathawade RSA</v>
          </cell>
          <cell r="J882" t="str">
            <v>BALEWADI TO DEHU ROAD</v>
          </cell>
          <cell r="K882" t="str">
            <v>Pune</v>
          </cell>
          <cell r="L882" t="str">
            <v>A</v>
          </cell>
          <cell r="M882" t="str">
            <v>NH-48</v>
          </cell>
          <cell r="O882" t="str">
            <v>A</v>
          </cell>
        </row>
        <row r="883">
          <cell r="C883">
            <v>41050391</v>
          </cell>
          <cell r="D883" t="str">
            <v>SHRI JAGDAMBA PETROLEUM</v>
          </cell>
          <cell r="E883" t="str">
            <v>HPCL</v>
          </cell>
          <cell r="G883" t="str">
            <v>Satara West RSA</v>
          </cell>
          <cell r="J883" t="str">
            <v>Nandgaon to Ghogaon</v>
          </cell>
          <cell r="K883" t="str">
            <v>Satara</v>
          </cell>
          <cell r="L883" t="str">
            <v>D2</v>
          </cell>
          <cell r="O883" t="str">
            <v>A</v>
          </cell>
        </row>
        <row r="884">
          <cell r="C884">
            <v>41050393</v>
          </cell>
          <cell r="D884" t="str">
            <v>SHRI. SAPTASHRUNGI PETROLEUM</v>
          </cell>
          <cell r="E884" t="str">
            <v>HPCL</v>
          </cell>
          <cell r="G884" t="str">
            <v>Pune Wagholi RSA</v>
          </cell>
          <cell r="J884" t="str">
            <v>Sitewadi</v>
          </cell>
          <cell r="K884" t="str">
            <v>Pune</v>
          </cell>
          <cell r="L884" t="str">
            <v>D1</v>
          </cell>
          <cell r="M884" t="str">
            <v>NH-61</v>
          </cell>
          <cell r="O884" t="str">
            <v>A</v>
          </cell>
        </row>
        <row r="885">
          <cell r="C885">
            <v>41050395</v>
          </cell>
          <cell r="D885" t="str">
            <v>JAGTAP PETROLEUM</v>
          </cell>
          <cell r="E885" t="str">
            <v>HPCL</v>
          </cell>
          <cell r="F885" t="str">
            <v>2013-14</v>
          </cell>
          <cell r="G885" t="str">
            <v>Pimpri Chinchwad RSA</v>
          </cell>
          <cell r="J885" t="str">
            <v xml:space="preserve">Sablewadi to shikhrapur </v>
          </cell>
          <cell r="K885" t="str">
            <v>Pune</v>
          </cell>
          <cell r="L885" t="str">
            <v>D1</v>
          </cell>
          <cell r="M885" t="str">
            <v>NH-548D</v>
          </cell>
          <cell r="O885" t="str">
            <v>A</v>
          </cell>
        </row>
        <row r="886">
          <cell r="C886">
            <v>41050399</v>
          </cell>
          <cell r="D886" t="str">
            <v>S R ZAGADE PETROLEUM</v>
          </cell>
          <cell r="E886" t="str">
            <v>HPCL</v>
          </cell>
          <cell r="F886" t="str">
            <v>2014-15</v>
          </cell>
          <cell r="G886" t="str">
            <v>Pune Tathawade RSA</v>
          </cell>
          <cell r="J886" t="str">
            <v>BARAMATI TOWN ON UNDEWADI ROAD</v>
          </cell>
          <cell r="K886" t="str">
            <v>Pune</v>
          </cell>
          <cell r="L886" t="str">
            <v>D1</v>
          </cell>
          <cell r="M886" t="str">
            <v>NH-160</v>
          </cell>
          <cell r="O886" t="str">
            <v>A</v>
          </cell>
        </row>
        <row r="887">
          <cell r="C887">
            <v>41050401</v>
          </cell>
          <cell r="D887" t="str">
            <v>NRUSINHA PETROLEUM</v>
          </cell>
          <cell r="E887" t="str">
            <v>HPCL</v>
          </cell>
          <cell r="F887" t="str">
            <v>2015-16</v>
          </cell>
          <cell r="G887" t="str">
            <v>Pune City RSA</v>
          </cell>
          <cell r="J887" t="str">
            <v>RAVET</v>
          </cell>
          <cell r="K887" t="str">
            <v>Pune</v>
          </cell>
          <cell r="L887" t="str">
            <v>A</v>
          </cell>
          <cell r="O887" t="str">
            <v>B</v>
          </cell>
        </row>
        <row r="888">
          <cell r="C888">
            <v>41050402</v>
          </cell>
          <cell r="D888" t="str">
            <v>RAHUL PETROLEUM</v>
          </cell>
          <cell r="E888" t="str">
            <v>HPCL</v>
          </cell>
          <cell r="F888" t="str">
            <v>2015-16</v>
          </cell>
          <cell r="G888" t="str">
            <v>Pimpri Chinchwad RSA</v>
          </cell>
          <cell r="J888" t="str">
            <v>Rajgurunagar Town</v>
          </cell>
          <cell r="K888" t="str">
            <v>Pune</v>
          </cell>
          <cell r="L888" t="str">
            <v>C</v>
          </cell>
          <cell r="O888" t="str">
            <v>A</v>
          </cell>
        </row>
        <row r="889">
          <cell r="C889">
            <v>41050410</v>
          </cell>
          <cell r="D889" t="str">
            <v>Pareira Auto Centre</v>
          </cell>
          <cell r="E889" t="str">
            <v>HPCL</v>
          </cell>
          <cell r="F889" t="str">
            <v>2015-16</v>
          </cell>
          <cell r="G889" t="str">
            <v>Pimpri Chinchwad RSA</v>
          </cell>
          <cell r="J889" t="str">
            <v>Chakan MIDC</v>
          </cell>
          <cell r="K889" t="str">
            <v>Pune</v>
          </cell>
          <cell r="L889" t="str">
            <v>C</v>
          </cell>
          <cell r="O889" t="str">
            <v>B</v>
          </cell>
        </row>
        <row r="890">
          <cell r="C890">
            <v>41050411</v>
          </cell>
          <cell r="D890" t="str">
            <v>Jai Tulajabhavani Petroleum</v>
          </cell>
          <cell r="E890" t="str">
            <v>HPCL</v>
          </cell>
          <cell r="F890" t="str">
            <v>2015-16</v>
          </cell>
          <cell r="G890" t="str">
            <v>Pimpri Chinchwad RSA</v>
          </cell>
          <cell r="J890" t="str">
            <v>Karanjvihire</v>
          </cell>
          <cell r="K890" t="str">
            <v>Pune</v>
          </cell>
          <cell r="L890" t="str">
            <v>E</v>
          </cell>
          <cell r="O890" t="str">
            <v>B</v>
          </cell>
        </row>
        <row r="891">
          <cell r="C891">
            <v>41050412</v>
          </cell>
          <cell r="D891" t="str">
            <v>PALANGE PETROLEUM</v>
          </cell>
          <cell r="E891" t="str">
            <v>HPCL</v>
          </cell>
          <cell r="F891" t="str">
            <v>2015-16</v>
          </cell>
          <cell r="G891" t="str">
            <v>Pune Tathawade RSA</v>
          </cell>
          <cell r="J891" t="str">
            <v>BARAMATI MIDC</v>
          </cell>
          <cell r="K891" t="str">
            <v>Pune</v>
          </cell>
          <cell r="L891" t="str">
            <v>D1</v>
          </cell>
          <cell r="M891" t="str">
            <v>NH-965G</v>
          </cell>
          <cell r="O891" t="str">
            <v>A</v>
          </cell>
        </row>
        <row r="892">
          <cell r="C892">
            <v>41050415</v>
          </cell>
          <cell r="D892" t="str">
            <v>Sujata Petroleum</v>
          </cell>
          <cell r="E892" t="str">
            <v>HPCL</v>
          </cell>
          <cell r="F892" t="str">
            <v>2015-16</v>
          </cell>
          <cell r="G892" t="str">
            <v>Pune Saswad RSA</v>
          </cell>
          <cell r="J892" t="str">
            <v>badalwadi</v>
          </cell>
          <cell r="K892" t="str">
            <v>Pune</v>
          </cell>
          <cell r="L892" t="str">
            <v>D1</v>
          </cell>
          <cell r="M892" t="str">
            <v>NH-65</v>
          </cell>
          <cell r="O892" t="str">
            <v>B</v>
          </cell>
        </row>
        <row r="893">
          <cell r="C893">
            <v>41050416</v>
          </cell>
          <cell r="D893" t="str">
            <v>New Panchali Petroleum</v>
          </cell>
          <cell r="E893" t="str">
            <v>HPCL</v>
          </cell>
          <cell r="F893" t="str">
            <v>2015-16</v>
          </cell>
          <cell r="G893" t="str">
            <v>Satara West RSA</v>
          </cell>
          <cell r="J893" t="str">
            <v>KARAD TO KASHIL</v>
          </cell>
          <cell r="K893" t="str">
            <v>Satara</v>
          </cell>
          <cell r="L893" t="str">
            <v>D1</v>
          </cell>
          <cell r="M893" t="str">
            <v>NH-48</v>
          </cell>
          <cell r="O893" t="str">
            <v>A</v>
          </cell>
        </row>
        <row r="894">
          <cell r="C894">
            <v>41050417</v>
          </cell>
          <cell r="D894" t="str">
            <v>SSB Petroleum</v>
          </cell>
          <cell r="E894" t="str">
            <v>HPCL</v>
          </cell>
          <cell r="F894" t="str">
            <v>2015-16</v>
          </cell>
          <cell r="G894" t="str">
            <v>Satara West RSA</v>
          </cell>
          <cell r="J894" t="str">
            <v>Bhuinj to Khandala</v>
          </cell>
          <cell r="K894" t="str">
            <v>Satara</v>
          </cell>
          <cell r="L894" t="str">
            <v>D1</v>
          </cell>
          <cell r="M894" t="str">
            <v>NH-48</v>
          </cell>
          <cell r="O894" t="str">
            <v>A</v>
          </cell>
        </row>
        <row r="895">
          <cell r="C895">
            <v>41050419</v>
          </cell>
          <cell r="D895" t="str">
            <v>Siddhivinayak Petroleum</v>
          </cell>
          <cell r="E895" t="str">
            <v>HPCL</v>
          </cell>
          <cell r="F895" t="str">
            <v>2015-16</v>
          </cell>
          <cell r="G895" t="str">
            <v>Pune Wagholi RSA</v>
          </cell>
          <cell r="J895" t="str">
            <v>Nhawra Village SH</v>
          </cell>
          <cell r="K895" t="str">
            <v>Pune</v>
          </cell>
          <cell r="L895" t="str">
            <v>D2</v>
          </cell>
          <cell r="O895" t="str">
            <v>A</v>
          </cell>
        </row>
        <row r="896">
          <cell r="C896">
            <v>41050421</v>
          </cell>
          <cell r="D896" t="str">
            <v>BHAIRAVNATH PETROLEUM</v>
          </cell>
          <cell r="E896" t="str">
            <v>HPCL</v>
          </cell>
          <cell r="F896" t="str">
            <v>2015-16</v>
          </cell>
          <cell r="G896" t="str">
            <v>Pune Tathawade RSA</v>
          </cell>
          <cell r="J896" t="str">
            <v>MORGAON-BARAMATI RD</v>
          </cell>
          <cell r="K896" t="str">
            <v>Pune</v>
          </cell>
          <cell r="L896" t="str">
            <v>D2</v>
          </cell>
          <cell r="O896" t="str">
            <v>A</v>
          </cell>
        </row>
        <row r="897">
          <cell r="C897">
            <v>41050422</v>
          </cell>
          <cell r="D897" t="str">
            <v>SHIVSHANKAR PETROLEUM</v>
          </cell>
          <cell r="E897" t="str">
            <v>HPCL</v>
          </cell>
          <cell r="F897" t="str">
            <v>2016-17</v>
          </cell>
          <cell r="G897" t="str">
            <v>Satara East RSA</v>
          </cell>
          <cell r="J897" t="str">
            <v>Lonand</v>
          </cell>
          <cell r="K897" t="str">
            <v>Satara</v>
          </cell>
          <cell r="L897" t="str">
            <v>D1</v>
          </cell>
          <cell r="M897" t="str">
            <v>NH-965D</v>
          </cell>
          <cell r="O897" t="str">
            <v>A</v>
          </cell>
        </row>
        <row r="898">
          <cell r="C898">
            <v>41050424</v>
          </cell>
          <cell r="D898" t="str">
            <v>Jogeshwari Kalbhairavnath Petroleum</v>
          </cell>
          <cell r="E898" t="str">
            <v>HPCL</v>
          </cell>
          <cell r="F898" t="str">
            <v>2015-16</v>
          </cell>
          <cell r="G898" t="str">
            <v>Pune Tathawade RSA</v>
          </cell>
          <cell r="J898" t="str">
            <v>MORGAON-BARAMATI RD</v>
          </cell>
          <cell r="K898" t="str">
            <v>Pune</v>
          </cell>
          <cell r="L898" t="str">
            <v>D2</v>
          </cell>
          <cell r="O898" t="str">
            <v>B</v>
          </cell>
        </row>
        <row r="899">
          <cell r="C899">
            <v>41050439</v>
          </cell>
          <cell r="D899" t="str">
            <v xml:space="preserve">SUBHADRA PETROLEUM </v>
          </cell>
          <cell r="E899" t="str">
            <v>HPCL</v>
          </cell>
          <cell r="G899" t="str">
            <v>Satara West RSA</v>
          </cell>
          <cell r="J899" t="str">
            <v>Wele to Bhuinj</v>
          </cell>
          <cell r="K899" t="str">
            <v>Satara</v>
          </cell>
          <cell r="L899" t="str">
            <v>D1</v>
          </cell>
          <cell r="M899" t="str">
            <v>NH-48</v>
          </cell>
          <cell r="O899" t="str">
            <v>B</v>
          </cell>
        </row>
        <row r="900">
          <cell r="C900">
            <v>41050450</v>
          </cell>
          <cell r="D900" t="str">
            <v xml:space="preserve">Saikrishna </v>
          </cell>
          <cell r="E900" t="str">
            <v>HPCL</v>
          </cell>
          <cell r="G900" t="str">
            <v>Shirdi RSA</v>
          </cell>
          <cell r="J900" t="str">
            <v>ASTAGAON</v>
          </cell>
          <cell r="K900" t="str">
            <v>Ahmednagar</v>
          </cell>
          <cell r="L900" t="str">
            <v>D1</v>
          </cell>
          <cell r="M900" t="str">
            <v>NH-160</v>
          </cell>
          <cell r="O900" t="str">
            <v>A</v>
          </cell>
        </row>
        <row r="901">
          <cell r="C901">
            <v>41050484</v>
          </cell>
          <cell r="D901" t="str">
            <v>S K AUTO CARE</v>
          </cell>
          <cell r="E901" t="str">
            <v>HPCL</v>
          </cell>
          <cell r="G901" t="str">
            <v>Pune City RSA</v>
          </cell>
          <cell r="J901" t="str">
            <v>KATRAJ KONDHWA ROAD</v>
          </cell>
          <cell r="K901" t="str">
            <v>Pune</v>
          </cell>
          <cell r="L901" t="str">
            <v>A</v>
          </cell>
          <cell r="O901" t="str">
            <v>A</v>
          </cell>
        </row>
        <row r="902">
          <cell r="C902">
            <v>41050501</v>
          </cell>
          <cell r="D902" t="str">
            <v>S.B.DHASAL PETROLEUM</v>
          </cell>
          <cell r="E902" t="str">
            <v>HPCL</v>
          </cell>
          <cell r="F902" t="str">
            <v>2014-15</v>
          </cell>
          <cell r="G902" t="str">
            <v>Shirdi RSA</v>
          </cell>
          <cell r="J902" t="str">
            <v>RAHURI NH</v>
          </cell>
          <cell r="K902" t="str">
            <v>Ahmednagar</v>
          </cell>
          <cell r="L902" t="str">
            <v>D1</v>
          </cell>
          <cell r="M902" t="str">
            <v>NH-160</v>
          </cell>
          <cell r="O902" t="str">
            <v>B</v>
          </cell>
        </row>
        <row r="903">
          <cell r="C903">
            <v>41050503</v>
          </cell>
          <cell r="D903" t="str">
            <v>Siddhivinayak Petroleum</v>
          </cell>
          <cell r="E903" t="str">
            <v>HPCL</v>
          </cell>
          <cell r="F903" t="str">
            <v>2014-15</v>
          </cell>
          <cell r="G903" t="str">
            <v>Ahmednagar West RSA</v>
          </cell>
          <cell r="J903" t="str">
            <v>SIDDHITEK</v>
          </cell>
          <cell r="K903" t="str">
            <v>Ahmednagar</v>
          </cell>
          <cell r="L903" t="str">
            <v>E</v>
          </cell>
          <cell r="O903" t="str">
            <v>A</v>
          </cell>
        </row>
        <row r="904">
          <cell r="C904">
            <v>41050559</v>
          </cell>
          <cell r="D904" t="str">
            <v>Shri  Nageshwar High.Services</v>
          </cell>
          <cell r="E904" t="str">
            <v>HPCL</v>
          </cell>
          <cell r="G904" t="str">
            <v>Ahmednagar West RSA</v>
          </cell>
          <cell r="J904" t="str">
            <v>Bhalawani</v>
          </cell>
          <cell r="K904" t="str">
            <v>Ahmednagar</v>
          </cell>
          <cell r="L904" t="str">
            <v>D1</v>
          </cell>
          <cell r="M904" t="str">
            <v>NH-61</v>
          </cell>
          <cell r="O904" t="str">
            <v>A</v>
          </cell>
        </row>
        <row r="905">
          <cell r="C905">
            <v>41050709</v>
          </cell>
          <cell r="D905" t="str">
            <v>Shivneri Petroleum</v>
          </cell>
          <cell r="E905" t="str">
            <v>HPCL</v>
          </cell>
          <cell r="F905" t="str">
            <v>2013-14</v>
          </cell>
          <cell r="G905" t="str">
            <v>Ahmednagar West RSA</v>
          </cell>
          <cell r="J905" t="str">
            <v>LONI VYNKNATH-KASHTI (NH)</v>
          </cell>
          <cell r="K905" t="str">
            <v>Ahmednagar</v>
          </cell>
          <cell r="L905" t="str">
            <v>D1</v>
          </cell>
          <cell r="M905" t="str">
            <v>NH-160</v>
          </cell>
          <cell r="O905" t="str">
            <v>A</v>
          </cell>
        </row>
        <row r="906">
          <cell r="C906">
            <v>41050878</v>
          </cell>
          <cell r="D906" t="str">
            <v>SHEETAL PETROLEUM</v>
          </cell>
          <cell r="E906" t="str">
            <v>HPCL</v>
          </cell>
          <cell r="G906" t="str">
            <v>Pune City RSA</v>
          </cell>
          <cell r="J906" t="str">
            <v>KONDHWA</v>
          </cell>
          <cell r="K906" t="str">
            <v>Pune</v>
          </cell>
          <cell r="L906" t="str">
            <v>A</v>
          </cell>
          <cell r="O906" t="str">
            <v>A</v>
          </cell>
        </row>
        <row r="907">
          <cell r="C907">
            <v>41050901</v>
          </cell>
          <cell r="D907" t="str">
            <v xml:space="preserve">Yash Petroleum </v>
          </cell>
          <cell r="E907" t="str">
            <v>HPCL</v>
          </cell>
          <cell r="F907" t="str">
            <v>2013-14</v>
          </cell>
          <cell r="G907" t="str">
            <v>Ahmednagar East RSA</v>
          </cell>
          <cell r="J907" t="str">
            <v>Sonai</v>
          </cell>
          <cell r="K907" t="str">
            <v>Ahmednagar</v>
          </cell>
          <cell r="L907" t="str">
            <v>D1</v>
          </cell>
          <cell r="M907" t="str">
            <v>NH-160C</v>
          </cell>
          <cell r="O907" t="str">
            <v>A</v>
          </cell>
        </row>
        <row r="908">
          <cell r="C908">
            <v>41051147</v>
          </cell>
          <cell r="D908" t="str">
            <v>Shri Sai  Auto Service</v>
          </cell>
          <cell r="E908" t="str">
            <v>HPCL</v>
          </cell>
          <cell r="G908" t="str">
            <v>Ahmednagar West RSA</v>
          </cell>
          <cell r="J908" t="str">
            <v>JAMKHED-NAGAR RD</v>
          </cell>
          <cell r="K908" t="str">
            <v>Ahmednagar</v>
          </cell>
          <cell r="L908" t="str">
            <v>D2</v>
          </cell>
          <cell r="O908" t="str">
            <v>A</v>
          </cell>
        </row>
        <row r="909">
          <cell r="C909">
            <v>41051173</v>
          </cell>
          <cell r="D909" t="str">
            <v>Vaibhav Petroleum(12579040)</v>
          </cell>
          <cell r="E909" t="str">
            <v>HPCL</v>
          </cell>
          <cell r="F909" t="str">
            <v>2012-13</v>
          </cell>
          <cell r="G909" t="str">
            <v>Ahmednagar West RSA</v>
          </cell>
          <cell r="J909" t="str">
            <v>Pargaon Sudrik</v>
          </cell>
          <cell r="K909" t="str">
            <v>Ahmednagar</v>
          </cell>
          <cell r="L909" t="str">
            <v>D2</v>
          </cell>
          <cell r="O909" t="str">
            <v>A</v>
          </cell>
        </row>
        <row r="910">
          <cell r="C910">
            <v>41051197</v>
          </cell>
          <cell r="D910" t="str">
            <v>S.D.YELURE &amp; CO.</v>
          </cell>
          <cell r="E910" t="str">
            <v>HPCL</v>
          </cell>
          <cell r="G910" t="str">
            <v>Pune Hadapsar RSA</v>
          </cell>
          <cell r="J910" t="str">
            <v>Patas RHS</v>
          </cell>
          <cell r="K910" t="str">
            <v>Pune</v>
          </cell>
          <cell r="L910" t="str">
            <v>D1</v>
          </cell>
          <cell r="M910" t="str">
            <v>NH-65</v>
          </cell>
          <cell r="O910" t="str">
            <v>A</v>
          </cell>
        </row>
        <row r="911">
          <cell r="C911">
            <v>41051209</v>
          </cell>
          <cell r="D911" t="str">
            <v>RAJESH AUTOMOBILES</v>
          </cell>
          <cell r="E911" t="str">
            <v>HPCL</v>
          </cell>
          <cell r="G911" t="str">
            <v>Pune Tathawade RSA</v>
          </cell>
          <cell r="J911" t="str">
            <v>KAPURHOL TO SAROLA</v>
          </cell>
          <cell r="K911" t="str">
            <v>Pune</v>
          </cell>
          <cell r="L911" t="str">
            <v>D1</v>
          </cell>
          <cell r="M911" t="str">
            <v>NH-48</v>
          </cell>
          <cell r="O911" t="str">
            <v>B</v>
          </cell>
        </row>
        <row r="912">
          <cell r="C912">
            <v>41051212</v>
          </cell>
          <cell r="D912" t="str">
            <v>SHREE GANESH AUTO CENTRE</v>
          </cell>
          <cell r="E912" t="str">
            <v>HPCL</v>
          </cell>
          <cell r="G912" t="str">
            <v>Pune Hadapsar RSA</v>
          </cell>
          <cell r="J912" t="str">
            <v>P5_Kesnand</v>
          </cell>
          <cell r="K912" t="str">
            <v>Pune</v>
          </cell>
          <cell r="L912" t="str">
            <v>C</v>
          </cell>
          <cell r="O912" t="str">
            <v>B</v>
          </cell>
        </row>
        <row r="913">
          <cell r="C913">
            <v>41051252</v>
          </cell>
          <cell r="D913" t="str">
            <v>AUTOMOTIVE  SERVICES(11310020)</v>
          </cell>
          <cell r="E913" t="str">
            <v>HPCL</v>
          </cell>
          <cell r="G913" t="str">
            <v>Satara West RSA</v>
          </cell>
          <cell r="J913" t="str">
            <v>Satara to Mahagaon</v>
          </cell>
          <cell r="K913" t="str">
            <v>Satara</v>
          </cell>
          <cell r="L913" t="str">
            <v>D1</v>
          </cell>
          <cell r="M913" t="str">
            <v>NH-548C</v>
          </cell>
          <cell r="O913" t="str">
            <v>B</v>
          </cell>
        </row>
        <row r="914">
          <cell r="C914">
            <v>41051262</v>
          </cell>
          <cell r="D914" t="str">
            <v>Dnyaneshwar K S K</v>
          </cell>
          <cell r="E914" t="str">
            <v>HPCL</v>
          </cell>
          <cell r="G914" t="str">
            <v>Ahmednagar East RSA</v>
          </cell>
          <cell r="J914" t="str">
            <v>Khadka Phata</v>
          </cell>
          <cell r="K914" t="str">
            <v>Ahmednagar</v>
          </cell>
          <cell r="L914" t="str">
            <v>D1</v>
          </cell>
          <cell r="M914" t="str">
            <v>NH-753F</v>
          </cell>
          <cell r="O914" t="str">
            <v>A</v>
          </cell>
        </row>
        <row r="915">
          <cell r="C915">
            <v>41051290</v>
          </cell>
          <cell r="D915" t="str">
            <v>RENUKA PETROLEUM</v>
          </cell>
          <cell r="E915" t="str">
            <v>HPCL</v>
          </cell>
          <cell r="G915" t="str">
            <v>Ahmednagar West RSA</v>
          </cell>
          <cell r="J915" t="str">
            <v>KHARDA</v>
          </cell>
          <cell r="K915" t="str">
            <v>Ahmednagar</v>
          </cell>
          <cell r="L915" t="str">
            <v>D2</v>
          </cell>
          <cell r="O915" t="str">
            <v>A</v>
          </cell>
        </row>
        <row r="916">
          <cell r="C916">
            <v>41051516</v>
          </cell>
          <cell r="D916" t="str">
            <v>Panchratna Petroleum</v>
          </cell>
          <cell r="E916" t="str">
            <v>HPCL</v>
          </cell>
          <cell r="F916" t="str">
            <v>2012-13</v>
          </cell>
          <cell r="G916" t="str">
            <v>Ahmednagar West RSA</v>
          </cell>
          <cell r="J916" t="str">
            <v>Khed</v>
          </cell>
          <cell r="K916" t="str">
            <v>Ahmednagar</v>
          </cell>
          <cell r="L916" t="str">
            <v>D2</v>
          </cell>
          <cell r="O916" t="str">
            <v>A</v>
          </cell>
        </row>
        <row r="917">
          <cell r="C917">
            <v>41051605</v>
          </cell>
          <cell r="D917" t="str">
            <v>SONAJ PETROLEUM</v>
          </cell>
          <cell r="E917" t="str">
            <v>HPCL</v>
          </cell>
          <cell r="G917" t="str">
            <v>Pune Saswad RSA</v>
          </cell>
          <cell r="J917" t="str">
            <v>BHIGWAN</v>
          </cell>
          <cell r="K917" t="str">
            <v>Pune</v>
          </cell>
          <cell r="L917" t="str">
            <v>D1</v>
          </cell>
          <cell r="M917" t="str">
            <v>NH-65</v>
          </cell>
          <cell r="O917" t="str">
            <v>B</v>
          </cell>
        </row>
        <row r="918">
          <cell r="C918">
            <v>41051654</v>
          </cell>
          <cell r="D918" t="str">
            <v>VIKAS PETROLEUM</v>
          </cell>
          <cell r="E918" t="str">
            <v>HPCL</v>
          </cell>
          <cell r="G918" t="str">
            <v>Pune Hadapsar RSA</v>
          </cell>
          <cell r="J918" t="str">
            <v>Hadapsar RHS</v>
          </cell>
          <cell r="K918" t="str">
            <v>Pune</v>
          </cell>
          <cell r="L918" t="str">
            <v>A</v>
          </cell>
          <cell r="O918" t="str">
            <v>A</v>
          </cell>
        </row>
        <row r="919">
          <cell r="C919">
            <v>41051674</v>
          </cell>
          <cell r="D919" t="str">
            <v>SARAJA PETROLEUM</v>
          </cell>
          <cell r="E919" t="str">
            <v>HPCL</v>
          </cell>
          <cell r="F919" t="str">
            <v>2012-13</v>
          </cell>
          <cell r="G919" t="str">
            <v>Shirdi RSA</v>
          </cell>
          <cell r="J919" t="str">
            <v>MAMDAPUR</v>
          </cell>
          <cell r="K919" t="str">
            <v>Ahmednagar</v>
          </cell>
          <cell r="L919" t="str">
            <v>D2</v>
          </cell>
          <cell r="O919" t="str">
            <v>B</v>
          </cell>
        </row>
        <row r="920">
          <cell r="C920">
            <v>41051676</v>
          </cell>
          <cell r="D920" t="str">
            <v>OM SAI FUELS</v>
          </cell>
          <cell r="E920" t="str">
            <v>HPCL</v>
          </cell>
          <cell r="F920" t="str">
            <v>2012-13</v>
          </cell>
          <cell r="G920" t="str">
            <v>Shirdi RSA</v>
          </cell>
          <cell r="J920" t="str">
            <v>AKOLE</v>
          </cell>
          <cell r="K920" t="str">
            <v>Ahmednagar</v>
          </cell>
          <cell r="L920" t="str">
            <v>D2</v>
          </cell>
          <cell r="O920" t="str">
            <v>B</v>
          </cell>
        </row>
        <row r="921">
          <cell r="C921">
            <v>41051679</v>
          </cell>
          <cell r="D921" t="str">
            <v>D. P. Kale</v>
          </cell>
          <cell r="E921" t="str">
            <v>HPCL</v>
          </cell>
          <cell r="G921" t="str">
            <v>Shirdi RSA</v>
          </cell>
          <cell r="J921" t="str">
            <v>YESGAON</v>
          </cell>
          <cell r="K921" t="str">
            <v>Ahmednagar</v>
          </cell>
          <cell r="L921" t="str">
            <v>D1</v>
          </cell>
          <cell r="M921" t="str">
            <v>NH-752G</v>
          </cell>
          <cell r="O921" t="str">
            <v>A</v>
          </cell>
        </row>
        <row r="922">
          <cell r="C922">
            <v>41051682</v>
          </cell>
          <cell r="D922" t="str">
            <v>KM-DATE-SONAWANE</v>
          </cell>
          <cell r="E922" t="str">
            <v>HPCL</v>
          </cell>
          <cell r="F922" t="str">
            <v>2012-13</v>
          </cell>
          <cell r="G922" t="str">
            <v>Ahmednagar West RSA</v>
          </cell>
          <cell r="J922" t="str">
            <v>JAKHANGAON</v>
          </cell>
          <cell r="K922" t="str">
            <v>Ahmednagar</v>
          </cell>
          <cell r="L922" t="str">
            <v>D1</v>
          </cell>
          <cell r="M922" t="str">
            <v>NH-61</v>
          </cell>
          <cell r="O922" t="str">
            <v>A</v>
          </cell>
        </row>
        <row r="923">
          <cell r="C923">
            <v>41051859</v>
          </cell>
          <cell r="D923" t="str">
            <v>GANGABABA PETROLEUM</v>
          </cell>
          <cell r="E923" t="str">
            <v>HPCL</v>
          </cell>
          <cell r="G923" t="str">
            <v>Ahmednagar West RSA</v>
          </cell>
          <cell r="J923" t="str">
            <v>SHEKTE</v>
          </cell>
          <cell r="K923" t="str">
            <v>Ahmednagar</v>
          </cell>
          <cell r="L923" t="str">
            <v>D1</v>
          </cell>
          <cell r="M923" t="str">
            <v>NH-61</v>
          </cell>
          <cell r="O923" t="str">
            <v>A</v>
          </cell>
        </row>
        <row r="924">
          <cell r="C924">
            <v>41051874</v>
          </cell>
          <cell r="D924" t="str">
            <v>Shri Sai Samarth Petroleum</v>
          </cell>
          <cell r="E924" t="str">
            <v>HPCL</v>
          </cell>
          <cell r="F924" t="str">
            <v>2012-13</v>
          </cell>
          <cell r="G924" t="str">
            <v>Shirdi RSA</v>
          </cell>
          <cell r="J924" t="str">
            <v>KOPARGAON NH</v>
          </cell>
          <cell r="K924" t="str">
            <v>Ahmednagar</v>
          </cell>
          <cell r="L924" t="str">
            <v>D1</v>
          </cell>
          <cell r="M924" t="str">
            <v>NH-752G</v>
          </cell>
          <cell r="O924" t="str">
            <v>B</v>
          </cell>
        </row>
        <row r="925">
          <cell r="C925">
            <v>41051877</v>
          </cell>
          <cell r="D925" t="str">
            <v>Shri Shiv Parvati Petroleum</v>
          </cell>
          <cell r="E925" t="str">
            <v>HPCL</v>
          </cell>
          <cell r="G925" t="str">
            <v>Ahmednagar East RSA</v>
          </cell>
          <cell r="J925" t="str">
            <v>Amrapur</v>
          </cell>
          <cell r="K925" t="str">
            <v>Ahmednagar</v>
          </cell>
          <cell r="L925" t="str">
            <v>D2</v>
          </cell>
          <cell r="O925" t="str">
            <v>B</v>
          </cell>
        </row>
        <row r="926">
          <cell r="C926">
            <v>41051934</v>
          </cell>
          <cell r="D926" t="str">
            <v>SKGS Sai Siddhi Pet</v>
          </cell>
          <cell r="E926" t="str">
            <v>HPCL</v>
          </cell>
          <cell r="F926" t="str">
            <v>2012-13</v>
          </cell>
          <cell r="G926" t="str">
            <v>Shirdi RSA</v>
          </cell>
          <cell r="J926" t="str">
            <v xml:space="preserve">SHIRDI </v>
          </cell>
          <cell r="K926" t="str">
            <v>Ahmednagar</v>
          </cell>
          <cell r="L926" t="str">
            <v>D1</v>
          </cell>
          <cell r="M926" t="str">
            <v>NH-160</v>
          </cell>
          <cell r="O926" t="str">
            <v>A</v>
          </cell>
        </row>
        <row r="927">
          <cell r="C927">
            <v>41051939</v>
          </cell>
          <cell r="D927" t="str">
            <v>HIRA PETROLEUM</v>
          </cell>
          <cell r="E927" t="str">
            <v>HPCL</v>
          </cell>
          <cell r="F927" t="str">
            <v>2012-13</v>
          </cell>
          <cell r="G927" t="str">
            <v>Ahmednagar East RSA</v>
          </cell>
          <cell r="J927" t="str">
            <v>Khadka Phata</v>
          </cell>
          <cell r="K927" t="str">
            <v>Ahmednagar</v>
          </cell>
          <cell r="L927" t="str">
            <v>D1</v>
          </cell>
          <cell r="M927" t="str">
            <v>NH-753F</v>
          </cell>
          <cell r="O927" t="str">
            <v>A</v>
          </cell>
        </row>
        <row r="928">
          <cell r="C928">
            <v>41051949</v>
          </cell>
          <cell r="D928" t="str">
            <v>OM SAI PETROLEUM</v>
          </cell>
          <cell r="E928" t="str">
            <v>HPCL</v>
          </cell>
          <cell r="F928" t="str">
            <v>2012-13</v>
          </cell>
          <cell r="G928" t="str">
            <v>Pune City RSA</v>
          </cell>
          <cell r="J928" t="str">
            <v>GHOTAWADE</v>
          </cell>
          <cell r="K928" t="str">
            <v>Pune</v>
          </cell>
          <cell r="L928" t="str">
            <v>D2</v>
          </cell>
          <cell r="O928" t="str">
            <v>A</v>
          </cell>
        </row>
        <row r="929">
          <cell r="C929">
            <v>41051951</v>
          </cell>
          <cell r="D929" t="str">
            <v>KRUSHNAMAI PETROLEUM</v>
          </cell>
          <cell r="E929" t="str">
            <v>HPCL</v>
          </cell>
          <cell r="F929" t="str">
            <v>2012-13</v>
          </cell>
          <cell r="G929" t="str">
            <v>Pune Hadapsar RSA</v>
          </cell>
          <cell r="J929" t="str">
            <v>Pimpri Sandaz</v>
          </cell>
          <cell r="K929" t="str">
            <v>Pune</v>
          </cell>
          <cell r="L929" t="str">
            <v>D2</v>
          </cell>
          <cell r="O929" t="str">
            <v>A</v>
          </cell>
        </row>
        <row r="930">
          <cell r="C930">
            <v>41051954</v>
          </cell>
          <cell r="D930" t="str">
            <v>BARGE PETROLEUM</v>
          </cell>
          <cell r="E930" t="str">
            <v>HPCL</v>
          </cell>
          <cell r="F930" t="str">
            <v>2012-13</v>
          </cell>
          <cell r="G930" t="str">
            <v>Pune Tathawade RSA</v>
          </cell>
          <cell r="J930" t="str">
            <v>BARAMATI ON PHALTAN ROAD</v>
          </cell>
          <cell r="K930" t="str">
            <v>Pune</v>
          </cell>
          <cell r="L930" t="str">
            <v>D1</v>
          </cell>
          <cell r="M930" t="str">
            <v>NH-160</v>
          </cell>
          <cell r="O930" t="str">
            <v>A</v>
          </cell>
        </row>
        <row r="931">
          <cell r="C931">
            <v>41051963</v>
          </cell>
          <cell r="D931" t="str">
            <v>Maitreya Petroleum</v>
          </cell>
          <cell r="E931" t="str">
            <v>HPCL</v>
          </cell>
          <cell r="F931" t="str">
            <v>2012-13</v>
          </cell>
          <cell r="G931" t="str">
            <v>Pune Wagholi RSA</v>
          </cell>
          <cell r="J931" t="str">
            <v>Ranjangaon to Shirur RHS</v>
          </cell>
          <cell r="K931" t="str">
            <v>Pune</v>
          </cell>
          <cell r="L931" t="str">
            <v>D1</v>
          </cell>
          <cell r="M931" t="str">
            <v>NH-753F</v>
          </cell>
          <cell r="O931" t="str">
            <v>A</v>
          </cell>
        </row>
        <row r="932">
          <cell r="C932">
            <v>41051967</v>
          </cell>
          <cell r="D932" t="str">
            <v>Ashtavinayak Hamara Pump</v>
          </cell>
          <cell r="E932" t="str">
            <v>HPCL</v>
          </cell>
          <cell r="F932" t="str">
            <v>2012-13</v>
          </cell>
          <cell r="G932" t="str">
            <v>Pune Wagholi RSA</v>
          </cell>
          <cell r="J932" t="str">
            <v>Manjrewadi</v>
          </cell>
          <cell r="K932" t="str">
            <v>Pune</v>
          </cell>
          <cell r="L932" t="str">
            <v>D2</v>
          </cell>
          <cell r="O932" t="str">
            <v>B</v>
          </cell>
        </row>
        <row r="933">
          <cell r="C933">
            <v>41051971</v>
          </cell>
          <cell r="D933" t="str">
            <v>VITTAI PETROLEUM</v>
          </cell>
          <cell r="E933" t="str">
            <v>HPCL</v>
          </cell>
          <cell r="G933" t="str">
            <v>Pune Wagholi RSA</v>
          </cell>
          <cell r="J933" t="str">
            <v>LONIKAND to KOREGAON BHIMA LHS</v>
          </cell>
          <cell r="K933" t="str">
            <v>Pune</v>
          </cell>
          <cell r="L933" t="str">
            <v>D1</v>
          </cell>
          <cell r="M933" t="str">
            <v>NH-753F</v>
          </cell>
          <cell r="O933" t="str">
            <v>A</v>
          </cell>
        </row>
        <row r="934">
          <cell r="C934">
            <v>41051973</v>
          </cell>
          <cell r="D934" t="str">
            <v>SAIEE PETROLEUM</v>
          </cell>
          <cell r="E934" t="str">
            <v>HPCL</v>
          </cell>
          <cell r="F934" t="str">
            <v>2012-13</v>
          </cell>
          <cell r="G934" t="str">
            <v>Pimpri Chinchwad RSA</v>
          </cell>
          <cell r="J934" t="str">
            <v>Talegaon MIDC</v>
          </cell>
          <cell r="K934" t="str">
            <v>Pune</v>
          </cell>
          <cell r="L934" t="str">
            <v>C</v>
          </cell>
          <cell r="O934" t="str">
            <v>B</v>
          </cell>
        </row>
        <row r="935">
          <cell r="C935">
            <v>41051980</v>
          </cell>
          <cell r="D935" t="str">
            <v xml:space="preserve">SHIVNERI </v>
          </cell>
          <cell r="E935" t="str">
            <v>HPCL</v>
          </cell>
          <cell r="F935" t="str">
            <v>2012-13</v>
          </cell>
          <cell r="G935" t="str">
            <v>Pune Wagholi RSA</v>
          </cell>
          <cell r="J935" t="str">
            <v>Alephata to Ottur</v>
          </cell>
          <cell r="K935" t="str">
            <v>Pune</v>
          </cell>
          <cell r="L935" t="str">
            <v>D1</v>
          </cell>
          <cell r="M935" t="str">
            <v>NH-61</v>
          </cell>
          <cell r="O935" t="str">
            <v>A</v>
          </cell>
        </row>
        <row r="936">
          <cell r="C936">
            <v>41051982</v>
          </cell>
          <cell r="D936" t="str">
            <v>VISHNU PARVATI PETROLEUM</v>
          </cell>
          <cell r="E936" t="str">
            <v>HPCL</v>
          </cell>
          <cell r="F936" t="str">
            <v>2012-13</v>
          </cell>
          <cell r="G936" t="str">
            <v>Pune City RSA</v>
          </cell>
          <cell r="J936" t="str">
            <v>LOHAGAON WAGHOLI ROAD</v>
          </cell>
          <cell r="K936" t="str">
            <v>Pune</v>
          </cell>
          <cell r="L936" t="str">
            <v>A</v>
          </cell>
          <cell r="O936" t="str">
            <v>A</v>
          </cell>
        </row>
        <row r="937">
          <cell r="C937">
            <v>41051984</v>
          </cell>
          <cell r="D937" t="str">
            <v>SHIVSURYA PETROLEUM</v>
          </cell>
          <cell r="E937" t="str">
            <v>HPCL</v>
          </cell>
          <cell r="F937" t="str">
            <v>2012-13</v>
          </cell>
          <cell r="G937" t="str">
            <v>Pune Wagholi RSA</v>
          </cell>
          <cell r="J937" t="str">
            <v>Shirur to Malthan</v>
          </cell>
          <cell r="K937" t="str">
            <v>Pune</v>
          </cell>
          <cell r="L937" t="str">
            <v>D2</v>
          </cell>
          <cell r="O937" t="str">
            <v>A</v>
          </cell>
        </row>
        <row r="938">
          <cell r="C938">
            <v>41051994</v>
          </cell>
          <cell r="D938" t="str">
            <v>TCI INDIA LTD</v>
          </cell>
          <cell r="E938" t="str">
            <v>HPCL</v>
          </cell>
          <cell r="G938" t="str">
            <v>Pimpri Chinchwad RSA</v>
          </cell>
          <cell r="J938" t="str">
            <v>Chinchwad</v>
          </cell>
          <cell r="K938" t="str">
            <v>Pune</v>
          </cell>
          <cell r="L938" t="str">
            <v>A</v>
          </cell>
          <cell r="O938" t="str">
            <v>A</v>
          </cell>
        </row>
        <row r="939">
          <cell r="C939">
            <v>41052017</v>
          </cell>
          <cell r="D939" t="str">
            <v>AUTOMOTIVE SERVICES</v>
          </cell>
          <cell r="E939" t="str">
            <v>HPCL</v>
          </cell>
          <cell r="G939" t="str">
            <v>Pune City RSA</v>
          </cell>
          <cell r="J939" t="str">
            <v>WAKAD</v>
          </cell>
          <cell r="K939" t="str">
            <v>Pune</v>
          </cell>
          <cell r="L939" t="str">
            <v>A</v>
          </cell>
          <cell r="O939" t="str">
            <v>A</v>
          </cell>
        </row>
        <row r="940">
          <cell r="C940">
            <v>41052021</v>
          </cell>
          <cell r="D940" t="str">
            <v>CHATURSRINGI SERVICE STATION</v>
          </cell>
          <cell r="E940" t="str">
            <v>HPCL</v>
          </cell>
          <cell r="G940" t="str">
            <v>Pune City RSA</v>
          </cell>
          <cell r="J940" t="str">
            <v>SB ROAD</v>
          </cell>
          <cell r="K940" t="str">
            <v>Pune</v>
          </cell>
          <cell r="L940" t="str">
            <v>A</v>
          </cell>
          <cell r="O940" t="str">
            <v>B</v>
          </cell>
        </row>
        <row r="941">
          <cell r="C941">
            <v>41052024</v>
          </cell>
          <cell r="D941" t="str">
            <v>HIND SERVICES</v>
          </cell>
          <cell r="E941" t="str">
            <v>HPCL</v>
          </cell>
          <cell r="G941" t="str">
            <v>Pune City RSA</v>
          </cell>
          <cell r="J941" t="str">
            <v>SATARA ROAD</v>
          </cell>
          <cell r="K941" t="str">
            <v>Pune</v>
          </cell>
          <cell r="L941" t="str">
            <v>A</v>
          </cell>
          <cell r="O941" t="str">
            <v>B</v>
          </cell>
        </row>
        <row r="942">
          <cell r="C942">
            <v>41052027</v>
          </cell>
          <cell r="D942" t="str">
            <v>ARNAV PETROLEUM</v>
          </cell>
          <cell r="E942" t="str">
            <v>HPCL</v>
          </cell>
          <cell r="F942" t="str">
            <v>2012-13</v>
          </cell>
          <cell r="G942" t="str">
            <v>Pune Wagholi RSA</v>
          </cell>
          <cell r="J942" t="str">
            <v>KHODAD</v>
          </cell>
          <cell r="K942" t="str">
            <v>Pune</v>
          </cell>
          <cell r="L942" t="str">
            <v>E</v>
          </cell>
          <cell r="O942" t="str">
            <v>A</v>
          </cell>
        </row>
        <row r="943">
          <cell r="C943">
            <v>41052028</v>
          </cell>
          <cell r="D943" t="str">
            <v>RADHIKA PETROLEUM</v>
          </cell>
          <cell r="E943" t="str">
            <v>HPCL</v>
          </cell>
          <cell r="F943" t="str">
            <v>2012-13</v>
          </cell>
          <cell r="G943" t="str">
            <v>Pune Saswad RSA</v>
          </cell>
          <cell r="J943" t="str">
            <v>INDAPUR</v>
          </cell>
          <cell r="K943" t="str">
            <v>Pune</v>
          </cell>
          <cell r="L943" t="str">
            <v>C</v>
          </cell>
          <cell r="O943" t="str">
            <v>A</v>
          </cell>
        </row>
        <row r="944">
          <cell r="C944">
            <v>41052029</v>
          </cell>
          <cell r="D944" t="str">
            <v>LAKSHMI KISAN PETROLEUM</v>
          </cell>
          <cell r="E944" t="str">
            <v>HPCL</v>
          </cell>
          <cell r="F944" t="str">
            <v>2014-15</v>
          </cell>
          <cell r="G944" t="str">
            <v>Pune Wagholi RSA</v>
          </cell>
          <cell r="J944" t="str">
            <v>Bori Khurd</v>
          </cell>
          <cell r="K944" t="str">
            <v>Pune</v>
          </cell>
          <cell r="L944" t="str">
            <v>E</v>
          </cell>
          <cell r="O944" t="str">
            <v>B</v>
          </cell>
        </row>
        <row r="945">
          <cell r="C945">
            <v>41052030</v>
          </cell>
          <cell r="D945" t="str">
            <v>LIMBORE PETROLEUM</v>
          </cell>
          <cell r="E945" t="str">
            <v>HPCL</v>
          </cell>
          <cell r="F945" t="str">
            <v>2013-14</v>
          </cell>
          <cell r="G945" t="str">
            <v>Pimpri Chinchwad RSA</v>
          </cell>
          <cell r="J945" t="str">
            <v>Ashkhed</v>
          </cell>
          <cell r="K945" t="str">
            <v>Pune</v>
          </cell>
          <cell r="L945" t="str">
            <v>E</v>
          </cell>
          <cell r="O945" t="str">
            <v>B</v>
          </cell>
        </row>
        <row r="946">
          <cell r="C946">
            <v>41052033</v>
          </cell>
          <cell r="D946" t="str">
            <v>SHRIYASH PETROLEUM</v>
          </cell>
          <cell r="E946" t="str">
            <v>HPCL</v>
          </cell>
          <cell r="F946" t="str">
            <v>2012-13</v>
          </cell>
          <cell r="G946" t="str">
            <v>Pune Hadapsar RSA</v>
          </cell>
          <cell r="J946" t="str">
            <v>DAUND</v>
          </cell>
          <cell r="K946" t="str">
            <v>Pune</v>
          </cell>
          <cell r="L946" t="str">
            <v>E</v>
          </cell>
          <cell r="O946" t="str">
            <v>A</v>
          </cell>
        </row>
        <row r="947">
          <cell r="C947">
            <v>41052034</v>
          </cell>
          <cell r="D947" t="str">
            <v>SHRI AVDHUT PETROLEUM</v>
          </cell>
          <cell r="E947" t="str">
            <v>HPCL</v>
          </cell>
          <cell r="F947" t="str">
            <v>2012-13</v>
          </cell>
          <cell r="G947" t="str">
            <v>Pune Hadapsar RSA</v>
          </cell>
          <cell r="J947" t="str">
            <v>Khadki</v>
          </cell>
          <cell r="K947" t="str">
            <v>Pune</v>
          </cell>
          <cell r="L947" t="str">
            <v>C</v>
          </cell>
          <cell r="O947" t="str">
            <v>A</v>
          </cell>
        </row>
        <row r="948">
          <cell r="C948">
            <v>41052035</v>
          </cell>
          <cell r="D948" t="str">
            <v>PRABHUPAD PETROLEUM</v>
          </cell>
          <cell r="E948" t="str">
            <v>HPCL</v>
          </cell>
          <cell r="F948" t="str">
            <v>2012-13</v>
          </cell>
          <cell r="G948" t="str">
            <v>Pune Wagholi RSA</v>
          </cell>
          <cell r="J948" t="str">
            <v>Bankar Phata</v>
          </cell>
          <cell r="K948" t="str">
            <v>Pune</v>
          </cell>
          <cell r="L948" t="str">
            <v>E</v>
          </cell>
          <cell r="O948" t="str">
            <v>A</v>
          </cell>
        </row>
        <row r="949">
          <cell r="C949">
            <v>41052039</v>
          </cell>
          <cell r="D949" t="str">
            <v>GURUKRIPA PETROLEUM</v>
          </cell>
          <cell r="E949" t="str">
            <v>HPCL</v>
          </cell>
          <cell r="F949" t="str">
            <v>2013-14</v>
          </cell>
          <cell r="G949" t="str">
            <v>Pimpri Chinchwad RSA</v>
          </cell>
          <cell r="J949" t="str">
            <v xml:space="preserve">Sablewadi to shikhrapur </v>
          </cell>
          <cell r="K949" t="str">
            <v>Pune</v>
          </cell>
          <cell r="L949" t="str">
            <v>D1</v>
          </cell>
          <cell r="M949" t="str">
            <v>NH-548D</v>
          </cell>
          <cell r="O949" t="str">
            <v>A</v>
          </cell>
        </row>
        <row r="950">
          <cell r="C950">
            <v>41052040</v>
          </cell>
          <cell r="D950" t="str">
            <v>MANTHAN PETROLEUM</v>
          </cell>
          <cell r="E950" t="str">
            <v>HPCL</v>
          </cell>
          <cell r="F950" t="str">
            <v>2013-14</v>
          </cell>
          <cell r="G950" t="str">
            <v>Pune Wagholi RSA</v>
          </cell>
          <cell r="J950" t="str">
            <v>Bhima Koregaon Rural</v>
          </cell>
          <cell r="K950" t="str">
            <v>Pune</v>
          </cell>
          <cell r="L950" t="str">
            <v>E</v>
          </cell>
          <cell r="O950" t="str">
            <v>A</v>
          </cell>
        </row>
        <row r="951">
          <cell r="C951">
            <v>41052042</v>
          </cell>
          <cell r="D951" t="str">
            <v>SHREEMAN PETROLEUM</v>
          </cell>
          <cell r="E951" t="str">
            <v>HPCL</v>
          </cell>
          <cell r="F951" t="str">
            <v>2013-14</v>
          </cell>
          <cell r="G951" t="str">
            <v>Pune City RSA</v>
          </cell>
          <cell r="J951" t="str">
            <v>URWADE</v>
          </cell>
          <cell r="K951" t="str">
            <v>Pune</v>
          </cell>
          <cell r="L951" t="str">
            <v>D2</v>
          </cell>
          <cell r="O951" t="str">
            <v>A</v>
          </cell>
        </row>
        <row r="952">
          <cell r="C952">
            <v>41052044</v>
          </cell>
          <cell r="D952" t="str">
            <v xml:space="preserve"> SUMAN PETROLEUM</v>
          </cell>
          <cell r="E952" t="str">
            <v>HPCL</v>
          </cell>
          <cell r="F952" t="str">
            <v>2013-14</v>
          </cell>
          <cell r="G952" t="str">
            <v>Pimpri Chinchwad RSA</v>
          </cell>
          <cell r="J952" t="str">
            <v>chakan to rajgurunagar LHS</v>
          </cell>
          <cell r="K952" t="str">
            <v>Pune</v>
          </cell>
          <cell r="L952" t="str">
            <v>D1</v>
          </cell>
          <cell r="M952" t="str">
            <v>NH-60</v>
          </cell>
          <cell r="O952" t="str">
            <v>B</v>
          </cell>
        </row>
        <row r="953">
          <cell r="C953">
            <v>41052045</v>
          </cell>
          <cell r="D953" t="str">
            <v>Chandere Petroleum</v>
          </cell>
          <cell r="E953" t="str">
            <v>HPCL</v>
          </cell>
          <cell r="F953" t="str">
            <v>2014-15</v>
          </cell>
          <cell r="G953" t="str">
            <v>Pune City RSA</v>
          </cell>
          <cell r="J953" t="str">
            <v>SUS ROAD</v>
          </cell>
          <cell r="K953" t="str">
            <v>Pune</v>
          </cell>
          <cell r="L953" t="str">
            <v>D2</v>
          </cell>
          <cell r="O953" t="str">
            <v>A</v>
          </cell>
        </row>
        <row r="954">
          <cell r="C954">
            <v>41052046</v>
          </cell>
          <cell r="D954" t="str">
            <v>Shri Gurudatta Petroleum</v>
          </cell>
          <cell r="E954" t="str">
            <v>HPCL</v>
          </cell>
          <cell r="F954" t="str">
            <v>2014-15</v>
          </cell>
          <cell r="G954" t="str">
            <v>Pimpri Chinchwad RSA</v>
          </cell>
          <cell r="J954" t="str">
            <v>Bebedohol</v>
          </cell>
          <cell r="K954" t="str">
            <v>Pune</v>
          </cell>
          <cell r="L954" t="str">
            <v>E</v>
          </cell>
          <cell r="O954" t="str">
            <v>B</v>
          </cell>
        </row>
        <row r="955">
          <cell r="C955">
            <v>41052048</v>
          </cell>
          <cell r="D955" t="str">
            <v>GANRAJ PETROLEUM</v>
          </cell>
          <cell r="E955" t="str">
            <v>HPCL</v>
          </cell>
          <cell r="F955" t="str">
            <v>2013-14</v>
          </cell>
          <cell r="G955" t="str">
            <v>Pune Wagholi RSA</v>
          </cell>
          <cell r="J955" t="str">
            <v>Savargaon</v>
          </cell>
          <cell r="K955" t="str">
            <v>Pune</v>
          </cell>
          <cell r="L955" t="str">
            <v>E</v>
          </cell>
          <cell r="O955" t="str">
            <v>B</v>
          </cell>
        </row>
        <row r="956">
          <cell r="C956">
            <v>41052049</v>
          </cell>
          <cell r="D956" t="str">
            <v>KUND MAULI PETROLEUM</v>
          </cell>
          <cell r="E956" t="str">
            <v>HPCL</v>
          </cell>
          <cell r="F956" t="str">
            <v>2015-16</v>
          </cell>
          <cell r="G956" t="str">
            <v>Pune Wagholi RSA</v>
          </cell>
          <cell r="J956" t="str">
            <v>Shirur to Malthan</v>
          </cell>
          <cell r="K956" t="str">
            <v>Pune</v>
          </cell>
          <cell r="L956" t="str">
            <v>D2</v>
          </cell>
          <cell r="O956" t="str">
            <v>B</v>
          </cell>
        </row>
        <row r="957">
          <cell r="C957">
            <v>41052050</v>
          </cell>
          <cell r="D957" t="str">
            <v>RAM VIJAY PETROLEUM</v>
          </cell>
          <cell r="E957" t="str">
            <v>HPCL</v>
          </cell>
          <cell r="F957" t="str">
            <v>2013-14</v>
          </cell>
          <cell r="G957" t="str">
            <v>Pune Wagholi RSA</v>
          </cell>
          <cell r="J957" t="str">
            <v>Kawate</v>
          </cell>
          <cell r="K957" t="str">
            <v>Pune</v>
          </cell>
          <cell r="L957" t="str">
            <v>D2</v>
          </cell>
          <cell r="O957" t="str">
            <v>A</v>
          </cell>
        </row>
        <row r="958">
          <cell r="C958">
            <v>41052055</v>
          </cell>
          <cell r="D958" t="str">
            <v>SHRINATH PETROLEUM</v>
          </cell>
          <cell r="E958" t="str">
            <v>HPCL</v>
          </cell>
          <cell r="F958" t="str">
            <v>2013-14</v>
          </cell>
          <cell r="G958" t="str">
            <v>Pune Hadapsar RSA</v>
          </cell>
          <cell r="J958" t="str">
            <v>Pilanwadi</v>
          </cell>
          <cell r="K958" t="str">
            <v>Pune</v>
          </cell>
          <cell r="L958" t="str">
            <v>D2</v>
          </cell>
          <cell r="O958" t="str">
            <v>A</v>
          </cell>
        </row>
        <row r="959">
          <cell r="C959">
            <v>41052056</v>
          </cell>
          <cell r="D959" t="str">
            <v>RADHE RADHE PETROLEUM</v>
          </cell>
          <cell r="E959" t="str">
            <v>HPCL</v>
          </cell>
          <cell r="F959" t="str">
            <v>2013-14</v>
          </cell>
          <cell r="G959" t="str">
            <v>Pimpri Chinchwad RSA</v>
          </cell>
          <cell r="J959" t="str">
            <v xml:space="preserve">Sablewadi to shikhrapur </v>
          </cell>
          <cell r="K959" t="str">
            <v>Pune</v>
          </cell>
          <cell r="L959" t="str">
            <v>D1</v>
          </cell>
          <cell r="M959" t="str">
            <v>NH-548D</v>
          </cell>
          <cell r="O959" t="str">
            <v>A</v>
          </cell>
        </row>
        <row r="960">
          <cell r="C960">
            <v>41052057</v>
          </cell>
          <cell r="D960" t="str">
            <v>JAIGURU PETROLEUM</v>
          </cell>
          <cell r="E960" t="str">
            <v>HPCL</v>
          </cell>
          <cell r="F960" t="str">
            <v>2014-15</v>
          </cell>
          <cell r="G960" t="str">
            <v>Pimpri Chinchwad RSA</v>
          </cell>
          <cell r="J960" t="str">
            <v>NIGHOJE</v>
          </cell>
          <cell r="K960" t="str">
            <v>Pune</v>
          </cell>
          <cell r="L960" t="str">
            <v>C</v>
          </cell>
          <cell r="O960" t="str">
            <v>A</v>
          </cell>
        </row>
        <row r="961">
          <cell r="C961">
            <v>41052059</v>
          </cell>
          <cell r="D961" t="str">
            <v>OM PETROLEUM</v>
          </cell>
          <cell r="E961" t="str">
            <v>HPCL</v>
          </cell>
          <cell r="F961" t="str">
            <v>2013-14</v>
          </cell>
          <cell r="G961" t="str">
            <v>Pune Saswad RSA</v>
          </cell>
          <cell r="J961" t="str">
            <v>Indapur Bypass</v>
          </cell>
          <cell r="K961" t="str">
            <v>Pune</v>
          </cell>
          <cell r="L961" t="str">
            <v>D1</v>
          </cell>
          <cell r="M961" t="str">
            <v>NH-65</v>
          </cell>
          <cell r="O961" t="str">
            <v>A</v>
          </cell>
        </row>
        <row r="962">
          <cell r="C962">
            <v>41052060</v>
          </cell>
          <cell r="D962" t="str">
            <v>Waheguru Petroleum</v>
          </cell>
          <cell r="E962" t="str">
            <v>HPCL</v>
          </cell>
          <cell r="F962" t="str">
            <v>2013-14</v>
          </cell>
          <cell r="G962" t="str">
            <v>Pune City RSA</v>
          </cell>
          <cell r="J962" t="str">
            <v>HINJEWADI MANN ROAD</v>
          </cell>
          <cell r="K962" t="str">
            <v>Pune</v>
          </cell>
          <cell r="L962" t="str">
            <v>A</v>
          </cell>
          <cell r="O962" t="str">
            <v>A</v>
          </cell>
        </row>
        <row r="963">
          <cell r="C963">
            <v>41052073</v>
          </cell>
          <cell r="D963" t="str">
            <v>KANKARIYA SERVICE STATION</v>
          </cell>
          <cell r="E963" t="str">
            <v>HPCL</v>
          </cell>
          <cell r="G963" t="str">
            <v>Pune City RSA</v>
          </cell>
          <cell r="J963" t="str">
            <v>VADGAON SHERI</v>
          </cell>
          <cell r="K963" t="str">
            <v>Pune</v>
          </cell>
          <cell r="L963" t="str">
            <v>A</v>
          </cell>
          <cell r="O963" t="str">
            <v>B</v>
          </cell>
        </row>
        <row r="964">
          <cell r="C964">
            <v>41052075</v>
          </cell>
          <cell r="D964" t="str">
            <v>AUTO CORNER</v>
          </cell>
          <cell r="E964" t="str">
            <v>HPCL</v>
          </cell>
          <cell r="G964" t="str">
            <v>Pune Hadapsar RSA</v>
          </cell>
          <cell r="J964" t="str">
            <v>Loni LHS</v>
          </cell>
          <cell r="K964" t="str">
            <v>Pune</v>
          </cell>
          <cell r="L964" t="str">
            <v>D1</v>
          </cell>
          <cell r="M964" t="str">
            <v>NH-65</v>
          </cell>
          <cell r="O964" t="str">
            <v>B</v>
          </cell>
        </row>
        <row r="965">
          <cell r="C965">
            <v>41052076</v>
          </cell>
          <cell r="D965" t="str">
            <v>Padmavati Fuel Centre</v>
          </cell>
          <cell r="E965" t="str">
            <v>HPCL</v>
          </cell>
          <cell r="F965" t="str">
            <v>2012-13</v>
          </cell>
          <cell r="G965" t="str">
            <v>Ahmednagar West RSA</v>
          </cell>
          <cell r="J965" t="str">
            <v>Ghogargoan</v>
          </cell>
          <cell r="K965" t="str">
            <v>Ahmednagar</v>
          </cell>
          <cell r="L965" t="str">
            <v>D2</v>
          </cell>
          <cell r="O965" t="str">
            <v>A</v>
          </cell>
        </row>
        <row r="966">
          <cell r="C966">
            <v>41052078</v>
          </cell>
          <cell r="D966" t="str">
            <v>Tanpure Petroleum</v>
          </cell>
          <cell r="E966" t="str">
            <v>HPCL</v>
          </cell>
          <cell r="F966" t="str">
            <v>2012-13</v>
          </cell>
          <cell r="G966" t="str">
            <v>Ahmednagar West RSA</v>
          </cell>
          <cell r="J966" t="str">
            <v>MIRAJGAON-SH</v>
          </cell>
          <cell r="K966" t="str">
            <v>Ahmednagar</v>
          </cell>
          <cell r="L966" t="str">
            <v>D2</v>
          </cell>
          <cell r="O966" t="str">
            <v>A</v>
          </cell>
        </row>
        <row r="967">
          <cell r="C967">
            <v>41052079</v>
          </cell>
          <cell r="D967" t="str">
            <v>KIRAD SERVICE STATION</v>
          </cell>
          <cell r="E967" t="str">
            <v>HPCL</v>
          </cell>
          <cell r="G967" t="str">
            <v>Pune Wagholi RSA</v>
          </cell>
          <cell r="J967" t="str">
            <v>Ranjangaon RHS</v>
          </cell>
          <cell r="K967" t="str">
            <v>Pune</v>
          </cell>
          <cell r="L967" t="str">
            <v>D1</v>
          </cell>
          <cell r="M967" t="str">
            <v>NH-753F</v>
          </cell>
          <cell r="O967" t="str">
            <v>B</v>
          </cell>
        </row>
        <row r="968">
          <cell r="C968">
            <v>41052086</v>
          </cell>
          <cell r="D968" t="str">
            <v>A E C CAR CARE CENTRE</v>
          </cell>
          <cell r="E968" t="str">
            <v>HPCL</v>
          </cell>
          <cell r="G968" t="str">
            <v>Pune City RSA</v>
          </cell>
          <cell r="J968" t="str">
            <v>MOLEDINA ROAD/E STREET</v>
          </cell>
          <cell r="K968" t="str">
            <v>Pune</v>
          </cell>
          <cell r="L968" t="str">
            <v>A</v>
          </cell>
          <cell r="O968" t="str">
            <v>A</v>
          </cell>
        </row>
        <row r="969">
          <cell r="C969">
            <v>41052087</v>
          </cell>
          <cell r="D969" t="str">
            <v>SHRI SAI SERVICE STATION</v>
          </cell>
          <cell r="E969" t="str">
            <v>HPCL</v>
          </cell>
          <cell r="G969" t="str">
            <v>Pune City RSA</v>
          </cell>
          <cell r="J969" t="str">
            <v>J M ROAD</v>
          </cell>
          <cell r="K969" t="str">
            <v>Pune</v>
          </cell>
          <cell r="L969" t="str">
            <v>A</v>
          </cell>
          <cell r="O969" t="str">
            <v>A</v>
          </cell>
        </row>
        <row r="970">
          <cell r="C970">
            <v>41052088</v>
          </cell>
          <cell r="D970" t="str">
            <v>LADKAT BROS SERVICE STATION</v>
          </cell>
          <cell r="E970" t="str">
            <v>HPCL</v>
          </cell>
          <cell r="G970" t="str">
            <v>Pune City RSA</v>
          </cell>
          <cell r="J970" t="str">
            <v>SHANKARSETH ROAD</v>
          </cell>
          <cell r="K970" t="str">
            <v>Pune</v>
          </cell>
          <cell r="L970" t="str">
            <v>A</v>
          </cell>
          <cell r="O970" t="str">
            <v>A</v>
          </cell>
        </row>
        <row r="971">
          <cell r="C971">
            <v>41052089</v>
          </cell>
          <cell r="D971" t="str">
            <v>EXCEL SERVICE CENTRE</v>
          </cell>
          <cell r="E971" t="str">
            <v>HPCL</v>
          </cell>
          <cell r="G971" t="str">
            <v>Pune City RSA</v>
          </cell>
          <cell r="J971" t="str">
            <v>KARVE ROAD</v>
          </cell>
          <cell r="K971" t="str">
            <v>Pune</v>
          </cell>
          <cell r="L971" t="str">
            <v>A</v>
          </cell>
          <cell r="O971" t="str">
            <v>A</v>
          </cell>
        </row>
        <row r="972">
          <cell r="C972">
            <v>41052092</v>
          </cell>
          <cell r="D972" t="str">
            <v>AUTOLINES</v>
          </cell>
          <cell r="E972" t="str">
            <v>HPCL</v>
          </cell>
          <cell r="G972" t="str">
            <v>Pune City RSA</v>
          </cell>
          <cell r="J972" t="str">
            <v>GANESH KHIND ROAD</v>
          </cell>
          <cell r="K972" t="str">
            <v>Pune</v>
          </cell>
          <cell r="L972" t="str">
            <v>A</v>
          </cell>
          <cell r="O972" t="str">
            <v>A</v>
          </cell>
        </row>
        <row r="973">
          <cell r="C973">
            <v>41052093</v>
          </cell>
          <cell r="D973" t="str">
            <v>HIGHWAY PETROLEUM CENTRE</v>
          </cell>
          <cell r="E973" t="str">
            <v>HPCL</v>
          </cell>
          <cell r="G973" t="str">
            <v>Pune City RSA</v>
          </cell>
          <cell r="J973" t="str">
            <v>BHAIROVA NALA</v>
          </cell>
          <cell r="K973" t="str">
            <v>Pune</v>
          </cell>
          <cell r="L973" t="str">
            <v>A</v>
          </cell>
          <cell r="O973" t="str">
            <v>A</v>
          </cell>
        </row>
        <row r="974">
          <cell r="C974">
            <v>41052095</v>
          </cell>
          <cell r="D974" t="str">
            <v>G NAIK &amp; COMPANY HPC</v>
          </cell>
          <cell r="E974" t="str">
            <v>HPCL</v>
          </cell>
          <cell r="G974" t="str">
            <v>Pune City RSA</v>
          </cell>
          <cell r="J974" t="str">
            <v>SWARGATE</v>
          </cell>
          <cell r="K974" t="str">
            <v>Pune</v>
          </cell>
          <cell r="L974" t="str">
            <v>A</v>
          </cell>
          <cell r="O974" t="str">
            <v>A</v>
          </cell>
        </row>
        <row r="975">
          <cell r="C975">
            <v>41052097</v>
          </cell>
          <cell r="D975" t="str">
            <v>RASHID KHODADAD &amp; CO</v>
          </cell>
          <cell r="E975" t="str">
            <v>HPCL</v>
          </cell>
          <cell r="G975" t="str">
            <v>Pune City RSA</v>
          </cell>
          <cell r="J975" t="str">
            <v>MOLEDINA ROAD/E STREET</v>
          </cell>
          <cell r="K975" t="str">
            <v>Pune</v>
          </cell>
          <cell r="L975" t="str">
            <v>A</v>
          </cell>
          <cell r="O975" t="str">
            <v>A</v>
          </cell>
        </row>
        <row r="976">
          <cell r="C976">
            <v>41052103</v>
          </cell>
          <cell r="D976" t="str">
            <v>RASHID KHODADAD &amp; CO</v>
          </cell>
          <cell r="E976" t="str">
            <v>HPCL</v>
          </cell>
          <cell r="G976" t="str">
            <v>Pune City RSA</v>
          </cell>
          <cell r="J976" t="str">
            <v>KOREGAON PARK</v>
          </cell>
          <cell r="K976" t="str">
            <v>Pune</v>
          </cell>
          <cell r="L976" t="str">
            <v>A</v>
          </cell>
          <cell r="O976" t="str">
            <v>B</v>
          </cell>
        </row>
        <row r="977">
          <cell r="C977">
            <v>41052107</v>
          </cell>
          <cell r="D977" t="str">
            <v>AUTO FUEL CENTRE</v>
          </cell>
          <cell r="E977" t="str">
            <v>HPCL</v>
          </cell>
          <cell r="G977" t="str">
            <v>Pune City RSA</v>
          </cell>
          <cell r="J977" t="str">
            <v>GPO</v>
          </cell>
          <cell r="K977" t="str">
            <v>Pune</v>
          </cell>
          <cell r="L977" t="str">
            <v>A</v>
          </cell>
          <cell r="O977" t="str">
            <v>A</v>
          </cell>
        </row>
        <row r="978">
          <cell r="C978">
            <v>41052113</v>
          </cell>
          <cell r="D978" t="str">
            <v>Borawake Bros.</v>
          </cell>
          <cell r="E978" t="str">
            <v>HPCL</v>
          </cell>
          <cell r="G978" t="str">
            <v>Shirdi RSA</v>
          </cell>
          <cell r="J978" t="str">
            <v>RAHATA</v>
          </cell>
          <cell r="K978" t="str">
            <v>Ahmednagar</v>
          </cell>
          <cell r="L978" t="str">
            <v>D1</v>
          </cell>
          <cell r="M978" t="str">
            <v>NH-160</v>
          </cell>
          <cell r="O978" t="str">
            <v>A</v>
          </cell>
        </row>
        <row r="979">
          <cell r="C979">
            <v>41052120</v>
          </cell>
          <cell r="D979" t="str">
            <v>Kamal Petrol Depot -MS SITE</v>
          </cell>
          <cell r="E979" t="str">
            <v>HPCL</v>
          </cell>
          <cell r="G979" t="str">
            <v>Shirdi RSA</v>
          </cell>
          <cell r="J979" t="str">
            <v>DILLI NAKA SANGAMNER</v>
          </cell>
          <cell r="K979" t="str">
            <v>Ahmednagar</v>
          </cell>
          <cell r="L979" t="str">
            <v>D1</v>
          </cell>
          <cell r="M979" t="str">
            <v>NH-60</v>
          </cell>
          <cell r="O979" t="str">
            <v>A</v>
          </cell>
        </row>
        <row r="980">
          <cell r="C980">
            <v>41052122</v>
          </cell>
          <cell r="D980" t="str">
            <v>RAJENDRA SERVICE CENTRE</v>
          </cell>
          <cell r="E980" t="str">
            <v>HPCL</v>
          </cell>
          <cell r="G980" t="str">
            <v>Pune Saswad RSA</v>
          </cell>
          <cell r="J980" t="str">
            <v>SASWAD</v>
          </cell>
          <cell r="K980" t="str">
            <v>Pune</v>
          </cell>
          <cell r="L980" t="str">
            <v>C</v>
          </cell>
          <cell r="O980" t="str">
            <v>A</v>
          </cell>
        </row>
        <row r="981">
          <cell r="C981">
            <v>41052123</v>
          </cell>
          <cell r="D981" t="str">
            <v>SATARA  PETROL  DEPOT</v>
          </cell>
          <cell r="E981" t="str">
            <v>HPCL</v>
          </cell>
          <cell r="G981" t="str">
            <v>Satara West RSA</v>
          </cell>
          <cell r="J981" t="str">
            <v>Satara City</v>
          </cell>
          <cell r="K981" t="str">
            <v>Satara</v>
          </cell>
          <cell r="L981" t="str">
            <v>C</v>
          </cell>
          <cell r="O981" t="str">
            <v>A</v>
          </cell>
        </row>
        <row r="982">
          <cell r="C982">
            <v>41052125</v>
          </cell>
          <cell r="D982" t="str">
            <v>Hariom Petroleum</v>
          </cell>
          <cell r="E982" t="str">
            <v>HPCL</v>
          </cell>
          <cell r="F982" t="str">
            <v>2012-13</v>
          </cell>
          <cell r="G982" t="str">
            <v>Ahmednagar East RSA</v>
          </cell>
          <cell r="J982" t="str">
            <v>TAKLIMIYA</v>
          </cell>
          <cell r="K982" t="str">
            <v>Ahmednagar</v>
          </cell>
          <cell r="L982" t="str">
            <v>E</v>
          </cell>
          <cell r="O982" t="str">
            <v>B</v>
          </cell>
        </row>
        <row r="983">
          <cell r="C983">
            <v>41052126</v>
          </cell>
          <cell r="D983" t="str">
            <v>Sai -simran Petroleum</v>
          </cell>
          <cell r="E983" t="str">
            <v>HPCL</v>
          </cell>
          <cell r="F983" t="str">
            <v>2012-13</v>
          </cell>
          <cell r="G983" t="str">
            <v>Ahmednagar East RSA</v>
          </cell>
          <cell r="J983" t="str">
            <v>Newasa Budruk</v>
          </cell>
          <cell r="K983" t="str">
            <v>Ahmednagar</v>
          </cell>
          <cell r="L983" t="str">
            <v>D2</v>
          </cell>
          <cell r="O983" t="str">
            <v>A</v>
          </cell>
        </row>
        <row r="984">
          <cell r="C984">
            <v>41052188</v>
          </cell>
          <cell r="D984" t="str">
            <v>Ramchand &amp; Sons</v>
          </cell>
          <cell r="E984" t="str">
            <v>HPCL</v>
          </cell>
          <cell r="G984" t="str">
            <v>Shirdi RSA</v>
          </cell>
          <cell r="J984" t="str">
            <v>SHRIRAMPUR TOWN</v>
          </cell>
          <cell r="K984" t="str">
            <v>Ahmednagar</v>
          </cell>
          <cell r="L984" t="str">
            <v>D2</v>
          </cell>
          <cell r="O984" t="str">
            <v>A</v>
          </cell>
        </row>
        <row r="985">
          <cell r="C985">
            <v>41052192</v>
          </cell>
          <cell r="D985" t="str">
            <v>Charudatta Oil Agency</v>
          </cell>
          <cell r="E985" t="str">
            <v>HPCL</v>
          </cell>
          <cell r="G985" t="str">
            <v>Shirdi RSA</v>
          </cell>
          <cell r="J985" t="str">
            <v>RAHURI FACTORY LHS</v>
          </cell>
          <cell r="K985" t="str">
            <v>Ahmednagar</v>
          </cell>
          <cell r="L985" t="str">
            <v>D1</v>
          </cell>
          <cell r="M985" t="str">
            <v>NH-160</v>
          </cell>
          <cell r="O985" t="str">
            <v>B</v>
          </cell>
        </row>
        <row r="986">
          <cell r="C986">
            <v>41052210</v>
          </cell>
          <cell r="D986" t="str">
            <v>JANSEVA MANDAL</v>
          </cell>
          <cell r="E986" t="str">
            <v>HPCL</v>
          </cell>
          <cell r="G986" t="str">
            <v>Pune Wagholi RSA</v>
          </cell>
          <cell r="J986" t="str">
            <v>Alephata on Kalyan highway</v>
          </cell>
          <cell r="K986" t="str">
            <v>Pune</v>
          </cell>
          <cell r="L986" t="str">
            <v>D1</v>
          </cell>
          <cell r="M986" t="str">
            <v>NH-61</v>
          </cell>
          <cell r="O986" t="str">
            <v>A</v>
          </cell>
        </row>
        <row r="987">
          <cell r="C987">
            <v>41052314</v>
          </cell>
          <cell r="D987" t="str">
            <v>Vithal Petroleum</v>
          </cell>
          <cell r="E987" t="str">
            <v>HPCL</v>
          </cell>
          <cell r="G987" t="str">
            <v>Ahmednagar East RSA</v>
          </cell>
          <cell r="J987" t="str">
            <v>Akolner</v>
          </cell>
          <cell r="K987" t="str">
            <v>Ahmednagar</v>
          </cell>
          <cell r="L987" t="str">
            <v>E</v>
          </cell>
          <cell r="O987" t="str">
            <v>B</v>
          </cell>
        </row>
        <row r="988">
          <cell r="C988">
            <v>41052316</v>
          </cell>
          <cell r="D988" t="str">
            <v>Mahaganpati Petroleum</v>
          </cell>
          <cell r="E988" t="str">
            <v>HPCL</v>
          </cell>
          <cell r="G988" t="str">
            <v>Ahmednagar West RSA</v>
          </cell>
          <cell r="J988" t="str">
            <v>Deodaithan</v>
          </cell>
          <cell r="K988" t="str">
            <v>Ahmednagar</v>
          </cell>
          <cell r="L988" t="str">
            <v>D2</v>
          </cell>
          <cell r="O988" t="str">
            <v>A</v>
          </cell>
        </row>
        <row r="989">
          <cell r="C989">
            <v>41052319</v>
          </cell>
          <cell r="D989" t="str">
            <v>Dinkarrao Jagtap Petroleum</v>
          </cell>
          <cell r="E989" t="str">
            <v>HPCL</v>
          </cell>
          <cell r="G989" t="str">
            <v>Shirdi RSA</v>
          </cell>
          <cell r="J989" t="str">
            <v>KOLHAR</v>
          </cell>
          <cell r="K989" t="str">
            <v>Ahmednagar</v>
          </cell>
          <cell r="L989" t="str">
            <v>D1</v>
          </cell>
          <cell r="M989" t="str">
            <v>NH-160</v>
          </cell>
          <cell r="O989" t="str">
            <v>B</v>
          </cell>
        </row>
        <row r="990">
          <cell r="C990">
            <v>41052391</v>
          </cell>
          <cell r="D990" t="str">
            <v>Mahatma Phule KV</v>
          </cell>
          <cell r="E990" t="str">
            <v>HPCL</v>
          </cell>
          <cell r="G990" t="str">
            <v>Shirdi RSA</v>
          </cell>
          <cell r="J990" t="str">
            <v>RAHURI NH</v>
          </cell>
          <cell r="K990" t="str">
            <v>Ahmednagar</v>
          </cell>
          <cell r="L990" t="str">
            <v>D1</v>
          </cell>
          <cell r="M990" t="str">
            <v>NH-160</v>
          </cell>
          <cell r="O990" t="str">
            <v>A</v>
          </cell>
        </row>
        <row r="991">
          <cell r="C991">
            <v>41052477</v>
          </cell>
          <cell r="D991" t="str">
            <v>P  G  SHAH</v>
          </cell>
          <cell r="E991" t="str">
            <v>HPCL</v>
          </cell>
          <cell r="G991" t="str">
            <v>Satara West RSA</v>
          </cell>
          <cell r="J991" t="str">
            <v>Karad City</v>
          </cell>
          <cell r="K991" t="str">
            <v>Satara</v>
          </cell>
          <cell r="L991" t="str">
            <v>C</v>
          </cell>
          <cell r="O991" t="str">
            <v>B</v>
          </cell>
        </row>
        <row r="992">
          <cell r="C992">
            <v>41052485</v>
          </cell>
          <cell r="D992" t="str">
            <v>V. Ramchandra</v>
          </cell>
          <cell r="E992" t="str">
            <v>HPCL</v>
          </cell>
          <cell r="G992" t="str">
            <v>Ahmednagar East RSA</v>
          </cell>
          <cell r="J992" t="str">
            <v>Kedgaon</v>
          </cell>
          <cell r="K992" t="str">
            <v>Ahmednagar</v>
          </cell>
          <cell r="L992" t="str">
            <v>D1</v>
          </cell>
          <cell r="M992" t="str">
            <v>NH-753F</v>
          </cell>
          <cell r="O992" t="str">
            <v>A</v>
          </cell>
        </row>
        <row r="993">
          <cell r="C993">
            <v>41052506</v>
          </cell>
          <cell r="D993" t="str">
            <v>L KUDALE AND SONS</v>
          </cell>
          <cell r="E993" t="str">
            <v>HPCL</v>
          </cell>
          <cell r="G993" t="str">
            <v>Pune Tathawade RSA</v>
          </cell>
          <cell r="J993" t="str">
            <v>JAMBHULWADI TO KHED SHIVAPUR</v>
          </cell>
          <cell r="K993" t="str">
            <v>Pune</v>
          </cell>
          <cell r="L993" t="str">
            <v>D1</v>
          </cell>
          <cell r="M993" t="str">
            <v>NH-48</v>
          </cell>
          <cell r="O993" t="str">
            <v>A</v>
          </cell>
        </row>
        <row r="994">
          <cell r="C994">
            <v>41052553</v>
          </cell>
          <cell r="D994" t="str">
            <v>Borawake Bros.</v>
          </cell>
          <cell r="E994" t="str">
            <v>HPCL</v>
          </cell>
          <cell r="G994" t="str">
            <v>Shirdi RSA</v>
          </cell>
          <cell r="J994" t="str">
            <v>KOPARGAON NH</v>
          </cell>
          <cell r="K994" t="str">
            <v>Ahmednagar</v>
          </cell>
          <cell r="L994" t="str">
            <v>D1</v>
          </cell>
          <cell r="M994" t="str">
            <v>NH-752G</v>
          </cell>
          <cell r="O994" t="str">
            <v>A</v>
          </cell>
        </row>
        <row r="995">
          <cell r="C995">
            <v>41052558</v>
          </cell>
          <cell r="D995" t="str">
            <v>SANJAY SERVICE STATION</v>
          </cell>
          <cell r="E995" t="str">
            <v>HPCL</v>
          </cell>
          <cell r="G995" t="str">
            <v>Pune Hadapsar RSA</v>
          </cell>
          <cell r="J995" t="str">
            <v>Loni LHS</v>
          </cell>
          <cell r="K995" t="str">
            <v>Pune</v>
          </cell>
          <cell r="L995" t="str">
            <v>D1</v>
          </cell>
          <cell r="M995" t="str">
            <v>NH-65</v>
          </cell>
          <cell r="O995" t="str">
            <v>A</v>
          </cell>
        </row>
        <row r="996">
          <cell r="C996">
            <v>41052564</v>
          </cell>
          <cell r="D996" t="str">
            <v>TREACHER  &amp;  CO.</v>
          </cell>
          <cell r="E996" t="str">
            <v>HPCL</v>
          </cell>
          <cell r="G996" t="str">
            <v>Satara West RSA</v>
          </cell>
          <cell r="J996" t="str">
            <v>Mahabaleswar Panchgani</v>
          </cell>
          <cell r="K996" t="str">
            <v>Satara</v>
          </cell>
          <cell r="L996" t="str">
            <v>D2</v>
          </cell>
          <cell r="O996" t="str">
            <v>B</v>
          </cell>
        </row>
        <row r="997">
          <cell r="C997">
            <v>41052587</v>
          </cell>
          <cell r="D997" t="str">
            <v>REGAL AUTO (adhoc anand 12552460)</v>
          </cell>
          <cell r="E997" t="str">
            <v>HPCL</v>
          </cell>
          <cell r="G997" t="str">
            <v>Pune Wagholi RSA</v>
          </cell>
          <cell r="J997" t="str">
            <v>Narayangaon</v>
          </cell>
          <cell r="K997" t="str">
            <v>Pune</v>
          </cell>
          <cell r="L997" t="str">
            <v>C</v>
          </cell>
          <cell r="O997" t="str">
            <v>A</v>
          </cell>
        </row>
        <row r="998">
          <cell r="C998">
            <v>41052630</v>
          </cell>
          <cell r="D998" t="str">
            <v>Ajinkya Petroleum</v>
          </cell>
          <cell r="E998" t="str">
            <v>HPCL</v>
          </cell>
          <cell r="G998" t="str">
            <v>Ahmednagar West RSA</v>
          </cell>
          <cell r="J998" t="str">
            <v>Mahi Jalgaon</v>
          </cell>
          <cell r="K998" t="str">
            <v>Ahmednagar</v>
          </cell>
          <cell r="L998" t="str">
            <v>D2</v>
          </cell>
          <cell r="O998" t="str">
            <v>A</v>
          </cell>
        </row>
        <row r="999">
          <cell r="C999">
            <v>41052775</v>
          </cell>
          <cell r="D999" t="str">
            <v>UNIQUE SERVICES</v>
          </cell>
          <cell r="E999" t="str">
            <v>HPCL</v>
          </cell>
          <cell r="G999" t="str">
            <v>Pune Tathawade RSA</v>
          </cell>
          <cell r="J999" t="str">
            <v>KAMSHET TO VADGAON</v>
          </cell>
          <cell r="K999" t="str">
            <v>Pune</v>
          </cell>
          <cell r="L999" t="str">
            <v>D1</v>
          </cell>
          <cell r="M999" t="str">
            <v>NH-48</v>
          </cell>
          <cell r="O999" t="str">
            <v>A</v>
          </cell>
        </row>
        <row r="1000">
          <cell r="C1000">
            <v>41052795</v>
          </cell>
          <cell r="D1000" t="str">
            <v>Amardeep Petroleum</v>
          </cell>
          <cell r="E1000" t="str">
            <v>HPCL</v>
          </cell>
          <cell r="G1000" t="str">
            <v>Ahmednagar East RSA</v>
          </cell>
          <cell r="J1000" t="str">
            <v>MIDC Nagapur</v>
          </cell>
          <cell r="K1000" t="str">
            <v>Ahmednagar</v>
          </cell>
          <cell r="L1000" t="str">
            <v>D2</v>
          </cell>
          <cell r="O1000" t="str">
            <v>A</v>
          </cell>
        </row>
        <row r="1001">
          <cell r="C1001">
            <v>41052799</v>
          </cell>
          <cell r="D1001" t="str">
            <v>Om Shri Sai Pet</v>
          </cell>
          <cell r="E1001" t="str">
            <v>HPCL</v>
          </cell>
          <cell r="G1001" t="str">
            <v>Shirdi RSA</v>
          </cell>
          <cell r="J1001" t="str">
            <v>KASAR DHUMALA</v>
          </cell>
          <cell r="K1001" t="str">
            <v>Ahmednagar</v>
          </cell>
          <cell r="L1001" t="str">
            <v>D2</v>
          </cell>
          <cell r="O1001" t="str">
            <v>A</v>
          </cell>
        </row>
        <row r="1002">
          <cell r="C1002">
            <v>41052800</v>
          </cell>
          <cell r="D1002" t="str">
            <v>Dharmatma Petroleum</v>
          </cell>
          <cell r="E1002" t="str">
            <v>HPCL</v>
          </cell>
          <cell r="G1002" t="str">
            <v>Ahmednagar East RSA</v>
          </cell>
          <cell r="J1002" t="str">
            <v>Shevgaon</v>
          </cell>
          <cell r="K1002" t="str">
            <v>Ahmednagar</v>
          </cell>
          <cell r="L1002" t="str">
            <v>D2</v>
          </cell>
          <cell r="O1002" t="str">
            <v>A</v>
          </cell>
        </row>
        <row r="1003">
          <cell r="C1003">
            <v>41052845</v>
          </cell>
          <cell r="D1003" t="str">
            <v>JAI MALHAR SERVICE CENTRE</v>
          </cell>
          <cell r="E1003" t="str">
            <v>HPCL</v>
          </cell>
          <cell r="G1003" t="str">
            <v>Pune Hadapsar RSA</v>
          </cell>
          <cell r="J1003" t="str">
            <v>Nagargaon</v>
          </cell>
          <cell r="K1003" t="str">
            <v>Pune</v>
          </cell>
          <cell r="L1003" t="str">
            <v>D2</v>
          </cell>
          <cell r="O1003" t="str">
            <v>B</v>
          </cell>
        </row>
        <row r="1004">
          <cell r="C1004">
            <v>41052847</v>
          </cell>
          <cell r="D1004" t="str">
            <v>Shankarnandi Ser. Stan.-HSD (MS Resitement)</v>
          </cell>
          <cell r="E1004" t="str">
            <v>HPCL</v>
          </cell>
          <cell r="G1004" t="str">
            <v>Ahmednagar West RSA</v>
          </cell>
          <cell r="J1004" t="str">
            <v>Tisgaon</v>
          </cell>
          <cell r="K1004" t="str">
            <v>Ahmednagar</v>
          </cell>
          <cell r="L1004" t="str">
            <v>D1</v>
          </cell>
          <cell r="M1004" t="str">
            <v>NH-61</v>
          </cell>
          <cell r="O1004" t="str">
            <v>A</v>
          </cell>
        </row>
        <row r="1005">
          <cell r="C1005">
            <v>41052851</v>
          </cell>
          <cell r="D1005" t="str">
            <v>NAGTHANE  PETROLEUM</v>
          </cell>
          <cell r="E1005" t="str">
            <v>HPCL</v>
          </cell>
          <cell r="G1005" t="str">
            <v>Satara West RSA</v>
          </cell>
          <cell r="J1005" t="str">
            <v>KASHIL TO SHENDRE</v>
          </cell>
          <cell r="K1005" t="str">
            <v>Satara</v>
          </cell>
          <cell r="L1005" t="str">
            <v>D1</v>
          </cell>
          <cell r="M1005" t="str">
            <v>NH-48</v>
          </cell>
          <cell r="O1005" t="str">
            <v>B</v>
          </cell>
        </row>
        <row r="1006">
          <cell r="C1006">
            <v>41052868</v>
          </cell>
          <cell r="D1006" t="str">
            <v>VISHWANATH SERVICE STATION</v>
          </cell>
          <cell r="E1006" t="str">
            <v>HPCL</v>
          </cell>
          <cell r="G1006" t="str">
            <v>Pune City RSA</v>
          </cell>
          <cell r="J1006" t="str">
            <v>VISHRANTWADI</v>
          </cell>
          <cell r="K1006" t="str">
            <v>Pune</v>
          </cell>
          <cell r="L1006" t="str">
            <v>A</v>
          </cell>
          <cell r="O1006" t="str">
            <v>B</v>
          </cell>
        </row>
        <row r="1007">
          <cell r="C1007">
            <v>41052873</v>
          </cell>
          <cell r="D1007" t="str">
            <v>SHRI VENKATESH PETROLEUM</v>
          </cell>
          <cell r="E1007" t="str">
            <v>HPCL</v>
          </cell>
          <cell r="G1007" t="str">
            <v>Pune Hadapsar RSA</v>
          </cell>
          <cell r="J1007" t="str">
            <v>Yawat RHS</v>
          </cell>
          <cell r="K1007" t="str">
            <v>Pune</v>
          </cell>
          <cell r="L1007" t="str">
            <v>D1</v>
          </cell>
          <cell r="M1007" t="str">
            <v>NH-65</v>
          </cell>
          <cell r="O1007" t="str">
            <v>A</v>
          </cell>
        </row>
        <row r="1008">
          <cell r="C1008">
            <v>41052888</v>
          </cell>
          <cell r="D1008" t="str">
            <v>KOTHRUD PETROL CIRCLE</v>
          </cell>
          <cell r="E1008" t="str">
            <v>HPCL</v>
          </cell>
          <cell r="G1008" t="str">
            <v>Pune City RSA</v>
          </cell>
          <cell r="J1008" t="str">
            <v>KOTHRUD</v>
          </cell>
          <cell r="K1008" t="str">
            <v>Pune</v>
          </cell>
          <cell r="L1008" t="str">
            <v>A</v>
          </cell>
          <cell r="O1008" t="str">
            <v>B</v>
          </cell>
        </row>
        <row r="1009">
          <cell r="C1009">
            <v>41052935</v>
          </cell>
          <cell r="D1009" t="str">
            <v>VIDYA PETROLEUM</v>
          </cell>
          <cell r="E1009" t="str">
            <v>HPCL</v>
          </cell>
          <cell r="G1009" t="str">
            <v>Pune City RSA</v>
          </cell>
          <cell r="J1009" t="str">
            <v>MAGARPATTA CITY</v>
          </cell>
          <cell r="K1009" t="str">
            <v>Pune</v>
          </cell>
          <cell r="L1009" t="str">
            <v>A</v>
          </cell>
          <cell r="O1009" t="str">
            <v>A</v>
          </cell>
        </row>
        <row r="1010">
          <cell r="C1010">
            <v>41052938</v>
          </cell>
          <cell r="D1010" t="str">
            <v>AMRAPALI SERVICE STATION, BIBWEWADI</v>
          </cell>
          <cell r="E1010" t="str">
            <v>HPCL</v>
          </cell>
          <cell r="G1010" t="str">
            <v>Pune City RSA</v>
          </cell>
          <cell r="J1010" t="str">
            <v>BIBEWADI</v>
          </cell>
          <cell r="K1010" t="str">
            <v>Pune</v>
          </cell>
          <cell r="L1010" t="str">
            <v>A</v>
          </cell>
          <cell r="O1010" t="str">
            <v>B</v>
          </cell>
        </row>
        <row r="1011">
          <cell r="C1011">
            <v>41052954</v>
          </cell>
          <cell r="D1011" t="str">
            <v>KALE SERVICE STATION</v>
          </cell>
          <cell r="E1011" t="str">
            <v>HPCL</v>
          </cell>
          <cell r="G1011" t="str">
            <v>Pune Wagholi RSA</v>
          </cell>
          <cell r="J1011" t="str">
            <v>Ghodegaon_Ambegaon</v>
          </cell>
          <cell r="K1011" t="str">
            <v>Pune</v>
          </cell>
          <cell r="L1011" t="str">
            <v>D2</v>
          </cell>
          <cell r="O1011" t="str">
            <v>B</v>
          </cell>
        </row>
        <row r="1012">
          <cell r="C1012">
            <v>41053026</v>
          </cell>
          <cell r="D1012" t="str">
            <v>R R Petroleum</v>
          </cell>
          <cell r="E1012" t="str">
            <v>HPCL</v>
          </cell>
          <cell r="G1012" t="str">
            <v>Ahmednagar East RSA</v>
          </cell>
          <cell r="J1012" t="str">
            <v>Chas</v>
          </cell>
          <cell r="K1012" t="str">
            <v>Ahmednagar</v>
          </cell>
          <cell r="L1012" t="str">
            <v>D1</v>
          </cell>
          <cell r="M1012" t="str">
            <v>NH-753F</v>
          </cell>
          <cell r="O1012" t="str">
            <v>A</v>
          </cell>
        </row>
        <row r="1013">
          <cell r="C1013">
            <v>41053028</v>
          </cell>
          <cell r="D1013" t="str">
            <v>Ranjeet Petroleum</v>
          </cell>
          <cell r="E1013" t="str">
            <v>HPCL</v>
          </cell>
          <cell r="G1013" t="str">
            <v>Ahmednagar East RSA</v>
          </cell>
          <cell r="J1013" t="str">
            <v>MIDC Nagapur</v>
          </cell>
          <cell r="K1013" t="str">
            <v>Ahmednagar</v>
          </cell>
          <cell r="L1013" t="str">
            <v>D2</v>
          </cell>
          <cell r="O1013" t="str">
            <v>A</v>
          </cell>
        </row>
        <row r="1014">
          <cell r="C1014">
            <v>41053029</v>
          </cell>
          <cell r="D1014" t="str">
            <v>Sonal Petroleum</v>
          </cell>
          <cell r="E1014" t="str">
            <v>HPCL</v>
          </cell>
          <cell r="G1014" t="str">
            <v>Ahmednagar East RSA</v>
          </cell>
          <cell r="J1014" t="str">
            <v>Kamargaon</v>
          </cell>
          <cell r="K1014" t="str">
            <v>Ahmednagar</v>
          </cell>
          <cell r="L1014" t="str">
            <v>D1</v>
          </cell>
          <cell r="M1014" t="str">
            <v>NH-753F</v>
          </cell>
          <cell r="O1014" t="str">
            <v>A</v>
          </cell>
        </row>
        <row r="1015">
          <cell r="C1015">
            <v>41053035</v>
          </cell>
          <cell r="D1015" t="str">
            <v>SHRI  SAI  SEVA  PETROLEUM</v>
          </cell>
          <cell r="E1015" t="str">
            <v>HPCL</v>
          </cell>
          <cell r="G1015" t="str">
            <v>Satara East RSA</v>
          </cell>
          <cell r="J1015" t="str">
            <v>pusegaon phaltan road</v>
          </cell>
          <cell r="K1015" t="str">
            <v>Satara</v>
          </cell>
          <cell r="L1015" t="str">
            <v>D2</v>
          </cell>
          <cell r="O1015" t="str">
            <v>B</v>
          </cell>
        </row>
        <row r="1016">
          <cell r="C1016">
            <v>41053040</v>
          </cell>
          <cell r="D1016" t="str">
            <v>KHED TAL SAHA KV SANGHA LTD</v>
          </cell>
          <cell r="E1016" t="str">
            <v>HPCL</v>
          </cell>
          <cell r="G1016" t="str">
            <v>Pimpri Chinchwad RSA</v>
          </cell>
          <cell r="J1016" t="str">
            <v>chakan to rajgurunagar LHS</v>
          </cell>
          <cell r="K1016" t="str">
            <v>Pune</v>
          </cell>
          <cell r="L1016" t="str">
            <v>D1</v>
          </cell>
          <cell r="M1016" t="str">
            <v>NH-60</v>
          </cell>
          <cell r="O1016" t="str">
            <v>B</v>
          </cell>
        </row>
        <row r="1017">
          <cell r="C1017">
            <v>41053043</v>
          </cell>
          <cell r="D1017" t="str">
            <v>PVP AUTO SERVICE</v>
          </cell>
          <cell r="E1017" t="str">
            <v>HPCL</v>
          </cell>
          <cell r="G1017" t="str">
            <v>Pune Wagholi RSA</v>
          </cell>
          <cell r="J1017" t="str">
            <v>Jambut</v>
          </cell>
          <cell r="K1017" t="str">
            <v>Pune</v>
          </cell>
          <cell r="L1017" t="str">
            <v>E</v>
          </cell>
          <cell r="O1017" t="str">
            <v>B</v>
          </cell>
        </row>
        <row r="1018">
          <cell r="C1018">
            <v>41053132</v>
          </cell>
          <cell r="D1018" t="str">
            <v>B  K  BORATE &amp; SONS</v>
          </cell>
          <cell r="E1018" t="str">
            <v>HPCL</v>
          </cell>
          <cell r="G1018" t="str">
            <v>Satara West RSA</v>
          </cell>
          <cell r="J1018" t="str">
            <v>Karad on NH48 LHS</v>
          </cell>
          <cell r="K1018" t="str">
            <v>Satara</v>
          </cell>
          <cell r="L1018" t="str">
            <v>D1</v>
          </cell>
          <cell r="M1018" t="str">
            <v>NH-48</v>
          </cell>
          <cell r="O1018" t="str">
            <v>A</v>
          </cell>
        </row>
        <row r="1019">
          <cell r="C1019">
            <v>41053134</v>
          </cell>
          <cell r="D1019" t="str">
            <v>Loni BK</v>
          </cell>
          <cell r="E1019" t="str">
            <v>HPCL</v>
          </cell>
          <cell r="G1019" t="str">
            <v>Shirdi RSA</v>
          </cell>
          <cell r="J1019" t="str">
            <v>LONI PRAVARA SH</v>
          </cell>
          <cell r="K1019" t="str">
            <v>Ahmednagar</v>
          </cell>
          <cell r="L1019" t="str">
            <v>D2</v>
          </cell>
          <cell r="O1019" t="str">
            <v>A</v>
          </cell>
        </row>
        <row r="1020">
          <cell r="C1020">
            <v>41053142</v>
          </cell>
          <cell r="D1020" t="str">
            <v>SHREE SOMESHWAR SSK LTD</v>
          </cell>
          <cell r="E1020" t="str">
            <v>HPCL</v>
          </cell>
          <cell r="G1020" t="str">
            <v>Pune Tathawade RSA</v>
          </cell>
          <cell r="J1020" t="str">
            <v>Nimbut to Someshwar Nagar</v>
          </cell>
          <cell r="K1020" t="str">
            <v>Pune</v>
          </cell>
          <cell r="L1020" t="str">
            <v>D2</v>
          </cell>
          <cell r="O1020" t="str">
            <v>B</v>
          </cell>
        </row>
        <row r="1021">
          <cell r="C1021">
            <v>41053239</v>
          </cell>
          <cell r="D1021" t="str">
            <v>DEEPAL  PETROLEUM</v>
          </cell>
          <cell r="E1021" t="str">
            <v>HPCL</v>
          </cell>
          <cell r="G1021" t="str">
            <v>Satara West RSA</v>
          </cell>
          <cell r="J1021" t="str">
            <v>Wai</v>
          </cell>
          <cell r="K1021" t="str">
            <v>Satara</v>
          </cell>
          <cell r="L1021" t="str">
            <v>D2</v>
          </cell>
          <cell r="O1021" t="str">
            <v>A</v>
          </cell>
        </row>
        <row r="1022">
          <cell r="C1022">
            <v>41053267</v>
          </cell>
          <cell r="D1022" t="str">
            <v>SUSHMA  AUTO,KHED</v>
          </cell>
          <cell r="E1022" t="str">
            <v>HPCL</v>
          </cell>
          <cell r="G1022" t="str">
            <v>Satara West RSA</v>
          </cell>
          <cell r="J1022" t="str">
            <v>Satara to Bhuinj</v>
          </cell>
          <cell r="K1022" t="str">
            <v>Satara</v>
          </cell>
          <cell r="L1022" t="str">
            <v>D1</v>
          </cell>
          <cell r="M1022" t="str">
            <v>NH-48</v>
          </cell>
          <cell r="O1022" t="str">
            <v>A</v>
          </cell>
        </row>
        <row r="1023">
          <cell r="C1023">
            <v>41053283</v>
          </cell>
          <cell r="D1023" t="str">
            <v>Rukmini Petroleum</v>
          </cell>
          <cell r="E1023" t="str">
            <v>HPCL</v>
          </cell>
          <cell r="G1023" t="str">
            <v>Shirdi RSA</v>
          </cell>
          <cell r="J1023" t="str">
            <v>VADGAONPAN</v>
          </cell>
          <cell r="K1023" t="str">
            <v>Ahmednagar</v>
          </cell>
          <cell r="L1023" t="str">
            <v>D2</v>
          </cell>
          <cell r="O1023" t="str">
            <v>A</v>
          </cell>
        </row>
        <row r="1024">
          <cell r="C1024">
            <v>41053453</v>
          </cell>
          <cell r="D1024" t="str">
            <v>Sai Petroleum</v>
          </cell>
          <cell r="E1024" t="str">
            <v>HPCL</v>
          </cell>
          <cell r="G1024" t="str">
            <v>Ahmednagar East RSA</v>
          </cell>
          <cell r="J1024" t="str">
            <v>Gavhenwadi</v>
          </cell>
          <cell r="K1024" t="str">
            <v>Ahmednagar</v>
          </cell>
          <cell r="L1024" t="str">
            <v>D1</v>
          </cell>
          <cell r="M1024" t="str">
            <v>NH-753F</v>
          </cell>
          <cell r="O1024" t="str">
            <v>A</v>
          </cell>
        </row>
        <row r="1025">
          <cell r="C1025">
            <v>41053468</v>
          </cell>
          <cell r="D1025" t="str">
            <v>Vishnavi Petoleum</v>
          </cell>
          <cell r="E1025" t="str">
            <v>HPCL</v>
          </cell>
          <cell r="G1025" t="str">
            <v>Ahmednagar East RSA</v>
          </cell>
          <cell r="J1025" t="str">
            <v>WAMBHORI</v>
          </cell>
          <cell r="K1025" t="str">
            <v>Ahmednagar</v>
          </cell>
          <cell r="L1025" t="str">
            <v>D2</v>
          </cell>
          <cell r="O1025" t="str">
            <v>B</v>
          </cell>
        </row>
        <row r="1026">
          <cell r="C1026">
            <v>41053469</v>
          </cell>
          <cell r="D1026" t="str">
            <v>Bhapkar Petroleum</v>
          </cell>
          <cell r="E1026" t="str">
            <v>HPCL</v>
          </cell>
          <cell r="G1026" t="str">
            <v>Ahmednagar East RSA</v>
          </cell>
          <cell r="J1026" t="str">
            <v>Supe toll</v>
          </cell>
          <cell r="K1026" t="str">
            <v>Ahmednagar</v>
          </cell>
          <cell r="L1026" t="str">
            <v>D1</v>
          </cell>
          <cell r="M1026" t="str">
            <v>NH-753F</v>
          </cell>
          <cell r="O1026" t="str">
            <v>A</v>
          </cell>
        </row>
        <row r="1027">
          <cell r="C1027">
            <v>41053471</v>
          </cell>
          <cell r="D1027" t="str">
            <v>Jai Janardhan Petroleum</v>
          </cell>
          <cell r="E1027" t="str">
            <v>HPCL</v>
          </cell>
          <cell r="G1027" t="str">
            <v>Shirdi RSA</v>
          </cell>
          <cell r="J1027" t="str">
            <v>PUNTAMBA PHATA</v>
          </cell>
          <cell r="K1027" t="str">
            <v>Ahmednagar</v>
          </cell>
          <cell r="L1027" t="str">
            <v>D1</v>
          </cell>
          <cell r="M1027" t="str">
            <v>NH-752G</v>
          </cell>
          <cell r="O1027" t="str">
            <v>B</v>
          </cell>
        </row>
        <row r="1028">
          <cell r="C1028">
            <v>41053493</v>
          </cell>
          <cell r="D1028" t="str">
            <v>Rohan Petroleum</v>
          </cell>
          <cell r="E1028" t="str">
            <v>HPCL</v>
          </cell>
          <cell r="G1028" t="str">
            <v>Ahmednagar East RSA</v>
          </cell>
          <cell r="J1028" t="str">
            <v>Ghodegaon</v>
          </cell>
          <cell r="K1028" t="str">
            <v>Ahmednagar</v>
          </cell>
          <cell r="L1028" t="str">
            <v>D1</v>
          </cell>
          <cell r="M1028" t="str">
            <v>NH-753F</v>
          </cell>
          <cell r="O1028" t="str">
            <v>A</v>
          </cell>
        </row>
        <row r="1029">
          <cell r="C1029">
            <v>41053591</v>
          </cell>
          <cell r="D1029" t="str">
            <v>Sairaj Petroleum</v>
          </cell>
          <cell r="E1029" t="str">
            <v>HPCL</v>
          </cell>
          <cell r="G1029" t="str">
            <v>Ahmednagar East RSA</v>
          </cell>
          <cell r="J1029" t="str">
            <v>Nagar-Manmad Bypass</v>
          </cell>
          <cell r="K1029" t="str">
            <v>Ahmednagar</v>
          </cell>
          <cell r="L1029" t="str">
            <v>D1</v>
          </cell>
          <cell r="M1029" t="str">
            <v>NH-160</v>
          </cell>
          <cell r="O1029" t="str">
            <v>A</v>
          </cell>
        </row>
        <row r="1030">
          <cell r="C1030">
            <v>41053593</v>
          </cell>
          <cell r="D1030" t="str">
            <v>Narmada Petroleum</v>
          </cell>
          <cell r="E1030" t="str">
            <v>HPCL</v>
          </cell>
          <cell r="G1030" t="str">
            <v>Ahmednagar East RSA</v>
          </cell>
          <cell r="J1030" t="str">
            <v>Bhenda</v>
          </cell>
          <cell r="K1030" t="str">
            <v>Ahmednagar</v>
          </cell>
          <cell r="L1030" t="str">
            <v>D2</v>
          </cell>
          <cell r="O1030" t="str">
            <v>A</v>
          </cell>
        </row>
        <row r="1031">
          <cell r="C1031">
            <v>41053710</v>
          </cell>
          <cell r="D1031" t="str">
            <v>Motilal Manekchand</v>
          </cell>
          <cell r="E1031" t="str">
            <v>HPCL</v>
          </cell>
          <cell r="G1031" t="str">
            <v>Ahmednagar East RSA</v>
          </cell>
          <cell r="J1031" t="str">
            <v>Nagar city</v>
          </cell>
          <cell r="K1031" t="str">
            <v>Ahmednagar</v>
          </cell>
          <cell r="L1031" t="str">
            <v>D1</v>
          </cell>
          <cell r="M1031" t="str">
            <v>NH-753F</v>
          </cell>
          <cell r="O1031" t="str">
            <v>A</v>
          </cell>
        </row>
        <row r="1032">
          <cell r="C1032">
            <v>41053713</v>
          </cell>
          <cell r="D1032" t="str">
            <v>INDUSTRIAL SERVICE STATION</v>
          </cell>
          <cell r="E1032" t="str">
            <v>HPCL</v>
          </cell>
          <cell r="G1032" t="str">
            <v>Pimpri Chinchwad RSA</v>
          </cell>
          <cell r="J1032" t="str">
            <v>Akurdi</v>
          </cell>
          <cell r="K1032" t="str">
            <v>Pune</v>
          </cell>
          <cell r="L1032" t="str">
            <v>A</v>
          </cell>
          <cell r="O1032" t="str">
            <v>A</v>
          </cell>
        </row>
        <row r="1033">
          <cell r="C1033">
            <v>41053717</v>
          </cell>
          <cell r="D1033" t="str">
            <v>Shriram Automobiles</v>
          </cell>
          <cell r="E1033" t="str">
            <v>HPCL</v>
          </cell>
          <cell r="G1033" t="str">
            <v>Ahmednagar East RSA</v>
          </cell>
          <cell r="J1033" t="str">
            <v>SARJEPURA</v>
          </cell>
          <cell r="K1033" t="str">
            <v>Ahmednagar</v>
          </cell>
          <cell r="L1033" t="str">
            <v>C</v>
          </cell>
          <cell r="O1033" t="str">
            <v>A</v>
          </cell>
        </row>
        <row r="1034">
          <cell r="C1034">
            <v>41053723</v>
          </cell>
          <cell r="D1034" t="str">
            <v>B.U. BHANDARI AND SONS</v>
          </cell>
          <cell r="E1034" t="str">
            <v>HPCL</v>
          </cell>
          <cell r="G1034" t="str">
            <v>Pune City RSA</v>
          </cell>
          <cell r="J1034" t="str">
            <v>Kasarwadi</v>
          </cell>
          <cell r="K1034" t="str">
            <v>Pune</v>
          </cell>
          <cell r="L1034" t="str">
            <v>A</v>
          </cell>
          <cell r="O1034" t="str">
            <v>A</v>
          </cell>
        </row>
        <row r="1035">
          <cell r="C1035">
            <v>41053724</v>
          </cell>
          <cell r="D1035" t="str">
            <v>KONDE DESHMUKH BROS</v>
          </cell>
          <cell r="E1035" t="str">
            <v>HPCL</v>
          </cell>
          <cell r="G1035" t="str">
            <v>Pune Tathawade RSA</v>
          </cell>
          <cell r="J1035" t="str">
            <v>JAMBHULWADI TO KHED SHIVAPUR</v>
          </cell>
          <cell r="K1035" t="str">
            <v>Pune</v>
          </cell>
          <cell r="L1035" t="str">
            <v>D1</v>
          </cell>
          <cell r="M1035" t="str">
            <v>NH-48</v>
          </cell>
          <cell r="O1035" t="str">
            <v>A</v>
          </cell>
        </row>
        <row r="1036">
          <cell r="C1036">
            <v>41053726</v>
          </cell>
          <cell r="D1036" t="str">
            <v>Ganesh SSK Ltd.</v>
          </cell>
          <cell r="E1036" t="str">
            <v>HPCL</v>
          </cell>
          <cell r="G1036" t="str">
            <v>Shirdi RSA</v>
          </cell>
          <cell r="J1036" t="str">
            <v>GANESHNAGAR</v>
          </cell>
          <cell r="K1036" t="str">
            <v>Ahmednagar</v>
          </cell>
          <cell r="L1036" t="str">
            <v>E</v>
          </cell>
          <cell r="O1036" t="str">
            <v>A</v>
          </cell>
        </row>
        <row r="1037">
          <cell r="C1037">
            <v>41053729</v>
          </cell>
          <cell r="D1037" t="str">
            <v>LONAVALA PETROL DEPOT</v>
          </cell>
          <cell r="E1037" t="str">
            <v>HPCL</v>
          </cell>
          <cell r="G1037" t="str">
            <v>Pune Tathawade RSA</v>
          </cell>
          <cell r="J1037" t="str">
            <v>Lonavala</v>
          </cell>
          <cell r="K1037" t="str">
            <v>Pune</v>
          </cell>
          <cell r="L1037" t="str">
            <v>D1</v>
          </cell>
          <cell r="M1037" t="str">
            <v>NH-48</v>
          </cell>
          <cell r="O1037" t="str">
            <v>A</v>
          </cell>
        </row>
        <row r="1038">
          <cell r="C1038">
            <v>41053736</v>
          </cell>
          <cell r="D1038" t="str">
            <v>INDUSTRIAL  ENGINEERING CO.</v>
          </cell>
          <cell r="E1038" t="str">
            <v>HPCL</v>
          </cell>
          <cell r="G1038" t="str">
            <v>Satara East RSA</v>
          </cell>
          <cell r="J1038" t="str">
            <v>Phalton bus stand</v>
          </cell>
          <cell r="K1038" t="str">
            <v>Satara</v>
          </cell>
          <cell r="L1038" t="str">
            <v>D2</v>
          </cell>
          <cell r="O1038" t="str">
            <v>B</v>
          </cell>
        </row>
        <row r="1039">
          <cell r="C1039">
            <v>41053737</v>
          </cell>
          <cell r="D1039" t="str">
            <v>B.U. BHANDARI SERVICE STATION</v>
          </cell>
          <cell r="E1039" t="str">
            <v>HPCL</v>
          </cell>
          <cell r="G1039" t="str">
            <v>Pune City RSA</v>
          </cell>
          <cell r="J1039" t="str">
            <v>FC ROAD</v>
          </cell>
          <cell r="K1039" t="str">
            <v>Pune</v>
          </cell>
          <cell r="L1039" t="str">
            <v>A</v>
          </cell>
          <cell r="O1039" t="str">
            <v>A</v>
          </cell>
        </row>
        <row r="1040">
          <cell r="C1040">
            <v>41053738</v>
          </cell>
          <cell r="D1040" t="str">
            <v>G H NEWASKAR, Wagholi (HSD)MS BHAVANI PETH</v>
          </cell>
          <cell r="E1040" t="str">
            <v>HPCL</v>
          </cell>
          <cell r="G1040" t="str">
            <v>Pune City RSA</v>
          </cell>
          <cell r="J1040" t="str">
            <v>Wagholi</v>
          </cell>
          <cell r="K1040" t="str">
            <v>Pune</v>
          </cell>
          <cell r="L1040" t="str">
            <v>A</v>
          </cell>
          <cell r="M1040" t="str">
            <v>NH-753F</v>
          </cell>
          <cell r="O1040" t="str">
            <v>A</v>
          </cell>
        </row>
        <row r="1041">
          <cell r="C1041">
            <v>41053739</v>
          </cell>
          <cell r="D1041" t="str">
            <v>N.M. SERVICE STATION</v>
          </cell>
          <cell r="E1041" t="str">
            <v>HPCL</v>
          </cell>
          <cell r="G1041" t="str">
            <v>Pune City RSA</v>
          </cell>
          <cell r="J1041" t="str">
            <v>GPO</v>
          </cell>
          <cell r="K1041" t="str">
            <v>Pune</v>
          </cell>
          <cell r="L1041" t="str">
            <v>A</v>
          </cell>
          <cell r="O1041" t="str">
            <v>A</v>
          </cell>
        </row>
        <row r="1042">
          <cell r="C1042">
            <v>41053740</v>
          </cell>
          <cell r="D1042" t="str">
            <v>RAHIM SERVICE STATION, MS</v>
          </cell>
          <cell r="E1042" t="str">
            <v>HPCL</v>
          </cell>
          <cell r="G1042" t="str">
            <v>Pune City RSA</v>
          </cell>
          <cell r="J1042" t="str">
            <v>MOLEDINA ROAD/E STREET</v>
          </cell>
          <cell r="K1042" t="str">
            <v>Pune</v>
          </cell>
          <cell r="L1042" t="str">
            <v>A</v>
          </cell>
          <cell r="O1042" t="str">
            <v>A</v>
          </cell>
        </row>
        <row r="1043">
          <cell r="C1043">
            <v>41053782</v>
          </cell>
          <cell r="D1043" t="str">
            <v>SANGOI SERVICE STATION</v>
          </cell>
          <cell r="E1043" t="str">
            <v>HPCL</v>
          </cell>
          <cell r="G1043" t="str">
            <v>Pune City RSA</v>
          </cell>
          <cell r="J1043" t="str">
            <v>GANESH KHIND ROAD</v>
          </cell>
          <cell r="K1043" t="str">
            <v>Pune</v>
          </cell>
          <cell r="L1043" t="str">
            <v>A</v>
          </cell>
          <cell r="O1043" t="str">
            <v>A</v>
          </cell>
        </row>
        <row r="1044">
          <cell r="C1044">
            <v>41053786</v>
          </cell>
          <cell r="D1044" t="str">
            <v>SHIROLE BROS</v>
          </cell>
          <cell r="E1044" t="str">
            <v>HPCL</v>
          </cell>
          <cell r="G1044" t="str">
            <v>Pune Tathawade RSA</v>
          </cell>
          <cell r="J1044" t="str">
            <v>BALEWADI TO DEHU ROAD</v>
          </cell>
          <cell r="K1044" t="str">
            <v>Pune</v>
          </cell>
          <cell r="L1044" t="str">
            <v>A</v>
          </cell>
          <cell r="M1044" t="str">
            <v>NH-48</v>
          </cell>
          <cell r="O1044" t="str">
            <v>A</v>
          </cell>
        </row>
        <row r="1045">
          <cell r="C1045">
            <v>41053788</v>
          </cell>
          <cell r="D1045" t="str">
            <v>SIDDHESWAR SERVICE STATION</v>
          </cell>
          <cell r="E1045" t="str">
            <v>HPCL</v>
          </cell>
          <cell r="G1045" t="str">
            <v>Pune Hadapsar RSA</v>
          </cell>
          <cell r="J1045" t="str">
            <v>Hadapsar RHS</v>
          </cell>
          <cell r="K1045" t="str">
            <v>Pune</v>
          </cell>
          <cell r="L1045" t="str">
            <v>A</v>
          </cell>
          <cell r="O1045" t="str">
            <v>A</v>
          </cell>
        </row>
        <row r="1046">
          <cell r="C1046">
            <v>41053790</v>
          </cell>
          <cell r="D1046" t="str">
            <v>CHAKAN PETROL DEPOT</v>
          </cell>
          <cell r="E1046" t="str">
            <v>HPCL</v>
          </cell>
          <cell r="G1046" t="str">
            <v>Pimpri Chinchwad RSA</v>
          </cell>
          <cell r="J1046" t="str">
            <v>CHAKAN NH-60 RHS</v>
          </cell>
          <cell r="K1046" t="str">
            <v>Pune</v>
          </cell>
          <cell r="L1046" t="str">
            <v>D1</v>
          </cell>
          <cell r="M1046" t="str">
            <v>NH-60</v>
          </cell>
          <cell r="O1046" t="str">
            <v>A</v>
          </cell>
        </row>
        <row r="1047">
          <cell r="C1047">
            <v>41053792</v>
          </cell>
          <cell r="D1047" t="str">
            <v>MITRA SAGAR</v>
          </cell>
          <cell r="E1047" t="str">
            <v>HPCL</v>
          </cell>
          <cell r="G1047" t="str">
            <v>Pune Wagholi RSA</v>
          </cell>
          <cell r="J1047" t="str">
            <v>Manchar</v>
          </cell>
          <cell r="K1047" t="str">
            <v>Pune</v>
          </cell>
          <cell r="L1047" t="str">
            <v>C</v>
          </cell>
          <cell r="O1047" t="str">
            <v>B</v>
          </cell>
        </row>
        <row r="1048">
          <cell r="C1048">
            <v>41053794</v>
          </cell>
          <cell r="D1048" t="str">
            <v>Shivdas Ramratan</v>
          </cell>
          <cell r="E1048" t="str">
            <v>HPCL</v>
          </cell>
          <cell r="G1048" t="str">
            <v>Shirdi RSA</v>
          </cell>
          <cell r="J1048" t="str">
            <v>DILLI NAKA SANGAMNER</v>
          </cell>
          <cell r="K1048" t="str">
            <v>Ahmednagar</v>
          </cell>
          <cell r="L1048" t="str">
            <v>C</v>
          </cell>
          <cell r="O1048" t="str">
            <v>A</v>
          </cell>
        </row>
        <row r="1049">
          <cell r="C1049">
            <v>41053804</v>
          </cell>
          <cell r="D1049" t="str">
            <v>G. K. Parikh &amp; Sons</v>
          </cell>
          <cell r="E1049" t="str">
            <v>HPCL</v>
          </cell>
          <cell r="G1049" t="str">
            <v>Ahmednagar East RSA</v>
          </cell>
          <cell r="J1049" t="str">
            <v>Ghodegaon</v>
          </cell>
          <cell r="K1049" t="str">
            <v>Ahmednagar</v>
          </cell>
          <cell r="L1049" t="str">
            <v>D1</v>
          </cell>
          <cell r="M1049" t="str">
            <v>NH-753F</v>
          </cell>
          <cell r="O1049" t="str">
            <v>A</v>
          </cell>
        </row>
        <row r="1050">
          <cell r="C1050">
            <v>41053827</v>
          </cell>
          <cell r="D1050" t="str">
            <v>Om Petroleum</v>
          </cell>
          <cell r="E1050" t="str">
            <v>HPCL</v>
          </cell>
          <cell r="G1050" t="str">
            <v>Shirdi RSA</v>
          </cell>
          <cell r="J1050" t="str">
            <v>TALEGAON SANGAMNER SH</v>
          </cell>
          <cell r="K1050" t="str">
            <v>Ahmednagar</v>
          </cell>
          <cell r="L1050" t="str">
            <v>D2</v>
          </cell>
          <cell r="O1050" t="str">
            <v>B</v>
          </cell>
        </row>
        <row r="1051">
          <cell r="C1051">
            <v>41053968</v>
          </cell>
          <cell r="D1051" t="str">
            <v>Laxmi Petroleum</v>
          </cell>
          <cell r="E1051" t="str">
            <v>HPCL</v>
          </cell>
          <cell r="G1051" t="str">
            <v>Shirdi RSA</v>
          </cell>
          <cell r="J1051" t="str">
            <v>AKOLE</v>
          </cell>
          <cell r="K1051" t="str">
            <v>Ahmednagar</v>
          </cell>
          <cell r="L1051" t="str">
            <v>D2</v>
          </cell>
          <cell r="O1051" t="str">
            <v>B</v>
          </cell>
        </row>
        <row r="1052">
          <cell r="C1052">
            <v>41053973</v>
          </cell>
          <cell r="D1052" t="str">
            <v>Madhav Petroleum</v>
          </cell>
          <cell r="E1052" t="str">
            <v>HPCL</v>
          </cell>
          <cell r="G1052" t="str">
            <v>Ahmednagar East RSA</v>
          </cell>
          <cell r="J1052" t="str">
            <v>WAMBHORI PHATA ON NH160</v>
          </cell>
          <cell r="K1052" t="str">
            <v>Ahmednagar</v>
          </cell>
          <cell r="L1052" t="str">
            <v>D1</v>
          </cell>
          <cell r="M1052" t="str">
            <v>NH-160</v>
          </cell>
          <cell r="O1052" t="str">
            <v>B</v>
          </cell>
        </row>
        <row r="1053">
          <cell r="C1053">
            <v>41054001</v>
          </cell>
          <cell r="D1053" t="str">
            <v>Utkarsha Fuel</v>
          </cell>
          <cell r="E1053" t="str">
            <v>HPCL</v>
          </cell>
          <cell r="G1053" t="str">
            <v>Ahmednagar West RSA</v>
          </cell>
          <cell r="J1053" t="str">
            <v>ARANGAON</v>
          </cell>
          <cell r="K1053" t="str">
            <v>Ahmednagar</v>
          </cell>
          <cell r="L1053" t="str">
            <v>D1</v>
          </cell>
          <cell r="M1053" t="str">
            <v>NH-160</v>
          </cell>
          <cell r="O1053" t="str">
            <v>A</v>
          </cell>
        </row>
        <row r="1054">
          <cell r="C1054">
            <v>41054461</v>
          </cell>
          <cell r="D1054" t="str">
            <v>Aditya Petroleum</v>
          </cell>
          <cell r="E1054" t="str">
            <v>HPCL</v>
          </cell>
          <cell r="G1054" t="str">
            <v>Shirdi RSA</v>
          </cell>
          <cell r="J1054" t="str">
            <v>PUNTAMBA</v>
          </cell>
          <cell r="K1054" t="str">
            <v>Ahmednagar</v>
          </cell>
          <cell r="L1054" t="str">
            <v>E</v>
          </cell>
          <cell r="O1054" t="str">
            <v>A</v>
          </cell>
        </row>
        <row r="1055">
          <cell r="C1055">
            <v>41054465</v>
          </cell>
          <cell r="D1055" t="str">
            <v>Malganga Fuel Centre</v>
          </cell>
          <cell r="E1055" t="str">
            <v>HPCL</v>
          </cell>
          <cell r="G1055" t="str">
            <v>Ahmednagar West RSA</v>
          </cell>
          <cell r="J1055" t="str">
            <v>Nighoj</v>
          </cell>
          <cell r="K1055" t="str">
            <v>Ahmednagar</v>
          </cell>
          <cell r="L1055" t="str">
            <v>D1</v>
          </cell>
          <cell r="M1055" t="str">
            <v>NH-761</v>
          </cell>
          <cell r="O1055" t="str">
            <v>A</v>
          </cell>
        </row>
        <row r="1056">
          <cell r="C1056">
            <v>41091336</v>
          </cell>
          <cell r="D1056" t="str">
            <v>ADHOC VAIBHAV PETROLEUM (41054466 Indrajeet Petroleum/Adhoc Chandrama Petroleum)</v>
          </cell>
          <cell r="E1056" t="str">
            <v>HPCL</v>
          </cell>
          <cell r="G1056" t="str">
            <v>Ahmednagar West RSA</v>
          </cell>
          <cell r="J1056" t="str">
            <v>Ruichattisi</v>
          </cell>
          <cell r="K1056" t="str">
            <v>Ahmednagar</v>
          </cell>
          <cell r="L1056" t="str">
            <v>D1</v>
          </cell>
          <cell r="M1056" t="str">
            <v>NH-160</v>
          </cell>
          <cell r="O1056" t="str">
            <v>A</v>
          </cell>
        </row>
        <row r="1057">
          <cell r="C1057">
            <v>41055210</v>
          </cell>
          <cell r="D1057" t="str">
            <v>Sohamm Petroleum</v>
          </cell>
          <cell r="E1057" t="str">
            <v>HPCL</v>
          </cell>
          <cell r="G1057" t="str">
            <v>Shirdi RSA</v>
          </cell>
          <cell r="J1057" t="str">
            <v>GHARGAON Nashik-Pune LHS</v>
          </cell>
          <cell r="K1057" t="str">
            <v>Ahmednagar</v>
          </cell>
          <cell r="L1057" t="str">
            <v>D1</v>
          </cell>
          <cell r="M1057" t="str">
            <v>NH-60</v>
          </cell>
          <cell r="O1057" t="str">
            <v>A</v>
          </cell>
        </row>
        <row r="1058">
          <cell r="C1058">
            <v>41055214</v>
          </cell>
          <cell r="D1058" t="str">
            <v>D S Petro Junction</v>
          </cell>
          <cell r="E1058" t="str">
            <v>HPCL</v>
          </cell>
          <cell r="G1058" t="str">
            <v>Ahmednagar East RSA</v>
          </cell>
          <cell r="J1058" t="str">
            <v>Kangoni</v>
          </cell>
          <cell r="K1058" t="str">
            <v>Ahmednagar</v>
          </cell>
          <cell r="L1058" t="str">
            <v>D1</v>
          </cell>
          <cell r="M1058" t="str">
            <v>NH-753F</v>
          </cell>
          <cell r="O1058" t="str">
            <v>A</v>
          </cell>
        </row>
        <row r="1059">
          <cell r="C1059">
            <v>41055216</v>
          </cell>
          <cell r="D1059" t="str">
            <v xml:space="preserve">Anuraag Pet. </v>
          </cell>
          <cell r="E1059" t="str">
            <v>HPCL</v>
          </cell>
          <cell r="G1059" t="str">
            <v>Ahmednagar East RSA</v>
          </cell>
          <cell r="J1059" t="str">
            <v>Shevgaon</v>
          </cell>
          <cell r="K1059" t="str">
            <v>Ahmednagar</v>
          </cell>
          <cell r="L1059" t="str">
            <v>D2</v>
          </cell>
          <cell r="O1059" t="str">
            <v>B</v>
          </cell>
        </row>
        <row r="1060">
          <cell r="C1060">
            <v>41055217</v>
          </cell>
          <cell r="D1060" t="str">
            <v>Shri Siddhi Petroleum</v>
          </cell>
          <cell r="E1060" t="str">
            <v>HPCL</v>
          </cell>
          <cell r="G1060" t="str">
            <v>Ahmednagar West RSA</v>
          </cell>
          <cell r="J1060" t="str">
            <v>Walunj</v>
          </cell>
          <cell r="K1060" t="str">
            <v>Ahmednagar</v>
          </cell>
          <cell r="L1060" t="str">
            <v>D2</v>
          </cell>
          <cell r="O1060" t="str">
            <v>A</v>
          </cell>
        </row>
        <row r="1061">
          <cell r="C1061">
            <v>41055291</v>
          </cell>
          <cell r="D1061" t="str">
            <v>Vrushali Janjire Fuel Centre</v>
          </cell>
          <cell r="E1061" t="str">
            <v>HPCL</v>
          </cell>
          <cell r="G1061" t="str">
            <v>Ahmednagar West RSA</v>
          </cell>
          <cell r="J1061" t="str">
            <v>Rashin</v>
          </cell>
          <cell r="K1061" t="str">
            <v>Ahmednagar</v>
          </cell>
          <cell r="L1061" t="str">
            <v>D2</v>
          </cell>
          <cell r="O1061" t="str">
            <v>A</v>
          </cell>
        </row>
        <row r="1062">
          <cell r="C1062">
            <v>41055292</v>
          </cell>
          <cell r="D1062" t="str">
            <v>Sanskriti Fuel Centre</v>
          </cell>
          <cell r="E1062" t="str">
            <v>HPCL</v>
          </cell>
          <cell r="G1062" t="str">
            <v>Ahmednagar West RSA</v>
          </cell>
          <cell r="J1062" t="str">
            <v>Parner</v>
          </cell>
          <cell r="K1062" t="str">
            <v>Ahmednagar</v>
          </cell>
          <cell r="L1062" t="str">
            <v>D2</v>
          </cell>
          <cell r="O1062" t="str">
            <v>A</v>
          </cell>
        </row>
        <row r="1063">
          <cell r="C1063">
            <v>41055300</v>
          </cell>
          <cell r="D1063" t="str">
            <v>Prajeet Dhokeshwar Pet.</v>
          </cell>
          <cell r="E1063" t="str">
            <v>HPCL</v>
          </cell>
          <cell r="G1063" t="str">
            <v>Ahmednagar West RSA</v>
          </cell>
          <cell r="J1063" t="str">
            <v>Takli Dhokeshwar</v>
          </cell>
          <cell r="K1063" t="str">
            <v>Ahmednagar</v>
          </cell>
          <cell r="L1063" t="str">
            <v>D1</v>
          </cell>
          <cell r="M1063" t="str">
            <v>NH-61</v>
          </cell>
          <cell r="O1063" t="str">
            <v>A</v>
          </cell>
        </row>
        <row r="1064">
          <cell r="C1064">
            <v>41055567</v>
          </cell>
          <cell r="D1064" t="str">
            <v>Jai Sai Petroleum</v>
          </cell>
          <cell r="E1064" t="str">
            <v>HPCL</v>
          </cell>
          <cell r="G1064" t="str">
            <v>Shirdi RSA</v>
          </cell>
          <cell r="J1064" t="str">
            <v>TAKLIBHAN</v>
          </cell>
          <cell r="K1064" t="str">
            <v>Ahmednagar</v>
          </cell>
          <cell r="L1064" t="str">
            <v>D2</v>
          </cell>
          <cell r="O1064" t="str">
            <v>A</v>
          </cell>
        </row>
        <row r="1065">
          <cell r="C1065">
            <v>41055568</v>
          </cell>
          <cell r="D1065" t="str">
            <v>Nirmala Auto Care Cen.</v>
          </cell>
          <cell r="E1065" t="str">
            <v>HPCL</v>
          </cell>
          <cell r="G1065" t="str">
            <v>Ahmednagar West RSA</v>
          </cell>
          <cell r="J1065" t="str">
            <v>Walunj</v>
          </cell>
          <cell r="K1065" t="str">
            <v>Ahmednagar</v>
          </cell>
          <cell r="L1065" t="str">
            <v>D1</v>
          </cell>
          <cell r="M1065" t="str">
            <v>NH-561A</v>
          </cell>
          <cell r="O1065" t="str">
            <v>A</v>
          </cell>
        </row>
        <row r="1066">
          <cell r="C1066">
            <v>41055576</v>
          </cell>
          <cell r="D1066" t="str">
            <v>Chandrama Petroleum</v>
          </cell>
          <cell r="E1066" t="str">
            <v>HPCL</v>
          </cell>
          <cell r="G1066" t="str">
            <v>Ahmednagar West RSA</v>
          </cell>
          <cell r="J1066" t="str">
            <v>SHRIGONDA-NH</v>
          </cell>
          <cell r="K1066" t="str">
            <v>Ahmednagar</v>
          </cell>
          <cell r="L1066" t="str">
            <v>D1</v>
          </cell>
          <cell r="M1066" t="str">
            <v>NH-548D</v>
          </cell>
          <cell r="O1066" t="str">
            <v>A</v>
          </cell>
        </row>
        <row r="1067">
          <cell r="C1067">
            <v>41055737</v>
          </cell>
          <cell r="D1067" t="str">
            <v>SHIVNERI PETROLEUM</v>
          </cell>
          <cell r="E1067" t="str">
            <v>HPCL</v>
          </cell>
          <cell r="G1067" t="str">
            <v>Pune Wagholi RSA</v>
          </cell>
          <cell r="J1067" t="str">
            <v>Mengdewadi</v>
          </cell>
          <cell r="K1067" t="str">
            <v>Pune</v>
          </cell>
          <cell r="L1067" t="str">
            <v>E</v>
          </cell>
          <cell r="O1067" t="str">
            <v>A</v>
          </cell>
        </row>
        <row r="1068">
          <cell r="C1068">
            <v>41055738</v>
          </cell>
          <cell r="D1068" t="str">
            <v>SHAHID JAYWANT PATIL PETROLEUM</v>
          </cell>
          <cell r="E1068" t="str">
            <v>HPCL</v>
          </cell>
          <cell r="G1068" t="str">
            <v>Pune Tathawade RSA</v>
          </cell>
          <cell r="J1068" t="str">
            <v>SAROLA TO KAPURHOL</v>
          </cell>
          <cell r="K1068" t="str">
            <v>Pune</v>
          </cell>
          <cell r="L1068" t="str">
            <v>D1</v>
          </cell>
          <cell r="M1068" t="str">
            <v>NH-48</v>
          </cell>
          <cell r="O1068" t="str">
            <v>A</v>
          </cell>
        </row>
        <row r="1069">
          <cell r="C1069">
            <v>41055739</v>
          </cell>
          <cell r="D1069" t="str">
            <v>SHAHID VIJAY KHANDEKAR  PETROLEUM</v>
          </cell>
          <cell r="E1069" t="str">
            <v>HPCL</v>
          </cell>
          <cell r="G1069" t="str">
            <v>Pimpri Chinchwad RSA</v>
          </cell>
          <cell r="J1069" t="str">
            <v>Kharabwadi</v>
          </cell>
          <cell r="K1069" t="str">
            <v>Pune</v>
          </cell>
          <cell r="L1069" t="str">
            <v>D1</v>
          </cell>
          <cell r="M1069" t="str">
            <v>NH-548D</v>
          </cell>
          <cell r="O1069" t="str">
            <v>A</v>
          </cell>
        </row>
        <row r="1070">
          <cell r="C1070">
            <v>41055741</v>
          </cell>
          <cell r="D1070" t="str">
            <v>GAWDE PATIL PETROLEUM</v>
          </cell>
          <cell r="E1070" t="str">
            <v>HPCL</v>
          </cell>
          <cell r="G1070" t="str">
            <v>Pimpri Chinchwad RSA</v>
          </cell>
          <cell r="J1070" t="str">
            <v>Alandi</v>
          </cell>
          <cell r="K1070" t="str">
            <v>Pune</v>
          </cell>
          <cell r="L1070" t="str">
            <v>A</v>
          </cell>
          <cell r="O1070" t="str">
            <v>B</v>
          </cell>
        </row>
        <row r="1071">
          <cell r="C1071">
            <v>41055742</v>
          </cell>
          <cell r="D1071" t="str">
            <v>SHRI GANESH PETROLEUM</v>
          </cell>
          <cell r="E1071" t="str">
            <v>HPCL</v>
          </cell>
          <cell r="G1071" t="str">
            <v>Pune Wagholi RSA</v>
          </cell>
          <cell r="J1071" t="str">
            <v>Awasari Khurd</v>
          </cell>
          <cell r="K1071" t="str">
            <v>Pune</v>
          </cell>
          <cell r="L1071" t="str">
            <v>E</v>
          </cell>
          <cell r="O1071" t="str">
            <v>A</v>
          </cell>
        </row>
        <row r="1072">
          <cell r="C1072">
            <v>41055743</v>
          </cell>
          <cell r="D1072" t="str">
            <v>SHREE GANESH PETROLEUM, UNDEWADI SUPE</v>
          </cell>
          <cell r="E1072" t="str">
            <v>HPCL</v>
          </cell>
          <cell r="G1072" t="str">
            <v>Pune Tathawade RSA</v>
          </cell>
          <cell r="J1072" t="str">
            <v>BARAMATI PATAS ROAD</v>
          </cell>
          <cell r="K1072" t="str">
            <v>Pune</v>
          </cell>
          <cell r="L1072" t="str">
            <v>D1</v>
          </cell>
          <cell r="M1072" t="str">
            <v>NH-160</v>
          </cell>
          <cell r="O1072" t="str">
            <v>B</v>
          </cell>
        </row>
        <row r="1073">
          <cell r="C1073">
            <v>41055745</v>
          </cell>
          <cell r="D1073" t="str">
            <v>GEETAI PETROLEUM, INAMGAON</v>
          </cell>
          <cell r="E1073" t="str">
            <v>HPCL</v>
          </cell>
          <cell r="G1073" t="str">
            <v>Pune Wagholi RSA</v>
          </cell>
          <cell r="J1073" t="str">
            <v>Shikrapur to Inamgaon</v>
          </cell>
          <cell r="K1073" t="str">
            <v>Pune</v>
          </cell>
          <cell r="L1073" t="str">
            <v>D1</v>
          </cell>
          <cell r="M1073" t="str">
            <v>NH-548D</v>
          </cell>
          <cell r="O1073" t="str">
            <v>B</v>
          </cell>
        </row>
        <row r="1074">
          <cell r="C1074">
            <v>41055746</v>
          </cell>
          <cell r="D1074" t="str">
            <v>SHANTAI SERVICE CENTRE</v>
          </cell>
          <cell r="E1074" t="str">
            <v>HPCL</v>
          </cell>
          <cell r="G1074" t="str">
            <v>Pune City RSA</v>
          </cell>
          <cell r="J1074" t="str">
            <v>VISHRANTWADI</v>
          </cell>
          <cell r="K1074" t="str">
            <v>Pune</v>
          </cell>
          <cell r="L1074" t="str">
            <v>A</v>
          </cell>
          <cell r="M1074" t="str">
            <v>NH-965</v>
          </cell>
          <cell r="O1074" t="str">
            <v>A</v>
          </cell>
        </row>
        <row r="1075">
          <cell r="C1075">
            <v>41055747</v>
          </cell>
          <cell r="D1075" t="str">
            <v>SINHAGAD PETROLEUM</v>
          </cell>
          <cell r="E1075" t="str">
            <v>HPCL</v>
          </cell>
          <cell r="G1075" t="str">
            <v>Pune City RSA</v>
          </cell>
          <cell r="J1075" t="str">
            <v>PANSHET ROAD</v>
          </cell>
          <cell r="K1075" t="str">
            <v>Pune</v>
          </cell>
          <cell r="L1075" t="str">
            <v>A</v>
          </cell>
          <cell r="O1075" t="str">
            <v>A</v>
          </cell>
        </row>
        <row r="1076">
          <cell r="C1076">
            <v>41055752</v>
          </cell>
          <cell r="D1076" t="str">
            <v>RAJESH FUEL CENTRE</v>
          </cell>
          <cell r="E1076" t="str">
            <v>HPCL</v>
          </cell>
          <cell r="G1076" t="str">
            <v>Pune Wagholi RSA</v>
          </cell>
          <cell r="J1076" t="str">
            <v>Ranjangaon to Shirur LHS</v>
          </cell>
          <cell r="K1076" t="str">
            <v>Pune</v>
          </cell>
          <cell r="L1076" t="str">
            <v>D1</v>
          </cell>
          <cell r="M1076" t="str">
            <v>NH-753F</v>
          </cell>
          <cell r="O1076" t="str">
            <v>A</v>
          </cell>
        </row>
        <row r="1077">
          <cell r="C1077">
            <v>41055753</v>
          </cell>
          <cell r="D1077" t="str">
            <v>RITESH PETROLEUM</v>
          </cell>
          <cell r="E1077" t="str">
            <v>HPCL</v>
          </cell>
          <cell r="G1077" t="str">
            <v>Pune Wagholi RSA</v>
          </cell>
          <cell r="J1077" t="str">
            <v>Shikrapur to Ranjangaon LHS</v>
          </cell>
          <cell r="K1077" t="str">
            <v>Pune</v>
          </cell>
          <cell r="L1077" t="str">
            <v>D1</v>
          </cell>
          <cell r="M1077" t="str">
            <v>NH-753F</v>
          </cell>
          <cell r="O1077" t="str">
            <v>A</v>
          </cell>
        </row>
        <row r="1078">
          <cell r="C1078">
            <v>41055757</v>
          </cell>
          <cell r="D1078" t="str">
            <v>PURANDAR MILK AND AGRO PRODUCTS LTD</v>
          </cell>
          <cell r="E1078" t="str">
            <v>HPCL</v>
          </cell>
          <cell r="G1078" t="str">
            <v>Pune Saswad RSA</v>
          </cell>
          <cell r="J1078" t="str">
            <v>Saswad-Jejuri Road</v>
          </cell>
          <cell r="K1078" t="str">
            <v>Pune</v>
          </cell>
          <cell r="L1078" t="str">
            <v>D1</v>
          </cell>
          <cell r="M1078" t="str">
            <v>NH-965</v>
          </cell>
          <cell r="O1078" t="str">
            <v>A</v>
          </cell>
        </row>
        <row r="1079">
          <cell r="C1079">
            <v>41055758</v>
          </cell>
          <cell r="D1079" t="str">
            <v>DAMALE PETROLEUM</v>
          </cell>
          <cell r="E1079" t="str">
            <v>HPCL</v>
          </cell>
          <cell r="G1079" t="str">
            <v>Pune City RSA</v>
          </cell>
          <cell r="J1079" t="str">
            <v>Akole-Mulshi</v>
          </cell>
          <cell r="K1079" t="str">
            <v>Pune</v>
          </cell>
          <cell r="L1079" t="str">
            <v>D1</v>
          </cell>
          <cell r="M1079" t="str">
            <v>NH-753F</v>
          </cell>
          <cell r="O1079" t="str">
            <v>A</v>
          </cell>
        </row>
        <row r="1080">
          <cell r="C1080">
            <v>41055759</v>
          </cell>
          <cell r="D1080" t="str">
            <v>SHIVKRUPA PETROL DEPOT</v>
          </cell>
          <cell r="E1080" t="str">
            <v>HPCL</v>
          </cell>
          <cell r="G1080" t="str">
            <v>Pimpri Chinchwad RSA</v>
          </cell>
          <cell r="J1080" t="str">
            <v>Chakan Bhose</v>
          </cell>
          <cell r="K1080" t="str">
            <v>Pune</v>
          </cell>
          <cell r="L1080" t="str">
            <v>D1</v>
          </cell>
          <cell r="M1080" t="str">
            <v>NH-548D</v>
          </cell>
          <cell r="O1080" t="str">
            <v>A</v>
          </cell>
        </row>
        <row r="1081">
          <cell r="C1081">
            <v>41055764</v>
          </cell>
          <cell r="D1081" t="str">
            <v>SHIVRAM PETROLEUM</v>
          </cell>
          <cell r="E1081" t="str">
            <v>HPCL</v>
          </cell>
          <cell r="G1081" t="str">
            <v>Pune Tathawade RSA</v>
          </cell>
          <cell r="J1081" t="str">
            <v>Nasrapur Velhe Road</v>
          </cell>
          <cell r="K1081" t="str">
            <v>Pune</v>
          </cell>
          <cell r="L1081" t="str">
            <v>D2</v>
          </cell>
          <cell r="O1081" t="str">
            <v>A</v>
          </cell>
        </row>
        <row r="1082">
          <cell r="C1082">
            <v>41055765</v>
          </cell>
          <cell r="D1082" t="str">
            <v>AMAR PETROLEUM</v>
          </cell>
          <cell r="E1082" t="str">
            <v>HPCL</v>
          </cell>
          <cell r="G1082" t="str">
            <v>Pimpri Chinchwad RSA</v>
          </cell>
          <cell r="J1082" t="str">
            <v>Shirgaon</v>
          </cell>
          <cell r="K1082" t="str">
            <v>Pune</v>
          </cell>
          <cell r="L1082" t="str">
            <v>C</v>
          </cell>
          <cell r="O1082" t="str">
            <v>B</v>
          </cell>
        </row>
        <row r="1083">
          <cell r="C1083">
            <v>41055770</v>
          </cell>
          <cell r="D1083" t="str">
            <v>SHIV RATNA PETROLEUM</v>
          </cell>
          <cell r="E1083" t="str">
            <v>HPCL</v>
          </cell>
          <cell r="G1083" t="str">
            <v>Pune Tathawade RSA</v>
          </cell>
          <cell r="J1083" t="str">
            <v>BARAMATI INDAPUR ROAD</v>
          </cell>
          <cell r="K1083" t="str">
            <v>Pune</v>
          </cell>
          <cell r="L1083" t="str">
            <v>D1</v>
          </cell>
          <cell r="M1083" t="str">
            <v>NH-965G</v>
          </cell>
          <cell r="O1083" t="str">
            <v>B</v>
          </cell>
        </row>
        <row r="1084">
          <cell r="C1084">
            <v>41055771</v>
          </cell>
          <cell r="D1084" t="str">
            <v>SIDDHESHWAR PETROLEUM</v>
          </cell>
          <cell r="E1084" t="str">
            <v>HPCL</v>
          </cell>
          <cell r="G1084" t="str">
            <v>Pune Tathawade RSA</v>
          </cell>
          <cell r="J1084" t="str">
            <v>Vadgaon Nimbalkar to Pandare</v>
          </cell>
          <cell r="K1084" t="str">
            <v>Pune</v>
          </cell>
          <cell r="L1084" t="str">
            <v>D2</v>
          </cell>
          <cell r="O1084" t="str">
            <v>A</v>
          </cell>
        </row>
        <row r="1085">
          <cell r="C1085">
            <v>41055772</v>
          </cell>
          <cell r="D1085" t="str">
            <v>VENKATESHA PETROLEUM</v>
          </cell>
          <cell r="E1085" t="str">
            <v>HPCL</v>
          </cell>
          <cell r="G1085" t="str">
            <v>Pune Wagholi RSA</v>
          </cell>
          <cell r="J1085" t="str">
            <v>Takli Hazi</v>
          </cell>
          <cell r="K1085" t="str">
            <v>Pune</v>
          </cell>
          <cell r="L1085" t="str">
            <v>E</v>
          </cell>
          <cell r="O1085" t="str">
            <v>A</v>
          </cell>
        </row>
        <row r="1086">
          <cell r="C1086">
            <v>41055773</v>
          </cell>
          <cell r="D1086" t="str">
            <v>ASHTAVINAYAK PETROLINKS</v>
          </cell>
          <cell r="E1086" t="str">
            <v>HPCL</v>
          </cell>
          <cell r="G1086" t="str">
            <v>Pune Wagholi RSA</v>
          </cell>
          <cell r="J1086" t="str">
            <v>Alephata to Ottur</v>
          </cell>
          <cell r="K1086" t="str">
            <v>Pune</v>
          </cell>
          <cell r="L1086" t="str">
            <v>D1</v>
          </cell>
          <cell r="M1086" t="str">
            <v>NH-61</v>
          </cell>
          <cell r="O1086" t="str">
            <v>A</v>
          </cell>
        </row>
        <row r="1087">
          <cell r="C1087">
            <v>41055775</v>
          </cell>
          <cell r="D1087" t="str">
            <v>TINGRE PETROLEUM</v>
          </cell>
          <cell r="E1087" t="str">
            <v>HPCL</v>
          </cell>
          <cell r="G1087" t="str">
            <v>Pimpri Chinchwad RSA</v>
          </cell>
          <cell r="J1087" t="str">
            <v>Bhosari</v>
          </cell>
          <cell r="K1087" t="str">
            <v>Pune</v>
          </cell>
          <cell r="L1087" t="str">
            <v>A</v>
          </cell>
          <cell r="O1087" t="str">
            <v>A</v>
          </cell>
        </row>
        <row r="1088">
          <cell r="C1088">
            <v>41055776</v>
          </cell>
          <cell r="D1088" t="str">
            <v>SHREE MADURJIT SEVA KENDRA</v>
          </cell>
          <cell r="E1088" t="str">
            <v>HPCL</v>
          </cell>
          <cell r="G1088" t="str">
            <v>Pimpri Chinchwad RSA</v>
          </cell>
          <cell r="J1088" t="str">
            <v>Chowisawadi</v>
          </cell>
          <cell r="K1088" t="str">
            <v>Pune</v>
          </cell>
          <cell r="L1088" t="str">
            <v>A</v>
          </cell>
          <cell r="M1088" t="str">
            <v>NH-50</v>
          </cell>
          <cell r="O1088" t="str">
            <v>A</v>
          </cell>
        </row>
        <row r="1089">
          <cell r="C1089">
            <v>41055777</v>
          </cell>
          <cell r="D1089" t="str">
            <v>SHRI DYANMUKUT PETROL DEPOT</v>
          </cell>
          <cell r="E1089" t="str">
            <v>HPCL</v>
          </cell>
          <cell r="G1089" t="str">
            <v>Pimpri Chinchwad RSA</v>
          </cell>
          <cell r="J1089" t="str">
            <v>Chakan Bhose</v>
          </cell>
          <cell r="K1089" t="str">
            <v>Pune</v>
          </cell>
          <cell r="L1089" t="str">
            <v>D1</v>
          </cell>
          <cell r="M1089" t="str">
            <v>NH-548D</v>
          </cell>
          <cell r="O1089" t="str">
            <v>A</v>
          </cell>
        </row>
        <row r="1090">
          <cell r="C1090">
            <v>41055779</v>
          </cell>
          <cell r="D1090" t="str">
            <v>SHAMBUDEV PETROLEUM</v>
          </cell>
          <cell r="E1090" t="str">
            <v>HPCL</v>
          </cell>
          <cell r="G1090" t="str">
            <v>Pune Tathawade RSA</v>
          </cell>
          <cell r="J1090" t="str">
            <v>Gunawadi</v>
          </cell>
          <cell r="K1090" t="str">
            <v>Pune</v>
          </cell>
          <cell r="L1090" t="str">
            <v>D2</v>
          </cell>
          <cell r="O1090" t="str">
            <v>A</v>
          </cell>
        </row>
        <row r="1091">
          <cell r="C1091">
            <v>41055780</v>
          </cell>
          <cell r="D1091" t="str">
            <v>JAY GANESH PETROLEUM</v>
          </cell>
          <cell r="E1091" t="str">
            <v>HPCL</v>
          </cell>
          <cell r="G1091" t="str">
            <v>Pune Saswad RSA</v>
          </cell>
          <cell r="J1091" t="str">
            <v>Jejuri - Nira Road</v>
          </cell>
          <cell r="K1091" t="str">
            <v>Pune</v>
          </cell>
          <cell r="L1091" t="str">
            <v>D1</v>
          </cell>
          <cell r="M1091" t="str">
            <v>NH-965</v>
          </cell>
          <cell r="O1091" t="str">
            <v>A</v>
          </cell>
        </row>
        <row r="1092">
          <cell r="C1092">
            <v>41055784</v>
          </cell>
          <cell r="D1092" t="str">
            <v>SHRI SHUBHIKA AUTO SERVICE</v>
          </cell>
          <cell r="E1092" t="str">
            <v>HPCL</v>
          </cell>
          <cell r="G1092" t="str">
            <v>Pune City RSA</v>
          </cell>
          <cell r="J1092" t="str">
            <v>Thergaon</v>
          </cell>
          <cell r="K1092" t="str">
            <v>Pune</v>
          </cell>
          <cell r="L1092" t="str">
            <v>A</v>
          </cell>
          <cell r="O1092" t="str">
            <v>B</v>
          </cell>
        </row>
        <row r="1093">
          <cell r="C1093">
            <v>41055791</v>
          </cell>
          <cell r="D1093" t="str">
            <v>OM SAI DUTTA PETROLEUM</v>
          </cell>
          <cell r="E1093" t="str">
            <v>HPCL</v>
          </cell>
          <cell r="G1093" t="str">
            <v>Pune Saswad RSA</v>
          </cell>
          <cell r="J1093" t="str">
            <v>Saswad-Narayanpur Road</v>
          </cell>
          <cell r="K1093" t="str">
            <v>Pune</v>
          </cell>
          <cell r="L1093" t="str">
            <v>D2</v>
          </cell>
          <cell r="O1093" t="str">
            <v>B</v>
          </cell>
        </row>
        <row r="1094">
          <cell r="C1094">
            <v>41055792</v>
          </cell>
          <cell r="D1094" t="str">
            <v>SRI MORRAYA PETROLEUM</v>
          </cell>
          <cell r="E1094" t="str">
            <v>HPCL</v>
          </cell>
          <cell r="G1094" t="str">
            <v>Pune Tathawade RSA</v>
          </cell>
          <cell r="J1094" t="str">
            <v>MORGAON - JEJURI ROAD</v>
          </cell>
          <cell r="K1094" t="str">
            <v>Pune</v>
          </cell>
          <cell r="L1094" t="str">
            <v>D2</v>
          </cell>
          <cell r="O1094" t="str">
            <v>A</v>
          </cell>
        </row>
        <row r="1095">
          <cell r="C1095">
            <v>41055793</v>
          </cell>
          <cell r="D1095" t="str">
            <v>YOGAYOG KONDE DESHMUKH PETROLEUM</v>
          </cell>
          <cell r="E1095" t="str">
            <v>HPCL</v>
          </cell>
          <cell r="G1095" t="str">
            <v>Pune Tathawade RSA</v>
          </cell>
          <cell r="J1095" t="str">
            <v>KHED SHIVAPUR TO JAMBHULWADI</v>
          </cell>
          <cell r="K1095" t="str">
            <v>Pune</v>
          </cell>
          <cell r="L1095" t="str">
            <v>D1</v>
          </cell>
          <cell r="M1095" t="str">
            <v>NH-48</v>
          </cell>
          <cell r="O1095" t="str">
            <v>A</v>
          </cell>
        </row>
        <row r="1096">
          <cell r="C1096">
            <v>41055794</v>
          </cell>
          <cell r="D1096" t="str">
            <v>GANGA PETROLEUM</v>
          </cell>
          <cell r="E1096" t="str">
            <v>HPCL</v>
          </cell>
          <cell r="G1096" t="str">
            <v>Pune Wagholi RSA</v>
          </cell>
          <cell r="J1096" t="str">
            <v>Ranjangaon to Shirur RHS</v>
          </cell>
          <cell r="K1096" t="str">
            <v>Pune</v>
          </cell>
          <cell r="L1096" t="str">
            <v>D1</v>
          </cell>
          <cell r="M1096" t="str">
            <v>NH-753F</v>
          </cell>
          <cell r="O1096" t="str">
            <v>A</v>
          </cell>
        </row>
        <row r="1097">
          <cell r="C1097">
            <v>41055796</v>
          </cell>
          <cell r="D1097" t="str">
            <v>RAJGARH PETROLEUM</v>
          </cell>
          <cell r="E1097" t="str">
            <v>HPCL</v>
          </cell>
          <cell r="G1097" t="str">
            <v>Pune Tathawade RSA</v>
          </cell>
          <cell r="J1097" t="str">
            <v>KHEDSHIVAPUR TO HARISHCHANDRI</v>
          </cell>
          <cell r="K1097" t="str">
            <v>Pune</v>
          </cell>
          <cell r="L1097" t="str">
            <v>D1</v>
          </cell>
          <cell r="M1097" t="str">
            <v>NH-48</v>
          </cell>
          <cell r="O1097" t="str">
            <v>A</v>
          </cell>
        </row>
        <row r="1098">
          <cell r="C1098">
            <v>41055797</v>
          </cell>
          <cell r="D1098" t="str">
            <v>RAJMUDRA PETROLEUM</v>
          </cell>
          <cell r="E1098" t="str">
            <v>HPCL</v>
          </cell>
          <cell r="G1098" t="str">
            <v>Pune City RSA</v>
          </cell>
          <cell r="J1098" t="str">
            <v>KASARSAI</v>
          </cell>
          <cell r="K1098" t="str">
            <v>Pune</v>
          </cell>
          <cell r="L1098" t="str">
            <v>D2</v>
          </cell>
          <cell r="O1098" t="str">
            <v>A</v>
          </cell>
        </row>
        <row r="1099">
          <cell r="C1099">
            <v>41055800</v>
          </cell>
          <cell r="D1099" t="str">
            <v>DHUMAL PETROLEUM</v>
          </cell>
          <cell r="E1099" t="str">
            <v>HPCL</v>
          </cell>
          <cell r="G1099" t="str">
            <v>Pune Saswad RSA</v>
          </cell>
          <cell r="J1099" t="str">
            <v>bhigwan-rashin road</v>
          </cell>
          <cell r="K1099" t="str">
            <v>Pune</v>
          </cell>
          <cell r="L1099" t="str">
            <v>D2</v>
          </cell>
          <cell r="O1099" t="str">
            <v>A</v>
          </cell>
        </row>
        <row r="1100">
          <cell r="C1100">
            <v>41055801</v>
          </cell>
          <cell r="D1100" t="str">
            <v>PANCHRATNA SERVICE STATION(A G Modi &amp; sons)</v>
          </cell>
          <cell r="E1100" t="str">
            <v>HPCL</v>
          </cell>
          <cell r="G1100" t="str">
            <v>Pune City RSA</v>
          </cell>
          <cell r="J1100" t="str">
            <v>WELLESLY ROAD</v>
          </cell>
          <cell r="K1100" t="str">
            <v>Pune</v>
          </cell>
          <cell r="L1100" t="str">
            <v>A</v>
          </cell>
          <cell r="O1100" t="str">
            <v>A</v>
          </cell>
        </row>
        <row r="1101">
          <cell r="C1101">
            <v>41055812</v>
          </cell>
          <cell r="D1101" t="str">
            <v>SHRINATH PETROLEUM</v>
          </cell>
          <cell r="E1101" t="str">
            <v>HPCL</v>
          </cell>
          <cell r="G1101" t="str">
            <v>Pune Hadapsar RSA</v>
          </cell>
          <cell r="J1101" t="str">
            <v>Daund-City</v>
          </cell>
          <cell r="K1101" t="str">
            <v>Pune</v>
          </cell>
          <cell r="L1101" t="str">
            <v>D2</v>
          </cell>
          <cell r="O1101" t="str">
            <v>B</v>
          </cell>
        </row>
        <row r="1102">
          <cell r="C1102">
            <v>41055814</v>
          </cell>
          <cell r="D1102" t="str">
            <v>SAI SIDDHI PETROLEUM</v>
          </cell>
          <cell r="E1102" t="str">
            <v>HPCL</v>
          </cell>
          <cell r="G1102" t="str">
            <v>Pune Wagholi RSA</v>
          </cell>
          <cell r="J1102" t="str">
            <v>Gosai Pabal</v>
          </cell>
          <cell r="K1102" t="str">
            <v>Pune</v>
          </cell>
          <cell r="L1102" t="str">
            <v>E</v>
          </cell>
          <cell r="O1102" t="str">
            <v>A</v>
          </cell>
        </row>
        <row r="1103">
          <cell r="C1103">
            <v>41055815</v>
          </cell>
          <cell r="D1103" t="str">
            <v>N P PETROLEUM</v>
          </cell>
          <cell r="E1103" t="str">
            <v>HPCL</v>
          </cell>
          <cell r="G1103" t="str">
            <v>Pune Wagholi RSA</v>
          </cell>
          <cell r="J1103" t="str">
            <v>Shikrapur to Inamgaon</v>
          </cell>
          <cell r="K1103" t="str">
            <v>Pune</v>
          </cell>
          <cell r="L1103" t="str">
            <v>D1</v>
          </cell>
          <cell r="M1103" t="str">
            <v>NH-548D</v>
          </cell>
          <cell r="O1103" t="str">
            <v>A</v>
          </cell>
        </row>
        <row r="1104">
          <cell r="C1104">
            <v>41055816</v>
          </cell>
          <cell r="D1104" t="str">
            <v>TORNA PETROLEUM</v>
          </cell>
          <cell r="E1104" t="str">
            <v>HPCL</v>
          </cell>
          <cell r="G1104" t="str">
            <v>Pune Tathawade RSA</v>
          </cell>
          <cell r="J1104" t="str">
            <v>Nasrapur Velhe Road</v>
          </cell>
          <cell r="K1104" t="str">
            <v>Pune</v>
          </cell>
          <cell r="L1104" t="str">
            <v>D2</v>
          </cell>
          <cell r="O1104" t="str">
            <v>A</v>
          </cell>
        </row>
        <row r="1105">
          <cell r="C1105">
            <v>41055818</v>
          </cell>
          <cell r="D1105" t="str">
            <v>RAGHUNANDAN PETROLEUM</v>
          </cell>
          <cell r="E1105" t="str">
            <v>HPCL</v>
          </cell>
          <cell r="G1105" t="str">
            <v>Pune Wagholi RSA</v>
          </cell>
          <cell r="J1105" t="str">
            <v>Shikrapur to Inamgaon</v>
          </cell>
          <cell r="K1105" t="str">
            <v>Pune</v>
          </cell>
          <cell r="L1105" t="str">
            <v>D1</v>
          </cell>
          <cell r="M1105" t="str">
            <v>NH-548D</v>
          </cell>
          <cell r="O1105" t="str">
            <v>A</v>
          </cell>
        </row>
        <row r="1106">
          <cell r="C1106">
            <v>41055820</v>
          </cell>
          <cell r="D1106" t="str">
            <v>SHRI SWAMI SAMARTH PETROL PUMP</v>
          </cell>
          <cell r="E1106" t="str">
            <v>HPCL</v>
          </cell>
          <cell r="G1106" t="str">
            <v>Pune Hadapsar RSA</v>
          </cell>
          <cell r="J1106" t="str">
            <v>SHINDAWANE</v>
          </cell>
          <cell r="K1106" t="str">
            <v>Pune</v>
          </cell>
          <cell r="L1106" t="str">
            <v>D2</v>
          </cell>
          <cell r="O1106" t="str">
            <v>A</v>
          </cell>
        </row>
        <row r="1107">
          <cell r="C1107">
            <v>41055821</v>
          </cell>
          <cell r="D1107" t="str">
            <v>SAI KRUPA PETROLEUM</v>
          </cell>
          <cell r="E1107" t="str">
            <v>HPCL</v>
          </cell>
          <cell r="G1107" t="str">
            <v>Pune Saswad RSA</v>
          </cell>
          <cell r="J1107" t="str">
            <v>ZENDEWADI</v>
          </cell>
          <cell r="K1107" t="str">
            <v>Pune</v>
          </cell>
          <cell r="L1107" t="str">
            <v>D1</v>
          </cell>
          <cell r="M1107" t="str">
            <v>NH-965</v>
          </cell>
          <cell r="O1107" t="str">
            <v>B</v>
          </cell>
        </row>
        <row r="1108">
          <cell r="C1108">
            <v>41055822</v>
          </cell>
          <cell r="D1108" t="str">
            <v xml:space="preserve">B M K SERVICE STATION </v>
          </cell>
          <cell r="E1108" t="str">
            <v>HPCL</v>
          </cell>
          <cell r="G1108" t="str">
            <v>Pimpri Chinchwad RSA</v>
          </cell>
          <cell r="J1108" t="str">
            <v>Talegaon MIDC</v>
          </cell>
          <cell r="K1108" t="str">
            <v>Pune</v>
          </cell>
          <cell r="L1108" t="str">
            <v>C</v>
          </cell>
          <cell r="O1108" t="str">
            <v>A</v>
          </cell>
        </row>
        <row r="1109">
          <cell r="C1109">
            <v>41055823</v>
          </cell>
          <cell r="D1109" t="str">
            <v>HARI OM PETROLEUM</v>
          </cell>
          <cell r="E1109" t="str">
            <v>HPCL</v>
          </cell>
          <cell r="G1109" t="str">
            <v>Pune Wagholi RSA</v>
          </cell>
          <cell r="J1109" t="str">
            <v>Loni to shikhrapur on belhe jejuri highway</v>
          </cell>
          <cell r="K1109" t="str">
            <v>Pune</v>
          </cell>
          <cell r="L1109" t="str">
            <v>D2</v>
          </cell>
          <cell r="O1109" t="str">
            <v>A</v>
          </cell>
        </row>
        <row r="1110">
          <cell r="C1110">
            <v>41055824</v>
          </cell>
          <cell r="D1110" t="str">
            <v>YASHODEEP PETROLEUM</v>
          </cell>
          <cell r="E1110" t="str">
            <v>HPCL</v>
          </cell>
          <cell r="G1110" t="str">
            <v>Pune Hadapsar RSA</v>
          </cell>
          <cell r="J1110" t="str">
            <v>CHOUFULLA-KHEDGAON</v>
          </cell>
          <cell r="K1110" t="str">
            <v>Pune</v>
          </cell>
          <cell r="L1110" t="str">
            <v>D2</v>
          </cell>
          <cell r="O1110" t="str">
            <v>B</v>
          </cell>
        </row>
        <row r="1111">
          <cell r="C1111">
            <v>41055825</v>
          </cell>
          <cell r="D1111" t="str">
            <v>PHARATE PATIL PETROLEUM</v>
          </cell>
          <cell r="E1111" t="str">
            <v>HPCL</v>
          </cell>
          <cell r="G1111" t="str">
            <v>Pune Hadapsar RSA</v>
          </cell>
          <cell r="J1111" t="str">
            <v>Mandavgaon Farata</v>
          </cell>
          <cell r="K1111" t="str">
            <v>Pune</v>
          </cell>
          <cell r="L1111" t="str">
            <v>E</v>
          </cell>
          <cell r="O1111" t="str">
            <v>A</v>
          </cell>
        </row>
        <row r="1112">
          <cell r="C1112">
            <v>41055826</v>
          </cell>
          <cell r="D1112" t="str">
            <v>MANE PETROLEUM</v>
          </cell>
          <cell r="E1112" t="str">
            <v>HPCL</v>
          </cell>
          <cell r="G1112" t="str">
            <v>Pune Saswad RSA</v>
          </cell>
          <cell r="J1112" t="str">
            <v>Indapur Bypass</v>
          </cell>
          <cell r="K1112" t="str">
            <v>Pune</v>
          </cell>
          <cell r="L1112" t="str">
            <v>D1</v>
          </cell>
          <cell r="M1112" t="str">
            <v>NH-65</v>
          </cell>
          <cell r="O1112" t="str">
            <v>B</v>
          </cell>
        </row>
        <row r="1113">
          <cell r="C1113">
            <v>41055827</v>
          </cell>
          <cell r="D1113" t="str">
            <v>DNYANESHWARI PETROLINK</v>
          </cell>
          <cell r="E1113" t="str">
            <v>HPCL</v>
          </cell>
          <cell r="G1113" t="str">
            <v>Pune Saswad RSA</v>
          </cell>
          <cell r="J1113" t="str">
            <v>Saswad-Bopdev-Pune Road</v>
          </cell>
          <cell r="K1113" t="str">
            <v>Pune</v>
          </cell>
          <cell r="L1113" t="str">
            <v>D2</v>
          </cell>
          <cell r="O1113" t="str">
            <v>B</v>
          </cell>
        </row>
        <row r="1114">
          <cell r="C1114">
            <v>41055833</v>
          </cell>
          <cell r="D1114" t="str">
            <v>RATNAPRABHA PETROLEUM</v>
          </cell>
          <cell r="E1114" t="str">
            <v>HPCL</v>
          </cell>
          <cell r="F1114" t="str">
            <v>2012-13</v>
          </cell>
          <cell r="G1114" t="str">
            <v>Pune Saswad RSA</v>
          </cell>
          <cell r="J1114" t="str">
            <v>WALCHANDNAGAR</v>
          </cell>
          <cell r="K1114" t="str">
            <v>Pune</v>
          </cell>
          <cell r="L1114" t="str">
            <v>D2</v>
          </cell>
          <cell r="O1114" t="str">
            <v>B</v>
          </cell>
        </row>
        <row r="1115">
          <cell r="C1115">
            <v>41055834</v>
          </cell>
          <cell r="D1115" t="str">
            <v>SHRI BALAJI PETROLEUM</v>
          </cell>
          <cell r="E1115" t="str">
            <v>HPCL</v>
          </cell>
          <cell r="F1115" t="str">
            <v>2012-13</v>
          </cell>
          <cell r="G1115" t="str">
            <v>Pune Hadapsar RSA</v>
          </cell>
          <cell r="J1115" t="str">
            <v>Kurkumbh LHS</v>
          </cell>
          <cell r="K1115" t="str">
            <v>Pune</v>
          </cell>
          <cell r="L1115" t="str">
            <v>D1</v>
          </cell>
          <cell r="M1115" t="str">
            <v>NH-65</v>
          </cell>
          <cell r="O1115" t="str">
            <v>B</v>
          </cell>
        </row>
        <row r="1116">
          <cell r="C1116">
            <v>41055835</v>
          </cell>
          <cell r="D1116" t="str">
            <v>SHRI MAHALAKSHMI PETROLEUM</v>
          </cell>
          <cell r="E1116" t="str">
            <v>HPCL</v>
          </cell>
          <cell r="F1116" t="str">
            <v>2012-13</v>
          </cell>
          <cell r="G1116" t="str">
            <v>Pune City RSA</v>
          </cell>
          <cell r="J1116" t="str">
            <v>KULE(NEAR PAUD)</v>
          </cell>
          <cell r="K1116" t="str">
            <v>Pune</v>
          </cell>
          <cell r="L1116" t="str">
            <v>D2</v>
          </cell>
          <cell r="O1116" t="str">
            <v>A</v>
          </cell>
        </row>
        <row r="1117">
          <cell r="C1117">
            <v>41056005</v>
          </cell>
          <cell r="D1117" t="str">
            <v>Sunder Petroleum</v>
          </cell>
          <cell r="E1117" t="str">
            <v>HPCL</v>
          </cell>
          <cell r="G1117" t="str">
            <v>Ahmednagar East RSA</v>
          </cell>
          <cell r="J1117" t="str">
            <v>Shendi</v>
          </cell>
          <cell r="K1117" t="str">
            <v>Ahmednagar</v>
          </cell>
          <cell r="L1117" t="str">
            <v>D1</v>
          </cell>
          <cell r="M1117" t="str">
            <v>NH-753F</v>
          </cell>
          <cell r="O1117" t="str">
            <v>A</v>
          </cell>
        </row>
        <row r="1118">
          <cell r="C1118">
            <v>41056052</v>
          </cell>
          <cell r="D1118" t="str">
            <v>OM PETROLEUM</v>
          </cell>
          <cell r="E1118" t="str">
            <v>HPCL</v>
          </cell>
          <cell r="G1118" t="str">
            <v>Pune Tathawade RSA</v>
          </cell>
          <cell r="J1118" t="str">
            <v>VADGAON TO KAMSHET</v>
          </cell>
          <cell r="K1118" t="str">
            <v>Pune</v>
          </cell>
          <cell r="L1118" t="str">
            <v>D1</v>
          </cell>
          <cell r="M1118" t="str">
            <v>NH-48</v>
          </cell>
          <cell r="O1118" t="str">
            <v>A</v>
          </cell>
        </row>
        <row r="1119">
          <cell r="C1119">
            <v>41056053</v>
          </cell>
          <cell r="D1119" t="str">
            <v>ANAND PETROLEUM</v>
          </cell>
          <cell r="E1119" t="str">
            <v>HPCL</v>
          </cell>
          <cell r="G1119" t="str">
            <v>Pune Wagholi RSA</v>
          </cell>
          <cell r="J1119" t="str">
            <v>Peth on NH RHS</v>
          </cell>
          <cell r="K1119" t="str">
            <v>Pune</v>
          </cell>
          <cell r="L1119" t="str">
            <v>D1</v>
          </cell>
          <cell r="M1119" t="str">
            <v>NH-60</v>
          </cell>
          <cell r="O1119" t="str">
            <v>A</v>
          </cell>
        </row>
        <row r="1120">
          <cell r="C1120">
            <v>41056058</v>
          </cell>
          <cell r="D1120" t="str">
            <v>OZAR FUEL CENTRE</v>
          </cell>
          <cell r="E1120" t="str">
            <v>HPCL</v>
          </cell>
          <cell r="G1120" t="str">
            <v>Pune Wagholi RSA</v>
          </cell>
          <cell r="J1120" t="str">
            <v>OZAR</v>
          </cell>
          <cell r="K1120" t="str">
            <v>Pune</v>
          </cell>
          <cell r="L1120" t="str">
            <v>E</v>
          </cell>
          <cell r="O1120" t="str">
            <v>A</v>
          </cell>
        </row>
        <row r="1121">
          <cell r="C1121">
            <v>41056059</v>
          </cell>
          <cell r="D1121" t="str">
            <v>KRUTUJA PETROLEUM</v>
          </cell>
          <cell r="E1121" t="str">
            <v>HPCL</v>
          </cell>
          <cell r="G1121" t="str">
            <v>Pune Saswad RSA</v>
          </cell>
          <cell r="J1121" t="str">
            <v>JUNCTION</v>
          </cell>
          <cell r="K1121" t="str">
            <v>Pune</v>
          </cell>
          <cell r="L1121" t="str">
            <v>D1</v>
          </cell>
          <cell r="M1121" t="str">
            <v>NH-965G</v>
          </cell>
          <cell r="O1121" t="str">
            <v>A</v>
          </cell>
        </row>
        <row r="1122">
          <cell r="C1122">
            <v>41056060</v>
          </cell>
          <cell r="D1122" t="str">
            <v>BALAJI PETROLEUM</v>
          </cell>
          <cell r="E1122" t="str">
            <v>HPCL</v>
          </cell>
          <cell r="G1122" t="str">
            <v>Pune City RSA</v>
          </cell>
          <cell r="J1122" t="str">
            <v>Wagholi</v>
          </cell>
          <cell r="K1122" t="str">
            <v>Pune</v>
          </cell>
          <cell r="L1122" t="str">
            <v>A</v>
          </cell>
          <cell r="M1122" t="str">
            <v>NH-753F</v>
          </cell>
          <cell r="O1122" t="str">
            <v>A</v>
          </cell>
        </row>
        <row r="1123">
          <cell r="C1123">
            <v>41056062</v>
          </cell>
          <cell r="D1123" t="str">
            <v>KHANDGE SERVICE STATION</v>
          </cell>
          <cell r="E1123" t="str">
            <v>HPCL</v>
          </cell>
          <cell r="G1123" t="str">
            <v>Pimpri Chinchwad RSA</v>
          </cell>
          <cell r="J1123" t="str">
            <v>Talegaon</v>
          </cell>
          <cell r="K1123" t="str">
            <v>Pune</v>
          </cell>
          <cell r="L1123" t="str">
            <v>E</v>
          </cell>
          <cell r="O1123" t="str">
            <v>B</v>
          </cell>
        </row>
        <row r="1124">
          <cell r="C1124">
            <v>41056065</v>
          </cell>
          <cell r="D1124" t="str">
            <v>HIGHWAY KING</v>
          </cell>
          <cell r="E1124" t="str">
            <v>HPCL</v>
          </cell>
          <cell r="G1124" t="str">
            <v>Pimpri Chinchwad RSA</v>
          </cell>
          <cell r="J1124" t="str">
            <v xml:space="preserve">Sablewadi to shikhrapur </v>
          </cell>
          <cell r="K1124" t="str">
            <v>Pune</v>
          </cell>
          <cell r="L1124" t="str">
            <v>D1</v>
          </cell>
          <cell r="M1124" t="str">
            <v>NH-548D</v>
          </cell>
          <cell r="O1124" t="str">
            <v>A</v>
          </cell>
        </row>
        <row r="1125">
          <cell r="C1125">
            <v>41056066</v>
          </cell>
          <cell r="D1125" t="str">
            <v>HARI OM PETROLEUM</v>
          </cell>
          <cell r="E1125" t="str">
            <v>HPCL</v>
          </cell>
          <cell r="G1125" t="str">
            <v>Satara East RSA</v>
          </cell>
          <cell r="J1125" t="str">
            <v>Wathar</v>
          </cell>
          <cell r="K1125" t="str">
            <v>Satara</v>
          </cell>
          <cell r="L1125" t="str">
            <v>D1</v>
          </cell>
          <cell r="M1125" t="str">
            <v>NH-965D</v>
          </cell>
          <cell r="O1125" t="str">
            <v>A</v>
          </cell>
        </row>
        <row r="1126">
          <cell r="C1126">
            <v>41056067</v>
          </cell>
          <cell r="D1126" t="str">
            <v>BHOSALE BROS PETROLEUM</v>
          </cell>
          <cell r="E1126" t="str">
            <v>HPCL</v>
          </cell>
          <cell r="G1126" t="str">
            <v>Pimpri Chinchwad RSA</v>
          </cell>
          <cell r="J1126" t="str">
            <v>Spine Road</v>
          </cell>
          <cell r="K1126" t="str">
            <v>Pune</v>
          </cell>
          <cell r="L1126" t="str">
            <v>C</v>
          </cell>
          <cell r="O1126" t="str">
            <v>A</v>
          </cell>
        </row>
        <row r="1127">
          <cell r="C1127">
            <v>41056072</v>
          </cell>
          <cell r="D1127" t="str">
            <v>SAI  SAMARTH PETROLEUM</v>
          </cell>
          <cell r="E1127" t="str">
            <v>HPCL</v>
          </cell>
          <cell r="G1127" t="str">
            <v>Pune Wagholi RSA</v>
          </cell>
          <cell r="J1127" t="str">
            <v>Kadus</v>
          </cell>
          <cell r="K1127" t="str">
            <v>Pune</v>
          </cell>
          <cell r="L1127" t="str">
            <v>E</v>
          </cell>
          <cell r="O1127" t="str">
            <v>B</v>
          </cell>
        </row>
        <row r="1128">
          <cell r="C1128">
            <v>41056073</v>
          </cell>
          <cell r="D1128" t="str">
            <v>VITHUMAULI PETROLEUM</v>
          </cell>
          <cell r="E1128" t="str">
            <v>HPCL</v>
          </cell>
          <cell r="G1128" t="str">
            <v>Satara East RSA</v>
          </cell>
          <cell r="J1128" t="str">
            <v>Vidani</v>
          </cell>
          <cell r="K1128" t="str">
            <v>Satara</v>
          </cell>
          <cell r="L1128" t="str">
            <v>D1</v>
          </cell>
          <cell r="M1128" t="str">
            <v>NH-965</v>
          </cell>
          <cell r="O1128" t="str">
            <v>A</v>
          </cell>
        </row>
        <row r="1129">
          <cell r="C1129">
            <v>41056074</v>
          </cell>
          <cell r="D1129" t="str">
            <v>SANT TUKARAM PETROLEUM</v>
          </cell>
          <cell r="E1129" t="str">
            <v>HPCL</v>
          </cell>
          <cell r="G1129" t="str">
            <v>Pimpri Chinchwad RSA</v>
          </cell>
          <cell r="J1129" t="str">
            <v>Dehu Talegaon Road</v>
          </cell>
          <cell r="K1129" t="str">
            <v>Pune</v>
          </cell>
          <cell r="L1129" t="str">
            <v>C</v>
          </cell>
          <cell r="O1129" t="str">
            <v>B</v>
          </cell>
        </row>
        <row r="1130">
          <cell r="C1130">
            <v>41056075</v>
          </cell>
          <cell r="D1130" t="str">
            <v>DOSHI PETROLEUM</v>
          </cell>
          <cell r="E1130" t="str">
            <v>HPCL</v>
          </cell>
          <cell r="G1130" t="str">
            <v>Pune Saswad RSA</v>
          </cell>
          <cell r="J1130" t="str">
            <v>BAVDA</v>
          </cell>
          <cell r="K1130" t="str">
            <v>Pune</v>
          </cell>
          <cell r="L1130" t="str">
            <v>D1</v>
          </cell>
          <cell r="M1130" t="str">
            <v>NH-965G</v>
          </cell>
          <cell r="O1130" t="str">
            <v>B</v>
          </cell>
        </row>
        <row r="1131">
          <cell r="C1131">
            <v>41056076</v>
          </cell>
          <cell r="D1131" t="str">
            <v>KEKAN PETROL JUNCTION</v>
          </cell>
          <cell r="E1131" t="str">
            <v>HPCL</v>
          </cell>
          <cell r="G1131" t="str">
            <v>Pune City RSA</v>
          </cell>
          <cell r="J1131" t="str">
            <v>VISHRANTWADI</v>
          </cell>
          <cell r="K1131" t="str">
            <v>Pune</v>
          </cell>
          <cell r="L1131" t="str">
            <v>A</v>
          </cell>
          <cell r="O1131" t="str">
            <v>A</v>
          </cell>
        </row>
        <row r="1132">
          <cell r="C1132">
            <v>41056077</v>
          </cell>
          <cell r="D1132" t="str">
            <v>SHIV SAI SIDDHI PETROLEUM</v>
          </cell>
          <cell r="E1132" t="str">
            <v>HPCL</v>
          </cell>
          <cell r="G1132" t="str">
            <v>Pune Hadapsar RSA</v>
          </cell>
          <cell r="J1132" t="str">
            <v>DAUND</v>
          </cell>
          <cell r="K1132" t="str">
            <v>Pune</v>
          </cell>
          <cell r="L1132" t="str">
            <v>D2</v>
          </cell>
          <cell r="O1132" t="str">
            <v>A</v>
          </cell>
        </row>
        <row r="1133">
          <cell r="C1133">
            <v>41056078</v>
          </cell>
          <cell r="D1133" t="str">
            <v>KRUSHNA PETROLEUM</v>
          </cell>
          <cell r="E1133" t="str">
            <v>HPCL</v>
          </cell>
          <cell r="G1133" t="str">
            <v>Pune City RSA</v>
          </cell>
          <cell r="J1133" t="str">
            <v>HINJEWADI</v>
          </cell>
          <cell r="K1133" t="str">
            <v>Pune</v>
          </cell>
          <cell r="L1133" t="str">
            <v>A</v>
          </cell>
          <cell r="O1133" t="str">
            <v>B</v>
          </cell>
        </row>
        <row r="1134">
          <cell r="C1134">
            <v>41056081</v>
          </cell>
          <cell r="D1134" t="str">
            <v>SHREE DATTA AUTOMOBILES</v>
          </cell>
          <cell r="E1134" t="str">
            <v>HPCL</v>
          </cell>
          <cell r="G1134" t="str">
            <v>Pune Wagholi RSA</v>
          </cell>
          <cell r="J1134" t="str">
            <v>Nimgaon Sava</v>
          </cell>
          <cell r="K1134" t="str">
            <v>Pune</v>
          </cell>
          <cell r="L1134" t="str">
            <v>E</v>
          </cell>
          <cell r="O1134" t="str">
            <v>A</v>
          </cell>
        </row>
        <row r="1135">
          <cell r="C1135">
            <v>41056082</v>
          </cell>
          <cell r="D1135" t="str">
            <v>GUNJAL AUTOMOBILES</v>
          </cell>
          <cell r="E1135" t="str">
            <v>HPCL</v>
          </cell>
          <cell r="G1135" t="str">
            <v>Pune City RSA</v>
          </cell>
          <cell r="J1135" t="str">
            <v>Kalewadi</v>
          </cell>
          <cell r="K1135" t="str">
            <v>Pune</v>
          </cell>
          <cell r="L1135" t="str">
            <v>A</v>
          </cell>
          <cell r="O1135" t="str">
            <v>A</v>
          </cell>
        </row>
        <row r="1136">
          <cell r="C1136">
            <v>41056084</v>
          </cell>
          <cell r="D1136" t="str">
            <v>SHIVAM PETROLEUM</v>
          </cell>
          <cell r="E1136" t="str">
            <v>HPCL</v>
          </cell>
          <cell r="G1136" t="str">
            <v>Pune Wagholi RSA</v>
          </cell>
          <cell r="J1136" t="str">
            <v>Malthan</v>
          </cell>
          <cell r="K1136" t="str">
            <v>Pune</v>
          </cell>
          <cell r="L1136" t="str">
            <v>D2</v>
          </cell>
          <cell r="O1136" t="str">
            <v>A</v>
          </cell>
        </row>
        <row r="1137">
          <cell r="C1137">
            <v>41056085</v>
          </cell>
          <cell r="D1137" t="str">
            <v>MORE PETROLEUM</v>
          </cell>
          <cell r="E1137" t="str">
            <v>HPCL</v>
          </cell>
          <cell r="G1137" t="str">
            <v>Pune City RSA</v>
          </cell>
          <cell r="J1137" t="str">
            <v>WARJE/UTTAMNAGAR</v>
          </cell>
          <cell r="K1137" t="str">
            <v>Pune</v>
          </cell>
          <cell r="L1137" t="str">
            <v>A</v>
          </cell>
          <cell r="O1137" t="str">
            <v>A</v>
          </cell>
        </row>
        <row r="1138">
          <cell r="C1138">
            <v>41056086</v>
          </cell>
          <cell r="D1138" t="str">
            <v>HARE KRISHNA PETROLEUM</v>
          </cell>
          <cell r="E1138" t="str">
            <v>HPCL</v>
          </cell>
          <cell r="G1138" t="str">
            <v>Pimpri Chinchwad RSA</v>
          </cell>
          <cell r="J1138" t="str">
            <v>Induri</v>
          </cell>
          <cell r="K1138" t="str">
            <v>Pune</v>
          </cell>
          <cell r="L1138" t="str">
            <v>D1</v>
          </cell>
          <cell r="M1138" t="str">
            <v>NH-548D</v>
          </cell>
          <cell r="O1138" t="str">
            <v>B</v>
          </cell>
        </row>
        <row r="1139">
          <cell r="C1139">
            <v>41090502</v>
          </cell>
          <cell r="D1139" t="str">
            <v>ADHOC POKHARKAR PATIL PETROLEUM (AYUKA PETROLEUM-41056087)</v>
          </cell>
          <cell r="E1139" t="str">
            <v>HPCL</v>
          </cell>
          <cell r="G1139" t="str">
            <v>Pune Wagholi RSA</v>
          </cell>
          <cell r="J1139" t="str">
            <v>Nhawra Village SH</v>
          </cell>
          <cell r="K1139" t="str">
            <v>Pune</v>
          </cell>
          <cell r="L1139" t="str">
            <v>D2</v>
          </cell>
          <cell r="O1139" t="str">
            <v>A</v>
          </cell>
        </row>
        <row r="1140">
          <cell r="C1140">
            <v>41056093</v>
          </cell>
          <cell r="D1140" t="str">
            <v>SHRI. VENKATESHWARA PETROLEUM</v>
          </cell>
          <cell r="E1140" t="str">
            <v>HPCL</v>
          </cell>
          <cell r="G1140" t="str">
            <v>Pune City RSA</v>
          </cell>
          <cell r="J1140" t="str">
            <v>KHARADI BYPASS</v>
          </cell>
          <cell r="K1140" t="str">
            <v>Pune</v>
          </cell>
          <cell r="L1140" t="str">
            <v>A</v>
          </cell>
          <cell r="O1140" t="str">
            <v>A</v>
          </cell>
        </row>
        <row r="1141">
          <cell r="C1141">
            <v>41056097</v>
          </cell>
          <cell r="D1141" t="str">
            <v>JAGTAP PATIL PETROLEUM</v>
          </cell>
          <cell r="E1141" t="str">
            <v>HPCL</v>
          </cell>
          <cell r="G1141" t="str">
            <v>Pune City RSA</v>
          </cell>
          <cell r="J1141" t="str">
            <v>Pimple Saudagar</v>
          </cell>
          <cell r="K1141" t="str">
            <v>Pune</v>
          </cell>
          <cell r="L1141" t="str">
            <v>A</v>
          </cell>
          <cell r="O1141" t="str">
            <v>A</v>
          </cell>
        </row>
        <row r="1142">
          <cell r="C1142">
            <v>41056098</v>
          </cell>
          <cell r="D1142" t="str">
            <v>SHREE SWAMI PETROL PUMP</v>
          </cell>
          <cell r="E1142" t="str">
            <v>HPCL</v>
          </cell>
          <cell r="G1142" t="str">
            <v>Pune Tathawade RSA</v>
          </cell>
          <cell r="J1142" t="str">
            <v>NARHE TO BAVDHAN</v>
          </cell>
          <cell r="K1142" t="str">
            <v>Pune</v>
          </cell>
          <cell r="L1142" t="str">
            <v>A</v>
          </cell>
          <cell r="M1142" t="str">
            <v>NH-48</v>
          </cell>
          <cell r="O1142" t="str">
            <v>A</v>
          </cell>
        </row>
        <row r="1143">
          <cell r="C1143">
            <v>41056099</v>
          </cell>
          <cell r="D1143" t="str">
            <v>MATA SITLADEVI SERVICE STATION</v>
          </cell>
          <cell r="E1143" t="str">
            <v>HPCL</v>
          </cell>
          <cell r="G1143" t="str">
            <v>Pimpri Chinchwad RSA</v>
          </cell>
          <cell r="J1143" t="str">
            <v>Dapodi</v>
          </cell>
          <cell r="K1143" t="str">
            <v>Pune</v>
          </cell>
          <cell r="L1143" t="str">
            <v>A</v>
          </cell>
          <cell r="O1143" t="str">
            <v>B</v>
          </cell>
        </row>
        <row r="1144">
          <cell r="C1144">
            <v>41056101</v>
          </cell>
          <cell r="D1144" t="str">
            <v>GAWDE PETROLEUM</v>
          </cell>
          <cell r="E1144" t="str">
            <v>HPCL</v>
          </cell>
          <cell r="G1144" t="str">
            <v>Pimpri Chinchwad RSA</v>
          </cell>
          <cell r="J1144" t="str">
            <v>Pimpri-Chinchwad Link Road</v>
          </cell>
          <cell r="K1144" t="str">
            <v>Pune</v>
          </cell>
          <cell r="L1144" t="str">
            <v>A</v>
          </cell>
          <cell r="O1144" t="str">
            <v>A</v>
          </cell>
        </row>
        <row r="1145">
          <cell r="C1145">
            <v>41056102</v>
          </cell>
          <cell r="D1145" t="str">
            <v>PAWNA PETROLEUM</v>
          </cell>
          <cell r="E1145" t="str">
            <v>HPCL</v>
          </cell>
          <cell r="G1145" t="str">
            <v>Pune Tathawade RSA</v>
          </cell>
          <cell r="J1145" t="str">
            <v>Thugaon-Kamshet Road</v>
          </cell>
          <cell r="K1145" t="str">
            <v>Pune</v>
          </cell>
          <cell r="L1145" t="str">
            <v>E</v>
          </cell>
          <cell r="O1145" t="str">
            <v>A</v>
          </cell>
        </row>
        <row r="1146">
          <cell r="C1146">
            <v>41058404</v>
          </cell>
          <cell r="D1146" t="str">
            <v>Sai Kaveri Petroleum</v>
          </cell>
          <cell r="E1146" t="str">
            <v>HPCL</v>
          </cell>
          <cell r="G1146" t="str">
            <v>Shirdi RSA</v>
          </cell>
          <cell r="J1146" t="str">
            <v>BABLESHWAR NH</v>
          </cell>
          <cell r="K1146" t="str">
            <v>Ahmednagar</v>
          </cell>
          <cell r="L1146" t="str">
            <v>D1</v>
          </cell>
          <cell r="M1146" t="str">
            <v>NH-160</v>
          </cell>
          <cell r="O1146" t="str">
            <v>B</v>
          </cell>
        </row>
        <row r="1147">
          <cell r="C1147">
            <v>41058423</v>
          </cell>
          <cell r="D1147" t="str">
            <v>Adhoc rahul (12528820) SAIRAJ PETROLEUM</v>
          </cell>
          <cell r="E1147" t="str">
            <v>HPCL</v>
          </cell>
          <cell r="G1147" t="str">
            <v>Pune Wagholi RSA</v>
          </cell>
          <cell r="J1147" t="str">
            <v>Peth Rural</v>
          </cell>
          <cell r="K1147" t="str">
            <v>Pune</v>
          </cell>
          <cell r="L1147" t="str">
            <v>E</v>
          </cell>
          <cell r="O1147" t="str">
            <v>B</v>
          </cell>
        </row>
        <row r="1148">
          <cell r="C1148">
            <v>41058466</v>
          </cell>
          <cell r="D1148" t="str">
            <v>MSHSD SHIVAM PETROLEUM</v>
          </cell>
          <cell r="E1148" t="str">
            <v>HPCL</v>
          </cell>
          <cell r="F1148" t="str">
            <v>2016-17</v>
          </cell>
          <cell r="G1148" t="str">
            <v>Satara West RSA</v>
          </cell>
          <cell r="J1148" t="str">
            <v>Sakurdi</v>
          </cell>
          <cell r="K1148" t="str">
            <v>Satara</v>
          </cell>
          <cell r="L1148" t="str">
            <v>D1</v>
          </cell>
          <cell r="M1148" t="str">
            <v>NH-166E</v>
          </cell>
          <cell r="O1148" t="str">
            <v>A</v>
          </cell>
        </row>
        <row r="1149">
          <cell r="C1149">
            <v>41058498</v>
          </cell>
          <cell r="D1149" t="str">
            <v>MINA PETROLEUM</v>
          </cell>
          <cell r="E1149" t="str">
            <v>HPCL</v>
          </cell>
          <cell r="F1149" t="str">
            <v>2022-23</v>
          </cell>
          <cell r="G1149" t="str">
            <v>Ahmednagar East RSA</v>
          </cell>
          <cell r="J1149" t="str">
            <v>Khadka Phata</v>
          </cell>
          <cell r="K1149" t="str">
            <v>Ahmednagar</v>
          </cell>
          <cell r="L1149" t="str">
            <v>D1</v>
          </cell>
          <cell r="M1149" t="str">
            <v>NH-753F</v>
          </cell>
          <cell r="O1149" t="str">
            <v>B</v>
          </cell>
        </row>
        <row r="1150">
          <cell r="C1150">
            <v>41058504</v>
          </cell>
          <cell r="D1150" t="str">
            <v>SHREE VENKATESHWARA PETROLEUM</v>
          </cell>
          <cell r="E1150" t="str">
            <v>HPCL</v>
          </cell>
          <cell r="F1150" t="str">
            <v>2021-22</v>
          </cell>
          <cell r="G1150" t="str">
            <v>Satara West RSA</v>
          </cell>
          <cell r="J1150" t="str">
            <v>Karate</v>
          </cell>
          <cell r="K1150" t="str">
            <v>Satara</v>
          </cell>
          <cell r="L1150" t="str">
            <v>D1</v>
          </cell>
          <cell r="M1150" t="str">
            <v>NH-166E</v>
          </cell>
          <cell r="O1150" t="str">
            <v>A</v>
          </cell>
        </row>
        <row r="1151">
          <cell r="C1151">
            <v>41058744</v>
          </cell>
          <cell r="D1151" t="str">
            <v>SURAJ PETROLEUM</v>
          </cell>
          <cell r="E1151" t="str">
            <v>HPCL</v>
          </cell>
          <cell r="G1151" t="str">
            <v>Pune Wagholi RSA</v>
          </cell>
          <cell r="J1151" t="str">
            <v>Ranjangaon to Shirur LHS</v>
          </cell>
          <cell r="K1151" t="str">
            <v>Pune</v>
          </cell>
          <cell r="L1151" t="str">
            <v>D1</v>
          </cell>
          <cell r="M1151" t="str">
            <v>NH-753F</v>
          </cell>
          <cell r="O1151" t="str">
            <v>A</v>
          </cell>
        </row>
        <row r="1152">
          <cell r="C1152">
            <v>41058780</v>
          </cell>
          <cell r="D1152" t="str">
            <v>Auto Care Centre</v>
          </cell>
          <cell r="E1152" t="str">
            <v>HPCL</v>
          </cell>
          <cell r="G1152" t="str">
            <v>Ahmednagar East RSA</v>
          </cell>
          <cell r="J1152" t="str">
            <v>Nagar city</v>
          </cell>
          <cell r="K1152" t="str">
            <v>Ahmednagar</v>
          </cell>
          <cell r="L1152" t="str">
            <v>D1</v>
          </cell>
          <cell r="M1152" t="str">
            <v>NH-753F</v>
          </cell>
          <cell r="O1152" t="str">
            <v>A</v>
          </cell>
        </row>
        <row r="1153">
          <cell r="C1153">
            <v>41058786</v>
          </cell>
          <cell r="D1153" t="str">
            <v>Ashok SSK, Ashoknagar</v>
          </cell>
          <cell r="E1153" t="str">
            <v>HPCL</v>
          </cell>
          <cell r="G1153" t="str">
            <v>Shirdi RSA</v>
          </cell>
          <cell r="J1153" t="str">
            <v>SHIRASGAON</v>
          </cell>
          <cell r="K1153" t="str">
            <v>Ahmednagar</v>
          </cell>
          <cell r="L1153" t="str">
            <v>D2</v>
          </cell>
          <cell r="O1153" t="str">
            <v>B</v>
          </cell>
        </row>
        <row r="1154">
          <cell r="C1154">
            <v>41058798</v>
          </cell>
          <cell r="D1154" t="str">
            <v>Shrinivas Service Stantion</v>
          </cell>
          <cell r="E1154" t="str">
            <v>HPCL</v>
          </cell>
          <cell r="G1154" t="str">
            <v>Shirdi RSA</v>
          </cell>
          <cell r="J1154" t="str">
            <v>RAJUR</v>
          </cell>
          <cell r="K1154" t="str">
            <v>Ahmednagar</v>
          </cell>
          <cell r="L1154" t="str">
            <v>D2</v>
          </cell>
          <cell r="O1154" t="str">
            <v>B</v>
          </cell>
        </row>
        <row r="1155">
          <cell r="C1155">
            <v>41058804</v>
          </cell>
          <cell r="D1155" t="str">
            <v>J  K  SERVICE  CENTRE</v>
          </cell>
          <cell r="E1155" t="str">
            <v>HPCL</v>
          </cell>
          <cell r="G1155" t="str">
            <v>Satara East RSA</v>
          </cell>
          <cell r="J1155" t="str">
            <v>Koregaon</v>
          </cell>
          <cell r="K1155" t="str">
            <v>Satara</v>
          </cell>
          <cell r="L1155" t="str">
            <v>E</v>
          </cell>
          <cell r="O1155" t="str">
            <v>B</v>
          </cell>
        </row>
        <row r="1156">
          <cell r="C1156">
            <v>41063450</v>
          </cell>
          <cell r="D1156" t="str">
            <v>Ghule Petroleum</v>
          </cell>
          <cell r="E1156" t="str">
            <v>HPCL</v>
          </cell>
          <cell r="F1156" t="str">
            <v>2023-24</v>
          </cell>
          <cell r="G1156" t="str">
            <v>Pune City RSA</v>
          </cell>
          <cell r="J1156" t="str">
            <v>Undri</v>
          </cell>
          <cell r="K1156" t="str">
            <v>Pune</v>
          </cell>
          <cell r="L1156" t="str">
            <v>A</v>
          </cell>
          <cell r="O1156" t="str">
            <v>A</v>
          </cell>
        </row>
        <row r="1157">
          <cell r="C1157">
            <v>41065649</v>
          </cell>
          <cell r="D1157" t="str">
            <v>B V MANDE ENERGY SERVICES</v>
          </cell>
          <cell r="E1157" t="str">
            <v>HPCL</v>
          </cell>
          <cell r="G1157" t="str">
            <v>Pimpri Chinchwad RSA</v>
          </cell>
          <cell r="J1157" t="str">
            <v>Rajgurunagar on NH</v>
          </cell>
          <cell r="K1157" t="str">
            <v>Pune</v>
          </cell>
          <cell r="L1157" t="str">
            <v>D1</v>
          </cell>
          <cell r="M1157" t="str">
            <v>NH-60</v>
          </cell>
          <cell r="O1157" t="str">
            <v>A</v>
          </cell>
        </row>
        <row r="1158">
          <cell r="C1158">
            <v>41065650</v>
          </cell>
          <cell r="D1158" t="str">
            <v>M/s AMBIKA PETROL DEPOT, PIMPRI</v>
          </cell>
          <cell r="E1158" t="str">
            <v>HPCL</v>
          </cell>
          <cell r="F1158" t="str">
            <v>2023-24</v>
          </cell>
          <cell r="G1158" t="str">
            <v>Pimpri Chinchwad RSA</v>
          </cell>
          <cell r="J1158" t="str">
            <v>Chinchwad</v>
          </cell>
          <cell r="K1158" t="str">
            <v>Pune</v>
          </cell>
          <cell r="L1158" t="str">
            <v>A</v>
          </cell>
          <cell r="O1158" t="str">
            <v>A</v>
          </cell>
        </row>
        <row r="1159">
          <cell r="C1159">
            <v>41066852</v>
          </cell>
          <cell r="D1159" t="str">
            <v>C N PETROLEUM</v>
          </cell>
          <cell r="E1159" t="str">
            <v>HPCL</v>
          </cell>
          <cell r="F1159" t="str">
            <v>2024-25</v>
          </cell>
          <cell r="G1159" t="str">
            <v>Pune City RSA</v>
          </cell>
          <cell r="J1159" t="str">
            <v>PASHAN</v>
          </cell>
          <cell r="K1159" t="str">
            <v>Pune</v>
          </cell>
          <cell r="L1159" t="str">
            <v>A</v>
          </cell>
          <cell r="O1159" t="str">
            <v>B</v>
          </cell>
        </row>
        <row r="1160">
          <cell r="C1160">
            <v>41067133</v>
          </cell>
          <cell r="D1160" t="str">
            <v>POPATRAO KALJE PETROLEUM</v>
          </cell>
          <cell r="E1160" t="str">
            <v>HPCL</v>
          </cell>
          <cell r="F1160" t="str">
            <v>2023-24</v>
          </cell>
          <cell r="G1160" t="str">
            <v>Pimpri Chinchwad RSA</v>
          </cell>
          <cell r="J1160" t="str">
            <v>Alandi</v>
          </cell>
          <cell r="K1160" t="str">
            <v>Pune</v>
          </cell>
          <cell r="L1160" t="str">
            <v>A</v>
          </cell>
          <cell r="O1160" t="str">
            <v>A</v>
          </cell>
        </row>
        <row r="1161">
          <cell r="C1161">
            <v>41055795</v>
          </cell>
          <cell r="D1161" t="str">
            <v>LONDHE MOBILITY SERVICES (41067407 ADHOC OM SHIVSHAMBHU PETROLEUM SERV (41055795 SHRI GALANDE PETROLEUM))</v>
          </cell>
          <cell r="E1161" t="str">
            <v>HPCL</v>
          </cell>
          <cell r="G1161" t="str">
            <v>Pune Wagholi RSA</v>
          </cell>
          <cell r="J1161" t="str">
            <v>LONIKAND to KOREGAON BHIMA RHS</v>
          </cell>
          <cell r="K1161" t="str">
            <v>Pune</v>
          </cell>
          <cell r="L1161" t="str">
            <v>D1</v>
          </cell>
          <cell r="M1161" t="str">
            <v>NH-753F</v>
          </cell>
          <cell r="O1161" t="str">
            <v>A</v>
          </cell>
        </row>
        <row r="1162">
          <cell r="C1162">
            <v>41094293</v>
          </cell>
          <cell r="D1162" t="str">
            <v>ADHOC BARAMATI TAL SAH DOODH SANGH (41067506 SHIVLAL PREMCHAND)</v>
          </cell>
          <cell r="E1162" t="str">
            <v>HPCL</v>
          </cell>
          <cell r="G1162" t="str">
            <v>Pune Tathawade RSA</v>
          </cell>
          <cell r="J1162" t="str">
            <v>BARAMATI INDAPUR ROAD</v>
          </cell>
          <cell r="K1162" t="str">
            <v>Pune</v>
          </cell>
          <cell r="L1162" t="str">
            <v>D1</v>
          </cell>
          <cell r="M1162" t="str">
            <v>NH-965G</v>
          </cell>
          <cell r="O1162" t="str">
            <v>A</v>
          </cell>
        </row>
        <row r="1163">
          <cell r="C1163">
            <v>41067747</v>
          </cell>
          <cell r="D1163" t="str">
            <v>HP FUEL CENTRE PIMPRI (41049472 ADHOC GAWADE PATIL PETROLEUM)</v>
          </cell>
          <cell r="E1163" t="str">
            <v>HPCL</v>
          </cell>
          <cell r="F1163" t="str">
            <v>2018-19</v>
          </cell>
          <cell r="G1163" t="str">
            <v>Pimpri Chinchwad RSA</v>
          </cell>
          <cell r="J1163" t="str">
            <v>Chinchwad</v>
          </cell>
          <cell r="K1163" t="str">
            <v>Pune</v>
          </cell>
          <cell r="L1163" t="str">
            <v>A</v>
          </cell>
          <cell r="O1163" t="str">
            <v>A</v>
          </cell>
        </row>
        <row r="1164">
          <cell r="C1164">
            <v>41067790</v>
          </cell>
          <cell r="D1164" t="str">
            <v>Ajay Petroleum</v>
          </cell>
          <cell r="E1164" t="str">
            <v>HPCL</v>
          </cell>
          <cell r="F1164" t="str">
            <v>2023-24</v>
          </cell>
          <cell r="G1164" t="str">
            <v>Satara East RSA</v>
          </cell>
          <cell r="J1164" t="str">
            <v>Chimangaon</v>
          </cell>
          <cell r="K1164" t="str">
            <v>Satara</v>
          </cell>
          <cell r="L1164" t="str">
            <v>D1</v>
          </cell>
          <cell r="M1164" t="str">
            <v>NH-548C</v>
          </cell>
          <cell r="O1164" t="str">
            <v>B</v>
          </cell>
        </row>
        <row r="1165">
          <cell r="C1165">
            <v>41068327</v>
          </cell>
          <cell r="D1165" t="str">
            <v>ASHIRWAD PETROLEUM</v>
          </cell>
          <cell r="E1165" t="str">
            <v>HPCL</v>
          </cell>
          <cell r="F1165" t="str">
            <v>2023-24</v>
          </cell>
          <cell r="G1165" t="str">
            <v>Ahmednagar West RSA</v>
          </cell>
          <cell r="J1165" t="str">
            <v>JAKHANGAON</v>
          </cell>
          <cell r="K1165" t="str">
            <v>Ahmednagar</v>
          </cell>
          <cell r="L1165" t="str">
            <v>D1</v>
          </cell>
          <cell r="M1165" t="str">
            <v>NH-61</v>
          </cell>
          <cell r="O1165" t="str">
            <v>A</v>
          </cell>
        </row>
        <row r="1166">
          <cell r="C1166">
            <v>41049408</v>
          </cell>
          <cell r="D1166" t="str">
            <v>JAI JAGDAMBA PETROLEUM (ADHOC NEW PANCHALI PETROLEUM - 41068350)</v>
          </cell>
          <cell r="E1166" t="str">
            <v>HPCL</v>
          </cell>
          <cell r="F1166" t="str">
            <v>2016-17</v>
          </cell>
          <cell r="G1166" t="str">
            <v>Satara West RSA</v>
          </cell>
          <cell r="J1166" t="str">
            <v>TARALE</v>
          </cell>
          <cell r="K1166" t="str">
            <v>Satara</v>
          </cell>
          <cell r="L1166" t="str">
            <v>E</v>
          </cell>
          <cell r="O1166" t="str">
            <v>A</v>
          </cell>
        </row>
        <row r="1167">
          <cell r="C1167">
            <v>41069089</v>
          </cell>
          <cell r="D1167" t="str">
            <v>Jay Kisan Petroleum</v>
          </cell>
          <cell r="E1167" t="str">
            <v>HPCL</v>
          </cell>
          <cell r="F1167" t="str">
            <v>2023-24</v>
          </cell>
          <cell r="G1167" t="str">
            <v>Pune Wagholi RSA</v>
          </cell>
          <cell r="J1167" t="str">
            <v>Alephata to Ottur</v>
          </cell>
          <cell r="K1167" t="str">
            <v>Pune</v>
          </cell>
          <cell r="L1167" t="str">
            <v>D1</v>
          </cell>
          <cell r="M1167" t="str">
            <v>NH-61</v>
          </cell>
          <cell r="O1167" t="str">
            <v>B</v>
          </cell>
        </row>
        <row r="1168">
          <cell r="C1168">
            <v>41069710</v>
          </cell>
          <cell r="D1168" t="str">
            <v>BARAMATI TALUKA K.V.S. LTD MEDAD</v>
          </cell>
          <cell r="E1168" t="str">
            <v>HPCL</v>
          </cell>
          <cell r="F1168" t="str">
            <v>2023-24</v>
          </cell>
          <cell r="G1168" t="str">
            <v>Pune Tathawade RSA</v>
          </cell>
          <cell r="J1168" t="str">
            <v>MORGAON-BARAMATI RD</v>
          </cell>
          <cell r="K1168" t="str">
            <v>Pune</v>
          </cell>
          <cell r="L1168" t="str">
            <v>D2</v>
          </cell>
          <cell r="O1168" t="str">
            <v>B</v>
          </cell>
        </row>
        <row r="1169">
          <cell r="C1169">
            <v>41069730</v>
          </cell>
          <cell r="D1169" t="str">
            <v>MSHSD TRIMURTI PETROLEUM</v>
          </cell>
          <cell r="E1169" t="str">
            <v>HPCL</v>
          </cell>
          <cell r="F1169" t="str">
            <v>2023-24</v>
          </cell>
          <cell r="G1169" t="str">
            <v>Ahmednagar East RSA</v>
          </cell>
          <cell r="J1169" t="str">
            <v>Khadka Phata</v>
          </cell>
          <cell r="K1169" t="str">
            <v>Ahmednagar</v>
          </cell>
          <cell r="L1169" t="str">
            <v>D1</v>
          </cell>
          <cell r="M1169" t="str">
            <v>NH-753F</v>
          </cell>
          <cell r="O1169" t="str">
            <v>B</v>
          </cell>
        </row>
        <row r="1170">
          <cell r="C1170">
            <v>41069910</v>
          </cell>
          <cell r="D1170" t="str">
            <v>SHREE PETROLEUM</v>
          </cell>
          <cell r="E1170" t="str">
            <v>HPCL</v>
          </cell>
          <cell r="F1170" t="str">
            <v>2023-24</v>
          </cell>
          <cell r="G1170" t="str">
            <v>Pune Saswad RSA</v>
          </cell>
          <cell r="J1170" t="str">
            <v>Ravangaon LHS</v>
          </cell>
          <cell r="K1170" t="str">
            <v>Pune</v>
          </cell>
          <cell r="L1170" t="str">
            <v>D1</v>
          </cell>
          <cell r="M1170" t="str">
            <v>NH-65</v>
          </cell>
          <cell r="O1170" t="str">
            <v>A</v>
          </cell>
        </row>
        <row r="1171">
          <cell r="C1171">
            <v>41069962</v>
          </cell>
          <cell r="D1171" t="str">
            <v>PAIGUDE PETROLEUM</v>
          </cell>
          <cell r="E1171" t="str">
            <v>HPCL</v>
          </cell>
          <cell r="F1171" t="str">
            <v>2024-25</v>
          </cell>
          <cell r="G1171" t="str">
            <v>Pune City RSA</v>
          </cell>
          <cell r="J1171" t="str">
            <v>Wagholi</v>
          </cell>
          <cell r="K1171" t="str">
            <v>Pune</v>
          </cell>
          <cell r="L1171" t="str">
            <v>A</v>
          </cell>
          <cell r="O1171" t="str">
            <v>A</v>
          </cell>
        </row>
        <row r="1172">
          <cell r="C1172">
            <v>41071178</v>
          </cell>
          <cell r="D1172" t="str">
            <v>MAHALAXMI FUELS HPCL PETROL PUMP SA</v>
          </cell>
          <cell r="E1172" t="str">
            <v>HPCL</v>
          </cell>
          <cell r="F1172" t="str">
            <v>2023-24</v>
          </cell>
          <cell r="G1172" t="str">
            <v>Pune Saswad RSA</v>
          </cell>
          <cell r="J1172" t="str">
            <v>BHAVANINAGAR</v>
          </cell>
          <cell r="K1172" t="str">
            <v>Pune</v>
          </cell>
          <cell r="L1172" t="str">
            <v>D1</v>
          </cell>
          <cell r="M1172" t="str">
            <v>NH-965G</v>
          </cell>
          <cell r="O1172" t="str">
            <v>A</v>
          </cell>
        </row>
        <row r="1173">
          <cell r="C1173">
            <v>41071411</v>
          </cell>
          <cell r="D1173" t="str">
            <v>Adhoc Vithumali (41040833 Adhoc Tej Petroleum (Mar'14)Shri Gurudatta Petroleum)</v>
          </cell>
          <cell r="E1173" t="str">
            <v>HPCL</v>
          </cell>
          <cell r="F1173" t="str">
            <v>2013-14</v>
          </cell>
          <cell r="G1173" t="str">
            <v>Satara East RSA</v>
          </cell>
          <cell r="J1173" t="str">
            <v>Thakurki</v>
          </cell>
          <cell r="K1173" t="str">
            <v>Satara</v>
          </cell>
          <cell r="L1173" t="str">
            <v>D1</v>
          </cell>
          <cell r="M1173" t="str">
            <v>NH-965DD</v>
          </cell>
          <cell r="O1173" t="str">
            <v>A</v>
          </cell>
        </row>
        <row r="1174">
          <cell r="C1174">
            <v>41071606</v>
          </cell>
          <cell r="D1174" t="str">
            <v>HIGHWAY SERVICE CENTRE (41049479 ADHOC KANKARIYA HIGHWAY SERVICENTRE (11173010))</v>
          </cell>
          <cell r="E1174" t="str">
            <v>HPCL</v>
          </cell>
          <cell r="G1174" t="str">
            <v>Pune City RSA</v>
          </cell>
          <cell r="J1174" t="str">
            <v>SATARA ROAD</v>
          </cell>
          <cell r="K1174" t="str">
            <v>Pune</v>
          </cell>
          <cell r="L1174" t="str">
            <v>A</v>
          </cell>
          <cell r="M1174" t="str">
            <v>NH-60</v>
          </cell>
          <cell r="O1174" t="str">
            <v>B</v>
          </cell>
        </row>
        <row r="1175">
          <cell r="C1175">
            <v>41071671</v>
          </cell>
          <cell r="D1175" t="str">
            <v>SAIBABA PETROLEUM</v>
          </cell>
          <cell r="E1175" t="str">
            <v>HPCL</v>
          </cell>
          <cell r="F1175" t="str">
            <v>2023-24</v>
          </cell>
          <cell r="G1175" t="str">
            <v>Ahmednagar West RSA</v>
          </cell>
          <cell r="J1175" t="str">
            <v>PATHARDI-NH</v>
          </cell>
          <cell r="K1175" t="str">
            <v>Ahmednagar</v>
          </cell>
          <cell r="L1175" t="str">
            <v>D1</v>
          </cell>
          <cell r="M1175" t="str">
            <v>NH-61</v>
          </cell>
          <cell r="O1175" t="str">
            <v>B</v>
          </cell>
        </row>
        <row r="1176">
          <cell r="C1176">
            <v>41071672</v>
          </cell>
          <cell r="D1176" t="str">
            <v>SIR PETROLEUM</v>
          </cell>
          <cell r="E1176" t="str">
            <v>HPCL</v>
          </cell>
          <cell r="F1176" t="str">
            <v>2023-24</v>
          </cell>
          <cell r="G1176" t="str">
            <v>Satara East RSA</v>
          </cell>
          <cell r="J1176" t="str">
            <v>pusegaon phaltan road</v>
          </cell>
          <cell r="K1176" t="str">
            <v>Satara</v>
          </cell>
          <cell r="L1176" t="str">
            <v>D2</v>
          </cell>
          <cell r="O1176" t="str">
            <v>B</v>
          </cell>
        </row>
        <row r="1177">
          <cell r="C1177">
            <v>41071881</v>
          </cell>
          <cell r="D1177" t="str">
            <v>KRISHIDEV PETROLEUM TARADGAON</v>
          </cell>
          <cell r="E1177" t="str">
            <v>HPCL</v>
          </cell>
          <cell r="F1177" t="str">
            <v>2023-24</v>
          </cell>
          <cell r="G1177" t="str">
            <v>Satara East RSA</v>
          </cell>
          <cell r="J1177" t="str">
            <v>Taradgaon</v>
          </cell>
          <cell r="K1177" t="str">
            <v>Satara</v>
          </cell>
          <cell r="L1177" t="str">
            <v>D1</v>
          </cell>
          <cell r="M1177" t="str">
            <v>NH-965</v>
          </cell>
          <cell r="O1177" t="str">
            <v>A</v>
          </cell>
        </row>
        <row r="1178">
          <cell r="C1178">
            <v>41071982</v>
          </cell>
          <cell r="D1178" t="str">
            <v>SHREE DNYANESHWARI PETROLEUM</v>
          </cell>
          <cell r="E1178" t="str">
            <v>HPCL</v>
          </cell>
          <cell r="F1178" t="str">
            <v>2024-25</v>
          </cell>
          <cell r="G1178" t="str">
            <v>Pune Hadapsar RSA</v>
          </cell>
          <cell r="J1178" t="str">
            <v>Manjari Khurd</v>
          </cell>
          <cell r="K1178" t="str">
            <v>Pune</v>
          </cell>
          <cell r="L1178" t="str">
            <v>C</v>
          </cell>
          <cell r="O1178" t="str">
            <v>B</v>
          </cell>
        </row>
        <row r="1179">
          <cell r="C1179">
            <v>41072754</v>
          </cell>
          <cell r="D1179" t="str">
            <v>OM ENTERPRISES</v>
          </cell>
          <cell r="E1179" t="str">
            <v>HPCL</v>
          </cell>
          <cell r="F1179" t="str">
            <v>2024-25</v>
          </cell>
          <cell r="G1179" t="str">
            <v>Pune Wagholi RSA</v>
          </cell>
          <cell r="J1179" t="str">
            <v>Narayangaon to Alephata RHS</v>
          </cell>
          <cell r="K1179" t="str">
            <v>Pune</v>
          </cell>
          <cell r="L1179" t="str">
            <v>D1</v>
          </cell>
          <cell r="M1179" t="str">
            <v>NH-60</v>
          </cell>
          <cell r="O1179" t="str">
            <v>B</v>
          </cell>
        </row>
        <row r="1180">
          <cell r="C1180">
            <v>41072755</v>
          </cell>
          <cell r="D1180" t="str">
            <v>JARANDESHWAR SUGAR MILLS PVT. LTD.</v>
          </cell>
          <cell r="E1180" t="str">
            <v>HPCL</v>
          </cell>
          <cell r="F1180" t="str">
            <v>2024-25</v>
          </cell>
          <cell r="G1180" t="str">
            <v>Satara East RSA</v>
          </cell>
          <cell r="J1180" t="str">
            <v>Bhatamwadi</v>
          </cell>
          <cell r="K1180" t="str">
            <v>Satara</v>
          </cell>
          <cell r="L1180" t="str">
            <v>E</v>
          </cell>
          <cell r="O1180" t="str">
            <v>B</v>
          </cell>
        </row>
        <row r="1181">
          <cell r="C1181">
            <v>41072756</v>
          </cell>
          <cell r="D1181" t="str">
            <v>SAKSHI PETROLEUM</v>
          </cell>
          <cell r="E1181" t="str">
            <v>HPCL</v>
          </cell>
          <cell r="F1181" t="str">
            <v>2023-24</v>
          </cell>
          <cell r="G1181" t="str">
            <v>Satara West RSA</v>
          </cell>
          <cell r="J1181" t="str">
            <v>KASHIL TO SHENDRE</v>
          </cell>
          <cell r="K1181" t="str">
            <v>Satara</v>
          </cell>
          <cell r="L1181" t="str">
            <v>D1</v>
          </cell>
          <cell r="M1181" t="str">
            <v>NH-48</v>
          </cell>
          <cell r="O1181" t="str">
            <v>A</v>
          </cell>
        </row>
        <row r="1182">
          <cell r="C1182">
            <v>41072757</v>
          </cell>
          <cell r="D1182" t="str">
            <v>SHANTAI PETROLEUM</v>
          </cell>
          <cell r="E1182" t="str">
            <v>HPCL</v>
          </cell>
          <cell r="F1182" t="str">
            <v>2023-24</v>
          </cell>
          <cell r="G1182" t="str">
            <v>Pimpri Chinchwad RSA</v>
          </cell>
          <cell r="J1182" t="str">
            <v>Chakan MIDC</v>
          </cell>
          <cell r="K1182" t="str">
            <v>Pune</v>
          </cell>
          <cell r="L1182" t="str">
            <v>A</v>
          </cell>
          <cell r="O1182" t="str">
            <v>A</v>
          </cell>
        </row>
        <row r="1183">
          <cell r="C1183">
            <v>41072942</v>
          </cell>
          <cell r="D1183" t="str">
            <v>KRISHIDEV PETROLEUM BARAD</v>
          </cell>
          <cell r="E1183" t="str">
            <v>HPCL</v>
          </cell>
          <cell r="F1183" t="str">
            <v>2024-25</v>
          </cell>
          <cell r="G1183" t="str">
            <v>Satara East RSA</v>
          </cell>
          <cell r="J1183" t="str">
            <v>Barad Gunaware Road</v>
          </cell>
          <cell r="K1183" t="str">
            <v>Satara</v>
          </cell>
          <cell r="L1183" t="str">
            <v>E</v>
          </cell>
          <cell r="O1183" t="str">
            <v>B</v>
          </cell>
        </row>
        <row r="1184">
          <cell r="C1184">
            <v>41073326</v>
          </cell>
          <cell r="D1184" t="str">
            <v>ADHOC SAMARTH PETROLEUM (41043751 AMRAPALI SERVICE STATION, SAHAJPUR(ADHOC SHREENATH MASKOBA PETRO PRODUCTS wef 01.05.2020)ADHOC SHREE VISHWA PETROLEUM</v>
          </cell>
          <cell r="E1184" t="str">
            <v>HPCL</v>
          </cell>
          <cell r="G1184" t="str">
            <v>Pune Hadapsar RSA</v>
          </cell>
          <cell r="J1184" t="str">
            <v>Urlikanchan RHS</v>
          </cell>
          <cell r="K1184" t="str">
            <v>Pune</v>
          </cell>
          <cell r="L1184" t="str">
            <v>D1</v>
          </cell>
          <cell r="M1184" t="str">
            <v>NH-65</v>
          </cell>
          <cell r="O1184" t="str">
            <v>A</v>
          </cell>
        </row>
        <row r="1185">
          <cell r="C1185">
            <v>41073382</v>
          </cell>
          <cell r="D1185" t="str">
            <v>RAJARAM PETROLEUM</v>
          </cell>
          <cell r="E1185" t="str">
            <v>HPCL</v>
          </cell>
          <cell r="F1185" t="str">
            <v>2024-25</v>
          </cell>
          <cell r="G1185" t="str">
            <v>Pimpri Chinchwad RSA</v>
          </cell>
          <cell r="J1185" t="str">
            <v>Bhosari</v>
          </cell>
          <cell r="K1185" t="str">
            <v>Pune</v>
          </cell>
          <cell r="L1185" t="str">
            <v>A</v>
          </cell>
          <cell r="O1185" t="str">
            <v>A</v>
          </cell>
        </row>
        <row r="1186">
          <cell r="C1186">
            <v>41074200</v>
          </cell>
          <cell r="D1186" t="str">
            <v>JAY SHREENATH PETROLEUM</v>
          </cell>
          <cell r="E1186" t="str">
            <v>HPCL</v>
          </cell>
          <cell r="F1186" t="str">
            <v>2024-25</v>
          </cell>
          <cell r="G1186" t="str">
            <v>Pimpri Chinchwad RSA</v>
          </cell>
          <cell r="J1186" t="str">
            <v>NIGHOJE</v>
          </cell>
          <cell r="K1186" t="str">
            <v>Pune</v>
          </cell>
          <cell r="L1186" t="str">
            <v>C</v>
          </cell>
          <cell r="O1186" t="str">
            <v>B</v>
          </cell>
        </row>
        <row r="1187">
          <cell r="C1187">
            <v>41074695</v>
          </cell>
          <cell r="D1187" t="str">
            <v>MSHSD GANGA PETROLEUM</v>
          </cell>
          <cell r="E1187" t="str">
            <v>HPCL</v>
          </cell>
          <cell r="F1187" t="str">
            <v>2024-25</v>
          </cell>
          <cell r="G1187" t="str">
            <v>Ahmednagar West RSA</v>
          </cell>
          <cell r="J1187" t="str">
            <v>CHIKHALI</v>
          </cell>
          <cell r="K1187" t="str">
            <v>Ahmednagar</v>
          </cell>
          <cell r="L1187" t="str">
            <v>D1</v>
          </cell>
          <cell r="M1187" t="str">
            <v>NH-160</v>
          </cell>
          <cell r="O1187" t="str">
            <v>A</v>
          </cell>
        </row>
        <row r="1188">
          <cell r="C1188">
            <v>41074817</v>
          </cell>
          <cell r="D1188" t="str">
            <v>MSHSD SYNERGY PETROLEUM</v>
          </cell>
          <cell r="E1188" t="str">
            <v>HPCL</v>
          </cell>
          <cell r="F1188" t="str">
            <v>2024-25</v>
          </cell>
          <cell r="G1188" t="str">
            <v>Ahmednagar East RSA</v>
          </cell>
          <cell r="J1188" t="str">
            <v>Nagar-Manmad Bypass</v>
          </cell>
          <cell r="K1188" t="str">
            <v>Ahmednagar</v>
          </cell>
          <cell r="L1188" t="str">
            <v>D1</v>
          </cell>
          <cell r="M1188" t="str">
            <v>NH-160</v>
          </cell>
          <cell r="O1188" t="str">
            <v>B</v>
          </cell>
        </row>
        <row r="1189">
          <cell r="C1189">
            <v>41075177</v>
          </cell>
          <cell r="D1189" t="str">
            <v>DNYANRAJ PETROLEUM</v>
          </cell>
          <cell r="E1189" t="str">
            <v>HPCL</v>
          </cell>
          <cell r="F1189" t="str">
            <v>2024-25</v>
          </cell>
          <cell r="G1189" t="str">
            <v>Satara East RSA</v>
          </cell>
          <cell r="J1189" t="str">
            <v>BORWAT</v>
          </cell>
          <cell r="K1189" t="str">
            <v>Satara</v>
          </cell>
          <cell r="L1189" t="str">
            <v>E</v>
          </cell>
          <cell r="O1189" t="str">
            <v>B</v>
          </cell>
        </row>
        <row r="1190">
          <cell r="C1190">
            <v>41075178</v>
          </cell>
          <cell r="D1190" t="str">
            <v>SHRI SAMARTH KRUPA PETROLEUM</v>
          </cell>
          <cell r="E1190" t="str">
            <v>HPCL</v>
          </cell>
          <cell r="F1190" t="str">
            <v>2024-25</v>
          </cell>
          <cell r="G1190" t="str">
            <v>Pune Wagholi RSA</v>
          </cell>
          <cell r="J1190" t="str">
            <v>Peth on NH RHS</v>
          </cell>
          <cell r="K1190" t="str">
            <v>Pune</v>
          </cell>
          <cell r="L1190" t="str">
            <v>D1</v>
          </cell>
          <cell r="M1190" t="str">
            <v>NH-60</v>
          </cell>
          <cell r="O1190" t="str">
            <v>B</v>
          </cell>
        </row>
        <row r="1191">
          <cell r="C1191">
            <v>41075398</v>
          </cell>
          <cell r="D1191" t="str">
            <v>Shree Morya Petroleum</v>
          </cell>
          <cell r="E1191" t="str">
            <v>HPCL</v>
          </cell>
          <cell r="F1191" t="str">
            <v>2024-25</v>
          </cell>
          <cell r="G1191" t="str">
            <v>Pune Wagholi RSA</v>
          </cell>
          <cell r="J1191" t="str">
            <v>Shikrapur to Ranjangaon RHS</v>
          </cell>
          <cell r="K1191" t="str">
            <v>Pune</v>
          </cell>
          <cell r="L1191" t="str">
            <v>D1</v>
          </cell>
          <cell r="M1191" t="str">
            <v>NH-753F</v>
          </cell>
          <cell r="O1191" t="str">
            <v>B</v>
          </cell>
        </row>
        <row r="1192">
          <cell r="C1192">
            <v>41075773</v>
          </cell>
          <cell r="D1192" t="str">
            <v>PERFECT PETROLEUM</v>
          </cell>
          <cell r="E1192" t="str">
            <v>HPCL</v>
          </cell>
          <cell r="F1192" t="str">
            <v>2024-25</v>
          </cell>
          <cell r="G1192" t="str">
            <v>Pune Wagholi RSA</v>
          </cell>
          <cell r="J1192" t="str">
            <v>Nimone</v>
          </cell>
          <cell r="K1192" t="str">
            <v>Pune</v>
          </cell>
          <cell r="L1192" t="str">
            <v>E</v>
          </cell>
          <cell r="O1192" t="str">
            <v>B</v>
          </cell>
        </row>
        <row r="1193">
          <cell r="C1193">
            <v>41075777</v>
          </cell>
          <cell r="D1193" t="str">
            <v>OMRAJ PETROLEUM</v>
          </cell>
          <cell r="E1193" t="str">
            <v>HPCL</v>
          </cell>
          <cell r="F1193" t="str">
            <v>2024-25</v>
          </cell>
          <cell r="G1193" t="str">
            <v>Pune Tathawade RSA</v>
          </cell>
          <cell r="J1193" t="str">
            <v>BARAMATI MIDC TO UNDAVADI KADE PATHAR</v>
          </cell>
          <cell r="K1193" t="str">
            <v>Pune</v>
          </cell>
          <cell r="L1193" t="str">
            <v>D1</v>
          </cell>
          <cell r="M1193" t="str">
            <v>NH-965G</v>
          </cell>
          <cell r="O1193" t="str">
            <v>B</v>
          </cell>
        </row>
        <row r="1194">
          <cell r="C1194">
            <v>41075913</v>
          </cell>
          <cell r="D1194" t="str">
            <v>SHREE VALLABH PETROLEUM</v>
          </cell>
          <cell r="E1194" t="str">
            <v>HPCL</v>
          </cell>
          <cell r="F1194" t="str">
            <v>2024-25</v>
          </cell>
          <cell r="G1194" t="str">
            <v>Pune Wagholi RSA</v>
          </cell>
          <cell r="J1194" t="str">
            <v>Shikrapur to Inamgaon</v>
          </cell>
          <cell r="K1194" t="str">
            <v>Pune</v>
          </cell>
          <cell r="L1194" t="str">
            <v>D1</v>
          </cell>
          <cell r="M1194" t="str">
            <v>NH-548D</v>
          </cell>
          <cell r="O1194" t="str">
            <v>A</v>
          </cell>
        </row>
        <row r="1195">
          <cell r="C1195">
            <v>41076049</v>
          </cell>
          <cell r="D1195" t="str">
            <v>MAULI PETRO STATION</v>
          </cell>
          <cell r="E1195" t="str">
            <v>HPCL</v>
          </cell>
          <cell r="F1195" t="str">
            <v>2024-25</v>
          </cell>
          <cell r="G1195" t="str">
            <v>Ahmednagar West RSA</v>
          </cell>
          <cell r="J1195" t="str">
            <v>KARJAT-RASHIN RD</v>
          </cell>
          <cell r="K1195" t="str">
            <v>Ahmednagar</v>
          </cell>
          <cell r="L1195" t="str">
            <v>D2</v>
          </cell>
          <cell r="O1195" t="str">
            <v>B</v>
          </cell>
        </row>
        <row r="1196">
          <cell r="C1196">
            <v>41076824</v>
          </cell>
          <cell r="D1196" t="str">
            <v>Auto Care Centre (COMCO 12558880, 41042567)</v>
          </cell>
          <cell r="E1196" t="str">
            <v>HPCL</v>
          </cell>
          <cell r="G1196" t="str">
            <v>Ahmednagar East RSA</v>
          </cell>
          <cell r="J1196" t="str">
            <v>Supe</v>
          </cell>
          <cell r="K1196" t="str">
            <v>Ahmednagar</v>
          </cell>
          <cell r="L1196" t="str">
            <v>D1</v>
          </cell>
          <cell r="M1196" t="str">
            <v>NH-753F</v>
          </cell>
          <cell r="O1196" t="str">
            <v>A</v>
          </cell>
        </row>
        <row r="1197">
          <cell r="C1197">
            <v>41076871</v>
          </cell>
          <cell r="D1197" t="str">
            <v>SRUSHTI PETROLEUM</v>
          </cell>
          <cell r="E1197" t="str">
            <v>HPCL</v>
          </cell>
          <cell r="F1197" t="str">
            <v>2024-25</v>
          </cell>
          <cell r="G1197" t="str">
            <v>Pune Hadapsar RSA</v>
          </cell>
          <cell r="J1197" t="str">
            <v>Ravangaon RHS</v>
          </cell>
          <cell r="K1197" t="str">
            <v>Pune</v>
          </cell>
          <cell r="L1197" t="str">
            <v>D1</v>
          </cell>
          <cell r="M1197" t="str">
            <v>NH-65</v>
          </cell>
          <cell r="O1197" t="str">
            <v>B</v>
          </cell>
        </row>
        <row r="1198">
          <cell r="C1198">
            <v>41076946</v>
          </cell>
          <cell r="D1198" t="str">
            <v>SHAMBHU PETROLEUM</v>
          </cell>
          <cell r="E1198" t="str">
            <v>HPCL</v>
          </cell>
          <cell r="F1198" t="str">
            <v>2025-26</v>
          </cell>
          <cell r="G1198" t="str">
            <v>Pune City RSA</v>
          </cell>
          <cell r="J1198" t="str">
            <v>LOHAGOAN RURAL</v>
          </cell>
          <cell r="K1198" t="str">
            <v>Pune</v>
          </cell>
          <cell r="L1198" t="str">
            <v>A</v>
          </cell>
          <cell r="O1198" t="str">
            <v>A</v>
          </cell>
        </row>
        <row r="1199">
          <cell r="C1199">
            <v>41077024</v>
          </cell>
          <cell r="D1199" t="str">
            <v>NIRMALA PETROLEUM</v>
          </cell>
          <cell r="E1199" t="str">
            <v>HPCL</v>
          </cell>
          <cell r="F1199" t="str">
            <v>2025-26</v>
          </cell>
          <cell r="G1199" t="str">
            <v>Ahmednagar West RSA</v>
          </cell>
          <cell r="J1199" t="str">
            <v>LONI VYNKNATH-KASHTI (NH)</v>
          </cell>
          <cell r="K1199" t="str">
            <v>Ahmednagar</v>
          </cell>
          <cell r="L1199" t="str">
            <v>D1</v>
          </cell>
          <cell r="M1199" t="str">
            <v>NH-160</v>
          </cell>
          <cell r="O1199" t="str">
            <v>B</v>
          </cell>
        </row>
        <row r="1200">
          <cell r="C1200">
            <v>41077110</v>
          </cell>
          <cell r="D1200" t="str">
            <v>K D PETROLEUM</v>
          </cell>
          <cell r="E1200" t="str">
            <v>HPCL</v>
          </cell>
          <cell r="F1200" t="str">
            <v>2025-26</v>
          </cell>
          <cell r="G1200" t="str">
            <v>Pimpri Chinchwad RSA</v>
          </cell>
          <cell r="J1200" t="str">
            <v>Walhekarwadi</v>
          </cell>
          <cell r="K1200" t="str">
            <v>Pune</v>
          </cell>
          <cell r="L1200" t="str">
            <v>A</v>
          </cell>
          <cell r="O1200" t="str">
            <v>A</v>
          </cell>
        </row>
        <row r="1201">
          <cell r="C1201">
            <v>41077528</v>
          </cell>
          <cell r="D1201" t="str">
            <v>KAVERI PETROLEUM</v>
          </cell>
          <cell r="E1201" t="str">
            <v>HPCL</v>
          </cell>
          <cell r="F1201" t="str">
            <v>2024-25</v>
          </cell>
          <cell r="G1201" t="str">
            <v>Pune Hadapsar RSA</v>
          </cell>
          <cell r="J1201" t="str">
            <v>Ravangaon LHS</v>
          </cell>
          <cell r="K1201" t="str">
            <v>Pune</v>
          </cell>
          <cell r="L1201" t="str">
            <v>D1</v>
          </cell>
          <cell r="M1201" t="str">
            <v>NH-65</v>
          </cell>
          <cell r="O1201" t="str">
            <v>B</v>
          </cell>
        </row>
        <row r="1202">
          <cell r="C1202">
            <v>41077770</v>
          </cell>
          <cell r="D1202" t="str">
            <v>MAULI PETROLEUM</v>
          </cell>
          <cell r="E1202" t="str">
            <v>HPCL</v>
          </cell>
          <cell r="F1202" t="str">
            <v>2024-25</v>
          </cell>
          <cell r="G1202" t="str">
            <v>Pimpri Chinchwad RSA</v>
          </cell>
          <cell r="J1202" t="str">
            <v>Chakan MIDC</v>
          </cell>
          <cell r="K1202" t="str">
            <v>Pune</v>
          </cell>
          <cell r="L1202" t="str">
            <v>C</v>
          </cell>
          <cell r="O1202" t="str">
            <v>A</v>
          </cell>
        </row>
        <row r="1203">
          <cell r="C1203">
            <v>41078522</v>
          </cell>
          <cell r="D1203" t="str">
            <v>MUKTA PETROLEUM</v>
          </cell>
          <cell r="E1203" t="str">
            <v>HPCL</v>
          </cell>
          <cell r="F1203" t="str">
            <v>2024-25</v>
          </cell>
          <cell r="G1203" t="str">
            <v>Ahmednagar West RSA</v>
          </cell>
          <cell r="J1203" t="str">
            <v>JAMKHED-SHRIGONDA RD</v>
          </cell>
          <cell r="K1203" t="str">
            <v>Ahmednagar</v>
          </cell>
          <cell r="L1203" t="str">
            <v>D1</v>
          </cell>
          <cell r="M1203" t="str">
            <v>NH-548D</v>
          </cell>
          <cell r="O1203" t="str">
            <v>B</v>
          </cell>
        </row>
        <row r="1204">
          <cell r="C1204">
            <v>41078559</v>
          </cell>
          <cell r="D1204" t="str">
            <v>CHINTAMANI PETROLEUM</v>
          </cell>
          <cell r="E1204" t="str">
            <v>HPCL</v>
          </cell>
          <cell r="F1204" t="str">
            <v>2025-26</v>
          </cell>
          <cell r="G1204" t="str">
            <v>Pune Tathawade RSA</v>
          </cell>
          <cell r="J1204" t="str">
            <v>DEHU ROAD TO BALEWADI</v>
          </cell>
          <cell r="K1204" t="str">
            <v>Pune</v>
          </cell>
          <cell r="L1204" t="str">
            <v>A</v>
          </cell>
          <cell r="M1204" t="str">
            <v>NH-48</v>
          </cell>
          <cell r="O1204" t="str">
            <v>A</v>
          </cell>
        </row>
        <row r="1205">
          <cell r="C1205">
            <v>41078583</v>
          </cell>
          <cell r="D1205" t="str">
            <v>S B PETROLEUM</v>
          </cell>
          <cell r="E1205" t="str">
            <v>HPCL</v>
          </cell>
          <cell r="F1205" t="str">
            <v>2025-26</v>
          </cell>
          <cell r="G1205" t="str">
            <v>Pimpri Chinchwad RSA</v>
          </cell>
          <cell r="J1205" t="str">
            <v>Mangrul</v>
          </cell>
          <cell r="K1205" t="str">
            <v>Pune</v>
          </cell>
          <cell r="L1205" t="str">
            <v>C</v>
          </cell>
          <cell r="O1205" t="str">
            <v>B</v>
          </cell>
        </row>
        <row r="1206">
          <cell r="C1206">
            <v>41078663</v>
          </cell>
          <cell r="D1206" t="str">
            <v>BHAMCHANDRA PETROLEUM</v>
          </cell>
          <cell r="E1206" t="str">
            <v>HPCL</v>
          </cell>
          <cell r="F1206" t="str">
            <v>2025-26</v>
          </cell>
          <cell r="G1206" t="str">
            <v>Pimpri Chinchwad RSA</v>
          </cell>
          <cell r="J1206" t="str">
            <v>Chakan MIDC</v>
          </cell>
          <cell r="K1206" t="str">
            <v>Pune</v>
          </cell>
          <cell r="L1206" t="str">
            <v>C</v>
          </cell>
          <cell r="O1206" t="str">
            <v>B</v>
          </cell>
        </row>
        <row r="1207">
          <cell r="C1207">
            <v>41078798</v>
          </cell>
          <cell r="D1207" t="str">
            <v xml:space="preserve">VIRA PETROLEUM </v>
          </cell>
          <cell r="E1207" t="str">
            <v>HPCL</v>
          </cell>
          <cell r="F1207" t="str">
            <v>2024-25</v>
          </cell>
          <cell r="G1207" t="str">
            <v>Pune Saswad RSA</v>
          </cell>
          <cell r="J1207" t="str">
            <v>JEJURI</v>
          </cell>
          <cell r="K1207" t="str">
            <v>Pune</v>
          </cell>
          <cell r="L1207" t="str">
            <v>D1</v>
          </cell>
          <cell r="M1207" t="str">
            <v>NH-965</v>
          </cell>
          <cell r="O1207" t="str">
            <v>B</v>
          </cell>
        </row>
        <row r="1208">
          <cell r="C1208">
            <v>41078898</v>
          </cell>
          <cell r="D1208" t="str">
            <v>ADHOC MAHALAXMI PETROLEUM (41038481 ADHOC SHIVRATNA PETROLEUM)</v>
          </cell>
          <cell r="E1208" t="str">
            <v>HPCL</v>
          </cell>
          <cell r="F1208" t="str">
            <v>2019-20</v>
          </cell>
          <cell r="G1208" t="str">
            <v>Pune Saswad RSA</v>
          </cell>
          <cell r="J1208" t="str">
            <v>Jejuri - Nira Road</v>
          </cell>
          <cell r="K1208" t="str">
            <v>Pune</v>
          </cell>
          <cell r="L1208" t="str">
            <v>D1</v>
          </cell>
          <cell r="M1208" t="str">
            <v>NH-965D</v>
          </cell>
          <cell r="O1208" t="str">
            <v>A</v>
          </cell>
        </row>
        <row r="1209">
          <cell r="C1209">
            <v>41078900</v>
          </cell>
          <cell r="D1209" t="str">
            <v>Shri Durga Mata Petroleum</v>
          </cell>
          <cell r="E1209" t="str">
            <v>HPCL</v>
          </cell>
          <cell r="F1209" t="str">
            <v>2024-25</v>
          </cell>
          <cell r="G1209" t="str">
            <v>Ahmednagar West RSA</v>
          </cell>
          <cell r="J1209" t="str">
            <v>DHAVALPURI</v>
          </cell>
          <cell r="K1209" t="str">
            <v>Ahmednagar</v>
          </cell>
          <cell r="L1209" t="str">
            <v>E</v>
          </cell>
          <cell r="O1209" t="str">
            <v>B</v>
          </cell>
        </row>
        <row r="1210">
          <cell r="C1210">
            <v>41078933</v>
          </cell>
          <cell r="D1210" t="str">
            <v>BALASAHEB JAGTAP PATIL PETROLEUM</v>
          </cell>
          <cell r="E1210" t="str">
            <v>HPCL</v>
          </cell>
          <cell r="F1210" t="str">
            <v>2025-26</v>
          </cell>
          <cell r="G1210" t="str">
            <v>Ahmednagar East RSA</v>
          </cell>
          <cell r="J1210" t="str">
            <v>Nagar-Manmad Bypass</v>
          </cell>
          <cell r="K1210" t="str">
            <v>Ahmednagar</v>
          </cell>
          <cell r="L1210" t="str">
            <v>D1</v>
          </cell>
          <cell r="M1210" t="str">
            <v>NH-160</v>
          </cell>
          <cell r="O1210" t="str">
            <v>A</v>
          </cell>
        </row>
        <row r="1211">
          <cell r="C1211">
            <v>41079032</v>
          </cell>
          <cell r="D1211" t="str">
            <v>ARJUN PETROLEUM</v>
          </cell>
          <cell r="E1211" t="str">
            <v>HPCL</v>
          </cell>
          <cell r="F1211" t="str">
            <v>2024-25</v>
          </cell>
          <cell r="G1211" t="str">
            <v>Ahmednagar West RSA</v>
          </cell>
          <cell r="J1211" t="str">
            <v>Pathardi</v>
          </cell>
          <cell r="K1211" t="str">
            <v>Ahmednagar</v>
          </cell>
          <cell r="L1211" t="str">
            <v>D2</v>
          </cell>
          <cell r="O1211" t="str">
            <v>B</v>
          </cell>
        </row>
        <row r="1212">
          <cell r="C1212">
            <v>41079177</v>
          </cell>
          <cell r="D1212" t="str">
            <v>VIHAN PETROLEUM</v>
          </cell>
          <cell r="E1212" t="str">
            <v>HPCL</v>
          </cell>
          <cell r="F1212" t="str">
            <v>2024-25</v>
          </cell>
          <cell r="G1212" t="str">
            <v>Satara East RSA</v>
          </cell>
          <cell r="J1212" t="str">
            <v>Phalton Dahiwadi road</v>
          </cell>
          <cell r="K1212" t="str">
            <v>Satara</v>
          </cell>
          <cell r="L1212" t="str">
            <v>D1</v>
          </cell>
          <cell r="M1212" t="str">
            <v>NH-160</v>
          </cell>
          <cell r="O1212" t="str">
            <v>B</v>
          </cell>
        </row>
        <row r="1213">
          <cell r="C1213">
            <v>41079235</v>
          </cell>
          <cell r="D1213" t="str">
            <v>HERAMB PETROLEUM</v>
          </cell>
          <cell r="E1213" t="str">
            <v>HPCL</v>
          </cell>
          <cell r="F1213" t="str">
            <v>2024-25</v>
          </cell>
          <cell r="G1213" t="str">
            <v>Satara West RSA</v>
          </cell>
          <cell r="J1213" t="str">
            <v>Karad to Masur Road</v>
          </cell>
          <cell r="K1213" t="str">
            <v>Satara</v>
          </cell>
          <cell r="L1213" t="str">
            <v>D2</v>
          </cell>
          <cell r="O1213" t="str">
            <v>B</v>
          </cell>
        </row>
        <row r="1214">
          <cell r="C1214">
            <v>41079426</v>
          </cell>
          <cell r="D1214" t="str">
            <v>POWER PETROLEUM</v>
          </cell>
          <cell r="E1214" t="str">
            <v>HPCL</v>
          </cell>
          <cell r="F1214" t="str">
            <v>2024-25</v>
          </cell>
          <cell r="G1214" t="str">
            <v>Satara West RSA</v>
          </cell>
          <cell r="J1214" t="str">
            <v>KARAD TO KASHIL</v>
          </cell>
          <cell r="K1214" t="str">
            <v>Satara</v>
          </cell>
          <cell r="L1214" t="str">
            <v>D1</v>
          </cell>
          <cell r="M1214" t="str">
            <v>NH-48</v>
          </cell>
          <cell r="O1214" t="str">
            <v>B</v>
          </cell>
        </row>
        <row r="1215">
          <cell r="C1215">
            <v>41079471</v>
          </cell>
          <cell r="D1215" t="str">
            <v>ELITE PETROLEUM</v>
          </cell>
          <cell r="E1215" t="str">
            <v>HPCL</v>
          </cell>
          <cell r="F1215" t="str">
            <v>2024-25</v>
          </cell>
          <cell r="G1215" t="str">
            <v>Satara West RSA</v>
          </cell>
          <cell r="J1215" t="str">
            <v>Kodoli to Ghojegaon</v>
          </cell>
          <cell r="K1215" t="str">
            <v>Satara</v>
          </cell>
          <cell r="L1215" t="str">
            <v>D2</v>
          </cell>
          <cell r="O1215" t="str">
            <v>B</v>
          </cell>
        </row>
        <row r="1216">
          <cell r="C1216">
            <v>41079841</v>
          </cell>
          <cell r="D1216" t="str">
            <v>SOMESHAWAR FUEL HUB</v>
          </cell>
          <cell r="E1216" t="str">
            <v>HPCL</v>
          </cell>
          <cell r="F1216" t="str">
            <v>2024-25</v>
          </cell>
          <cell r="G1216" t="str">
            <v>Pune Wagholi RSA</v>
          </cell>
          <cell r="J1216" t="str">
            <v>Peth on NH LHS</v>
          </cell>
          <cell r="K1216" t="str">
            <v>Pune</v>
          </cell>
          <cell r="L1216" t="str">
            <v>D1</v>
          </cell>
          <cell r="M1216" t="str">
            <v>NH-60</v>
          </cell>
          <cell r="O1216" t="str">
            <v>B</v>
          </cell>
        </row>
        <row r="1217">
          <cell r="C1217">
            <v>41083912</v>
          </cell>
          <cell r="D1217" t="str">
            <v>SARVANDNYA PETROLEUM</v>
          </cell>
          <cell r="E1217" t="str">
            <v>HPCL</v>
          </cell>
          <cell r="F1217" t="str">
            <v>2024-25</v>
          </cell>
          <cell r="G1217" t="str">
            <v>Pune Hadapsar RSA</v>
          </cell>
          <cell r="J1217" t="str">
            <v>Mandavgaon Farata</v>
          </cell>
          <cell r="K1217" t="str">
            <v>Pune</v>
          </cell>
          <cell r="L1217" t="str">
            <v>E</v>
          </cell>
          <cell r="O1217" t="str">
            <v>B</v>
          </cell>
        </row>
        <row r="1218">
          <cell r="C1218">
            <v>41084333</v>
          </cell>
          <cell r="D1218" t="str">
            <v>BHAIRAV PETROLEUM</v>
          </cell>
          <cell r="E1218" t="str">
            <v>HPCL</v>
          </cell>
          <cell r="F1218" t="str">
            <v>2024-25</v>
          </cell>
          <cell r="G1218" t="str">
            <v>Pune Wagholi RSA</v>
          </cell>
          <cell r="J1218" t="str">
            <v>Manchar Bypass RHS</v>
          </cell>
          <cell r="K1218" t="str">
            <v>Pune</v>
          </cell>
          <cell r="L1218" t="str">
            <v>D1</v>
          </cell>
          <cell r="M1218" t="str">
            <v>NH-60</v>
          </cell>
          <cell r="O1218" t="str">
            <v>B</v>
          </cell>
        </row>
        <row r="1219">
          <cell r="C1219">
            <v>41084392</v>
          </cell>
          <cell r="D1219" t="str">
            <v>ANURAJ PETROLEUM</v>
          </cell>
          <cell r="E1219" t="str">
            <v>HPCL</v>
          </cell>
          <cell r="F1219" t="str">
            <v>2024-25</v>
          </cell>
          <cell r="G1219" t="str">
            <v>Pune Wagholi RSA</v>
          </cell>
          <cell r="J1219" t="str">
            <v>Alephata to Ottur</v>
          </cell>
          <cell r="K1219" t="str">
            <v>Pune</v>
          </cell>
          <cell r="L1219" t="str">
            <v>D1</v>
          </cell>
          <cell r="M1219" t="str">
            <v>NH-61</v>
          </cell>
          <cell r="O1219" t="str">
            <v>B</v>
          </cell>
        </row>
        <row r="1220">
          <cell r="C1220">
            <v>41084661</v>
          </cell>
          <cell r="D1220" t="str">
            <v>AJINKYATARA PETROLEUM</v>
          </cell>
          <cell r="E1220" t="str">
            <v>HPCL</v>
          </cell>
          <cell r="F1220" t="str">
            <v>2024-25</v>
          </cell>
          <cell r="G1220" t="str">
            <v>Ahmednagar West RSA</v>
          </cell>
          <cell r="J1220" t="str">
            <v>JAMKHED-SHRIGONDA RD</v>
          </cell>
          <cell r="K1220" t="str">
            <v>Ahmednagar</v>
          </cell>
          <cell r="L1220" t="str">
            <v>D2</v>
          </cell>
          <cell r="O1220" t="str">
            <v>A</v>
          </cell>
        </row>
        <row r="1221">
          <cell r="C1221">
            <v>41084858</v>
          </cell>
          <cell r="D1221" t="str">
            <v>ADHOC SHRI VENKATESH PETROLEUM (41034413 ADHOC MORE PETROLEUM)</v>
          </cell>
          <cell r="E1221" t="str">
            <v>HPCL</v>
          </cell>
          <cell r="G1221" t="str">
            <v>Pune Hadapsar RSA</v>
          </cell>
          <cell r="J1221" t="str">
            <v>Theur</v>
          </cell>
          <cell r="K1221" t="str">
            <v>Pune</v>
          </cell>
          <cell r="L1221" t="str">
            <v>D1</v>
          </cell>
          <cell r="M1221" t="str">
            <v>NH-548DD</v>
          </cell>
          <cell r="O1221" t="str">
            <v>B</v>
          </cell>
        </row>
        <row r="1222">
          <cell r="C1222">
            <v>41085183</v>
          </cell>
          <cell r="D1222" t="str">
            <v>ADHOC SIDDHARTH PETROLEUM (41040830 - ADHOC NRUSINHA PETROLEUM (ADHOC MORE PETROLEUM 12174490))</v>
          </cell>
          <cell r="E1222" t="str">
            <v>HPCL</v>
          </cell>
          <cell r="G1222" t="str">
            <v>Pune City RSA</v>
          </cell>
          <cell r="J1222" t="str">
            <v>HINJEWADI PIRANGUT ROAD</v>
          </cell>
          <cell r="K1222" t="str">
            <v>Pune</v>
          </cell>
          <cell r="L1222" t="str">
            <v>A</v>
          </cell>
          <cell r="O1222" t="str">
            <v>A</v>
          </cell>
        </row>
        <row r="1223">
          <cell r="C1223">
            <v>41085236</v>
          </cell>
          <cell r="D1223" t="str">
            <v>BHONDVE PATIL PETROLEUM</v>
          </cell>
          <cell r="E1223" t="str">
            <v>HPCL</v>
          </cell>
          <cell r="F1223" t="str">
            <v>2025-26</v>
          </cell>
          <cell r="G1223" t="str">
            <v>Pimpri Chinchwad RSA</v>
          </cell>
          <cell r="J1223" t="str">
            <v>Akurdi</v>
          </cell>
          <cell r="K1223" t="str">
            <v>Pune</v>
          </cell>
          <cell r="L1223" t="str">
            <v>A</v>
          </cell>
          <cell r="O1223" t="str">
            <v>B</v>
          </cell>
        </row>
        <row r="1224">
          <cell r="C1224">
            <v>41085252</v>
          </cell>
          <cell r="D1224" t="str">
            <v>SHREE MAHALAXMI PETROLEUM</v>
          </cell>
          <cell r="E1224" t="str">
            <v>HPCL</v>
          </cell>
          <cell r="F1224" t="str">
            <v>2024-25</v>
          </cell>
          <cell r="G1224" t="str">
            <v>Satara West RSA</v>
          </cell>
          <cell r="J1224" t="str">
            <v>KASHIL TO KARAD</v>
          </cell>
          <cell r="K1224" t="str">
            <v>Satara</v>
          </cell>
          <cell r="L1224" t="str">
            <v>D1</v>
          </cell>
          <cell r="M1224" t="str">
            <v>NH-48</v>
          </cell>
          <cell r="O1224" t="str">
            <v>B</v>
          </cell>
        </row>
        <row r="1225">
          <cell r="C1225">
            <v>41085253</v>
          </cell>
          <cell r="D1225" t="str">
            <v>MOKASHI BHONDVE PETROLEUM</v>
          </cell>
          <cell r="E1225" t="str">
            <v>HPCL</v>
          </cell>
          <cell r="F1225" t="str">
            <v>2024-25</v>
          </cell>
          <cell r="G1225" t="str">
            <v>Pune Wagholi RSA</v>
          </cell>
          <cell r="J1225" t="str">
            <v xml:space="preserve">Loni to shikhrapur </v>
          </cell>
          <cell r="K1225" t="str">
            <v>Pune</v>
          </cell>
          <cell r="L1225" t="str">
            <v>D2</v>
          </cell>
          <cell r="O1225" t="str">
            <v>A</v>
          </cell>
        </row>
        <row r="1226">
          <cell r="C1226">
            <v>41086114</v>
          </cell>
          <cell r="D1226" t="str">
            <v>LAKADE PETROLEUM</v>
          </cell>
          <cell r="E1226" t="str">
            <v>HPCL</v>
          </cell>
          <cell r="F1226" t="str">
            <v>2024-25</v>
          </cell>
          <cell r="G1226" t="str">
            <v>Pune Hadapsar RSA</v>
          </cell>
          <cell r="J1226" t="str">
            <v>Pimpalgaon</v>
          </cell>
          <cell r="K1226" t="str">
            <v>Pune</v>
          </cell>
          <cell r="L1226" t="str">
            <v>D2</v>
          </cell>
          <cell r="O1226" t="str">
            <v>B</v>
          </cell>
        </row>
        <row r="1227">
          <cell r="C1227">
            <v>41086296</v>
          </cell>
          <cell r="D1227" t="str">
            <v>RASKAR PETTROLEUM</v>
          </cell>
          <cell r="E1227" t="str">
            <v>HPCL</v>
          </cell>
          <cell r="F1227" t="str">
            <v>2024-25</v>
          </cell>
          <cell r="G1227" t="str">
            <v>Shirdi RSA</v>
          </cell>
          <cell r="J1227" t="str">
            <v>SHRIRAMPUR TOWN</v>
          </cell>
          <cell r="K1227" t="str">
            <v>Ahmednagar</v>
          </cell>
          <cell r="L1227" t="str">
            <v>D2</v>
          </cell>
          <cell r="O1227" t="str">
            <v>B</v>
          </cell>
        </row>
        <row r="1228">
          <cell r="C1228">
            <v>41086548</v>
          </cell>
          <cell r="D1228" t="str">
            <v>JAI MAHARASHTRA PETROLEUM</v>
          </cell>
          <cell r="E1228" t="str">
            <v>HPCL</v>
          </cell>
          <cell r="F1228" t="str">
            <v>2024-25</v>
          </cell>
          <cell r="G1228" t="str">
            <v>Pune Wagholi RSA</v>
          </cell>
          <cell r="J1228" t="str">
            <v>Talegaon damdere to Dhanore</v>
          </cell>
          <cell r="K1228" t="str">
            <v>Pune</v>
          </cell>
          <cell r="L1228" t="str">
            <v>D2</v>
          </cell>
          <cell r="O1228" t="str">
            <v>B</v>
          </cell>
        </row>
        <row r="1229">
          <cell r="C1229">
            <v>41086607</v>
          </cell>
          <cell r="D1229" t="str">
            <v>ADHOC DNYANRAJ PETROLEUM (SHREENATH MASKOBA PETRO PRODUCTS-41051950)</v>
          </cell>
          <cell r="E1229" t="str">
            <v>HPCL</v>
          </cell>
          <cell r="F1229" t="str">
            <v>2012-13</v>
          </cell>
          <cell r="G1229" t="str">
            <v>Pune Saswad RSA</v>
          </cell>
          <cell r="J1229" t="str">
            <v>saswad-veer-lonand road</v>
          </cell>
          <cell r="K1229" t="str">
            <v>Pune</v>
          </cell>
          <cell r="L1229" t="str">
            <v>D2</v>
          </cell>
          <cell r="O1229" t="str">
            <v>B</v>
          </cell>
        </row>
        <row r="1230">
          <cell r="C1230">
            <v>41086642</v>
          </cell>
          <cell r="D1230" t="str">
            <v>ROYAL PETROLEUM SHENDRE</v>
          </cell>
          <cell r="E1230" t="str">
            <v>HPCL</v>
          </cell>
          <cell r="F1230" t="str">
            <v>2024-25</v>
          </cell>
          <cell r="G1230" t="str">
            <v>Satara West RSA</v>
          </cell>
          <cell r="J1230" t="str">
            <v>KASHIL TO SHENDRE</v>
          </cell>
          <cell r="K1230" t="str">
            <v>Satara</v>
          </cell>
          <cell r="L1230" t="str">
            <v>D1</v>
          </cell>
          <cell r="M1230" t="str">
            <v>NH-48</v>
          </cell>
          <cell r="O1230" t="str">
            <v>B</v>
          </cell>
        </row>
        <row r="1231">
          <cell r="C1231">
            <v>41086992</v>
          </cell>
          <cell r="D1231" t="str">
            <v>BHAKTI-PRASAD PETROLEUM</v>
          </cell>
          <cell r="E1231" t="str">
            <v>HPCL</v>
          </cell>
          <cell r="F1231" t="str">
            <v>2025-26</v>
          </cell>
          <cell r="G1231" t="str">
            <v>Ahmednagar East RSA</v>
          </cell>
          <cell r="J1231" t="str">
            <v>Akhegaon</v>
          </cell>
          <cell r="K1231" t="str">
            <v>Ahmednagar</v>
          </cell>
          <cell r="L1231" t="str">
            <v>E</v>
          </cell>
          <cell r="O1231" t="str">
            <v>B</v>
          </cell>
        </row>
        <row r="1232">
          <cell r="C1232">
            <v>41087365</v>
          </cell>
          <cell r="D1232" t="str">
            <v>ADHOC SAI SAMARTH PETROLEUM (41064261 ADHOC SAIEE PETROLEUM)</v>
          </cell>
          <cell r="E1232" t="str">
            <v>HPCL</v>
          </cell>
          <cell r="G1232" t="str">
            <v>Pimpri Chinchwad RSA</v>
          </cell>
          <cell r="J1232" t="str">
            <v>Talegaon Dabhade</v>
          </cell>
          <cell r="K1232" t="str">
            <v>Pune</v>
          </cell>
          <cell r="L1232" t="str">
            <v>E</v>
          </cell>
          <cell r="O1232" t="str">
            <v>A</v>
          </cell>
        </row>
        <row r="1233">
          <cell r="C1233">
            <v>41087651</v>
          </cell>
          <cell r="D1233" t="str">
            <v>ADHOC APMC RAHURI (41063606 ADHOC SURYABHAN PATIL TAMBE SONS (Dr. Baburao Bapuji Tanpure SSK Ltd,)</v>
          </cell>
          <cell r="E1233" t="str">
            <v>HPCL</v>
          </cell>
          <cell r="G1233" t="str">
            <v>Shirdi RSA</v>
          </cell>
          <cell r="J1233" t="str">
            <v>RAHURI FACTORY RHS</v>
          </cell>
          <cell r="K1233" t="str">
            <v>Ahmednagar</v>
          </cell>
          <cell r="L1233" t="str">
            <v>D1</v>
          </cell>
          <cell r="M1233" t="str">
            <v>NH-160</v>
          </cell>
          <cell r="O1233" t="str">
            <v>A</v>
          </cell>
        </row>
        <row r="1234">
          <cell r="C1234">
            <v>41088578</v>
          </cell>
          <cell r="D1234" t="str">
            <v>OM SAIBHAKTI PETROLEUM</v>
          </cell>
          <cell r="E1234" t="str">
            <v>HPCL</v>
          </cell>
          <cell r="F1234" t="str">
            <v>2025-26</v>
          </cell>
          <cell r="G1234" t="str">
            <v>Pune Wagholi RSA</v>
          </cell>
          <cell r="J1234" t="str">
            <v>Landewadi</v>
          </cell>
          <cell r="K1234" t="str">
            <v>Pune</v>
          </cell>
          <cell r="L1234" t="str">
            <v>E</v>
          </cell>
          <cell r="O1234" t="str">
            <v>B</v>
          </cell>
        </row>
        <row r="1235">
          <cell r="C1235">
            <v>41088598</v>
          </cell>
          <cell r="D1235" t="str">
            <v>ADHOC ATHARVA PETROLEUM (41049846 Shree Sant Wamanbhau Petroleum)</v>
          </cell>
          <cell r="E1235" t="str">
            <v>HPCL</v>
          </cell>
          <cell r="F1235" t="str">
            <v>2015-16</v>
          </cell>
          <cell r="G1235" t="str">
            <v>Ahmednagar East RSA</v>
          </cell>
          <cell r="J1235" t="str">
            <v>Miri</v>
          </cell>
          <cell r="K1235" t="str">
            <v>Ahmednagar</v>
          </cell>
          <cell r="L1235" t="str">
            <v>D2</v>
          </cell>
          <cell r="O1235" t="str">
            <v>B</v>
          </cell>
        </row>
        <row r="1236">
          <cell r="C1236">
            <v>49916035</v>
          </cell>
          <cell r="D1236" t="str">
            <v>Shrirampur TKVS</v>
          </cell>
          <cell r="E1236" t="str">
            <v>HPCL</v>
          </cell>
          <cell r="G1236" t="str">
            <v>Shirdi RSA</v>
          </cell>
          <cell r="J1236" t="str">
            <v>SHRIRAMPUR TOWN</v>
          </cell>
          <cell r="K1236" t="str">
            <v>Ahmednagar</v>
          </cell>
          <cell r="L1236" t="str">
            <v>D2</v>
          </cell>
          <cell r="O1236" t="str">
            <v>A</v>
          </cell>
        </row>
        <row r="1237">
          <cell r="C1237">
            <v>41088783</v>
          </cell>
          <cell r="D1237" t="str">
            <v>AVNEESH PETROLEUM</v>
          </cell>
          <cell r="E1237" t="str">
            <v>HPCL</v>
          </cell>
          <cell r="F1237" t="str">
            <v>2025-26</v>
          </cell>
          <cell r="G1237" t="str">
            <v>Ahmednagar West RSA</v>
          </cell>
          <cell r="J1237" t="str">
            <v>WALUNJ-BYPASS</v>
          </cell>
          <cell r="K1237" t="str">
            <v>Ahmednagar</v>
          </cell>
          <cell r="L1237" t="str">
            <v>D1</v>
          </cell>
          <cell r="M1237" t="str">
            <v>NH-61</v>
          </cell>
          <cell r="O1237" t="str">
            <v>B</v>
          </cell>
        </row>
        <row r="1238">
          <cell r="C1238">
            <v>41089998</v>
          </cell>
          <cell r="D1238" t="str">
            <v>CHANDRAPRABHA PETROLEUM</v>
          </cell>
          <cell r="E1238" t="str">
            <v>HPCL</v>
          </cell>
          <cell r="F1238" t="str">
            <v>2025-26</v>
          </cell>
          <cell r="G1238" t="str">
            <v>Ahmednagar East RSA</v>
          </cell>
          <cell r="J1238" t="str">
            <v>Handinimgaon</v>
          </cell>
          <cell r="K1238" t="str">
            <v>Ahmednagar</v>
          </cell>
          <cell r="L1238" t="str">
            <v>D1</v>
          </cell>
          <cell r="M1238" t="str">
            <v>NH-753F</v>
          </cell>
          <cell r="O1238" t="str">
            <v>B</v>
          </cell>
        </row>
        <row r="1239">
          <cell r="C1239">
            <v>41084409</v>
          </cell>
          <cell r="D1239" t="str">
            <v>NATHSAHEB PETROLEUM</v>
          </cell>
          <cell r="E1239" t="str">
            <v>HPCL</v>
          </cell>
          <cell r="F1239" t="str">
            <v>2025-26</v>
          </cell>
          <cell r="G1239" t="str">
            <v>Pimpri Chinchwad RSA</v>
          </cell>
          <cell r="J1239" t="str">
            <v>NIGHOJE</v>
          </cell>
          <cell r="K1239" t="str">
            <v>Pune</v>
          </cell>
          <cell r="L1239" t="str">
            <v>C</v>
          </cell>
          <cell r="O1239" t="str">
            <v>B</v>
          </cell>
        </row>
        <row r="1240">
          <cell r="C1240">
            <v>41089659</v>
          </cell>
          <cell r="D1240" t="str">
            <v>JEBALE PETROLEUM</v>
          </cell>
          <cell r="E1240" t="str">
            <v>HPCL</v>
          </cell>
          <cell r="F1240" t="str">
            <v>2025-26</v>
          </cell>
          <cell r="G1240" t="str">
            <v>Satara East RSA</v>
          </cell>
          <cell r="J1240" t="str">
            <v>Lonand</v>
          </cell>
          <cell r="K1240" t="str">
            <v>Satara</v>
          </cell>
          <cell r="L1240" t="str">
            <v>D1</v>
          </cell>
          <cell r="M1240" t="str">
            <v>NH-965D</v>
          </cell>
          <cell r="O1240" t="str">
            <v>B</v>
          </cell>
        </row>
        <row r="1241">
          <cell r="C1241">
            <v>41090084</v>
          </cell>
          <cell r="D1241" t="str">
            <v>R B SHINDE PETROLEUM</v>
          </cell>
          <cell r="E1241" t="str">
            <v>HPCL</v>
          </cell>
          <cell r="F1241" t="str">
            <v>2025-26</v>
          </cell>
          <cell r="G1241" t="str">
            <v>Pune Saswad RSA</v>
          </cell>
          <cell r="J1241" t="str">
            <v>Indapur Bypass</v>
          </cell>
          <cell r="K1241" t="str">
            <v>Pune</v>
          </cell>
          <cell r="L1241" t="str">
            <v>D1</v>
          </cell>
          <cell r="M1241" t="str">
            <v>NH-65</v>
          </cell>
          <cell r="O1241" t="str">
            <v>B</v>
          </cell>
        </row>
        <row r="1242">
          <cell r="C1242">
            <v>41090670</v>
          </cell>
          <cell r="D1242" t="str">
            <v>VEDANT PETROLEUM</v>
          </cell>
          <cell r="E1242" t="str">
            <v>HPCL</v>
          </cell>
          <cell r="F1242" t="str">
            <v>2025-26</v>
          </cell>
          <cell r="G1242" t="str">
            <v>Satara East RSA</v>
          </cell>
          <cell r="J1242" t="str">
            <v>Wing-Khandala</v>
          </cell>
          <cell r="K1242" t="str">
            <v>Satara</v>
          </cell>
          <cell r="L1242" t="str">
            <v>D1</v>
          </cell>
          <cell r="M1242" t="str">
            <v>NH-753F</v>
          </cell>
          <cell r="O1242" t="str">
            <v>B</v>
          </cell>
        </row>
        <row r="1243">
          <cell r="C1243">
            <v>41090369</v>
          </cell>
          <cell r="D1243" t="str">
            <v>TEJASVI PETROLEUM</v>
          </cell>
          <cell r="E1243" t="str">
            <v>HPCL</v>
          </cell>
          <cell r="F1243" t="str">
            <v>2025-26</v>
          </cell>
          <cell r="G1243" t="str">
            <v>Satara West RSA</v>
          </cell>
          <cell r="J1243" t="str">
            <v>KARAD ON NH 48 RHS</v>
          </cell>
          <cell r="K1243" t="str">
            <v>Satara</v>
          </cell>
          <cell r="L1243" t="str">
            <v>D1</v>
          </cell>
          <cell r="M1243" t="str">
            <v>NH-48</v>
          </cell>
          <cell r="O1243" t="str">
            <v>B</v>
          </cell>
        </row>
        <row r="1244">
          <cell r="C1244">
            <v>41086065</v>
          </cell>
          <cell r="D1244" t="str">
            <v>B M PETROLEUM</v>
          </cell>
          <cell r="E1244" t="str">
            <v>HPCL</v>
          </cell>
          <cell r="F1244" t="str">
            <v>2025-26</v>
          </cell>
          <cell r="G1244" t="str">
            <v>Pune Hadapsar RSA</v>
          </cell>
          <cell r="J1244" t="str">
            <v>Yawat LHS</v>
          </cell>
          <cell r="K1244" t="str">
            <v>Pune</v>
          </cell>
          <cell r="L1244" t="str">
            <v>D1</v>
          </cell>
          <cell r="M1244" t="str">
            <v>NH-65</v>
          </cell>
          <cell r="O1244" t="str">
            <v>B</v>
          </cell>
        </row>
        <row r="1245">
          <cell r="C1245">
            <v>41086041</v>
          </cell>
          <cell r="D1245" t="str">
            <v>SHREENATH PETROLEUM</v>
          </cell>
          <cell r="E1245" t="str">
            <v>HPCL</v>
          </cell>
          <cell r="F1245" t="str">
            <v>2025-26</v>
          </cell>
          <cell r="G1245" t="str">
            <v>Pune City RSA</v>
          </cell>
          <cell r="J1245" t="str">
            <v>PUNAWALA</v>
          </cell>
          <cell r="K1245" t="str">
            <v>Pune</v>
          </cell>
          <cell r="L1245" t="str">
            <v>A</v>
          </cell>
          <cell r="O1245" t="str">
            <v>B</v>
          </cell>
        </row>
        <row r="1246">
          <cell r="C1246">
            <v>41092142</v>
          </cell>
          <cell r="D1246" t="str">
            <v>ASHIRWAD PETROLEUM</v>
          </cell>
          <cell r="E1246" t="str">
            <v>HPCL</v>
          </cell>
          <cell r="F1246" t="str">
            <v>2025-26</v>
          </cell>
          <cell r="G1246" t="str">
            <v>Pune Wagholi RSA</v>
          </cell>
          <cell r="J1246" t="str">
            <v>Belhe to Loni on belhe jejuri highway</v>
          </cell>
          <cell r="K1246" t="str">
            <v>Pune</v>
          </cell>
          <cell r="L1246" t="str">
            <v>D2</v>
          </cell>
          <cell r="O1246" t="str">
            <v>B</v>
          </cell>
        </row>
        <row r="1247">
          <cell r="C1247">
            <v>41092717</v>
          </cell>
          <cell r="D1247" t="str">
            <v>ORANGE VALLEY PETROLEUM</v>
          </cell>
          <cell r="E1247" t="str">
            <v>HPCL</v>
          </cell>
          <cell r="F1247" t="str">
            <v>2025-26</v>
          </cell>
          <cell r="G1247" t="str">
            <v>Ahmednagar East RSA</v>
          </cell>
          <cell r="J1247" t="str">
            <v>Dhangarwadi</v>
          </cell>
          <cell r="K1247" t="str">
            <v>Ahmednagar</v>
          </cell>
          <cell r="L1247" t="str">
            <v>D1</v>
          </cell>
          <cell r="M1247" t="str">
            <v>NH-753F</v>
          </cell>
          <cell r="O1247" t="str">
            <v>B</v>
          </cell>
        </row>
        <row r="1248">
          <cell r="C1248">
            <v>41091244</v>
          </cell>
          <cell r="D1248" t="str">
            <v>AVDHUT PETRO WORLD</v>
          </cell>
          <cell r="E1248" t="str">
            <v>HPCL</v>
          </cell>
          <cell r="F1248" t="str">
            <v>2025-26</v>
          </cell>
          <cell r="G1248" t="str">
            <v>Ahmednagar East RSA</v>
          </cell>
          <cell r="J1248" t="str">
            <v>bhatkudgaon</v>
          </cell>
          <cell r="K1248" t="str">
            <v>Ahmednagar</v>
          </cell>
          <cell r="L1248" t="str">
            <v>D2</v>
          </cell>
          <cell r="O1248" t="str">
            <v>B</v>
          </cell>
        </row>
        <row r="1249">
          <cell r="C1249">
            <v>41092247</v>
          </cell>
          <cell r="D1249" t="str">
            <v>MAHALAKSHMI PETROLEUM</v>
          </cell>
          <cell r="E1249" t="str">
            <v>HPCL</v>
          </cell>
          <cell r="F1249" t="str">
            <v>2025-26</v>
          </cell>
          <cell r="G1249" t="str">
            <v>Ahmednagar East RSA</v>
          </cell>
          <cell r="J1249" t="str">
            <v>Salbatpur</v>
          </cell>
          <cell r="K1249" t="str">
            <v>Ahmednagar</v>
          </cell>
          <cell r="L1249" t="str">
            <v>E</v>
          </cell>
          <cell r="O1249" t="str">
            <v>B</v>
          </cell>
        </row>
        <row r="1250">
          <cell r="C1250">
            <v>41086942</v>
          </cell>
          <cell r="D1250" t="str">
            <v>SG PETROHUBS</v>
          </cell>
          <cell r="E1250" t="str">
            <v>HPCL</v>
          </cell>
          <cell r="F1250" t="str">
            <v>2025-26</v>
          </cell>
          <cell r="G1250" t="str">
            <v>Pune City RSA</v>
          </cell>
          <cell r="J1250" t="str">
            <v>HINJEWADI</v>
          </cell>
          <cell r="K1250" t="str">
            <v>Pune</v>
          </cell>
          <cell r="L1250" t="str">
            <v>A</v>
          </cell>
          <cell r="O1250" t="str">
            <v>B</v>
          </cell>
        </row>
        <row r="1251">
          <cell r="C1251">
            <v>41078541</v>
          </cell>
          <cell r="D1251" t="str">
            <v>PANDURANG PETROLEUM</v>
          </cell>
          <cell r="E1251" t="str">
            <v>HPCL</v>
          </cell>
          <cell r="F1251" t="str">
            <v>2025-26</v>
          </cell>
          <cell r="G1251" t="str">
            <v>Pimpri Chinchwad RSA</v>
          </cell>
          <cell r="J1251" t="str">
            <v>Biradwadi</v>
          </cell>
          <cell r="K1251" t="str">
            <v>Pune</v>
          </cell>
          <cell r="L1251" t="str">
            <v>C</v>
          </cell>
          <cell r="O1251" t="str">
            <v>A</v>
          </cell>
        </row>
        <row r="1252">
          <cell r="C1252">
            <v>41092069</v>
          </cell>
          <cell r="D1252" t="str">
            <v xml:space="preserve">PRAJ PETROLEUM </v>
          </cell>
          <cell r="E1252" t="str">
            <v>HPCL</v>
          </cell>
          <cell r="F1252" t="str">
            <v>2025-26</v>
          </cell>
          <cell r="G1252" t="str">
            <v>Ahmednagar East RSA</v>
          </cell>
          <cell r="J1252" t="str">
            <v>Bhenda</v>
          </cell>
          <cell r="K1252" t="str">
            <v>Ahmednagar</v>
          </cell>
          <cell r="L1252" t="str">
            <v>D2</v>
          </cell>
          <cell r="O1252" t="str">
            <v>B</v>
          </cell>
        </row>
        <row r="1253">
          <cell r="C1253">
            <v>41090766</v>
          </cell>
          <cell r="D1253" t="str">
            <v>BALUMAMA PETROLEUM</v>
          </cell>
          <cell r="E1253" t="str">
            <v>HPCL</v>
          </cell>
          <cell r="F1253" t="str">
            <v>2025-26</v>
          </cell>
          <cell r="G1253" t="str">
            <v>Ahmednagar East RSA</v>
          </cell>
          <cell r="J1253" t="str">
            <v>Savedi</v>
          </cell>
          <cell r="K1253" t="str">
            <v>Ahmednagar</v>
          </cell>
          <cell r="L1253" t="str">
            <v>C</v>
          </cell>
          <cell r="O1253" t="str">
            <v>B</v>
          </cell>
        </row>
        <row r="1254">
          <cell r="C1254">
            <v>41088537</v>
          </cell>
          <cell r="D1254" t="str">
            <v>SANTKRUPA  PETROLEUM</v>
          </cell>
          <cell r="E1254" t="str">
            <v>HPCL</v>
          </cell>
          <cell r="F1254" t="str">
            <v>2025-26</v>
          </cell>
          <cell r="G1254" t="str">
            <v>Pimpri Chinchwad RSA</v>
          </cell>
          <cell r="J1254" t="str">
            <v>chakan to rajgurunagar RHS</v>
          </cell>
          <cell r="K1254" t="str">
            <v>Pune</v>
          </cell>
          <cell r="L1254" t="str">
            <v>D1</v>
          </cell>
          <cell r="M1254" t="str">
            <v>NH-60</v>
          </cell>
          <cell r="O1254" t="str">
            <v>B</v>
          </cell>
        </row>
        <row r="1255">
          <cell r="C1255">
            <v>41093202</v>
          </cell>
          <cell r="D1255" t="str">
            <v>Dhumal Petroleum</v>
          </cell>
          <cell r="E1255" t="str">
            <v>HPCL</v>
          </cell>
          <cell r="F1255" t="str">
            <v>2025-26</v>
          </cell>
          <cell r="G1255" t="str">
            <v>Ahmednagar West RSA</v>
          </cell>
          <cell r="J1255" t="str">
            <v>AMBIJALGAON</v>
          </cell>
          <cell r="K1255" t="str">
            <v>Ahmednagar</v>
          </cell>
          <cell r="L1255" t="str">
            <v>D2</v>
          </cell>
          <cell r="O1255" t="str">
            <v>B</v>
          </cell>
        </row>
        <row r="1256">
          <cell r="C1256">
            <v>41078843</v>
          </cell>
          <cell r="D1256" t="str">
            <v>AK FUEL SERVICES</v>
          </cell>
          <cell r="E1256" t="str">
            <v>HPCL</v>
          </cell>
          <cell r="F1256" t="str">
            <v>2026-27</v>
          </cell>
          <cell r="G1256" t="str">
            <v>Pune Tathawade RSA</v>
          </cell>
          <cell r="J1256" t="str">
            <v>DEHU ROAD TO TALEGAON DABHADE</v>
          </cell>
          <cell r="K1256" t="str">
            <v>Pune</v>
          </cell>
          <cell r="L1256" t="str">
            <v>D1</v>
          </cell>
          <cell r="M1256" t="str">
            <v>NH-48</v>
          </cell>
          <cell r="O1256" t="str">
            <v>B</v>
          </cell>
        </row>
        <row r="1257">
          <cell r="C1257">
            <v>41090130</v>
          </cell>
          <cell r="D1257" t="str">
            <v>SHRI VENKATESH ENERGY SERVICES</v>
          </cell>
          <cell r="E1257" t="str">
            <v>HPCL</v>
          </cell>
          <cell r="F1257" t="str">
            <v>2026-27</v>
          </cell>
          <cell r="G1257" t="str">
            <v>Pune City RSA</v>
          </cell>
          <cell r="J1257" t="str">
            <v>MAGARPATTA CITY</v>
          </cell>
          <cell r="K1257" t="str">
            <v>Pune</v>
          </cell>
          <cell r="L1257" t="str">
            <v>A</v>
          </cell>
          <cell r="O1257" t="str">
            <v>A</v>
          </cell>
        </row>
        <row r="1258">
          <cell r="C1258">
            <v>41087546</v>
          </cell>
          <cell r="D1258" t="str">
            <v>GOLDRE ASSOCIATES</v>
          </cell>
          <cell r="E1258" t="str">
            <v>HPCL</v>
          </cell>
          <cell r="F1258" t="str">
            <v>2026-27</v>
          </cell>
          <cell r="G1258" t="str">
            <v>Pune City RSA</v>
          </cell>
          <cell r="J1258" t="str">
            <v>Wakad</v>
          </cell>
          <cell r="K1258" t="str">
            <v>Pune</v>
          </cell>
          <cell r="L1258" t="str">
            <v>A</v>
          </cell>
          <cell r="O1258" t="str">
            <v>A</v>
          </cell>
        </row>
        <row r="1259">
          <cell r="C1259">
            <v>125725</v>
          </cell>
          <cell r="D1259" t="str">
            <v>NATIONAL PETROLEUM</v>
          </cell>
          <cell r="E1259" t="str">
            <v>IOCL</v>
          </cell>
          <cell r="G1259" t="str">
            <v>Pune Saswad RSA</v>
          </cell>
          <cell r="H1259">
            <v>25260</v>
          </cell>
          <cell r="I1259" t="str">
            <v>OPEN</v>
          </cell>
          <cell r="J1259" t="str">
            <v>BHIGWAN</v>
          </cell>
          <cell r="K1259" t="str">
            <v>Pune</v>
          </cell>
          <cell r="L1259" t="str">
            <v>D1</v>
          </cell>
          <cell r="M1259" t="str">
            <v>NH-65</v>
          </cell>
          <cell r="O1259" t="str">
            <v>A</v>
          </cell>
        </row>
        <row r="1260">
          <cell r="C1260">
            <v>125737</v>
          </cell>
          <cell r="D1260" t="str">
            <v>SHIVNER FILLING STATION</v>
          </cell>
          <cell r="E1260" t="str">
            <v>IOCL</v>
          </cell>
          <cell r="G1260" t="str">
            <v>Pimpri Chinchwad RSA</v>
          </cell>
          <cell r="H1260">
            <v>25415</v>
          </cell>
          <cell r="I1260" t="str">
            <v>OPEN</v>
          </cell>
          <cell r="J1260" t="str">
            <v xml:space="preserve">Sablewadi to shikhrapur </v>
          </cell>
          <cell r="K1260" t="str">
            <v>Pune</v>
          </cell>
          <cell r="L1260" t="str">
            <v>D1</v>
          </cell>
          <cell r="M1260" t="str">
            <v>NH-548D</v>
          </cell>
          <cell r="O1260" t="str">
            <v>B</v>
          </cell>
        </row>
        <row r="1261">
          <cell r="C1261">
            <v>125834</v>
          </cell>
          <cell r="D1261" t="str">
            <v>SHREE SAI KRUPA SERVICES</v>
          </cell>
          <cell r="E1261" t="str">
            <v>IOCL</v>
          </cell>
          <cell r="G1261" t="str">
            <v>Pune City RSA</v>
          </cell>
          <cell r="H1261">
            <v>35399</v>
          </cell>
          <cell r="I1261" t="str">
            <v>OPEN</v>
          </cell>
          <cell r="J1261" t="str">
            <v>VISHRANTWADI</v>
          </cell>
          <cell r="K1261" t="str">
            <v>Pune</v>
          </cell>
          <cell r="L1261" t="str">
            <v>A</v>
          </cell>
          <cell r="O1261" t="str">
            <v>B</v>
          </cell>
        </row>
        <row r="1262">
          <cell r="C1262">
            <v>125893</v>
          </cell>
          <cell r="D1262" t="str">
            <v>ANIL AUTOMOBILES-MODNIMB (H)</v>
          </cell>
          <cell r="E1262" t="str">
            <v>IOCL</v>
          </cell>
          <cell r="G1262" t="str">
            <v>Pune Tathawade RSA</v>
          </cell>
          <cell r="H1262">
            <v>25932</v>
          </cell>
          <cell r="I1262" t="str">
            <v>OPEN</v>
          </cell>
          <cell r="J1262" t="str">
            <v>Nimbut to Someshwar Nagar</v>
          </cell>
          <cell r="K1262" t="str">
            <v>Pune</v>
          </cell>
          <cell r="L1262" t="str">
            <v>D2</v>
          </cell>
          <cell r="O1262" t="str">
            <v>B</v>
          </cell>
        </row>
        <row r="1263">
          <cell r="C1263">
            <v>126060</v>
          </cell>
          <cell r="D1263" t="str">
            <v>D.S.Bhosale &amp; Co</v>
          </cell>
          <cell r="E1263" t="str">
            <v>IOCL</v>
          </cell>
          <cell r="G1263" t="str">
            <v>Shirdi RSA</v>
          </cell>
          <cell r="H1263">
            <v>25261</v>
          </cell>
          <cell r="I1263" t="str">
            <v>OPEN</v>
          </cell>
          <cell r="J1263" t="str">
            <v>SHRIRAMPUR RURAL</v>
          </cell>
          <cell r="K1263" t="str">
            <v>Ahmednagar</v>
          </cell>
          <cell r="L1263" t="str">
            <v>D2</v>
          </cell>
          <cell r="O1263" t="str">
            <v>B</v>
          </cell>
        </row>
        <row r="1264">
          <cell r="C1264">
            <v>126064</v>
          </cell>
          <cell r="D1264" t="str">
            <v>Kothari Automobiles</v>
          </cell>
          <cell r="E1264" t="str">
            <v>IOCL</v>
          </cell>
          <cell r="G1264" t="str">
            <v>Ahmednagar West RSA</v>
          </cell>
          <cell r="H1264">
            <v>29292</v>
          </cell>
          <cell r="I1264" t="str">
            <v>OPEN</v>
          </cell>
          <cell r="J1264" t="str">
            <v>JAMKHED-NAGAR RD</v>
          </cell>
          <cell r="K1264" t="str">
            <v>Ahmednagar</v>
          </cell>
          <cell r="L1264" t="str">
            <v>D1</v>
          </cell>
          <cell r="M1264" t="str">
            <v>NH-548D</v>
          </cell>
          <cell r="O1264" t="str">
            <v>B</v>
          </cell>
        </row>
        <row r="1265">
          <cell r="C1265">
            <v>126068</v>
          </cell>
          <cell r="D1265" t="str">
            <v>Musmade &amp; Sons.</v>
          </cell>
          <cell r="E1265" t="str">
            <v>IOCL</v>
          </cell>
          <cell r="G1265" t="str">
            <v>Shirdi RSA</v>
          </cell>
          <cell r="H1265">
            <v>25472</v>
          </cell>
          <cell r="I1265" t="str">
            <v>OPEN</v>
          </cell>
          <cell r="J1265" t="str">
            <v>RAHURI FACTORY RHS</v>
          </cell>
          <cell r="K1265" t="str">
            <v>Ahmednagar</v>
          </cell>
          <cell r="L1265" t="str">
            <v>D1</v>
          </cell>
          <cell r="M1265" t="str">
            <v>NH-160</v>
          </cell>
          <cell r="O1265" t="str">
            <v>B</v>
          </cell>
        </row>
        <row r="1266">
          <cell r="C1266">
            <v>126071</v>
          </cell>
          <cell r="D1266" t="str">
            <v>Sanjivani Ssk Ltd.</v>
          </cell>
          <cell r="E1266" t="str">
            <v>IOCL</v>
          </cell>
          <cell r="G1266" t="str">
            <v>Shirdi RSA</v>
          </cell>
          <cell r="H1266">
            <v>25763</v>
          </cell>
          <cell r="I1266" t="str">
            <v>OPEN</v>
          </cell>
          <cell r="J1266" t="str">
            <v xml:space="preserve">SAHAJANANDNAGAR   </v>
          </cell>
          <cell r="K1266" t="str">
            <v>Ahmednagar</v>
          </cell>
          <cell r="L1266" t="str">
            <v>C</v>
          </cell>
          <cell r="O1266" t="str">
            <v>A</v>
          </cell>
        </row>
        <row r="1267">
          <cell r="C1267">
            <v>126072</v>
          </cell>
          <cell r="D1267" t="str">
            <v>Sangamner S.S Sangh Ltd</v>
          </cell>
          <cell r="E1267" t="str">
            <v>IOCL</v>
          </cell>
          <cell r="G1267" t="str">
            <v>Shirdi RSA</v>
          </cell>
          <cell r="H1267">
            <v>25132</v>
          </cell>
          <cell r="I1267" t="str">
            <v>OPEN</v>
          </cell>
          <cell r="J1267" t="str">
            <v>SANGAMNER - GOLIBAR</v>
          </cell>
          <cell r="K1267" t="str">
            <v>Ahmednagar</v>
          </cell>
          <cell r="L1267" t="str">
            <v>C</v>
          </cell>
          <cell r="O1267" t="str">
            <v>A</v>
          </cell>
        </row>
        <row r="1268">
          <cell r="C1268">
            <v>126073</v>
          </cell>
          <cell r="D1268" t="str">
            <v>Shri Sai Service Centre</v>
          </cell>
          <cell r="E1268" t="str">
            <v>IOCL</v>
          </cell>
          <cell r="G1268" t="str">
            <v>Shirdi RSA</v>
          </cell>
          <cell r="H1268">
            <v>31135</v>
          </cell>
          <cell r="I1268" t="str">
            <v>UG / UEG</v>
          </cell>
          <cell r="J1268" t="str">
            <v>SAVLIHIR</v>
          </cell>
          <cell r="K1268" t="str">
            <v>Ahmednagar</v>
          </cell>
          <cell r="L1268" t="str">
            <v>D1</v>
          </cell>
          <cell r="M1268" t="str">
            <v>NH-160</v>
          </cell>
          <cell r="O1268" t="str">
            <v>A</v>
          </cell>
        </row>
        <row r="1269">
          <cell r="C1269">
            <v>126074</v>
          </cell>
          <cell r="D1269" t="str">
            <v>Sarda Brothers</v>
          </cell>
          <cell r="E1269" t="str">
            <v>IOCL</v>
          </cell>
          <cell r="G1269" t="str">
            <v>Shirdi RSA</v>
          </cell>
          <cell r="H1269">
            <v>24773</v>
          </cell>
          <cell r="I1269" t="str">
            <v>OPEN</v>
          </cell>
          <cell r="J1269" t="str">
            <v>AKOLE</v>
          </cell>
          <cell r="K1269" t="str">
            <v>Ahmednagar</v>
          </cell>
          <cell r="L1269" t="str">
            <v>D2</v>
          </cell>
          <cell r="O1269" t="str">
            <v>B</v>
          </cell>
        </row>
        <row r="1270">
          <cell r="C1270">
            <v>126078</v>
          </cell>
          <cell r="D1270" t="str">
            <v>A.B.Petroleum</v>
          </cell>
          <cell r="E1270" t="str">
            <v>IOCL</v>
          </cell>
          <cell r="G1270" t="str">
            <v>Ahmednagar East RSA</v>
          </cell>
          <cell r="H1270">
            <v>32050</v>
          </cell>
          <cell r="I1270" t="str">
            <v>UG / UEG</v>
          </cell>
          <cell r="J1270" t="str">
            <v>TAKLIMIYA</v>
          </cell>
          <cell r="K1270" t="str">
            <v>Ahmednagar</v>
          </cell>
          <cell r="L1270" t="str">
            <v>E</v>
          </cell>
          <cell r="O1270" t="str">
            <v>B</v>
          </cell>
        </row>
        <row r="1271">
          <cell r="C1271">
            <v>126081</v>
          </cell>
          <cell r="D1271" t="str">
            <v>Belapur Bk V.K.Sah.Seva S.Mary</v>
          </cell>
          <cell r="E1271" t="str">
            <v>IOCL</v>
          </cell>
          <cell r="G1271" t="str">
            <v>Shirdi RSA</v>
          </cell>
          <cell r="H1271">
            <v>25567</v>
          </cell>
          <cell r="I1271" t="str">
            <v>OPEN</v>
          </cell>
          <cell r="J1271" t="str">
            <v>BELAPUR</v>
          </cell>
          <cell r="K1271" t="str">
            <v>Ahmednagar</v>
          </cell>
          <cell r="L1271" t="str">
            <v>C</v>
          </cell>
          <cell r="O1271" t="str">
            <v>B</v>
          </cell>
        </row>
        <row r="1272">
          <cell r="C1272">
            <v>126082</v>
          </cell>
          <cell r="D1272" t="str">
            <v>Bhatiyani Filling Station</v>
          </cell>
          <cell r="E1272" t="str">
            <v>IOCL</v>
          </cell>
          <cell r="G1272" t="str">
            <v>Shirdi RSA</v>
          </cell>
          <cell r="H1272">
            <v>25933</v>
          </cell>
          <cell r="I1272" t="str">
            <v>OPEN</v>
          </cell>
          <cell r="J1272" t="str">
            <v>SHIRASGAON</v>
          </cell>
          <cell r="K1272" t="str">
            <v>Ahmednagar</v>
          </cell>
          <cell r="L1272" t="str">
            <v>D2</v>
          </cell>
          <cell r="O1272" t="str">
            <v>B</v>
          </cell>
        </row>
        <row r="1273">
          <cell r="C1273">
            <v>126085</v>
          </cell>
          <cell r="D1273" t="str">
            <v>C.B.Ghogre &amp; Co</v>
          </cell>
          <cell r="E1273" t="str">
            <v>IOCL</v>
          </cell>
          <cell r="G1273" t="str">
            <v>Shirdi RSA</v>
          </cell>
          <cell r="H1273">
            <v>25293</v>
          </cell>
          <cell r="I1273" t="str">
            <v>OPEN</v>
          </cell>
          <cell r="J1273" t="str">
            <v>BABLESHWAR SH</v>
          </cell>
          <cell r="K1273" t="str">
            <v>Ahmednagar</v>
          </cell>
          <cell r="L1273" t="str">
            <v>D1</v>
          </cell>
          <cell r="M1273" t="str">
            <v>NH-160</v>
          </cell>
          <cell r="O1273" t="str">
            <v>B</v>
          </cell>
        </row>
        <row r="1274">
          <cell r="C1274">
            <v>126087</v>
          </cell>
          <cell r="D1274" t="str">
            <v>Daulat Service Station</v>
          </cell>
          <cell r="E1274" t="str">
            <v>IOCL</v>
          </cell>
          <cell r="G1274" t="str">
            <v>Ahmednagar East RSA</v>
          </cell>
          <cell r="H1274">
            <v>31497</v>
          </cell>
          <cell r="I1274" t="str">
            <v>OPEN</v>
          </cell>
          <cell r="J1274" t="str">
            <v>Supe Toll</v>
          </cell>
          <cell r="K1274" t="str">
            <v>Ahmednagar</v>
          </cell>
          <cell r="L1274" t="str">
            <v>D1</v>
          </cell>
          <cell r="M1274" t="str">
            <v>NH-753F</v>
          </cell>
          <cell r="O1274" t="str">
            <v>B</v>
          </cell>
        </row>
        <row r="1275">
          <cell r="C1275">
            <v>126091</v>
          </cell>
          <cell r="D1275" t="str">
            <v>Friends Service Station</v>
          </cell>
          <cell r="E1275" t="str">
            <v>IOCL</v>
          </cell>
          <cell r="G1275" t="str">
            <v>Ahmednagar East RSA</v>
          </cell>
          <cell r="H1275">
            <v>23924</v>
          </cell>
          <cell r="I1275" t="str">
            <v>OPEN</v>
          </cell>
          <cell r="J1275" t="str">
            <v>SARJEPURA</v>
          </cell>
          <cell r="K1275" t="str">
            <v>Ahmednagar</v>
          </cell>
          <cell r="L1275" t="str">
            <v>C</v>
          </cell>
          <cell r="O1275" t="str">
            <v>A</v>
          </cell>
        </row>
        <row r="1276">
          <cell r="C1276">
            <v>126097</v>
          </cell>
          <cell r="D1276" t="str">
            <v>Laxmi Service Station</v>
          </cell>
          <cell r="E1276" t="str">
            <v>IOCL</v>
          </cell>
          <cell r="G1276" t="str">
            <v>Ahmednagar West RSA</v>
          </cell>
          <cell r="H1276">
            <v>31468</v>
          </cell>
          <cell r="I1276" t="str">
            <v>OPEN</v>
          </cell>
          <cell r="J1276" t="str">
            <v>PARNER-NIGHOJ RD</v>
          </cell>
          <cell r="K1276" t="str">
            <v>Ahmednagar</v>
          </cell>
          <cell r="L1276" t="str">
            <v>D2</v>
          </cell>
          <cell r="O1276" t="str">
            <v>B</v>
          </cell>
        </row>
        <row r="1277">
          <cell r="C1277">
            <v>126098</v>
          </cell>
          <cell r="D1277" t="str">
            <v>Sona Enterprises</v>
          </cell>
          <cell r="E1277" t="str">
            <v>IOCL</v>
          </cell>
          <cell r="G1277" t="str">
            <v>Ahmednagar West RSA</v>
          </cell>
          <cell r="H1277">
            <v>32963</v>
          </cell>
          <cell r="I1277" t="str">
            <v>DEF (OPEN)</v>
          </cell>
          <cell r="J1277" t="str">
            <v>ARANGAON</v>
          </cell>
          <cell r="K1277" t="str">
            <v>Ahmednagar</v>
          </cell>
          <cell r="L1277" t="str">
            <v>D1</v>
          </cell>
          <cell r="M1277" t="str">
            <v>NH-160</v>
          </cell>
          <cell r="O1277" t="str">
            <v>B</v>
          </cell>
        </row>
        <row r="1278">
          <cell r="C1278">
            <v>126099</v>
          </cell>
          <cell r="D1278" t="str">
            <v>Manav Highway Services</v>
          </cell>
          <cell r="E1278" t="str">
            <v>IOCL</v>
          </cell>
          <cell r="G1278" t="str">
            <v>Ahmednagar West RSA</v>
          </cell>
          <cell r="H1278">
            <v>35094</v>
          </cell>
          <cell r="I1278" t="str">
            <v>OPEN</v>
          </cell>
          <cell r="J1278" t="str">
            <v>MAHI JALGAON-NH</v>
          </cell>
          <cell r="K1278" t="str">
            <v>Ahmednagar</v>
          </cell>
          <cell r="L1278" t="str">
            <v>D1</v>
          </cell>
          <cell r="M1278" t="str">
            <v>NH-561A</v>
          </cell>
          <cell r="O1278" t="str">
            <v>A</v>
          </cell>
        </row>
        <row r="1279">
          <cell r="C1279">
            <v>126101</v>
          </cell>
          <cell r="D1279" t="str">
            <v>Nirmala Shahu Service Station</v>
          </cell>
          <cell r="E1279" t="str">
            <v>IOCL</v>
          </cell>
          <cell r="G1279" t="str">
            <v>Ahmednagar West RSA</v>
          </cell>
          <cell r="H1279">
            <v>31777</v>
          </cell>
          <cell r="I1279" t="str">
            <v>SC</v>
          </cell>
          <cell r="J1279" t="str">
            <v>KARJAT</v>
          </cell>
          <cell r="K1279" t="str">
            <v>Ahmednagar</v>
          </cell>
          <cell r="L1279" t="str">
            <v>D2</v>
          </cell>
          <cell r="O1279" t="str">
            <v>B</v>
          </cell>
        </row>
        <row r="1280">
          <cell r="C1280">
            <v>126108</v>
          </cell>
          <cell r="D1280" t="str">
            <v>Shivprasad Service Station</v>
          </cell>
          <cell r="E1280" t="str">
            <v>IOCL</v>
          </cell>
          <cell r="G1280" t="str">
            <v>Ahmednagar East RSA</v>
          </cell>
          <cell r="H1280">
            <v>36940</v>
          </cell>
          <cell r="I1280" t="str">
            <v>DEF (OPEN)</v>
          </cell>
          <cell r="J1280" t="str">
            <v>Kukana</v>
          </cell>
          <cell r="K1280" t="str">
            <v>Ahmednagar</v>
          </cell>
          <cell r="L1280" t="str">
            <v>D2</v>
          </cell>
          <cell r="O1280" t="str">
            <v>A</v>
          </cell>
        </row>
        <row r="1281">
          <cell r="C1281">
            <v>126113</v>
          </cell>
          <cell r="D1281" t="str">
            <v>Trimurti Automobiles</v>
          </cell>
          <cell r="E1281" t="str">
            <v>IOCL</v>
          </cell>
          <cell r="G1281" t="str">
            <v>Ahmednagar West RSA</v>
          </cell>
          <cell r="H1281">
            <v>23831</v>
          </cell>
          <cell r="I1281" t="str">
            <v>UG / UEG</v>
          </cell>
          <cell r="J1281" t="str">
            <v>Takli Dhokeshwar</v>
          </cell>
          <cell r="K1281" t="str">
            <v>Ahmednagar</v>
          </cell>
          <cell r="L1281" t="str">
            <v>D1</v>
          </cell>
          <cell r="M1281" t="str">
            <v>NH-61</v>
          </cell>
          <cell r="O1281" t="str">
            <v>B</v>
          </cell>
        </row>
        <row r="1282">
          <cell r="C1282">
            <v>126133</v>
          </cell>
          <cell r="D1282" t="str">
            <v>KOYNA SAH DUDH UTP</v>
          </cell>
          <cell r="E1282" t="str">
            <v>IOCL</v>
          </cell>
          <cell r="G1282" t="str">
            <v>Satara West RSA</v>
          </cell>
          <cell r="H1282">
            <v>25262</v>
          </cell>
          <cell r="I1282" t="str">
            <v>OPEN</v>
          </cell>
          <cell r="J1282" t="str">
            <v>KASHIL TO KARAD</v>
          </cell>
          <cell r="K1282" t="str">
            <v>Satara</v>
          </cell>
          <cell r="L1282" t="str">
            <v>D1</v>
          </cell>
          <cell r="M1282" t="str">
            <v>NH-48</v>
          </cell>
          <cell r="O1282" t="str">
            <v>B</v>
          </cell>
        </row>
        <row r="1283">
          <cell r="C1283">
            <v>126136</v>
          </cell>
          <cell r="D1283" t="str">
            <v>KARAD TAL.K.V.S.LTD</v>
          </cell>
          <cell r="E1283" t="str">
            <v>IOCL</v>
          </cell>
          <cell r="G1283" t="str">
            <v>Satara West RSA</v>
          </cell>
          <cell r="H1283">
            <v>25415</v>
          </cell>
          <cell r="I1283" t="str">
            <v>OPEN</v>
          </cell>
          <cell r="J1283" t="str">
            <v>KARAD ON NH 48 RHS</v>
          </cell>
          <cell r="K1283" t="str">
            <v>Satara</v>
          </cell>
          <cell r="L1283" t="str">
            <v>D1</v>
          </cell>
          <cell r="M1283" t="str">
            <v>NH-48</v>
          </cell>
          <cell r="O1283" t="str">
            <v>B</v>
          </cell>
        </row>
        <row r="1284">
          <cell r="C1284">
            <v>126149</v>
          </cell>
          <cell r="D1284" t="str">
            <v>PATAN TAL.S.K.V.SANGH LTD.</v>
          </cell>
          <cell r="E1284" t="str">
            <v>IOCL</v>
          </cell>
          <cell r="G1284" t="str">
            <v>Satara West RSA</v>
          </cell>
          <cell r="H1284">
            <v>27119</v>
          </cell>
          <cell r="I1284" t="str">
            <v>OPEN</v>
          </cell>
          <cell r="J1284" t="str">
            <v>MALHARPETH TO NADE</v>
          </cell>
          <cell r="K1284" t="str">
            <v>Satara</v>
          </cell>
          <cell r="L1284" t="str">
            <v>D1</v>
          </cell>
          <cell r="M1284" t="str">
            <v>NH-166E</v>
          </cell>
          <cell r="O1284" t="str">
            <v>B</v>
          </cell>
        </row>
        <row r="1285">
          <cell r="C1285">
            <v>126161</v>
          </cell>
          <cell r="D1285" t="str">
            <v>SHRINATH PETROLEUM</v>
          </cell>
          <cell r="E1285" t="str">
            <v>IOCL</v>
          </cell>
          <cell r="G1285" t="str">
            <v>Satara East RSA</v>
          </cell>
          <cell r="H1285">
            <v>34788</v>
          </cell>
          <cell r="I1285" t="str">
            <v>OPEN</v>
          </cell>
          <cell r="J1285" t="str">
            <v>Pusesavali</v>
          </cell>
          <cell r="K1285" t="str">
            <v>Satara</v>
          </cell>
          <cell r="L1285" t="str">
            <v>D2</v>
          </cell>
          <cell r="O1285" t="str">
            <v>B</v>
          </cell>
        </row>
        <row r="1286">
          <cell r="C1286">
            <v>126187</v>
          </cell>
          <cell r="D1286" t="str">
            <v>SHIVRAJ SERVICE STN.</v>
          </cell>
          <cell r="E1286" t="str">
            <v>IOCL</v>
          </cell>
          <cell r="G1286" t="str">
            <v>Satara West RSA</v>
          </cell>
          <cell r="H1286">
            <v>26708</v>
          </cell>
          <cell r="I1286" t="str">
            <v>OPEN</v>
          </cell>
          <cell r="J1286" t="str">
            <v>SATARA ON NH48 LHS</v>
          </cell>
          <cell r="K1286" t="str">
            <v>Satara</v>
          </cell>
          <cell r="L1286" t="str">
            <v>D1</v>
          </cell>
          <cell r="M1286" t="str">
            <v>NH-48</v>
          </cell>
          <cell r="O1286" t="str">
            <v>B</v>
          </cell>
        </row>
        <row r="1287">
          <cell r="C1287">
            <v>126293</v>
          </cell>
          <cell r="D1287" t="str">
            <v>AUTO ENTERPRISES</v>
          </cell>
          <cell r="E1287" t="str">
            <v>IOCL</v>
          </cell>
          <cell r="G1287" t="str">
            <v>Pune Hadapsar RSA</v>
          </cell>
          <cell r="H1287">
            <v>26775</v>
          </cell>
          <cell r="I1287" t="str">
            <v>OPEN</v>
          </cell>
          <cell r="J1287" t="str">
            <v>Urlikanchan LHS</v>
          </cell>
          <cell r="K1287" t="str">
            <v>Pune</v>
          </cell>
          <cell r="L1287" t="str">
            <v>D1</v>
          </cell>
          <cell r="M1287" t="str">
            <v>NH-65</v>
          </cell>
          <cell r="O1287" t="str">
            <v>A</v>
          </cell>
        </row>
        <row r="1288">
          <cell r="C1288">
            <v>126295</v>
          </cell>
          <cell r="D1288" t="str">
            <v>ANAND SERVICE STATION</v>
          </cell>
          <cell r="E1288" t="str">
            <v>IOCL</v>
          </cell>
          <cell r="G1288" t="str">
            <v>Pune City RSA</v>
          </cell>
          <cell r="H1288">
            <v>35063</v>
          </cell>
          <cell r="I1288" t="str">
            <v>DISCRETIONARY-QUOTA</v>
          </cell>
          <cell r="J1288" t="str">
            <v>SANGAVI</v>
          </cell>
          <cell r="K1288" t="str">
            <v>Pune</v>
          </cell>
          <cell r="L1288" t="str">
            <v>A</v>
          </cell>
          <cell r="O1288" t="str">
            <v>B</v>
          </cell>
        </row>
        <row r="1289">
          <cell r="C1289">
            <v>126297</v>
          </cell>
          <cell r="D1289" t="str">
            <v>BHARAT SERVICE CENTRE</v>
          </cell>
          <cell r="E1289" t="str">
            <v>IOCL</v>
          </cell>
          <cell r="G1289" t="str">
            <v>Pune City RSA</v>
          </cell>
          <cell r="H1289">
            <v>23497</v>
          </cell>
          <cell r="I1289" t="str">
            <v>OPEN</v>
          </cell>
          <cell r="J1289" t="str">
            <v>BHAIROVA NALA</v>
          </cell>
          <cell r="K1289" t="str">
            <v>Pune</v>
          </cell>
          <cell r="L1289" t="str">
            <v>A</v>
          </cell>
          <cell r="O1289" t="str">
            <v>A</v>
          </cell>
        </row>
        <row r="1290">
          <cell r="C1290">
            <v>126301</v>
          </cell>
          <cell r="D1290" t="str">
            <v>CHHATRAPATI S.S.K.LTD</v>
          </cell>
          <cell r="E1290" t="str">
            <v>IOCL</v>
          </cell>
          <cell r="G1290" t="str">
            <v>Pune Saswad RSA</v>
          </cell>
          <cell r="H1290">
            <v>30924</v>
          </cell>
          <cell r="I1290" t="str">
            <v>OPEN</v>
          </cell>
          <cell r="J1290" t="str">
            <v>BHAVANINAGAR</v>
          </cell>
          <cell r="K1290" t="str">
            <v>Pune</v>
          </cell>
          <cell r="L1290" t="str">
            <v>D1</v>
          </cell>
          <cell r="M1290" t="str">
            <v>NH-965G</v>
          </cell>
          <cell r="O1290" t="str">
            <v>B</v>
          </cell>
        </row>
        <row r="1291">
          <cell r="C1291">
            <v>126303</v>
          </cell>
          <cell r="D1291" t="str">
            <v>CHAITANYA AUTOMOBILES</v>
          </cell>
          <cell r="E1291" t="str">
            <v>IOCL</v>
          </cell>
          <cell r="G1291" t="str">
            <v>Pune Wagholi RSA</v>
          </cell>
          <cell r="H1291">
            <v>35095</v>
          </cell>
          <cell r="I1291" t="str">
            <v>OPEN</v>
          </cell>
          <cell r="J1291" t="str">
            <v>Alephata to Ottur</v>
          </cell>
          <cell r="K1291" t="str">
            <v>Pune</v>
          </cell>
          <cell r="L1291" t="str">
            <v>D1</v>
          </cell>
          <cell r="M1291" t="str">
            <v>NH-61</v>
          </cell>
          <cell r="O1291" t="str">
            <v>B</v>
          </cell>
        </row>
        <row r="1292">
          <cell r="C1292">
            <v>126305</v>
          </cell>
          <cell r="D1292" t="str">
            <v>D MELLO SERVICE STATION</v>
          </cell>
          <cell r="E1292" t="str">
            <v>IOCL</v>
          </cell>
          <cell r="G1292" t="str">
            <v>Pune City RSA</v>
          </cell>
          <cell r="H1292">
            <v>25932</v>
          </cell>
          <cell r="I1292" t="str">
            <v>OPEN</v>
          </cell>
          <cell r="J1292" t="str">
            <v>VADGAON SHERI</v>
          </cell>
          <cell r="K1292" t="str">
            <v>Pune</v>
          </cell>
          <cell r="L1292" t="str">
            <v>A</v>
          </cell>
          <cell r="O1292" t="str">
            <v>A</v>
          </cell>
        </row>
        <row r="1293">
          <cell r="C1293">
            <v>126308</v>
          </cell>
          <cell r="D1293" t="str">
            <v>GHULE SERVICE STATION</v>
          </cell>
          <cell r="E1293" t="str">
            <v>IOCL</v>
          </cell>
          <cell r="G1293" t="str">
            <v>Pune Hadapsar RSA</v>
          </cell>
          <cell r="H1293">
            <v>35154</v>
          </cell>
          <cell r="I1293" t="str">
            <v>OPEN</v>
          </cell>
          <cell r="J1293" t="str">
            <v>Sortapwadi RHS</v>
          </cell>
          <cell r="K1293" t="str">
            <v>Pune</v>
          </cell>
          <cell r="L1293" t="str">
            <v>D1</v>
          </cell>
          <cell r="M1293" t="str">
            <v>NH-65</v>
          </cell>
          <cell r="O1293" t="str">
            <v>B</v>
          </cell>
        </row>
        <row r="1294">
          <cell r="C1294">
            <v>126310</v>
          </cell>
          <cell r="D1294" t="str">
            <v>HINDUSTAN SERVICE STATION</v>
          </cell>
          <cell r="E1294" t="str">
            <v>IOCL</v>
          </cell>
          <cell r="G1294" t="str">
            <v>Satara West RSA</v>
          </cell>
          <cell r="H1294">
            <v>24525</v>
          </cell>
          <cell r="I1294" t="str">
            <v>OPEN</v>
          </cell>
          <cell r="J1294" t="str">
            <v>Wai</v>
          </cell>
          <cell r="K1294" t="str">
            <v>Satara</v>
          </cell>
          <cell r="L1294" t="str">
            <v>D2</v>
          </cell>
          <cell r="O1294" t="str">
            <v>B</v>
          </cell>
        </row>
        <row r="1295">
          <cell r="C1295">
            <v>126311</v>
          </cell>
          <cell r="D1295" t="str">
            <v>J C SHAH</v>
          </cell>
          <cell r="E1295" t="str">
            <v>IOCL</v>
          </cell>
          <cell r="G1295" t="str">
            <v>Satara East RSA</v>
          </cell>
          <cell r="H1295">
            <v>25933</v>
          </cell>
          <cell r="I1295" t="str">
            <v>OPEN</v>
          </cell>
          <cell r="J1295" t="str">
            <v>Waduj</v>
          </cell>
          <cell r="K1295" t="str">
            <v>Satara</v>
          </cell>
          <cell r="L1295" t="str">
            <v>D2</v>
          </cell>
          <cell r="O1295" t="str">
            <v>B</v>
          </cell>
        </row>
        <row r="1296">
          <cell r="C1296">
            <v>126312</v>
          </cell>
          <cell r="D1296" t="str">
            <v>Jagdamba Krishi Seva Kendra</v>
          </cell>
          <cell r="E1296" t="str">
            <v>IOCL</v>
          </cell>
          <cell r="G1296" t="str">
            <v>Ahmednagar West RSA</v>
          </cell>
          <cell r="H1296">
            <v>28363</v>
          </cell>
          <cell r="I1296" t="str">
            <v>OPEN</v>
          </cell>
          <cell r="J1296" t="str">
            <v>Rashin</v>
          </cell>
          <cell r="K1296" t="str">
            <v>Ahmednagar</v>
          </cell>
          <cell r="L1296" t="str">
            <v>D2</v>
          </cell>
          <cell r="O1296" t="str">
            <v>B</v>
          </cell>
        </row>
        <row r="1297">
          <cell r="C1297">
            <v>126314</v>
          </cell>
          <cell r="D1297" t="str">
            <v>KALE SERVICE STATION,</v>
          </cell>
          <cell r="E1297" t="str">
            <v>IOCL</v>
          </cell>
          <cell r="G1297" t="str">
            <v>Pune Hadapsar RSA</v>
          </cell>
          <cell r="H1297">
            <v>36769</v>
          </cell>
          <cell r="I1297" t="str">
            <v>OPEN</v>
          </cell>
          <cell r="J1297" t="str">
            <v>Kurkumbh LHS</v>
          </cell>
          <cell r="K1297" t="str">
            <v>Pune</v>
          </cell>
          <cell r="L1297" t="str">
            <v>D1</v>
          </cell>
          <cell r="M1297" t="str">
            <v>NH-65</v>
          </cell>
          <cell r="O1297" t="str">
            <v>A</v>
          </cell>
        </row>
        <row r="1298">
          <cell r="C1298">
            <v>126320</v>
          </cell>
          <cell r="D1298" t="str">
            <v>M&amp;D SALES &amp; SERVICES</v>
          </cell>
          <cell r="E1298" t="str">
            <v>IOCL</v>
          </cell>
          <cell r="G1298" t="str">
            <v>Shirdi RSA</v>
          </cell>
          <cell r="H1298">
            <v>25789</v>
          </cell>
          <cell r="I1298" t="str">
            <v>UG / UEG</v>
          </cell>
          <cell r="J1298" t="str">
            <v>MONOPOLY</v>
          </cell>
          <cell r="K1298" t="str">
            <v>Ahmednagar</v>
          </cell>
          <cell r="L1298" t="str">
            <v>D1</v>
          </cell>
          <cell r="M1298" t="str">
            <v>NH-60</v>
          </cell>
          <cell r="O1298" t="str">
            <v>A</v>
          </cell>
        </row>
        <row r="1299">
          <cell r="C1299">
            <v>126322</v>
          </cell>
          <cell r="D1299" t="str">
            <v>MODERN AUTOMOBILES-CHINCHAWAD</v>
          </cell>
          <cell r="E1299" t="str">
            <v>IOCL</v>
          </cell>
          <cell r="G1299" t="str">
            <v>Pimpri Chinchwad RSA</v>
          </cell>
          <cell r="H1299">
            <v>35276</v>
          </cell>
          <cell r="I1299" t="str">
            <v>OPEN</v>
          </cell>
          <cell r="J1299" t="str">
            <v>Chinchwad</v>
          </cell>
          <cell r="K1299" t="str">
            <v>Pune</v>
          </cell>
          <cell r="L1299" t="str">
            <v>A</v>
          </cell>
          <cell r="O1299" t="str">
            <v>B</v>
          </cell>
        </row>
        <row r="1300">
          <cell r="C1300">
            <v>126325</v>
          </cell>
          <cell r="D1300" t="str">
            <v>NANDKUMAR &amp; CO.</v>
          </cell>
          <cell r="E1300" t="str">
            <v>IOCL</v>
          </cell>
          <cell r="G1300" t="str">
            <v>Pune Wagholi RSA</v>
          </cell>
          <cell r="H1300">
            <v>26661</v>
          </cell>
          <cell r="I1300" t="str">
            <v>OPEN</v>
          </cell>
          <cell r="J1300" t="str">
            <v>Manchar</v>
          </cell>
          <cell r="K1300" t="str">
            <v>Pune</v>
          </cell>
          <cell r="L1300" t="str">
            <v>C</v>
          </cell>
          <cell r="O1300" t="str">
            <v>A</v>
          </cell>
        </row>
        <row r="1301">
          <cell r="C1301">
            <v>126326</v>
          </cell>
          <cell r="D1301" t="str">
            <v>N G PAWAR OIL &amp; TR CO.</v>
          </cell>
          <cell r="E1301" t="str">
            <v>IOCL</v>
          </cell>
          <cell r="G1301" t="str">
            <v>Satara East RSA</v>
          </cell>
          <cell r="H1301">
            <v>31126</v>
          </cell>
          <cell r="I1301" t="str">
            <v>OPEN</v>
          </cell>
          <cell r="J1301" t="str">
            <v>Pawarwadi</v>
          </cell>
          <cell r="K1301" t="str">
            <v>Satara</v>
          </cell>
          <cell r="L1301" t="str">
            <v>E</v>
          </cell>
          <cell r="O1301" t="str">
            <v>B</v>
          </cell>
        </row>
        <row r="1302">
          <cell r="C1302">
            <v>126328</v>
          </cell>
          <cell r="D1302" t="str">
            <v>KRISHI UTPANNA BAZAR SAMITI</v>
          </cell>
          <cell r="E1302" t="str">
            <v>IOCL</v>
          </cell>
          <cell r="G1302" t="str">
            <v>Pune City RSA</v>
          </cell>
          <cell r="H1302">
            <v>29920</v>
          </cell>
          <cell r="I1302" t="str">
            <v>OPEN</v>
          </cell>
          <cell r="J1302" t="str">
            <v>MARKET YARD/LULLANAGAR</v>
          </cell>
          <cell r="K1302" t="str">
            <v>Pune</v>
          </cell>
          <cell r="L1302" t="str">
            <v>A</v>
          </cell>
          <cell r="O1302" t="str">
            <v>B</v>
          </cell>
        </row>
        <row r="1303">
          <cell r="C1303">
            <v>126329</v>
          </cell>
          <cell r="D1303" t="str">
            <v>PRATHAMESH PETROLEUM SERVICE</v>
          </cell>
          <cell r="E1303" t="str">
            <v>IOCL</v>
          </cell>
          <cell r="G1303" t="str">
            <v>Pune Tathawade RSA</v>
          </cell>
          <cell r="H1303">
            <v>34575</v>
          </cell>
          <cell r="I1303" t="str">
            <v>FF (OPEN)</v>
          </cell>
          <cell r="J1303" t="str">
            <v>Vadgaon Nimbalkar to Pandare</v>
          </cell>
          <cell r="K1303" t="str">
            <v>Pune</v>
          </cell>
          <cell r="L1303" t="str">
            <v>D2</v>
          </cell>
          <cell r="O1303" t="str">
            <v>B</v>
          </cell>
        </row>
        <row r="1304">
          <cell r="C1304">
            <v>126332</v>
          </cell>
          <cell r="D1304" t="str">
            <v>PRITAM PETROLEUM</v>
          </cell>
          <cell r="E1304" t="str">
            <v>IOCL</v>
          </cell>
          <cell r="G1304" t="str">
            <v>Pune Hadapsar RSA</v>
          </cell>
          <cell r="H1304">
            <v>29311</v>
          </cell>
          <cell r="I1304" t="str">
            <v>OPEN</v>
          </cell>
          <cell r="J1304" t="str">
            <v>Varvand LHS</v>
          </cell>
          <cell r="K1304" t="str">
            <v>Pune</v>
          </cell>
          <cell r="L1304" t="str">
            <v>D1</v>
          </cell>
          <cell r="M1304" t="str">
            <v>NH-65</v>
          </cell>
          <cell r="O1304" t="str">
            <v>B</v>
          </cell>
        </row>
        <row r="1305">
          <cell r="C1305">
            <v>126335</v>
          </cell>
          <cell r="D1305" t="str">
            <v>PATIL &amp; SONS</v>
          </cell>
          <cell r="E1305" t="str">
            <v>IOCL</v>
          </cell>
          <cell r="G1305" t="str">
            <v>Pune Wagholi RSA</v>
          </cell>
          <cell r="H1305">
            <v>26663</v>
          </cell>
          <cell r="I1305" t="str">
            <v>OPEN</v>
          </cell>
          <cell r="J1305" t="str">
            <v>Alephata on Kalyan highway</v>
          </cell>
          <cell r="K1305" t="str">
            <v>Pune</v>
          </cell>
          <cell r="L1305" t="str">
            <v>D1</v>
          </cell>
          <cell r="M1305" t="str">
            <v>NH-61</v>
          </cell>
          <cell r="O1305" t="str">
            <v>A</v>
          </cell>
        </row>
        <row r="1306">
          <cell r="C1306">
            <v>126336</v>
          </cell>
          <cell r="D1306" t="str">
            <v>SHRI MAHALAXMI FUEL STATION</v>
          </cell>
          <cell r="E1306" t="str">
            <v>IOCL</v>
          </cell>
          <cell r="G1306" t="str">
            <v>Pune City RSA</v>
          </cell>
          <cell r="H1306">
            <v>27332</v>
          </cell>
          <cell r="I1306" t="str">
            <v>DEF (OPEN)</v>
          </cell>
          <cell r="J1306" t="str">
            <v>DANDEKAR CHOWK/NAVIPETH</v>
          </cell>
          <cell r="K1306" t="str">
            <v>Pune</v>
          </cell>
          <cell r="L1306" t="str">
            <v>A</v>
          </cell>
          <cell r="O1306" t="str">
            <v>A</v>
          </cell>
        </row>
        <row r="1307">
          <cell r="C1307">
            <v>126337</v>
          </cell>
          <cell r="D1307" t="str">
            <v>Punjab Auto Services</v>
          </cell>
          <cell r="E1307" t="str">
            <v>IOCL</v>
          </cell>
          <cell r="G1307" t="str">
            <v>Ahmednagar East RSA</v>
          </cell>
          <cell r="H1307">
            <v>28130</v>
          </cell>
          <cell r="I1307" t="str">
            <v>OPEN</v>
          </cell>
          <cell r="J1307" t="str">
            <v>Kedgaon</v>
          </cell>
          <cell r="K1307" t="str">
            <v>Ahmednagar</v>
          </cell>
          <cell r="L1307" t="str">
            <v>D1</v>
          </cell>
          <cell r="M1307" t="str">
            <v>NH-753F</v>
          </cell>
          <cell r="O1307" t="str">
            <v>A</v>
          </cell>
        </row>
        <row r="1308">
          <cell r="C1308">
            <v>126338</v>
          </cell>
          <cell r="D1308" t="str">
            <v>POONAM AUTOMOBILES</v>
          </cell>
          <cell r="E1308" t="str">
            <v>IOCL</v>
          </cell>
          <cell r="G1308" t="str">
            <v>Pune City RSA</v>
          </cell>
          <cell r="H1308">
            <v>27484</v>
          </cell>
          <cell r="I1308" t="str">
            <v>OPEN</v>
          </cell>
          <cell r="J1308" t="str">
            <v>KATRAJ</v>
          </cell>
          <cell r="K1308" t="str">
            <v>Pune</v>
          </cell>
          <cell r="L1308" t="str">
            <v>A</v>
          </cell>
          <cell r="O1308" t="str">
            <v>B</v>
          </cell>
        </row>
        <row r="1309">
          <cell r="C1309">
            <v>126339</v>
          </cell>
          <cell r="D1309" t="str">
            <v>RAMESHWAR PETROL CENTRE</v>
          </cell>
          <cell r="E1309" t="str">
            <v>IOCL</v>
          </cell>
          <cell r="G1309" t="str">
            <v>Pune Tathawade RSA</v>
          </cell>
          <cell r="H1309">
            <v>26053</v>
          </cell>
          <cell r="I1309" t="str">
            <v>OPEN</v>
          </cell>
          <cell r="J1309" t="str">
            <v>SAROLA TO KAPURHOL</v>
          </cell>
          <cell r="K1309" t="str">
            <v>Pune</v>
          </cell>
          <cell r="L1309" t="str">
            <v>D1</v>
          </cell>
          <cell r="M1309" t="str">
            <v>NH-48</v>
          </cell>
          <cell r="O1309" t="str">
            <v>A</v>
          </cell>
        </row>
        <row r="1310">
          <cell r="C1310">
            <v>126340</v>
          </cell>
          <cell r="D1310" t="str">
            <v>RENUKA PETROL &amp; DIESEL PUMP</v>
          </cell>
          <cell r="E1310" t="str">
            <v>IOCL</v>
          </cell>
          <cell r="G1310" t="str">
            <v>Satara West RSA</v>
          </cell>
          <cell r="H1310">
            <v>27839</v>
          </cell>
          <cell r="I1310" t="str">
            <v>SC</v>
          </cell>
          <cell r="J1310" t="str">
            <v>Satara City</v>
          </cell>
          <cell r="K1310" t="str">
            <v>Satara</v>
          </cell>
          <cell r="L1310" t="str">
            <v>C</v>
          </cell>
          <cell r="O1310" t="str">
            <v>A</v>
          </cell>
        </row>
        <row r="1311">
          <cell r="C1311">
            <v>126345</v>
          </cell>
          <cell r="D1311" t="str">
            <v>SHRIRAM S.S.K. LTD</v>
          </cell>
          <cell r="E1311" t="str">
            <v>IOCL</v>
          </cell>
          <cell r="G1311" t="str">
            <v>Satara East RSA</v>
          </cell>
          <cell r="H1311">
            <v>23497</v>
          </cell>
          <cell r="I1311" t="str">
            <v>OPEN</v>
          </cell>
          <cell r="J1311" t="str">
            <v>Phalton</v>
          </cell>
          <cell r="K1311" t="str">
            <v>Satara</v>
          </cell>
          <cell r="L1311" t="str">
            <v>D1</v>
          </cell>
          <cell r="M1311" t="str">
            <v>NH-965</v>
          </cell>
          <cell r="O1311" t="str">
            <v>B</v>
          </cell>
        </row>
        <row r="1312">
          <cell r="C1312">
            <v>126347</v>
          </cell>
          <cell r="D1312" t="str">
            <v>SURE PETROLEUM</v>
          </cell>
          <cell r="E1312" t="str">
            <v>IOCL</v>
          </cell>
          <cell r="G1312" t="str">
            <v>Pune City RSA</v>
          </cell>
          <cell r="H1312">
            <v>26715</v>
          </cell>
          <cell r="I1312" t="str">
            <v>OPEN</v>
          </cell>
          <cell r="J1312" t="str">
            <v>KARVE ROAD</v>
          </cell>
          <cell r="K1312" t="str">
            <v>Pune</v>
          </cell>
          <cell r="L1312" t="str">
            <v>A</v>
          </cell>
          <cell r="O1312" t="str">
            <v>A</v>
          </cell>
        </row>
        <row r="1313">
          <cell r="C1313">
            <v>126349</v>
          </cell>
          <cell r="D1313" t="str">
            <v>SAIPOOJA PETROLEUM</v>
          </cell>
          <cell r="E1313" t="str">
            <v>IOCL</v>
          </cell>
          <cell r="G1313" t="str">
            <v>Pune Hadapsar RSA</v>
          </cell>
          <cell r="H1313">
            <v>37134</v>
          </cell>
          <cell r="I1313" t="str">
            <v>PHP (OPEN)</v>
          </cell>
          <cell r="J1313" t="str">
            <v>Urlikanchan LHS</v>
          </cell>
          <cell r="K1313" t="str">
            <v>Pune</v>
          </cell>
          <cell r="L1313" t="str">
            <v>D1</v>
          </cell>
          <cell r="M1313" t="str">
            <v>NH-65</v>
          </cell>
          <cell r="O1313" t="str">
            <v>A</v>
          </cell>
        </row>
        <row r="1314">
          <cell r="C1314">
            <v>126350</v>
          </cell>
          <cell r="D1314" t="str">
            <v>SHRI ASHTAVINAYAK AUTOMOBILES</v>
          </cell>
          <cell r="E1314" t="str">
            <v>IOCL</v>
          </cell>
          <cell r="G1314" t="str">
            <v>Pune Wagholi RSA</v>
          </cell>
          <cell r="H1314">
            <v>30405</v>
          </cell>
          <cell r="I1314" t="str">
            <v>OPEN</v>
          </cell>
          <cell r="J1314" t="str">
            <v>Junnar</v>
          </cell>
          <cell r="K1314" t="str">
            <v>Pune</v>
          </cell>
          <cell r="L1314" t="str">
            <v>D2</v>
          </cell>
          <cell r="O1314" t="str">
            <v>B</v>
          </cell>
        </row>
        <row r="1315">
          <cell r="C1315">
            <v>126352</v>
          </cell>
          <cell r="D1315" t="str">
            <v>SILVER JUBILEE MOTORS</v>
          </cell>
          <cell r="E1315" t="str">
            <v>IOCL</v>
          </cell>
          <cell r="G1315" t="str">
            <v>Pune City RSA</v>
          </cell>
          <cell r="H1315">
            <v>24411</v>
          </cell>
          <cell r="I1315" t="str">
            <v>OPEN</v>
          </cell>
          <cell r="J1315" t="str">
            <v>MOLEDINA ROAD/E STREET</v>
          </cell>
          <cell r="K1315" t="str">
            <v>Pune</v>
          </cell>
          <cell r="L1315" t="str">
            <v>A</v>
          </cell>
          <cell r="O1315" t="str">
            <v>B</v>
          </cell>
        </row>
        <row r="1316">
          <cell r="C1316">
            <v>126353</v>
          </cell>
          <cell r="D1316" t="str">
            <v>SAVANI SERVICE STATION</v>
          </cell>
          <cell r="E1316" t="str">
            <v>IOCL</v>
          </cell>
          <cell r="G1316" t="str">
            <v>Pune City RSA</v>
          </cell>
          <cell r="H1316">
            <v>24959</v>
          </cell>
          <cell r="I1316" t="str">
            <v>OPEN</v>
          </cell>
          <cell r="J1316" t="str">
            <v>Kasarwadi</v>
          </cell>
          <cell r="K1316" t="str">
            <v>Pune</v>
          </cell>
          <cell r="L1316" t="str">
            <v>A</v>
          </cell>
          <cell r="O1316" t="str">
            <v>A</v>
          </cell>
        </row>
        <row r="1317">
          <cell r="C1317">
            <v>126354</v>
          </cell>
          <cell r="D1317" t="str">
            <v>S.M. Bhandari</v>
          </cell>
          <cell r="E1317" t="str">
            <v>IOCL</v>
          </cell>
          <cell r="G1317" t="str">
            <v>Ahmednagar West RSA</v>
          </cell>
          <cell r="H1317">
            <v>25071</v>
          </cell>
          <cell r="I1317" t="str">
            <v>OPEN</v>
          </cell>
          <cell r="J1317" t="str">
            <v>MIRAJGAON-SH</v>
          </cell>
          <cell r="K1317" t="str">
            <v>Ahmednagar</v>
          </cell>
          <cell r="L1317" t="str">
            <v>D1</v>
          </cell>
          <cell r="M1317" t="str">
            <v>NH-561A</v>
          </cell>
          <cell r="O1317" t="str">
            <v>B</v>
          </cell>
        </row>
        <row r="1318">
          <cell r="C1318">
            <v>126355</v>
          </cell>
          <cell r="D1318" t="str">
            <v>SCOOTER SERVICE STATION</v>
          </cell>
          <cell r="E1318" t="str">
            <v>IOCL</v>
          </cell>
          <cell r="G1318" t="str">
            <v>Pune City RSA</v>
          </cell>
          <cell r="H1318">
            <v>25259</v>
          </cell>
          <cell r="I1318" t="str">
            <v>OPEN</v>
          </cell>
          <cell r="J1318" t="str">
            <v>BHAIROVA NALA</v>
          </cell>
          <cell r="K1318" t="str">
            <v>Pune</v>
          </cell>
          <cell r="L1318" t="str">
            <v>A</v>
          </cell>
          <cell r="O1318" t="str">
            <v>A</v>
          </cell>
        </row>
        <row r="1319">
          <cell r="C1319">
            <v>126357</v>
          </cell>
          <cell r="D1319" t="str">
            <v>Krishi Seva Services</v>
          </cell>
          <cell r="E1319" t="str">
            <v>IOCL</v>
          </cell>
          <cell r="G1319" t="str">
            <v>Ahmednagar West RSA</v>
          </cell>
          <cell r="H1319">
            <v>26222</v>
          </cell>
          <cell r="I1319" t="str">
            <v>OPEN</v>
          </cell>
          <cell r="J1319" t="str">
            <v>LONI VYNKNATH-KASHTI (NH)</v>
          </cell>
          <cell r="K1319" t="str">
            <v>Ahmednagar</v>
          </cell>
          <cell r="L1319" t="str">
            <v>D1</v>
          </cell>
          <cell r="M1319" t="str">
            <v>NH-160</v>
          </cell>
          <cell r="O1319" t="str">
            <v>B</v>
          </cell>
        </row>
        <row r="1320">
          <cell r="C1320">
            <v>126358</v>
          </cell>
          <cell r="D1320" t="str">
            <v>SURENDRA AUTOMOBILES</v>
          </cell>
          <cell r="E1320" t="str">
            <v>IOCL</v>
          </cell>
          <cell r="G1320" t="str">
            <v>Pune Tathawade RSA</v>
          </cell>
          <cell r="H1320">
            <v>25445</v>
          </cell>
          <cell r="I1320" t="str">
            <v>OPEN</v>
          </cell>
          <cell r="J1320" t="str">
            <v>MALEGAON</v>
          </cell>
          <cell r="K1320" t="str">
            <v>Pune</v>
          </cell>
          <cell r="L1320" t="str">
            <v>D2</v>
          </cell>
          <cell r="O1320" t="str">
            <v>B</v>
          </cell>
        </row>
        <row r="1321">
          <cell r="C1321">
            <v>126359</v>
          </cell>
          <cell r="D1321" t="str">
            <v>SHREE SEVA</v>
          </cell>
          <cell r="E1321" t="str">
            <v>IOCL</v>
          </cell>
          <cell r="G1321" t="str">
            <v>Pune City RSA</v>
          </cell>
          <cell r="H1321">
            <v>25353</v>
          </cell>
          <cell r="I1321" t="str">
            <v>OPEN</v>
          </cell>
          <cell r="J1321" t="str">
            <v>GANESH KHIND ROAD</v>
          </cell>
          <cell r="K1321" t="str">
            <v>Pune</v>
          </cell>
          <cell r="L1321" t="str">
            <v>A</v>
          </cell>
          <cell r="O1321" t="str">
            <v>B</v>
          </cell>
        </row>
        <row r="1322">
          <cell r="C1322">
            <v>126361</v>
          </cell>
          <cell r="D1322" t="str">
            <v>SHROFF PETROLEUM</v>
          </cell>
          <cell r="E1322" t="str">
            <v>IOCL</v>
          </cell>
          <cell r="G1322" t="str">
            <v>Pune Tathawade RSA</v>
          </cell>
          <cell r="H1322">
            <v>24411</v>
          </cell>
          <cell r="I1322" t="str">
            <v>OPEN</v>
          </cell>
          <cell r="J1322" t="str">
            <v>BARAMATI TOWN ON UNDEWADI ROAD</v>
          </cell>
          <cell r="K1322" t="str">
            <v>Pune</v>
          </cell>
          <cell r="L1322" t="str">
            <v>D1</v>
          </cell>
          <cell r="M1322" t="str">
            <v>NH-160</v>
          </cell>
          <cell r="O1322" t="str">
            <v>A</v>
          </cell>
        </row>
        <row r="1323">
          <cell r="C1323">
            <v>126362</v>
          </cell>
          <cell r="D1323" t="str">
            <v>SHAH &amp; CO.</v>
          </cell>
          <cell r="E1323" t="str">
            <v>IOCL</v>
          </cell>
          <cell r="G1323" t="str">
            <v>Pimpri Chinchwad RSA</v>
          </cell>
          <cell r="H1323">
            <v>28398</v>
          </cell>
          <cell r="I1323" t="str">
            <v>OPEN</v>
          </cell>
          <cell r="J1323" t="str">
            <v>CHAKAN NH-60 RHS</v>
          </cell>
          <cell r="K1323" t="str">
            <v>Pune</v>
          </cell>
          <cell r="L1323" t="str">
            <v>D1</v>
          </cell>
          <cell r="M1323" t="str">
            <v>NH-60</v>
          </cell>
          <cell r="O1323" t="str">
            <v>B</v>
          </cell>
        </row>
        <row r="1324">
          <cell r="C1324">
            <v>126365</v>
          </cell>
          <cell r="D1324" t="str">
            <v>SHIV PRIYANKA PETROLEUM</v>
          </cell>
          <cell r="E1324" t="str">
            <v>IOCL</v>
          </cell>
          <cell r="G1324" t="str">
            <v>Pune Saswad RSA</v>
          </cell>
          <cell r="H1324">
            <v>33325</v>
          </cell>
          <cell r="I1324" t="str">
            <v>OPEN</v>
          </cell>
          <cell r="J1324" t="str">
            <v>Saswad-Jejuri Road</v>
          </cell>
          <cell r="K1324" t="str">
            <v>Pune</v>
          </cell>
          <cell r="L1324" t="str">
            <v>D1</v>
          </cell>
          <cell r="M1324" t="str">
            <v>NH-965</v>
          </cell>
          <cell r="O1324" t="str">
            <v>A</v>
          </cell>
        </row>
        <row r="1325">
          <cell r="C1325">
            <v>126366</v>
          </cell>
          <cell r="D1325" t="str">
            <v>SHRIRAM PETROLEUM</v>
          </cell>
          <cell r="E1325" t="str">
            <v>IOCL</v>
          </cell>
          <cell r="G1325" t="str">
            <v>Pune Tathawade RSA</v>
          </cell>
          <cell r="H1325">
            <v>24912</v>
          </cell>
          <cell r="I1325" t="str">
            <v>OPEN</v>
          </cell>
          <cell r="J1325" t="str">
            <v>JAMBHULWADI TO KHED SHIVAPUR</v>
          </cell>
          <cell r="K1325" t="str">
            <v>Pune</v>
          </cell>
          <cell r="L1325" t="str">
            <v>D1</v>
          </cell>
          <cell r="M1325" t="str">
            <v>NH-48</v>
          </cell>
          <cell r="O1325" t="str">
            <v>A</v>
          </cell>
        </row>
        <row r="1326">
          <cell r="C1326">
            <v>126368</v>
          </cell>
          <cell r="D1326" t="str">
            <v>UNITY OIL &amp; TR SERVICES</v>
          </cell>
          <cell r="E1326" t="str">
            <v>IOCL</v>
          </cell>
          <cell r="G1326" t="str">
            <v>Satara East RSA</v>
          </cell>
          <cell r="H1326">
            <v>25874</v>
          </cell>
          <cell r="I1326" t="str">
            <v>OPEN</v>
          </cell>
          <cell r="J1326" t="str">
            <v>Phalton</v>
          </cell>
          <cell r="K1326" t="str">
            <v>Satara</v>
          </cell>
          <cell r="L1326" t="str">
            <v>D1</v>
          </cell>
          <cell r="M1326" t="str">
            <v>NH-965</v>
          </cell>
          <cell r="O1326" t="str">
            <v>B</v>
          </cell>
        </row>
        <row r="1327">
          <cell r="C1327">
            <v>126369</v>
          </cell>
          <cell r="D1327" t="str">
            <v>Uttam Agencies</v>
          </cell>
          <cell r="E1327" t="str">
            <v>IOCL</v>
          </cell>
          <cell r="G1327" t="str">
            <v>Ahmednagar East RSA</v>
          </cell>
          <cell r="H1327">
            <v>28352</v>
          </cell>
          <cell r="I1327" t="str">
            <v>OPEN</v>
          </cell>
          <cell r="J1327" t="str">
            <v>Sonai</v>
          </cell>
          <cell r="K1327" t="str">
            <v>Ahmednagar</v>
          </cell>
          <cell r="L1327" t="str">
            <v>D2</v>
          </cell>
          <cell r="O1327" t="str">
            <v>B</v>
          </cell>
        </row>
        <row r="1328">
          <cell r="C1328">
            <v>126370</v>
          </cell>
          <cell r="D1328" t="str">
            <v>VAIBHAV SERVICE CENTER</v>
          </cell>
          <cell r="E1328" t="str">
            <v>IOCL</v>
          </cell>
          <cell r="G1328" t="str">
            <v>Pimpri Chinchwad RSA</v>
          </cell>
          <cell r="H1328">
            <v>25932</v>
          </cell>
          <cell r="I1328" t="str">
            <v>OPEN</v>
          </cell>
          <cell r="J1328" t="str">
            <v>CHAKAN NH-60 LHS</v>
          </cell>
          <cell r="K1328" t="str">
            <v>Pune</v>
          </cell>
          <cell r="L1328" t="str">
            <v>D1</v>
          </cell>
          <cell r="M1328" t="str">
            <v>NH-60</v>
          </cell>
          <cell r="O1328" t="str">
            <v>A</v>
          </cell>
        </row>
        <row r="1329">
          <cell r="C1329">
            <v>126372</v>
          </cell>
          <cell r="D1329" t="str">
            <v>VIKRAM AUTOMOBILES</v>
          </cell>
          <cell r="E1329" t="str">
            <v>IOCL</v>
          </cell>
          <cell r="G1329" t="str">
            <v>Satara East RSA</v>
          </cell>
          <cell r="H1329">
            <v>32539</v>
          </cell>
          <cell r="I1329" t="str">
            <v>SC</v>
          </cell>
          <cell r="J1329" t="str">
            <v>Barad</v>
          </cell>
          <cell r="K1329" t="str">
            <v>Satara</v>
          </cell>
          <cell r="L1329" t="str">
            <v>D1</v>
          </cell>
          <cell r="M1329" t="str">
            <v>NH-965</v>
          </cell>
          <cell r="O1329" t="str">
            <v>B</v>
          </cell>
        </row>
        <row r="1330">
          <cell r="C1330">
            <v>126373</v>
          </cell>
          <cell r="D1330" t="str">
            <v>YADAV SERVICE STATION-LOHEGAON</v>
          </cell>
          <cell r="E1330" t="str">
            <v>IOCL</v>
          </cell>
          <cell r="G1330" t="str">
            <v>Pune City RSA</v>
          </cell>
          <cell r="H1330">
            <v>29885</v>
          </cell>
          <cell r="I1330" t="str">
            <v>DEF (OPEN)</v>
          </cell>
          <cell r="J1330" t="str">
            <v>VADGAON SHERI</v>
          </cell>
          <cell r="K1330" t="str">
            <v>Pune</v>
          </cell>
          <cell r="L1330" t="str">
            <v>A</v>
          </cell>
          <cell r="O1330" t="str">
            <v>B</v>
          </cell>
        </row>
        <row r="1331">
          <cell r="C1331">
            <v>126379</v>
          </cell>
          <cell r="D1331" t="str">
            <v>BEGAWALA FL.STN.</v>
          </cell>
          <cell r="E1331" t="str">
            <v>IOCL</v>
          </cell>
          <cell r="G1331" t="str">
            <v>Pune Tathawade RSA</v>
          </cell>
          <cell r="H1331">
            <v>30375</v>
          </cell>
          <cell r="I1331" t="str">
            <v>OPEN</v>
          </cell>
          <cell r="J1331" t="str">
            <v>KAMSHET TO VADGAON</v>
          </cell>
          <cell r="K1331" t="str">
            <v>Pune</v>
          </cell>
          <cell r="L1331" t="str">
            <v>D1</v>
          </cell>
          <cell r="M1331" t="str">
            <v>NH-48</v>
          </cell>
          <cell r="O1331" t="str">
            <v>B</v>
          </cell>
        </row>
        <row r="1332">
          <cell r="C1332">
            <v>126402</v>
          </cell>
          <cell r="D1332" t="str">
            <v>POONAMPETROLEUMCO. MS DEALER</v>
          </cell>
          <cell r="E1332" t="str">
            <v>IOCL</v>
          </cell>
          <cell r="G1332" t="str">
            <v>Pune Tathawade RSA</v>
          </cell>
          <cell r="H1332">
            <v>28094</v>
          </cell>
          <cell r="I1332" t="str">
            <v>OPEN</v>
          </cell>
          <cell r="J1332" t="str">
            <v>VADGAON TO KAMSHET</v>
          </cell>
          <cell r="K1332" t="str">
            <v>Pune</v>
          </cell>
          <cell r="L1332" t="str">
            <v>D1</v>
          </cell>
          <cell r="M1332" t="str">
            <v>NH-48</v>
          </cell>
          <cell r="O1332" t="str">
            <v>A</v>
          </cell>
        </row>
        <row r="1333">
          <cell r="C1333">
            <v>132007</v>
          </cell>
          <cell r="D1333" t="str">
            <v>NEW AUTO CORNER-SOMATANE</v>
          </cell>
          <cell r="E1333" t="str">
            <v>IOCL</v>
          </cell>
          <cell r="G1333" t="str">
            <v>Pune Tathawade RSA</v>
          </cell>
          <cell r="H1333">
            <v>34505</v>
          </cell>
          <cell r="I1333" t="str">
            <v>OPEN</v>
          </cell>
          <cell r="J1333" t="str">
            <v>DEHU ROAD TO TALEGAON DABHADE</v>
          </cell>
          <cell r="K1333" t="str">
            <v>Pune</v>
          </cell>
          <cell r="L1333" t="str">
            <v>D1</v>
          </cell>
          <cell r="M1333" t="str">
            <v>NH-48</v>
          </cell>
          <cell r="O1333" t="str">
            <v>B</v>
          </cell>
        </row>
        <row r="1334">
          <cell r="C1334">
            <v>133329</v>
          </cell>
          <cell r="D1334" t="str">
            <v>BADIYANI BROTHERS-KARAD</v>
          </cell>
          <cell r="E1334" t="str">
            <v>IOCL</v>
          </cell>
          <cell r="G1334" t="str">
            <v>Satara West RSA</v>
          </cell>
          <cell r="H1334">
            <v>24164</v>
          </cell>
          <cell r="I1334" t="str">
            <v>OPEN</v>
          </cell>
          <cell r="J1334" t="str">
            <v>KARAD ON NH 48 RHS</v>
          </cell>
          <cell r="K1334" t="str">
            <v>Satara</v>
          </cell>
          <cell r="L1334" t="str">
            <v>D1</v>
          </cell>
          <cell r="M1334" t="str">
            <v>NH-48</v>
          </cell>
          <cell r="O1334" t="str">
            <v>B</v>
          </cell>
        </row>
        <row r="1335">
          <cell r="C1335">
            <v>133393</v>
          </cell>
          <cell r="D1335" t="str">
            <v>NAMRATA SERVICE CENTRE</v>
          </cell>
          <cell r="E1335" t="str">
            <v>IOCL</v>
          </cell>
          <cell r="G1335" t="str">
            <v>Pune Saswad RSA</v>
          </cell>
          <cell r="H1335">
            <v>34942</v>
          </cell>
          <cell r="I1335" t="str">
            <v>SC</v>
          </cell>
          <cell r="J1335" t="str">
            <v>Jejuri - Nira Road</v>
          </cell>
          <cell r="K1335" t="str">
            <v>Pune</v>
          </cell>
          <cell r="L1335" t="str">
            <v>D1</v>
          </cell>
          <cell r="M1335" t="str">
            <v>NH-965</v>
          </cell>
          <cell r="O1335" t="str">
            <v>A</v>
          </cell>
        </row>
        <row r="1336">
          <cell r="C1336">
            <v>133421</v>
          </cell>
          <cell r="D1336" t="str">
            <v>SUBHASH SERVICE STATION</v>
          </cell>
          <cell r="E1336" t="str">
            <v>IOCL</v>
          </cell>
          <cell r="G1336" t="str">
            <v>Pune Saswad RSA</v>
          </cell>
          <cell r="H1336">
            <v>31866</v>
          </cell>
          <cell r="I1336" t="str">
            <v>ST</v>
          </cell>
          <cell r="J1336" t="str">
            <v>WALCHANDNAGAR</v>
          </cell>
          <cell r="K1336" t="str">
            <v>Pune</v>
          </cell>
          <cell r="L1336" t="str">
            <v>D2</v>
          </cell>
          <cell r="O1336" t="str">
            <v>B</v>
          </cell>
        </row>
        <row r="1337">
          <cell r="C1337">
            <v>135442</v>
          </cell>
          <cell r="D1337" t="str">
            <v>GANGA AUTO SERVICES-HADAPSAR</v>
          </cell>
          <cell r="E1337" t="str">
            <v>IOCL</v>
          </cell>
          <cell r="G1337" t="str">
            <v>Pune Hadapsar RSA</v>
          </cell>
          <cell r="H1337">
            <v>25996</v>
          </cell>
          <cell r="I1337" t="str">
            <v>DEF (OPEN)</v>
          </cell>
          <cell r="J1337" t="str">
            <v>Hadapsar RHS</v>
          </cell>
          <cell r="K1337" t="str">
            <v>Pune</v>
          </cell>
          <cell r="L1337" t="str">
            <v>A</v>
          </cell>
          <cell r="O1337" t="str">
            <v>A</v>
          </cell>
        </row>
        <row r="1338">
          <cell r="C1338">
            <v>135609</v>
          </cell>
          <cell r="D1338" t="str">
            <v>DEHU SERVICE STATION</v>
          </cell>
          <cell r="E1338" t="str">
            <v>IOCL</v>
          </cell>
          <cell r="G1338" t="str">
            <v>Pimpri Chinchwad RSA</v>
          </cell>
          <cell r="H1338">
            <v>24500</v>
          </cell>
          <cell r="I1338" t="str">
            <v>OPEN</v>
          </cell>
          <cell r="J1338" t="str">
            <v>Dehu Road</v>
          </cell>
          <cell r="K1338" t="str">
            <v>Pune</v>
          </cell>
          <cell r="L1338" t="str">
            <v>C</v>
          </cell>
          <cell r="O1338" t="str">
            <v>B</v>
          </cell>
        </row>
        <row r="1339">
          <cell r="C1339">
            <v>135645</v>
          </cell>
          <cell r="D1339" t="str">
            <v>SHRI SWAMI SAMARTH AUTO -KHARABWADI</v>
          </cell>
          <cell r="E1339" t="str">
            <v>IOCL</v>
          </cell>
          <cell r="G1339" t="str">
            <v>Pimpri Chinchwad RSA</v>
          </cell>
          <cell r="H1339">
            <v>37863</v>
          </cell>
          <cell r="I1339" t="str">
            <v>OPEN (W)</v>
          </cell>
          <cell r="J1339" t="str">
            <v>Kharabwadi</v>
          </cell>
          <cell r="K1339" t="str">
            <v>Pune</v>
          </cell>
          <cell r="L1339" t="str">
            <v>D1</v>
          </cell>
          <cell r="M1339" t="str">
            <v>NH-548D</v>
          </cell>
          <cell r="O1339" t="str">
            <v>A</v>
          </cell>
        </row>
        <row r="1340">
          <cell r="C1340">
            <v>135649</v>
          </cell>
          <cell r="D1340" t="str">
            <v>ABHAY PETROL PUMP-SANSAR</v>
          </cell>
          <cell r="E1340" t="str">
            <v>IOCL</v>
          </cell>
          <cell r="G1340" t="str">
            <v>Pune Hadapsar RSA</v>
          </cell>
          <cell r="H1340">
            <v>25568</v>
          </cell>
          <cell r="I1340" t="str">
            <v>OPEN</v>
          </cell>
          <cell r="J1340" t="str">
            <v>Varvand LHS</v>
          </cell>
          <cell r="K1340" t="str">
            <v>Pune</v>
          </cell>
          <cell r="L1340" t="str">
            <v>D1</v>
          </cell>
          <cell r="M1340" t="str">
            <v>NH-65</v>
          </cell>
          <cell r="O1340" t="str">
            <v>B</v>
          </cell>
        </row>
        <row r="1341">
          <cell r="C1341">
            <v>135698</v>
          </cell>
          <cell r="D1341" t="str">
            <v>PREMCHAND RATANCHAND &amp; CO.-PIMPRI</v>
          </cell>
          <cell r="E1341" t="str">
            <v>IOCL</v>
          </cell>
          <cell r="G1341" t="str">
            <v>Pune City RSA</v>
          </cell>
          <cell r="H1341">
            <v>24133</v>
          </cell>
          <cell r="I1341" t="str">
            <v>OPEN</v>
          </cell>
          <cell r="J1341" t="str">
            <v>Pimpri</v>
          </cell>
          <cell r="K1341" t="str">
            <v>Pune</v>
          </cell>
          <cell r="L1341" t="str">
            <v>A</v>
          </cell>
          <cell r="O1341" t="str">
            <v>A</v>
          </cell>
        </row>
        <row r="1342">
          <cell r="C1342">
            <v>141722</v>
          </cell>
          <cell r="D1342" t="str">
            <v>Samarth Petrol Pump-Talegaon</v>
          </cell>
          <cell r="E1342" t="str">
            <v>IOCL</v>
          </cell>
          <cell r="G1342" t="str">
            <v>Shirdi RSA</v>
          </cell>
          <cell r="H1342">
            <v>34935</v>
          </cell>
          <cell r="I1342" t="str">
            <v>PHP (OPEN)</v>
          </cell>
          <cell r="J1342" t="str">
            <v>TALEGAON SANGAMNER SH</v>
          </cell>
          <cell r="K1342" t="str">
            <v>Ahmednagar</v>
          </cell>
          <cell r="L1342" t="str">
            <v>D2</v>
          </cell>
          <cell r="O1342" t="str">
            <v>B</v>
          </cell>
        </row>
        <row r="1343">
          <cell r="C1343">
            <v>141790</v>
          </cell>
          <cell r="D1343" t="str">
            <v>Shri Sai Shivraj Petroleum</v>
          </cell>
          <cell r="E1343" t="str">
            <v>IOCL</v>
          </cell>
          <cell r="G1343" t="str">
            <v>Shirdi RSA</v>
          </cell>
          <cell r="H1343">
            <v>32233</v>
          </cell>
          <cell r="I1343" t="str">
            <v>SC</v>
          </cell>
          <cell r="J1343" t="str">
            <v>ASTAGAON</v>
          </cell>
          <cell r="K1343" t="str">
            <v>Ahmednagar</v>
          </cell>
          <cell r="L1343" t="str">
            <v>D1</v>
          </cell>
          <cell r="M1343" t="str">
            <v>NH-160</v>
          </cell>
          <cell r="O1343" t="str">
            <v>A</v>
          </cell>
        </row>
        <row r="1344">
          <cell r="C1344">
            <v>153499</v>
          </cell>
          <cell r="D1344" t="str">
            <v>Sewa Auto Centre</v>
          </cell>
          <cell r="E1344" t="str">
            <v>IOCL</v>
          </cell>
          <cell r="G1344" t="str">
            <v>Ahmednagar East RSA</v>
          </cell>
          <cell r="H1344">
            <v>25930</v>
          </cell>
          <cell r="I1344" t="str">
            <v>OPEN</v>
          </cell>
          <cell r="J1344" t="str">
            <v>Shevgaon</v>
          </cell>
          <cell r="K1344" t="str">
            <v>Ahmednagar</v>
          </cell>
          <cell r="L1344" t="str">
            <v>D2</v>
          </cell>
          <cell r="O1344" t="str">
            <v>B</v>
          </cell>
        </row>
        <row r="1345">
          <cell r="C1345">
            <v>162500</v>
          </cell>
          <cell r="D1345" t="str">
            <v>Ganesh Service Station</v>
          </cell>
          <cell r="E1345" t="str">
            <v>IOCL</v>
          </cell>
          <cell r="G1345" t="str">
            <v>Pune Wagholi RSA</v>
          </cell>
          <cell r="H1345">
            <v>38260</v>
          </cell>
          <cell r="I1345" t="str">
            <v>OPEN</v>
          </cell>
          <cell r="J1345" t="str">
            <v>LONIKAND to KOREGAON BHIMA RHS</v>
          </cell>
          <cell r="K1345" t="str">
            <v>Pune</v>
          </cell>
          <cell r="L1345" t="str">
            <v>D1</v>
          </cell>
          <cell r="M1345" t="str">
            <v>NH-753F</v>
          </cell>
          <cell r="O1345" t="str">
            <v>A</v>
          </cell>
        </row>
        <row r="1346">
          <cell r="C1346">
            <v>162505</v>
          </cell>
          <cell r="D1346" t="str">
            <v>Surya Petroleum</v>
          </cell>
          <cell r="E1346" t="str">
            <v>IOCL</v>
          </cell>
          <cell r="G1346" t="str">
            <v>Shirdi RSA</v>
          </cell>
          <cell r="H1346">
            <v>37986</v>
          </cell>
          <cell r="I1346" t="str">
            <v>OPEN</v>
          </cell>
          <cell r="J1346" t="str">
            <v>RAHURI NH</v>
          </cell>
          <cell r="K1346" t="str">
            <v>Ahmednagar</v>
          </cell>
          <cell r="L1346" t="str">
            <v>D1</v>
          </cell>
          <cell r="M1346" t="str">
            <v>NH-160</v>
          </cell>
          <cell r="O1346" t="str">
            <v>A</v>
          </cell>
        </row>
        <row r="1347">
          <cell r="C1347">
            <v>162507</v>
          </cell>
          <cell r="D1347" t="str">
            <v>Shri Balaji Petroleum</v>
          </cell>
          <cell r="E1347" t="str">
            <v>IOCL</v>
          </cell>
          <cell r="G1347" t="str">
            <v>Pimpri Chinchwad RSA</v>
          </cell>
          <cell r="H1347">
            <v>38352</v>
          </cell>
          <cell r="I1347" t="str">
            <v>OPEN</v>
          </cell>
          <cell r="J1347" t="str">
            <v>Akurdi</v>
          </cell>
          <cell r="K1347" t="str">
            <v>Pune</v>
          </cell>
          <cell r="L1347" t="str">
            <v>A</v>
          </cell>
          <cell r="O1347" t="str">
            <v>A</v>
          </cell>
        </row>
        <row r="1348">
          <cell r="C1348">
            <v>162508</v>
          </cell>
          <cell r="D1348" t="str">
            <v>Sanjay Petroleum</v>
          </cell>
          <cell r="E1348" t="str">
            <v>IOCL</v>
          </cell>
          <cell r="G1348" t="str">
            <v>Satara West RSA</v>
          </cell>
          <cell r="H1348">
            <v>37894</v>
          </cell>
          <cell r="I1348" t="str">
            <v>OPEN</v>
          </cell>
          <cell r="J1348" t="str">
            <v>masur</v>
          </cell>
          <cell r="K1348" t="str">
            <v>Satara</v>
          </cell>
          <cell r="L1348" t="str">
            <v>D2</v>
          </cell>
          <cell r="O1348" t="str">
            <v>A</v>
          </cell>
        </row>
        <row r="1349">
          <cell r="C1349">
            <v>162509</v>
          </cell>
          <cell r="D1349" t="str">
            <v>Om Matoshri Petroleum</v>
          </cell>
          <cell r="E1349" t="str">
            <v>IOCL</v>
          </cell>
          <cell r="G1349" t="str">
            <v>Ahmednagar East RSA</v>
          </cell>
          <cell r="H1349">
            <v>37894</v>
          </cell>
          <cell r="I1349" t="str">
            <v>OPEN</v>
          </cell>
          <cell r="J1349" t="str">
            <v>Nagar city</v>
          </cell>
          <cell r="K1349" t="str">
            <v>Ahmednagar</v>
          </cell>
          <cell r="L1349" t="str">
            <v>D1</v>
          </cell>
          <cell r="M1349" t="str">
            <v>NH-753F</v>
          </cell>
          <cell r="O1349" t="str">
            <v>A</v>
          </cell>
        </row>
        <row r="1350">
          <cell r="C1350">
            <v>162510</v>
          </cell>
          <cell r="D1350" t="str">
            <v>3S Service Station</v>
          </cell>
          <cell r="E1350" t="str">
            <v>IOCL</v>
          </cell>
          <cell r="G1350" t="str">
            <v>Pune City RSA</v>
          </cell>
          <cell r="H1350">
            <v>38077</v>
          </cell>
          <cell r="I1350" t="str">
            <v>OPEN</v>
          </cell>
          <cell r="J1350" t="str">
            <v>SINGHAD ROAD (LHS)</v>
          </cell>
          <cell r="K1350" t="str">
            <v>Pune</v>
          </cell>
          <cell r="L1350" t="str">
            <v>A</v>
          </cell>
          <cell r="O1350" t="str">
            <v>A</v>
          </cell>
        </row>
        <row r="1351">
          <cell r="C1351">
            <v>162511</v>
          </cell>
          <cell r="D1351" t="str">
            <v>Om Gurudev Petroleum</v>
          </cell>
          <cell r="E1351" t="str">
            <v>IOCL</v>
          </cell>
          <cell r="G1351" t="str">
            <v>Shirdi RSA</v>
          </cell>
          <cell r="H1351">
            <v>37833</v>
          </cell>
          <cell r="I1351" t="str">
            <v>OPEN</v>
          </cell>
          <cell r="J1351" t="str">
            <v>JEUR KUMBHARI</v>
          </cell>
          <cell r="K1351" t="str">
            <v>Ahmednagar</v>
          </cell>
          <cell r="L1351" t="str">
            <v>D1</v>
          </cell>
          <cell r="M1351" t="str">
            <v>NH-752G</v>
          </cell>
          <cell r="O1351" t="str">
            <v>A</v>
          </cell>
        </row>
        <row r="1352">
          <cell r="C1352">
            <v>162513</v>
          </cell>
          <cell r="D1352" t="str">
            <v>Bharne Petroleum</v>
          </cell>
          <cell r="E1352" t="str">
            <v>IOCL</v>
          </cell>
          <cell r="G1352" t="str">
            <v>Pune Saswad RSA</v>
          </cell>
          <cell r="H1352">
            <v>38352</v>
          </cell>
          <cell r="I1352" t="str">
            <v>OPEN</v>
          </cell>
          <cell r="J1352" t="str">
            <v>INDAPUR</v>
          </cell>
          <cell r="K1352" t="str">
            <v>Pune</v>
          </cell>
          <cell r="L1352" t="str">
            <v>C</v>
          </cell>
          <cell r="O1352" t="str">
            <v>A</v>
          </cell>
        </row>
        <row r="1353">
          <cell r="C1353">
            <v>162515</v>
          </cell>
          <cell r="D1353" t="str">
            <v>Taware Petroleum</v>
          </cell>
          <cell r="E1353" t="str">
            <v>IOCL</v>
          </cell>
          <cell r="G1353" t="str">
            <v>Ahmednagar East RSA</v>
          </cell>
          <cell r="H1353">
            <v>37894</v>
          </cell>
          <cell r="I1353" t="str">
            <v>OPEN</v>
          </cell>
          <cell r="J1353" t="str">
            <v>Chas</v>
          </cell>
          <cell r="K1353" t="str">
            <v>Ahmednagar</v>
          </cell>
          <cell r="L1353" t="str">
            <v>D1</v>
          </cell>
          <cell r="M1353" t="str">
            <v>NH-753F</v>
          </cell>
          <cell r="O1353" t="str">
            <v>A</v>
          </cell>
        </row>
        <row r="1354">
          <cell r="C1354">
            <v>164764</v>
          </cell>
          <cell r="D1354" t="str">
            <v>Green Park Petrol Pump</v>
          </cell>
          <cell r="E1354" t="str">
            <v>IOCL</v>
          </cell>
          <cell r="G1354" t="str">
            <v>Satara West RSA</v>
          </cell>
          <cell r="H1354">
            <v>38177</v>
          </cell>
          <cell r="I1354" t="str">
            <v>OPEN</v>
          </cell>
          <cell r="J1354" t="str">
            <v>Wadhe to Shivthar</v>
          </cell>
          <cell r="K1354" t="str">
            <v>Satara</v>
          </cell>
          <cell r="L1354" t="str">
            <v>D1</v>
          </cell>
          <cell r="M1354" t="str">
            <v>NH-965D</v>
          </cell>
          <cell r="O1354" t="str">
            <v>B</v>
          </cell>
        </row>
        <row r="1355">
          <cell r="C1355">
            <v>164767</v>
          </cell>
          <cell r="D1355" t="str">
            <v>Pathik Fuels</v>
          </cell>
          <cell r="E1355" t="str">
            <v>IOCL</v>
          </cell>
          <cell r="G1355" t="str">
            <v>Shirdi RSA</v>
          </cell>
          <cell r="H1355">
            <v>38168</v>
          </cell>
          <cell r="I1355" t="str">
            <v>OPEN</v>
          </cell>
          <cell r="J1355" t="str">
            <v>AURANGPUR</v>
          </cell>
          <cell r="K1355" t="str">
            <v>Ahmednagar</v>
          </cell>
          <cell r="L1355" t="str">
            <v>D2</v>
          </cell>
          <cell r="O1355" t="str">
            <v>B</v>
          </cell>
        </row>
        <row r="1356">
          <cell r="C1356">
            <v>164772</v>
          </cell>
          <cell r="D1356" t="str">
            <v>A.M. K. Enterprises</v>
          </cell>
          <cell r="E1356" t="str">
            <v>IOCL</v>
          </cell>
          <cell r="G1356" t="str">
            <v>Pune City RSA</v>
          </cell>
          <cell r="H1356">
            <v>38168</v>
          </cell>
          <cell r="I1356" t="str">
            <v>OPEN</v>
          </cell>
          <cell r="J1356" t="str">
            <v>KATRAJ KONDHWA ROAD</v>
          </cell>
          <cell r="K1356" t="str">
            <v>Pune</v>
          </cell>
          <cell r="L1356" t="str">
            <v>A</v>
          </cell>
          <cell r="O1356" t="str">
            <v>B</v>
          </cell>
        </row>
        <row r="1357">
          <cell r="C1357">
            <v>174541</v>
          </cell>
          <cell r="D1357" t="str">
            <v>Jay Ganesh Petroleum</v>
          </cell>
          <cell r="E1357" t="str">
            <v>IOCL</v>
          </cell>
          <cell r="G1357" t="str">
            <v>Ahmednagar East RSA</v>
          </cell>
          <cell r="H1357">
            <v>38248</v>
          </cell>
          <cell r="I1357" t="str">
            <v>OPEN</v>
          </cell>
          <cell r="J1357" t="str">
            <v>Gavhenwadi</v>
          </cell>
          <cell r="K1357" t="str">
            <v>Ahmednagar</v>
          </cell>
          <cell r="L1357" t="str">
            <v>D1</v>
          </cell>
          <cell r="M1357" t="str">
            <v>NH-753F</v>
          </cell>
          <cell r="O1357" t="str">
            <v>B</v>
          </cell>
        </row>
        <row r="1358">
          <cell r="C1358">
            <v>174542</v>
          </cell>
          <cell r="D1358" t="str">
            <v>Jagdale Petroleum</v>
          </cell>
          <cell r="E1358" t="str">
            <v>IOCL</v>
          </cell>
          <cell r="G1358" t="str">
            <v>Satara East RSA</v>
          </cell>
          <cell r="H1358">
            <v>38255</v>
          </cell>
          <cell r="I1358" t="str">
            <v>OPEN</v>
          </cell>
          <cell r="J1358" t="str">
            <v>dahiwadi</v>
          </cell>
          <cell r="K1358" t="str">
            <v>Satara</v>
          </cell>
          <cell r="L1358" t="str">
            <v>D2</v>
          </cell>
          <cell r="O1358" t="str">
            <v>B</v>
          </cell>
        </row>
        <row r="1359">
          <cell r="C1359">
            <v>174550</v>
          </cell>
          <cell r="D1359" t="str">
            <v>Shubham Automobiles</v>
          </cell>
          <cell r="E1359" t="str">
            <v>IOCL</v>
          </cell>
          <cell r="G1359" t="str">
            <v>Satara West RSA</v>
          </cell>
          <cell r="H1359">
            <v>38075</v>
          </cell>
          <cell r="I1359" t="str">
            <v>OPEN</v>
          </cell>
          <cell r="J1359" t="str">
            <v>KASHIL TO KARAD</v>
          </cell>
          <cell r="K1359" t="str">
            <v>Satara</v>
          </cell>
          <cell r="L1359" t="str">
            <v>D1</v>
          </cell>
          <cell r="M1359" t="str">
            <v>NH-48</v>
          </cell>
          <cell r="O1359" t="str">
            <v>A</v>
          </cell>
        </row>
        <row r="1360">
          <cell r="C1360">
            <v>176113</v>
          </cell>
          <cell r="D1360" t="str">
            <v>ARMED FORCES EX OFFICERS' CO-OP</v>
          </cell>
          <cell r="E1360" t="str">
            <v>IOCL</v>
          </cell>
          <cell r="G1360" t="str">
            <v>Pimpri Chinchwad RSA</v>
          </cell>
          <cell r="H1360">
            <v>38321</v>
          </cell>
          <cell r="I1360" t="str">
            <v>OPEN</v>
          </cell>
          <cell r="J1360" t="str">
            <v>Chinchwad</v>
          </cell>
          <cell r="K1360" t="str">
            <v>Pune</v>
          </cell>
          <cell r="L1360" t="str">
            <v>A</v>
          </cell>
          <cell r="O1360" t="str">
            <v>B</v>
          </cell>
        </row>
        <row r="1361">
          <cell r="C1361">
            <v>176189</v>
          </cell>
          <cell r="D1361" t="str">
            <v>MADHUPRAYAG SALES &amp; SERVI</v>
          </cell>
          <cell r="E1361" t="str">
            <v>IOCL</v>
          </cell>
          <cell r="G1361" t="str">
            <v>Pune Hadapsar RSA</v>
          </cell>
          <cell r="H1361">
            <v>38291</v>
          </cell>
          <cell r="I1361" t="str">
            <v>OPEN</v>
          </cell>
          <cell r="J1361" t="str">
            <v>Loni LHS</v>
          </cell>
          <cell r="K1361" t="str">
            <v>Pune</v>
          </cell>
          <cell r="L1361" t="str">
            <v>D1</v>
          </cell>
          <cell r="M1361" t="str">
            <v>NH-65</v>
          </cell>
          <cell r="O1361" t="str">
            <v>A</v>
          </cell>
        </row>
        <row r="1362">
          <cell r="C1362">
            <v>176684</v>
          </cell>
          <cell r="D1362" t="str">
            <v>PATAN TAL. SKVS -MHAVSHI</v>
          </cell>
          <cell r="E1362" t="str">
            <v>IOCL</v>
          </cell>
          <cell r="G1362" t="str">
            <v>Satara West RSA</v>
          </cell>
          <cell r="H1362">
            <v>38383</v>
          </cell>
          <cell r="I1362" t="str">
            <v>OPEN</v>
          </cell>
          <cell r="J1362" t="str">
            <v>PATAN</v>
          </cell>
          <cell r="K1362" t="str">
            <v>Satara</v>
          </cell>
          <cell r="L1362" t="str">
            <v>D1</v>
          </cell>
          <cell r="M1362" t="str">
            <v>NH-166E</v>
          </cell>
          <cell r="O1362" t="str">
            <v>A</v>
          </cell>
        </row>
        <row r="1363">
          <cell r="C1363">
            <v>177369</v>
          </cell>
          <cell r="D1363" t="str">
            <v>Daulat Petroleum (Resitem</v>
          </cell>
          <cell r="E1363" t="str">
            <v>IOCL</v>
          </cell>
          <cell r="G1363" t="str">
            <v>Shirdi RSA</v>
          </cell>
          <cell r="H1363">
            <v>34607</v>
          </cell>
          <cell r="I1363" t="str">
            <v>DEF (W)</v>
          </cell>
          <cell r="J1363" t="str">
            <v>KASAR DHUMALA</v>
          </cell>
          <cell r="K1363" t="str">
            <v>Ahmednagar</v>
          </cell>
          <cell r="L1363" t="str">
            <v>D2</v>
          </cell>
          <cell r="O1363" t="str">
            <v>B</v>
          </cell>
        </row>
        <row r="1364">
          <cell r="C1364">
            <v>180555</v>
          </cell>
          <cell r="D1364" t="str">
            <v>BHOSALE SALES &amp; SERVICE</v>
          </cell>
          <cell r="E1364" t="str">
            <v>IOCL</v>
          </cell>
          <cell r="F1364" t="str">
            <v>2012-13</v>
          </cell>
          <cell r="G1364" t="str">
            <v>Pune Wagholi RSA</v>
          </cell>
          <cell r="H1364">
            <v>38503</v>
          </cell>
          <cell r="I1364" t="str">
            <v>OPEN</v>
          </cell>
          <cell r="J1364" t="str">
            <v>Narayangaon to Alephata RHS</v>
          </cell>
          <cell r="K1364" t="str">
            <v>Pune</v>
          </cell>
          <cell r="L1364" t="str">
            <v>D1</v>
          </cell>
          <cell r="M1364" t="str">
            <v>NH-60</v>
          </cell>
          <cell r="O1364" t="str">
            <v>B</v>
          </cell>
        </row>
        <row r="1365">
          <cell r="C1365">
            <v>180566</v>
          </cell>
          <cell r="D1365" t="str">
            <v>PRANAV SERVICE STATION</v>
          </cell>
          <cell r="E1365" t="str">
            <v>IOCL</v>
          </cell>
          <cell r="G1365" t="str">
            <v>Pune City RSA</v>
          </cell>
          <cell r="H1365">
            <v>38409</v>
          </cell>
          <cell r="I1365" t="str">
            <v>OPEN</v>
          </cell>
          <cell r="J1365" t="str">
            <v>SINGHAD ROAD (RHS)</v>
          </cell>
          <cell r="K1365" t="str">
            <v>Pune</v>
          </cell>
          <cell r="L1365" t="str">
            <v>A</v>
          </cell>
          <cell r="O1365" t="str">
            <v>A</v>
          </cell>
        </row>
        <row r="1366">
          <cell r="C1366">
            <v>181638</v>
          </cell>
          <cell r="D1366" t="str">
            <v>SUKHWANI PETROLEUM</v>
          </cell>
          <cell r="E1366" t="str">
            <v>IOCL</v>
          </cell>
          <cell r="G1366" t="str">
            <v>Pune City RSA</v>
          </cell>
          <cell r="H1366">
            <v>38411</v>
          </cell>
          <cell r="I1366" t="str">
            <v>OPEN</v>
          </cell>
          <cell r="J1366" t="str">
            <v>WAKAD</v>
          </cell>
          <cell r="K1366" t="str">
            <v>Pune</v>
          </cell>
          <cell r="L1366" t="str">
            <v>A</v>
          </cell>
          <cell r="O1366" t="str">
            <v>A</v>
          </cell>
        </row>
        <row r="1367">
          <cell r="C1367">
            <v>184284</v>
          </cell>
          <cell r="D1367" t="str">
            <v>TRINETRA PETROLEUM</v>
          </cell>
          <cell r="E1367" t="str">
            <v>IOCL</v>
          </cell>
          <cell r="G1367" t="str">
            <v>Pune Tathawade RSA</v>
          </cell>
          <cell r="H1367">
            <v>37825</v>
          </cell>
          <cell r="I1367" t="str">
            <v>OSP (W)</v>
          </cell>
          <cell r="J1367" t="str">
            <v>Lonavala</v>
          </cell>
          <cell r="K1367" t="str">
            <v>Pune</v>
          </cell>
          <cell r="L1367" t="str">
            <v>D1</v>
          </cell>
          <cell r="M1367" t="str">
            <v>NH-48</v>
          </cell>
          <cell r="O1367" t="str">
            <v>A</v>
          </cell>
        </row>
        <row r="1368">
          <cell r="C1368">
            <v>185624</v>
          </cell>
          <cell r="D1368" t="str">
            <v>AMIT HIGHWAY CENTRE</v>
          </cell>
          <cell r="E1368" t="str">
            <v>IOCL</v>
          </cell>
          <cell r="G1368" t="str">
            <v>Pune Tathawade RSA</v>
          </cell>
          <cell r="H1368">
            <v>38503</v>
          </cell>
          <cell r="I1368" t="str">
            <v>OPEN</v>
          </cell>
          <cell r="J1368" t="str">
            <v>VADGAON TO KAMSHET</v>
          </cell>
          <cell r="K1368" t="str">
            <v>Pune</v>
          </cell>
          <cell r="L1368" t="str">
            <v>D1</v>
          </cell>
          <cell r="M1368" t="str">
            <v>NH-48</v>
          </cell>
          <cell r="O1368" t="str">
            <v>B</v>
          </cell>
        </row>
        <row r="1369">
          <cell r="C1369">
            <v>185653</v>
          </cell>
          <cell r="D1369" t="str">
            <v>SHRINIDHI PETROLEUM</v>
          </cell>
          <cell r="E1369" t="str">
            <v>IOCL</v>
          </cell>
          <cell r="G1369" t="str">
            <v>Satara East RSA</v>
          </cell>
          <cell r="H1369">
            <v>38138</v>
          </cell>
          <cell r="I1369" t="str">
            <v>OPEN</v>
          </cell>
          <cell r="J1369" t="str">
            <v>Pusegaon</v>
          </cell>
          <cell r="K1369" t="str">
            <v>Satara</v>
          </cell>
          <cell r="L1369" t="str">
            <v>D1</v>
          </cell>
          <cell r="M1369" t="str">
            <v>NH-548C</v>
          </cell>
          <cell r="O1369" t="str">
            <v>A</v>
          </cell>
        </row>
        <row r="1370">
          <cell r="C1370">
            <v>192171</v>
          </cell>
          <cell r="D1370" t="str">
            <v>Jadhav Petroleum</v>
          </cell>
          <cell r="E1370" t="str">
            <v>IOCL</v>
          </cell>
          <cell r="G1370" t="str">
            <v>Ahmednagar East RSA</v>
          </cell>
          <cell r="H1370">
            <v>38566</v>
          </cell>
          <cell r="I1370" t="str">
            <v>OPEN</v>
          </cell>
          <cell r="J1370" t="str">
            <v>nalegaon</v>
          </cell>
          <cell r="K1370" t="str">
            <v>Ahmednagar</v>
          </cell>
          <cell r="L1370" t="str">
            <v>C</v>
          </cell>
          <cell r="O1370" t="str">
            <v>B</v>
          </cell>
        </row>
        <row r="1371">
          <cell r="C1371">
            <v>192206</v>
          </cell>
          <cell r="D1371" t="str">
            <v>ADITYA PETROLEUM</v>
          </cell>
          <cell r="E1371" t="str">
            <v>IOCL</v>
          </cell>
          <cell r="G1371" t="str">
            <v>Satara East RSA</v>
          </cell>
          <cell r="H1371">
            <v>37985</v>
          </cell>
          <cell r="I1371" t="str">
            <v>OPEN</v>
          </cell>
          <cell r="J1371" t="str">
            <v>Rahimatpur</v>
          </cell>
          <cell r="K1371" t="str">
            <v>Satara</v>
          </cell>
          <cell r="L1371" t="str">
            <v>E</v>
          </cell>
          <cell r="O1371" t="str">
            <v>B</v>
          </cell>
        </row>
        <row r="1372">
          <cell r="C1372">
            <v>192208</v>
          </cell>
          <cell r="D1372" t="str">
            <v>DWARKADHISH PETROLEUM</v>
          </cell>
          <cell r="E1372" t="str">
            <v>IOCL</v>
          </cell>
          <cell r="G1372" t="str">
            <v>Satara West RSA</v>
          </cell>
          <cell r="H1372">
            <v>38006</v>
          </cell>
          <cell r="I1372" t="str">
            <v>OPEN</v>
          </cell>
          <cell r="J1372" t="str">
            <v>Khandala to Bhuinj</v>
          </cell>
          <cell r="K1372" t="str">
            <v>Satara</v>
          </cell>
          <cell r="L1372" t="str">
            <v>D1</v>
          </cell>
          <cell r="M1372" t="str">
            <v>NH-48</v>
          </cell>
          <cell r="O1372" t="str">
            <v>B</v>
          </cell>
        </row>
        <row r="1373">
          <cell r="C1373">
            <v>192214</v>
          </cell>
          <cell r="D1373" t="str">
            <v>KUNJAN SERVICE CENTRE</v>
          </cell>
          <cell r="E1373" t="str">
            <v>IOCL</v>
          </cell>
          <cell r="G1373" t="str">
            <v>Satara East RSA</v>
          </cell>
          <cell r="H1373">
            <v>32963</v>
          </cell>
          <cell r="I1373" t="str">
            <v>PHP (OPEN)</v>
          </cell>
          <cell r="J1373" t="str">
            <v>Mhaswad</v>
          </cell>
          <cell r="K1373" t="str">
            <v>Satara</v>
          </cell>
          <cell r="L1373" t="str">
            <v>D1</v>
          </cell>
          <cell r="M1373" t="str">
            <v>NH-548C</v>
          </cell>
          <cell r="O1373" t="str">
            <v>B</v>
          </cell>
        </row>
        <row r="1374">
          <cell r="C1374">
            <v>192215</v>
          </cell>
          <cell r="D1374" t="str">
            <v>NISHNAI DEVI MSGSM</v>
          </cell>
          <cell r="E1374" t="str">
            <v>IOCL</v>
          </cell>
          <cell r="G1374" t="str">
            <v>Satara East RSA</v>
          </cell>
          <cell r="H1374">
            <v>37926</v>
          </cell>
          <cell r="I1374" t="str">
            <v>OPEN (W)</v>
          </cell>
          <cell r="J1374" t="str">
            <v>Wathar</v>
          </cell>
          <cell r="K1374" t="str">
            <v>Satara</v>
          </cell>
          <cell r="L1374" t="str">
            <v>D1</v>
          </cell>
          <cell r="M1374" t="str">
            <v>NH-965D</v>
          </cell>
          <cell r="O1374" t="str">
            <v>A</v>
          </cell>
        </row>
        <row r="1375">
          <cell r="C1375">
            <v>192251</v>
          </cell>
          <cell r="D1375" t="str">
            <v>Kopargaon Vividh Sahakari Society</v>
          </cell>
          <cell r="E1375" t="str">
            <v>IOCL</v>
          </cell>
          <cell r="G1375" t="str">
            <v>Shirdi RSA</v>
          </cell>
          <cell r="H1375">
            <v>25954</v>
          </cell>
          <cell r="I1375" t="str">
            <v>OPEN</v>
          </cell>
          <cell r="J1375" t="str">
            <v>KOPARGAON NH</v>
          </cell>
          <cell r="K1375" t="str">
            <v>Ahmednagar</v>
          </cell>
          <cell r="L1375" t="str">
            <v>D1</v>
          </cell>
          <cell r="M1375" t="str">
            <v>NH-752G</v>
          </cell>
          <cell r="O1375" t="str">
            <v>B</v>
          </cell>
        </row>
        <row r="1376">
          <cell r="C1376">
            <v>192252</v>
          </cell>
          <cell r="D1376" t="str">
            <v>Rajput Auto</v>
          </cell>
          <cell r="E1376" t="str">
            <v>IOCL</v>
          </cell>
          <cell r="G1376" t="str">
            <v>Ahmednagar East RSA</v>
          </cell>
          <cell r="H1376">
            <v>38017</v>
          </cell>
          <cell r="I1376" t="str">
            <v>OPEN</v>
          </cell>
          <cell r="J1376" t="str">
            <v>Khadka Phata</v>
          </cell>
          <cell r="K1376" t="str">
            <v>Ahmednagar</v>
          </cell>
          <cell r="L1376" t="str">
            <v>D1</v>
          </cell>
          <cell r="M1376" t="str">
            <v>NH-753F</v>
          </cell>
          <cell r="O1376" t="str">
            <v>B</v>
          </cell>
        </row>
        <row r="1377">
          <cell r="C1377">
            <v>192253</v>
          </cell>
          <cell r="D1377" t="str">
            <v>Shree Sai Sunny Services</v>
          </cell>
          <cell r="E1377" t="str">
            <v>IOCL</v>
          </cell>
          <cell r="G1377" t="str">
            <v>Shirdi RSA</v>
          </cell>
          <cell r="H1377">
            <v>37621</v>
          </cell>
          <cell r="I1377" t="str">
            <v>OPEN</v>
          </cell>
          <cell r="J1377" t="str">
            <v xml:space="preserve">SHIRDI </v>
          </cell>
          <cell r="K1377" t="str">
            <v>Ahmednagar</v>
          </cell>
          <cell r="L1377" t="str">
            <v>D1</v>
          </cell>
          <cell r="M1377" t="str">
            <v>NH-160</v>
          </cell>
          <cell r="O1377" t="str">
            <v>A</v>
          </cell>
        </row>
        <row r="1378">
          <cell r="C1378">
            <v>192254</v>
          </cell>
          <cell r="D1378" t="str">
            <v>Shakti Auto Centre</v>
          </cell>
          <cell r="E1378" t="str">
            <v>IOCL</v>
          </cell>
          <cell r="G1378" t="str">
            <v>Ahmednagar West RSA</v>
          </cell>
          <cell r="H1378">
            <v>37315</v>
          </cell>
          <cell r="I1378" t="str">
            <v>OPEN</v>
          </cell>
          <cell r="J1378" t="str">
            <v>MIRAJGAON-NH</v>
          </cell>
          <cell r="K1378" t="str">
            <v>Ahmednagar</v>
          </cell>
          <cell r="L1378" t="str">
            <v>D1</v>
          </cell>
          <cell r="M1378" t="str">
            <v>NH-561A</v>
          </cell>
          <cell r="O1378" t="str">
            <v>A</v>
          </cell>
        </row>
        <row r="1379">
          <cell r="C1379">
            <v>192255</v>
          </cell>
          <cell r="D1379" t="str">
            <v>Yash Petroleum</v>
          </cell>
          <cell r="E1379" t="str">
            <v>IOCL</v>
          </cell>
          <cell r="G1379" t="str">
            <v>Ahmednagar East RSA</v>
          </cell>
          <cell r="H1379">
            <v>37649</v>
          </cell>
          <cell r="I1379" t="str">
            <v>OPEN</v>
          </cell>
          <cell r="J1379" t="str">
            <v>Sonai</v>
          </cell>
          <cell r="K1379" t="str">
            <v>Ahmednagar</v>
          </cell>
          <cell r="L1379" t="str">
            <v>D1</v>
          </cell>
          <cell r="M1379" t="str">
            <v>NH-160C</v>
          </cell>
          <cell r="O1379" t="str">
            <v>A</v>
          </cell>
        </row>
        <row r="1380">
          <cell r="C1380">
            <v>192256</v>
          </cell>
          <cell r="D1380" t="str">
            <v>ABC INDIA LTD</v>
          </cell>
          <cell r="E1380" t="str">
            <v>IOCL</v>
          </cell>
          <cell r="G1380" t="str">
            <v>Pune Tathawade RSA</v>
          </cell>
          <cell r="H1380">
            <v>20773</v>
          </cell>
          <cell r="I1380" t="str">
            <v>OPEN</v>
          </cell>
          <cell r="J1380" t="str">
            <v>DEHU ROAD TO TALEGAON DABHADE</v>
          </cell>
          <cell r="K1380" t="str">
            <v>Pune</v>
          </cell>
          <cell r="L1380" t="str">
            <v>D1</v>
          </cell>
          <cell r="M1380" t="str">
            <v>NH-48</v>
          </cell>
          <cell r="O1380" t="str">
            <v>A</v>
          </cell>
        </row>
        <row r="1381">
          <cell r="C1381">
            <v>192257</v>
          </cell>
          <cell r="D1381" t="str">
            <v>ALFA AUTOS</v>
          </cell>
          <cell r="E1381" t="str">
            <v>IOCL</v>
          </cell>
          <cell r="G1381" t="str">
            <v>Pune City RSA</v>
          </cell>
          <cell r="H1381">
            <v>26848</v>
          </cell>
          <cell r="I1381" t="str">
            <v>OPEN</v>
          </cell>
          <cell r="J1381" t="str">
            <v>Kasarwadi</v>
          </cell>
          <cell r="K1381" t="str">
            <v>Pune</v>
          </cell>
          <cell r="L1381" t="str">
            <v>A</v>
          </cell>
          <cell r="O1381" t="str">
            <v>A</v>
          </cell>
        </row>
        <row r="1382">
          <cell r="C1382">
            <v>192259</v>
          </cell>
          <cell r="D1382" t="str">
            <v>BAFNA BROTHERS (MS)</v>
          </cell>
          <cell r="E1382" t="str">
            <v>IOCL</v>
          </cell>
          <cell r="G1382" t="str">
            <v>Pune City RSA</v>
          </cell>
          <cell r="H1382">
            <v>24197</v>
          </cell>
          <cell r="I1382" t="str">
            <v>OPEN</v>
          </cell>
          <cell r="J1382" t="str">
            <v>NATUBAUG</v>
          </cell>
          <cell r="K1382" t="str">
            <v>Pune</v>
          </cell>
          <cell r="L1382" t="str">
            <v>A</v>
          </cell>
          <cell r="O1382" t="str">
            <v>A</v>
          </cell>
        </row>
        <row r="1383">
          <cell r="C1383">
            <v>192260</v>
          </cell>
          <cell r="D1383" t="str">
            <v>JYOTI PETROLEUM</v>
          </cell>
          <cell r="E1383" t="str">
            <v>IOCL</v>
          </cell>
          <cell r="G1383" t="str">
            <v>Pune City RSA</v>
          </cell>
          <cell r="H1383">
            <v>38283</v>
          </cell>
          <cell r="I1383" t="str">
            <v>OPEN</v>
          </cell>
          <cell r="J1383" t="str">
            <v>SINGHAD ROAD (RHS)</v>
          </cell>
          <cell r="K1383" t="str">
            <v>Pune</v>
          </cell>
          <cell r="L1383" t="str">
            <v>A</v>
          </cell>
          <cell r="O1383" t="str">
            <v>A</v>
          </cell>
        </row>
        <row r="1384">
          <cell r="C1384">
            <v>192262</v>
          </cell>
          <cell r="D1384" t="str">
            <v>KAJALE &amp; SONS (MS)</v>
          </cell>
          <cell r="E1384" t="str">
            <v>IOCL</v>
          </cell>
          <cell r="G1384" t="str">
            <v>Pune City RSA</v>
          </cell>
          <cell r="H1384">
            <v>20621</v>
          </cell>
          <cell r="I1384" t="str">
            <v>OPEN</v>
          </cell>
          <cell r="J1384" t="str">
            <v>SHIVAJINAGAR</v>
          </cell>
          <cell r="K1384" t="str">
            <v>Pune</v>
          </cell>
          <cell r="L1384" t="str">
            <v>A</v>
          </cell>
          <cell r="O1384" t="str">
            <v>A</v>
          </cell>
        </row>
        <row r="1385">
          <cell r="C1385">
            <v>192263</v>
          </cell>
          <cell r="D1385" t="str">
            <v>MAHADEVI PETROL DEPOT</v>
          </cell>
          <cell r="E1385" t="str">
            <v>IOCL</v>
          </cell>
          <cell r="G1385" t="str">
            <v>Pimpri Chinchwad RSA</v>
          </cell>
          <cell r="H1385">
            <v>37657</v>
          </cell>
          <cell r="I1385" t="str">
            <v>OPEN</v>
          </cell>
          <cell r="J1385" t="str">
            <v>Kharabwadi</v>
          </cell>
          <cell r="K1385" t="str">
            <v>Pune</v>
          </cell>
          <cell r="L1385" t="str">
            <v>D1</v>
          </cell>
          <cell r="M1385" t="str">
            <v>NH-548D</v>
          </cell>
          <cell r="O1385" t="str">
            <v>A</v>
          </cell>
        </row>
        <row r="1386">
          <cell r="C1386">
            <v>192265</v>
          </cell>
          <cell r="D1386" t="str">
            <v>PIMPLE PETROLEUM</v>
          </cell>
          <cell r="E1386" t="str">
            <v>IOCL</v>
          </cell>
          <cell r="G1386" t="str">
            <v>Pune City RSA</v>
          </cell>
          <cell r="H1386">
            <v>38014</v>
          </cell>
          <cell r="I1386" t="str">
            <v>OPEN</v>
          </cell>
          <cell r="J1386" t="str">
            <v>Pimpri</v>
          </cell>
          <cell r="K1386" t="str">
            <v>Pune</v>
          </cell>
          <cell r="L1386" t="str">
            <v>A</v>
          </cell>
          <cell r="O1386" t="str">
            <v>A</v>
          </cell>
        </row>
        <row r="1387">
          <cell r="C1387">
            <v>192267</v>
          </cell>
          <cell r="D1387" t="str">
            <v>SAI SAMARTHA PETROLEUM</v>
          </cell>
          <cell r="E1387" t="str">
            <v>IOCL</v>
          </cell>
          <cell r="G1387" t="str">
            <v>Pune City RSA</v>
          </cell>
          <cell r="H1387">
            <v>38031</v>
          </cell>
          <cell r="I1387" t="str">
            <v>OPEN</v>
          </cell>
          <cell r="J1387" t="str">
            <v>SANGAVI</v>
          </cell>
          <cell r="K1387" t="str">
            <v>Pune</v>
          </cell>
          <cell r="L1387" t="str">
            <v>A</v>
          </cell>
          <cell r="O1387" t="str">
            <v>A</v>
          </cell>
        </row>
        <row r="1388">
          <cell r="C1388">
            <v>192268</v>
          </cell>
          <cell r="D1388" t="str">
            <v>SAI PETRO HUB</v>
          </cell>
          <cell r="E1388" t="str">
            <v>IOCL</v>
          </cell>
          <cell r="G1388" t="str">
            <v>Pune City RSA</v>
          </cell>
          <cell r="H1388">
            <v>26738</v>
          </cell>
          <cell r="I1388" t="str">
            <v>OPEN</v>
          </cell>
          <cell r="J1388" t="str">
            <v>UNDRI</v>
          </cell>
          <cell r="K1388" t="str">
            <v>Pune</v>
          </cell>
          <cell r="L1388" t="str">
            <v>A</v>
          </cell>
          <cell r="O1388" t="str">
            <v>A</v>
          </cell>
        </row>
        <row r="1389">
          <cell r="C1389">
            <v>192269</v>
          </cell>
          <cell r="D1389" t="str">
            <v>SHRI BALAJI PETROLEUM</v>
          </cell>
          <cell r="E1389" t="str">
            <v>IOCL</v>
          </cell>
          <cell r="G1389" t="str">
            <v>Pune Hadapsar RSA</v>
          </cell>
          <cell r="H1389">
            <v>37670</v>
          </cell>
          <cell r="I1389" t="str">
            <v>OPEN</v>
          </cell>
          <cell r="J1389" t="str">
            <v>UrliDevachi</v>
          </cell>
          <cell r="K1389" t="str">
            <v>Pune</v>
          </cell>
          <cell r="L1389" t="str">
            <v>D1</v>
          </cell>
          <cell r="M1389" t="str">
            <v>NH-965</v>
          </cell>
          <cell r="O1389" t="str">
            <v>A</v>
          </cell>
        </row>
        <row r="1390">
          <cell r="C1390">
            <v>192271</v>
          </cell>
          <cell r="D1390" t="str">
            <v>ATHARVA PETROLEUM</v>
          </cell>
          <cell r="E1390" t="str">
            <v>IOCL</v>
          </cell>
          <cell r="G1390" t="str">
            <v>Satara West RSA</v>
          </cell>
          <cell r="H1390">
            <v>38380</v>
          </cell>
          <cell r="I1390" t="str">
            <v>OPEN (W)</v>
          </cell>
          <cell r="J1390" t="str">
            <v>Narayanwadi Not on NH</v>
          </cell>
          <cell r="K1390" t="str">
            <v>Satara</v>
          </cell>
          <cell r="L1390" t="str">
            <v>D2</v>
          </cell>
          <cell r="O1390" t="str">
            <v>A</v>
          </cell>
        </row>
        <row r="1391">
          <cell r="C1391">
            <v>192273</v>
          </cell>
          <cell r="D1391" t="str">
            <v>GURUDEO  PETROLEUM</v>
          </cell>
          <cell r="E1391" t="str">
            <v>IOCL</v>
          </cell>
          <cell r="G1391" t="str">
            <v>Satara West RSA</v>
          </cell>
          <cell r="H1391">
            <v>38442</v>
          </cell>
          <cell r="I1391" t="str">
            <v>OPEN</v>
          </cell>
          <cell r="J1391" t="str">
            <v>Satara to Mahagaon</v>
          </cell>
          <cell r="K1391" t="str">
            <v>Satara</v>
          </cell>
          <cell r="L1391" t="str">
            <v>D1</v>
          </cell>
          <cell r="M1391" t="str">
            <v>NH-548C</v>
          </cell>
          <cell r="O1391" t="str">
            <v>B</v>
          </cell>
        </row>
        <row r="1392">
          <cell r="C1392">
            <v>192656</v>
          </cell>
          <cell r="D1392" t="str">
            <v>KARAD TALUKA KVS LTD. MARKET Y</v>
          </cell>
          <cell r="E1392" t="str">
            <v>IOCL</v>
          </cell>
          <cell r="G1392" t="str">
            <v>Satara West RSA</v>
          </cell>
          <cell r="H1392">
            <v>38624</v>
          </cell>
          <cell r="I1392" t="str">
            <v>OPEN</v>
          </cell>
          <cell r="J1392" t="str">
            <v>Karad City</v>
          </cell>
          <cell r="K1392" t="str">
            <v>Satara</v>
          </cell>
          <cell r="L1392" t="str">
            <v>C</v>
          </cell>
          <cell r="O1392" t="str">
            <v>A</v>
          </cell>
        </row>
        <row r="1393">
          <cell r="C1393">
            <v>192876</v>
          </cell>
          <cell r="D1393" t="str">
            <v>UNIQUE PETROLEUM</v>
          </cell>
          <cell r="E1393" t="str">
            <v>IOCL</v>
          </cell>
          <cell r="G1393" t="str">
            <v>Pune Wagholi RSA</v>
          </cell>
          <cell r="H1393">
            <v>38625</v>
          </cell>
          <cell r="I1393" t="str">
            <v>SC</v>
          </cell>
          <cell r="J1393" t="str">
            <v>LONIKAND to KOREGAON BHIMA LHS</v>
          </cell>
          <cell r="K1393" t="str">
            <v>Pune</v>
          </cell>
          <cell r="L1393" t="str">
            <v>D1</v>
          </cell>
          <cell r="M1393" t="str">
            <v>NH-753F</v>
          </cell>
          <cell r="O1393" t="str">
            <v>A</v>
          </cell>
        </row>
        <row r="1394">
          <cell r="C1394">
            <v>192877</v>
          </cell>
          <cell r="D1394" t="str">
            <v>MORYA PETROLEUM</v>
          </cell>
          <cell r="E1394" t="str">
            <v>IOCL</v>
          </cell>
          <cell r="G1394" t="str">
            <v>Pimpri Chinchwad RSA</v>
          </cell>
          <cell r="H1394">
            <v>38623</v>
          </cell>
          <cell r="I1394" t="str">
            <v>OPEN</v>
          </cell>
          <cell r="J1394" t="str">
            <v>Akurdi</v>
          </cell>
          <cell r="K1394" t="str">
            <v>Pune</v>
          </cell>
          <cell r="L1394" t="str">
            <v>A</v>
          </cell>
          <cell r="O1394" t="str">
            <v>B</v>
          </cell>
        </row>
        <row r="1395">
          <cell r="C1395">
            <v>193203</v>
          </cell>
          <cell r="D1395" t="str">
            <v>YOGESH SERVICE STATION</v>
          </cell>
          <cell r="E1395" t="str">
            <v>IOCL</v>
          </cell>
          <cell r="G1395" t="str">
            <v>Pune Wagholi RSA</v>
          </cell>
          <cell r="H1395">
            <v>38623</v>
          </cell>
          <cell r="I1395" t="str">
            <v>OPEN</v>
          </cell>
          <cell r="J1395" t="str">
            <v>LONIKAND to KOREGAON BHIMA RHS</v>
          </cell>
          <cell r="K1395" t="str">
            <v>Pune</v>
          </cell>
          <cell r="L1395" t="str">
            <v>D1</v>
          </cell>
          <cell r="M1395" t="str">
            <v>NH-753F</v>
          </cell>
          <cell r="O1395" t="str">
            <v>B</v>
          </cell>
        </row>
        <row r="1396">
          <cell r="C1396">
            <v>193205</v>
          </cell>
          <cell r="D1396" t="str">
            <v>MALHAR PETROLUM</v>
          </cell>
          <cell r="E1396" t="str">
            <v>IOCL</v>
          </cell>
          <cell r="G1396" t="str">
            <v>Pune Wagholi RSA</v>
          </cell>
          <cell r="H1396">
            <v>38623</v>
          </cell>
          <cell r="I1396" t="str">
            <v>OPEN</v>
          </cell>
          <cell r="J1396" t="str">
            <v>Kasari</v>
          </cell>
          <cell r="K1396" t="str">
            <v>Pune</v>
          </cell>
          <cell r="L1396" t="str">
            <v>D1</v>
          </cell>
          <cell r="M1396" t="str">
            <v>NH-753F</v>
          </cell>
          <cell r="O1396" t="str">
            <v>B</v>
          </cell>
        </row>
        <row r="1397">
          <cell r="C1397">
            <v>194146</v>
          </cell>
          <cell r="D1397" t="str">
            <v>SHAHID LT.COL.PRAKASH PATIL PE</v>
          </cell>
          <cell r="E1397" t="str">
            <v>IOCL</v>
          </cell>
          <cell r="G1397" t="str">
            <v>Pune City RSA</v>
          </cell>
          <cell r="H1397">
            <v>38655</v>
          </cell>
          <cell r="I1397" t="str">
            <v>DISCRETIONARY-QUOTA</v>
          </cell>
          <cell r="J1397" t="str">
            <v>AMBEGAON/WARJE</v>
          </cell>
          <cell r="K1397" t="str">
            <v>Pune</v>
          </cell>
          <cell r="L1397" t="str">
            <v>A</v>
          </cell>
          <cell r="O1397" t="str">
            <v>A</v>
          </cell>
        </row>
        <row r="1398">
          <cell r="C1398">
            <v>194558</v>
          </cell>
          <cell r="D1398" t="str">
            <v>AKSHAYKIRAN PETROLEUM</v>
          </cell>
          <cell r="E1398" t="str">
            <v>IOCL</v>
          </cell>
          <cell r="G1398" t="str">
            <v>Pimpri Chinchwad RSA</v>
          </cell>
          <cell r="H1398">
            <v>38714</v>
          </cell>
          <cell r="I1398" t="str">
            <v>OPEN</v>
          </cell>
          <cell r="J1398" t="str">
            <v>CHAKAN NH-60 LHS</v>
          </cell>
          <cell r="K1398" t="str">
            <v>Pune</v>
          </cell>
          <cell r="L1398" t="str">
            <v>D1</v>
          </cell>
          <cell r="M1398" t="str">
            <v>NH-60</v>
          </cell>
          <cell r="O1398" t="str">
            <v>A</v>
          </cell>
        </row>
        <row r="1399">
          <cell r="C1399">
            <v>194979</v>
          </cell>
          <cell r="D1399" t="str">
            <v>SHRI SEVAGIRI PETROLEUM</v>
          </cell>
          <cell r="E1399" t="str">
            <v>IOCL</v>
          </cell>
          <cell r="G1399" t="str">
            <v>Satara East RSA</v>
          </cell>
          <cell r="H1399">
            <v>38713</v>
          </cell>
          <cell r="I1399" t="str">
            <v>OPEN (W)</v>
          </cell>
          <cell r="J1399" t="str">
            <v>Khatav</v>
          </cell>
          <cell r="K1399" t="str">
            <v>Satara</v>
          </cell>
          <cell r="L1399" t="str">
            <v>D2</v>
          </cell>
          <cell r="O1399" t="str">
            <v>B</v>
          </cell>
        </row>
        <row r="1400">
          <cell r="C1400">
            <v>195390</v>
          </cell>
          <cell r="D1400" t="str">
            <v>SAI PETRO STATION</v>
          </cell>
          <cell r="E1400" t="str">
            <v>IOCL</v>
          </cell>
          <cell r="G1400" t="str">
            <v>Satara West RSA</v>
          </cell>
          <cell r="H1400">
            <v>39020</v>
          </cell>
          <cell r="I1400" t="str">
            <v>OPEN</v>
          </cell>
          <cell r="J1400" t="str">
            <v>WATHAR TO KARAD</v>
          </cell>
          <cell r="K1400" t="str">
            <v>Satara</v>
          </cell>
          <cell r="L1400" t="str">
            <v>D1</v>
          </cell>
          <cell r="M1400" t="str">
            <v>NH-48</v>
          </cell>
          <cell r="O1400" t="str">
            <v>B</v>
          </cell>
        </row>
        <row r="1401">
          <cell r="C1401">
            <v>195500</v>
          </cell>
          <cell r="D1401" t="str">
            <v>SHRI SAILEELA PETROLEUM</v>
          </cell>
          <cell r="E1401" t="str">
            <v>IOCL</v>
          </cell>
          <cell r="G1401" t="str">
            <v>Satara East RSA</v>
          </cell>
          <cell r="H1401">
            <v>38715</v>
          </cell>
          <cell r="I1401" t="str">
            <v>OPEN (W)</v>
          </cell>
          <cell r="J1401" t="str">
            <v>Chimangaon</v>
          </cell>
          <cell r="K1401" t="str">
            <v>Satara</v>
          </cell>
          <cell r="L1401" t="str">
            <v>D1</v>
          </cell>
          <cell r="M1401" t="str">
            <v>NH-548C</v>
          </cell>
          <cell r="O1401" t="str">
            <v>B</v>
          </cell>
        </row>
        <row r="1402">
          <cell r="C1402">
            <v>195588</v>
          </cell>
          <cell r="D1402" t="str">
            <v>Sai Samarth Petroleum</v>
          </cell>
          <cell r="E1402" t="str">
            <v>IOCL</v>
          </cell>
          <cell r="G1402" t="str">
            <v>Shirdi RSA</v>
          </cell>
          <cell r="H1402">
            <v>38804</v>
          </cell>
          <cell r="I1402" t="str">
            <v>OPEN</v>
          </cell>
          <cell r="J1402" t="str">
            <v xml:space="preserve">SHIRDI </v>
          </cell>
          <cell r="K1402" t="str">
            <v>Ahmednagar</v>
          </cell>
          <cell r="L1402" t="str">
            <v>D1</v>
          </cell>
          <cell r="M1402" t="str">
            <v>NH-160</v>
          </cell>
          <cell r="O1402" t="str">
            <v>A</v>
          </cell>
        </row>
        <row r="1403">
          <cell r="C1403">
            <v>195653</v>
          </cell>
          <cell r="D1403" t="str">
            <v>MORE PETROLEUM</v>
          </cell>
          <cell r="E1403" t="str">
            <v>IOCL</v>
          </cell>
          <cell r="G1403" t="str">
            <v>Pune Saswad RSA</v>
          </cell>
          <cell r="H1403">
            <v>38077</v>
          </cell>
          <cell r="I1403" t="str">
            <v>OPEN</v>
          </cell>
          <cell r="J1403" t="str">
            <v>Junction-Nimgaon Ketki Raod</v>
          </cell>
          <cell r="K1403" t="str">
            <v>Pune</v>
          </cell>
          <cell r="L1403" t="str">
            <v>D1</v>
          </cell>
          <cell r="M1403" t="str">
            <v>NH-965G</v>
          </cell>
          <cell r="O1403" t="str">
            <v>A</v>
          </cell>
        </row>
        <row r="1404">
          <cell r="C1404">
            <v>196164</v>
          </cell>
          <cell r="D1404" t="str">
            <v>Shivratna Petroleum</v>
          </cell>
          <cell r="E1404" t="str">
            <v>IOCL</v>
          </cell>
          <cell r="G1404" t="str">
            <v>Ahmednagar West RSA</v>
          </cell>
          <cell r="H1404">
            <v>38752</v>
          </cell>
          <cell r="I1404" t="str">
            <v>OPEN</v>
          </cell>
          <cell r="J1404" t="str">
            <v>KHARDA</v>
          </cell>
          <cell r="K1404" t="str">
            <v>Ahmednagar</v>
          </cell>
          <cell r="L1404" t="str">
            <v>D2</v>
          </cell>
          <cell r="O1404" t="str">
            <v>A</v>
          </cell>
        </row>
        <row r="1405">
          <cell r="C1405">
            <v>196197</v>
          </cell>
          <cell r="D1405" t="str">
            <v>Bhagyodaya Petroleum</v>
          </cell>
          <cell r="E1405" t="str">
            <v>IOCL</v>
          </cell>
          <cell r="G1405" t="str">
            <v>Shirdi RSA</v>
          </cell>
          <cell r="H1405">
            <v>38748</v>
          </cell>
          <cell r="I1405" t="str">
            <v>DEF (W)</v>
          </cell>
          <cell r="J1405" t="str">
            <v>SANGAMNER KHURD ON NH</v>
          </cell>
          <cell r="K1405" t="str">
            <v>Ahmednagar</v>
          </cell>
          <cell r="L1405" t="str">
            <v>D1</v>
          </cell>
          <cell r="M1405" t="str">
            <v>NH-60</v>
          </cell>
          <cell r="O1405" t="str">
            <v>A</v>
          </cell>
        </row>
        <row r="1406">
          <cell r="C1406">
            <v>197572</v>
          </cell>
          <cell r="D1406" t="str">
            <v>THE MALEGAON SSK PETROLEUM LTD</v>
          </cell>
          <cell r="E1406" t="str">
            <v>IOCL</v>
          </cell>
          <cell r="G1406" t="str">
            <v>Pune Tathawade RSA</v>
          </cell>
          <cell r="H1406">
            <v>38799</v>
          </cell>
          <cell r="I1406" t="str">
            <v>OPEN</v>
          </cell>
          <cell r="J1406" t="str">
            <v>MALEGAON BK VILLAGE</v>
          </cell>
          <cell r="K1406" t="str">
            <v>Pune</v>
          </cell>
          <cell r="L1406" t="str">
            <v>E</v>
          </cell>
          <cell r="O1406" t="str">
            <v>A</v>
          </cell>
        </row>
        <row r="1407">
          <cell r="C1407">
            <v>197645</v>
          </cell>
          <cell r="D1407" t="str">
            <v>BARAMATI TALUKA SAH. DUDH UTP.S.MRY</v>
          </cell>
          <cell r="E1407" t="str">
            <v>IOCL</v>
          </cell>
          <cell r="G1407" t="str">
            <v>Pune Tathawade RSA</v>
          </cell>
          <cell r="H1407">
            <v>38773</v>
          </cell>
          <cell r="I1407" t="str">
            <v>OPEN</v>
          </cell>
          <cell r="J1407" t="str">
            <v>BARAMATI NIRA ROAD</v>
          </cell>
          <cell r="K1407" t="str">
            <v>Pune</v>
          </cell>
          <cell r="L1407" t="str">
            <v>D2</v>
          </cell>
          <cell r="O1407" t="str">
            <v>B</v>
          </cell>
        </row>
        <row r="1408">
          <cell r="C1408">
            <v>197680</v>
          </cell>
          <cell r="D1408" t="str">
            <v>Shri Dnyaneshwar Ssk Ltd Petro</v>
          </cell>
          <cell r="E1408" t="str">
            <v>IOCL</v>
          </cell>
          <cell r="G1408" t="str">
            <v>Ahmednagar East RSA</v>
          </cell>
          <cell r="H1408">
            <v>38796</v>
          </cell>
          <cell r="I1408" t="str">
            <v>OPEN</v>
          </cell>
          <cell r="J1408" t="str">
            <v>Bhenda</v>
          </cell>
          <cell r="K1408" t="str">
            <v>Ahmednagar</v>
          </cell>
          <cell r="L1408" t="str">
            <v>D2</v>
          </cell>
          <cell r="O1408" t="str">
            <v>B</v>
          </cell>
        </row>
        <row r="1409">
          <cell r="C1409">
            <v>197895</v>
          </cell>
          <cell r="D1409" t="str">
            <v>NATH KRUPA PETROLEUM</v>
          </cell>
          <cell r="E1409" t="str">
            <v>IOCL</v>
          </cell>
          <cell r="G1409" t="str">
            <v>Pune City RSA</v>
          </cell>
          <cell r="H1409">
            <v>38807</v>
          </cell>
          <cell r="I1409" t="str">
            <v>OPEN</v>
          </cell>
          <cell r="J1409" t="str">
            <v>PAUD ROAD</v>
          </cell>
          <cell r="K1409" t="str">
            <v>Pune</v>
          </cell>
          <cell r="L1409" t="str">
            <v>D1</v>
          </cell>
          <cell r="M1409" t="str">
            <v>NH-753F</v>
          </cell>
          <cell r="O1409" t="str">
            <v>B</v>
          </cell>
        </row>
        <row r="1410">
          <cell r="C1410">
            <v>198477</v>
          </cell>
          <cell r="D1410" t="str">
            <v>SOHAM PETROLEUM</v>
          </cell>
          <cell r="E1410" t="str">
            <v>IOCL</v>
          </cell>
          <cell r="G1410" t="str">
            <v>Satara West RSA</v>
          </cell>
          <cell r="H1410">
            <v>38807</v>
          </cell>
          <cell r="I1410" t="str">
            <v>OPEN</v>
          </cell>
          <cell r="J1410" t="str">
            <v>KASHIL TO KARAD</v>
          </cell>
          <cell r="K1410" t="str">
            <v>Satara</v>
          </cell>
          <cell r="L1410" t="str">
            <v>D1</v>
          </cell>
          <cell r="M1410" t="str">
            <v>NH-48</v>
          </cell>
          <cell r="O1410" t="str">
            <v>B</v>
          </cell>
        </row>
        <row r="1411">
          <cell r="C1411">
            <v>198744</v>
          </cell>
          <cell r="D1411" t="str">
            <v>Varad Petroleum Kisan Seva Kendra</v>
          </cell>
          <cell r="E1411" t="str">
            <v>IOCL</v>
          </cell>
          <cell r="G1411" t="str">
            <v>Ahmednagar East RSA</v>
          </cell>
          <cell r="H1411">
            <v>38883</v>
          </cell>
          <cell r="I1411" t="str">
            <v>OPEN (W)</v>
          </cell>
          <cell r="J1411" t="str">
            <v>Manori</v>
          </cell>
          <cell r="K1411" t="str">
            <v>Ahmednagar</v>
          </cell>
          <cell r="L1411" t="str">
            <v>E</v>
          </cell>
          <cell r="O1411" t="str">
            <v>B</v>
          </cell>
        </row>
        <row r="1412">
          <cell r="C1412">
            <v>202488</v>
          </cell>
          <cell r="D1412" t="str">
            <v>LOKSEVA PETROLEUM</v>
          </cell>
          <cell r="E1412" t="str">
            <v>IOCL</v>
          </cell>
          <cell r="G1412" t="str">
            <v>Pimpri Chinchwad RSA</v>
          </cell>
          <cell r="H1412">
            <v>38929</v>
          </cell>
          <cell r="I1412" t="str">
            <v>OPEN</v>
          </cell>
          <cell r="J1412" t="str">
            <v>Spine Road</v>
          </cell>
          <cell r="K1412" t="str">
            <v>Pune</v>
          </cell>
          <cell r="L1412" t="str">
            <v>A</v>
          </cell>
          <cell r="O1412" t="str">
            <v>B</v>
          </cell>
        </row>
        <row r="1413">
          <cell r="C1413">
            <v>202494</v>
          </cell>
          <cell r="D1413" t="str">
            <v>Gajanan Kripa Petroleum</v>
          </cell>
          <cell r="E1413" t="str">
            <v>IOCL</v>
          </cell>
          <cell r="G1413" t="str">
            <v>Ahmednagar East RSA</v>
          </cell>
          <cell r="H1413">
            <v>38911</v>
          </cell>
          <cell r="I1413" t="str">
            <v>OPEN</v>
          </cell>
          <cell r="J1413" t="str">
            <v>Supe toll</v>
          </cell>
          <cell r="K1413" t="str">
            <v>Ahmednagar</v>
          </cell>
          <cell r="L1413" t="str">
            <v>D1</v>
          </cell>
          <cell r="M1413" t="str">
            <v>NH-753F</v>
          </cell>
          <cell r="O1413" t="str">
            <v>B</v>
          </cell>
        </row>
        <row r="1414">
          <cell r="C1414">
            <v>202941</v>
          </cell>
          <cell r="D1414" t="str">
            <v>SHREE ROHIT SERVICE STATION</v>
          </cell>
          <cell r="E1414" t="str">
            <v>IOCL</v>
          </cell>
          <cell r="G1414" t="str">
            <v>Pune City RSA</v>
          </cell>
          <cell r="H1414">
            <v>20519</v>
          </cell>
          <cell r="I1414" t="str">
            <v>OPEN</v>
          </cell>
          <cell r="J1414" t="str">
            <v>PAUD ROAD</v>
          </cell>
          <cell r="K1414" t="str">
            <v>Pune</v>
          </cell>
          <cell r="L1414" t="str">
            <v>D1</v>
          </cell>
          <cell r="M1414" t="str">
            <v>NH-753F</v>
          </cell>
          <cell r="O1414" t="str">
            <v>A</v>
          </cell>
        </row>
        <row r="1415">
          <cell r="C1415">
            <v>203201</v>
          </cell>
          <cell r="D1415" t="str">
            <v>SAI SAHARA PETROLEUM</v>
          </cell>
          <cell r="E1415" t="str">
            <v>IOCL</v>
          </cell>
          <cell r="G1415" t="str">
            <v>Pune Wagholi RSA</v>
          </cell>
          <cell r="H1415">
            <v>38990</v>
          </cell>
          <cell r="I1415" t="str">
            <v>OPEN</v>
          </cell>
          <cell r="J1415" t="str">
            <v>Koregaon Bhima to Shikrapur LHS</v>
          </cell>
          <cell r="K1415" t="str">
            <v>Pune</v>
          </cell>
          <cell r="L1415" t="str">
            <v>D1</v>
          </cell>
          <cell r="M1415" t="str">
            <v>NH-753F</v>
          </cell>
          <cell r="O1415" t="str">
            <v>B</v>
          </cell>
        </row>
        <row r="1416">
          <cell r="C1416">
            <v>203450</v>
          </cell>
          <cell r="D1416" t="str">
            <v>Dwarka &amp; Sons Auto Service</v>
          </cell>
          <cell r="E1416" t="str">
            <v>IOCL</v>
          </cell>
          <cell r="G1416" t="str">
            <v>Ahmednagar East RSA</v>
          </cell>
          <cell r="H1416">
            <v>38990</v>
          </cell>
          <cell r="I1416" t="str">
            <v>SC</v>
          </cell>
          <cell r="J1416" t="str">
            <v>Newasa Budruk</v>
          </cell>
          <cell r="K1416" t="str">
            <v>Ahmednagar</v>
          </cell>
          <cell r="L1416" t="str">
            <v>D2</v>
          </cell>
          <cell r="O1416" t="str">
            <v>A</v>
          </cell>
        </row>
        <row r="1417">
          <cell r="C1417">
            <v>204098</v>
          </cell>
          <cell r="D1417" t="str">
            <v>ASHWAMEDH KISAN SEVA KENDRA</v>
          </cell>
          <cell r="E1417" t="str">
            <v>IOCL</v>
          </cell>
          <cell r="G1417" t="str">
            <v>Pune Wagholi RSA</v>
          </cell>
          <cell r="H1417">
            <v>39020</v>
          </cell>
          <cell r="I1417" t="str">
            <v>OPEN</v>
          </cell>
          <cell r="J1417" t="str">
            <v>Belhe-Bori Rd.</v>
          </cell>
          <cell r="K1417" t="str">
            <v>Pune</v>
          </cell>
          <cell r="L1417" t="str">
            <v>E</v>
          </cell>
          <cell r="O1417" t="str">
            <v>B</v>
          </cell>
        </row>
        <row r="1418">
          <cell r="C1418">
            <v>205829</v>
          </cell>
          <cell r="D1418" t="str">
            <v>Pancharatna Petroleum</v>
          </cell>
          <cell r="E1418" t="str">
            <v>IOCL</v>
          </cell>
          <cell r="G1418" t="str">
            <v>Ahmednagar East RSA</v>
          </cell>
          <cell r="H1418">
            <v>39139</v>
          </cell>
          <cell r="I1418" t="str">
            <v>OPEN</v>
          </cell>
          <cell r="J1418" t="str">
            <v>Ghodegaon</v>
          </cell>
          <cell r="K1418" t="str">
            <v>Ahmednagar</v>
          </cell>
          <cell r="L1418" t="str">
            <v>D1</v>
          </cell>
          <cell r="M1418" t="str">
            <v>NH-753F</v>
          </cell>
          <cell r="O1418" t="str">
            <v>B</v>
          </cell>
        </row>
        <row r="1419">
          <cell r="C1419">
            <v>205938</v>
          </cell>
          <cell r="D1419" t="str">
            <v>Prabhatrang Petroleum</v>
          </cell>
          <cell r="E1419" t="str">
            <v>IOCL</v>
          </cell>
          <cell r="G1419" t="str">
            <v>Ahmednagar East RSA</v>
          </cell>
          <cell r="H1419">
            <v>39297</v>
          </cell>
          <cell r="I1419" t="str">
            <v>OPEN</v>
          </cell>
          <cell r="J1419" t="str">
            <v>MIDC Nagapur</v>
          </cell>
          <cell r="K1419" t="str">
            <v>Ahmednagar</v>
          </cell>
          <cell r="L1419" t="str">
            <v>D2</v>
          </cell>
          <cell r="O1419" t="str">
            <v>B</v>
          </cell>
        </row>
        <row r="1420">
          <cell r="C1420">
            <v>206324</v>
          </cell>
          <cell r="D1420" t="str">
            <v>Raj Petroleum</v>
          </cell>
          <cell r="E1420" t="str">
            <v>IOCL</v>
          </cell>
          <cell r="G1420" t="str">
            <v>Ahmednagar East RSA</v>
          </cell>
          <cell r="H1420">
            <v>39085</v>
          </cell>
          <cell r="I1420" t="str">
            <v>OPEN (W)</v>
          </cell>
          <cell r="J1420" t="str">
            <v>Shendi</v>
          </cell>
          <cell r="K1420" t="str">
            <v>Ahmednagar</v>
          </cell>
          <cell r="L1420" t="str">
            <v>D1</v>
          </cell>
          <cell r="M1420" t="str">
            <v>NH-753F</v>
          </cell>
          <cell r="O1420" t="str">
            <v>B</v>
          </cell>
        </row>
        <row r="1421">
          <cell r="C1421">
            <v>208043</v>
          </cell>
          <cell r="D1421" t="str">
            <v>DNYAN-GANGA PETROLEUM</v>
          </cell>
          <cell r="E1421" t="str">
            <v>IOCL</v>
          </cell>
          <cell r="G1421" t="str">
            <v>Pimpri Chinchwad RSA</v>
          </cell>
          <cell r="H1421">
            <v>39167</v>
          </cell>
          <cell r="I1421" t="str">
            <v>OPEN (W)</v>
          </cell>
          <cell r="J1421" t="str">
            <v>Alandi</v>
          </cell>
          <cell r="K1421" t="str">
            <v>Pune</v>
          </cell>
          <cell r="L1421" t="str">
            <v>A</v>
          </cell>
          <cell r="O1421" t="str">
            <v>B</v>
          </cell>
        </row>
        <row r="1422">
          <cell r="C1422">
            <v>208063</v>
          </cell>
          <cell r="D1422" t="str">
            <v>Indrayani Petro Sales</v>
          </cell>
          <cell r="E1422" t="str">
            <v>IOCL</v>
          </cell>
          <cell r="G1422" t="str">
            <v>Shirdi RSA</v>
          </cell>
          <cell r="H1422">
            <v>39297</v>
          </cell>
          <cell r="I1422" t="str">
            <v>OPEN</v>
          </cell>
          <cell r="J1422" t="str">
            <v>LONI PRAVARA SH</v>
          </cell>
          <cell r="K1422" t="str">
            <v>Ahmednagar</v>
          </cell>
          <cell r="L1422" t="str">
            <v>D2</v>
          </cell>
          <cell r="O1422" t="str">
            <v>B</v>
          </cell>
        </row>
        <row r="1423">
          <cell r="C1423">
            <v>208242</v>
          </cell>
          <cell r="D1423" t="str">
            <v>Hon. MLA Shri Radhakrishna</v>
          </cell>
          <cell r="E1423" t="str">
            <v>IOCL</v>
          </cell>
          <cell r="G1423" t="str">
            <v>Shirdi RSA</v>
          </cell>
          <cell r="H1423">
            <v>39297</v>
          </cell>
          <cell r="I1423" t="str">
            <v>OPEN</v>
          </cell>
          <cell r="J1423" t="str">
            <v>PRAVARA NAGAR</v>
          </cell>
          <cell r="K1423" t="str">
            <v>Ahmednagar</v>
          </cell>
          <cell r="L1423" t="str">
            <v>E</v>
          </cell>
          <cell r="O1423" t="str">
            <v>B</v>
          </cell>
        </row>
        <row r="1424">
          <cell r="C1424">
            <v>208865</v>
          </cell>
          <cell r="D1424" t="str">
            <v>BHEGADE SERVICE STATION</v>
          </cell>
          <cell r="E1424" t="str">
            <v>IOCL</v>
          </cell>
          <cell r="G1424" t="str">
            <v>Pimpri Chinchwad RSA</v>
          </cell>
          <cell r="H1424">
            <v>39364</v>
          </cell>
          <cell r="I1424" t="str">
            <v>OPEN</v>
          </cell>
          <cell r="J1424" t="str">
            <v>Induri</v>
          </cell>
          <cell r="K1424" t="str">
            <v>Pune</v>
          </cell>
          <cell r="L1424" t="str">
            <v>D1</v>
          </cell>
          <cell r="M1424" t="str">
            <v>NH-548D</v>
          </cell>
          <cell r="O1424" t="str">
            <v>B</v>
          </cell>
        </row>
        <row r="1425">
          <cell r="C1425">
            <v>208883</v>
          </cell>
          <cell r="D1425" t="str">
            <v>KALBHOR PETROLEUM</v>
          </cell>
          <cell r="E1425" t="str">
            <v>IOCL</v>
          </cell>
          <cell r="G1425" t="str">
            <v>Pimpri Chinchwad RSA</v>
          </cell>
          <cell r="H1425">
            <v>39171</v>
          </cell>
          <cell r="I1425" t="str">
            <v>OPEN</v>
          </cell>
          <cell r="J1425" t="str">
            <v>Induri</v>
          </cell>
          <cell r="K1425" t="str">
            <v>Pune</v>
          </cell>
          <cell r="L1425" t="str">
            <v>D1</v>
          </cell>
          <cell r="M1425" t="str">
            <v>NH-548D</v>
          </cell>
          <cell r="O1425" t="str">
            <v>B</v>
          </cell>
        </row>
        <row r="1426">
          <cell r="C1426">
            <v>208886</v>
          </cell>
          <cell r="D1426" t="str">
            <v>SUMEGH PETROLEUM</v>
          </cell>
          <cell r="E1426" t="str">
            <v>IOCL</v>
          </cell>
          <cell r="G1426" t="str">
            <v>Pune Hadapsar RSA</v>
          </cell>
          <cell r="H1426">
            <v>39263</v>
          </cell>
          <cell r="I1426" t="str">
            <v>OPEN</v>
          </cell>
          <cell r="J1426" t="str">
            <v>CHOUFULLA-KHEDGAON</v>
          </cell>
          <cell r="K1426" t="str">
            <v>Pune</v>
          </cell>
          <cell r="L1426" t="str">
            <v>D2</v>
          </cell>
          <cell r="O1426" t="str">
            <v>B</v>
          </cell>
        </row>
        <row r="1427">
          <cell r="C1427">
            <v>209709</v>
          </cell>
          <cell r="D1427" t="str">
            <v xml:space="preserve">OM SHIVAM PETROLEUM SERVICES       </v>
          </cell>
          <cell r="E1427" t="str">
            <v>IOCL</v>
          </cell>
          <cell r="G1427" t="str">
            <v>Ahmednagar East RSA</v>
          </cell>
          <cell r="H1427">
            <v>39308</v>
          </cell>
          <cell r="I1427" t="str">
            <v>SC</v>
          </cell>
          <cell r="J1427" t="str">
            <v>Handinimgaon</v>
          </cell>
          <cell r="K1427" t="str">
            <v>Ahmednagar</v>
          </cell>
          <cell r="L1427" t="str">
            <v>D1</v>
          </cell>
          <cell r="M1427" t="str">
            <v>NH-753F</v>
          </cell>
          <cell r="O1427" t="str">
            <v>A</v>
          </cell>
        </row>
        <row r="1428">
          <cell r="C1428">
            <v>209798</v>
          </cell>
          <cell r="D1428" t="str">
            <v>Yash Abhijeet Petroleum Service</v>
          </cell>
          <cell r="E1428" t="str">
            <v>IOCL</v>
          </cell>
          <cell r="G1428" t="str">
            <v>Ahmednagar West RSA</v>
          </cell>
          <cell r="H1428">
            <v>39478</v>
          </cell>
          <cell r="I1428" t="str">
            <v>OPEN</v>
          </cell>
          <cell r="J1428" t="str">
            <v>Parner</v>
          </cell>
          <cell r="K1428" t="str">
            <v>Ahmednagar</v>
          </cell>
          <cell r="L1428" t="str">
            <v>D2</v>
          </cell>
          <cell r="O1428" t="str">
            <v>B</v>
          </cell>
        </row>
        <row r="1429">
          <cell r="C1429">
            <v>210727</v>
          </cell>
          <cell r="D1429" t="str">
            <v>SHRI KANHOBA KISAN SEVA KENDRA</v>
          </cell>
          <cell r="E1429" t="str">
            <v>IOCL</v>
          </cell>
          <cell r="G1429" t="str">
            <v>Pune Wagholi RSA</v>
          </cell>
          <cell r="H1429">
            <v>39294</v>
          </cell>
          <cell r="I1429" t="str">
            <v>OPEN</v>
          </cell>
          <cell r="J1429" t="str">
            <v>Ranjani</v>
          </cell>
          <cell r="K1429" t="str">
            <v>Pune</v>
          </cell>
          <cell r="L1429" t="str">
            <v>E</v>
          </cell>
          <cell r="O1429" t="str">
            <v>B</v>
          </cell>
        </row>
        <row r="1430">
          <cell r="C1430">
            <v>211804</v>
          </cell>
          <cell r="D1430" t="str">
            <v>CHANDRABHAGA SERVICE STATION</v>
          </cell>
          <cell r="E1430" t="str">
            <v>IOCL</v>
          </cell>
          <cell r="F1430" t="str">
            <v>2012-13</v>
          </cell>
          <cell r="G1430" t="str">
            <v>Pune Hadapsar RSA</v>
          </cell>
          <cell r="H1430">
            <v>41364</v>
          </cell>
          <cell r="I1430" t="str">
            <v>OPEN</v>
          </cell>
          <cell r="J1430" t="str">
            <v>Yawat RHS</v>
          </cell>
          <cell r="K1430" t="str">
            <v>Pune</v>
          </cell>
          <cell r="L1430" t="str">
            <v>D1</v>
          </cell>
          <cell r="M1430" t="str">
            <v>NH-65</v>
          </cell>
          <cell r="O1430" t="str">
            <v>A</v>
          </cell>
        </row>
        <row r="1431">
          <cell r="C1431">
            <v>211844</v>
          </cell>
          <cell r="D1431" t="str">
            <v>Raghuvimal Petroleum</v>
          </cell>
          <cell r="E1431" t="str">
            <v>IOCL</v>
          </cell>
          <cell r="G1431" t="str">
            <v>Shirdi RSA</v>
          </cell>
          <cell r="H1431">
            <v>39537</v>
          </cell>
          <cell r="I1431" t="str">
            <v>OPEN</v>
          </cell>
          <cell r="J1431" t="str">
            <v>PUNTAMBA</v>
          </cell>
          <cell r="K1431" t="str">
            <v>Ahmednagar</v>
          </cell>
          <cell r="L1431" t="str">
            <v>E</v>
          </cell>
          <cell r="O1431" t="str">
            <v>B</v>
          </cell>
        </row>
        <row r="1432">
          <cell r="C1432">
            <v>211916</v>
          </cell>
          <cell r="D1432" t="str">
            <v>Yash Enterprises</v>
          </cell>
          <cell r="E1432" t="str">
            <v>IOCL</v>
          </cell>
          <cell r="G1432" t="str">
            <v>Ahmednagar West RSA</v>
          </cell>
          <cell r="H1432">
            <v>39325</v>
          </cell>
          <cell r="I1432" t="str">
            <v>OPEN</v>
          </cell>
          <cell r="J1432" t="str">
            <v>JAMKHED</v>
          </cell>
          <cell r="K1432" t="str">
            <v>Ahmednagar</v>
          </cell>
          <cell r="L1432" t="str">
            <v>D1</v>
          </cell>
          <cell r="M1432" t="str">
            <v>NH-548D</v>
          </cell>
          <cell r="O1432" t="str">
            <v>B</v>
          </cell>
        </row>
        <row r="1433">
          <cell r="C1433">
            <v>212785</v>
          </cell>
          <cell r="D1433" t="str">
            <v>JAYESH PETRO SERVICES</v>
          </cell>
          <cell r="E1433" t="str">
            <v>IOCL</v>
          </cell>
          <cell r="G1433" t="str">
            <v>Pune Tathawade RSA</v>
          </cell>
          <cell r="H1433">
            <v>39353</v>
          </cell>
          <cell r="I1433" t="str">
            <v>OPEN</v>
          </cell>
          <cell r="J1433" t="str">
            <v>LONAVALA TO KAMSHET</v>
          </cell>
          <cell r="K1433" t="str">
            <v>Pune</v>
          </cell>
          <cell r="L1433" t="str">
            <v>D1</v>
          </cell>
          <cell r="M1433" t="str">
            <v>NH-48</v>
          </cell>
          <cell r="O1433" t="str">
            <v>B</v>
          </cell>
        </row>
        <row r="1434">
          <cell r="C1434">
            <v>213863</v>
          </cell>
          <cell r="D1434" t="str">
            <v>S S Auto Services</v>
          </cell>
          <cell r="E1434" t="str">
            <v>IOCL</v>
          </cell>
          <cell r="G1434" t="str">
            <v>Shirdi RSA</v>
          </cell>
          <cell r="H1434">
            <v>39385</v>
          </cell>
          <cell r="I1434" t="str">
            <v>OPEN</v>
          </cell>
          <cell r="J1434" t="str">
            <v>SANGAMNER KHURD</v>
          </cell>
          <cell r="K1434" t="str">
            <v>Ahmednagar</v>
          </cell>
          <cell r="L1434" t="str">
            <v>E</v>
          </cell>
          <cell r="O1434" t="str">
            <v>B</v>
          </cell>
        </row>
        <row r="1435">
          <cell r="C1435">
            <v>214557</v>
          </cell>
          <cell r="D1435" t="str">
            <v>SARASWATI SERVICE STATION</v>
          </cell>
          <cell r="E1435" t="str">
            <v>IOCL</v>
          </cell>
          <cell r="G1435" t="str">
            <v>Pune City RSA</v>
          </cell>
          <cell r="H1435">
            <v>39416</v>
          </cell>
          <cell r="I1435" t="str">
            <v>OPEN (W)</v>
          </cell>
          <cell r="J1435" t="str">
            <v>Pimple Saudagar</v>
          </cell>
          <cell r="K1435" t="str">
            <v>Pune</v>
          </cell>
          <cell r="L1435" t="str">
            <v>A</v>
          </cell>
          <cell r="O1435" t="str">
            <v>B</v>
          </cell>
        </row>
        <row r="1436">
          <cell r="C1436">
            <v>215051</v>
          </cell>
          <cell r="D1436" t="str">
            <v>IMPERIAL PETROLEUM</v>
          </cell>
          <cell r="E1436" t="str">
            <v>IOCL</v>
          </cell>
          <cell r="G1436" t="str">
            <v>Pune City RSA</v>
          </cell>
          <cell r="H1436">
            <v>39447</v>
          </cell>
          <cell r="I1436" t="str">
            <v>OPEN</v>
          </cell>
          <cell r="J1436" t="str">
            <v>MUNDHWA/GHORPADI</v>
          </cell>
          <cell r="K1436" t="str">
            <v>Pune</v>
          </cell>
          <cell r="L1436" t="str">
            <v>A</v>
          </cell>
          <cell r="O1436" t="str">
            <v>A</v>
          </cell>
        </row>
        <row r="1437">
          <cell r="C1437">
            <v>215984</v>
          </cell>
          <cell r="D1437" t="str">
            <v>AWALE PETROLEUM</v>
          </cell>
          <cell r="E1437" t="str">
            <v>IOCL</v>
          </cell>
          <cell r="G1437" t="str">
            <v>Pune City RSA</v>
          </cell>
          <cell r="H1437">
            <v>39599</v>
          </cell>
          <cell r="I1437" t="str">
            <v>SC</v>
          </cell>
          <cell r="J1437" t="str">
            <v>WARJE/UTTAMNAGAR</v>
          </cell>
          <cell r="K1437" t="str">
            <v>Pune</v>
          </cell>
          <cell r="L1437" t="str">
            <v>A</v>
          </cell>
          <cell r="O1437" t="str">
            <v>A</v>
          </cell>
        </row>
        <row r="1438">
          <cell r="C1438">
            <v>216281</v>
          </cell>
          <cell r="D1438" t="str">
            <v>SIDDHI FUELS</v>
          </cell>
          <cell r="E1438" t="str">
            <v>IOCL</v>
          </cell>
          <cell r="G1438" t="str">
            <v>Ahmednagar East RSA</v>
          </cell>
          <cell r="H1438">
            <v>39478</v>
          </cell>
          <cell r="I1438" t="str">
            <v>SC</v>
          </cell>
          <cell r="J1438" t="str">
            <v>Shendi</v>
          </cell>
          <cell r="K1438" t="str">
            <v>Ahmednagar</v>
          </cell>
          <cell r="L1438" t="str">
            <v>D1</v>
          </cell>
          <cell r="M1438" t="str">
            <v>NH-753F</v>
          </cell>
          <cell r="O1438" t="str">
            <v>A</v>
          </cell>
        </row>
        <row r="1439">
          <cell r="C1439">
            <v>216783</v>
          </cell>
          <cell r="D1439" t="str">
            <v>KARAD TALUKA KHAREDI VIKRI S L</v>
          </cell>
          <cell r="E1439" t="str">
            <v>IOCL</v>
          </cell>
          <cell r="G1439" t="str">
            <v>Satara West RSA</v>
          </cell>
          <cell r="H1439">
            <v>39501</v>
          </cell>
          <cell r="I1439" t="str">
            <v>OPEN</v>
          </cell>
          <cell r="J1439" t="str">
            <v>PALI</v>
          </cell>
          <cell r="K1439" t="str">
            <v>Satara</v>
          </cell>
          <cell r="L1439" t="str">
            <v>E</v>
          </cell>
          <cell r="O1439" t="str">
            <v>B</v>
          </cell>
        </row>
        <row r="1440">
          <cell r="C1440">
            <v>216792</v>
          </cell>
          <cell r="D1440" t="str">
            <v>PATEL PETROLEUMS.</v>
          </cell>
          <cell r="E1440" t="str">
            <v>IOCL</v>
          </cell>
          <cell r="G1440" t="str">
            <v>Pune City RSA</v>
          </cell>
          <cell r="H1440">
            <v>39506</v>
          </cell>
          <cell r="I1440" t="str">
            <v>OPEN</v>
          </cell>
          <cell r="J1440" t="str">
            <v>MARKET YARD/LULLANAGAR</v>
          </cell>
          <cell r="K1440" t="str">
            <v>Pune</v>
          </cell>
          <cell r="L1440" t="str">
            <v>A</v>
          </cell>
          <cell r="O1440" t="str">
            <v>A</v>
          </cell>
        </row>
        <row r="1441">
          <cell r="C1441">
            <v>218041</v>
          </cell>
          <cell r="D1441" t="str">
            <v>BHAVANIDEVI PETROLEUM KSK</v>
          </cell>
          <cell r="E1441" t="str">
            <v>IOCL</v>
          </cell>
          <cell r="G1441" t="str">
            <v>Satara East RSA</v>
          </cell>
          <cell r="H1441">
            <v>39599</v>
          </cell>
          <cell r="I1441" t="str">
            <v>OPEN (W)</v>
          </cell>
          <cell r="J1441" t="str">
            <v>Aljapur</v>
          </cell>
          <cell r="K1441" t="str">
            <v>Satara</v>
          </cell>
          <cell r="L1441" t="str">
            <v>D2</v>
          </cell>
          <cell r="O1441" t="str">
            <v>B</v>
          </cell>
        </row>
        <row r="1442">
          <cell r="C1442">
            <v>219798</v>
          </cell>
          <cell r="D1442" t="str">
            <v>JRO Lonikand</v>
          </cell>
          <cell r="E1442" t="str">
            <v>IOCL</v>
          </cell>
          <cell r="G1442" t="str">
            <v>Pune Wagholi RSA</v>
          </cell>
          <cell r="H1442">
            <v>36604</v>
          </cell>
          <cell r="I1442" t="str">
            <v>OPEN</v>
          </cell>
          <cell r="J1442" t="str">
            <v>LONIKAND to KOREGAON BHIMA LHS</v>
          </cell>
          <cell r="K1442" t="str">
            <v>Pune</v>
          </cell>
          <cell r="L1442" t="str">
            <v>D1</v>
          </cell>
          <cell r="M1442" t="str">
            <v>NH-753F</v>
          </cell>
          <cell r="O1442" t="str">
            <v>A</v>
          </cell>
        </row>
        <row r="1443">
          <cell r="C1443">
            <v>221803</v>
          </cell>
          <cell r="D1443" t="str">
            <v>Viva &amp; Sons Petroleum</v>
          </cell>
          <cell r="E1443" t="str">
            <v>IOCL</v>
          </cell>
          <cell r="G1443" t="str">
            <v>Ahmednagar West RSA</v>
          </cell>
          <cell r="H1443">
            <v>39750</v>
          </cell>
          <cell r="I1443" t="str">
            <v>SC</v>
          </cell>
          <cell r="J1443" t="str">
            <v>Chichondi Patil</v>
          </cell>
          <cell r="K1443" t="str">
            <v>Ahmednagar</v>
          </cell>
          <cell r="L1443" t="str">
            <v>D1</v>
          </cell>
          <cell r="M1443" t="str">
            <v>NH-561</v>
          </cell>
          <cell r="O1443" t="str">
            <v>A</v>
          </cell>
        </row>
        <row r="1444">
          <cell r="C1444">
            <v>222319</v>
          </cell>
          <cell r="D1444" t="str">
            <v>Shree Sairaj Petroleum</v>
          </cell>
          <cell r="E1444" t="str">
            <v>IOCL</v>
          </cell>
          <cell r="G1444" t="str">
            <v>Pune Hadapsar RSA</v>
          </cell>
          <cell r="H1444">
            <v>39805</v>
          </cell>
          <cell r="I1444" t="str">
            <v>OPEN</v>
          </cell>
          <cell r="J1444" t="str">
            <v>Urlidevachi Undri Road</v>
          </cell>
          <cell r="K1444" t="str">
            <v>Pune</v>
          </cell>
          <cell r="L1444" t="str">
            <v>A</v>
          </cell>
          <cell r="O1444" t="str">
            <v>B</v>
          </cell>
        </row>
        <row r="1445">
          <cell r="C1445">
            <v>222515</v>
          </cell>
          <cell r="D1445" t="str">
            <v>BHONGLE PETROLEUM</v>
          </cell>
          <cell r="E1445" t="str">
            <v>IOCL</v>
          </cell>
          <cell r="G1445" t="str">
            <v>Pune Saswad RSA</v>
          </cell>
          <cell r="H1445">
            <v>39843</v>
          </cell>
          <cell r="I1445" t="str">
            <v>OPEN</v>
          </cell>
          <cell r="J1445" t="str">
            <v>SASWAD</v>
          </cell>
          <cell r="K1445" t="str">
            <v>Pune</v>
          </cell>
          <cell r="L1445" t="str">
            <v>C</v>
          </cell>
          <cell r="O1445" t="str">
            <v>B</v>
          </cell>
        </row>
        <row r="1446">
          <cell r="C1446">
            <v>222614</v>
          </cell>
          <cell r="D1446" t="str">
            <v>Vishwas Kisan Seva Kendra</v>
          </cell>
          <cell r="E1446" t="str">
            <v>IOCL</v>
          </cell>
          <cell r="G1446" t="str">
            <v>Ahmednagar West RSA</v>
          </cell>
          <cell r="H1446">
            <v>39781</v>
          </cell>
          <cell r="I1446" t="str">
            <v>OPEN</v>
          </cell>
          <cell r="J1446" t="str">
            <v>Kuldharan</v>
          </cell>
          <cell r="K1446" t="str">
            <v>Ahmednagar</v>
          </cell>
          <cell r="L1446" t="str">
            <v>D2</v>
          </cell>
          <cell r="O1446" t="str">
            <v>B</v>
          </cell>
        </row>
        <row r="1447">
          <cell r="C1447">
            <v>222615</v>
          </cell>
          <cell r="D1447" t="str">
            <v>Srinath Kisan Seva Kendra</v>
          </cell>
          <cell r="E1447" t="str">
            <v>IOCL</v>
          </cell>
          <cell r="G1447" t="str">
            <v>Ahmednagar West RSA</v>
          </cell>
          <cell r="H1447">
            <v>39781</v>
          </cell>
          <cell r="I1447" t="str">
            <v>PHP (W)</v>
          </cell>
          <cell r="J1447" t="str">
            <v>Belwandi</v>
          </cell>
          <cell r="K1447" t="str">
            <v>Ahmednagar</v>
          </cell>
          <cell r="L1447" t="str">
            <v>D2</v>
          </cell>
          <cell r="O1447" t="str">
            <v>B</v>
          </cell>
        </row>
        <row r="1448">
          <cell r="C1448">
            <v>223995</v>
          </cell>
          <cell r="D1448" t="str">
            <v>Guruji Petroleum</v>
          </cell>
          <cell r="E1448" t="str">
            <v>IOCL</v>
          </cell>
          <cell r="G1448" t="str">
            <v>Pimpri Chinchwad RSA</v>
          </cell>
          <cell r="H1448">
            <v>39840</v>
          </cell>
          <cell r="I1448" t="str">
            <v>SC (W)</v>
          </cell>
          <cell r="J1448" t="str">
            <v>Chakan Bhose</v>
          </cell>
          <cell r="K1448" t="str">
            <v>Pune</v>
          </cell>
          <cell r="L1448" t="str">
            <v>D1</v>
          </cell>
          <cell r="M1448" t="str">
            <v>NH-548D</v>
          </cell>
          <cell r="O1448" t="str">
            <v>A</v>
          </cell>
        </row>
        <row r="1449">
          <cell r="C1449">
            <v>224590</v>
          </cell>
          <cell r="D1449" t="str">
            <v>MAHADEV PETROLEUM KSK</v>
          </cell>
          <cell r="E1449" t="str">
            <v>IOCL</v>
          </cell>
          <cell r="G1449" t="str">
            <v>Satara East RSA</v>
          </cell>
          <cell r="H1449">
            <v>39844</v>
          </cell>
          <cell r="I1449" t="str">
            <v>OPEN</v>
          </cell>
          <cell r="J1449" t="str">
            <v>Shingnapur</v>
          </cell>
          <cell r="K1449" t="str">
            <v>Satara</v>
          </cell>
          <cell r="L1449" t="str">
            <v>E</v>
          </cell>
          <cell r="O1449" t="str">
            <v>B</v>
          </cell>
        </row>
        <row r="1450">
          <cell r="C1450">
            <v>224595</v>
          </cell>
          <cell r="D1450" t="str">
            <v>Shree Sai Anand Petroleum</v>
          </cell>
          <cell r="E1450" t="str">
            <v>IOCL</v>
          </cell>
          <cell r="G1450" t="str">
            <v>Ahmednagar West RSA</v>
          </cell>
          <cell r="H1450">
            <v>39844</v>
          </cell>
          <cell r="I1450" t="str">
            <v>OPEN</v>
          </cell>
          <cell r="J1450" t="str">
            <v>Ruichattisi</v>
          </cell>
          <cell r="K1450" t="str">
            <v>Ahmednagar</v>
          </cell>
          <cell r="L1450" t="str">
            <v>D1</v>
          </cell>
          <cell r="M1450" t="str">
            <v>NH-561A</v>
          </cell>
          <cell r="O1450" t="str">
            <v>B</v>
          </cell>
        </row>
        <row r="1451">
          <cell r="C1451">
            <v>225490</v>
          </cell>
          <cell r="D1451" t="str">
            <v>Tanishq Petroleum Ksk</v>
          </cell>
          <cell r="E1451" t="str">
            <v>IOCL</v>
          </cell>
          <cell r="G1451" t="str">
            <v>Shirdi RSA</v>
          </cell>
          <cell r="H1451">
            <v>39872</v>
          </cell>
          <cell r="I1451" t="str">
            <v>OPEN (W)</v>
          </cell>
          <cell r="J1451" t="str">
            <v>PRATAPPUR ASHWI</v>
          </cell>
          <cell r="K1451" t="str">
            <v>Ahmednagar</v>
          </cell>
          <cell r="L1451" t="str">
            <v>E</v>
          </cell>
          <cell r="O1451" t="str">
            <v>B</v>
          </cell>
        </row>
        <row r="1452">
          <cell r="C1452">
            <v>225492</v>
          </cell>
          <cell r="D1452" t="str">
            <v>A.P.M.C. Kisan Seva Kendra</v>
          </cell>
          <cell r="E1452" t="str">
            <v>IOCL</v>
          </cell>
          <cell r="G1452" t="str">
            <v>Ahmednagar West RSA</v>
          </cell>
          <cell r="H1452">
            <v>39852</v>
          </cell>
          <cell r="I1452" t="str">
            <v>OPEN</v>
          </cell>
          <cell r="J1452" t="str">
            <v>Parner Balavani Rd</v>
          </cell>
          <cell r="K1452" t="str">
            <v>Ahmednagar</v>
          </cell>
          <cell r="L1452" t="str">
            <v>E</v>
          </cell>
          <cell r="O1452" t="str">
            <v>B</v>
          </cell>
        </row>
        <row r="1453">
          <cell r="C1453">
            <v>226104</v>
          </cell>
          <cell r="D1453" t="str">
            <v>Yogiraj Petroleum Ksk</v>
          </cell>
          <cell r="E1453" t="str">
            <v>IOCL</v>
          </cell>
          <cell r="G1453" t="str">
            <v>Ahmednagar West RSA</v>
          </cell>
          <cell r="H1453">
            <v>39900</v>
          </cell>
          <cell r="I1453" t="str">
            <v>OPEN</v>
          </cell>
          <cell r="J1453" t="str">
            <v>Sakur</v>
          </cell>
          <cell r="K1453" t="str">
            <v>Ahmednagar</v>
          </cell>
          <cell r="L1453" t="str">
            <v>D2</v>
          </cell>
          <cell r="O1453" t="str">
            <v>B</v>
          </cell>
        </row>
        <row r="1454">
          <cell r="C1454">
            <v>226334</v>
          </cell>
          <cell r="D1454" t="str">
            <v>Shri Radhakrishna Vikhe Patil</v>
          </cell>
          <cell r="E1454" t="str">
            <v>IOCL</v>
          </cell>
          <cell r="G1454" t="str">
            <v>Shirdi RSA</v>
          </cell>
          <cell r="H1454">
            <v>39898</v>
          </cell>
          <cell r="I1454" t="str">
            <v>OPEN</v>
          </cell>
          <cell r="J1454" t="str">
            <v>RAHATA</v>
          </cell>
          <cell r="K1454" t="str">
            <v>Ahmednagar</v>
          </cell>
          <cell r="L1454" t="str">
            <v>D1</v>
          </cell>
          <cell r="M1454" t="str">
            <v>NH-160</v>
          </cell>
          <cell r="O1454" t="str">
            <v>B</v>
          </cell>
        </row>
        <row r="1455">
          <cell r="C1455">
            <v>226485</v>
          </cell>
          <cell r="D1455" t="str">
            <v>Shri Mulik Petroleum(29.4.09)</v>
          </cell>
          <cell r="E1455" t="str">
            <v>IOCL</v>
          </cell>
          <cell r="G1455" t="str">
            <v>Satara West RSA</v>
          </cell>
          <cell r="H1455">
            <v>39932</v>
          </cell>
          <cell r="I1455" t="str">
            <v>OPEN (W)</v>
          </cell>
          <cell r="J1455" t="str">
            <v>Karad City</v>
          </cell>
          <cell r="K1455" t="str">
            <v>Satara</v>
          </cell>
          <cell r="L1455" t="str">
            <v>C</v>
          </cell>
          <cell r="O1455" t="str">
            <v>B</v>
          </cell>
        </row>
        <row r="1456">
          <cell r="C1456">
            <v>226494</v>
          </cell>
          <cell r="D1456" t="str">
            <v>SAI DWARAKA PETROLEUM</v>
          </cell>
          <cell r="E1456" t="str">
            <v>IOCL</v>
          </cell>
          <cell r="G1456" t="str">
            <v>Pune Wagholi RSA</v>
          </cell>
          <cell r="H1456">
            <v>39903</v>
          </cell>
          <cell r="I1456" t="str">
            <v>OPEN (W)</v>
          </cell>
          <cell r="J1456" t="str">
            <v>Manchar bypass LHS</v>
          </cell>
          <cell r="K1456" t="str">
            <v>Pune</v>
          </cell>
          <cell r="L1456" t="str">
            <v>D1</v>
          </cell>
          <cell r="M1456" t="str">
            <v>NH-60</v>
          </cell>
          <cell r="O1456" t="str">
            <v>B</v>
          </cell>
        </row>
        <row r="1457">
          <cell r="C1457">
            <v>227265</v>
          </cell>
          <cell r="D1457" t="str">
            <v>Amruttara Kisan Seva Kendra</v>
          </cell>
          <cell r="E1457" t="str">
            <v>IOCL</v>
          </cell>
          <cell r="G1457" t="str">
            <v>Ahmednagar East RSA</v>
          </cell>
          <cell r="H1457">
            <v>39933</v>
          </cell>
          <cell r="I1457" t="str">
            <v>OPEN</v>
          </cell>
          <cell r="J1457" t="str">
            <v>Salbatpur</v>
          </cell>
          <cell r="K1457" t="str">
            <v>Ahmednagar</v>
          </cell>
          <cell r="L1457" t="str">
            <v>E</v>
          </cell>
          <cell r="O1457" t="str">
            <v>B</v>
          </cell>
        </row>
        <row r="1458">
          <cell r="C1458">
            <v>227915</v>
          </cell>
          <cell r="D1458" t="str">
            <v>Preetam Service Station</v>
          </cell>
          <cell r="E1458" t="str">
            <v>IOCL</v>
          </cell>
          <cell r="G1458" t="str">
            <v>Ahmednagar West RSA</v>
          </cell>
          <cell r="H1458">
            <v>39960</v>
          </cell>
          <cell r="I1458" t="str">
            <v>OPEN</v>
          </cell>
          <cell r="J1458" t="str">
            <v>Ruichattisi</v>
          </cell>
          <cell r="K1458" t="str">
            <v>Ahmednagar</v>
          </cell>
          <cell r="L1458" t="str">
            <v>D1</v>
          </cell>
          <cell r="M1458" t="str">
            <v>NH-561A</v>
          </cell>
          <cell r="O1458" t="str">
            <v>B</v>
          </cell>
        </row>
        <row r="1459">
          <cell r="C1459">
            <v>229160</v>
          </cell>
          <cell r="D1459" t="str">
            <v>Shahid Ambadas Pawar Service</v>
          </cell>
          <cell r="E1459" t="str">
            <v>IOCL</v>
          </cell>
          <cell r="G1459" t="str">
            <v>Ahmednagar West RSA</v>
          </cell>
          <cell r="H1459">
            <v>40011</v>
          </cell>
          <cell r="I1459" t="str">
            <v>DISCRETIONARY-QUOTA</v>
          </cell>
          <cell r="J1459" t="str">
            <v>KOLGAON</v>
          </cell>
          <cell r="K1459" t="str">
            <v>Ahmednagar</v>
          </cell>
          <cell r="L1459" t="str">
            <v>D1</v>
          </cell>
          <cell r="M1459" t="str">
            <v>NH-160</v>
          </cell>
          <cell r="O1459" t="str">
            <v>A</v>
          </cell>
        </row>
        <row r="1460">
          <cell r="C1460">
            <v>230276</v>
          </cell>
          <cell r="D1460" t="str">
            <v>Rohan Petroleum</v>
          </cell>
          <cell r="E1460" t="str">
            <v>IOCL</v>
          </cell>
          <cell r="G1460" t="str">
            <v>Ahmednagar East RSA</v>
          </cell>
          <cell r="H1460">
            <v>40080</v>
          </cell>
          <cell r="I1460" t="str">
            <v>OPEN</v>
          </cell>
          <cell r="J1460" t="str">
            <v>bhatkudgaon</v>
          </cell>
          <cell r="K1460" t="str">
            <v>Ahmednagar</v>
          </cell>
          <cell r="L1460" t="str">
            <v>D2</v>
          </cell>
          <cell r="O1460" t="str">
            <v>B</v>
          </cell>
        </row>
        <row r="1461">
          <cell r="C1461">
            <v>231151</v>
          </cell>
          <cell r="D1461" t="str">
            <v>KAMAL SAMPATTI PETROLEUM</v>
          </cell>
          <cell r="E1461" t="str">
            <v>IOCL</v>
          </cell>
          <cell r="G1461" t="str">
            <v>Satara East RSA</v>
          </cell>
          <cell r="H1461">
            <v>40117</v>
          </cell>
          <cell r="I1461" t="str">
            <v>SC (W)</v>
          </cell>
          <cell r="J1461" t="str">
            <v>Lonand</v>
          </cell>
          <cell r="K1461" t="str">
            <v>Satara</v>
          </cell>
          <cell r="L1461" t="str">
            <v>D1</v>
          </cell>
          <cell r="M1461" t="str">
            <v>NH-965D</v>
          </cell>
          <cell r="O1461" t="str">
            <v>A</v>
          </cell>
        </row>
        <row r="1462">
          <cell r="C1462">
            <v>232661</v>
          </cell>
          <cell r="D1462" t="str">
            <v>COCO Rajgurunagar</v>
          </cell>
          <cell r="E1462" t="str">
            <v>IOCL</v>
          </cell>
          <cell r="G1462" t="str">
            <v>Pimpri Chinchwad RSA</v>
          </cell>
          <cell r="H1462">
            <v>38622</v>
          </cell>
          <cell r="I1462" t="str">
            <v>OPEN</v>
          </cell>
          <cell r="J1462" t="str">
            <v>Rajgurunagar Town</v>
          </cell>
          <cell r="K1462" t="str">
            <v>Pune</v>
          </cell>
          <cell r="L1462" t="str">
            <v>C</v>
          </cell>
          <cell r="O1462" t="str">
            <v>A</v>
          </cell>
        </row>
        <row r="1463">
          <cell r="C1463">
            <v>233737</v>
          </cell>
          <cell r="D1463" t="str">
            <v>WANKHEDE PETRO SERVICES</v>
          </cell>
          <cell r="E1463" t="str">
            <v>IOCL</v>
          </cell>
          <cell r="G1463" t="str">
            <v>Pune City RSA</v>
          </cell>
          <cell r="H1463">
            <v>37820</v>
          </cell>
          <cell r="I1463" t="str">
            <v>SC (W)</v>
          </cell>
          <cell r="J1463" t="str">
            <v>Wagholi</v>
          </cell>
          <cell r="K1463" t="str">
            <v>Pune</v>
          </cell>
          <cell r="L1463" t="str">
            <v>A</v>
          </cell>
          <cell r="O1463" t="str">
            <v>A</v>
          </cell>
        </row>
        <row r="1464">
          <cell r="C1464">
            <v>234891</v>
          </cell>
          <cell r="D1464" t="str">
            <v>SARHAAN PETROLEUM</v>
          </cell>
          <cell r="E1464" t="str">
            <v>IOCL</v>
          </cell>
          <cell r="G1464" t="str">
            <v>Pimpri Chinchwad RSA</v>
          </cell>
          <cell r="H1464">
            <v>40268</v>
          </cell>
          <cell r="I1464" t="str">
            <v>OPEN (W)</v>
          </cell>
          <cell r="J1464" t="str">
            <v>Bhosari</v>
          </cell>
          <cell r="K1464" t="str">
            <v>Pune</v>
          </cell>
          <cell r="L1464" t="str">
            <v>A</v>
          </cell>
          <cell r="O1464" t="str">
            <v>A</v>
          </cell>
        </row>
        <row r="1465">
          <cell r="C1465">
            <v>234958</v>
          </cell>
          <cell r="D1465" t="str">
            <v>Om Mangal Shanti Petroleum</v>
          </cell>
          <cell r="E1465" t="str">
            <v>IOCL</v>
          </cell>
          <cell r="G1465" t="str">
            <v>Ahmednagar East RSA</v>
          </cell>
          <cell r="H1465">
            <v>40268</v>
          </cell>
          <cell r="I1465" t="str">
            <v>OPEN</v>
          </cell>
          <cell r="J1465" t="str">
            <v>Dhangarwadi</v>
          </cell>
          <cell r="K1465" t="str">
            <v>Ahmednagar</v>
          </cell>
          <cell r="L1465" t="str">
            <v>D1</v>
          </cell>
          <cell r="M1465" t="str">
            <v>NH-753F</v>
          </cell>
          <cell r="O1465" t="str">
            <v>B</v>
          </cell>
        </row>
        <row r="1466">
          <cell r="C1466">
            <v>234970</v>
          </cell>
          <cell r="D1466" t="str">
            <v>PHADTARE KRUSHI SEVA KENDRA</v>
          </cell>
          <cell r="E1466" t="str">
            <v>IOCL</v>
          </cell>
          <cell r="G1466" t="str">
            <v>Pune Saswad RSA</v>
          </cell>
          <cell r="H1466">
            <v>40358</v>
          </cell>
          <cell r="I1466" t="str">
            <v>OPEN</v>
          </cell>
          <cell r="J1466" t="str">
            <v>Kurvali</v>
          </cell>
          <cell r="K1466" t="str">
            <v>Pune</v>
          </cell>
          <cell r="L1466" t="str">
            <v>E</v>
          </cell>
          <cell r="O1466" t="str">
            <v>B</v>
          </cell>
        </row>
        <row r="1467">
          <cell r="C1467">
            <v>241522</v>
          </cell>
          <cell r="D1467" t="str">
            <v>Simratmal Kundanmal &amp; Sons</v>
          </cell>
          <cell r="E1467" t="str">
            <v>IOCL</v>
          </cell>
          <cell r="G1467" t="str">
            <v>Ahmednagar East RSA</v>
          </cell>
          <cell r="H1467">
            <v>40421</v>
          </cell>
          <cell r="I1467" t="str">
            <v>OPEN</v>
          </cell>
          <cell r="J1467" t="str">
            <v>Chas</v>
          </cell>
          <cell r="K1467" t="str">
            <v>Ahmednagar</v>
          </cell>
          <cell r="L1467" t="str">
            <v>D1</v>
          </cell>
          <cell r="M1467" t="str">
            <v>NH-753F</v>
          </cell>
          <cell r="O1467" t="str">
            <v>B</v>
          </cell>
        </row>
        <row r="1468">
          <cell r="C1468">
            <v>242000</v>
          </cell>
          <cell r="D1468" t="str">
            <v>DHAMALE PETROLEUM KISAN SEVA K</v>
          </cell>
          <cell r="E1468" t="str">
            <v>IOCL</v>
          </cell>
          <cell r="G1468" t="str">
            <v>Pimpri Chinchwad RSA</v>
          </cell>
          <cell r="H1468">
            <v>40421</v>
          </cell>
          <cell r="I1468" t="str">
            <v>OPEN</v>
          </cell>
          <cell r="J1468" t="str">
            <v>Bebedohol</v>
          </cell>
          <cell r="K1468" t="str">
            <v>Pune</v>
          </cell>
          <cell r="L1468" t="str">
            <v>E</v>
          </cell>
          <cell r="O1468" t="str">
            <v>B</v>
          </cell>
        </row>
        <row r="1469">
          <cell r="C1469">
            <v>243557</v>
          </cell>
          <cell r="D1469" t="str">
            <v>MANGALMURTI KISAN SEVA KENDRA</v>
          </cell>
          <cell r="E1469" t="str">
            <v>IOCL</v>
          </cell>
          <cell r="G1469" t="str">
            <v>Satara West RSA</v>
          </cell>
          <cell r="H1469">
            <v>40451</v>
          </cell>
          <cell r="I1469" t="str">
            <v>OPEN</v>
          </cell>
          <cell r="J1469" t="str">
            <v>Harchandi</v>
          </cell>
          <cell r="K1469" t="str">
            <v>Satara</v>
          </cell>
          <cell r="L1469" t="str">
            <v>E</v>
          </cell>
          <cell r="O1469" t="str">
            <v>B</v>
          </cell>
        </row>
        <row r="1470">
          <cell r="C1470">
            <v>244722</v>
          </cell>
          <cell r="D1470" t="str">
            <v>Vipul Fuel Station</v>
          </cell>
          <cell r="E1470" t="str">
            <v>IOCL</v>
          </cell>
          <cell r="G1470" t="str">
            <v>Shirdi RSA</v>
          </cell>
          <cell r="H1470">
            <v>40481</v>
          </cell>
          <cell r="I1470" t="str">
            <v>OPEN (W)</v>
          </cell>
          <cell r="J1470" t="str">
            <v>DILLI NAKA SANGAMNER</v>
          </cell>
          <cell r="K1470" t="str">
            <v>Ahmednagar</v>
          </cell>
          <cell r="L1470" t="str">
            <v>D2</v>
          </cell>
          <cell r="O1470" t="str">
            <v>B</v>
          </cell>
        </row>
        <row r="1471">
          <cell r="C1471">
            <v>244733</v>
          </cell>
          <cell r="D1471" t="str">
            <v>VYANKATESH PETROLEUM</v>
          </cell>
          <cell r="E1471" t="str">
            <v>IOCL</v>
          </cell>
          <cell r="G1471" t="str">
            <v>Pune Hadapsar RSA</v>
          </cell>
          <cell r="H1471">
            <v>40481</v>
          </cell>
          <cell r="I1471" t="str">
            <v>OPEN (W)</v>
          </cell>
          <cell r="J1471" t="str">
            <v>Mandavgaon Farata</v>
          </cell>
          <cell r="K1471" t="str">
            <v>Pune</v>
          </cell>
          <cell r="L1471" t="str">
            <v>E</v>
          </cell>
          <cell r="O1471" t="str">
            <v>B</v>
          </cell>
        </row>
        <row r="1472">
          <cell r="C1472">
            <v>246627</v>
          </cell>
          <cell r="D1472" t="str">
            <v>SMK PETROLEUM (B.K.PETROLEUM (359707 Adhoc- Sai Petro Hub))</v>
          </cell>
          <cell r="E1472" t="str">
            <v>IOCL</v>
          </cell>
          <cell r="G1472" t="str">
            <v>Pune City RSA</v>
          </cell>
          <cell r="H1472">
            <v>45159</v>
          </cell>
          <cell r="I1472" t="str">
            <v>OPEN</v>
          </cell>
          <cell r="J1472" t="str">
            <v>HINJEWADI</v>
          </cell>
          <cell r="K1472" t="str">
            <v>Pune</v>
          </cell>
          <cell r="L1472" t="str">
            <v>A</v>
          </cell>
          <cell r="O1472" t="str">
            <v>A</v>
          </cell>
        </row>
        <row r="1473">
          <cell r="C1473">
            <v>247371</v>
          </cell>
          <cell r="D1473" t="str">
            <v>JAI MALHAR KISAN SEVA KENDRA</v>
          </cell>
          <cell r="E1473" t="str">
            <v>IOCL</v>
          </cell>
          <cell r="G1473" t="str">
            <v>Pune Tathawade RSA</v>
          </cell>
          <cell r="H1473">
            <v>40574</v>
          </cell>
          <cell r="I1473" t="str">
            <v>OPEN</v>
          </cell>
          <cell r="J1473" t="str">
            <v>NIRWAGAJ</v>
          </cell>
          <cell r="K1473" t="str">
            <v>Pune</v>
          </cell>
          <cell r="L1473" t="str">
            <v>E</v>
          </cell>
          <cell r="O1473" t="str">
            <v>B</v>
          </cell>
        </row>
        <row r="1474">
          <cell r="C1474">
            <v>247496</v>
          </cell>
          <cell r="D1474" t="str">
            <v>SHREE SANT MUKTABAI KSK</v>
          </cell>
          <cell r="E1474" t="str">
            <v>IOCL</v>
          </cell>
          <cell r="G1474" t="str">
            <v>Pune Saswad RSA</v>
          </cell>
          <cell r="H1474">
            <v>40574</v>
          </cell>
          <cell r="I1474" t="str">
            <v>OPEN</v>
          </cell>
          <cell r="J1474" t="str">
            <v>SHELGAON</v>
          </cell>
          <cell r="K1474" t="str">
            <v>Pune</v>
          </cell>
          <cell r="L1474" t="str">
            <v>E</v>
          </cell>
          <cell r="O1474" t="str">
            <v>B</v>
          </cell>
        </row>
        <row r="1475">
          <cell r="C1475">
            <v>247504</v>
          </cell>
          <cell r="D1475" t="str">
            <v>SHRI GANESH SEVA KENDRA</v>
          </cell>
          <cell r="E1475" t="str">
            <v>IOCL</v>
          </cell>
          <cell r="G1475" t="str">
            <v>Pune Tathawade RSA</v>
          </cell>
          <cell r="H1475">
            <v>40574</v>
          </cell>
          <cell r="I1475" t="str">
            <v>OPEN (W)</v>
          </cell>
          <cell r="J1475" t="str">
            <v>MORGAON</v>
          </cell>
          <cell r="K1475" t="str">
            <v>Pune</v>
          </cell>
          <cell r="L1475" t="str">
            <v>D1</v>
          </cell>
          <cell r="M1475" t="str">
            <v>NH-965D</v>
          </cell>
          <cell r="O1475" t="str">
            <v>B</v>
          </cell>
        </row>
        <row r="1476">
          <cell r="C1476">
            <v>248455</v>
          </cell>
          <cell r="D1476" t="str">
            <v>KRUSHNA PETROLEUM</v>
          </cell>
          <cell r="E1476" t="str">
            <v>IOCL</v>
          </cell>
          <cell r="G1476" t="str">
            <v>Pune Tathawade RSA</v>
          </cell>
          <cell r="H1476">
            <v>40602</v>
          </cell>
          <cell r="I1476" t="str">
            <v>OPEN</v>
          </cell>
          <cell r="J1476" t="str">
            <v>BARAMATI PATAS ROAD</v>
          </cell>
          <cell r="K1476" t="str">
            <v>Pune</v>
          </cell>
          <cell r="L1476" t="str">
            <v>D1</v>
          </cell>
          <cell r="M1476" t="str">
            <v>NH-160</v>
          </cell>
          <cell r="O1476" t="str">
            <v>B</v>
          </cell>
        </row>
        <row r="1477">
          <cell r="C1477">
            <v>251092</v>
          </cell>
          <cell r="D1477" t="str">
            <v>Mahesh Highway Services</v>
          </cell>
          <cell r="E1477" t="str">
            <v>IOCL</v>
          </cell>
          <cell r="G1477" t="str">
            <v>Ahmednagar East RSA</v>
          </cell>
          <cell r="H1477">
            <v>40661</v>
          </cell>
          <cell r="I1477" t="str">
            <v>OPEN</v>
          </cell>
          <cell r="J1477" t="str">
            <v>MIDC Nagapur</v>
          </cell>
          <cell r="K1477" t="str">
            <v>Ahmednagar</v>
          </cell>
          <cell r="L1477" t="str">
            <v>D2</v>
          </cell>
          <cell r="O1477" t="str">
            <v>B</v>
          </cell>
        </row>
        <row r="1478">
          <cell r="C1478">
            <v>253797</v>
          </cell>
          <cell r="D1478" t="str">
            <v>SAI PETRO LINKS</v>
          </cell>
          <cell r="E1478" t="str">
            <v>IOCL</v>
          </cell>
          <cell r="G1478" t="str">
            <v>Satara West RSA</v>
          </cell>
          <cell r="H1478">
            <v>40782</v>
          </cell>
          <cell r="I1478" t="str">
            <v>OPEN</v>
          </cell>
          <cell r="J1478" t="str">
            <v>KARAD TO WATHAR</v>
          </cell>
          <cell r="K1478" t="str">
            <v>Satara</v>
          </cell>
          <cell r="L1478" t="str">
            <v>D1</v>
          </cell>
          <cell r="M1478" t="str">
            <v>NH-48</v>
          </cell>
          <cell r="O1478" t="str">
            <v>B</v>
          </cell>
        </row>
        <row r="1479">
          <cell r="C1479">
            <v>254378</v>
          </cell>
          <cell r="D1479" t="str">
            <v>BOLAI MATA PETROLEUM KSK</v>
          </cell>
          <cell r="E1479" t="str">
            <v>IOCL</v>
          </cell>
          <cell r="G1479" t="str">
            <v>Pune Hadapsar RSA</v>
          </cell>
          <cell r="H1479">
            <v>40816</v>
          </cell>
          <cell r="I1479" t="str">
            <v>OPEN (W)</v>
          </cell>
          <cell r="J1479" t="str">
            <v>Pimpri Sandaz</v>
          </cell>
          <cell r="K1479" t="str">
            <v>Pune</v>
          </cell>
          <cell r="L1479" t="str">
            <v>D2</v>
          </cell>
          <cell r="O1479" t="str">
            <v>B</v>
          </cell>
        </row>
        <row r="1480">
          <cell r="C1480">
            <v>255618</v>
          </cell>
          <cell r="D1480" t="str">
            <v>NEW PHALTAN SUGAR KSK</v>
          </cell>
          <cell r="E1480" t="str">
            <v>IOCL</v>
          </cell>
          <cell r="G1480" t="str">
            <v>Satara East RSA</v>
          </cell>
          <cell r="H1480">
            <v>40877</v>
          </cell>
          <cell r="I1480" t="str">
            <v>OPEN</v>
          </cell>
          <cell r="J1480" t="str">
            <v>Pimpalwadi</v>
          </cell>
          <cell r="K1480" t="str">
            <v>Satara</v>
          </cell>
          <cell r="L1480" t="str">
            <v>E</v>
          </cell>
          <cell r="O1480" t="str">
            <v>B</v>
          </cell>
        </row>
        <row r="1481">
          <cell r="C1481">
            <v>255667</v>
          </cell>
          <cell r="D1481" t="str">
            <v>Kharde Patil &amp; Sons</v>
          </cell>
          <cell r="E1481" t="str">
            <v>IOCL</v>
          </cell>
          <cell r="G1481" t="str">
            <v>Shirdi RSA</v>
          </cell>
          <cell r="H1481">
            <v>40877</v>
          </cell>
          <cell r="I1481" t="str">
            <v>OPEN</v>
          </cell>
          <cell r="J1481" t="str">
            <v>KOLHAR</v>
          </cell>
          <cell r="K1481" t="str">
            <v>Ahmednagar</v>
          </cell>
          <cell r="L1481" t="str">
            <v>D1</v>
          </cell>
          <cell r="M1481" t="str">
            <v>NH-160</v>
          </cell>
          <cell r="O1481" t="str">
            <v>B</v>
          </cell>
        </row>
        <row r="1482">
          <cell r="C1482">
            <v>256437</v>
          </cell>
          <cell r="D1482" t="str">
            <v>Baba Petroleum Kisan Seva Kend</v>
          </cell>
          <cell r="E1482" t="str">
            <v>IOCL</v>
          </cell>
          <cell r="G1482" t="str">
            <v>Shirdi RSA</v>
          </cell>
          <cell r="H1482">
            <v>40907</v>
          </cell>
          <cell r="I1482" t="str">
            <v>OPEN</v>
          </cell>
          <cell r="J1482" t="str">
            <v>BHAIRAVNATH NAGAR</v>
          </cell>
          <cell r="K1482" t="str">
            <v>Ahmednagar</v>
          </cell>
          <cell r="L1482" t="str">
            <v>D2</v>
          </cell>
          <cell r="O1482" t="str">
            <v>B</v>
          </cell>
        </row>
        <row r="1483">
          <cell r="C1483">
            <v>256443</v>
          </cell>
          <cell r="D1483" t="str">
            <v>Yeola Service Centre</v>
          </cell>
          <cell r="E1483" t="str">
            <v>IOCL</v>
          </cell>
          <cell r="G1483" t="str">
            <v>Shirdi RSA</v>
          </cell>
          <cell r="H1483">
            <v>40907</v>
          </cell>
          <cell r="I1483" t="str">
            <v>OPEN</v>
          </cell>
          <cell r="J1483" t="str">
            <v>YESGAON</v>
          </cell>
          <cell r="K1483" t="str">
            <v>Ahmednagar</v>
          </cell>
          <cell r="L1483" t="str">
            <v>D1</v>
          </cell>
          <cell r="M1483" t="str">
            <v>NH-160</v>
          </cell>
          <cell r="O1483" t="str">
            <v>B</v>
          </cell>
        </row>
        <row r="1484">
          <cell r="C1484">
            <v>256518</v>
          </cell>
          <cell r="D1484" t="str">
            <v>YASHRAJ PETROLEUM KSK</v>
          </cell>
          <cell r="E1484" t="str">
            <v>IOCL</v>
          </cell>
          <cell r="G1484" t="str">
            <v>Pune Saswad RSA</v>
          </cell>
          <cell r="H1484">
            <v>40906</v>
          </cell>
          <cell r="I1484" t="str">
            <v>OPEN</v>
          </cell>
          <cell r="J1484" t="str">
            <v>WALCHANDNAGAR-BAVDA ROAD</v>
          </cell>
          <cell r="K1484" t="str">
            <v>Pune</v>
          </cell>
          <cell r="L1484" t="str">
            <v>D2</v>
          </cell>
          <cell r="O1484" t="str">
            <v>B</v>
          </cell>
        </row>
        <row r="1485">
          <cell r="C1485">
            <v>257379</v>
          </cell>
          <cell r="D1485" t="str">
            <v>SHRI HUMJAI KISAN SEVA KENDRA</v>
          </cell>
          <cell r="E1485" t="str">
            <v>IOCL</v>
          </cell>
          <cell r="G1485" t="str">
            <v>Satara West RSA</v>
          </cell>
          <cell r="H1485">
            <v>40939</v>
          </cell>
          <cell r="I1485" t="str">
            <v>OPEN (W)</v>
          </cell>
          <cell r="J1485" t="str">
            <v>Humgaon</v>
          </cell>
          <cell r="K1485" t="str">
            <v>Satara</v>
          </cell>
          <cell r="L1485" t="str">
            <v>E</v>
          </cell>
          <cell r="O1485" t="str">
            <v>B</v>
          </cell>
        </row>
        <row r="1486">
          <cell r="C1486">
            <v>257425</v>
          </cell>
          <cell r="D1486" t="str">
            <v>APMC BARAMATI PETROLEUM</v>
          </cell>
          <cell r="E1486" t="str">
            <v>IOCL</v>
          </cell>
          <cell r="G1486" t="str">
            <v>Pune Tathawade RSA</v>
          </cell>
          <cell r="H1486">
            <v>40939</v>
          </cell>
          <cell r="I1486" t="str">
            <v>OPEN</v>
          </cell>
          <cell r="J1486" t="str">
            <v>BARAMATI INDAPUR ROAD</v>
          </cell>
          <cell r="K1486" t="str">
            <v>Pune</v>
          </cell>
          <cell r="L1486" t="str">
            <v>D1</v>
          </cell>
          <cell r="M1486" t="str">
            <v>NH-965G</v>
          </cell>
          <cell r="O1486" t="str">
            <v>A</v>
          </cell>
        </row>
        <row r="1487">
          <cell r="C1487">
            <v>258692</v>
          </cell>
          <cell r="D1487" t="str">
            <v>SADGURU KISAN SEVA KENDRA</v>
          </cell>
          <cell r="E1487" t="str">
            <v>IOCL</v>
          </cell>
          <cell r="G1487" t="str">
            <v>Pune Hadapsar RSA</v>
          </cell>
          <cell r="H1487">
            <v>40968</v>
          </cell>
          <cell r="I1487" t="str">
            <v>OPEN</v>
          </cell>
          <cell r="J1487" t="str">
            <v>SAHAJPUR</v>
          </cell>
          <cell r="K1487" t="str">
            <v>Pune</v>
          </cell>
          <cell r="L1487" t="str">
            <v>E</v>
          </cell>
          <cell r="O1487" t="str">
            <v>B</v>
          </cell>
        </row>
        <row r="1488">
          <cell r="C1488">
            <v>258697</v>
          </cell>
          <cell r="D1488" t="str">
            <v>MANJULAI PETROLEUM KSK</v>
          </cell>
          <cell r="E1488" t="str">
            <v>IOCL</v>
          </cell>
          <cell r="G1488" t="str">
            <v>Pimpri Chinchwad RSA</v>
          </cell>
          <cell r="H1488">
            <v>40968</v>
          </cell>
          <cell r="I1488" t="str">
            <v>OPEN</v>
          </cell>
          <cell r="J1488" t="str">
            <v>Moi</v>
          </cell>
          <cell r="K1488" t="str">
            <v>Pune</v>
          </cell>
          <cell r="L1488" t="str">
            <v>E</v>
          </cell>
          <cell r="O1488" t="str">
            <v>B</v>
          </cell>
        </row>
        <row r="1489">
          <cell r="C1489">
            <v>258712</v>
          </cell>
          <cell r="D1489" t="str">
            <v xml:space="preserve">Shivlaxmi Petroleum </v>
          </cell>
          <cell r="E1489" t="str">
            <v>IOCL</v>
          </cell>
          <cell r="G1489" t="str">
            <v>Ahmednagar East RSA</v>
          </cell>
          <cell r="H1489">
            <v>40968</v>
          </cell>
          <cell r="I1489" t="str">
            <v>OPEN</v>
          </cell>
          <cell r="J1489" t="str">
            <v>MIDC Nagapur</v>
          </cell>
          <cell r="K1489" t="str">
            <v>Ahmednagar</v>
          </cell>
          <cell r="L1489" t="str">
            <v>D2</v>
          </cell>
          <cell r="O1489" t="str">
            <v>B</v>
          </cell>
        </row>
        <row r="1490">
          <cell r="C1490">
            <v>260035</v>
          </cell>
          <cell r="D1490" t="str">
            <v>Satguru Fuels Ksk</v>
          </cell>
          <cell r="E1490" t="str">
            <v>IOCL</v>
          </cell>
          <cell r="G1490" t="str">
            <v>Ahmednagar West RSA</v>
          </cell>
          <cell r="H1490">
            <v>40997</v>
          </cell>
          <cell r="I1490" t="str">
            <v>OPEN</v>
          </cell>
          <cell r="J1490" t="str">
            <v>SHRIGONDA-SH</v>
          </cell>
          <cell r="K1490" t="str">
            <v>Ahmednagar</v>
          </cell>
          <cell r="L1490" t="str">
            <v>D2</v>
          </cell>
          <cell r="O1490" t="str">
            <v>B</v>
          </cell>
        </row>
        <row r="1491">
          <cell r="C1491">
            <v>260244</v>
          </cell>
          <cell r="D1491" t="str">
            <v>Mahalaxmi Auto KSK</v>
          </cell>
          <cell r="E1491" t="str">
            <v>IOCL</v>
          </cell>
          <cell r="G1491" t="str">
            <v>Pune Tathawade RSA</v>
          </cell>
          <cell r="H1491">
            <v>40999</v>
          </cell>
          <cell r="I1491" t="str">
            <v>OPEN</v>
          </cell>
          <cell r="J1491" t="str">
            <v>NIMBODI INDAPUR</v>
          </cell>
          <cell r="K1491" t="str">
            <v>Pune</v>
          </cell>
          <cell r="L1491" t="str">
            <v>E</v>
          </cell>
          <cell r="O1491" t="str">
            <v>B</v>
          </cell>
        </row>
        <row r="1492">
          <cell r="C1492">
            <v>260257</v>
          </cell>
          <cell r="D1492" t="str">
            <v>Sriniwas Petrloleum KSK</v>
          </cell>
          <cell r="E1492" t="str">
            <v>IOCL</v>
          </cell>
          <cell r="G1492" t="str">
            <v>Pune Hadapsar RSA</v>
          </cell>
          <cell r="H1492">
            <v>40999</v>
          </cell>
          <cell r="I1492" t="str">
            <v>OPEN (W)</v>
          </cell>
          <cell r="J1492" t="str">
            <v>Pimpalgaon</v>
          </cell>
          <cell r="K1492" t="str">
            <v>Pune</v>
          </cell>
          <cell r="L1492" t="str">
            <v>D2</v>
          </cell>
          <cell r="O1492" t="str">
            <v>B</v>
          </cell>
        </row>
        <row r="1493">
          <cell r="C1493">
            <v>260333</v>
          </cell>
          <cell r="D1493" t="str">
            <v>Yash Petroleum KSK</v>
          </cell>
          <cell r="E1493" t="str">
            <v>IOCL</v>
          </cell>
          <cell r="G1493" t="str">
            <v>Pune Saswad RSA</v>
          </cell>
          <cell r="H1493">
            <v>40999</v>
          </cell>
          <cell r="I1493" t="str">
            <v>PMP/Govt Pers (Open)</v>
          </cell>
          <cell r="J1493" t="str">
            <v>PIMPRI BUDRUK</v>
          </cell>
          <cell r="K1493" t="str">
            <v>Pune</v>
          </cell>
          <cell r="L1493" t="str">
            <v>E</v>
          </cell>
          <cell r="O1493" t="str">
            <v>B</v>
          </cell>
        </row>
        <row r="1494">
          <cell r="C1494">
            <v>260363</v>
          </cell>
          <cell r="D1494" t="str">
            <v>Vighnahar Petroleum KSK</v>
          </cell>
          <cell r="E1494" t="str">
            <v>IOCL</v>
          </cell>
          <cell r="G1494" t="str">
            <v>Pune Wagholi RSA</v>
          </cell>
          <cell r="H1494">
            <v>40999</v>
          </cell>
          <cell r="I1494" t="str">
            <v>OPEN (W)</v>
          </cell>
          <cell r="J1494" t="str">
            <v>Peth Rural</v>
          </cell>
          <cell r="K1494" t="str">
            <v>Pune</v>
          </cell>
          <cell r="L1494" t="str">
            <v>E</v>
          </cell>
          <cell r="O1494" t="str">
            <v>B</v>
          </cell>
        </row>
        <row r="1495">
          <cell r="C1495">
            <v>260966</v>
          </cell>
          <cell r="D1495" t="str">
            <v>Jaywant Petroleum KSK</v>
          </cell>
          <cell r="E1495" t="str">
            <v>IOCL</v>
          </cell>
          <cell r="F1495" t="str">
            <v>2012-13</v>
          </cell>
          <cell r="G1495" t="str">
            <v>Satara East RSA</v>
          </cell>
          <cell r="H1495">
            <v>41029</v>
          </cell>
          <cell r="I1495" t="str">
            <v>OPEN (W)</v>
          </cell>
          <cell r="J1495" t="str">
            <v>RAJALE</v>
          </cell>
          <cell r="K1495" t="str">
            <v>Satara</v>
          </cell>
          <cell r="L1495" t="str">
            <v>E</v>
          </cell>
          <cell r="O1495" t="str">
            <v>B</v>
          </cell>
        </row>
        <row r="1496">
          <cell r="C1496">
            <v>260987</v>
          </cell>
          <cell r="D1496" t="str">
            <v>PIONEER PETROLEUM</v>
          </cell>
          <cell r="E1496" t="str">
            <v>IOCL</v>
          </cell>
          <cell r="F1496" t="str">
            <v>2012-13</v>
          </cell>
          <cell r="G1496" t="str">
            <v>Satara East RSA</v>
          </cell>
          <cell r="H1496">
            <v>41037</v>
          </cell>
          <cell r="I1496" t="str">
            <v>OPEN</v>
          </cell>
          <cell r="J1496" t="str">
            <v>Mayani</v>
          </cell>
          <cell r="K1496" t="str">
            <v>Satara</v>
          </cell>
          <cell r="L1496" t="str">
            <v>D1</v>
          </cell>
          <cell r="M1496" t="str">
            <v>NH-160</v>
          </cell>
          <cell r="O1496" t="str">
            <v>B</v>
          </cell>
        </row>
        <row r="1497">
          <cell r="C1497">
            <v>262399</v>
          </cell>
          <cell r="D1497" t="str">
            <v>JAIHIND PETROLEUM KSK</v>
          </cell>
          <cell r="E1497" t="str">
            <v>IOCL</v>
          </cell>
          <cell r="F1497" t="str">
            <v>2012-13</v>
          </cell>
          <cell r="G1497" t="str">
            <v>Pune Wagholi RSA</v>
          </cell>
          <cell r="H1497">
            <v>41090</v>
          </cell>
          <cell r="I1497" t="str">
            <v>OPEN</v>
          </cell>
          <cell r="J1497" t="str">
            <v>Savargaon</v>
          </cell>
          <cell r="K1497" t="str">
            <v>Pune</v>
          </cell>
          <cell r="L1497" t="str">
            <v>E</v>
          </cell>
          <cell r="O1497" t="str">
            <v>B</v>
          </cell>
        </row>
        <row r="1498">
          <cell r="C1498">
            <v>262928</v>
          </cell>
          <cell r="D1498" t="str">
            <v>UNDRE PETROLEUM KSK</v>
          </cell>
          <cell r="E1498" t="str">
            <v>IOCL</v>
          </cell>
          <cell r="F1498" t="str">
            <v>2012-13</v>
          </cell>
          <cell r="G1498" t="str">
            <v>Pune Hadapsar RSA</v>
          </cell>
          <cell r="H1498">
            <v>41147</v>
          </cell>
          <cell r="I1498" t="str">
            <v>OPEN</v>
          </cell>
          <cell r="J1498" t="str">
            <v>Manjari Khurd</v>
          </cell>
          <cell r="K1498" t="str">
            <v>Pune</v>
          </cell>
          <cell r="L1498" t="str">
            <v>E</v>
          </cell>
          <cell r="O1498" t="str">
            <v>B</v>
          </cell>
        </row>
        <row r="1499">
          <cell r="C1499">
            <v>263450</v>
          </cell>
          <cell r="D1499" t="str">
            <v>VISHWAJEET LOKHANDE PETRO KSK</v>
          </cell>
          <cell r="E1499" t="str">
            <v>IOCL</v>
          </cell>
          <cell r="F1499" t="str">
            <v>2012-13</v>
          </cell>
          <cell r="G1499" t="str">
            <v>Pune Hadapsar RSA</v>
          </cell>
          <cell r="H1499">
            <v>41151</v>
          </cell>
          <cell r="I1499" t="str">
            <v>OPEN (W)</v>
          </cell>
          <cell r="J1499" t="str">
            <v>Ranjangaon Sandas</v>
          </cell>
          <cell r="K1499" t="str">
            <v>Pune</v>
          </cell>
          <cell r="L1499" t="str">
            <v>E</v>
          </cell>
          <cell r="O1499" t="str">
            <v>B</v>
          </cell>
        </row>
        <row r="1500">
          <cell r="C1500">
            <v>264117</v>
          </cell>
          <cell r="D1500" t="str">
            <v>BHAGYARAJA PETROLEUM KSK</v>
          </cell>
          <cell r="E1500" t="str">
            <v>IOCL</v>
          </cell>
          <cell r="F1500" t="str">
            <v>2012-13</v>
          </cell>
          <cell r="G1500" t="str">
            <v>Satara West RSA</v>
          </cell>
          <cell r="H1500">
            <v>41213</v>
          </cell>
          <cell r="I1500" t="str">
            <v>OPEN</v>
          </cell>
          <cell r="J1500" t="str">
            <v>Satara City</v>
          </cell>
          <cell r="K1500" t="str">
            <v>Satara</v>
          </cell>
          <cell r="L1500" t="str">
            <v>C</v>
          </cell>
          <cell r="O1500" t="str">
            <v>B</v>
          </cell>
        </row>
        <row r="1501">
          <cell r="C1501">
            <v>264152</v>
          </cell>
          <cell r="D1501" t="str">
            <v>MAA GANGA PETROLEUM KSK</v>
          </cell>
          <cell r="E1501" t="str">
            <v>IOCL</v>
          </cell>
          <cell r="F1501" t="str">
            <v>2012-13</v>
          </cell>
          <cell r="G1501" t="str">
            <v>Pune Wagholi RSA</v>
          </cell>
          <cell r="H1501">
            <v>41182</v>
          </cell>
          <cell r="I1501" t="str">
            <v>OPEN (W)</v>
          </cell>
          <cell r="J1501" t="str">
            <v>Amdabad</v>
          </cell>
          <cell r="K1501" t="str">
            <v>Pune</v>
          </cell>
          <cell r="L1501" t="str">
            <v>E</v>
          </cell>
          <cell r="O1501" t="str">
            <v>B</v>
          </cell>
        </row>
        <row r="1502">
          <cell r="C1502">
            <v>264781</v>
          </cell>
          <cell r="D1502" t="str">
            <v>KADAM PATIL PETROLEUM KSK</v>
          </cell>
          <cell r="E1502" t="str">
            <v>IOCL</v>
          </cell>
          <cell r="F1502" t="str">
            <v>2012-13</v>
          </cell>
          <cell r="G1502" t="str">
            <v>Pune Hadapsar RSA</v>
          </cell>
          <cell r="H1502">
            <v>41212</v>
          </cell>
          <cell r="I1502" t="str">
            <v>OPEN (W)</v>
          </cell>
          <cell r="J1502" t="str">
            <v>Pilanwadi</v>
          </cell>
          <cell r="K1502" t="str">
            <v>Pune</v>
          </cell>
          <cell r="L1502" t="str">
            <v>D2</v>
          </cell>
          <cell r="O1502" t="str">
            <v>B</v>
          </cell>
        </row>
        <row r="1503">
          <cell r="C1503">
            <v>264805</v>
          </cell>
          <cell r="D1503" t="str">
            <v>USHA PETROLEUM KSK</v>
          </cell>
          <cell r="E1503" t="str">
            <v>IOCL</v>
          </cell>
          <cell r="F1503" t="str">
            <v>2012-13</v>
          </cell>
          <cell r="G1503" t="str">
            <v>Pune Tathawade RSA</v>
          </cell>
          <cell r="H1503">
            <v>41274</v>
          </cell>
          <cell r="I1503" t="str">
            <v>OPEN</v>
          </cell>
          <cell r="J1503" t="str">
            <v>MORGAON-BARAMATI RD</v>
          </cell>
          <cell r="K1503" t="str">
            <v>Pune</v>
          </cell>
          <cell r="L1503" t="str">
            <v>D2</v>
          </cell>
          <cell r="O1503" t="str">
            <v>B</v>
          </cell>
        </row>
        <row r="1504">
          <cell r="C1504">
            <v>264823</v>
          </cell>
          <cell r="D1504" t="str">
            <v>GANRAJ PETROLEUM KSK</v>
          </cell>
          <cell r="E1504" t="str">
            <v>IOCL</v>
          </cell>
          <cell r="F1504" t="str">
            <v>2012-13</v>
          </cell>
          <cell r="G1504" t="str">
            <v>Pune Wagholi RSA</v>
          </cell>
          <cell r="H1504">
            <v>41210</v>
          </cell>
          <cell r="I1504" t="str">
            <v>OPEN</v>
          </cell>
          <cell r="J1504" t="str">
            <v>Mengdewadi</v>
          </cell>
          <cell r="K1504" t="str">
            <v>Pune</v>
          </cell>
          <cell r="L1504" t="str">
            <v>E</v>
          </cell>
          <cell r="O1504" t="str">
            <v>B</v>
          </cell>
        </row>
        <row r="1505">
          <cell r="C1505">
            <v>265345</v>
          </cell>
          <cell r="D1505" t="str">
            <v>Venus Petroleum KSK</v>
          </cell>
          <cell r="E1505" t="str">
            <v>IOCL</v>
          </cell>
          <cell r="F1505" t="str">
            <v>2012-13</v>
          </cell>
          <cell r="G1505" t="str">
            <v>Satara East RSA</v>
          </cell>
          <cell r="H1505">
            <v>41240</v>
          </cell>
          <cell r="I1505" t="str">
            <v>OPEN (W)</v>
          </cell>
          <cell r="J1505" t="str">
            <v>pusegaon phaltan road</v>
          </cell>
          <cell r="K1505" t="str">
            <v>Satara</v>
          </cell>
          <cell r="L1505" t="str">
            <v>D2</v>
          </cell>
          <cell r="O1505" t="str">
            <v>B</v>
          </cell>
        </row>
        <row r="1506">
          <cell r="C1506">
            <v>265363</v>
          </cell>
          <cell r="D1506" t="str">
            <v>Shri Nandadevi Petroleum</v>
          </cell>
          <cell r="E1506" t="str">
            <v>IOCL</v>
          </cell>
          <cell r="F1506" t="str">
            <v>2012-13</v>
          </cell>
          <cell r="G1506" t="str">
            <v>Ahmednagar West RSA</v>
          </cell>
          <cell r="H1506">
            <v>41243</v>
          </cell>
          <cell r="I1506" t="str">
            <v>OPEN</v>
          </cell>
          <cell r="J1506" t="str">
            <v>Nannaj</v>
          </cell>
          <cell r="K1506" t="str">
            <v>Ahmednagar</v>
          </cell>
          <cell r="L1506" t="str">
            <v>D2</v>
          </cell>
          <cell r="O1506" t="str">
            <v>B</v>
          </cell>
        </row>
        <row r="1507">
          <cell r="C1507">
            <v>265453</v>
          </cell>
          <cell r="D1507" t="str">
            <v>Daund Sugar Petroleum KSK</v>
          </cell>
          <cell r="E1507" t="str">
            <v>IOCL</v>
          </cell>
          <cell r="F1507" t="str">
            <v>2012-13</v>
          </cell>
          <cell r="G1507" t="str">
            <v>Pune Hadapsar RSA</v>
          </cell>
          <cell r="H1507">
            <v>41243</v>
          </cell>
          <cell r="I1507" t="str">
            <v>OPEN</v>
          </cell>
          <cell r="J1507" t="str">
            <v>DAUND</v>
          </cell>
          <cell r="K1507" t="str">
            <v>Pune</v>
          </cell>
          <cell r="L1507" t="str">
            <v>E</v>
          </cell>
          <cell r="O1507" t="str">
            <v>B</v>
          </cell>
        </row>
        <row r="1508">
          <cell r="C1508">
            <v>265455</v>
          </cell>
          <cell r="D1508" t="str">
            <v>Shri Vighnhar Petroleum KSK</v>
          </cell>
          <cell r="E1508" t="str">
            <v>IOCL</v>
          </cell>
          <cell r="F1508" t="str">
            <v>2012-13</v>
          </cell>
          <cell r="G1508" t="str">
            <v>Pune Wagholi RSA</v>
          </cell>
          <cell r="H1508">
            <v>41243</v>
          </cell>
          <cell r="I1508" t="str">
            <v>OPEN (W)</v>
          </cell>
          <cell r="J1508" t="str">
            <v>Nimgaon Sava</v>
          </cell>
          <cell r="K1508" t="str">
            <v>Pune</v>
          </cell>
          <cell r="L1508" t="str">
            <v>E</v>
          </cell>
          <cell r="O1508" t="str">
            <v>B</v>
          </cell>
        </row>
        <row r="1509">
          <cell r="C1509">
            <v>265522</v>
          </cell>
          <cell r="D1509" t="str">
            <v>Dhanashree Petroleum KSK</v>
          </cell>
          <cell r="E1509" t="str">
            <v>IOCL</v>
          </cell>
          <cell r="F1509" t="str">
            <v>2012-13</v>
          </cell>
          <cell r="G1509" t="str">
            <v>Pune Tathawade RSA</v>
          </cell>
          <cell r="H1509">
            <v>41243</v>
          </cell>
          <cell r="I1509" t="str">
            <v>OPEN</v>
          </cell>
          <cell r="J1509" t="str">
            <v>MORGAON-BARAMATI RD</v>
          </cell>
          <cell r="K1509" t="str">
            <v>Pune</v>
          </cell>
          <cell r="L1509" t="str">
            <v>D2</v>
          </cell>
          <cell r="O1509" t="str">
            <v>B</v>
          </cell>
        </row>
        <row r="1510">
          <cell r="C1510">
            <v>265541</v>
          </cell>
          <cell r="D1510" t="str">
            <v>B D Petroleum</v>
          </cell>
          <cell r="E1510" t="str">
            <v>IOCL</v>
          </cell>
          <cell r="F1510" t="str">
            <v>2012-13</v>
          </cell>
          <cell r="G1510" t="str">
            <v>Pimpri Chinchwad RSA</v>
          </cell>
          <cell r="H1510">
            <v>41242</v>
          </cell>
          <cell r="I1510" t="str">
            <v>OPEN</v>
          </cell>
          <cell r="J1510" t="str">
            <v>Chakan Bhose</v>
          </cell>
          <cell r="K1510" t="str">
            <v>Pune</v>
          </cell>
          <cell r="L1510" t="str">
            <v>D1</v>
          </cell>
          <cell r="M1510" t="str">
            <v>NH-548D</v>
          </cell>
          <cell r="O1510" t="str">
            <v>A</v>
          </cell>
        </row>
        <row r="1511">
          <cell r="C1511">
            <v>265564</v>
          </cell>
          <cell r="D1511" t="str">
            <v>Bhimashankar Krishi KSK</v>
          </cell>
          <cell r="E1511" t="str">
            <v>IOCL</v>
          </cell>
          <cell r="F1511" t="str">
            <v>2012-13</v>
          </cell>
          <cell r="G1511" t="str">
            <v>Pune Wagholi RSA</v>
          </cell>
          <cell r="H1511">
            <v>41243</v>
          </cell>
          <cell r="I1511" t="str">
            <v>OPEN</v>
          </cell>
          <cell r="J1511" t="str">
            <v>Pargaon Tarfe</v>
          </cell>
          <cell r="K1511" t="str">
            <v>Pune</v>
          </cell>
          <cell r="L1511" t="str">
            <v>E</v>
          </cell>
          <cell r="O1511" t="str">
            <v>B</v>
          </cell>
        </row>
        <row r="1512">
          <cell r="C1512">
            <v>265916</v>
          </cell>
          <cell r="D1512" t="str">
            <v>KRIPA PETROLEUM KSK</v>
          </cell>
          <cell r="E1512" t="str">
            <v>IOCL</v>
          </cell>
          <cell r="F1512" t="str">
            <v>2012-13</v>
          </cell>
          <cell r="G1512" t="str">
            <v>Pune Wagholi RSA</v>
          </cell>
          <cell r="H1512">
            <v>41274</v>
          </cell>
          <cell r="I1512" t="str">
            <v>OPEN (W)</v>
          </cell>
          <cell r="J1512" t="str">
            <v>Wafgaon</v>
          </cell>
          <cell r="K1512" t="str">
            <v>Pune</v>
          </cell>
          <cell r="L1512" t="str">
            <v>E</v>
          </cell>
          <cell r="O1512" t="str">
            <v>B</v>
          </cell>
        </row>
        <row r="1513">
          <cell r="C1513">
            <v>266145</v>
          </cell>
          <cell r="D1513" t="str">
            <v>K.K.PETROLEUM</v>
          </cell>
          <cell r="E1513" t="str">
            <v>IOCL</v>
          </cell>
          <cell r="F1513" t="str">
            <v>2012-13</v>
          </cell>
          <cell r="G1513" t="str">
            <v>Satara East RSA</v>
          </cell>
          <cell r="H1513">
            <v>41270</v>
          </cell>
          <cell r="I1513" t="str">
            <v>OPEN (W)</v>
          </cell>
          <cell r="J1513" t="str">
            <v>Taradgaon</v>
          </cell>
          <cell r="K1513" t="str">
            <v>Satara</v>
          </cell>
          <cell r="L1513" t="str">
            <v>D1</v>
          </cell>
          <cell r="M1513" t="str">
            <v>NH-965</v>
          </cell>
          <cell r="O1513" t="str">
            <v>B</v>
          </cell>
        </row>
        <row r="1514">
          <cell r="C1514">
            <v>266147</v>
          </cell>
          <cell r="D1514" t="str">
            <v>DESHMUKH PETROLEUM KSK</v>
          </cell>
          <cell r="E1514" t="str">
            <v>IOCL</v>
          </cell>
          <cell r="F1514" t="str">
            <v>2012-13</v>
          </cell>
          <cell r="G1514" t="str">
            <v>Satara East RSA</v>
          </cell>
          <cell r="H1514">
            <v>41274</v>
          </cell>
          <cell r="I1514" t="str">
            <v>OPEN</v>
          </cell>
          <cell r="J1514" t="str">
            <v>AUNDH</v>
          </cell>
          <cell r="K1514" t="str">
            <v>Satara</v>
          </cell>
          <cell r="L1514" t="str">
            <v>E</v>
          </cell>
          <cell r="O1514" t="str">
            <v>B</v>
          </cell>
        </row>
        <row r="1515">
          <cell r="C1515">
            <v>266148</v>
          </cell>
          <cell r="D1515" t="str">
            <v>ROYALE AUTOMOBILES</v>
          </cell>
          <cell r="E1515" t="str">
            <v>IOCL</v>
          </cell>
          <cell r="F1515" t="str">
            <v>2012-13</v>
          </cell>
          <cell r="G1515" t="str">
            <v>Satara West RSA</v>
          </cell>
          <cell r="H1515">
            <v>41272</v>
          </cell>
          <cell r="I1515" t="str">
            <v>OPEN (W)</v>
          </cell>
          <cell r="J1515" t="str">
            <v>Wadhe to Shivthar</v>
          </cell>
          <cell r="K1515" t="str">
            <v>Satara</v>
          </cell>
          <cell r="L1515" t="str">
            <v>D1</v>
          </cell>
          <cell r="M1515" t="str">
            <v>NH-965D</v>
          </cell>
          <cell r="O1515" t="str">
            <v>B</v>
          </cell>
        </row>
        <row r="1516">
          <cell r="C1516">
            <v>266382</v>
          </cell>
          <cell r="D1516" t="str">
            <v>SHARVIL PETROLEUM KSK</v>
          </cell>
          <cell r="E1516" t="str">
            <v>IOCL</v>
          </cell>
          <cell r="F1516" t="str">
            <v>2012-13</v>
          </cell>
          <cell r="G1516" t="str">
            <v>Pune Wagholi RSA</v>
          </cell>
          <cell r="H1516">
            <v>41274</v>
          </cell>
          <cell r="I1516" t="str">
            <v>OPEN (W)</v>
          </cell>
          <cell r="J1516" t="str">
            <v>Hivretarfe</v>
          </cell>
          <cell r="K1516" t="str">
            <v>Pune</v>
          </cell>
          <cell r="L1516" t="str">
            <v>E</v>
          </cell>
          <cell r="O1516" t="str">
            <v>B</v>
          </cell>
        </row>
        <row r="1517">
          <cell r="C1517">
            <v>266517</v>
          </cell>
          <cell r="D1517" t="str">
            <v>PATIL PETROLEUM KSK</v>
          </cell>
          <cell r="E1517" t="str">
            <v>IOCL</v>
          </cell>
          <cell r="F1517" t="str">
            <v>2012-13</v>
          </cell>
          <cell r="G1517" t="str">
            <v>Ahmednagar East RSA</v>
          </cell>
          <cell r="H1517">
            <v>41274</v>
          </cell>
          <cell r="I1517" t="str">
            <v>PHP (OPEN)</v>
          </cell>
          <cell r="J1517" t="str">
            <v>manjari</v>
          </cell>
          <cell r="K1517" t="str">
            <v>Ahmednagar</v>
          </cell>
          <cell r="L1517" t="str">
            <v>E</v>
          </cell>
          <cell r="O1517" t="str">
            <v>B</v>
          </cell>
        </row>
        <row r="1518">
          <cell r="C1518">
            <v>266553</v>
          </cell>
          <cell r="D1518" t="str">
            <v>SWAMI KRUPA PETROLEUM</v>
          </cell>
          <cell r="E1518" t="str">
            <v>IOCL</v>
          </cell>
          <cell r="F1518" t="str">
            <v>2012-13</v>
          </cell>
          <cell r="G1518" t="str">
            <v>Pune Hadapsar RSA</v>
          </cell>
          <cell r="H1518">
            <v>41274</v>
          </cell>
          <cell r="I1518" t="str">
            <v>OPEN</v>
          </cell>
          <cell r="J1518" t="str">
            <v>Patas RHS</v>
          </cell>
          <cell r="K1518" t="str">
            <v>Pune</v>
          </cell>
          <cell r="L1518" t="str">
            <v>D1</v>
          </cell>
          <cell r="M1518" t="str">
            <v>NH-65</v>
          </cell>
          <cell r="O1518" t="str">
            <v>B</v>
          </cell>
        </row>
        <row r="1519">
          <cell r="C1519">
            <v>266557</v>
          </cell>
          <cell r="D1519" t="str">
            <v>SANGRAM PETROLEUM</v>
          </cell>
          <cell r="E1519" t="str">
            <v>IOCL</v>
          </cell>
          <cell r="F1519" t="str">
            <v>2012-13</v>
          </cell>
          <cell r="G1519" t="str">
            <v>Satara East RSA</v>
          </cell>
          <cell r="H1519">
            <v>41274</v>
          </cell>
          <cell r="I1519" t="str">
            <v>OPEN (W)</v>
          </cell>
          <cell r="J1519" t="str">
            <v>Nimbhore RHS</v>
          </cell>
          <cell r="K1519" t="str">
            <v>Satara</v>
          </cell>
          <cell r="L1519" t="str">
            <v>D1</v>
          </cell>
          <cell r="M1519" t="str">
            <v>NH-965</v>
          </cell>
          <cell r="O1519" t="str">
            <v>B</v>
          </cell>
        </row>
        <row r="1520">
          <cell r="C1520">
            <v>267352</v>
          </cell>
          <cell r="D1520" t="str">
            <v>YASH PETROLEUM KISAN SEVA KEND</v>
          </cell>
          <cell r="E1520" t="str">
            <v>IOCL</v>
          </cell>
          <cell r="F1520" t="str">
            <v>2012-13</v>
          </cell>
          <cell r="G1520" t="str">
            <v>Satara East RSA</v>
          </cell>
          <cell r="H1520">
            <v>41303</v>
          </cell>
          <cell r="I1520" t="str">
            <v>OPEN</v>
          </cell>
          <cell r="J1520" t="str">
            <v>Thakurki</v>
          </cell>
          <cell r="K1520" t="str">
            <v>Satara</v>
          </cell>
          <cell r="L1520" t="str">
            <v>D2</v>
          </cell>
          <cell r="O1520" t="str">
            <v>B</v>
          </cell>
        </row>
        <row r="1521">
          <cell r="C1521">
            <v>267359</v>
          </cell>
          <cell r="D1521" t="str">
            <v>RIYA PETROLEUM KSK</v>
          </cell>
          <cell r="E1521" t="str">
            <v>IOCL</v>
          </cell>
          <cell r="F1521" t="str">
            <v>2012-13</v>
          </cell>
          <cell r="G1521" t="str">
            <v>Pune Wagholi RSA</v>
          </cell>
          <cell r="H1521">
            <v>41304</v>
          </cell>
          <cell r="I1521" t="str">
            <v>OPEN</v>
          </cell>
          <cell r="J1521" t="str">
            <v>Chandoli Khurd</v>
          </cell>
          <cell r="K1521" t="str">
            <v>Pune</v>
          </cell>
          <cell r="L1521" t="str">
            <v>E</v>
          </cell>
          <cell r="O1521" t="str">
            <v>B</v>
          </cell>
        </row>
        <row r="1522">
          <cell r="C1522">
            <v>267555</v>
          </cell>
          <cell r="D1522" t="str">
            <v>VYAWAHARE PETROLEUM KSK</v>
          </cell>
          <cell r="E1522" t="str">
            <v>IOCL</v>
          </cell>
          <cell r="F1522" t="str">
            <v>2012-13</v>
          </cell>
          <cell r="G1522" t="str">
            <v>Pune Saswad RSA</v>
          </cell>
          <cell r="H1522">
            <v>41305</v>
          </cell>
          <cell r="I1522" t="str">
            <v>OPEN</v>
          </cell>
          <cell r="J1522" t="str">
            <v>SHIRSODI</v>
          </cell>
          <cell r="K1522" t="str">
            <v>Pune</v>
          </cell>
          <cell r="L1522" t="str">
            <v>E</v>
          </cell>
          <cell r="O1522" t="str">
            <v>B</v>
          </cell>
        </row>
        <row r="1523">
          <cell r="C1523">
            <v>268059</v>
          </cell>
          <cell r="D1523" t="str">
            <v>BALAJI VISHWA PETROLEUM</v>
          </cell>
          <cell r="E1523" t="str">
            <v>IOCL</v>
          </cell>
          <cell r="F1523" t="str">
            <v>2012-13</v>
          </cell>
          <cell r="G1523" t="str">
            <v>Pune Wagholi RSA</v>
          </cell>
          <cell r="H1523">
            <v>41364</v>
          </cell>
          <cell r="I1523" t="str">
            <v>OPEN (W)</v>
          </cell>
          <cell r="J1523" t="str">
            <v>Ranjangaon to Shirur LHS</v>
          </cell>
          <cell r="K1523" t="str">
            <v>Pune</v>
          </cell>
          <cell r="L1523" t="str">
            <v>D1</v>
          </cell>
          <cell r="M1523" t="str">
            <v>NH-753F</v>
          </cell>
          <cell r="O1523" t="str">
            <v>B</v>
          </cell>
        </row>
        <row r="1524">
          <cell r="C1524">
            <v>268457</v>
          </cell>
          <cell r="D1524" t="str">
            <v>SHRI DATTAKRUPA PETRO AGENCY</v>
          </cell>
          <cell r="E1524" t="str">
            <v>IOCL</v>
          </cell>
          <cell r="F1524" t="str">
            <v>2012-13</v>
          </cell>
          <cell r="G1524" t="str">
            <v>Satara West RSA</v>
          </cell>
          <cell r="H1524">
            <v>41333</v>
          </cell>
          <cell r="I1524" t="str">
            <v>OPEN (W)</v>
          </cell>
          <cell r="J1524" t="str">
            <v>SAKURDI</v>
          </cell>
          <cell r="K1524" t="str">
            <v>Satara</v>
          </cell>
          <cell r="L1524" t="str">
            <v>D1</v>
          </cell>
          <cell r="M1524" t="str">
            <v>NH-166E</v>
          </cell>
          <cell r="O1524" t="str">
            <v>B</v>
          </cell>
        </row>
        <row r="1525">
          <cell r="C1525">
            <v>268479</v>
          </cell>
          <cell r="D1525" t="str">
            <v>HANGESHWAR KISAN SEVA KENDRA</v>
          </cell>
          <cell r="E1525" t="str">
            <v>IOCL</v>
          </cell>
          <cell r="F1525" t="str">
            <v>2012-13</v>
          </cell>
          <cell r="G1525" t="str">
            <v>Ahmednagar West RSA</v>
          </cell>
          <cell r="H1525">
            <v>41333</v>
          </cell>
          <cell r="I1525" t="str">
            <v>OPEN (W)</v>
          </cell>
          <cell r="J1525" t="str">
            <v>Hangewadi</v>
          </cell>
          <cell r="K1525" t="str">
            <v>Ahmednagar</v>
          </cell>
          <cell r="L1525" t="str">
            <v>E</v>
          </cell>
          <cell r="O1525" t="str">
            <v>B</v>
          </cell>
        </row>
        <row r="1526">
          <cell r="C1526">
            <v>268525</v>
          </cell>
          <cell r="D1526" t="str">
            <v>SAMRUDDHI PETROLEUM KSK</v>
          </cell>
          <cell r="E1526" t="str">
            <v>IOCL</v>
          </cell>
          <cell r="F1526" t="str">
            <v>2012-13</v>
          </cell>
          <cell r="G1526" t="str">
            <v>Shirdi RSA</v>
          </cell>
          <cell r="H1526">
            <v>41333</v>
          </cell>
          <cell r="I1526" t="str">
            <v>OPEN</v>
          </cell>
          <cell r="J1526" t="str">
            <v>VIRGAON</v>
          </cell>
          <cell r="K1526" t="str">
            <v>Ahmednagar</v>
          </cell>
          <cell r="L1526" t="str">
            <v>D2</v>
          </cell>
          <cell r="O1526" t="str">
            <v>B</v>
          </cell>
        </row>
        <row r="1527">
          <cell r="C1527">
            <v>268527</v>
          </cell>
          <cell r="D1527" t="str">
            <v>SAI PETROLEUM KSK</v>
          </cell>
          <cell r="E1527" t="str">
            <v>IOCL</v>
          </cell>
          <cell r="F1527" t="str">
            <v>2012-13</v>
          </cell>
          <cell r="G1527" t="str">
            <v>Pune Hadapsar RSA</v>
          </cell>
          <cell r="H1527">
            <v>41333</v>
          </cell>
          <cell r="I1527" t="str">
            <v>OPEN</v>
          </cell>
          <cell r="J1527" t="str">
            <v>P5_Pargaon</v>
          </cell>
          <cell r="K1527" t="str">
            <v>Pune</v>
          </cell>
          <cell r="L1527" t="str">
            <v>D2</v>
          </cell>
          <cell r="O1527" t="str">
            <v>B</v>
          </cell>
        </row>
        <row r="1528">
          <cell r="C1528">
            <v>268560</v>
          </cell>
          <cell r="D1528" t="str">
            <v>S. P. PETROLEUM</v>
          </cell>
          <cell r="E1528" t="str">
            <v>IOCL</v>
          </cell>
          <cell r="F1528" t="str">
            <v>2012-13</v>
          </cell>
          <cell r="G1528" t="str">
            <v>Pune Wagholi RSA</v>
          </cell>
          <cell r="H1528">
            <v>41333</v>
          </cell>
          <cell r="I1528" t="str">
            <v>OPEN (W)</v>
          </cell>
          <cell r="J1528" t="str">
            <v>Takli Hazi</v>
          </cell>
          <cell r="K1528" t="str">
            <v>Pune</v>
          </cell>
          <cell r="L1528" t="str">
            <v>E</v>
          </cell>
          <cell r="O1528" t="str">
            <v>B</v>
          </cell>
        </row>
        <row r="1529">
          <cell r="C1529">
            <v>268569</v>
          </cell>
          <cell r="D1529" t="str">
            <v>G. P. PETROLEUM KSK</v>
          </cell>
          <cell r="E1529" t="str">
            <v>IOCL</v>
          </cell>
          <cell r="F1529" t="str">
            <v>2012-13</v>
          </cell>
          <cell r="G1529" t="str">
            <v>Shirdi RSA</v>
          </cell>
          <cell r="H1529">
            <v>41333</v>
          </cell>
          <cell r="I1529" t="str">
            <v>OPEN</v>
          </cell>
          <cell r="J1529" t="str">
            <v>DEVGAON</v>
          </cell>
          <cell r="K1529" t="str">
            <v>Ahmednagar</v>
          </cell>
          <cell r="L1529" t="str">
            <v>E</v>
          </cell>
          <cell r="O1529" t="str">
            <v>B</v>
          </cell>
        </row>
        <row r="1530">
          <cell r="C1530">
            <v>268571</v>
          </cell>
          <cell r="D1530" t="str">
            <v>HARIYALI FUELS</v>
          </cell>
          <cell r="E1530" t="str">
            <v>IOCL</v>
          </cell>
          <cell r="F1530" t="str">
            <v>2012-13</v>
          </cell>
          <cell r="G1530" t="str">
            <v>Shirdi RSA</v>
          </cell>
          <cell r="H1530">
            <v>41333</v>
          </cell>
          <cell r="I1530" t="str">
            <v>OPEN (W)</v>
          </cell>
          <cell r="J1530" t="str">
            <v>KALAS AKOLE</v>
          </cell>
          <cell r="K1530" t="str">
            <v>Ahmednagar</v>
          </cell>
          <cell r="L1530" t="str">
            <v>D2</v>
          </cell>
          <cell r="O1530" t="str">
            <v>B</v>
          </cell>
        </row>
        <row r="1531">
          <cell r="C1531">
            <v>268574</v>
          </cell>
          <cell r="D1531" t="str">
            <v>DEOKAR PETROLEUM</v>
          </cell>
          <cell r="E1531" t="str">
            <v>IOCL</v>
          </cell>
          <cell r="F1531" t="str">
            <v>2012-13</v>
          </cell>
          <cell r="G1531" t="str">
            <v>Pune Saswad RSA</v>
          </cell>
          <cell r="H1531">
            <v>41333</v>
          </cell>
          <cell r="I1531" t="str">
            <v>OPEN</v>
          </cell>
          <cell r="J1531" t="str">
            <v>LONI DEOKAR</v>
          </cell>
          <cell r="K1531" t="str">
            <v>Pune</v>
          </cell>
          <cell r="L1531" t="str">
            <v>D1</v>
          </cell>
          <cell r="M1531" t="str">
            <v>NH-65</v>
          </cell>
          <cell r="O1531" t="str">
            <v>B</v>
          </cell>
        </row>
        <row r="1532">
          <cell r="C1532">
            <v>268955</v>
          </cell>
          <cell r="D1532" t="str">
            <v>YASHODEEP PETROLEUM</v>
          </cell>
          <cell r="E1532" t="str">
            <v>IOCL</v>
          </cell>
          <cell r="F1532" t="str">
            <v>2012-13</v>
          </cell>
          <cell r="G1532" t="str">
            <v>Satara East RSA</v>
          </cell>
          <cell r="H1532">
            <v>41352</v>
          </cell>
          <cell r="I1532" t="str">
            <v>OPEN</v>
          </cell>
          <cell r="J1532" t="str">
            <v>Padali</v>
          </cell>
          <cell r="K1532" t="str">
            <v>Satara</v>
          </cell>
          <cell r="L1532" t="str">
            <v>D2</v>
          </cell>
          <cell r="O1532" t="str">
            <v>B</v>
          </cell>
        </row>
        <row r="1533">
          <cell r="C1533">
            <v>269348</v>
          </cell>
          <cell r="D1533" t="str">
            <v>SANT KRUPA PETROLEUM KSK</v>
          </cell>
          <cell r="E1533" t="str">
            <v>IOCL</v>
          </cell>
          <cell r="F1533" t="str">
            <v>2012-13</v>
          </cell>
          <cell r="G1533" t="str">
            <v>Pune City RSA</v>
          </cell>
          <cell r="H1533">
            <v>41356</v>
          </cell>
          <cell r="I1533" t="str">
            <v>OPEN</v>
          </cell>
          <cell r="J1533" t="str">
            <v>LOHAGAON WAGHOLI ROAD</v>
          </cell>
          <cell r="K1533" t="str">
            <v>Pune</v>
          </cell>
          <cell r="L1533" t="str">
            <v>A</v>
          </cell>
          <cell r="O1533" t="str">
            <v>B</v>
          </cell>
        </row>
        <row r="1534">
          <cell r="C1534">
            <v>269385</v>
          </cell>
          <cell r="D1534" t="str">
            <v>VITTHAL PETROLEUM</v>
          </cell>
          <cell r="E1534" t="str">
            <v>IOCL</v>
          </cell>
          <cell r="F1534" t="str">
            <v>2012-13</v>
          </cell>
          <cell r="G1534" t="str">
            <v>Pune Saswad RSA</v>
          </cell>
          <cell r="H1534">
            <v>41362</v>
          </cell>
          <cell r="I1534" t="str">
            <v>OPEN</v>
          </cell>
          <cell r="J1534" t="str">
            <v>JUNCTION</v>
          </cell>
          <cell r="K1534" t="str">
            <v>Pune</v>
          </cell>
          <cell r="L1534" t="str">
            <v>D1</v>
          </cell>
          <cell r="M1534" t="str">
            <v>NH-965G</v>
          </cell>
          <cell r="O1534" t="str">
            <v>A</v>
          </cell>
        </row>
        <row r="1535">
          <cell r="C1535">
            <v>269389</v>
          </cell>
          <cell r="D1535" t="str">
            <v>SHREE SAIRAJ PETROLEUM KSK</v>
          </cell>
          <cell r="E1535" t="str">
            <v>IOCL</v>
          </cell>
          <cell r="F1535" t="str">
            <v>2012-13</v>
          </cell>
          <cell r="G1535" t="str">
            <v>Shirdi RSA</v>
          </cell>
          <cell r="H1535">
            <v>41358</v>
          </cell>
          <cell r="I1535" t="str">
            <v>OPEN (W)</v>
          </cell>
          <cell r="J1535" t="str">
            <v>TAKLI PHATA</v>
          </cell>
          <cell r="K1535" t="str">
            <v>Ahmednagar</v>
          </cell>
          <cell r="L1535" t="str">
            <v>E</v>
          </cell>
          <cell r="O1535" t="str">
            <v>B</v>
          </cell>
        </row>
        <row r="1536">
          <cell r="C1536">
            <v>269488</v>
          </cell>
          <cell r="D1536" t="str">
            <v>DATTARAJ PETROLEUM KSK</v>
          </cell>
          <cell r="E1536" t="str">
            <v>IOCL</v>
          </cell>
          <cell r="F1536" t="str">
            <v>2012-13</v>
          </cell>
          <cell r="G1536" t="str">
            <v>Satara East RSA</v>
          </cell>
          <cell r="H1536">
            <v>41361</v>
          </cell>
          <cell r="I1536" t="str">
            <v>OPEN</v>
          </cell>
          <cell r="J1536" t="str">
            <v>Pawarwadi</v>
          </cell>
          <cell r="K1536" t="str">
            <v>Satara</v>
          </cell>
          <cell r="L1536" t="str">
            <v>E</v>
          </cell>
          <cell r="O1536" t="str">
            <v>B</v>
          </cell>
        </row>
        <row r="1537">
          <cell r="C1537">
            <v>269890</v>
          </cell>
          <cell r="D1537" t="str">
            <v>SHREE BALAJI FILLING STATION</v>
          </cell>
          <cell r="E1537" t="str">
            <v>IOCL</v>
          </cell>
          <cell r="F1537" t="str">
            <v>2012-13</v>
          </cell>
          <cell r="G1537" t="str">
            <v>Pimpri Chinchwad RSA</v>
          </cell>
          <cell r="H1537">
            <v>41363</v>
          </cell>
          <cell r="I1537" t="str">
            <v>OPEN</v>
          </cell>
          <cell r="J1537" t="str">
            <v>Talegaon MIDC</v>
          </cell>
          <cell r="K1537" t="str">
            <v>Pune</v>
          </cell>
          <cell r="L1537" t="str">
            <v>C</v>
          </cell>
          <cell r="O1537" t="str">
            <v>A</v>
          </cell>
        </row>
        <row r="1538">
          <cell r="C1538">
            <v>269896</v>
          </cell>
          <cell r="D1538" t="str">
            <v>PRATIK FUELLING CENTRE</v>
          </cell>
          <cell r="E1538" t="str">
            <v>IOCL</v>
          </cell>
          <cell r="F1538" t="str">
            <v>2012-13</v>
          </cell>
          <cell r="G1538" t="str">
            <v>Ahmednagar West RSA</v>
          </cell>
          <cell r="H1538">
            <v>41363</v>
          </cell>
          <cell r="I1538" t="str">
            <v>OPEN</v>
          </cell>
          <cell r="J1538" t="str">
            <v>LONI VYNKNATH-KASHTI (NH)</v>
          </cell>
          <cell r="K1538" t="str">
            <v>Ahmednagar</v>
          </cell>
          <cell r="L1538" t="str">
            <v>D1</v>
          </cell>
          <cell r="M1538" t="str">
            <v>NH-160</v>
          </cell>
          <cell r="O1538" t="str">
            <v>B</v>
          </cell>
        </row>
        <row r="1539">
          <cell r="C1539">
            <v>271058</v>
          </cell>
          <cell r="D1539" t="str">
            <v>KAVERI PETROLEUM</v>
          </cell>
          <cell r="E1539" t="str">
            <v>IOCL</v>
          </cell>
          <cell r="F1539" t="str">
            <v>2013-14</v>
          </cell>
          <cell r="G1539" t="str">
            <v>Pimpri Chinchwad RSA</v>
          </cell>
          <cell r="H1539">
            <v>41425</v>
          </cell>
          <cell r="I1539" t="str">
            <v>OPEN</v>
          </cell>
          <cell r="J1539" t="str">
            <v>NIGHOJE</v>
          </cell>
          <cell r="K1539" t="str">
            <v>Pune</v>
          </cell>
          <cell r="L1539" t="str">
            <v>C</v>
          </cell>
          <cell r="O1539" t="str">
            <v>B</v>
          </cell>
        </row>
        <row r="1540">
          <cell r="C1540">
            <v>271059</v>
          </cell>
          <cell r="D1540" t="str">
            <v>RAM LAXMAN PETROLEUM KSK</v>
          </cell>
          <cell r="E1540" t="str">
            <v>IOCL</v>
          </cell>
          <cell r="F1540" t="str">
            <v>2013-14</v>
          </cell>
          <cell r="G1540" t="str">
            <v>Pimpri Chinchwad RSA</v>
          </cell>
          <cell r="H1540">
            <v>41454</v>
          </cell>
          <cell r="I1540" t="str">
            <v>OPEN</v>
          </cell>
          <cell r="J1540" t="str">
            <v>Ambethan</v>
          </cell>
          <cell r="K1540" t="str">
            <v>Pune</v>
          </cell>
          <cell r="L1540" t="str">
            <v>E</v>
          </cell>
          <cell r="O1540" t="str">
            <v>A</v>
          </cell>
        </row>
        <row r="1541">
          <cell r="C1541">
            <v>271657</v>
          </cell>
          <cell r="D1541" t="str">
            <v>KUSUM PETROLEUM KSK</v>
          </cell>
          <cell r="E1541" t="str">
            <v>IOCL</v>
          </cell>
          <cell r="F1541" t="str">
            <v>2013-14</v>
          </cell>
          <cell r="G1541" t="str">
            <v>Satara East RSA</v>
          </cell>
          <cell r="H1541">
            <v>41454</v>
          </cell>
          <cell r="I1541" t="str">
            <v>OPEN</v>
          </cell>
          <cell r="J1541" t="str">
            <v>Pimpode</v>
          </cell>
          <cell r="K1541" t="str">
            <v>Satara</v>
          </cell>
          <cell r="L1541" t="str">
            <v>E</v>
          </cell>
          <cell r="O1541" t="str">
            <v>B</v>
          </cell>
        </row>
        <row r="1542">
          <cell r="C1542">
            <v>271759</v>
          </cell>
          <cell r="D1542" t="str">
            <v>OM PETROLEUM KSK</v>
          </cell>
          <cell r="E1542" t="str">
            <v>IOCL</v>
          </cell>
          <cell r="F1542" t="str">
            <v>2013-14</v>
          </cell>
          <cell r="G1542" t="str">
            <v>Shirdi RSA</v>
          </cell>
          <cell r="H1542">
            <v>41455</v>
          </cell>
          <cell r="I1542" t="str">
            <v>OPEN</v>
          </cell>
          <cell r="J1542" t="str">
            <v>SAKURI</v>
          </cell>
          <cell r="K1542" t="str">
            <v>Ahmednagar</v>
          </cell>
          <cell r="L1542" t="str">
            <v>E</v>
          </cell>
          <cell r="O1542" t="str">
            <v>B</v>
          </cell>
        </row>
        <row r="1543">
          <cell r="C1543">
            <v>271784</v>
          </cell>
          <cell r="D1543" t="str">
            <v>KAD PETROL DEPOT</v>
          </cell>
          <cell r="E1543" t="str">
            <v>IOCL</v>
          </cell>
          <cell r="F1543" t="str">
            <v>2013-14</v>
          </cell>
          <cell r="G1543" t="str">
            <v>Pimpri Chinchwad RSA</v>
          </cell>
          <cell r="H1543">
            <v>41455</v>
          </cell>
          <cell r="I1543" t="str">
            <v>OPEN</v>
          </cell>
          <cell r="J1543" t="str">
            <v>Chakan MIDC</v>
          </cell>
          <cell r="K1543" t="str">
            <v>Pune</v>
          </cell>
          <cell r="L1543" t="str">
            <v>C</v>
          </cell>
          <cell r="O1543" t="str">
            <v>B</v>
          </cell>
        </row>
        <row r="1544">
          <cell r="C1544">
            <v>271800</v>
          </cell>
          <cell r="D1544" t="str">
            <v>VARIJA SERVICE STATION</v>
          </cell>
          <cell r="E1544" t="str">
            <v>IOCL</v>
          </cell>
          <cell r="F1544" t="str">
            <v>2013-14</v>
          </cell>
          <cell r="G1544" t="str">
            <v>Satara East RSA</v>
          </cell>
          <cell r="H1544">
            <v>41453</v>
          </cell>
          <cell r="I1544" t="str">
            <v>OPEN</v>
          </cell>
          <cell r="J1544" t="str">
            <v>Nimbhore</v>
          </cell>
          <cell r="K1544" t="str">
            <v>Satara</v>
          </cell>
          <cell r="L1544" t="str">
            <v>D1</v>
          </cell>
          <cell r="M1544" t="str">
            <v>NH-965</v>
          </cell>
          <cell r="O1544" t="str">
            <v>B</v>
          </cell>
        </row>
        <row r="1545">
          <cell r="C1545">
            <v>272281</v>
          </cell>
          <cell r="D1545" t="str">
            <v>SAI SAMRAT PETROLEUM</v>
          </cell>
          <cell r="E1545" t="str">
            <v>IOCL</v>
          </cell>
          <cell r="F1545" t="str">
            <v>2013-14</v>
          </cell>
          <cell r="G1545" t="str">
            <v>Satara West RSA</v>
          </cell>
          <cell r="H1545">
            <v>41486</v>
          </cell>
          <cell r="I1545" t="str">
            <v>OPEN</v>
          </cell>
          <cell r="J1545" t="str">
            <v>Kodoli to Ghojegaon</v>
          </cell>
          <cell r="K1545" t="str">
            <v>Satara</v>
          </cell>
          <cell r="L1545" t="str">
            <v>D2</v>
          </cell>
          <cell r="O1545" t="str">
            <v>B</v>
          </cell>
        </row>
        <row r="1546">
          <cell r="C1546">
            <v>272296</v>
          </cell>
          <cell r="D1546" t="str">
            <v>KRUSHNAI PETROLEUM KSK</v>
          </cell>
          <cell r="E1546" t="str">
            <v>IOCL</v>
          </cell>
          <cell r="F1546" t="str">
            <v>2013-14</v>
          </cell>
          <cell r="G1546" t="str">
            <v>Pune Hadapsar RSA</v>
          </cell>
          <cell r="H1546">
            <v>41517</v>
          </cell>
          <cell r="I1546" t="str">
            <v>OPEN</v>
          </cell>
          <cell r="J1546" t="str">
            <v>Manjari</v>
          </cell>
          <cell r="K1546" t="str">
            <v>Pune</v>
          </cell>
          <cell r="L1546" t="str">
            <v>A</v>
          </cell>
          <cell r="O1546" t="str">
            <v>B</v>
          </cell>
        </row>
        <row r="1547">
          <cell r="C1547">
            <v>272298</v>
          </cell>
          <cell r="D1547" t="str">
            <v>SRISHTI PETROLEUM KSK</v>
          </cell>
          <cell r="E1547" t="str">
            <v>IOCL</v>
          </cell>
          <cell r="F1547" t="str">
            <v>2013-14</v>
          </cell>
          <cell r="G1547" t="str">
            <v>Pune Saswad RSA</v>
          </cell>
          <cell r="H1547">
            <v>41486</v>
          </cell>
          <cell r="I1547" t="str">
            <v>PMP/Govt Pers (Open)</v>
          </cell>
          <cell r="J1547" t="str">
            <v>WALCHANDNAGAR-BAVDA ROAD</v>
          </cell>
          <cell r="K1547" t="str">
            <v>Pune</v>
          </cell>
          <cell r="L1547" t="str">
            <v>D2</v>
          </cell>
          <cell r="O1547" t="str">
            <v>B</v>
          </cell>
        </row>
        <row r="1548">
          <cell r="C1548">
            <v>272312</v>
          </cell>
          <cell r="D1548" t="str">
            <v>SHRI SIDDHESHWAR PETROLEUM KSK</v>
          </cell>
          <cell r="E1548" t="str">
            <v>IOCL</v>
          </cell>
          <cell r="F1548" t="str">
            <v>2013-14</v>
          </cell>
          <cell r="G1548" t="str">
            <v>Pune Saswad RSA</v>
          </cell>
          <cell r="H1548">
            <v>41486</v>
          </cell>
          <cell r="I1548" t="str">
            <v>OPEN (W)</v>
          </cell>
          <cell r="J1548" t="str">
            <v>NAIGAON</v>
          </cell>
          <cell r="K1548" t="str">
            <v>Pune</v>
          </cell>
          <cell r="L1548" t="str">
            <v>E</v>
          </cell>
          <cell r="O1548" t="str">
            <v>B</v>
          </cell>
        </row>
        <row r="1549">
          <cell r="C1549">
            <v>272317</v>
          </cell>
          <cell r="D1549" t="str">
            <v>SHRIRAM PETROLEUM KSK</v>
          </cell>
          <cell r="E1549" t="str">
            <v>IOCL</v>
          </cell>
          <cell r="F1549" t="str">
            <v>2013-14</v>
          </cell>
          <cell r="G1549" t="str">
            <v>Pune Wagholi RSA</v>
          </cell>
          <cell r="H1549">
            <v>41486</v>
          </cell>
          <cell r="I1549" t="str">
            <v>OPEN</v>
          </cell>
          <cell r="J1549" t="str">
            <v>Pabal</v>
          </cell>
          <cell r="K1549" t="str">
            <v>Pune</v>
          </cell>
          <cell r="L1549" t="str">
            <v>E</v>
          </cell>
          <cell r="O1549" t="str">
            <v>B</v>
          </cell>
        </row>
        <row r="1550">
          <cell r="C1550">
            <v>272759</v>
          </cell>
          <cell r="D1550" t="str">
            <v>BAVDHAN VIKAS PETROLEUM KSK</v>
          </cell>
          <cell r="E1550" t="str">
            <v>IOCL</v>
          </cell>
          <cell r="F1550" t="str">
            <v>2013-14</v>
          </cell>
          <cell r="G1550" t="str">
            <v>Satara West RSA</v>
          </cell>
          <cell r="H1550">
            <v>41517</v>
          </cell>
          <cell r="I1550" t="str">
            <v>OPEN</v>
          </cell>
          <cell r="J1550" t="str">
            <v>Bavdhan</v>
          </cell>
          <cell r="K1550" t="str">
            <v>Satara</v>
          </cell>
          <cell r="L1550" t="str">
            <v>E</v>
          </cell>
          <cell r="O1550" t="str">
            <v>B</v>
          </cell>
        </row>
        <row r="1551">
          <cell r="C1551">
            <v>272815</v>
          </cell>
          <cell r="D1551" t="str">
            <v>GAJENDRA PETROLEUM</v>
          </cell>
          <cell r="E1551" t="str">
            <v>IOCL</v>
          </cell>
          <cell r="F1551" t="str">
            <v>2013-14</v>
          </cell>
          <cell r="G1551" t="str">
            <v>Satara West RSA</v>
          </cell>
          <cell r="H1551">
            <v>41517</v>
          </cell>
          <cell r="I1551" t="str">
            <v>OPEN</v>
          </cell>
          <cell r="J1551" t="str">
            <v>Khandala to Shirwal</v>
          </cell>
          <cell r="K1551" t="str">
            <v>Satara</v>
          </cell>
          <cell r="L1551" t="str">
            <v>D1</v>
          </cell>
          <cell r="M1551" t="str">
            <v>NH-48</v>
          </cell>
          <cell r="O1551" t="str">
            <v>B</v>
          </cell>
        </row>
        <row r="1552">
          <cell r="C1552">
            <v>272823</v>
          </cell>
          <cell r="D1552" t="str">
            <v>TAWARE PETROLEUM SERVICES</v>
          </cell>
          <cell r="E1552" t="str">
            <v>IOCL</v>
          </cell>
          <cell r="F1552" t="str">
            <v>2013-14</v>
          </cell>
          <cell r="G1552" t="str">
            <v>Pune Tathawade RSA</v>
          </cell>
          <cell r="H1552">
            <v>41517</v>
          </cell>
          <cell r="I1552" t="str">
            <v>OPEN (W)</v>
          </cell>
          <cell r="J1552" t="str">
            <v>BARAMATI PHALTAN ROAD</v>
          </cell>
          <cell r="K1552" t="str">
            <v>Pune</v>
          </cell>
          <cell r="L1552" t="str">
            <v>D1</v>
          </cell>
          <cell r="M1552" t="str">
            <v>NH-160</v>
          </cell>
          <cell r="O1552" t="str">
            <v>B</v>
          </cell>
        </row>
        <row r="1553">
          <cell r="C1553">
            <v>272876</v>
          </cell>
          <cell r="D1553" t="str">
            <v>MAYURESH PETROLEUM</v>
          </cell>
          <cell r="E1553" t="str">
            <v>IOCL</v>
          </cell>
          <cell r="F1553" t="str">
            <v>2013-14</v>
          </cell>
          <cell r="G1553" t="str">
            <v>Pune Saswad RSA</v>
          </cell>
          <cell r="H1553">
            <v>41517</v>
          </cell>
          <cell r="I1553" t="str">
            <v>OPEN</v>
          </cell>
          <cell r="J1553" t="str">
            <v>Bhigwan - Baramati Road</v>
          </cell>
          <cell r="K1553" t="str">
            <v>Pune</v>
          </cell>
          <cell r="L1553" t="str">
            <v>D2</v>
          </cell>
          <cell r="O1553" t="str">
            <v>B</v>
          </cell>
        </row>
        <row r="1554">
          <cell r="C1554">
            <v>272878</v>
          </cell>
          <cell r="D1554" t="str">
            <v>DNYANADA PETROLEUM</v>
          </cell>
          <cell r="E1554" t="str">
            <v>IOCL</v>
          </cell>
          <cell r="F1554" t="str">
            <v>2013-14</v>
          </cell>
          <cell r="G1554" t="str">
            <v>Pimpri Chinchwad RSA</v>
          </cell>
          <cell r="H1554">
            <v>41517</v>
          </cell>
          <cell r="I1554" t="str">
            <v>OPEN (W)</v>
          </cell>
          <cell r="J1554" t="str">
            <v>Rajgurunagar to Ghodegaon</v>
          </cell>
          <cell r="K1554" t="str">
            <v>Pune</v>
          </cell>
          <cell r="L1554" t="str">
            <v>D2</v>
          </cell>
          <cell r="O1554" t="str">
            <v>B</v>
          </cell>
        </row>
        <row r="1555">
          <cell r="C1555">
            <v>273082</v>
          </cell>
          <cell r="D1555" t="str">
            <v>MAULI PETROLEUM KSK</v>
          </cell>
          <cell r="E1555" t="str">
            <v>IOCL</v>
          </cell>
          <cell r="F1555" t="str">
            <v>2013-14</v>
          </cell>
          <cell r="G1555" t="str">
            <v>Pune City RSA</v>
          </cell>
          <cell r="H1555">
            <v>41533</v>
          </cell>
          <cell r="I1555" t="str">
            <v>OPEN (W)</v>
          </cell>
          <cell r="J1555" t="str">
            <v>LOHAGOAN RURAL</v>
          </cell>
          <cell r="K1555" t="str">
            <v>Pune</v>
          </cell>
          <cell r="L1555" t="str">
            <v>A</v>
          </cell>
          <cell r="O1555" t="str">
            <v>B</v>
          </cell>
        </row>
        <row r="1556">
          <cell r="C1556">
            <v>273370</v>
          </cell>
          <cell r="D1556" t="str">
            <v>D S PETROLEUM KSK</v>
          </cell>
          <cell r="E1556" t="str">
            <v>IOCL</v>
          </cell>
          <cell r="F1556" t="str">
            <v>2013-14</v>
          </cell>
          <cell r="G1556" t="str">
            <v>Pimpri Chinchwad RSA</v>
          </cell>
          <cell r="H1556">
            <v>41547</v>
          </cell>
          <cell r="I1556" t="str">
            <v>OPEN (W)</v>
          </cell>
          <cell r="J1556" t="str">
            <v>Kalus</v>
          </cell>
          <cell r="K1556" t="str">
            <v>Pune</v>
          </cell>
          <cell r="L1556" t="str">
            <v>E</v>
          </cell>
          <cell r="O1556" t="str">
            <v>B</v>
          </cell>
        </row>
        <row r="1557">
          <cell r="C1557">
            <v>273395</v>
          </cell>
          <cell r="D1557" t="str">
            <v>SWARAJ PETROLEUM</v>
          </cell>
          <cell r="E1557" t="str">
            <v>IOCL</v>
          </cell>
          <cell r="F1557" t="str">
            <v>2013-14</v>
          </cell>
          <cell r="G1557" t="str">
            <v>Satara East RSA</v>
          </cell>
          <cell r="H1557">
            <v>41547</v>
          </cell>
          <cell r="I1557" t="str">
            <v>OPEN</v>
          </cell>
          <cell r="J1557" t="str">
            <v>Nimbhore RHS</v>
          </cell>
          <cell r="K1557" t="str">
            <v>Satara</v>
          </cell>
          <cell r="L1557" t="str">
            <v>D1</v>
          </cell>
          <cell r="M1557" t="str">
            <v>NH-965</v>
          </cell>
          <cell r="O1557" t="str">
            <v>B</v>
          </cell>
        </row>
        <row r="1558">
          <cell r="C1558">
            <v>273418</v>
          </cell>
          <cell r="D1558" t="str">
            <v>SHRIRAM SAMARTH PETROLEUM</v>
          </cell>
          <cell r="E1558" t="str">
            <v>IOCL</v>
          </cell>
          <cell r="F1558" t="str">
            <v>2013-14</v>
          </cell>
          <cell r="G1558" t="str">
            <v>Pune Tathawade RSA</v>
          </cell>
          <cell r="H1558">
            <v>41547</v>
          </cell>
          <cell r="I1558" t="str">
            <v>OPEN</v>
          </cell>
          <cell r="J1558" t="str">
            <v>BHOR</v>
          </cell>
          <cell r="K1558" t="str">
            <v>Pune</v>
          </cell>
          <cell r="L1558" t="str">
            <v>D1</v>
          </cell>
          <cell r="M1558" t="str">
            <v>NH-965DD</v>
          </cell>
          <cell r="O1558" t="str">
            <v>B</v>
          </cell>
        </row>
        <row r="1559">
          <cell r="C1559">
            <v>273554</v>
          </cell>
          <cell r="D1559" t="str">
            <v>SHITOLE PETROLEUM KSK</v>
          </cell>
          <cell r="E1559" t="str">
            <v>IOCL</v>
          </cell>
          <cell r="F1559" t="str">
            <v>2013-14</v>
          </cell>
          <cell r="G1559" t="str">
            <v>Pune City RSA</v>
          </cell>
          <cell r="H1559">
            <v>41556</v>
          </cell>
          <cell r="I1559" t="str">
            <v>OPEN (W)</v>
          </cell>
          <cell r="J1559" t="str">
            <v>KASARSAI</v>
          </cell>
          <cell r="K1559" t="str">
            <v>Pune</v>
          </cell>
          <cell r="L1559" t="str">
            <v>D2</v>
          </cell>
          <cell r="O1559" t="str">
            <v>B</v>
          </cell>
        </row>
        <row r="1560">
          <cell r="C1560">
            <v>273826</v>
          </cell>
          <cell r="D1560" t="str">
            <v>NIKITA PETROLEUM</v>
          </cell>
          <cell r="E1560" t="str">
            <v>IOCL</v>
          </cell>
          <cell r="F1560" t="str">
            <v>2013-14</v>
          </cell>
          <cell r="G1560" t="str">
            <v>Pune Saswad RSA</v>
          </cell>
          <cell r="H1560">
            <v>41576</v>
          </cell>
          <cell r="I1560" t="str">
            <v>OPEN</v>
          </cell>
          <cell r="J1560" t="str">
            <v>INDAPUR</v>
          </cell>
          <cell r="K1560" t="str">
            <v>Pune</v>
          </cell>
          <cell r="L1560" t="str">
            <v>C</v>
          </cell>
          <cell r="O1560" t="str">
            <v>B</v>
          </cell>
        </row>
        <row r="1561">
          <cell r="C1561">
            <v>273926</v>
          </cell>
          <cell r="D1561" t="str">
            <v>TAMBE &amp; SONS KSK</v>
          </cell>
          <cell r="E1561" t="str">
            <v>IOCL</v>
          </cell>
          <cell r="F1561" t="str">
            <v>2013-14</v>
          </cell>
          <cell r="G1561" t="str">
            <v>Ahmednagar East RSA</v>
          </cell>
          <cell r="H1561">
            <v>41578</v>
          </cell>
          <cell r="I1561" t="str">
            <v>OPEN</v>
          </cell>
          <cell r="J1561" t="str">
            <v>Sonai</v>
          </cell>
          <cell r="K1561" t="str">
            <v>Ahmednagar</v>
          </cell>
          <cell r="L1561" t="str">
            <v>D1</v>
          </cell>
          <cell r="M1561" t="str">
            <v>NH-160C</v>
          </cell>
          <cell r="O1561" t="str">
            <v>B</v>
          </cell>
        </row>
        <row r="1562">
          <cell r="C1562">
            <v>274012</v>
          </cell>
          <cell r="D1562" t="str">
            <v>VEER PETROLEUM,</v>
          </cell>
          <cell r="E1562" t="str">
            <v>IOCL</v>
          </cell>
          <cell r="F1562" t="str">
            <v>2013-14</v>
          </cell>
          <cell r="G1562" t="str">
            <v>Pune Tathawade RSA</v>
          </cell>
          <cell r="H1562">
            <v>41578</v>
          </cell>
          <cell r="I1562" t="str">
            <v>OPEN</v>
          </cell>
          <cell r="J1562" t="str">
            <v>HARISHCHANDRI TO KHED SHIVAPUR</v>
          </cell>
          <cell r="K1562" t="str">
            <v>Pune</v>
          </cell>
          <cell r="L1562" t="str">
            <v>D1</v>
          </cell>
          <cell r="M1562" t="str">
            <v>NH-48</v>
          </cell>
          <cell r="O1562" t="str">
            <v>A</v>
          </cell>
        </row>
        <row r="1563">
          <cell r="C1563">
            <v>274584</v>
          </cell>
          <cell r="D1563" t="str">
            <v>INDU PETROLEUM KSK</v>
          </cell>
          <cell r="E1563" t="str">
            <v>IOCL</v>
          </cell>
          <cell r="F1563" t="str">
            <v>2013-14</v>
          </cell>
          <cell r="G1563" t="str">
            <v>Ahmednagar East RSA</v>
          </cell>
          <cell r="H1563">
            <v>41608</v>
          </cell>
          <cell r="I1563" t="str">
            <v>OPEN (W)</v>
          </cell>
          <cell r="J1563" t="str">
            <v>WAMBHORI</v>
          </cell>
          <cell r="K1563" t="str">
            <v>Ahmednagar</v>
          </cell>
          <cell r="L1563" t="str">
            <v>E</v>
          </cell>
          <cell r="O1563" t="str">
            <v>B</v>
          </cell>
        </row>
        <row r="1564">
          <cell r="C1564">
            <v>274636</v>
          </cell>
          <cell r="D1564" t="str">
            <v>DHARMNATH PETROLEUM</v>
          </cell>
          <cell r="E1564" t="str">
            <v>IOCL</v>
          </cell>
          <cell r="F1564" t="str">
            <v>2013-14</v>
          </cell>
          <cell r="G1564" t="str">
            <v>Ahmednagar West RSA</v>
          </cell>
          <cell r="H1564">
            <v>41608</v>
          </cell>
          <cell r="I1564" t="str">
            <v>OPEN</v>
          </cell>
          <cell r="J1564" t="str">
            <v>JAWALA</v>
          </cell>
          <cell r="K1564" t="str">
            <v>Ahmednagar</v>
          </cell>
          <cell r="L1564" t="str">
            <v>D1</v>
          </cell>
          <cell r="M1564" t="str">
            <v>NH-761</v>
          </cell>
          <cell r="O1564" t="str">
            <v>B</v>
          </cell>
        </row>
        <row r="1565">
          <cell r="C1565">
            <v>274637</v>
          </cell>
          <cell r="D1565" t="str">
            <v>OM NATH PETROL PUMP</v>
          </cell>
          <cell r="E1565" t="str">
            <v>IOCL</v>
          </cell>
          <cell r="F1565" t="str">
            <v>2013-14</v>
          </cell>
          <cell r="G1565" t="str">
            <v>Ahmednagar West RSA</v>
          </cell>
          <cell r="H1565">
            <v>41608</v>
          </cell>
          <cell r="I1565" t="str">
            <v>OPEN</v>
          </cell>
          <cell r="J1565" t="str">
            <v>Ghogargoan</v>
          </cell>
          <cell r="K1565" t="str">
            <v>Ahmednagar</v>
          </cell>
          <cell r="L1565" t="str">
            <v>D1</v>
          </cell>
          <cell r="M1565" t="str">
            <v>NH-561A</v>
          </cell>
          <cell r="O1565" t="str">
            <v>B</v>
          </cell>
        </row>
        <row r="1566">
          <cell r="C1566">
            <v>275174</v>
          </cell>
          <cell r="D1566" t="str">
            <v>KRISHI UTPANNA BAZAAR SAM KSK</v>
          </cell>
          <cell r="E1566" t="str">
            <v>IOCL</v>
          </cell>
          <cell r="F1566" t="str">
            <v>2013-14</v>
          </cell>
          <cell r="G1566" t="str">
            <v>Pimpri Chinchwad RSA</v>
          </cell>
          <cell r="H1566">
            <v>41639</v>
          </cell>
          <cell r="I1566" t="str">
            <v>OPEN</v>
          </cell>
          <cell r="J1566" t="str">
            <v>Pait</v>
          </cell>
          <cell r="K1566" t="str">
            <v>Pune</v>
          </cell>
          <cell r="L1566" t="str">
            <v>E</v>
          </cell>
          <cell r="O1566" t="str">
            <v>B</v>
          </cell>
        </row>
        <row r="1567">
          <cell r="C1567">
            <v>275203</v>
          </cell>
          <cell r="D1567" t="str">
            <v>SHREE SAI DATTA KISAN SEVA KEN</v>
          </cell>
          <cell r="E1567" t="str">
            <v>IOCL</v>
          </cell>
          <cell r="F1567" t="str">
            <v>2013-14</v>
          </cell>
          <cell r="G1567" t="str">
            <v>Pune City RSA</v>
          </cell>
          <cell r="H1567">
            <v>41639</v>
          </cell>
          <cell r="I1567" t="str">
            <v>OPEN</v>
          </cell>
          <cell r="J1567" t="str">
            <v>GHOTAWADE</v>
          </cell>
          <cell r="K1567" t="str">
            <v>Pune</v>
          </cell>
          <cell r="L1567" t="str">
            <v>D2</v>
          </cell>
          <cell r="O1567" t="str">
            <v>B</v>
          </cell>
        </row>
        <row r="1568">
          <cell r="C1568">
            <v>386713</v>
          </cell>
          <cell r="D1568" t="str">
            <v>COCO BALUPATLACHIWADI ADHOC BACHAL (BAGWAN PETROLEUM-275207)</v>
          </cell>
          <cell r="E1568" t="str">
            <v>IOCL</v>
          </cell>
          <cell r="F1568" t="str">
            <v>2013-14</v>
          </cell>
          <cell r="G1568" t="str">
            <v>Satara East RSA</v>
          </cell>
          <cell r="H1568">
            <v>41639</v>
          </cell>
          <cell r="I1568" t="str">
            <v>OPEN (W)</v>
          </cell>
          <cell r="J1568" t="str">
            <v>Lonand</v>
          </cell>
          <cell r="K1568" t="str">
            <v>Satara</v>
          </cell>
          <cell r="L1568" t="str">
            <v>D1</v>
          </cell>
          <cell r="M1568" t="str">
            <v>NH-965D</v>
          </cell>
          <cell r="O1568" t="str">
            <v>B</v>
          </cell>
        </row>
        <row r="1569">
          <cell r="C1569">
            <v>275379</v>
          </cell>
          <cell r="D1569" t="str">
            <v>BHAMA PETROLEUM</v>
          </cell>
          <cell r="E1569" t="str">
            <v>IOCL</v>
          </cell>
          <cell r="F1569" t="str">
            <v>2013-14</v>
          </cell>
          <cell r="G1569" t="str">
            <v>Pimpri Chinchwad RSA</v>
          </cell>
          <cell r="H1569">
            <v>41639</v>
          </cell>
          <cell r="I1569" t="str">
            <v>OPEN (W)</v>
          </cell>
          <cell r="J1569" t="str">
            <v>Dawadmala</v>
          </cell>
          <cell r="K1569" t="str">
            <v>Pune</v>
          </cell>
          <cell r="L1569" t="str">
            <v>C</v>
          </cell>
          <cell r="O1569" t="str">
            <v>B</v>
          </cell>
        </row>
        <row r="1570">
          <cell r="C1570">
            <v>275380</v>
          </cell>
          <cell r="D1570" t="str">
            <v>SHREE SRUSHTI PETROLEUM</v>
          </cell>
          <cell r="E1570" t="str">
            <v>IOCL</v>
          </cell>
          <cell r="F1570" t="str">
            <v>2013-14</v>
          </cell>
          <cell r="G1570" t="str">
            <v>Satara West RSA</v>
          </cell>
          <cell r="H1570">
            <v>41639</v>
          </cell>
          <cell r="I1570" t="str">
            <v>OPEN</v>
          </cell>
          <cell r="J1570" t="str">
            <v>Satara to Bhuinj</v>
          </cell>
          <cell r="K1570" t="str">
            <v>Satara</v>
          </cell>
          <cell r="L1570" t="str">
            <v>D1</v>
          </cell>
          <cell r="M1570" t="str">
            <v>NH-48</v>
          </cell>
          <cell r="O1570" t="str">
            <v>B</v>
          </cell>
        </row>
        <row r="1571">
          <cell r="C1571">
            <v>275849</v>
          </cell>
          <cell r="D1571" t="str">
            <v>VENKATESHWARA PETROLEUM KSK</v>
          </cell>
          <cell r="E1571" t="str">
            <v>IOCL</v>
          </cell>
          <cell r="F1571" t="str">
            <v>2013-14</v>
          </cell>
          <cell r="G1571" t="str">
            <v>Pimpri Chinchwad RSA</v>
          </cell>
          <cell r="H1571">
            <v>41670</v>
          </cell>
          <cell r="I1571" t="str">
            <v>OPEN</v>
          </cell>
          <cell r="J1571" t="str">
            <v>Takve Budruk</v>
          </cell>
          <cell r="K1571" t="str">
            <v>Pune</v>
          </cell>
          <cell r="L1571" t="str">
            <v>E</v>
          </cell>
          <cell r="O1571" t="str">
            <v>B</v>
          </cell>
        </row>
        <row r="1572">
          <cell r="C1572">
            <v>383650</v>
          </cell>
          <cell r="D1572" t="str">
            <v>COCO DEVLALI (275980 SANKHESHWAR PETROLEUM)</v>
          </cell>
          <cell r="E1572" t="str">
            <v>IOCL</v>
          </cell>
          <cell r="F1572" t="str">
            <v>2013-14</v>
          </cell>
          <cell r="G1572" t="str">
            <v>Shirdi RSA</v>
          </cell>
          <cell r="H1572">
            <v>41670</v>
          </cell>
          <cell r="I1572" t="str">
            <v>OPEN (W)</v>
          </cell>
          <cell r="J1572" t="str">
            <v>RAHURI FACTORY LHS</v>
          </cell>
          <cell r="K1572" t="str">
            <v>Ahmednagar</v>
          </cell>
          <cell r="L1572" t="str">
            <v>D1</v>
          </cell>
          <cell r="M1572" t="str">
            <v>NH-160</v>
          </cell>
          <cell r="O1572" t="str">
            <v>B</v>
          </cell>
        </row>
        <row r="1573">
          <cell r="C1573">
            <v>276583</v>
          </cell>
          <cell r="D1573" t="str">
            <v>UMA PETROLEUM</v>
          </cell>
          <cell r="E1573" t="str">
            <v>IOCL</v>
          </cell>
          <cell r="F1573" t="str">
            <v>2013-14</v>
          </cell>
          <cell r="G1573" t="str">
            <v>Satara West RSA</v>
          </cell>
          <cell r="H1573">
            <v>41698</v>
          </cell>
          <cell r="I1573" t="str">
            <v>OPEN (W)</v>
          </cell>
          <cell r="J1573" t="str">
            <v>MALHARPETH TO NADE</v>
          </cell>
          <cell r="K1573" t="str">
            <v>Satara</v>
          </cell>
          <cell r="L1573" t="str">
            <v>D1</v>
          </cell>
          <cell r="M1573" t="str">
            <v>NH-166E</v>
          </cell>
          <cell r="O1573" t="str">
            <v>B</v>
          </cell>
        </row>
        <row r="1574">
          <cell r="C1574">
            <v>276635</v>
          </cell>
          <cell r="D1574" t="str">
            <v>YASHODA PETROLEUM</v>
          </cell>
          <cell r="E1574" t="str">
            <v>IOCL</v>
          </cell>
          <cell r="F1574" t="str">
            <v>2013-14</v>
          </cell>
          <cell r="G1574" t="str">
            <v>Pune Hadapsar RSA</v>
          </cell>
          <cell r="H1574">
            <v>41698</v>
          </cell>
          <cell r="I1574" t="str">
            <v>OPEN</v>
          </cell>
          <cell r="J1574" t="str">
            <v>Yawat RHS</v>
          </cell>
          <cell r="K1574" t="str">
            <v>Pune</v>
          </cell>
          <cell r="L1574" t="str">
            <v>D1</v>
          </cell>
          <cell r="M1574" t="str">
            <v>NH-65</v>
          </cell>
          <cell r="O1574" t="str">
            <v>B</v>
          </cell>
        </row>
        <row r="1575">
          <cell r="C1575">
            <v>276665</v>
          </cell>
          <cell r="D1575" t="str">
            <v>SHRI DHANAI PETROLEUM</v>
          </cell>
          <cell r="E1575" t="str">
            <v>IOCL</v>
          </cell>
          <cell r="F1575" t="str">
            <v>2013-14</v>
          </cell>
          <cell r="G1575" t="str">
            <v>Satara West RSA</v>
          </cell>
          <cell r="H1575">
            <v>41698</v>
          </cell>
          <cell r="I1575" t="str">
            <v>OPEN</v>
          </cell>
          <cell r="J1575" t="str">
            <v>Karad Shenoli Road</v>
          </cell>
          <cell r="K1575" t="str">
            <v>Satara</v>
          </cell>
          <cell r="L1575" t="str">
            <v>D1</v>
          </cell>
          <cell r="M1575" t="str">
            <v>NH-266</v>
          </cell>
          <cell r="O1575" t="str">
            <v>B</v>
          </cell>
        </row>
        <row r="1576">
          <cell r="C1576">
            <v>276696</v>
          </cell>
          <cell r="D1576" t="str">
            <v>SHRI SIDDHIVINAYAK PET. KSK</v>
          </cell>
          <cell r="E1576" t="str">
            <v>IOCL</v>
          </cell>
          <cell r="F1576" t="str">
            <v>2013-14</v>
          </cell>
          <cell r="G1576" t="str">
            <v>Ahmednagar West RSA</v>
          </cell>
          <cell r="H1576">
            <v>41698</v>
          </cell>
          <cell r="I1576" t="str">
            <v>PHP (W)</v>
          </cell>
          <cell r="J1576" t="str">
            <v>Ambijalgaon</v>
          </cell>
          <cell r="K1576" t="str">
            <v>Ahmednagar</v>
          </cell>
          <cell r="L1576" t="str">
            <v>D2</v>
          </cell>
          <cell r="O1576" t="str">
            <v>B</v>
          </cell>
        </row>
        <row r="1577">
          <cell r="C1577">
            <v>276717</v>
          </cell>
          <cell r="D1577" t="str">
            <v>SAI PUJA PETROLEUM</v>
          </cell>
          <cell r="E1577" t="str">
            <v>IOCL</v>
          </cell>
          <cell r="F1577" t="str">
            <v>2013-14</v>
          </cell>
          <cell r="G1577" t="str">
            <v>Pune Wagholi RSA</v>
          </cell>
          <cell r="H1577">
            <v>41698</v>
          </cell>
          <cell r="I1577" t="str">
            <v>OPEN</v>
          </cell>
          <cell r="J1577" t="str">
            <v>Pargaon Tarfe</v>
          </cell>
          <cell r="K1577" t="str">
            <v>Pune</v>
          </cell>
          <cell r="L1577" t="str">
            <v>E</v>
          </cell>
          <cell r="O1577" t="str">
            <v>B</v>
          </cell>
        </row>
        <row r="1578">
          <cell r="C1578">
            <v>277396</v>
          </cell>
          <cell r="D1578" t="str">
            <v>ANAND PETROLEUM</v>
          </cell>
          <cell r="E1578" t="str">
            <v>IOCL</v>
          </cell>
          <cell r="F1578" t="str">
            <v>2013-14</v>
          </cell>
          <cell r="G1578" t="str">
            <v>Pune Saswad RSA</v>
          </cell>
          <cell r="H1578">
            <v>41729</v>
          </cell>
          <cell r="I1578" t="str">
            <v>OPEN</v>
          </cell>
          <cell r="J1578" t="str">
            <v>Bhigwan - Baramati Road</v>
          </cell>
          <cell r="K1578" t="str">
            <v>Pune</v>
          </cell>
          <cell r="L1578" t="str">
            <v>D2</v>
          </cell>
          <cell r="O1578" t="str">
            <v>B</v>
          </cell>
        </row>
        <row r="1579">
          <cell r="C1579">
            <v>277399</v>
          </cell>
          <cell r="D1579" t="str">
            <v>SONAI PETROLEUM SERVICES</v>
          </cell>
          <cell r="E1579" t="str">
            <v>IOCL</v>
          </cell>
          <cell r="F1579" t="str">
            <v>2013-14</v>
          </cell>
          <cell r="G1579" t="str">
            <v>Pune Saswad RSA</v>
          </cell>
          <cell r="H1579">
            <v>41728</v>
          </cell>
          <cell r="I1579" t="str">
            <v>OPEN (W)</v>
          </cell>
          <cell r="J1579" t="str">
            <v>HINGANGAON</v>
          </cell>
          <cell r="K1579" t="str">
            <v>Pune</v>
          </cell>
          <cell r="L1579" t="str">
            <v>D1</v>
          </cell>
          <cell r="M1579" t="str">
            <v>NH-65</v>
          </cell>
          <cell r="O1579" t="str">
            <v>B</v>
          </cell>
        </row>
        <row r="1580">
          <cell r="C1580">
            <v>277554</v>
          </cell>
          <cell r="D1580" t="str">
            <v>VISHWAS PETROLEUM KSK</v>
          </cell>
          <cell r="E1580" t="str">
            <v>IOCL</v>
          </cell>
          <cell r="F1580" t="str">
            <v>2013-14</v>
          </cell>
          <cell r="G1580" t="str">
            <v>Pune Hadapsar RSA</v>
          </cell>
          <cell r="H1580">
            <v>41729</v>
          </cell>
          <cell r="I1580" t="str">
            <v>OPEN</v>
          </cell>
          <cell r="J1580" t="str">
            <v>DAUND</v>
          </cell>
          <cell r="K1580" t="str">
            <v>Pune</v>
          </cell>
          <cell r="L1580" t="str">
            <v>D2</v>
          </cell>
          <cell r="O1580" t="str">
            <v>B</v>
          </cell>
        </row>
        <row r="1581">
          <cell r="C1581">
            <v>277559</v>
          </cell>
          <cell r="D1581" t="str">
            <v>SHIVRAJ PETROLEUM</v>
          </cell>
          <cell r="E1581" t="str">
            <v>IOCL</v>
          </cell>
          <cell r="F1581" t="str">
            <v>2013-14</v>
          </cell>
          <cell r="G1581" t="str">
            <v>Pune Tathawade RSA</v>
          </cell>
          <cell r="H1581">
            <v>41728</v>
          </cell>
          <cell r="I1581" t="str">
            <v>OPEN</v>
          </cell>
          <cell r="J1581" t="str">
            <v>BHOR</v>
          </cell>
          <cell r="K1581" t="str">
            <v>Pune</v>
          </cell>
          <cell r="L1581" t="str">
            <v>D1</v>
          </cell>
          <cell r="M1581" t="str">
            <v>NH-965DD</v>
          </cell>
          <cell r="O1581" t="str">
            <v>B</v>
          </cell>
        </row>
        <row r="1582">
          <cell r="C1582">
            <v>277563</v>
          </cell>
          <cell r="D1582" t="str">
            <v>GHOSALE PETROLEUM</v>
          </cell>
          <cell r="E1582" t="str">
            <v>IOCL</v>
          </cell>
          <cell r="F1582" t="str">
            <v>2013-14</v>
          </cell>
          <cell r="G1582" t="str">
            <v>Pune Tathawade RSA</v>
          </cell>
          <cell r="H1582">
            <v>41729</v>
          </cell>
          <cell r="I1582" t="str">
            <v>OPEN (W)</v>
          </cell>
          <cell r="J1582" t="str">
            <v>KAPURHOL TO SAROLA</v>
          </cell>
          <cell r="K1582" t="str">
            <v>Pune</v>
          </cell>
          <cell r="L1582" t="str">
            <v>D1</v>
          </cell>
          <cell r="M1582" t="str">
            <v>NH-48</v>
          </cell>
          <cell r="O1582" t="str">
            <v>A</v>
          </cell>
        </row>
        <row r="1583">
          <cell r="C1583">
            <v>277568</v>
          </cell>
          <cell r="D1583" t="str">
            <v>Shri Ambika Petroleum KSK</v>
          </cell>
          <cell r="E1583" t="str">
            <v>IOCL</v>
          </cell>
          <cell r="F1583" t="str">
            <v>2014-15</v>
          </cell>
          <cell r="G1583" t="str">
            <v>Satara East RSA</v>
          </cell>
          <cell r="H1583">
            <v>41912</v>
          </cell>
          <cell r="I1583" t="str">
            <v>OPEN (W)</v>
          </cell>
          <cell r="J1583" t="str">
            <v>WATHAR KIROLI</v>
          </cell>
          <cell r="K1583" t="str">
            <v>Satara</v>
          </cell>
          <cell r="L1583" t="str">
            <v>E</v>
          </cell>
          <cell r="O1583" t="str">
            <v>B</v>
          </cell>
        </row>
        <row r="1584">
          <cell r="C1584">
            <v>277636</v>
          </cell>
          <cell r="D1584" t="str">
            <v>GAYATRI PETROLEUM KSK</v>
          </cell>
          <cell r="E1584" t="str">
            <v>IOCL</v>
          </cell>
          <cell r="F1584" t="str">
            <v>2013-14</v>
          </cell>
          <cell r="G1584" t="str">
            <v>Pune City RSA</v>
          </cell>
          <cell r="H1584">
            <v>41728</v>
          </cell>
          <cell r="I1584" t="str">
            <v>OPEN</v>
          </cell>
          <cell r="J1584" t="str">
            <v>HINJEWADI MANN ROAD</v>
          </cell>
          <cell r="K1584" t="str">
            <v>Pune</v>
          </cell>
          <cell r="L1584" t="str">
            <v>A</v>
          </cell>
          <cell r="O1584" t="str">
            <v>B</v>
          </cell>
        </row>
        <row r="1585">
          <cell r="C1585">
            <v>278146</v>
          </cell>
          <cell r="D1585" t="str">
            <v>SADGURU PETROLEUM</v>
          </cell>
          <cell r="E1585" t="str">
            <v>IOCL</v>
          </cell>
          <cell r="F1585" t="str">
            <v>2014-15</v>
          </cell>
          <cell r="G1585" t="str">
            <v>Satara West RSA</v>
          </cell>
          <cell r="H1585">
            <v>41759</v>
          </cell>
          <cell r="I1585" t="str">
            <v>OPEN</v>
          </cell>
          <cell r="J1585" t="str">
            <v>Khandala to Shirwal</v>
          </cell>
          <cell r="K1585" t="str">
            <v>Satara</v>
          </cell>
          <cell r="L1585" t="str">
            <v>D1</v>
          </cell>
          <cell r="M1585" t="str">
            <v>NH-48</v>
          </cell>
          <cell r="O1585" t="str">
            <v>B</v>
          </cell>
        </row>
        <row r="1586">
          <cell r="C1586">
            <v>278147</v>
          </cell>
          <cell r="D1586" t="str">
            <v>P G PETROLEUM</v>
          </cell>
          <cell r="E1586" t="str">
            <v>IOCL</v>
          </cell>
          <cell r="F1586" t="str">
            <v>2014-15</v>
          </cell>
          <cell r="G1586" t="str">
            <v>Satara East RSA</v>
          </cell>
          <cell r="H1586">
            <v>41759</v>
          </cell>
          <cell r="I1586" t="str">
            <v>OPEN</v>
          </cell>
          <cell r="J1586" t="str">
            <v>Wakalwadi</v>
          </cell>
          <cell r="K1586" t="str">
            <v>Satara</v>
          </cell>
          <cell r="L1586" t="str">
            <v>D2</v>
          </cell>
          <cell r="O1586" t="str">
            <v>B</v>
          </cell>
        </row>
        <row r="1587">
          <cell r="C1587">
            <v>278694</v>
          </cell>
          <cell r="D1587" t="str">
            <v>Shri Gajanan Maharaj Petroleum</v>
          </cell>
          <cell r="E1587" t="str">
            <v>IOCL</v>
          </cell>
          <cell r="F1587" t="str">
            <v>2014-15</v>
          </cell>
          <cell r="G1587" t="str">
            <v>Pune Saswad RSA</v>
          </cell>
          <cell r="H1587">
            <v>41790</v>
          </cell>
          <cell r="I1587" t="str">
            <v>OPEN (W)</v>
          </cell>
          <cell r="J1587" t="str">
            <v>INDAPUR</v>
          </cell>
          <cell r="K1587" t="str">
            <v>Pune</v>
          </cell>
          <cell r="L1587" t="str">
            <v>C</v>
          </cell>
          <cell r="O1587" t="str">
            <v>B</v>
          </cell>
        </row>
        <row r="1588">
          <cell r="C1588">
            <v>278696</v>
          </cell>
          <cell r="D1588" t="str">
            <v>Kaka Tambe Petroleum</v>
          </cell>
          <cell r="E1588" t="str">
            <v>IOCL</v>
          </cell>
          <cell r="F1588" t="str">
            <v>2014-15</v>
          </cell>
          <cell r="G1588" t="str">
            <v>Ahmednagar East RSA</v>
          </cell>
          <cell r="H1588">
            <v>41790</v>
          </cell>
          <cell r="I1588" t="str">
            <v>OPEN (W)</v>
          </cell>
          <cell r="J1588" t="str">
            <v>WAMBHORI PHATA ON NH160</v>
          </cell>
          <cell r="K1588" t="str">
            <v>Ahmednagar</v>
          </cell>
          <cell r="L1588" t="str">
            <v>D1</v>
          </cell>
          <cell r="M1588" t="str">
            <v>NH-160</v>
          </cell>
          <cell r="O1588" t="str">
            <v>B</v>
          </cell>
        </row>
        <row r="1589">
          <cell r="C1589">
            <v>279185</v>
          </cell>
          <cell r="D1589" t="str">
            <v>SHREE SAI PETROLEUM</v>
          </cell>
          <cell r="E1589" t="str">
            <v>IOCL</v>
          </cell>
          <cell r="F1589" t="str">
            <v>2014-15</v>
          </cell>
          <cell r="G1589" t="str">
            <v>Pune Saswad RSA</v>
          </cell>
          <cell r="H1589">
            <v>41820</v>
          </cell>
          <cell r="I1589" t="str">
            <v>OPEN (W)</v>
          </cell>
          <cell r="J1589" t="str">
            <v>badalwadi</v>
          </cell>
          <cell r="K1589" t="str">
            <v>Pune</v>
          </cell>
          <cell r="L1589" t="str">
            <v>D1</v>
          </cell>
          <cell r="M1589" t="str">
            <v>NH-65</v>
          </cell>
          <cell r="O1589" t="str">
            <v>B</v>
          </cell>
        </row>
        <row r="1590">
          <cell r="C1590">
            <v>279738</v>
          </cell>
          <cell r="D1590" t="str">
            <v>S R MOTE FUEL STATION</v>
          </cell>
          <cell r="E1590" t="str">
            <v>IOCL</v>
          </cell>
          <cell r="F1590" t="str">
            <v>2014-15</v>
          </cell>
          <cell r="G1590" t="str">
            <v>Ahmednagar East RSA</v>
          </cell>
          <cell r="H1590">
            <v>41851</v>
          </cell>
          <cell r="I1590" t="str">
            <v>OPEN (W)</v>
          </cell>
          <cell r="J1590" t="str">
            <v>Kangoni</v>
          </cell>
          <cell r="K1590" t="str">
            <v>Ahmednagar</v>
          </cell>
          <cell r="L1590" t="str">
            <v>D1</v>
          </cell>
          <cell r="M1590" t="str">
            <v>NH-753F</v>
          </cell>
          <cell r="O1590" t="str">
            <v>B</v>
          </cell>
        </row>
        <row r="1591">
          <cell r="C1591">
            <v>280151</v>
          </cell>
          <cell r="D1591" t="str">
            <v>Sathe Petroleum</v>
          </cell>
          <cell r="E1591" t="str">
            <v>IOCL</v>
          </cell>
          <cell r="F1591" t="str">
            <v>2014-15</v>
          </cell>
          <cell r="G1591" t="str">
            <v>Pune Hadapsar RSA</v>
          </cell>
          <cell r="H1591">
            <v>41881</v>
          </cell>
          <cell r="I1591" t="str">
            <v>OPEN</v>
          </cell>
          <cell r="J1591" t="str">
            <v>Nagargaon</v>
          </cell>
          <cell r="K1591" t="str">
            <v>Pune</v>
          </cell>
          <cell r="L1591" t="str">
            <v>D2</v>
          </cell>
          <cell r="O1591" t="str">
            <v>B</v>
          </cell>
        </row>
        <row r="1592">
          <cell r="C1592">
            <v>280302</v>
          </cell>
          <cell r="D1592" t="str">
            <v>Malhar Petrol Centre</v>
          </cell>
          <cell r="E1592" t="str">
            <v>IOCL</v>
          </cell>
          <cell r="F1592" t="str">
            <v>2014-15</v>
          </cell>
          <cell r="G1592" t="str">
            <v>Pune Hadapsar RSA</v>
          </cell>
          <cell r="H1592">
            <v>41882</v>
          </cell>
          <cell r="I1592" t="str">
            <v>OPEN (W)</v>
          </cell>
          <cell r="J1592" t="str">
            <v>SHINDAWANE</v>
          </cell>
          <cell r="K1592" t="str">
            <v>Pune</v>
          </cell>
          <cell r="L1592" t="str">
            <v>D2</v>
          </cell>
          <cell r="O1592" t="str">
            <v>B</v>
          </cell>
        </row>
        <row r="1593">
          <cell r="C1593">
            <v>280303</v>
          </cell>
          <cell r="D1593" t="str">
            <v>Shreenath Petroleum</v>
          </cell>
          <cell r="E1593" t="str">
            <v>IOCL</v>
          </cell>
          <cell r="F1593" t="str">
            <v>2014-15</v>
          </cell>
          <cell r="G1593" t="str">
            <v>Pune Saswad RSA</v>
          </cell>
          <cell r="H1593">
            <v>41882</v>
          </cell>
          <cell r="I1593" t="str">
            <v>OPEN</v>
          </cell>
          <cell r="J1593" t="str">
            <v>HINGANGAON</v>
          </cell>
          <cell r="K1593" t="str">
            <v>Pune</v>
          </cell>
          <cell r="L1593" t="str">
            <v>D1</v>
          </cell>
          <cell r="M1593" t="str">
            <v>NH-65</v>
          </cell>
          <cell r="O1593" t="str">
            <v>B</v>
          </cell>
        </row>
        <row r="1594">
          <cell r="C1594">
            <v>280306</v>
          </cell>
          <cell r="D1594" t="str">
            <v>Yash Ganga Petroleum</v>
          </cell>
          <cell r="E1594" t="str">
            <v>IOCL</v>
          </cell>
          <cell r="F1594" t="str">
            <v>2014-15</v>
          </cell>
          <cell r="G1594" t="str">
            <v>Satara East RSA</v>
          </cell>
          <cell r="H1594">
            <v>41911</v>
          </cell>
          <cell r="I1594" t="str">
            <v>OPEN</v>
          </cell>
          <cell r="J1594" t="str">
            <v>Lonand Shirval Road</v>
          </cell>
          <cell r="K1594" t="str">
            <v>Satara</v>
          </cell>
          <cell r="L1594" t="str">
            <v>D1</v>
          </cell>
          <cell r="M1594" t="str">
            <v>NH-965DD</v>
          </cell>
          <cell r="O1594" t="str">
            <v>B</v>
          </cell>
        </row>
        <row r="1595">
          <cell r="C1595">
            <v>280994</v>
          </cell>
          <cell r="D1595" t="str">
            <v>Subhodini Petroleum</v>
          </cell>
          <cell r="E1595" t="str">
            <v>IOCL</v>
          </cell>
          <cell r="F1595" t="str">
            <v>2014-15</v>
          </cell>
          <cell r="G1595" t="str">
            <v>Ahmednagar East RSA</v>
          </cell>
          <cell r="H1595">
            <v>41912</v>
          </cell>
          <cell r="I1595" t="str">
            <v>OPEN (W)</v>
          </cell>
          <cell r="J1595" t="str">
            <v>Nagar-Manmad Bypass</v>
          </cell>
          <cell r="K1595" t="str">
            <v>Ahmednagar</v>
          </cell>
          <cell r="L1595" t="str">
            <v>D1</v>
          </cell>
          <cell r="M1595" t="str">
            <v>NH-160</v>
          </cell>
          <cell r="O1595" t="str">
            <v>B</v>
          </cell>
        </row>
        <row r="1596">
          <cell r="C1596">
            <v>281539</v>
          </cell>
          <cell r="D1596" t="str">
            <v>BACHAL PETROELUM</v>
          </cell>
          <cell r="E1596" t="str">
            <v>IOCL</v>
          </cell>
          <cell r="F1596" t="str">
            <v>2014-15</v>
          </cell>
          <cell r="G1596" t="str">
            <v>Satara East RSA</v>
          </cell>
          <cell r="H1596">
            <v>41943</v>
          </cell>
          <cell r="I1596" t="str">
            <v>OPEN</v>
          </cell>
          <cell r="J1596" t="str">
            <v>Koregaon</v>
          </cell>
          <cell r="K1596" t="str">
            <v>Satara</v>
          </cell>
          <cell r="L1596" t="str">
            <v>D1</v>
          </cell>
          <cell r="M1596" t="str">
            <v>NH-548C</v>
          </cell>
          <cell r="O1596" t="str">
            <v>B</v>
          </cell>
        </row>
        <row r="1597">
          <cell r="C1597">
            <v>282170</v>
          </cell>
          <cell r="D1597" t="str">
            <v>TRIMURTI PETROLEUM</v>
          </cell>
          <cell r="E1597" t="str">
            <v>IOCL</v>
          </cell>
          <cell r="F1597" t="str">
            <v>2014-15</v>
          </cell>
          <cell r="G1597" t="str">
            <v>Satara West RSA</v>
          </cell>
          <cell r="H1597">
            <v>41974</v>
          </cell>
          <cell r="I1597" t="str">
            <v>OPEN</v>
          </cell>
          <cell r="J1597" t="str">
            <v>Satara City</v>
          </cell>
          <cell r="K1597" t="str">
            <v>Satara</v>
          </cell>
          <cell r="L1597" t="str">
            <v>C</v>
          </cell>
          <cell r="O1597" t="str">
            <v>B</v>
          </cell>
        </row>
        <row r="1598">
          <cell r="C1598">
            <v>282740</v>
          </cell>
          <cell r="D1598" t="str">
            <v>SHIV KAILASH PETROLEUM</v>
          </cell>
          <cell r="E1598" t="str">
            <v>IOCL</v>
          </cell>
          <cell r="F1598" t="str">
            <v>2014-15</v>
          </cell>
          <cell r="G1598" t="str">
            <v>Pune Saswad RSA</v>
          </cell>
          <cell r="H1598">
            <v>42004</v>
          </cell>
          <cell r="I1598" t="str">
            <v>OPEN</v>
          </cell>
          <cell r="J1598" t="str">
            <v>Jejuri Morgaon Road</v>
          </cell>
          <cell r="K1598" t="str">
            <v>Pune</v>
          </cell>
          <cell r="L1598" t="str">
            <v>D2</v>
          </cell>
          <cell r="O1598" t="str">
            <v>B</v>
          </cell>
        </row>
        <row r="1599">
          <cell r="C1599">
            <v>282747</v>
          </cell>
          <cell r="D1599" t="str">
            <v>RAMKUVAR PETROLEUM</v>
          </cell>
          <cell r="E1599" t="str">
            <v>IOCL</v>
          </cell>
          <cell r="F1599" t="str">
            <v>2014-15</v>
          </cell>
          <cell r="G1599" t="str">
            <v>Pune Saswad RSA</v>
          </cell>
          <cell r="H1599">
            <v>42004</v>
          </cell>
          <cell r="I1599" t="str">
            <v>OPEN</v>
          </cell>
          <cell r="J1599" t="str">
            <v>walhe</v>
          </cell>
          <cell r="K1599" t="str">
            <v>Pune</v>
          </cell>
          <cell r="L1599" t="str">
            <v>D1</v>
          </cell>
          <cell r="M1599" t="str">
            <v>NH-965</v>
          </cell>
          <cell r="O1599" t="str">
            <v>B</v>
          </cell>
        </row>
        <row r="1600">
          <cell r="C1600">
            <v>282762</v>
          </cell>
          <cell r="D1600" t="str">
            <v>KHANDELWAL PETROLEUM</v>
          </cell>
          <cell r="E1600" t="str">
            <v>IOCL</v>
          </cell>
          <cell r="F1600" t="str">
            <v>2014-15</v>
          </cell>
          <cell r="G1600" t="str">
            <v>Satara East RSA</v>
          </cell>
          <cell r="H1600">
            <v>42004</v>
          </cell>
          <cell r="I1600" t="str">
            <v>OPEN</v>
          </cell>
          <cell r="J1600" t="str">
            <v>Phaltan Baramati Road</v>
          </cell>
          <cell r="K1600" t="str">
            <v>Satara</v>
          </cell>
          <cell r="L1600" t="str">
            <v>D1</v>
          </cell>
          <cell r="M1600" t="str">
            <v>NH-160</v>
          </cell>
          <cell r="O1600" t="str">
            <v>B</v>
          </cell>
        </row>
        <row r="1601">
          <cell r="C1601">
            <v>282776</v>
          </cell>
          <cell r="D1601" t="str">
            <v>UNDRE PATIL PETROLEUM</v>
          </cell>
          <cell r="E1601" t="str">
            <v>IOCL</v>
          </cell>
          <cell r="F1601" t="str">
            <v>2014-15</v>
          </cell>
          <cell r="G1601" t="str">
            <v>Pune Wagholi RSA</v>
          </cell>
          <cell r="H1601">
            <v>42004</v>
          </cell>
          <cell r="I1601" t="str">
            <v>OPEN</v>
          </cell>
          <cell r="J1601" t="str">
            <v>Koregaon Bhima to Shikrapur LHS</v>
          </cell>
          <cell r="K1601" t="str">
            <v>Pune</v>
          </cell>
          <cell r="L1601" t="str">
            <v>D1</v>
          </cell>
          <cell r="M1601" t="str">
            <v>NH-753F</v>
          </cell>
          <cell r="O1601" t="str">
            <v>B</v>
          </cell>
        </row>
        <row r="1602">
          <cell r="C1602">
            <v>282784</v>
          </cell>
          <cell r="D1602" t="str">
            <v>SIDDHI VINAYAK PETROLEUM</v>
          </cell>
          <cell r="E1602" t="str">
            <v>IOCL</v>
          </cell>
          <cell r="F1602" t="str">
            <v>2014-15</v>
          </cell>
          <cell r="G1602" t="str">
            <v>Pune City RSA</v>
          </cell>
          <cell r="H1602">
            <v>42004</v>
          </cell>
          <cell r="I1602" t="str">
            <v>OPEN</v>
          </cell>
          <cell r="J1602" t="str">
            <v>HINJEWADI MANN ROAD</v>
          </cell>
          <cell r="K1602" t="str">
            <v>Pune</v>
          </cell>
          <cell r="L1602" t="str">
            <v>A</v>
          </cell>
          <cell r="O1602" t="str">
            <v>B</v>
          </cell>
        </row>
        <row r="1603">
          <cell r="C1603">
            <v>283241</v>
          </cell>
          <cell r="D1603" t="str">
            <v>OM SAI PETROLEUM</v>
          </cell>
          <cell r="E1603" t="str">
            <v>IOCL</v>
          </cell>
          <cell r="F1603" t="str">
            <v>2014-15</v>
          </cell>
          <cell r="G1603" t="str">
            <v>Ahmednagar West RSA</v>
          </cell>
          <cell r="H1603">
            <v>42033</v>
          </cell>
          <cell r="I1603" t="str">
            <v>OPEN</v>
          </cell>
          <cell r="J1603" t="str">
            <v>Pimpri Kolander</v>
          </cell>
          <cell r="K1603" t="str">
            <v>Ahmednagar</v>
          </cell>
          <cell r="L1603" t="str">
            <v>D2</v>
          </cell>
          <cell r="O1603" t="str">
            <v>B</v>
          </cell>
        </row>
        <row r="1604">
          <cell r="C1604">
            <v>283332</v>
          </cell>
          <cell r="D1604" t="str">
            <v>Dhawan Patil Kisan Seva Kendra</v>
          </cell>
          <cell r="E1604" t="str">
            <v>IOCL</v>
          </cell>
          <cell r="F1604" t="str">
            <v>2014-15</v>
          </cell>
          <cell r="G1604" t="str">
            <v>Pune Tathawade RSA</v>
          </cell>
          <cell r="H1604">
            <v>42044</v>
          </cell>
          <cell r="I1604" t="str">
            <v>OPEN (W)</v>
          </cell>
          <cell r="J1604" t="str">
            <v>BARAMATI TOWN ON MORGAON RD</v>
          </cell>
          <cell r="K1604" t="str">
            <v>Pune</v>
          </cell>
          <cell r="L1604" t="str">
            <v>D2</v>
          </cell>
          <cell r="O1604" t="str">
            <v>B</v>
          </cell>
        </row>
        <row r="1605">
          <cell r="C1605">
            <v>283735</v>
          </cell>
          <cell r="D1605" t="str">
            <v>H R Bhusari &amp; Sons</v>
          </cell>
          <cell r="E1605" t="str">
            <v>IOCL</v>
          </cell>
          <cell r="F1605" t="str">
            <v>2014-15</v>
          </cell>
          <cell r="G1605" t="str">
            <v>Ahmednagar East RSA</v>
          </cell>
          <cell r="H1605">
            <v>42063</v>
          </cell>
          <cell r="I1605" t="str">
            <v>OPEN</v>
          </cell>
          <cell r="J1605" t="str">
            <v>Newasa Budruk</v>
          </cell>
          <cell r="K1605" t="str">
            <v>Ahmednagar</v>
          </cell>
          <cell r="L1605" t="str">
            <v>D2</v>
          </cell>
          <cell r="O1605" t="str">
            <v>B</v>
          </cell>
        </row>
        <row r="1606">
          <cell r="C1606">
            <v>283999</v>
          </cell>
          <cell r="D1606" t="str">
            <v>Rushi Petroleum</v>
          </cell>
          <cell r="E1606" t="str">
            <v>IOCL</v>
          </cell>
          <cell r="F1606" t="str">
            <v>2014-15</v>
          </cell>
          <cell r="G1606" t="str">
            <v>Pune Wagholi RSA</v>
          </cell>
          <cell r="H1606">
            <v>42094</v>
          </cell>
          <cell r="I1606" t="str">
            <v>OPEN (W)</v>
          </cell>
          <cell r="J1606" t="str">
            <v>Peth on NH LHS</v>
          </cell>
          <cell r="K1606" t="str">
            <v>Pune</v>
          </cell>
          <cell r="L1606" t="str">
            <v>D1</v>
          </cell>
          <cell r="M1606" t="str">
            <v>NH-60</v>
          </cell>
          <cell r="O1606" t="str">
            <v>B</v>
          </cell>
        </row>
        <row r="1607">
          <cell r="C1607">
            <v>284034</v>
          </cell>
          <cell r="D1607" t="str">
            <v>Waradraj Petroleum</v>
          </cell>
          <cell r="E1607" t="str">
            <v>IOCL</v>
          </cell>
          <cell r="F1607" t="str">
            <v>2014-15</v>
          </cell>
          <cell r="G1607" t="str">
            <v>Satara West RSA</v>
          </cell>
          <cell r="H1607">
            <v>42094</v>
          </cell>
          <cell r="I1607" t="str">
            <v>OPEN</v>
          </cell>
          <cell r="J1607" t="str">
            <v>ATIT TO KASHIL</v>
          </cell>
          <cell r="K1607" t="str">
            <v>Satara</v>
          </cell>
          <cell r="L1607" t="str">
            <v>D1</v>
          </cell>
          <cell r="M1607" t="str">
            <v>NH-48</v>
          </cell>
          <cell r="O1607" t="str">
            <v>B</v>
          </cell>
        </row>
        <row r="1608">
          <cell r="C1608">
            <v>284827</v>
          </cell>
          <cell r="D1608" t="str">
            <v>Khot Petroluem KSK</v>
          </cell>
          <cell r="E1608" t="str">
            <v>IOCL</v>
          </cell>
          <cell r="F1608" t="str">
            <v>2014-15</v>
          </cell>
          <cell r="G1608" t="str">
            <v>Pune Wagholi RSA</v>
          </cell>
          <cell r="H1608">
            <v>42094</v>
          </cell>
          <cell r="I1608" t="str">
            <v>OPEN</v>
          </cell>
          <cell r="J1608" t="str">
            <v>Pimpalgaon Siddhnath</v>
          </cell>
          <cell r="K1608" t="str">
            <v>Pune</v>
          </cell>
          <cell r="L1608" t="str">
            <v>E</v>
          </cell>
          <cell r="O1608" t="str">
            <v>B</v>
          </cell>
        </row>
        <row r="1609">
          <cell r="C1609">
            <v>284991</v>
          </cell>
          <cell r="D1609" t="str">
            <v>Shri Shirsai Petroleum</v>
          </cell>
          <cell r="E1609" t="str">
            <v>IOCL</v>
          </cell>
          <cell r="F1609" t="str">
            <v>2014-15</v>
          </cell>
          <cell r="G1609" t="str">
            <v>Pune Hadapsar RSA</v>
          </cell>
          <cell r="H1609">
            <v>42094</v>
          </cell>
          <cell r="I1609" t="str">
            <v>OPEN</v>
          </cell>
          <cell r="J1609" t="str">
            <v>Ravangaon RHS</v>
          </cell>
          <cell r="K1609" t="str">
            <v>Pune</v>
          </cell>
          <cell r="L1609" t="str">
            <v>D1</v>
          </cell>
          <cell r="M1609" t="str">
            <v>NH-65</v>
          </cell>
          <cell r="O1609" t="str">
            <v>A</v>
          </cell>
        </row>
        <row r="1610">
          <cell r="C1610">
            <v>285018</v>
          </cell>
          <cell r="D1610" t="str">
            <v>Shri Sai Ganesh Petroleum</v>
          </cell>
          <cell r="E1610" t="str">
            <v>IOCL</v>
          </cell>
          <cell r="F1610" t="str">
            <v>2015-16</v>
          </cell>
          <cell r="G1610" t="str">
            <v>Ahmednagar West RSA</v>
          </cell>
          <cell r="H1610">
            <v>42153</v>
          </cell>
          <cell r="I1610" t="str">
            <v>OPEN</v>
          </cell>
          <cell r="J1610" t="str">
            <v>JAWALA</v>
          </cell>
          <cell r="K1610" t="str">
            <v>Ahmednagar</v>
          </cell>
          <cell r="L1610" t="str">
            <v>D1</v>
          </cell>
          <cell r="M1610" t="str">
            <v>NH-761</v>
          </cell>
          <cell r="O1610" t="str">
            <v>B</v>
          </cell>
        </row>
        <row r="1611">
          <cell r="C1611">
            <v>285030</v>
          </cell>
          <cell r="D1611" t="str">
            <v>Sai Petroleum KSK</v>
          </cell>
          <cell r="E1611" t="str">
            <v>IOCL</v>
          </cell>
          <cell r="F1611" t="str">
            <v>2014-15</v>
          </cell>
          <cell r="G1611" t="str">
            <v>Ahmednagar West RSA</v>
          </cell>
          <cell r="H1611">
            <v>42094</v>
          </cell>
          <cell r="I1611" t="str">
            <v>OPEN</v>
          </cell>
          <cell r="J1611" t="str">
            <v>Visapur</v>
          </cell>
          <cell r="K1611" t="str">
            <v>Ahmednagar</v>
          </cell>
          <cell r="L1611" t="str">
            <v>E</v>
          </cell>
          <cell r="O1611" t="str">
            <v>B</v>
          </cell>
        </row>
        <row r="1612">
          <cell r="C1612">
            <v>285032</v>
          </cell>
          <cell r="D1612" t="str">
            <v>Prasad Petroleum</v>
          </cell>
          <cell r="E1612" t="str">
            <v>IOCL</v>
          </cell>
          <cell r="F1612" t="str">
            <v>2014-15</v>
          </cell>
          <cell r="G1612" t="str">
            <v>Shirdi RSA</v>
          </cell>
          <cell r="H1612">
            <v>42094</v>
          </cell>
          <cell r="I1612" t="str">
            <v>OPEN</v>
          </cell>
          <cell r="J1612" t="str">
            <v>RAHATA</v>
          </cell>
          <cell r="K1612" t="str">
            <v>Ahmednagar</v>
          </cell>
          <cell r="L1612" t="str">
            <v>D1</v>
          </cell>
          <cell r="M1612" t="str">
            <v>NH-160</v>
          </cell>
          <cell r="O1612" t="str">
            <v>B</v>
          </cell>
        </row>
        <row r="1613">
          <cell r="C1613">
            <v>285568</v>
          </cell>
          <cell r="D1613" t="str">
            <v>Baba Petrol Pump</v>
          </cell>
          <cell r="E1613" t="str">
            <v>IOCL</v>
          </cell>
          <cell r="F1613" t="str">
            <v>2015-16</v>
          </cell>
          <cell r="G1613" t="str">
            <v>Ahmednagar West RSA</v>
          </cell>
          <cell r="H1613">
            <v>42124</v>
          </cell>
          <cell r="I1613" t="str">
            <v>OPEN</v>
          </cell>
          <cell r="J1613" t="str">
            <v>PATHARDI-NH</v>
          </cell>
          <cell r="K1613" t="str">
            <v>Ahmednagar</v>
          </cell>
          <cell r="L1613" t="str">
            <v>D1</v>
          </cell>
          <cell r="M1613" t="str">
            <v>NH-61</v>
          </cell>
          <cell r="O1613" t="str">
            <v>B</v>
          </cell>
        </row>
        <row r="1614">
          <cell r="C1614">
            <v>286127</v>
          </cell>
          <cell r="D1614" t="str">
            <v>Sai Ganesh Petroleum</v>
          </cell>
          <cell r="E1614" t="str">
            <v>IOCL</v>
          </cell>
          <cell r="F1614" t="str">
            <v>2015-16</v>
          </cell>
          <cell r="G1614" t="str">
            <v>Pune Wagholi RSA</v>
          </cell>
          <cell r="H1614">
            <v>42154</v>
          </cell>
          <cell r="I1614" t="str">
            <v>OPEN (W)</v>
          </cell>
          <cell r="J1614" t="str">
            <v>Ranjangaon LHS</v>
          </cell>
          <cell r="K1614" t="str">
            <v>Pune</v>
          </cell>
          <cell r="L1614" t="str">
            <v>D1</v>
          </cell>
          <cell r="M1614" t="str">
            <v>NH-753F</v>
          </cell>
          <cell r="O1614" t="str">
            <v>B</v>
          </cell>
        </row>
        <row r="1615">
          <cell r="C1615">
            <v>286691</v>
          </cell>
          <cell r="D1615" t="str">
            <v>Pais Petroleum</v>
          </cell>
          <cell r="E1615" t="str">
            <v>IOCL</v>
          </cell>
          <cell r="F1615" t="str">
            <v>2015-16</v>
          </cell>
          <cell r="G1615" t="str">
            <v>Shirdi RSA</v>
          </cell>
          <cell r="H1615">
            <v>42185</v>
          </cell>
          <cell r="I1615" t="str">
            <v>OPEN (W)</v>
          </cell>
          <cell r="J1615" t="str">
            <v>NIMGAON JALI</v>
          </cell>
          <cell r="K1615" t="str">
            <v>Ahmednagar</v>
          </cell>
          <cell r="L1615" t="str">
            <v>D2</v>
          </cell>
          <cell r="O1615" t="str">
            <v>B</v>
          </cell>
        </row>
        <row r="1616">
          <cell r="C1616">
            <v>288112</v>
          </cell>
          <cell r="D1616" t="str">
            <v>BANESHWAR PETROLEUM KSK</v>
          </cell>
          <cell r="E1616" t="str">
            <v>IOCL</v>
          </cell>
          <cell r="F1616" t="str">
            <v>2015-16</v>
          </cell>
          <cell r="G1616" t="str">
            <v>Ahmednagar East RSA</v>
          </cell>
          <cell r="H1616">
            <v>42268</v>
          </cell>
          <cell r="I1616" t="str">
            <v>OPEN (W)</v>
          </cell>
          <cell r="J1616" t="str">
            <v>Nagardeole</v>
          </cell>
          <cell r="K1616" t="str">
            <v>Ahmednagar</v>
          </cell>
          <cell r="L1616" t="str">
            <v>E</v>
          </cell>
          <cell r="O1616" t="str">
            <v>B</v>
          </cell>
        </row>
        <row r="1617">
          <cell r="C1617">
            <v>288293</v>
          </cell>
          <cell r="D1617" t="str">
            <v>GURU KRUPA PETROLEUM</v>
          </cell>
          <cell r="E1617" t="str">
            <v>IOCL</v>
          </cell>
          <cell r="F1617" t="str">
            <v>2015-16</v>
          </cell>
          <cell r="G1617" t="str">
            <v>Pune Tathawade RSA</v>
          </cell>
          <cell r="H1617">
            <v>42277</v>
          </cell>
          <cell r="I1617" t="str">
            <v>OPEN</v>
          </cell>
          <cell r="J1617" t="str">
            <v>KHEDSHIVAPUR TO HARISHCHANDRI</v>
          </cell>
          <cell r="K1617" t="str">
            <v>Pune</v>
          </cell>
          <cell r="L1617" t="str">
            <v>D1</v>
          </cell>
          <cell r="M1617" t="str">
            <v>NH-48</v>
          </cell>
          <cell r="O1617" t="str">
            <v>A</v>
          </cell>
        </row>
        <row r="1618">
          <cell r="C1618">
            <v>288339</v>
          </cell>
          <cell r="D1618" t="str">
            <v>SWARA PETROLEUM</v>
          </cell>
          <cell r="E1618" t="str">
            <v>IOCL</v>
          </cell>
          <cell r="F1618" t="str">
            <v>2015-16</v>
          </cell>
          <cell r="G1618" t="str">
            <v>Pune Hadapsar RSA</v>
          </cell>
          <cell r="H1618">
            <v>42296</v>
          </cell>
          <cell r="I1618" t="str">
            <v>OPEN (W)</v>
          </cell>
          <cell r="J1618" t="str">
            <v>Varvand LHS</v>
          </cell>
          <cell r="K1618" t="str">
            <v>Pune</v>
          </cell>
          <cell r="L1618" t="str">
            <v>D1</v>
          </cell>
          <cell r="M1618" t="str">
            <v>NH-65</v>
          </cell>
          <cell r="O1618" t="str">
            <v>B</v>
          </cell>
        </row>
        <row r="1619">
          <cell r="C1619">
            <v>288855</v>
          </cell>
          <cell r="D1619" t="str">
            <v>ADITYA PETRO CORPORATION</v>
          </cell>
          <cell r="E1619" t="str">
            <v>IOCL</v>
          </cell>
          <cell r="F1619" t="str">
            <v>2015-16</v>
          </cell>
          <cell r="G1619" t="str">
            <v>Pimpri Chinchwad RSA</v>
          </cell>
          <cell r="H1619">
            <v>42308</v>
          </cell>
          <cell r="I1619" t="str">
            <v>OPEN (W)</v>
          </cell>
          <cell r="J1619" t="str">
            <v xml:space="preserve">Sablewadi to shikhrapur </v>
          </cell>
          <cell r="K1619" t="str">
            <v>Pune</v>
          </cell>
          <cell r="L1619" t="str">
            <v>D1</v>
          </cell>
          <cell r="M1619" t="str">
            <v>NH-548D</v>
          </cell>
          <cell r="O1619" t="str">
            <v>B</v>
          </cell>
        </row>
        <row r="1620">
          <cell r="C1620">
            <v>289408</v>
          </cell>
          <cell r="D1620" t="str">
            <v>SIDDHIVINAYAK KISAN SEVA KENDRA</v>
          </cell>
          <cell r="E1620" t="str">
            <v>IOCL</v>
          </cell>
          <cell r="F1620" t="str">
            <v>2015-16</v>
          </cell>
          <cell r="G1620" t="str">
            <v>Pune Saswad RSA</v>
          </cell>
          <cell r="H1620">
            <v>42336</v>
          </cell>
          <cell r="I1620" t="str">
            <v>OPEN</v>
          </cell>
          <cell r="J1620" t="str">
            <v>Jejuri Morgaon Road</v>
          </cell>
          <cell r="K1620" t="str">
            <v>Pune</v>
          </cell>
          <cell r="L1620" t="str">
            <v>D2</v>
          </cell>
          <cell r="O1620" t="str">
            <v>B</v>
          </cell>
        </row>
        <row r="1621">
          <cell r="C1621">
            <v>289411</v>
          </cell>
          <cell r="D1621" t="str">
            <v>HARIDAS PETROLEUM</v>
          </cell>
          <cell r="E1621" t="str">
            <v>IOCL</v>
          </cell>
          <cell r="F1621" t="str">
            <v>2015-16</v>
          </cell>
          <cell r="G1621" t="str">
            <v>Ahmednagar East RSA</v>
          </cell>
          <cell r="H1621">
            <v>42338</v>
          </cell>
          <cell r="I1621" t="str">
            <v>OPEN</v>
          </cell>
          <cell r="J1621" t="str">
            <v>Supe</v>
          </cell>
          <cell r="K1621" t="str">
            <v>Ahmednagar</v>
          </cell>
          <cell r="L1621" t="str">
            <v>D1</v>
          </cell>
          <cell r="M1621" t="str">
            <v>NH-753F</v>
          </cell>
          <cell r="O1621" t="str">
            <v>B</v>
          </cell>
        </row>
        <row r="1622">
          <cell r="C1622">
            <v>289431</v>
          </cell>
          <cell r="D1622" t="str">
            <v>JEDHE PETROLEUM</v>
          </cell>
          <cell r="E1622" t="str">
            <v>IOCL</v>
          </cell>
          <cell r="F1622" t="str">
            <v>2015-16</v>
          </cell>
          <cell r="G1622" t="str">
            <v>Pune Hadapsar RSA</v>
          </cell>
          <cell r="H1622">
            <v>42338</v>
          </cell>
          <cell r="I1622" t="str">
            <v>OPEN</v>
          </cell>
          <cell r="J1622" t="str">
            <v>P5_Pargaon</v>
          </cell>
          <cell r="K1622" t="str">
            <v>Pune</v>
          </cell>
          <cell r="L1622" t="str">
            <v>D2</v>
          </cell>
          <cell r="O1622" t="str">
            <v>B</v>
          </cell>
        </row>
        <row r="1623">
          <cell r="C1623">
            <v>290590</v>
          </cell>
          <cell r="D1623" t="str">
            <v>Suma Petroleum</v>
          </cell>
          <cell r="E1623" t="str">
            <v>IOCL</v>
          </cell>
          <cell r="F1623" t="str">
            <v>2015-16</v>
          </cell>
          <cell r="G1623" t="str">
            <v>Shirdi RSA</v>
          </cell>
          <cell r="H1623">
            <v>42400</v>
          </cell>
          <cell r="I1623" t="str">
            <v>OPEN</v>
          </cell>
          <cell r="J1623" t="str">
            <v>SAVLIHIR</v>
          </cell>
          <cell r="K1623" t="str">
            <v>Ahmednagar</v>
          </cell>
          <cell r="L1623" t="str">
            <v>D1</v>
          </cell>
          <cell r="M1623" t="str">
            <v>NH-160</v>
          </cell>
          <cell r="O1623" t="str">
            <v>B</v>
          </cell>
        </row>
        <row r="1624">
          <cell r="C1624">
            <v>291500</v>
          </cell>
          <cell r="D1624" t="str">
            <v>SWAMI PETROLEUM</v>
          </cell>
          <cell r="E1624" t="str">
            <v>IOCL</v>
          </cell>
          <cell r="F1624" t="str">
            <v>2015-16</v>
          </cell>
          <cell r="G1624" t="str">
            <v>Pune Wagholi RSA</v>
          </cell>
          <cell r="H1624">
            <v>42432</v>
          </cell>
          <cell r="I1624" t="str">
            <v>PHP (OPEN)</v>
          </cell>
          <cell r="J1624" t="str">
            <v>Ane</v>
          </cell>
          <cell r="K1624" t="str">
            <v>Pune</v>
          </cell>
          <cell r="L1624" t="str">
            <v>D1</v>
          </cell>
          <cell r="M1624" t="str">
            <v>NH-61</v>
          </cell>
          <cell r="O1624" t="str">
            <v>B</v>
          </cell>
        </row>
        <row r="1625">
          <cell r="C1625">
            <v>291503</v>
          </cell>
          <cell r="D1625" t="str">
            <v>TEJASVI PETROLEUM KISAN SEVA KENDRA</v>
          </cell>
          <cell r="E1625" t="str">
            <v>IOCL</v>
          </cell>
          <cell r="F1625" t="str">
            <v>2015-16</v>
          </cell>
          <cell r="G1625" t="str">
            <v>Satara East RSA</v>
          </cell>
          <cell r="H1625">
            <v>42430</v>
          </cell>
          <cell r="I1625" t="str">
            <v>OPEN</v>
          </cell>
          <cell r="J1625" t="str">
            <v>UPALVE</v>
          </cell>
          <cell r="K1625" t="str">
            <v>Satara</v>
          </cell>
          <cell r="L1625" t="str">
            <v>E</v>
          </cell>
          <cell r="O1625" t="str">
            <v>B</v>
          </cell>
        </row>
        <row r="1626">
          <cell r="C1626">
            <v>292104</v>
          </cell>
          <cell r="D1626" t="str">
            <v>KADAM PETROLEUM</v>
          </cell>
          <cell r="E1626" t="str">
            <v>IOCL</v>
          </cell>
          <cell r="F1626" t="str">
            <v>2015-16</v>
          </cell>
          <cell r="G1626" t="str">
            <v>Satara East RSA</v>
          </cell>
          <cell r="H1626">
            <v>42460</v>
          </cell>
          <cell r="I1626" t="str">
            <v>OPEN</v>
          </cell>
          <cell r="J1626" t="str">
            <v>Phaltan Baramati Road</v>
          </cell>
          <cell r="K1626" t="str">
            <v>Satara</v>
          </cell>
          <cell r="L1626" t="str">
            <v>D1</v>
          </cell>
          <cell r="M1626" t="str">
            <v>NH-160</v>
          </cell>
          <cell r="O1626" t="str">
            <v>B</v>
          </cell>
        </row>
        <row r="1627">
          <cell r="C1627">
            <v>292403</v>
          </cell>
          <cell r="D1627" t="str">
            <v>JADHAV SERVICES</v>
          </cell>
          <cell r="E1627" t="str">
            <v>IOCL</v>
          </cell>
          <cell r="F1627" t="str">
            <v>2015-16</v>
          </cell>
          <cell r="G1627" t="str">
            <v>Satara West RSA</v>
          </cell>
          <cell r="H1627">
            <v>42460</v>
          </cell>
          <cell r="I1627" t="str">
            <v>OPEN</v>
          </cell>
          <cell r="J1627" t="str">
            <v>Karad Oglewadi Road</v>
          </cell>
          <cell r="K1627" t="str">
            <v>Satara</v>
          </cell>
          <cell r="L1627" t="str">
            <v>D1</v>
          </cell>
          <cell r="M1627" t="str">
            <v>NH-166E</v>
          </cell>
          <cell r="O1627" t="str">
            <v>B</v>
          </cell>
        </row>
        <row r="1628">
          <cell r="C1628">
            <v>292473</v>
          </cell>
          <cell r="D1628" t="str">
            <v>SAMIR PETROLEUM</v>
          </cell>
          <cell r="E1628" t="str">
            <v>IOCL</v>
          </cell>
          <cell r="F1628" t="str">
            <v>2015-16</v>
          </cell>
          <cell r="G1628" t="str">
            <v>Pune Saswad RSA</v>
          </cell>
          <cell r="H1628">
            <v>42460</v>
          </cell>
          <cell r="I1628" t="str">
            <v>PHP (OPEN)</v>
          </cell>
          <cell r="J1628" t="str">
            <v>Jejuri Morgaon Road</v>
          </cell>
          <cell r="K1628" t="str">
            <v>Pune</v>
          </cell>
          <cell r="L1628" t="str">
            <v>D2</v>
          </cell>
          <cell r="O1628" t="str">
            <v>B</v>
          </cell>
        </row>
        <row r="1629">
          <cell r="C1629">
            <v>292488</v>
          </cell>
          <cell r="D1629" t="str">
            <v>PADMAVATI PETROLEUM</v>
          </cell>
          <cell r="E1629" t="str">
            <v>IOCL</v>
          </cell>
          <cell r="F1629" t="str">
            <v>2015-16</v>
          </cell>
          <cell r="G1629" t="str">
            <v>Pimpri Chinchwad RSA</v>
          </cell>
          <cell r="H1629">
            <v>42460</v>
          </cell>
          <cell r="I1629" t="str">
            <v>OPEN</v>
          </cell>
          <cell r="J1629" t="str">
            <v>Urse</v>
          </cell>
          <cell r="K1629" t="str">
            <v>Pune</v>
          </cell>
          <cell r="L1629" t="str">
            <v>E</v>
          </cell>
          <cell r="O1629" t="str">
            <v>B</v>
          </cell>
        </row>
        <row r="1630">
          <cell r="C1630">
            <v>292810</v>
          </cell>
          <cell r="D1630" t="str">
            <v>SAI BABA PETROLEUM</v>
          </cell>
          <cell r="E1630" t="str">
            <v>IOCL</v>
          </cell>
          <cell r="G1630" t="str">
            <v>Satara West RSA</v>
          </cell>
          <cell r="H1630">
            <v>37772</v>
          </cell>
          <cell r="I1630" t="str">
            <v>SC (W)</v>
          </cell>
          <cell r="J1630" t="str">
            <v>Gharewadi</v>
          </cell>
          <cell r="K1630" t="str">
            <v>Satara</v>
          </cell>
          <cell r="L1630" t="str">
            <v>E</v>
          </cell>
          <cell r="O1630" t="str">
            <v>A</v>
          </cell>
        </row>
        <row r="1631">
          <cell r="C1631">
            <v>292987</v>
          </cell>
          <cell r="D1631" t="str">
            <v>DUDHANE PETROLEUM</v>
          </cell>
          <cell r="E1631" t="str">
            <v>IOCL</v>
          </cell>
          <cell r="F1631" t="str">
            <v>2016-17</v>
          </cell>
          <cell r="G1631" t="str">
            <v>Pune City RSA</v>
          </cell>
          <cell r="H1631">
            <v>42493</v>
          </cell>
          <cell r="I1631" t="str">
            <v>OPEN</v>
          </cell>
          <cell r="J1631" t="str">
            <v>WARJE/UTTAMNAGAR</v>
          </cell>
          <cell r="K1631" t="str">
            <v>Pune</v>
          </cell>
          <cell r="L1631" t="str">
            <v>A</v>
          </cell>
          <cell r="O1631" t="str">
            <v>A</v>
          </cell>
        </row>
        <row r="1632">
          <cell r="C1632">
            <v>293084</v>
          </cell>
          <cell r="D1632" t="str">
            <v>JAYASHREE PETROLEUM</v>
          </cell>
          <cell r="E1632" t="str">
            <v>IOCL</v>
          </cell>
          <cell r="G1632" t="str">
            <v>Pune Wagholi RSA</v>
          </cell>
          <cell r="H1632">
            <v>42735</v>
          </cell>
          <cell r="I1632" t="str">
            <v>OPEN (W)</v>
          </cell>
          <cell r="J1632" t="str">
            <v>Shirur</v>
          </cell>
          <cell r="K1632" t="str">
            <v>Pune</v>
          </cell>
          <cell r="L1632" t="str">
            <v>C</v>
          </cell>
          <cell r="O1632" t="str">
            <v>A</v>
          </cell>
        </row>
        <row r="1633">
          <cell r="C1633">
            <v>293485</v>
          </cell>
          <cell r="D1633" t="str">
            <v>Yashshri Agro Fueling KSK</v>
          </cell>
          <cell r="E1633" t="str">
            <v>IOCL</v>
          </cell>
          <cell r="F1633" t="str">
            <v>2016-17</v>
          </cell>
          <cell r="G1633" t="str">
            <v>Ahmednagar West RSA</v>
          </cell>
          <cell r="H1633">
            <v>42524</v>
          </cell>
          <cell r="I1633" t="str">
            <v>OPEN</v>
          </cell>
          <cell r="J1633" t="str">
            <v>Pargaon Sudrik</v>
          </cell>
          <cell r="K1633" t="str">
            <v>Ahmednagar</v>
          </cell>
          <cell r="L1633" t="str">
            <v>D2</v>
          </cell>
          <cell r="O1633" t="str">
            <v>B</v>
          </cell>
        </row>
        <row r="1634">
          <cell r="C1634">
            <v>294669</v>
          </cell>
          <cell r="D1634" t="str">
            <v>MACHHINDRANATH &amp; SONS PETROLEUM,</v>
          </cell>
          <cell r="E1634" t="str">
            <v>IOCL</v>
          </cell>
          <cell r="F1634" t="str">
            <v>2016-17</v>
          </cell>
          <cell r="G1634" t="str">
            <v>Ahmednagar West RSA</v>
          </cell>
          <cell r="H1634">
            <v>42581</v>
          </cell>
          <cell r="I1634" t="str">
            <v>OPEN</v>
          </cell>
          <cell r="J1634" t="str">
            <v>Karanji</v>
          </cell>
          <cell r="K1634" t="str">
            <v>Ahmednagar</v>
          </cell>
          <cell r="L1634" t="str">
            <v>D1</v>
          </cell>
          <cell r="M1634" t="str">
            <v>NH-61</v>
          </cell>
          <cell r="O1634" t="str">
            <v>B</v>
          </cell>
        </row>
        <row r="1635">
          <cell r="C1635">
            <v>295142</v>
          </cell>
          <cell r="D1635" t="str">
            <v>Satav Petroleum</v>
          </cell>
          <cell r="E1635" t="str">
            <v>IOCL</v>
          </cell>
          <cell r="F1635" t="str">
            <v>2016-17</v>
          </cell>
          <cell r="G1635" t="str">
            <v>Pune Tathawade RSA</v>
          </cell>
          <cell r="H1635">
            <v>42613</v>
          </cell>
          <cell r="I1635" t="str">
            <v>OPEN (W)</v>
          </cell>
          <cell r="J1635" t="str">
            <v>BARAMATI NIRA ROAD</v>
          </cell>
          <cell r="K1635" t="str">
            <v>Pune</v>
          </cell>
          <cell r="L1635" t="str">
            <v>D2</v>
          </cell>
          <cell r="O1635" t="str">
            <v>B</v>
          </cell>
        </row>
        <row r="1636">
          <cell r="C1636">
            <v>295696</v>
          </cell>
          <cell r="D1636" t="str">
            <v>Suhas Prasad Petroleum</v>
          </cell>
          <cell r="E1636" t="str">
            <v>IOCL</v>
          </cell>
          <cell r="F1636" t="str">
            <v>2016-17</v>
          </cell>
          <cell r="G1636" t="str">
            <v>Pune Hadapsar RSA</v>
          </cell>
          <cell r="H1636">
            <v>42643</v>
          </cell>
          <cell r="I1636" t="str">
            <v>OPEN</v>
          </cell>
          <cell r="J1636" t="str">
            <v>KURKUMBH</v>
          </cell>
          <cell r="K1636" t="str">
            <v>Pune</v>
          </cell>
          <cell r="L1636" t="str">
            <v>D2</v>
          </cell>
          <cell r="O1636" t="str">
            <v>B</v>
          </cell>
        </row>
        <row r="1637">
          <cell r="C1637">
            <v>295698</v>
          </cell>
          <cell r="D1637" t="str">
            <v>Wadkar Petroleum</v>
          </cell>
          <cell r="E1637" t="str">
            <v>IOCL</v>
          </cell>
          <cell r="F1637" t="str">
            <v>2016-17</v>
          </cell>
          <cell r="G1637" t="str">
            <v>Pune City RSA</v>
          </cell>
          <cell r="H1637">
            <v>42643</v>
          </cell>
          <cell r="I1637" t="str">
            <v>OPEN</v>
          </cell>
          <cell r="J1637" t="str">
            <v>PAUD ROAD</v>
          </cell>
          <cell r="K1637" t="str">
            <v>Pune</v>
          </cell>
          <cell r="L1637" t="str">
            <v>D1</v>
          </cell>
          <cell r="M1637" t="str">
            <v>NH-753F</v>
          </cell>
          <cell r="O1637" t="str">
            <v>B</v>
          </cell>
        </row>
        <row r="1638">
          <cell r="C1638">
            <v>296138</v>
          </cell>
          <cell r="D1638" t="str">
            <v>Dubash Petroleum</v>
          </cell>
          <cell r="E1638" t="str">
            <v>IOCL</v>
          </cell>
          <cell r="F1638" t="str">
            <v>2016-17</v>
          </cell>
          <cell r="G1638" t="str">
            <v>Satara West RSA</v>
          </cell>
          <cell r="H1638">
            <v>42704</v>
          </cell>
          <cell r="I1638" t="str">
            <v>OPEN</v>
          </cell>
          <cell r="J1638" t="str">
            <v>Mahabaleswar Panchgani</v>
          </cell>
          <cell r="K1638" t="str">
            <v>Satara</v>
          </cell>
          <cell r="L1638" t="str">
            <v>D2</v>
          </cell>
          <cell r="O1638" t="str">
            <v>B</v>
          </cell>
        </row>
        <row r="1639">
          <cell r="C1639">
            <v>296171</v>
          </cell>
          <cell r="D1639" t="str">
            <v>SWARAJ PETROL &amp; DIESEL PUMP</v>
          </cell>
          <cell r="E1639" t="str">
            <v>IOCL</v>
          </cell>
          <cell r="F1639" t="str">
            <v>2016-17</v>
          </cell>
          <cell r="G1639" t="str">
            <v>Satara West RSA</v>
          </cell>
          <cell r="H1639">
            <v>42673</v>
          </cell>
          <cell r="I1639" t="str">
            <v>OPEN</v>
          </cell>
          <cell r="J1639" t="str">
            <v>Kondhve</v>
          </cell>
          <cell r="K1639" t="str">
            <v>Satara</v>
          </cell>
          <cell r="L1639" t="str">
            <v>D2</v>
          </cell>
          <cell r="O1639" t="str">
            <v>B</v>
          </cell>
        </row>
        <row r="1640">
          <cell r="C1640">
            <v>296308</v>
          </cell>
          <cell r="D1640" t="str">
            <v>Aditi Petroleum Kisan Seva Kendra</v>
          </cell>
          <cell r="E1640" t="str">
            <v>IOCL</v>
          </cell>
          <cell r="F1640" t="str">
            <v>2016-17</v>
          </cell>
          <cell r="G1640" t="str">
            <v>Pune Wagholi RSA</v>
          </cell>
          <cell r="H1640">
            <v>42697</v>
          </cell>
          <cell r="I1640" t="str">
            <v>OPEN (W)</v>
          </cell>
          <cell r="J1640" t="str">
            <v>Pimpalgaon Tarfe</v>
          </cell>
          <cell r="K1640" t="str">
            <v>Pune</v>
          </cell>
          <cell r="L1640" t="str">
            <v>E</v>
          </cell>
          <cell r="O1640" t="str">
            <v>B</v>
          </cell>
        </row>
        <row r="1641">
          <cell r="C1641">
            <v>296747</v>
          </cell>
          <cell r="D1641" t="str">
            <v>Regal Petroleum</v>
          </cell>
          <cell r="E1641" t="str">
            <v>IOCL</v>
          </cell>
          <cell r="F1641" t="str">
            <v>2016-17</v>
          </cell>
          <cell r="G1641" t="str">
            <v>Pimpri Chinchwad RSA</v>
          </cell>
          <cell r="H1641">
            <v>42721</v>
          </cell>
          <cell r="I1641" t="str">
            <v>OPEN</v>
          </cell>
          <cell r="J1641" t="str">
            <v>Moshi</v>
          </cell>
          <cell r="K1641" t="str">
            <v>Pune</v>
          </cell>
          <cell r="L1641" t="str">
            <v>A</v>
          </cell>
          <cell r="O1641" t="str">
            <v>B</v>
          </cell>
        </row>
        <row r="1642">
          <cell r="C1642">
            <v>297159</v>
          </cell>
          <cell r="D1642" t="str">
            <v>KULASWAMINI PETROLEUM KSK</v>
          </cell>
          <cell r="E1642" t="str">
            <v>IOCL</v>
          </cell>
          <cell r="F1642" t="str">
            <v>2016-17</v>
          </cell>
          <cell r="G1642" t="str">
            <v>Pune Wagholi RSA</v>
          </cell>
          <cell r="H1642">
            <v>42765</v>
          </cell>
          <cell r="I1642" t="str">
            <v>OPEN</v>
          </cell>
          <cell r="J1642" t="str">
            <v>Landewadi</v>
          </cell>
          <cell r="K1642" t="str">
            <v>Pune</v>
          </cell>
          <cell r="L1642" t="str">
            <v>E</v>
          </cell>
          <cell r="O1642" t="str">
            <v>B</v>
          </cell>
        </row>
        <row r="1643">
          <cell r="C1643">
            <v>297758</v>
          </cell>
          <cell r="D1643" t="str">
            <v>Ajinkya Petroleum KSK</v>
          </cell>
          <cell r="E1643" t="str">
            <v>IOCL</v>
          </cell>
          <cell r="F1643" t="str">
            <v>2016-17</v>
          </cell>
          <cell r="G1643" t="str">
            <v>Pune Wagholi RSA</v>
          </cell>
          <cell r="H1643">
            <v>42803</v>
          </cell>
          <cell r="I1643" t="str">
            <v>OPEN</v>
          </cell>
          <cell r="J1643" t="str">
            <v>Shiroli Bk</v>
          </cell>
          <cell r="K1643" t="str">
            <v>Pune</v>
          </cell>
          <cell r="L1643" t="str">
            <v>E</v>
          </cell>
          <cell r="O1643" t="str">
            <v>B</v>
          </cell>
        </row>
        <row r="1644">
          <cell r="C1644">
            <v>298395</v>
          </cell>
          <cell r="D1644" t="str">
            <v>Sanskar Petroleum</v>
          </cell>
          <cell r="E1644" t="str">
            <v>IOCL</v>
          </cell>
          <cell r="F1644" t="str">
            <v>2016-17</v>
          </cell>
          <cell r="G1644" t="str">
            <v>Ahmednagar West RSA</v>
          </cell>
          <cell r="H1644">
            <v>42825</v>
          </cell>
          <cell r="I1644" t="str">
            <v>OPEN</v>
          </cell>
          <cell r="J1644" t="str">
            <v>Deodaithan</v>
          </cell>
          <cell r="K1644" t="str">
            <v>Ahmednagar</v>
          </cell>
          <cell r="L1644" t="str">
            <v>D2</v>
          </cell>
          <cell r="O1644" t="str">
            <v>B</v>
          </cell>
        </row>
        <row r="1645">
          <cell r="C1645">
            <v>298396</v>
          </cell>
          <cell r="D1645" t="str">
            <v>Bbalaji Petrolinks</v>
          </cell>
          <cell r="E1645" t="str">
            <v>IOCL</v>
          </cell>
          <cell r="F1645" t="str">
            <v>2016-17</v>
          </cell>
          <cell r="G1645" t="str">
            <v>Pune City RSA</v>
          </cell>
          <cell r="H1645">
            <v>42794</v>
          </cell>
          <cell r="I1645" t="str">
            <v>OPEN</v>
          </cell>
          <cell r="J1645" t="str">
            <v>SUS ROAD</v>
          </cell>
          <cell r="K1645" t="str">
            <v>Pune</v>
          </cell>
          <cell r="L1645" t="str">
            <v>D2</v>
          </cell>
          <cell r="O1645" t="str">
            <v>B</v>
          </cell>
        </row>
        <row r="1646">
          <cell r="C1646">
            <v>298886</v>
          </cell>
          <cell r="D1646" t="str">
            <v>Gade Petroleum Kisan Seva Kendra</v>
          </cell>
          <cell r="E1646" t="str">
            <v>IOCL</v>
          </cell>
          <cell r="F1646" t="str">
            <v>2016-17</v>
          </cell>
          <cell r="G1646" t="str">
            <v>Satara East RSA</v>
          </cell>
          <cell r="H1646">
            <v>42824</v>
          </cell>
          <cell r="I1646" t="str">
            <v>OBC</v>
          </cell>
          <cell r="J1646" t="str">
            <v>Budh</v>
          </cell>
          <cell r="K1646" t="str">
            <v>Satara</v>
          </cell>
          <cell r="L1646" t="str">
            <v>E</v>
          </cell>
          <cell r="O1646" t="str">
            <v>B</v>
          </cell>
        </row>
        <row r="1647">
          <cell r="C1647">
            <v>298930</v>
          </cell>
          <cell r="D1647" t="str">
            <v>Shri Kalika Petroleum</v>
          </cell>
          <cell r="E1647" t="str">
            <v>IOCL</v>
          </cell>
          <cell r="F1647" t="str">
            <v>2016-17</v>
          </cell>
          <cell r="G1647" t="str">
            <v>Ahmednagar East RSA</v>
          </cell>
          <cell r="H1647">
            <v>42825</v>
          </cell>
          <cell r="I1647" t="str">
            <v>OPEN (W)</v>
          </cell>
          <cell r="J1647" t="str">
            <v>Amrapur</v>
          </cell>
          <cell r="K1647" t="str">
            <v>Ahmednagar</v>
          </cell>
          <cell r="L1647" t="str">
            <v>D2</v>
          </cell>
          <cell r="O1647" t="str">
            <v>B</v>
          </cell>
        </row>
        <row r="1648">
          <cell r="C1648">
            <v>299250</v>
          </cell>
          <cell r="D1648" t="str">
            <v>Darshan Petroleum</v>
          </cell>
          <cell r="E1648" t="str">
            <v>IOCL</v>
          </cell>
          <cell r="F1648" t="str">
            <v>2016-17</v>
          </cell>
          <cell r="G1648" t="str">
            <v>Pune Hadapsar RSA</v>
          </cell>
          <cell r="H1648">
            <v>42825</v>
          </cell>
          <cell r="I1648" t="str">
            <v>OPEN</v>
          </cell>
          <cell r="J1648" t="str">
            <v>Kedgaon-Supe</v>
          </cell>
          <cell r="K1648" t="str">
            <v>Pune</v>
          </cell>
          <cell r="L1648" t="str">
            <v>D1</v>
          </cell>
          <cell r="M1648" t="str">
            <v>NH-965D</v>
          </cell>
          <cell r="O1648" t="str">
            <v>B</v>
          </cell>
        </row>
        <row r="1649">
          <cell r="C1649">
            <v>299293</v>
          </cell>
          <cell r="D1649" t="str">
            <v>Vighnaharta Petroleum KSK</v>
          </cell>
          <cell r="E1649" t="str">
            <v>IOCL</v>
          </cell>
          <cell r="F1649" t="str">
            <v>2017-18</v>
          </cell>
          <cell r="G1649" t="str">
            <v>Pune Saswad RSA</v>
          </cell>
          <cell r="H1649">
            <v>42854</v>
          </cell>
          <cell r="I1649" t="str">
            <v>OPEN</v>
          </cell>
          <cell r="J1649" t="str">
            <v>NIMBODI</v>
          </cell>
          <cell r="K1649" t="str">
            <v>Pune</v>
          </cell>
          <cell r="L1649" t="str">
            <v>E</v>
          </cell>
          <cell r="O1649" t="str">
            <v>B</v>
          </cell>
        </row>
        <row r="1650">
          <cell r="C1650">
            <v>299301</v>
          </cell>
          <cell r="D1650" t="str">
            <v>Shree Narayan Maharaj Petroleum</v>
          </cell>
          <cell r="E1650" t="str">
            <v>IOCL</v>
          </cell>
          <cell r="F1650" t="str">
            <v>2016-17</v>
          </cell>
          <cell r="G1650" t="str">
            <v>Pune Hadapsar RSA</v>
          </cell>
          <cell r="H1650">
            <v>42825</v>
          </cell>
          <cell r="I1650" t="str">
            <v>OPEN</v>
          </cell>
          <cell r="J1650" t="str">
            <v>Kedgaon-Supe</v>
          </cell>
          <cell r="K1650" t="str">
            <v>Pune</v>
          </cell>
          <cell r="L1650" t="str">
            <v>D1</v>
          </cell>
          <cell r="M1650" t="str">
            <v>NH-965D</v>
          </cell>
          <cell r="O1650" t="str">
            <v>B</v>
          </cell>
        </row>
        <row r="1651">
          <cell r="C1651">
            <v>304691</v>
          </cell>
          <cell r="D1651" t="str">
            <v>J Patil Petroleum</v>
          </cell>
          <cell r="E1651" t="str">
            <v>IOCL</v>
          </cell>
          <cell r="F1651" t="str">
            <v>2017-18</v>
          </cell>
          <cell r="G1651" t="str">
            <v>Pune City RSA</v>
          </cell>
          <cell r="H1651">
            <v>42916</v>
          </cell>
          <cell r="I1651" t="str">
            <v>OPEN</v>
          </cell>
          <cell r="J1651" t="str">
            <v>KASARSAI</v>
          </cell>
          <cell r="K1651" t="str">
            <v>Pune</v>
          </cell>
          <cell r="L1651" t="str">
            <v>D2</v>
          </cell>
          <cell r="O1651" t="str">
            <v>B</v>
          </cell>
        </row>
        <row r="1652">
          <cell r="C1652">
            <v>304744</v>
          </cell>
          <cell r="D1652" t="str">
            <v>Om Sai Petroleum</v>
          </cell>
          <cell r="E1652" t="str">
            <v>IOCL</v>
          </cell>
          <cell r="F1652" t="str">
            <v>2017-18</v>
          </cell>
          <cell r="G1652" t="str">
            <v>Pimpri Chinchwad RSA</v>
          </cell>
          <cell r="H1652">
            <v>42937</v>
          </cell>
          <cell r="I1652" t="str">
            <v>OPEN</v>
          </cell>
          <cell r="J1652" t="str">
            <v>Rajgurunagar on SH</v>
          </cell>
          <cell r="K1652" t="str">
            <v>Pune</v>
          </cell>
          <cell r="L1652" t="str">
            <v>D2</v>
          </cell>
          <cell r="O1652" t="str">
            <v>B</v>
          </cell>
        </row>
        <row r="1653">
          <cell r="C1653">
            <v>304746</v>
          </cell>
          <cell r="D1653" t="str">
            <v>Saksham Petroleum</v>
          </cell>
          <cell r="E1653" t="str">
            <v>IOCL</v>
          </cell>
          <cell r="F1653" t="str">
            <v>2017-18</v>
          </cell>
          <cell r="G1653" t="str">
            <v>Pimpri Chinchwad RSA</v>
          </cell>
          <cell r="H1653">
            <v>42916</v>
          </cell>
          <cell r="I1653" t="str">
            <v>OPEN</v>
          </cell>
          <cell r="J1653" t="str">
            <v>Rajgurunagar to Ghodegaon</v>
          </cell>
          <cell r="K1653" t="str">
            <v>Pune</v>
          </cell>
          <cell r="L1653" t="str">
            <v>D2</v>
          </cell>
          <cell r="O1653" t="str">
            <v>B</v>
          </cell>
        </row>
        <row r="1654">
          <cell r="C1654">
            <v>305176</v>
          </cell>
          <cell r="D1654" t="str">
            <v>Anand Petrol and Diesels</v>
          </cell>
          <cell r="E1654" t="str">
            <v>IOCL</v>
          </cell>
          <cell r="F1654" t="str">
            <v>2017-18</v>
          </cell>
          <cell r="G1654" t="str">
            <v>Satara West RSA</v>
          </cell>
          <cell r="H1654">
            <v>42944</v>
          </cell>
          <cell r="I1654" t="str">
            <v>OPEN</v>
          </cell>
          <cell r="J1654" t="str">
            <v>Umbraj on Patan SH</v>
          </cell>
          <cell r="K1654" t="str">
            <v>Satara</v>
          </cell>
          <cell r="L1654" t="str">
            <v>D2</v>
          </cell>
          <cell r="O1654" t="str">
            <v>B</v>
          </cell>
        </row>
        <row r="1655">
          <cell r="C1655">
            <v>306123</v>
          </cell>
          <cell r="D1655" t="str">
            <v>SHREE SADBHAVANA PETROLEUM</v>
          </cell>
          <cell r="E1655" t="str">
            <v>IOCL</v>
          </cell>
          <cell r="F1655" t="str">
            <v>2017-18</v>
          </cell>
          <cell r="G1655" t="str">
            <v>Pune Wagholi RSA</v>
          </cell>
          <cell r="H1655">
            <v>43007</v>
          </cell>
          <cell r="I1655" t="str">
            <v>OPEN</v>
          </cell>
          <cell r="J1655" t="str">
            <v>Narayangaon to Alephata RHS</v>
          </cell>
          <cell r="K1655" t="str">
            <v>Pune</v>
          </cell>
          <cell r="L1655" t="str">
            <v>D1</v>
          </cell>
          <cell r="M1655" t="str">
            <v>NH-60</v>
          </cell>
          <cell r="O1655" t="str">
            <v>B</v>
          </cell>
        </row>
        <row r="1656">
          <cell r="C1656">
            <v>306380</v>
          </cell>
          <cell r="D1656" t="str">
            <v>SHIVKRUPA PETROLEUM KSK</v>
          </cell>
          <cell r="E1656" t="str">
            <v>IOCL</v>
          </cell>
          <cell r="F1656" t="str">
            <v>2017-18</v>
          </cell>
          <cell r="G1656" t="str">
            <v>Pune Wagholi RSA</v>
          </cell>
          <cell r="H1656">
            <v>43007</v>
          </cell>
          <cell r="I1656" t="str">
            <v>OPEN</v>
          </cell>
          <cell r="J1656" t="str">
            <v>Pargaon Tarfe Ale</v>
          </cell>
          <cell r="K1656" t="str">
            <v>Pune</v>
          </cell>
          <cell r="L1656" t="str">
            <v>E</v>
          </cell>
          <cell r="O1656" t="str">
            <v>B</v>
          </cell>
        </row>
        <row r="1657">
          <cell r="C1657">
            <v>306971</v>
          </cell>
          <cell r="D1657" t="str">
            <v>S K Petroleum</v>
          </cell>
          <cell r="E1657" t="str">
            <v>IOCL</v>
          </cell>
          <cell r="F1657" t="str">
            <v>2017-18</v>
          </cell>
          <cell r="G1657" t="str">
            <v>Pune Saswad RSA</v>
          </cell>
          <cell r="H1657">
            <v>43039</v>
          </cell>
          <cell r="I1657" t="str">
            <v>OPEN</v>
          </cell>
          <cell r="J1657" t="str">
            <v>Malshiras Purandar</v>
          </cell>
          <cell r="K1657" t="str">
            <v>Pune</v>
          </cell>
          <cell r="L1657" t="str">
            <v>D2</v>
          </cell>
          <cell r="O1657" t="str">
            <v>B</v>
          </cell>
        </row>
        <row r="1658">
          <cell r="C1658">
            <v>307928</v>
          </cell>
          <cell r="D1658" t="str">
            <v>Rajlaxmi Petrohub</v>
          </cell>
          <cell r="E1658" t="str">
            <v>IOCL</v>
          </cell>
          <cell r="F1658" t="str">
            <v>2017-18</v>
          </cell>
          <cell r="G1658" t="str">
            <v>Pune City RSA</v>
          </cell>
          <cell r="H1658">
            <v>43069</v>
          </cell>
          <cell r="I1658" t="str">
            <v>OPEN</v>
          </cell>
          <cell r="J1658" t="str">
            <v>HINJEWADI</v>
          </cell>
          <cell r="K1658" t="str">
            <v>Pune</v>
          </cell>
          <cell r="L1658" t="str">
            <v>A</v>
          </cell>
          <cell r="O1658" t="str">
            <v>A</v>
          </cell>
        </row>
        <row r="1659">
          <cell r="C1659">
            <v>308514</v>
          </cell>
          <cell r="D1659" t="str">
            <v>SARVESH PETROLEUM</v>
          </cell>
          <cell r="E1659" t="str">
            <v>IOCL</v>
          </cell>
          <cell r="F1659" t="str">
            <v>2017-18</v>
          </cell>
          <cell r="G1659" t="str">
            <v>Pune Saswad RSA</v>
          </cell>
          <cell r="H1659">
            <v>43099</v>
          </cell>
          <cell r="I1659" t="str">
            <v>OPEN</v>
          </cell>
          <cell r="J1659" t="str">
            <v>Jejuri -Belsar-Urulikanchan Road</v>
          </cell>
          <cell r="K1659" t="str">
            <v>Pune</v>
          </cell>
          <cell r="L1659" t="str">
            <v>D2</v>
          </cell>
          <cell r="O1659" t="str">
            <v>B</v>
          </cell>
        </row>
        <row r="1660">
          <cell r="C1660">
            <v>308570</v>
          </cell>
          <cell r="D1660" t="str">
            <v xml:space="preserve"> SAARTHSHAURYA AGENCIES</v>
          </cell>
          <cell r="E1660" t="str">
            <v>IOCL</v>
          </cell>
          <cell r="F1660" t="str">
            <v>2017-18</v>
          </cell>
          <cell r="G1660" t="str">
            <v>Pune Tathawade RSA</v>
          </cell>
          <cell r="H1660">
            <v>43099</v>
          </cell>
          <cell r="I1660" t="str">
            <v>OPEN</v>
          </cell>
          <cell r="J1660" t="str">
            <v>JAMBHULWADI TO KHED SHIVAPUR</v>
          </cell>
          <cell r="K1660" t="str">
            <v>Pune</v>
          </cell>
          <cell r="L1660" t="str">
            <v>D1</v>
          </cell>
          <cell r="M1660" t="str">
            <v>NH-48</v>
          </cell>
          <cell r="O1660" t="str">
            <v>B</v>
          </cell>
        </row>
        <row r="1661">
          <cell r="C1661">
            <v>308586</v>
          </cell>
          <cell r="D1661" t="str">
            <v>MORAYA PETROL PUMP</v>
          </cell>
          <cell r="E1661" t="str">
            <v>IOCL</v>
          </cell>
          <cell r="F1661" t="str">
            <v>2017-18</v>
          </cell>
          <cell r="G1661" t="str">
            <v>Ahmednagar West RSA</v>
          </cell>
          <cell r="H1661">
            <v>43124</v>
          </cell>
          <cell r="I1661" t="str">
            <v>OPEN</v>
          </cell>
          <cell r="J1661" t="str">
            <v>TAKLI KAZI</v>
          </cell>
          <cell r="K1661" t="str">
            <v>Ahmednagar</v>
          </cell>
          <cell r="L1661" t="str">
            <v>D1</v>
          </cell>
          <cell r="M1661" t="str">
            <v>NH-561</v>
          </cell>
          <cell r="O1661" t="str">
            <v>B</v>
          </cell>
        </row>
        <row r="1662">
          <cell r="C1662">
            <v>308595</v>
          </cell>
          <cell r="D1662" t="str">
            <v>Mllikarjuneshwar Petrolem</v>
          </cell>
          <cell r="E1662" t="str">
            <v>IOCL</v>
          </cell>
          <cell r="F1662" t="str">
            <v>2017-18</v>
          </cell>
          <cell r="G1662" t="str">
            <v>Ahmednagar East RSA</v>
          </cell>
          <cell r="H1662">
            <v>43159</v>
          </cell>
          <cell r="I1662" t="str">
            <v>OPEN</v>
          </cell>
          <cell r="J1662" t="str">
            <v>GHOTAN</v>
          </cell>
          <cell r="K1662" t="str">
            <v>Ahmednagar</v>
          </cell>
          <cell r="L1662" t="str">
            <v>D2</v>
          </cell>
          <cell r="O1662" t="str">
            <v>B</v>
          </cell>
        </row>
        <row r="1663">
          <cell r="C1663">
            <v>308603</v>
          </cell>
          <cell r="D1663" t="str">
            <v xml:space="preserve"> SHRI VRIDHESWAR SAHAKARI SAKHAR KAR</v>
          </cell>
          <cell r="E1663" t="str">
            <v>IOCL</v>
          </cell>
          <cell r="F1663" t="str">
            <v>2017-18</v>
          </cell>
          <cell r="G1663" t="str">
            <v>Ahmednagar West RSA</v>
          </cell>
          <cell r="H1663">
            <v>43100</v>
          </cell>
          <cell r="I1663" t="str">
            <v>OPEN</v>
          </cell>
          <cell r="J1663" t="str">
            <v>Kasar Pimpalgaon</v>
          </cell>
          <cell r="K1663" t="str">
            <v>Ahmednagar</v>
          </cell>
          <cell r="L1663" t="str">
            <v>D2</v>
          </cell>
          <cell r="O1663" t="str">
            <v>B</v>
          </cell>
        </row>
        <row r="1664">
          <cell r="C1664">
            <v>308905</v>
          </cell>
          <cell r="D1664" t="str">
            <v>KHAMBESHWAR PETROLEUM KSK</v>
          </cell>
          <cell r="E1664" t="str">
            <v>IOCL</v>
          </cell>
          <cell r="F1664" t="str">
            <v>2017-18</v>
          </cell>
          <cell r="G1664" t="str">
            <v>Pune Hadapsar RSA</v>
          </cell>
          <cell r="H1664">
            <v>43118</v>
          </cell>
          <cell r="I1664" t="str">
            <v>OPEN</v>
          </cell>
          <cell r="J1664" t="str">
            <v>Khamgaon</v>
          </cell>
          <cell r="K1664" t="str">
            <v>Pune</v>
          </cell>
          <cell r="L1664" t="str">
            <v>E</v>
          </cell>
          <cell r="O1664" t="str">
            <v>B</v>
          </cell>
        </row>
        <row r="1665">
          <cell r="C1665">
            <v>309051</v>
          </cell>
          <cell r="D1665" t="str">
            <v>Janai Petroleum</v>
          </cell>
          <cell r="E1665" t="str">
            <v>IOCL</v>
          </cell>
          <cell r="F1665" t="str">
            <v>2017-18</v>
          </cell>
          <cell r="G1665" t="str">
            <v>Satara West RSA</v>
          </cell>
          <cell r="H1665">
            <v>43133</v>
          </cell>
          <cell r="I1665" t="str">
            <v>OPEN</v>
          </cell>
          <cell r="J1665" t="str">
            <v>KARAD TO KASHIL</v>
          </cell>
          <cell r="K1665" t="str">
            <v>Satara</v>
          </cell>
          <cell r="L1665" t="str">
            <v>D1</v>
          </cell>
          <cell r="M1665" t="str">
            <v>NH-48</v>
          </cell>
          <cell r="O1665" t="str">
            <v>B</v>
          </cell>
        </row>
        <row r="1666">
          <cell r="C1666">
            <v>310993</v>
          </cell>
          <cell r="D1666" t="str">
            <v>MATOSHRI SERVICE STATION</v>
          </cell>
          <cell r="E1666" t="str">
            <v>IOCL</v>
          </cell>
          <cell r="F1666" t="str">
            <v>2017-18</v>
          </cell>
          <cell r="G1666" t="str">
            <v>Satara West RSA</v>
          </cell>
          <cell r="H1666">
            <v>43190</v>
          </cell>
          <cell r="I1666" t="str">
            <v>SC</v>
          </cell>
          <cell r="J1666" t="str">
            <v>Umbraj Masur Road</v>
          </cell>
          <cell r="K1666" t="str">
            <v>Satara</v>
          </cell>
          <cell r="L1666" t="str">
            <v>D2</v>
          </cell>
          <cell r="O1666" t="str">
            <v>A</v>
          </cell>
        </row>
        <row r="1667">
          <cell r="C1667">
            <v>311268</v>
          </cell>
          <cell r="D1667" t="str">
            <v>RAMLING PETROLEUM</v>
          </cell>
          <cell r="E1667" t="str">
            <v>IOCL</v>
          </cell>
          <cell r="F1667" t="str">
            <v>2017-18</v>
          </cell>
          <cell r="G1667" t="str">
            <v>Pune Wagholi RSA</v>
          </cell>
          <cell r="H1667">
            <v>43131</v>
          </cell>
          <cell r="I1667" t="str">
            <v>ST</v>
          </cell>
          <cell r="J1667" t="str">
            <v>Golegaon</v>
          </cell>
          <cell r="K1667" t="str">
            <v>Pune</v>
          </cell>
          <cell r="L1667" t="str">
            <v>E</v>
          </cell>
          <cell r="O1667" t="str">
            <v>A</v>
          </cell>
        </row>
        <row r="1668">
          <cell r="C1668">
            <v>311309</v>
          </cell>
          <cell r="D1668" t="str">
            <v>KUSUM PETROLINK</v>
          </cell>
          <cell r="E1668" t="str">
            <v>IOCL</v>
          </cell>
          <cell r="F1668" t="str">
            <v>2017-18</v>
          </cell>
          <cell r="G1668" t="str">
            <v>Satara West RSA</v>
          </cell>
          <cell r="H1668">
            <v>43190</v>
          </cell>
          <cell r="I1668" t="str">
            <v>OPEN</v>
          </cell>
          <cell r="J1668" t="str">
            <v>Bhuinj to Satara</v>
          </cell>
          <cell r="K1668" t="str">
            <v>Satara</v>
          </cell>
          <cell r="L1668" t="str">
            <v>D1</v>
          </cell>
          <cell r="M1668" t="str">
            <v>NH-48</v>
          </cell>
          <cell r="O1668" t="str">
            <v>B</v>
          </cell>
        </row>
        <row r="1669">
          <cell r="C1669">
            <v>311568</v>
          </cell>
          <cell r="D1669" t="str">
            <v>AAI PETROLEUM</v>
          </cell>
          <cell r="E1669" t="str">
            <v>IOCL</v>
          </cell>
          <cell r="F1669" t="str">
            <v>2017-18</v>
          </cell>
          <cell r="G1669" t="str">
            <v>Pune Wagholi RSA</v>
          </cell>
          <cell r="H1669">
            <v>43190</v>
          </cell>
          <cell r="I1669" t="str">
            <v>ST</v>
          </cell>
          <cell r="J1669" t="str">
            <v>Junnar</v>
          </cell>
          <cell r="K1669" t="str">
            <v>Pune</v>
          </cell>
          <cell r="L1669" t="str">
            <v>D2</v>
          </cell>
          <cell r="O1669" t="str">
            <v>A</v>
          </cell>
        </row>
        <row r="1670">
          <cell r="C1670">
            <v>311572</v>
          </cell>
          <cell r="D1670" t="str">
            <v>AHER PATIL &amp; SONS</v>
          </cell>
          <cell r="E1670" t="str">
            <v>IOCL</v>
          </cell>
          <cell r="F1670" t="str">
            <v>2017-18</v>
          </cell>
          <cell r="G1670" t="str">
            <v>Shirdi RSA</v>
          </cell>
          <cell r="H1670">
            <v>43190</v>
          </cell>
          <cell r="I1670" t="str">
            <v>OPEN</v>
          </cell>
          <cell r="J1670" t="str">
            <v>GHARGAON Nashik-Pune RHS</v>
          </cell>
          <cell r="K1670" t="str">
            <v>Ahmednagar</v>
          </cell>
          <cell r="L1670" t="str">
            <v>D1</v>
          </cell>
          <cell r="M1670" t="str">
            <v>NH-60</v>
          </cell>
          <cell r="O1670" t="str">
            <v>B</v>
          </cell>
        </row>
        <row r="1671">
          <cell r="C1671">
            <v>311580</v>
          </cell>
          <cell r="D1671" t="str">
            <v>TIRUPATI BALAJI PETROLEUM</v>
          </cell>
          <cell r="E1671" t="str">
            <v>IOCL</v>
          </cell>
          <cell r="F1671" t="str">
            <v>2017-18</v>
          </cell>
          <cell r="G1671" t="str">
            <v>Shirdi RSA</v>
          </cell>
          <cell r="H1671">
            <v>43190</v>
          </cell>
          <cell r="I1671" t="str">
            <v>SC</v>
          </cell>
          <cell r="J1671" t="str">
            <v>TALEGAON SANGAMNER NH</v>
          </cell>
          <cell r="K1671" t="str">
            <v>Ahmednagar</v>
          </cell>
          <cell r="L1671" t="str">
            <v>D1</v>
          </cell>
          <cell r="M1671" t="str">
            <v>NH-160D</v>
          </cell>
          <cell r="O1671" t="str">
            <v>A</v>
          </cell>
        </row>
        <row r="1672">
          <cell r="C1672">
            <v>312274</v>
          </cell>
          <cell r="D1672" t="str">
            <v>Maitri Petroleum</v>
          </cell>
          <cell r="E1672" t="str">
            <v>IOCL</v>
          </cell>
          <cell r="F1672" t="str">
            <v>2018-19</v>
          </cell>
          <cell r="G1672" t="str">
            <v>Ahmednagar West RSA</v>
          </cell>
          <cell r="H1672">
            <v>43251</v>
          </cell>
          <cell r="I1672" t="str">
            <v>OPEN</v>
          </cell>
          <cell r="J1672" t="str">
            <v>MANIKDAUNDI-SH</v>
          </cell>
          <cell r="K1672" t="str">
            <v>Ahmednagar</v>
          </cell>
          <cell r="L1672" t="str">
            <v>D2</v>
          </cell>
          <cell r="O1672" t="str">
            <v>B</v>
          </cell>
        </row>
        <row r="1673">
          <cell r="C1673">
            <v>312338</v>
          </cell>
          <cell r="D1673" t="str">
            <v>Shri Dattakrupa Petroleum</v>
          </cell>
          <cell r="E1673" t="str">
            <v>IOCL</v>
          </cell>
          <cell r="F1673" t="str">
            <v>2018-19</v>
          </cell>
          <cell r="G1673" t="str">
            <v>Ahmednagar West RSA</v>
          </cell>
          <cell r="H1673">
            <v>43258</v>
          </cell>
          <cell r="I1673" t="str">
            <v>OBC</v>
          </cell>
          <cell r="J1673" t="str">
            <v>Ghargaon</v>
          </cell>
          <cell r="K1673" t="str">
            <v>Ahmednagar</v>
          </cell>
          <cell r="L1673" t="str">
            <v>E</v>
          </cell>
          <cell r="O1673" t="str">
            <v>B</v>
          </cell>
        </row>
        <row r="1674">
          <cell r="C1674">
            <v>312681</v>
          </cell>
          <cell r="D1674" t="str">
            <v>Vilas Petroleum</v>
          </cell>
          <cell r="E1674" t="str">
            <v>IOCL</v>
          </cell>
          <cell r="F1674" t="str">
            <v>2018-19</v>
          </cell>
          <cell r="G1674" t="str">
            <v>Pune City RSA</v>
          </cell>
          <cell r="H1674">
            <v>43250</v>
          </cell>
          <cell r="I1674" t="str">
            <v>SC</v>
          </cell>
          <cell r="J1674" t="str">
            <v>WANWORIE</v>
          </cell>
          <cell r="K1674" t="str">
            <v>Pune</v>
          </cell>
          <cell r="L1674" t="str">
            <v>A</v>
          </cell>
          <cell r="O1674" t="str">
            <v>A</v>
          </cell>
        </row>
        <row r="1675">
          <cell r="C1675">
            <v>312828</v>
          </cell>
          <cell r="D1675" t="str">
            <v>Pawar Petroleum</v>
          </cell>
          <cell r="E1675" t="str">
            <v>IOCL</v>
          </cell>
          <cell r="F1675" t="str">
            <v>2018-19</v>
          </cell>
          <cell r="G1675" t="str">
            <v>Pimpri Chinchwad RSA</v>
          </cell>
          <cell r="H1675">
            <v>43276</v>
          </cell>
          <cell r="I1675" t="str">
            <v>OPEN</v>
          </cell>
          <cell r="J1675" t="str">
            <v>Nehru Nagar</v>
          </cell>
          <cell r="K1675" t="str">
            <v>Pune</v>
          </cell>
          <cell r="L1675" t="str">
            <v>A</v>
          </cell>
          <cell r="O1675" t="str">
            <v>B</v>
          </cell>
        </row>
        <row r="1676">
          <cell r="C1676">
            <v>313338</v>
          </cell>
          <cell r="D1676" t="str">
            <v>Jadhav Petro Park</v>
          </cell>
          <cell r="E1676" t="str">
            <v>IOCL</v>
          </cell>
          <cell r="F1676" t="str">
            <v>2018-19</v>
          </cell>
          <cell r="G1676" t="str">
            <v>Pune Hadapsar RSA</v>
          </cell>
          <cell r="H1676">
            <v>43312</v>
          </cell>
          <cell r="I1676" t="str">
            <v>OBC</v>
          </cell>
          <cell r="J1676" t="str">
            <v>Kurkumbh RHS</v>
          </cell>
          <cell r="K1676" t="str">
            <v>Pune</v>
          </cell>
          <cell r="L1676" t="str">
            <v>D1</v>
          </cell>
          <cell r="M1676" t="str">
            <v>NH-65</v>
          </cell>
          <cell r="O1676" t="str">
            <v>A</v>
          </cell>
        </row>
        <row r="1677">
          <cell r="C1677">
            <v>313960</v>
          </cell>
          <cell r="D1677" t="str">
            <v>Saubhagya Petroleum</v>
          </cell>
          <cell r="E1677" t="str">
            <v>IOCL</v>
          </cell>
          <cell r="F1677" t="str">
            <v>2018-19</v>
          </cell>
          <cell r="G1677" t="str">
            <v>Pune Hadapsar RSA</v>
          </cell>
          <cell r="H1677">
            <v>43311</v>
          </cell>
          <cell r="I1677" t="str">
            <v>OBC</v>
          </cell>
          <cell r="J1677" t="str">
            <v>Mandhavgaon-pharata</v>
          </cell>
          <cell r="K1677" t="str">
            <v>Pune</v>
          </cell>
          <cell r="L1677" t="str">
            <v>E</v>
          </cell>
          <cell r="O1677" t="str">
            <v>B</v>
          </cell>
        </row>
        <row r="1678">
          <cell r="C1678">
            <v>315103</v>
          </cell>
          <cell r="D1678" t="str">
            <v>VAIBHAV PETRO HUB</v>
          </cell>
          <cell r="E1678" t="str">
            <v>IOCL</v>
          </cell>
          <cell r="F1678" t="str">
            <v>2018-19</v>
          </cell>
          <cell r="G1678" t="str">
            <v>Pune Hadapsar RSA</v>
          </cell>
          <cell r="H1678">
            <v>43373</v>
          </cell>
          <cell r="I1678" t="str">
            <v>OPEN</v>
          </cell>
          <cell r="J1678" t="str">
            <v>Varvand RHS</v>
          </cell>
          <cell r="K1678" t="str">
            <v>Pune</v>
          </cell>
          <cell r="L1678" t="str">
            <v>D1</v>
          </cell>
          <cell r="M1678" t="str">
            <v>NH-65</v>
          </cell>
          <cell r="O1678" t="str">
            <v>A</v>
          </cell>
        </row>
        <row r="1679">
          <cell r="C1679">
            <v>315209</v>
          </cell>
          <cell r="D1679" t="str">
            <v>COMMANDANT SRPF GR.V</v>
          </cell>
          <cell r="E1679" t="str">
            <v>IOCL</v>
          </cell>
          <cell r="F1679" t="str">
            <v>2018-19</v>
          </cell>
          <cell r="G1679" t="str">
            <v>Pune Hadapsar RSA</v>
          </cell>
          <cell r="H1679">
            <v>43369</v>
          </cell>
          <cell r="I1679" t="str">
            <v>Govt Agency</v>
          </cell>
          <cell r="J1679" t="str">
            <v>Daund-City</v>
          </cell>
          <cell r="K1679" t="str">
            <v>Pune</v>
          </cell>
          <cell r="L1679" t="str">
            <v>D2</v>
          </cell>
          <cell r="O1679" t="str">
            <v>B</v>
          </cell>
        </row>
        <row r="1680">
          <cell r="C1680">
            <v>316807</v>
          </cell>
          <cell r="D1680" t="str">
            <v>Dhiwar Petroleum</v>
          </cell>
          <cell r="E1680" t="str">
            <v>IOCL</v>
          </cell>
          <cell r="F1680" t="str">
            <v>2018-19</v>
          </cell>
          <cell r="G1680" t="str">
            <v>Pune Tathawade RSA</v>
          </cell>
          <cell r="H1680">
            <v>43434</v>
          </cell>
          <cell r="I1680" t="str">
            <v>SC</v>
          </cell>
          <cell r="J1680" t="str">
            <v>KAPURHOL TO SAROLA</v>
          </cell>
          <cell r="K1680" t="str">
            <v>Pune</v>
          </cell>
          <cell r="L1680" t="str">
            <v>D1</v>
          </cell>
          <cell r="M1680" t="str">
            <v>NH-48</v>
          </cell>
          <cell r="O1680" t="str">
            <v>A</v>
          </cell>
        </row>
        <row r="1681">
          <cell r="C1681">
            <v>319406</v>
          </cell>
          <cell r="D1681" t="str">
            <v>MAHALAXMI PETROLINK</v>
          </cell>
          <cell r="E1681" t="str">
            <v>IOCL</v>
          </cell>
          <cell r="F1681" t="str">
            <v>2018-19</v>
          </cell>
          <cell r="G1681" t="str">
            <v>Pune Wagholi RSA</v>
          </cell>
          <cell r="H1681">
            <v>43524</v>
          </cell>
          <cell r="I1681" t="str">
            <v>SC</v>
          </cell>
          <cell r="J1681" t="str">
            <v>SOMATHWADI</v>
          </cell>
          <cell r="K1681" t="str">
            <v>Pune</v>
          </cell>
          <cell r="L1681" t="str">
            <v>E</v>
          </cell>
          <cell r="O1681" t="str">
            <v>A</v>
          </cell>
        </row>
        <row r="1682">
          <cell r="C1682">
            <v>319411</v>
          </cell>
          <cell r="D1682" t="str">
            <v>SHREE YASHWANTRAY PETROLEUM</v>
          </cell>
          <cell r="E1682" t="str">
            <v>IOCL</v>
          </cell>
          <cell r="F1682" t="str">
            <v>2018-19</v>
          </cell>
          <cell r="G1682" t="str">
            <v>Pune Tathawade RSA</v>
          </cell>
          <cell r="H1682">
            <v>43524</v>
          </cell>
          <cell r="I1682" t="str">
            <v>OPEN</v>
          </cell>
          <cell r="J1682" t="str">
            <v>SUPE BARAMATI</v>
          </cell>
          <cell r="K1682" t="str">
            <v>Pune</v>
          </cell>
          <cell r="L1682" t="str">
            <v>D1</v>
          </cell>
          <cell r="M1682" t="str">
            <v>NH-965D</v>
          </cell>
          <cell r="O1682" t="str">
            <v>B</v>
          </cell>
        </row>
        <row r="1683">
          <cell r="C1683">
            <v>320001</v>
          </cell>
          <cell r="D1683" t="str">
            <v>Om Saidatta Petroleum</v>
          </cell>
          <cell r="E1683" t="str">
            <v>IOCL</v>
          </cell>
          <cell r="F1683" t="str">
            <v>2018-19</v>
          </cell>
          <cell r="G1683" t="str">
            <v>Shirdi RSA</v>
          </cell>
          <cell r="H1683">
            <v>43553</v>
          </cell>
          <cell r="I1683" t="str">
            <v>OPEN (W)</v>
          </cell>
          <cell r="J1683" t="str">
            <v>BHERADAPUR</v>
          </cell>
          <cell r="K1683" t="str">
            <v>Ahmednagar</v>
          </cell>
          <cell r="L1683" t="str">
            <v>E</v>
          </cell>
          <cell r="O1683" t="str">
            <v>B</v>
          </cell>
        </row>
        <row r="1684">
          <cell r="C1684">
            <v>322509</v>
          </cell>
          <cell r="D1684" t="str">
            <v>MATOBA PETROLEUM</v>
          </cell>
          <cell r="E1684" t="str">
            <v>IOCL</v>
          </cell>
          <cell r="F1684" t="str">
            <v>2019-20</v>
          </cell>
          <cell r="G1684" t="str">
            <v>Pune Hadapsar RSA</v>
          </cell>
          <cell r="H1684">
            <v>43646</v>
          </cell>
          <cell r="I1684" t="str">
            <v>OPEN</v>
          </cell>
          <cell r="J1684" t="str">
            <v>Pimpalgaon</v>
          </cell>
          <cell r="K1684" t="str">
            <v>Pune</v>
          </cell>
          <cell r="L1684" t="str">
            <v>E</v>
          </cell>
          <cell r="O1684" t="str">
            <v>B</v>
          </cell>
        </row>
        <row r="1685">
          <cell r="C1685">
            <v>323139</v>
          </cell>
          <cell r="D1685" t="str">
            <v>NALANDA PETROLEUM KSK</v>
          </cell>
          <cell r="E1685" t="str">
            <v>IOCL</v>
          </cell>
          <cell r="F1685" t="str">
            <v>2019-20</v>
          </cell>
          <cell r="G1685" t="str">
            <v>Pune Wagholi RSA</v>
          </cell>
          <cell r="H1685">
            <v>43677</v>
          </cell>
          <cell r="I1685" t="str">
            <v>SC</v>
          </cell>
          <cell r="J1685" t="str">
            <v>Jambut</v>
          </cell>
          <cell r="K1685" t="str">
            <v>Pune</v>
          </cell>
          <cell r="L1685" t="str">
            <v>E</v>
          </cell>
          <cell r="O1685" t="str">
            <v>A</v>
          </cell>
        </row>
        <row r="1686">
          <cell r="C1686">
            <v>323570</v>
          </cell>
          <cell r="D1686" t="str">
            <v>COCO Velhe</v>
          </cell>
          <cell r="E1686" t="str">
            <v>IOCL</v>
          </cell>
          <cell r="G1686" t="str">
            <v>Satara West RSA</v>
          </cell>
          <cell r="H1686">
            <v>43712</v>
          </cell>
          <cell r="I1686" t="str">
            <v>OPEN</v>
          </cell>
          <cell r="J1686" t="str">
            <v>Khandala to Bhuinj</v>
          </cell>
          <cell r="K1686" t="str">
            <v>Satara</v>
          </cell>
          <cell r="L1686" t="str">
            <v>D1</v>
          </cell>
          <cell r="M1686" t="str">
            <v>NH-48</v>
          </cell>
          <cell r="O1686" t="str">
            <v>A</v>
          </cell>
        </row>
        <row r="1687">
          <cell r="C1687">
            <v>323650</v>
          </cell>
          <cell r="D1687" t="str">
            <v>KG Petroleum</v>
          </cell>
          <cell r="E1687" t="str">
            <v>IOCL</v>
          </cell>
          <cell r="F1687" t="str">
            <v>2019-20</v>
          </cell>
          <cell r="G1687" t="str">
            <v>Ahmednagar East RSA</v>
          </cell>
          <cell r="H1687">
            <v>43708</v>
          </cell>
          <cell r="I1687" t="str">
            <v>OPEN</v>
          </cell>
          <cell r="J1687" t="str">
            <v>Ghodegaon</v>
          </cell>
          <cell r="K1687" t="str">
            <v>Ahmednagar</v>
          </cell>
          <cell r="L1687" t="str">
            <v>D1</v>
          </cell>
          <cell r="M1687" t="str">
            <v>NH-753F</v>
          </cell>
          <cell r="O1687" t="str">
            <v>B</v>
          </cell>
        </row>
        <row r="1688">
          <cell r="C1688">
            <v>324304</v>
          </cell>
          <cell r="D1688" t="str">
            <v>Jotirling Petroleum</v>
          </cell>
          <cell r="E1688" t="str">
            <v>IOCL</v>
          </cell>
          <cell r="F1688" t="str">
            <v>2019-20</v>
          </cell>
          <cell r="G1688" t="str">
            <v>Satara East RSA</v>
          </cell>
          <cell r="H1688">
            <v>43738</v>
          </cell>
          <cell r="I1688" t="str">
            <v>OPEN</v>
          </cell>
          <cell r="J1688" t="str">
            <v>Nhavi Budruk</v>
          </cell>
          <cell r="K1688" t="str">
            <v>Satara</v>
          </cell>
          <cell r="L1688" t="str">
            <v>D2</v>
          </cell>
          <cell r="O1688" t="str">
            <v>B</v>
          </cell>
        </row>
        <row r="1689">
          <cell r="C1689">
            <v>325050</v>
          </cell>
          <cell r="D1689" t="str">
            <v>Laxmi Energy &amp; Fuels</v>
          </cell>
          <cell r="E1689" t="str">
            <v>IOCL</v>
          </cell>
          <cell r="F1689" t="str">
            <v>2019-20</v>
          </cell>
          <cell r="G1689" t="str">
            <v>Pimpri Chinchwad RSA</v>
          </cell>
          <cell r="H1689">
            <v>43796</v>
          </cell>
          <cell r="I1689" t="str">
            <v>OPEN</v>
          </cell>
          <cell r="J1689" t="str">
            <v>Bhosari</v>
          </cell>
          <cell r="K1689" t="str">
            <v>Pune</v>
          </cell>
          <cell r="L1689" t="str">
            <v>A</v>
          </cell>
          <cell r="O1689" t="str">
            <v>B</v>
          </cell>
        </row>
        <row r="1690">
          <cell r="C1690">
            <v>325054</v>
          </cell>
          <cell r="D1690" t="str">
            <v>GAURAV PETROLEUMS</v>
          </cell>
          <cell r="E1690" t="str">
            <v>IOCL</v>
          </cell>
          <cell r="F1690" t="str">
            <v>2019-20</v>
          </cell>
          <cell r="G1690" t="str">
            <v>Pune Saswad RSA</v>
          </cell>
          <cell r="H1690">
            <v>43768</v>
          </cell>
          <cell r="I1690" t="str">
            <v>ST</v>
          </cell>
          <cell r="J1690" t="str">
            <v>WALCHANDNAGAR-BAVDA ROAD</v>
          </cell>
          <cell r="K1690" t="str">
            <v>Pune</v>
          </cell>
          <cell r="L1690" t="str">
            <v>D2</v>
          </cell>
          <cell r="O1690" t="str">
            <v>A</v>
          </cell>
        </row>
        <row r="1691">
          <cell r="C1691">
            <v>325871</v>
          </cell>
          <cell r="D1691" t="str">
            <v>COMMANDANT SRPF GR.VII</v>
          </cell>
          <cell r="E1691" t="str">
            <v>IOCL</v>
          </cell>
          <cell r="F1691" t="str">
            <v>2019-20</v>
          </cell>
          <cell r="G1691" t="str">
            <v>Pune Hadapsar RSA</v>
          </cell>
          <cell r="H1691">
            <v>43853</v>
          </cell>
          <cell r="I1691" t="str">
            <v>Govt Agency</v>
          </cell>
          <cell r="J1691" t="str">
            <v>Daund-City</v>
          </cell>
          <cell r="K1691" t="str">
            <v>Pune</v>
          </cell>
          <cell r="L1691" t="str">
            <v>D2</v>
          </cell>
          <cell r="O1691" t="str">
            <v>B</v>
          </cell>
        </row>
        <row r="1692">
          <cell r="C1692">
            <v>325976</v>
          </cell>
          <cell r="D1692" t="str">
            <v>Shree Nilkantheshwar Petroleum</v>
          </cell>
          <cell r="E1692" t="str">
            <v>IOCL</v>
          </cell>
          <cell r="F1692" t="str">
            <v>2019-20</v>
          </cell>
          <cell r="G1692" t="str">
            <v>Pune Saswad RSA</v>
          </cell>
          <cell r="H1692">
            <v>43799</v>
          </cell>
          <cell r="I1692" t="str">
            <v>OPEN</v>
          </cell>
          <cell r="J1692" t="str">
            <v>JUNCTION</v>
          </cell>
          <cell r="K1692" t="str">
            <v>Pune</v>
          </cell>
          <cell r="L1692" t="str">
            <v>D1</v>
          </cell>
          <cell r="M1692" t="str">
            <v>NH-965G</v>
          </cell>
          <cell r="O1692" t="str">
            <v>B</v>
          </cell>
        </row>
        <row r="1693">
          <cell r="C1693">
            <v>326616</v>
          </cell>
          <cell r="D1693" t="str">
            <v>Suryawanshi Petroleum</v>
          </cell>
          <cell r="E1693" t="str">
            <v>IOCL</v>
          </cell>
          <cell r="F1693" t="str">
            <v>2019-20</v>
          </cell>
          <cell r="G1693" t="str">
            <v>Pune Saswad RSA</v>
          </cell>
          <cell r="H1693">
            <v>43841</v>
          </cell>
          <cell r="I1693" t="str">
            <v>OPEN</v>
          </cell>
          <cell r="J1693" t="str">
            <v>BAVDA</v>
          </cell>
          <cell r="K1693" t="str">
            <v>Pune</v>
          </cell>
          <cell r="L1693" t="str">
            <v>D1</v>
          </cell>
          <cell r="M1693" t="str">
            <v>NH-965G</v>
          </cell>
          <cell r="O1693" t="str">
            <v>B</v>
          </cell>
        </row>
        <row r="1694">
          <cell r="C1694">
            <v>326627</v>
          </cell>
          <cell r="D1694" t="str">
            <v>G J Petroleum</v>
          </cell>
          <cell r="E1694" t="str">
            <v>IOCL</v>
          </cell>
          <cell r="F1694" t="str">
            <v>2019-20</v>
          </cell>
          <cell r="G1694" t="str">
            <v>Pune Saswad RSA</v>
          </cell>
          <cell r="H1694">
            <v>43830</v>
          </cell>
          <cell r="I1694" t="str">
            <v>OBC</v>
          </cell>
          <cell r="J1694" t="str">
            <v>Vadapuri</v>
          </cell>
          <cell r="K1694" t="str">
            <v>Pune</v>
          </cell>
          <cell r="L1694" t="str">
            <v>D1</v>
          </cell>
          <cell r="M1694" t="str">
            <v>NH-965G</v>
          </cell>
          <cell r="O1694" t="str">
            <v>B</v>
          </cell>
        </row>
        <row r="1695">
          <cell r="C1695">
            <v>326650</v>
          </cell>
          <cell r="D1695" t="str">
            <v>Abhishek Petroleum</v>
          </cell>
          <cell r="E1695" t="str">
            <v>IOCL</v>
          </cell>
          <cell r="F1695" t="str">
            <v>2019-20</v>
          </cell>
          <cell r="G1695" t="str">
            <v>Satara East RSA</v>
          </cell>
          <cell r="H1695">
            <v>43830</v>
          </cell>
          <cell r="I1695" t="str">
            <v>OPEN</v>
          </cell>
          <cell r="J1695" t="str">
            <v>Vidani</v>
          </cell>
          <cell r="K1695" t="str">
            <v>Satara</v>
          </cell>
          <cell r="L1695" t="str">
            <v>D1</v>
          </cell>
          <cell r="M1695" t="str">
            <v>NH-965</v>
          </cell>
          <cell r="O1695" t="str">
            <v>B</v>
          </cell>
        </row>
        <row r="1696">
          <cell r="C1696">
            <v>327530</v>
          </cell>
          <cell r="D1696" t="str">
            <v>B G Petroleum</v>
          </cell>
          <cell r="E1696" t="str">
            <v>IOCL</v>
          </cell>
          <cell r="F1696" t="str">
            <v>2019-20</v>
          </cell>
          <cell r="G1696" t="str">
            <v>Satara East RSA</v>
          </cell>
          <cell r="H1696">
            <v>43861</v>
          </cell>
          <cell r="I1696" t="str">
            <v>OPEN</v>
          </cell>
          <cell r="J1696" t="str">
            <v>Phalton Dahiwadi road</v>
          </cell>
          <cell r="K1696" t="str">
            <v>Satara</v>
          </cell>
          <cell r="L1696" t="str">
            <v>D1</v>
          </cell>
          <cell r="M1696" t="str">
            <v>NH-160</v>
          </cell>
          <cell r="O1696" t="str">
            <v>B</v>
          </cell>
        </row>
        <row r="1697">
          <cell r="C1697">
            <v>327553</v>
          </cell>
          <cell r="D1697" t="str">
            <v>Magar Petroleum</v>
          </cell>
          <cell r="E1697" t="str">
            <v>IOCL</v>
          </cell>
          <cell r="F1697" t="str">
            <v>2019-20</v>
          </cell>
          <cell r="G1697" t="str">
            <v>Pune Saswad RSA</v>
          </cell>
          <cell r="H1697">
            <v>43861</v>
          </cell>
          <cell r="I1697" t="str">
            <v>OPEN</v>
          </cell>
          <cell r="J1697" t="str">
            <v>Junction-Nimgaon Ketki Raod</v>
          </cell>
          <cell r="K1697" t="str">
            <v>Pune</v>
          </cell>
          <cell r="L1697" t="str">
            <v>D1</v>
          </cell>
          <cell r="M1697" t="str">
            <v>NH-965G</v>
          </cell>
          <cell r="O1697" t="str">
            <v>B</v>
          </cell>
        </row>
        <row r="1698">
          <cell r="C1698">
            <v>327559</v>
          </cell>
          <cell r="D1698" t="str">
            <v>RAMKRUSHNA PETROLEUM</v>
          </cell>
          <cell r="E1698" t="str">
            <v>IOCL</v>
          </cell>
          <cell r="F1698" t="str">
            <v>2019-20</v>
          </cell>
          <cell r="G1698" t="str">
            <v>Satara West RSA</v>
          </cell>
          <cell r="H1698">
            <v>43883</v>
          </cell>
          <cell r="I1698" t="str">
            <v>OPEN</v>
          </cell>
          <cell r="J1698" t="str">
            <v>Kodoli to Ghojegaon</v>
          </cell>
          <cell r="K1698" t="str">
            <v>Satara</v>
          </cell>
          <cell r="L1698" t="str">
            <v>D2</v>
          </cell>
          <cell r="O1698" t="str">
            <v>B</v>
          </cell>
        </row>
        <row r="1699">
          <cell r="C1699">
            <v>328581</v>
          </cell>
          <cell r="D1699" t="str">
            <v>MILESTONE FUEL STATION</v>
          </cell>
          <cell r="E1699" t="str">
            <v>IOCL</v>
          </cell>
          <cell r="F1699" t="str">
            <v>2019-20</v>
          </cell>
          <cell r="G1699" t="str">
            <v>Ahmednagar East RSA</v>
          </cell>
          <cell r="H1699">
            <v>43906</v>
          </cell>
          <cell r="I1699" t="str">
            <v>OPEN</v>
          </cell>
          <cell r="J1699" t="str">
            <v>Kamargaon</v>
          </cell>
          <cell r="K1699" t="str">
            <v>Ahmednagar</v>
          </cell>
          <cell r="L1699" t="str">
            <v>D1</v>
          </cell>
          <cell r="M1699" t="str">
            <v>NH-753F</v>
          </cell>
          <cell r="O1699" t="str">
            <v>B</v>
          </cell>
        </row>
        <row r="1700">
          <cell r="C1700">
            <v>328609</v>
          </cell>
          <cell r="D1700" t="str">
            <v>GOKUL PETROLEUM</v>
          </cell>
          <cell r="E1700" t="str">
            <v>IOCL</v>
          </cell>
          <cell r="F1700" t="str">
            <v>2019-20</v>
          </cell>
          <cell r="G1700" t="str">
            <v>Satara East RSA</v>
          </cell>
          <cell r="H1700">
            <v>43890</v>
          </cell>
          <cell r="I1700" t="str">
            <v>OBC</v>
          </cell>
          <cell r="J1700" t="str">
            <v>Wathar Kiruli</v>
          </cell>
          <cell r="K1700" t="str">
            <v>Satara</v>
          </cell>
          <cell r="L1700" t="str">
            <v>E</v>
          </cell>
          <cell r="O1700" t="str">
            <v>B</v>
          </cell>
        </row>
        <row r="1701">
          <cell r="C1701">
            <v>328616</v>
          </cell>
          <cell r="D1701" t="str">
            <v>SHRI VYANKANATH PETROLEUM KSK</v>
          </cell>
          <cell r="E1701" t="str">
            <v>IOCL</v>
          </cell>
          <cell r="F1701" t="str">
            <v>2020-21</v>
          </cell>
          <cell r="G1701" t="str">
            <v>Ahmednagar West RSA</v>
          </cell>
          <cell r="H1701">
            <v>43992</v>
          </cell>
          <cell r="I1701" t="str">
            <v>SC</v>
          </cell>
          <cell r="J1701" t="str">
            <v>Loni Vyanknath</v>
          </cell>
          <cell r="K1701" t="str">
            <v>Ahmednagar</v>
          </cell>
          <cell r="L1701" t="str">
            <v>E</v>
          </cell>
          <cell r="O1701" t="str">
            <v>A</v>
          </cell>
        </row>
        <row r="1702">
          <cell r="C1702">
            <v>329224</v>
          </cell>
          <cell r="D1702" t="str">
            <v>SHREE GANESHA PETROLEUM</v>
          </cell>
          <cell r="E1702" t="str">
            <v>IOCL</v>
          </cell>
          <cell r="F1702" t="str">
            <v>2020-21</v>
          </cell>
          <cell r="G1702" t="str">
            <v>Pune Wagholi RSA</v>
          </cell>
          <cell r="H1702">
            <v>43980</v>
          </cell>
          <cell r="I1702" t="str">
            <v>OPEN</v>
          </cell>
          <cell r="J1702" t="str">
            <v>Ranjangaon RHS</v>
          </cell>
          <cell r="K1702" t="str">
            <v>Pune</v>
          </cell>
          <cell r="L1702" t="str">
            <v>D1</v>
          </cell>
          <cell r="M1702" t="str">
            <v>NH-753F</v>
          </cell>
          <cell r="O1702" t="str">
            <v>A</v>
          </cell>
        </row>
        <row r="1703">
          <cell r="C1703">
            <v>331151</v>
          </cell>
          <cell r="D1703" t="str">
            <v>SHRI KRISHNA PETROLEUM</v>
          </cell>
          <cell r="E1703" t="str">
            <v>IOCL</v>
          </cell>
          <cell r="F1703" t="str">
            <v>2020-21</v>
          </cell>
          <cell r="G1703" t="str">
            <v>Pune City RSA</v>
          </cell>
          <cell r="H1703">
            <v>44029</v>
          </cell>
          <cell r="I1703" t="str">
            <v>OPEN</v>
          </cell>
          <cell r="J1703" t="str">
            <v>RAVET</v>
          </cell>
          <cell r="K1703" t="str">
            <v>Pune</v>
          </cell>
          <cell r="L1703" t="str">
            <v>A</v>
          </cell>
          <cell r="O1703" t="str">
            <v>A</v>
          </cell>
        </row>
        <row r="1704">
          <cell r="C1704">
            <v>331158</v>
          </cell>
          <cell r="D1704" t="str">
            <v>NAVJEET PETROLEUM</v>
          </cell>
          <cell r="E1704" t="str">
            <v>IOCL</v>
          </cell>
          <cell r="F1704" t="str">
            <v>2020-21</v>
          </cell>
          <cell r="G1704" t="str">
            <v>Shirdi RSA</v>
          </cell>
          <cell r="H1704">
            <v>44039</v>
          </cell>
          <cell r="I1704" t="str">
            <v>OBC</v>
          </cell>
          <cell r="J1704" t="str">
            <v>SHRIRAMPUR RURAL</v>
          </cell>
          <cell r="K1704" t="str">
            <v>Ahmednagar</v>
          </cell>
          <cell r="L1704" t="str">
            <v>D2</v>
          </cell>
          <cell r="O1704" t="str">
            <v>B</v>
          </cell>
        </row>
        <row r="1705">
          <cell r="C1705">
            <v>331184</v>
          </cell>
          <cell r="D1705" t="str">
            <v>SHASHIDHAN PETROLEUM</v>
          </cell>
          <cell r="E1705" t="str">
            <v>IOCL</v>
          </cell>
          <cell r="F1705" t="str">
            <v>2020-21</v>
          </cell>
          <cell r="G1705" t="str">
            <v>Satara West RSA</v>
          </cell>
          <cell r="H1705">
            <v>44041</v>
          </cell>
          <cell r="I1705" t="str">
            <v>OPEN</v>
          </cell>
          <cell r="J1705" t="str">
            <v>Umbraj Masur Road</v>
          </cell>
          <cell r="K1705" t="str">
            <v>Satara</v>
          </cell>
          <cell r="L1705" t="str">
            <v>D2</v>
          </cell>
          <cell r="O1705" t="str">
            <v>B</v>
          </cell>
        </row>
        <row r="1706">
          <cell r="C1706">
            <v>331375</v>
          </cell>
          <cell r="D1706" t="str">
            <v>SIDDHI N SIDDHARTH PETROLEUM</v>
          </cell>
          <cell r="E1706" t="str">
            <v>IOCL</v>
          </cell>
          <cell r="F1706" t="str">
            <v>2020-21</v>
          </cell>
          <cell r="G1706" t="str">
            <v>Pune Hadapsar RSA</v>
          </cell>
          <cell r="H1706">
            <v>44073</v>
          </cell>
          <cell r="I1706" t="str">
            <v>OBC</v>
          </cell>
          <cell r="J1706" t="str">
            <v>KURKUMBH</v>
          </cell>
          <cell r="K1706" t="str">
            <v>Pune</v>
          </cell>
          <cell r="L1706" t="str">
            <v>D2</v>
          </cell>
          <cell r="O1706" t="str">
            <v>B</v>
          </cell>
        </row>
        <row r="1707">
          <cell r="C1707">
            <v>331447</v>
          </cell>
          <cell r="D1707" t="str">
            <v>LOKHANDE PATIL PETROLEUM</v>
          </cell>
          <cell r="E1707" t="str">
            <v>IOCL</v>
          </cell>
          <cell r="F1707" t="str">
            <v>2020-21</v>
          </cell>
          <cell r="G1707" t="str">
            <v>Pimpri Chinchwad RSA</v>
          </cell>
          <cell r="H1707">
            <v>44043</v>
          </cell>
          <cell r="I1707" t="str">
            <v>OPEN</v>
          </cell>
          <cell r="J1707" t="str">
            <v>ALANDI MARKAL ROAD</v>
          </cell>
          <cell r="K1707" t="str">
            <v>Pune</v>
          </cell>
          <cell r="L1707" t="str">
            <v>D2</v>
          </cell>
          <cell r="O1707" t="str">
            <v>B</v>
          </cell>
        </row>
        <row r="1708">
          <cell r="C1708">
            <v>331708</v>
          </cell>
          <cell r="D1708" t="str">
            <v>TRISHUL SERVICE STATION PVT LTD</v>
          </cell>
          <cell r="E1708" t="str">
            <v>IOCL</v>
          </cell>
          <cell r="F1708" t="str">
            <v>2020-21</v>
          </cell>
          <cell r="G1708" t="str">
            <v>Pimpri Chinchwad RSA</v>
          </cell>
          <cell r="H1708">
            <v>44068</v>
          </cell>
          <cell r="I1708" t="str">
            <v>OPEN</v>
          </cell>
          <cell r="J1708" t="str">
            <v>Bhosari</v>
          </cell>
          <cell r="K1708" t="str">
            <v>Pune</v>
          </cell>
          <cell r="L1708" t="str">
            <v>A</v>
          </cell>
          <cell r="O1708" t="str">
            <v>A</v>
          </cell>
        </row>
        <row r="1709">
          <cell r="C1709">
            <v>331907</v>
          </cell>
          <cell r="D1709" t="str">
            <v>SHRI GANESH PETRO HUB</v>
          </cell>
          <cell r="E1709" t="str">
            <v>IOCL</v>
          </cell>
          <cell r="F1709" t="str">
            <v>2020-21</v>
          </cell>
          <cell r="G1709" t="str">
            <v>Pune Saswad RSA</v>
          </cell>
          <cell r="H1709">
            <v>36766</v>
          </cell>
          <cell r="I1709" t="str">
            <v>OPEN</v>
          </cell>
          <cell r="J1709" t="str">
            <v>HINGANGAON</v>
          </cell>
          <cell r="K1709" t="str">
            <v>Pune</v>
          </cell>
          <cell r="L1709" t="str">
            <v>D1</v>
          </cell>
          <cell r="M1709" t="str">
            <v>NH-65</v>
          </cell>
          <cell r="O1709" t="str">
            <v>B</v>
          </cell>
        </row>
        <row r="1710">
          <cell r="C1710">
            <v>332065</v>
          </cell>
          <cell r="D1710" t="str">
            <v>SHRI SHIVSAI FUEL STATION</v>
          </cell>
          <cell r="E1710" t="str">
            <v>IOCL</v>
          </cell>
          <cell r="F1710" t="str">
            <v>2020-21</v>
          </cell>
          <cell r="G1710" t="str">
            <v>Pune Wagholi RSA</v>
          </cell>
          <cell r="H1710">
            <v>44074</v>
          </cell>
          <cell r="I1710" t="str">
            <v>ST</v>
          </cell>
          <cell r="J1710" t="str">
            <v>Ranjangaon to Shirur LHS</v>
          </cell>
          <cell r="K1710" t="str">
            <v>Pune</v>
          </cell>
          <cell r="L1710" t="str">
            <v>D1</v>
          </cell>
          <cell r="M1710" t="str">
            <v>NH-753F</v>
          </cell>
          <cell r="O1710" t="str">
            <v>A</v>
          </cell>
        </row>
        <row r="1711">
          <cell r="C1711">
            <v>332691</v>
          </cell>
          <cell r="D1711" t="str">
            <v>DNYANSAGAR PETROLEUM</v>
          </cell>
          <cell r="E1711" t="str">
            <v>IOCL</v>
          </cell>
          <cell r="F1711" t="str">
            <v>2020-21</v>
          </cell>
          <cell r="G1711" t="str">
            <v>Pimpri Chinchwad RSA</v>
          </cell>
          <cell r="H1711">
            <v>44128</v>
          </cell>
          <cell r="I1711" t="str">
            <v>OBC</v>
          </cell>
          <cell r="J1711" t="str">
            <v>ALANDI RURAL</v>
          </cell>
          <cell r="K1711" t="str">
            <v>Pune</v>
          </cell>
          <cell r="L1711" t="str">
            <v>E</v>
          </cell>
          <cell r="O1711" t="str">
            <v>B</v>
          </cell>
        </row>
        <row r="1712">
          <cell r="C1712">
            <v>332702</v>
          </cell>
          <cell r="D1712" t="str">
            <v>SAI SINDHU PETROLEUM</v>
          </cell>
          <cell r="E1712" t="str">
            <v>IOCL</v>
          </cell>
          <cell r="F1712" t="str">
            <v>2020-21</v>
          </cell>
          <cell r="G1712" t="str">
            <v>Shirdi RSA</v>
          </cell>
          <cell r="H1712">
            <v>44104</v>
          </cell>
          <cell r="I1712" t="str">
            <v>OPEN</v>
          </cell>
          <cell r="J1712" t="str">
            <v>LONI PRAVARA SH</v>
          </cell>
          <cell r="K1712" t="str">
            <v>Ahmednagar</v>
          </cell>
          <cell r="L1712" t="str">
            <v>D2</v>
          </cell>
          <cell r="O1712" t="str">
            <v>B</v>
          </cell>
        </row>
        <row r="1713">
          <cell r="C1713">
            <v>332711</v>
          </cell>
          <cell r="D1713" t="str">
            <v>AGRICULTURAL PRODUCE MKT COMMITTEE</v>
          </cell>
          <cell r="E1713" t="str">
            <v>IOCL</v>
          </cell>
          <cell r="F1713" t="str">
            <v>2020-21</v>
          </cell>
          <cell r="G1713" t="str">
            <v>Satara West RSA</v>
          </cell>
          <cell r="H1713">
            <v>44104</v>
          </cell>
          <cell r="I1713" t="str">
            <v>Govt Agency</v>
          </cell>
          <cell r="J1713" t="str">
            <v>Kolewadi to Dhebewadi</v>
          </cell>
          <cell r="K1713" t="str">
            <v>Satara</v>
          </cell>
          <cell r="L1713" t="str">
            <v>E</v>
          </cell>
          <cell r="O1713" t="str">
            <v>A</v>
          </cell>
        </row>
        <row r="1714">
          <cell r="C1714">
            <v>332752</v>
          </cell>
          <cell r="D1714" t="str">
            <v>MAULI KRUPA PETROLEUM</v>
          </cell>
          <cell r="E1714" t="str">
            <v>IOCL</v>
          </cell>
          <cell r="F1714" t="str">
            <v>2020-21</v>
          </cell>
          <cell r="G1714" t="str">
            <v>Ahmednagar West RSA</v>
          </cell>
          <cell r="H1714">
            <v>44104</v>
          </cell>
          <cell r="I1714" t="str">
            <v>SC</v>
          </cell>
          <cell r="J1714" t="str">
            <v>Parner Balavani Rd</v>
          </cell>
          <cell r="K1714" t="str">
            <v>Ahmednagar</v>
          </cell>
          <cell r="L1714" t="str">
            <v>E</v>
          </cell>
          <cell r="O1714" t="str">
            <v>A</v>
          </cell>
        </row>
        <row r="1715">
          <cell r="C1715">
            <v>332796</v>
          </cell>
          <cell r="D1715" t="str">
            <v>M/S SAI PETROLEUM STATION</v>
          </cell>
          <cell r="E1715" t="str">
            <v>IOCL</v>
          </cell>
          <cell r="F1715" t="str">
            <v>2020-21</v>
          </cell>
          <cell r="G1715" t="str">
            <v>Pune Tathawade RSA</v>
          </cell>
          <cell r="H1715">
            <v>44104</v>
          </cell>
          <cell r="I1715" t="str">
            <v>OPEN</v>
          </cell>
          <cell r="J1715" t="str">
            <v>Dhumalwadi</v>
          </cell>
          <cell r="K1715" t="str">
            <v>Pune</v>
          </cell>
          <cell r="L1715" t="str">
            <v>E</v>
          </cell>
          <cell r="O1715" t="str">
            <v>B</v>
          </cell>
        </row>
        <row r="1716">
          <cell r="C1716">
            <v>332801</v>
          </cell>
          <cell r="D1716" t="str">
            <v>DNYANRAJ ENTERPRISES</v>
          </cell>
          <cell r="E1716" t="str">
            <v>IOCL</v>
          </cell>
          <cell r="F1716" t="str">
            <v>2020-21</v>
          </cell>
          <cell r="G1716" t="str">
            <v>Pune Wagholi RSA</v>
          </cell>
          <cell r="H1716">
            <v>44104</v>
          </cell>
          <cell r="I1716" t="str">
            <v>OPEN</v>
          </cell>
          <cell r="J1716" t="str">
            <v>Ganegaon Khalsa</v>
          </cell>
          <cell r="K1716" t="str">
            <v>Pune</v>
          </cell>
          <cell r="L1716" t="str">
            <v>E</v>
          </cell>
          <cell r="O1716" t="str">
            <v>B</v>
          </cell>
        </row>
        <row r="1717">
          <cell r="C1717">
            <v>333846</v>
          </cell>
          <cell r="D1717" t="str">
            <v>GHANSHYAM PETROLEUM</v>
          </cell>
          <cell r="E1717" t="str">
            <v>IOCL</v>
          </cell>
          <cell r="F1717" t="str">
            <v>2020-21</v>
          </cell>
          <cell r="G1717" t="str">
            <v>Pimpri Chinchwad RSA</v>
          </cell>
          <cell r="H1717">
            <v>44135</v>
          </cell>
          <cell r="I1717" t="str">
            <v>SC</v>
          </cell>
          <cell r="J1717" t="str">
            <v xml:space="preserve">Sablewadi to shikhrapur </v>
          </cell>
          <cell r="K1717" t="str">
            <v>Pune</v>
          </cell>
          <cell r="L1717" t="str">
            <v>D1</v>
          </cell>
          <cell r="M1717" t="str">
            <v>NH-548D</v>
          </cell>
          <cell r="O1717" t="str">
            <v>A</v>
          </cell>
        </row>
        <row r="1718">
          <cell r="C1718">
            <v>333927</v>
          </cell>
          <cell r="D1718" t="str">
            <v>SOMNATH PETROLEUM</v>
          </cell>
          <cell r="E1718" t="str">
            <v>IOCL</v>
          </cell>
          <cell r="F1718" t="str">
            <v>2020-21</v>
          </cell>
          <cell r="G1718" t="str">
            <v>Pune Tathawade RSA</v>
          </cell>
          <cell r="H1718">
            <v>44135</v>
          </cell>
          <cell r="I1718" t="str">
            <v>OPEN</v>
          </cell>
          <cell r="J1718" t="str">
            <v>Nimbut to Someshwar Nagar</v>
          </cell>
          <cell r="K1718" t="str">
            <v>Pune</v>
          </cell>
          <cell r="L1718" t="str">
            <v>D2</v>
          </cell>
          <cell r="O1718" t="str">
            <v>B</v>
          </cell>
        </row>
        <row r="1719">
          <cell r="C1719">
            <v>334432</v>
          </cell>
          <cell r="D1719" t="str">
            <v>JOPAIDEVI PETROLEUM</v>
          </cell>
          <cell r="E1719" t="str">
            <v>IOCL</v>
          </cell>
          <cell r="F1719" t="str">
            <v>2020-21</v>
          </cell>
          <cell r="G1719" t="str">
            <v>Pimpri Chinchwad RSA</v>
          </cell>
          <cell r="H1719">
            <v>44158</v>
          </cell>
          <cell r="I1719" t="str">
            <v>OPEN</v>
          </cell>
          <cell r="J1719" t="str">
            <v>Induri</v>
          </cell>
          <cell r="K1719" t="str">
            <v>Pune</v>
          </cell>
          <cell r="L1719" t="str">
            <v>D1</v>
          </cell>
          <cell r="M1719" t="str">
            <v>NH-548D</v>
          </cell>
          <cell r="O1719" t="str">
            <v>A</v>
          </cell>
        </row>
        <row r="1720">
          <cell r="C1720">
            <v>334612</v>
          </cell>
          <cell r="D1720" t="str">
            <v>GHANVAT PETROLEUM</v>
          </cell>
          <cell r="E1720" t="str">
            <v>IOCL</v>
          </cell>
          <cell r="F1720" t="str">
            <v>2020-21</v>
          </cell>
          <cell r="G1720" t="str">
            <v>Pimpri Chinchwad RSA</v>
          </cell>
          <cell r="H1720">
            <v>44160</v>
          </cell>
          <cell r="I1720" t="str">
            <v>OPEN</v>
          </cell>
          <cell r="J1720" t="str">
            <v>Chakan MIDC</v>
          </cell>
          <cell r="K1720" t="str">
            <v>Pune</v>
          </cell>
          <cell r="L1720" t="str">
            <v>C</v>
          </cell>
          <cell r="O1720" t="str">
            <v>A</v>
          </cell>
        </row>
        <row r="1721">
          <cell r="C1721">
            <v>334890</v>
          </cell>
          <cell r="D1721" t="str">
            <v>GS PETROLEUM</v>
          </cell>
          <cell r="E1721" t="str">
            <v>IOCL</v>
          </cell>
          <cell r="F1721" t="str">
            <v>2020-21</v>
          </cell>
          <cell r="G1721" t="str">
            <v>Pune Tathawade RSA</v>
          </cell>
          <cell r="H1721">
            <v>44165</v>
          </cell>
          <cell r="I1721" t="str">
            <v>OBC</v>
          </cell>
          <cell r="J1721" t="str">
            <v>BARAMATI MIDC</v>
          </cell>
          <cell r="K1721" t="str">
            <v>Pune</v>
          </cell>
          <cell r="L1721" t="str">
            <v>D1</v>
          </cell>
          <cell r="M1721" t="str">
            <v>NH-965G</v>
          </cell>
          <cell r="O1721" t="str">
            <v>B</v>
          </cell>
        </row>
        <row r="1722">
          <cell r="C1722">
            <v>335113</v>
          </cell>
          <cell r="D1722" t="str">
            <v>SWATI PETROLEUM</v>
          </cell>
          <cell r="E1722" t="str">
            <v>IOCL</v>
          </cell>
          <cell r="F1722" t="str">
            <v>2020-21</v>
          </cell>
          <cell r="G1722" t="str">
            <v>Pune Tathawade RSA</v>
          </cell>
          <cell r="H1722">
            <v>44175</v>
          </cell>
          <cell r="I1722" t="str">
            <v>OPEN</v>
          </cell>
          <cell r="J1722" t="str">
            <v>KHEDSHIVAPUR TO HARISHCHANDRI</v>
          </cell>
          <cell r="K1722" t="str">
            <v>Pune</v>
          </cell>
          <cell r="L1722" t="str">
            <v>D1</v>
          </cell>
          <cell r="M1722" t="str">
            <v>NH-48</v>
          </cell>
          <cell r="O1722" t="str">
            <v>A</v>
          </cell>
        </row>
        <row r="1723">
          <cell r="C1723">
            <v>335534</v>
          </cell>
          <cell r="D1723" t="str">
            <v>SHRI BALAJI PETROLEUM KSK</v>
          </cell>
          <cell r="E1723" t="str">
            <v>IOCL</v>
          </cell>
          <cell r="F1723" t="str">
            <v>2020-21</v>
          </cell>
          <cell r="G1723" t="str">
            <v>Pune Saswad RSA</v>
          </cell>
          <cell r="H1723">
            <v>44194</v>
          </cell>
          <cell r="I1723" t="str">
            <v>OBC</v>
          </cell>
          <cell r="J1723" t="str">
            <v>SHELGAON</v>
          </cell>
          <cell r="K1723" t="str">
            <v>Pune</v>
          </cell>
          <cell r="L1723" t="str">
            <v>E</v>
          </cell>
          <cell r="O1723" t="str">
            <v>B</v>
          </cell>
        </row>
        <row r="1724">
          <cell r="C1724">
            <v>335558</v>
          </cell>
          <cell r="D1724" t="str">
            <v>SARVESH PETRO HUB</v>
          </cell>
          <cell r="E1724" t="str">
            <v>IOCL</v>
          </cell>
          <cell r="F1724" t="str">
            <v>2020-21</v>
          </cell>
          <cell r="G1724" t="str">
            <v>Pune Hadapsar RSA</v>
          </cell>
          <cell r="H1724">
            <v>44195</v>
          </cell>
          <cell r="I1724" t="str">
            <v>OPEN</v>
          </cell>
          <cell r="J1724" t="str">
            <v>Theur</v>
          </cell>
          <cell r="K1724" t="str">
            <v>Pune</v>
          </cell>
          <cell r="L1724" t="str">
            <v>D1</v>
          </cell>
          <cell r="M1724" t="str">
            <v>NH-548DD</v>
          </cell>
          <cell r="O1724" t="str">
            <v>B</v>
          </cell>
        </row>
        <row r="1725">
          <cell r="C1725">
            <v>335564</v>
          </cell>
          <cell r="D1725" t="str">
            <v>AGRICULTURAL PRODUCE MKT COMMITTEE</v>
          </cell>
          <cell r="E1725" t="str">
            <v>IOCL</v>
          </cell>
          <cell r="F1725" t="str">
            <v>2020-21</v>
          </cell>
          <cell r="G1725" t="str">
            <v>Satara West RSA</v>
          </cell>
          <cell r="H1725">
            <v>44207</v>
          </cell>
          <cell r="I1725" t="str">
            <v>Govt Agency</v>
          </cell>
          <cell r="J1725" t="str">
            <v>TARALE</v>
          </cell>
          <cell r="K1725" t="str">
            <v>Satara</v>
          </cell>
          <cell r="L1725" t="str">
            <v>E</v>
          </cell>
          <cell r="O1725" t="str">
            <v>A</v>
          </cell>
        </row>
        <row r="1726">
          <cell r="C1726">
            <v>335581</v>
          </cell>
          <cell r="D1726" t="str">
            <v>SAIRAJ PETRO HUB</v>
          </cell>
          <cell r="E1726" t="str">
            <v>IOCL</v>
          </cell>
          <cell r="F1726" t="str">
            <v>2020-21</v>
          </cell>
          <cell r="G1726" t="str">
            <v>Satara East RSA</v>
          </cell>
          <cell r="H1726">
            <v>44200</v>
          </cell>
          <cell r="I1726" t="str">
            <v>OBC</v>
          </cell>
          <cell r="J1726" t="str">
            <v>Koregaon Rahimatpur Road</v>
          </cell>
          <cell r="K1726" t="str">
            <v>Satara</v>
          </cell>
          <cell r="L1726" t="str">
            <v>E</v>
          </cell>
          <cell r="O1726" t="str">
            <v>B</v>
          </cell>
        </row>
        <row r="1727">
          <cell r="C1727">
            <v>336345</v>
          </cell>
          <cell r="D1727" t="str">
            <v>SUDEEP PETROLEUM</v>
          </cell>
          <cell r="E1727" t="str">
            <v>IOCL</v>
          </cell>
          <cell r="F1727" t="str">
            <v>2020-21</v>
          </cell>
          <cell r="G1727" t="str">
            <v>Pimpri Chinchwad RSA</v>
          </cell>
          <cell r="H1727">
            <v>44224</v>
          </cell>
          <cell r="I1727" t="str">
            <v>OPEN</v>
          </cell>
          <cell r="J1727" t="str">
            <v>Tulapur</v>
          </cell>
          <cell r="K1727" t="str">
            <v>Pune</v>
          </cell>
          <cell r="L1727" t="str">
            <v>D2</v>
          </cell>
          <cell r="O1727" t="str">
            <v>B</v>
          </cell>
        </row>
        <row r="1728">
          <cell r="C1728">
            <v>336616</v>
          </cell>
          <cell r="D1728" t="str">
            <v>UDAY FUEL SERVICES</v>
          </cell>
          <cell r="E1728" t="str">
            <v>IOCL</v>
          </cell>
          <cell r="F1728" t="str">
            <v>2020-21</v>
          </cell>
          <cell r="G1728" t="str">
            <v>Pune Tathawade RSA</v>
          </cell>
          <cell r="H1728">
            <v>44246</v>
          </cell>
          <cell r="I1728" t="str">
            <v>OPEN</v>
          </cell>
          <cell r="J1728" t="str">
            <v>DEHU ROAD TO BALEWADI</v>
          </cell>
          <cell r="K1728" t="str">
            <v>Pune</v>
          </cell>
          <cell r="L1728" t="str">
            <v>A</v>
          </cell>
          <cell r="M1728" t="str">
            <v>NH-48</v>
          </cell>
          <cell r="O1728" t="str">
            <v>A</v>
          </cell>
        </row>
        <row r="1729">
          <cell r="C1729">
            <v>336622</v>
          </cell>
          <cell r="D1729" t="str">
            <v>SHIVANSH PETROLEUM</v>
          </cell>
          <cell r="E1729" t="str">
            <v>IOCL</v>
          </cell>
          <cell r="F1729" t="str">
            <v>2020-21</v>
          </cell>
          <cell r="G1729" t="str">
            <v>Pune Hadapsar RSA</v>
          </cell>
          <cell r="H1729">
            <v>44226</v>
          </cell>
          <cell r="I1729" t="str">
            <v>SC</v>
          </cell>
          <cell r="J1729" t="str">
            <v>Virobawadi</v>
          </cell>
          <cell r="K1729" t="str">
            <v>Pune</v>
          </cell>
          <cell r="L1729" t="str">
            <v>D2</v>
          </cell>
          <cell r="O1729" t="str">
            <v>A</v>
          </cell>
        </row>
        <row r="1730">
          <cell r="C1730">
            <v>336754</v>
          </cell>
          <cell r="D1730" t="str">
            <v>VARAD PETROLEUM</v>
          </cell>
          <cell r="E1730" t="str">
            <v>IOCL</v>
          </cell>
          <cell r="F1730" t="str">
            <v>2020-21</v>
          </cell>
          <cell r="G1730" t="str">
            <v>Satara West RSA</v>
          </cell>
          <cell r="H1730">
            <v>44226</v>
          </cell>
          <cell r="I1730" t="str">
            <v>OPEN</v>
          </cell>
          <cell r="J1730" t="str">
            <v>KASHIL TO SHENDRE</v>
          </cell>
          <cell r="K1730" t="str">
            <v>Satara</v>
          </cell>
          <cell r="L1730" t="str">
            <v>D1</v>
          </cell>
          <cell r="M1730" t="str">
            <v>NH-48</v>
          </cell>
          <cell r="O1730" t="str">
            <v>B</v>
          </cell>
        </row>
        <row r="1731">
          <cell r="C1731">
            <v>336875</v>
          </cell>
          <cell r="D1731" t="str">
            <v>SHIV SRUSHTHI PETROLEUM</v>
          </cell>
          <cell r="E1731" t="str">
            <v>IOCL</v>
          </cell>
          <cell r="F1731" t="str">
            <v>2020-21</v>
          </cell>
          <cell r="G1731" t="str">
            <v>Pune Wagholi RSA</v>
          </cell>
          <cell r="H1731">
            <v>44244</v>
          </cell>
          <cell r="I1731" t="str">
            <v>OPEN</v>
          </cell>
          <cell r="J1731" t="str">
            <v>SOMATHWADI</v>
          </cell>
          <cell r="K1731" t="str">
            <v>Pune</v>
          </cell>
          <cell r="L1731" t="str">
            <v>E</v>
          </cell>
          <cell r="O1731" t="str">
            <v>B</v>
          </cell>
        </row>
        <row r="1732">
          <cell r="C1732">
            <v>337104</v>
          </cell>
          <cell r="D1732" t="str">
            <v>BHAGAT PETROLEUM</v>
          </cell>
          <cell r="E1732" t="str">
            <v>IOCL</v>
          </cell>
          <cell r="F1732" t="str">
            <v>2020-21</v>
          </cell>
          <cell r="G1732" t="str">
            <v>Pune Saswad RSA</v>
          </cell>
          <cell r="H1732">
            <v>44252</v>
          </cell>
          <cell r="I1732" t="str">
            <v>OBC</v>
          </cell>
          <cell r="J1732" t="str">
            <v>Saswad-Jejuri Road</v>
          </cell>
          <cell r="K1732" t="str">
            <v>Pune</v>
          </cell>
          <cell r="L1732" t="str">
            <v>D1</v>
          </cell>
          <cell r="M1732" t="str">
            <v>NH-965</v>
          </cell>
          <cell r="O1732" t="str">
            <v>B</v>
          </cell>
        </row>
        <row r="1733">
          <cell r="C1733">
            <v>337539</v>
          </cell>
          <cell r="D1733" t="str">
            <v>SANGAMNER SHETKI SAHAKARI SANGH LTD</v>
          </cell>
          <cell r="E1733" t="str">
            <v>IOCL</v>
          </cell>
          <cell r="F1733" t="str">
            <v>2020-21</v>
          </cell>
          <cell r="G1733" t="str">
            <v>Shirdi RSA</v>
          </cell>
          <cell r="H1733">
            <v>44254</v>
          </cell>
          <cell r="I1733" t="str">
            <v>OPEN</v>
          </cell>
          <cell r="J1733" t="str">
            <v>SANGAMNER KHURD</v>
          </cell>
          <cell r="K1733" t="str">
            <v>Ahmednagar</v>
          </cell>
          <cell r="L1733" t="str">
            <v>E</v>
          </cell>
          <cell r="O1733" t="str">
            <v>B</v>
          </cell>
        </row>
        <row r="1734">
          <cell r="C1734">
            <v>337607</v>
          </cell>
          <cell r="D1734" t="str">
            <v>MATOSHRI PETROLEUM</v>
          </cell>
          <cell r="E1734" t="str">
            <v>IOCL</v>
          </cell>
          <cell r="F1734" t="str">
            <v>2020-21</v>
          </cell>
          <cell r="G1734" t="str">
            <v>Ahmednagar East RSA</v>
          </cell>
          <cell r="H1734">
            <v>44253</v>
          </cell>
          <cell r="I1734" t="str">
            <v>OBC</v>
          </cell>
          <cell r="J1734" t="str">
            <v>Akolner</v>
          </cell>
          <cell r="K1734" t="str">
            <v>Ahmednagar</v>
          </cell>
          <cell r="L1734" t="str">
            <v>E</v>
          </cell>
          <cell r="O1734" t="str">
            <v>B</v>
          </cell>
        </row>
        <row r="1735">
          <cell r="C1735">
            <v>337709</v>
          </cell>
          <cell r="D1735" t="str">
            <v>DADASAHEB GANESH DALAVI PETROLEUM</v>
          </cell>
          <cell r="E1735" t="str">
            <v>IOCL</v>
          </cell>
          <cell r="F1735" t="str">
            <v>2020-21</v>
          </cell>
          <cell r="G1735" t="str">
            <v>Satara East RSA</v>
          </cell>
          <cell r="H1735">
            <v>44255</v>
          </cell>
          <cell r="I1735" t="str">
            <v>OBC</v>
          </cell>
          <cell r="J1735" t="str">
            <v>Phalton Dahiwadi road</v>
          </cell>
          <cell r="K1735" t="str">
            <v>Satara</v>
          </cell>
          <cell r="L1735" t="str">
            <v>D1</v>
          </cell>
          <cell r="M1735" t="str">
            <v>NH-160</v>
          </cell>
          <cell r="O1735" t="str">
            <v>B</v>
          </cell>
        </row>
        <row r="1736">
          <cell r="C1736">
            <v>337776</v>
          </cell>
          <cell r="D1736" t="str">
            <v>SHIV PETROLEUM KSK</v>
          </cell>
          <cell r="E1736" t="str">
            <v>IOCL</v>
          </cell>
          <cell r="F1736" t="str">
            <v>2020-21</v>
          </cell>
          <cell r="G1736" t="str">
            <v>Satara East RSA</v>
          </cell>
          <cell r="H1736">
            <v>44255</v>
          </cell>
          <cell r="I1736" t="str">
            <v>OBC</v>
          </cell>
          <cell r="J1736" t="str">
            <v>Pawarwadi</v>
          </cell>
          <cell r="K1736" t="str">
            <v>Satara</v>
          </cell>
          <cell r="L1736" t="str">
            <v>E</v>
          </cell>
          <cell r="O1736" t="str">
            <v>B</v>
          </cell>
        </row>
        <row r="1737">
          <cell r="C1737">
            <v>338424</v>
          </cell>
          <cell r="D1737" t="str">
            <v>YASHODAMATA PETROLEUM</v>
          </cell>
          <cell r="E1737" t="str">
            <v>IOCL</v>
          </cell>
          <cell r="F1737" t="str">
            <v>2020-21</v>
          </cell>
          <cell r="G1737" t="str">
            <v>Pune Hadapsar RSA</v>
          </cell>
          <cell r="H1737">
            <v>44275</v>
          </cell>
          <cell r="I1737" t="str">
            <v>OPEN</v>
          </cell>
          <cell r="J1737" t="str">
            <v>P5_Pargaon</v>
          </cell>
          <cell r="K1737" t="str">
            <v>Pune</v>
          </cell>
          <cell r="L1737" t="str">
            <v>D2</v>
          </cell>
          <cell r="O1737" t="str">
            <v>B</v>
          </cell>
        </row>
        <row r="1738">
          <cell r="C1738">
            <v>338696</v>
          </cell>
          <cell r="D1738" t="str">
            <v>SHREE JAGDAMBA PETROLEUM</v>
          </cell>
          <cell r="E1738" t="str">
            <v>IOCL</v>
          </cell>
          <cell r="F1738" t="str">
            <v>2020-21</v>
          </cell>
          <cell r="G1738" t="str">
            <v>Pune Tathawade RSA</v>
          </cell>
          <cell r="H1738">
            <v>44282</v>
          </cell>
          <cell r="I1738" t="str">
            <v>OPEN</v>
          </cell>
          <cell r="J1738" t="str">
            <v>Vadgaon Nimbalkar to Pandare</v>
          </cell>
          <cell r="K1738" t="str">
            <v>Pune</v>
          </cell>
          <cell r="L1738" t="str">
            <v>D2</v>
          </cell>
          <cell r="O1738" t="str">
            <v>B</v>
          </cell>
        </row>
        <row r="1739">
          <cell r="C1739">
            <v>338727</v>
          </cell>
          <cell r="D1739" t="str">
            <v>DATTA PETROLEUM</v>
          </cell>
          <cell r="E1739" t="str">
            <v>IOCL</v>
          </cell>
          <cell r="F1739" t="str">
            <v>2020-21</v>
          </cell>
          <cell r="G1739" t="str">
            <v>Pune Saswad RSA</v>
          </cell>
          <cell r="H1739">
            <v>44286</v>
          </cell>
          <cell r="I1739" t="str">
            <v>SC</v>
          </cell>
          <cell r="J1739" t="str">
            <v>KALAS INDAPUR</v>
          </cell>
          <cell r="K1739" t="str">
            <v>Pune</v>
          </cell>
          <cell r="L1739" t="str">
            <v>D2</v>
          </cell>
          <cell r="O1739" t="str">
            <v>A</v>
          </cell>
        </row>
        <row r="1740">
          <cell r="C1740">
            <v>338750</v>
          </cell>
          <cell r="D1740" t="str">
            <v>VIMAL FUEL STATION</v>
          </cell>
          <cell r="E1740" t="str">
            <v>IOCL</v>
          </cell>
          <cell r="F1740" t="str">
            <v>2020-21</v>
          </cell>
          <cell r="G1740" t="str">
            <v>Shirdi RSA</v>
          </cell>
          <cell r="H1740">
            <v>44286</v>
          </cell>
          <cell r="I1740" t="str">
            <v>OPEN</v>
          </cell>
          <cell r="J1740" t="str">
            <v>KOTUL</v>
          </cell>
          <cell r="K1740" t="str">
            <v>Ahmednagar</v>
          </cell>
          <cell r="L1740" t="str">
            <v>D2</v>
          </cell>
          <cell r="O1740" t="str">
            <v>B</v>
          </cell>
        </row>
        <row r="1741">
          <cell r="C1741">
            <v>338875</v>
          </cell>
          <cell r="D1741" t="str">
            <v>ASHOK PETROLEUM</v>
          </cell>
          <cell r="E1741" t="str">
            <v>IOCL</v>
          </cell>
          <cell r="F1741" t="str">
            <v>2020-21</v>
          </cell>
          <cell r="G1741" t="str">
            <v>Pune Wagholi RSA</v>
          </cell>
          <cell r="H1741">
            <v>44285</v>
          </cell>
          <cell r="I1741" t="str">
            <v>OBC</v>
          </cell>
          <cell r="J1741" t="str">
            <v>Shikrapur to Inamgaon</v>
          </cell>
          <cell r="K1741" t="str">
            <v>Pune</v>
          </cell>
          <cell r="L1741" t="str">
            <v>D1</v>
          </cell>
          <cell r="M1741" t="str">
            <v>NH-548D</v>
          </cell>
          <cell r="O1741" t="str">
            <v>B</v>
          </cell>
        </row>
        <row r="1742">
          <cell r="C1742">
            <v>338877</v>
          </cell>
          <cell r="D1742" t="str">
            <v>SHIVAM PETROLEUM</v>
          </cell>
          <cell r="E1742" t="str">
            <v>IOCL</v>
          </cell>
          <cell r="F1742" t="str">
            <v>2021-22</v>
          </cell>
          <cell r="G1742" t="str">
            <v>Pune Tathawade RSA</v>
          </cell>
          <cell r="H1742">
            <v>44347</v>
          </cell>
          <cell r="I1742" t="str">
            <v>OPEN</v>
          </cell>
          <cell r="J1742" t="str">
            <v>Gunawadi</v>
          </cell>
          <cell r="K1742" t="str">
            <v>Pune</v>
          </cell>
          <cell r="L1742" t="str">
            <v>D2</v>
          </cell>
          <cell r="O1742" t="str">
            <v>B</v>
          </cell>
        </row>
        <row r="1743">
          <cell r="C1743">
            <v>338885</v>
          </cell>
          <cell r="D1743" t="str">
            <v>TISGAON FUEL PLAZA</v>
          </cell>
          <cell r="E1743" t="str">
            <v>IOCL</v>
          </cell>
          <cell r="F1743" t="str">
            <v>2020-21</v>
          </cell>
          <cell r="G1743" t="str">
            <v>Ahmednagar West RSA</v>
          </cell>
          <cell r="H1743">
            <v>44285</v>
          </cell>
          <cell r="I1743" t="str">
            <v>OPEN</v>
          </cell>
          <cell r="J1743" t="str">
            <v>Tisgaon</v>
          </cell>
          <cell r="K1743" t="str">
            <v>Ahmednagar</v>
          </cell>
          <cell r="L1743" t="str">
            <v>D1</v>
          </cell>
          <cell r="M1743" t="str">
            <v>NH-61</v>
          </cell>
          <cell r="O1743" t="str">
            <v>A</v>
          </cell>
        </row>
        <row r="1744">
          <cell r="C1744">
            <v>338994</v>
          </cell>
          <cell r="D1744" t="str">
            <v>MADHU MANJU FUEL POINT</v>
          </cell>
          <cell r="E1744" t="str">
            <v>IOCL</v>
          </cell>
          <cell r="F1744" t="str">
            <v>2020-21</v>
          </cell>
          <cell r="G1744" t="str">
            <v>Pune Hadapsar RSA</v>
          </cell>
          <cell r="H1744">
            <v>44286</v>
          </cell>
          <cell r="I1744" t="str">
            <v>SC</v>
          </cell>
          <cell r="J1744" t="str">
            <v>Varvand RHS</v>
          </cell>
          <cell r="K1744" t="str">
            <v>Pune</v>
          </cell>
          <cell r="L1744" t="str">
            <v>D1</v>
          </cell>
          <cell r="M1744" t="str">
            <v>NH-65</v>
          </cell>
          <cell r="O1744" t="str">
            <v>A</v>
          </cell>
        </row>
        <row r="1745">
          <cell r="C1745">
            <v>338999</v>
          </cell>
          <cell r="D1745" t="str">
            <v>BHIMASHANKAR SERVICE STATION</v>
          </cell>
          <cell r="E1745" t="str">
            <v>IOCL</v>
          </cell>
          <cell r="F1745" t="str">
            <v>2020-21</v>
          </cell>
          <cell r="G1745" t="str">
            <v>Pune Wagholi RSA</v>
          </cell>
          <cell r="H1745">
            <v>44286</v>
          </cell>
          <cell r="I1745" t="str">
            <v>OPEN</v>
          </cell>
          <cell r="J1745" t="str">
            <v>Ghodegaon_Ambegaon</v>
          </cell>
          <cell r="K1745" t="str">
            <v>Pune</v>
          </cell>
          <cell r="L1745" t="str">
            <v>D2</v>
          </cell>
          <cell r="O1745" t="str">
            <v>B</v>
          </cell>
        </row>
        <row r="1746">
          <cell r="C1746">
            <v>339681</v>
          </cell>
          <cell r="D1746" t="str">
            <v>JAY MALHAR PETROLEUM</v>
          </cell>
          <cell r="E1746" t="str">
            <v>IOCL</v>
          </cell>
          <cell r="F1746" t="str">
            <v>2021-22</v>
          </cell>
          <cell r="G1746" t="str">
            <v>Satara West RSA</v>
          </cell>
          <cell r="H1746">
            <v>44314</v>
          </cell>
          <cell r="I1746" t="str">
            <v>OPEN</v>
          </cell>
          <cell r="J1746" t="str">
            <v>Variye</v>
          </cell>
          <cell r="K1746" t="str">
            <v>Satara</v>
          </cell>
          <cell r="L1746" t="str">
            <v>E</v>
          </cell>
          <cell r="O1746" t="str">
            <v>B</v>
          </cell>
        </row>
        <row r="1747">
          <cell r="C1747">
            <v>340180</v>
          </cell>
          <cell r="D1747" t="str">
            <v>P. D. PETROLEUM</v>
          </cell>
          <cell r="E1747" t="str">
            <v>IOCL</v>
          </cell>
          <cell r="F1747" t="str">
            <v>2021-22</v>
          </cell>
          <cell r="G1747" t="str">
            <v>Satara West RSA</v>
          </cell>
          <cell r="H1747">
            <v>44347</v>
          </cell>
          <cell r="I1747" t="str">
            <v>OPEN</v>
          </cell>
          <cell r="J1747" t="str">
            <v>Shamgaon</v>
          </cell>
          <cell r="K1747" t="str">
            <v>Satara</v>
          </cell>
          <cell r="L1747" t="str">
            <v>D2</v>
          </cell>
          <cell r="O1747" t="str">
            <v>B</v>
          </cell>
        </row>
        <row r="1748">
          <cell r="C1748">
            <v>340789</v>
          </cell>
          <cell r="D1748" t="str">
            <v>SHRI BHAIRAVNATH PETROLEUM</v>
          </cell>
          <cell r="E1748" t="str">
            <v>IOCL</v>
          </cell>
          <cell r="F1748" t="str">
            <v>2021-22</v>
          </cell>
          <cell r="G1748" t="str">
            <v>Satara West RSA</v>
          </cell>
          <cell r="H1748">
            <v>44377</v>
          </cell>
          <cell r="I1748" t="str">
            <v>OPEN</v>
          </cell>
          <cell r="J1748" t="str">
            <v>Asale - Wai Road</v>
          </cell>
          <cell r="K1748" t="str">
            <v>Satara</v>
          </cell>
          <cell r="L1748" t="str">
            <v>E</v>
          </cell>
          <cell r="O1748" t="str">
            <v>B</v>
          </cell>
        </row>
        <row r="1749">
          <cell r="C1749">
            <v>341453</v>
          </cell>
          <cell r="D1749" t="str">
            <v>RASKAR PETROLEUM</v>
          </cell>
          <cell r="E1749" t="str">
            <v>IOCL</v>
          </cell>
          <cell r="F1749" t="str">
            <v>2021-22</v>
          </cell>
          <cell r="G1749" t="str">
            <v>Pune Saswad RSA</v>
          </cell>
          <cell r="H1749">
            <v>44407</v>
          </cell>
          <cell r="I1749" t="str">
            <v>OBC</v>
          </cell>
          <cell r="J1749" t="str">
            <v>Jejuri -Belsar-Urulikanchan Road</v>
          </cell>
          <cell r="K1749" t="str">
            <v>Pune</v>
          </cell>
          <cell r="L1749" t="str">
            <v>D2</v>
          </cell>
          <cell r="O1749" t="str">
            <v>B</v>
          </cell>
        </row>
        <row r="1750">
          <cell r="C1750">
            <v>341497</v>
          </cell>
          <cell r="D1750" t="str">
            <v>PATIL PETROLEUM</v>
          </cell>
          <cell r="E1750" t="str">
            <v>IOCL</v>
          </cell>
          <cell r="F1750" t="str">
            <v>2021-22</v>
          </cell>
          <cell r="G1750" t="str">
            <v>Pune Saswad RSA</v>
          </cell>
          <cell r="H1750">
            <v>44408</v>
          </cell>
          <cell r="I1750" t="str">
            <v>OPEN</v>
          </cell>
          <cell r="J1750" t="str">
            <v>TARANGWADI</v>
          </cell>
          <cell r="K1750" t="str">
            <v>Pune</v>
          </cell>
          <cell r="L1750" t="str">
            <v>D1</v>
          </cell>
          <cell r="M1750" t="str">
            <v>NH-965G</v>
          </cell>
          <cell r="O1750" t="str">
            <v>B</v>
          </cell>
        </row>
        <row r="1751">
          <cell r="C1751">
            <v>341505</v>
          </cell>
          <cell r="D1751" t="str">
            <v>SHRI PANDURANG PETROLEUM</v>
          </cell>
          <cell r="E1751" t="str">
            <v>IOCL</v>
          </cell>
          <cell r="F1751" t="str">
            <v>2021-22</v>
          </cell>
          <cell r="G1751" t="str">
            <v>Pune Saswad RSA</v>
          </cell>
          <cell r="H1751">
            <v>44408</v>
          </cell>
          <cell r="I1751" t="str">
            <v>OPEN</v>
          </cell>
          <cell r="J1751" t="str">
            <v>nimgaon ketki</v>
          </cell>
          <cell r="K1751" t="str">
            <v>Pune</v>
          </cell>
          <cell r="L1751" t="str">
            <v>E</v>
          </cell>
          <cell r="O1751" t="str">
            <v>B</v>
          </cell>
        </row>
        <row r="1752">
          <cell r="C1752">
            <v>341516</v>
          </cell>
          <cell r="D1752" t="str">
            <v>DWARKADHISH PETROLEUM</v>
          </cell>
          <cell r="E1752" t="str">
            <v>IOCL</v>
          </cell>
          <cell r="F1752" t="str">
            <v>2021-22</v>
          </cell>
          <cell r="G1752" t="str">
            <v>Shirdi RSA</v>
          </cell>
          <cell r="H1752">
            <v>44435</v>
          </cell>
          <cell r="I1752" t="str">
            <v>OPEN</v>
          </cell>
          <cell r="J1752" t="str">
            <v>PUNTAMBA</v>
          </cell>
          <cell r="K1752" t="str">
            <v>Ahmednagar</v>
          </cell>
          <cell r="L1752" t="str">
            <v>E</v>
          </cell>
          <cell r="O1752" t="str">
            <v>B</v>
          </cell>
        </row>
        <row r="1753">
          <cell r="C1753">
            <v>341913</v>
          </cell>
          <cell r="D1753" t="str">
            <v>SHREERAM PETROLEUM</v>
          </cell>
          <cell r="E1753" t="str">
            <v>IOCL</v>
          </cell>
          <cell r="F1753" t="str">
            <v>2021-22</v>
          </cell>
          <cell r="G1753" t="str">
            <v>Satara West RSA</v>
          </cell>
          <cell r="H1753">
            <v>44438</v>
          </cell>
          <cell r="I1753" t="str">
            <v>OPEN</v>
          </cell>
          <cell r="J1753" t="str">
            <v>Shendre to Borgaon</v>
          </cell>
          <cell r="K1753" t="str">
            <v>Satara</v>
          </cell>
          <cell r="L1753" t="str">
            <v>D1</v>
          </cell>
          <cell r="M1753" t="str">
            <v>NH-48</v>
          </cell>
          <cell r="O1753" t="str">
            <v>B</v>
          </cell>
        </row>
        <row r="1754">
          <cell r="C1754">
            <v>341914</v>
          </cell>
          <cell r="D1754" t="str">
            <v>SHRI SHRI PETROLEUM</v>
          </cell>
          <cell r="E1754" t="str">
            <v>IOCL</v>
          </cell>
          <cell r="F1754" t="str">
            <v>2021-22</v>
          </cell>
          <cell r="G1754" t="str">
            <v>Pune Tathawade RSA</v>
          </cell>
          <cell r="H1754">
            <v>44439</v>
          </cell>
          <cell r="I1754" t="str">
            <v>ST</v>
          </cell>
          <cell r="J1754" t="str">
            <v>BARAMATI PHALTAN ROAD</v>
          </cell>
          <cell r="K1754" t="str">
            <v>Pune</v>
          </cell>
          <cell r="L1754" t="str">
            <v>D1</v>
          </cell>
          <cell r="M1754" t="str">
            <v>NH-160</v>
          </cell>
          <cell r="O1754" t="str">
            <v>A</v>
          </cell>
        </row>
        <row r="1755">
          <cell r="C1755">
            <v>342091</v>
          </cell>
          <cell r="D1755" t="str">
            <v>SHRI GURUDATTA KSK</v>
          </cell>
          <cell r="E1755" t="str">
            <v>IOCL</v>
          </cell>
          <cell r="F1755" t="str">
            <v>2021-22</v>
          </cell>
          <cell r="G1755" t="str">
            <v>Shirdi RSA</v>
          </cell>
          <cell r="H1755">
            <v>44439</v>
          </cell>
          <cell r="I1755" t="str">
            <v>OPEN</v>
          </cell>
          <cell r="J1755" t="str">
            <v>BOTA</v>
          </cell>
          <cell r="K1755" t="str">
            <v>Ahmednagar</v>
          </cell>
          <cell r="L1755" t="str">
            <v>E</v>
          </cell>
          <cell r="O1755" t="str">
            <v>B</v>
          </cell>
        </row>
        <row r="1756">
          <cell r="C1756">
            <v>342102</v>
          </cell>
          <cell r="D1756" t="str">
            <v>BHAGWAN PETROLEUM</v>
          </cell>
          <cell r="E1756" t="str">
            <v>IOCL</v>
          </cell>
          <cell r="F1756" t="str">
            <v>2021-22</v>
          </cell>
          <cell r="G1756" t="str">
            <v>Ahmednagar West RSA</v>
          </cell>
          <cell r="H1756">
            <v>44804</v>
          </cell>
          <cell r="I1756" t="str">
            <v>OPEN</v>
          </cell>
          <cell r="J1756" t="str">
            <v>Sakur</v>
          </cell>
          <cell r="K1756" t="str">
            <v>Ahmednagar</v>
          </cell>
          <cell r="L1756" t="str">
            <v>D2</v>
          </cell>
          <cell r="O1756" t="str">
            <v>B</v>
          </cell>
        </row>
        <row r="1757">
          <cell r="C1757">
            <v>342786</v>
          </cell>
          <cell r="D1757" t="str">
            <v>PRAVARA PHALE BHAJIPALA UTPADAK PKV</v>
          </cell>
          <cell r="E1757" t="str">
            <v>IOCL</v>
          </cell>
          <cell r="F1757" t="str">
            <v>2021-22</v>
          </cell>
          <cell r="G1757" t="str">
            <v>Shirdi RSA</v>
          </cell>
          <cell r="H1757">
            <v>44469</v>
          </cell>
          <cell r="I1757" t="str">
            <v>OPEN</v>
          </cell>
          <cell r="J1757" t="str">
            <v>LONI PRAVARA NH</v>
          </cell>
          <cell r="K1757" t="str">
            <v>Ahmednagar</v>
          </cell>
          <cell r="L1757" t="str">
            <v>D1</v>
          </cell>
          <cell r="M1757" t="str">
            <v>NH-160D</v>
          </cell>
          <cell r="O1757" t="str">
            <v>B</v>
          </cell>
        </row>
        <row r="1758">
          <cell r="C1758">
            <v>342794</v>
          </cell>
          <cell r="D1758" t="str">
            <v>AKSHAY PETROLEUM</v>
          </cell>
          <cell r="E1758" t="str">
            <v>IOCL</v>
          </cell>
          <cell r="F1758" t="str">
            <v>2021-22</v>
          </cell>
          <cell r="G1758" t="str">
            <v>Pune Hadapsar RSA</v>
          </cell>
          <cell r="H1758">
            <v>44469</v>
          </cell>
          <cell r="I1758" t="str">
            <v>OPEN</v>
          </cell>
          <cell r="J1758" t="str">
            <v>SHINDAWANE</v>
          </cell>
          <cell r="K1758" t="str">
            <v>Pune</v>
          </cell>
          <cell r="L1758" t="str">
            <v>D2</v>
          </cell>
          <cell r="O1758" t="str">
            <v>B</v>
          </cell>
        </row>
        <row r="1759">
          <cell r="C1759">
            <v>343267</v>
          </cell>
          <cell r="D1759" t="str">
            <v>TRIRATNA PETROLEUM</v>
          </cell>
          <cell r="E1759" t="str">
            <v>IOCL</v>
          </cell>
          <cell r="F1759" t="str">
            <v>2021-22</v>
          </cell>
          <cell r="G1759" t="str">
            <v>Ahmednagar East RSA</v>
          </cell>
          <cell r="H1759">
            <v>44530</v>
          </cell>
          <cell r="I1759" t="str">
            <v>OBC</v>
          </cell>
          <cell r="J1759" t="str">
            <v>Mungi- Hatgaon NH752E</v>
          </cell>
          <cell r="K1759" t="str">
            <v>Ahmednagar</v>
          </cell>
          <cell r="L1759" t="str">
            <v>D1</v>
          </cell>
          <cell r="M1759" t="str">
            <v>NH-752E</v>
          </cell>
          <cell r="O1759" t="str">
            <v>B</v>
          </cell>
        </row>
        <row r="1760">
          <cell r="C1760">
            <v>343452</v>
          </cell>
          <cell r="D1760" t="str">
            <v>JAI VIJAY PETROLEUM</v>
          </cell>
          <cell r="E1760" t="str">
            <v>IOCL</v>
          </cell>
          <cell r="F1760" t="str">
            <v>2021-22</v>
          </cell>
          <cell r="G1760" t="str">
            <v>Satara East RSA</v>
          </cell>
          <cell r="H1760">
            <v>44498</v>
          </cell>
          <cell r="I1760" t="str">
            <v>OPEN</v>
          </cell>
          <cell r="J1760" t="str">
            <v>Mhaswad</v>
          </cell>
          <cell r="K1760" t="str">
            <v>Satara</v>
          </cell>
          <cell r="L1760" t="str">
            <v>D1</v>
          </cell>
          <cell r="M1760" t="str">
            <v>NH-548C</v>
          </cell>
          <cell r="O1760" t="str">
            <v>B</v>
          </cell>
        </row>
        <row r="1761">
          <cell r="C1761">
            <v>343514</v>
          </cell>
          <cell r="D1761" t="str">
            <v>SHIVSAMARTH PETROLEUM</v>
          </cell>
          <cell r="E1761" t="str">
            <v>IOCL</v>
          </cell>
          <cell r="F1761" t="str">
            <v>2021-22</v>
          </cell>
          <cell r="G1761" t="str">
            <v>Satara West RSA</v>
          </cell>
          <cell r="H1761">
            <v>44500</v>
          </cell>
          <cell r="I1761" t="str">
            <v>SC</v>
          </cell>
          <cell r="J1761" t="str">
            <v>Karate</v>
          </cell>
          <cell r="K1761" t="str">
            <v>Satara</v>
          </cell>
          <cell r="L1761" t="str">
            <v>D1</v>
          </cell>
          <cell r="M1761" t="str">
            <v>NH-166E</v>
          </cell>
          <cell r="O1761" t="str">
            <v>A</v>
          </cell>
        </row>
        <row r="1762">
          <cell r="C1762">
            <v>343518</v>
          </cell>
          <cell r="D1762" t="str">
            <v>P AND D N PETROLEUM</v>
          </cell>
          <cell r="E1762" t="str">
            <v>IOCL</v>
          </cell>
          <cell r="F1762" t="str">
            <v>2021-22</v>
          </cell>
          <cell r="G1762" t="str">
            <v>Satara East RSA</v>
          </cell>
          <cell r="H1762">
            <v>44499</v>
          </cell>
          <cell r="I1762" t="str">
            <v>SC</v>
          </cell>
          <cell r="J1762" t="str">
            <v>Katar Khatav</v>
          </cell>
          <cell r="K1762" t="str">
            <v>Satara</v>
          </cell>
          <cell r="L1762" t="str">
            <v>D1</v>
          </cell>
          <cell r="M1762" t="str">
            <v>NH-160</v>
          </cell>
          <cell r="O1762" t="str">
            <v>A</v>
          </cell>
        </row>
        <row r="1763">
          <cell r="C1763">
            <v>343520</v>
          </cell>
          <cell r="D1763" t="str">
            <v>SADGURU KRUPA PETROLEUM</v>
          </cell>
          <cell r="E1763" t="str">
            <v>IOCL</v>
          </cell>
          <cell r="F1763" t="str">
            <v>2021-22</v>
          </cell>
          <cell r="G1763" t="str">
            <v>Satara West RSA</v>
          </cell>
          <cell r="H1763">
            <v>44500</v>
          </cell>
          <cell r="I1763" t="str">
            <v>OBC</v>
          </cell>
          <cell r="J1763" t="str">
            <v>Satara to Bhuinj</v>
          </cell>
          <cell r="K1763" t="str">
            <v>Satara</v>
          </cell>
          <cell r="L1763" t="str">
            <v>D1</v>
          </cell>
          <cell r="M1763" t="str">
            <v>NH-48</v>
          </cell>
          <cell r="O1763" t="str">
            <v>B</v>
          </cell>
        </row>
        <row r="1764">
          <cell r="C1764">
            <v>343574</v>
          </cell>
          <cell r="D1764" t="str">
            <v>JAYRAJ PETROLEUM</v>
          </cell>
          <cell r="E1764" t="str">
            <v>IOCL</v>
          </cell>
          <cell r="F1764" t="str">
            <v>2021-22</v>
          </cell>
          <cell r="G1764" t="str">
            <v>Pune Wagholi RSA</v>
          </cell>
          <cell r="H1764">
            <v>44499</v>
          </cell>
          <cell r="I1764" t="str">
            <v>OBC</v>
          </cell>
          <cell r="J1764" t="str">
            <v>Shikrapur to Inamgaon</v>
          </cell>
          <cell r="K1764" t="str">
            <v>Pune</v>
          </cell>
          <cell r="L1764" t="str">
            <v>D1</v>
          </cell>
          <cell r="M1764" t="str">
            <v>NH-548D</v>
          </cell>
          <cell r="O1764" t="str">
            <v>B</v>
          </cell>
        </row>
        <row r="1765">
          <cell r="C1765">
            <v>344146</v>
          </cell>
          <cell r="D1765" t="str">
            <v>JAGDAMBA KISAN SEVA KENDRA</v>
          </cell>
          <cell r="E1765" t="str">
            <v>IOCL</v>
          </cell>
          <cell r="F1765" t="str">
            <v>2021-22</v>
          </cell>
          <cell r="G1765" t="str">
            <v>Ahmednagar East RSA</v>
          </cell>
          <cell r="H1765">
            <v>44529</v>
          </cell>
          <cell r="I1765" t="str">
            <v>OBC</v>
          </cell>
          <cell r="J1765" t="str">
            <v>Salbatpur</v>
          </cell>
          <cell r="K1765" t="str">
            <v>Ahmednagar</v>
          </cell>
          <cell r="L1765" t="str">
            <v>E</v>
          </cell>
          <cell r="O1765" t="str">
            <v>B</v>
          </cell>
        </row>
        <row r="1766">
          <cell r="C1766">
            <v>344153</v>
          </cell>
          <cell r="D1766" t="str">
            <v>HANGESHWAR PETROLEUM</v>
          </cell>
          <cell r="E1766" t="str">
            <v>IOCL</v>
          </cell>
          <cell r="F1766" t="str">
            <v>2021-22</v>
          </cell>
          <cell r="G1766" t="str">
            <v>Ahmednagar West RSA</v>
          </cell>
          <cell r="H1766">
            <v>44530</v>
          </cell>
          <cell r="I1766" t="str">
            <v>SC</v>
          </cell>
          <cell r="J1766" t="str">
            <v>Hanga</v>
          </cell>
          <cell r="K1766" t="str">
            <v>Ahmednagar</v>
          </cell>
          <cell r="L1766" t="str">
            <v>D2</v>
          </cell>
          <cell r="O1766" t="str">
            <v>A</v>
          </cell>
        </row>
        <row r="1767">
          <cell r="C1767">
            <v>344177</v>
          </cell>
          <cell r="D1767" t="str">
            <v>S.P.PATIL PETROLEUM</v>
          </cell>
          <cell r="E1767" t="str">
            <v>IOCL</v>
          </cell>
          <cell r="F1767" t="str">
            <v>2021-22</v>
          </cell>
          <cell r="G1767" t="str">
            <v>Pune Tathawade RSA</v>
          </cell>
          <cell r="H1767">
            <v>44530</v>
          </cell>
          <cell r="I1767" t="str">
            <v>SC</v>
          </cell>
          <cell r="J1767" t="str">
            <v>Malegaon-Karhavagaj Road</v>
          </cell>
          <cell r="K1767" t="str">
            <v>Pune</v>
          </cell>
          <cell r="L1767" t="str">
            <v>E</v>
          </cell>
          <cell r="O1767" t="str">
            <v>A</v>
          </cell>
        </row>
        <row r="1768">
          <cell r="C1768">
            <v>386612</v>
          </cell>
          <cell r="D1768" t="str">
            <v>COCO RATHARE Adhoc Shree Lakshmi Petroleum (SHUBHRA PETROLEUM-344181)</v>
          </cell>
          <cell r="E1768" t="str">
            <v>IOCL</v>
          </cell>
          <cell r="F1768" t="str">
            <v>2021-22</v>
          </cell>
          <cell r="G1768" t="str">
            <v>Satara West RSA</v>
          </cell>
          <cell r="H1768">
            <v>44530</v>
          </cell>
          <cell r="I1768" t="str">
            <v>ST</v>
          </cell>
          <cell r="J1768" t="str">
            <v>RETHARE</v>
          </cell>
          <cell r="K1768" t="str">
            <v>Satara</v>
          </cell>
          <cell r="L1768" t="str">
            <v>D2</v>
          </cell>
          <cell r="O1768" t="str">
            <v>A</v>
          </cell>
        </row>
        <row r="1769">
          <cell r="C1769">
            <v>344184</v>
          </cell>
          <cell r="D1769" t="str">
            <v>SHRI SAI ENERGY PETROLEUM</v>
          </cell>
          <cell r="E1769" t="str">
            <v>IOCL</v>
          </cell>
          <cell r="F1769" t="str">
            <v>2021-22</v>
          </cell>
          <cell r="G1769" t="str">
            <v>Satara West RSA</v>
          </cell>
          <cell r="H1769">
            <v>44530</v>
          </cell>
          <cell r="I1769" t="str">
            <v>OPEN</v>
          </cell>
          <cell r="J1769" t="str">
            <v>Kolewadi to Dhebewadi</v>
          </cell>
          <cell r="K1769" t="str">
            <v>Satara</v>
          </cell>
          <cell r="L1769" t="str">
            <v>E</v>
          </cell>
          <cell r="O1769" t="str">
            <v>B</v>
          </cell>
        </row>
        <row r="1770">
          <cell r="C1770">
            <v>344195</v>
          </cell>
          <cell r="D1770" t="str">
            <v>SANSKRUTI PETROLEUM</v>
          </cell>
          <cell r="E1770" t="str">
            <v>IOCL</v>
          </cell>
          <cell r="F1770" t="str">
            <v>2021-22</v>
          </cell>
          <cell r="G1770" t="str">
            <v>Satara East RSA</v>
          </cell>
          <cell r="H1770">
            <v>44530</v>
          </cell>
          <cell r="I1770" t="str">
            <v>OPEN</v>
          </cell>
          <cell r="J1770" t="str">
            <v>MASWAD HAVALDARWADI RD</v>
          </cell>
          <cell r="K1770" t="str">
            <v>Satara</v>
          </cell>
          <cell r="L1770" t="str">
            <v>D1</v>
          </cell>
          <cell r="M1770" t="str">
            <v>NH-548C</v>
          </cell>
          <cell r="O1770" t="str">
            <v>B</v>
          </cell>
        </row>
        <row r="1771">
          <cell r="C1771">
            <v>344894</v>
          </cell>
          <cell r="D1771" t="str">
            <v>ALESHWAR PETROLEUM</v>
          </cell>
          <cell r="E1771" t="str">
            <v>IOCL</v>
          </cell>
          <cell r="F1771" t="str">
            <v>2021-22</v>
          </cell>
          <cell r="G1771" t="str">
            <v>Pune Hadapsar RSA</v>
          </cell>
          <cell r="H1771">
            <v>44561</v>
          </cell>
          <cell r="I1771" t="str">
            <v>OBC</v>
          </cell>
          <cell r="J1771" t="str">
            <v>DAUND</v>
          </cell>
          <cell r="K1771" t="str">
            <v>Pune</v>
          </cell>
          <cell r="L1771" t="str">
            <v>D2</v>
          </cell>
          <cell r="O1771" t="str">
            <v>B</v>
          </cell>
        </row>
        <row r="1772">
          <cell r="C1772">
            <v>344908</v>
          </cell>
          <cell r="D1772" t="str">
            <v>M B PETROLEUM</v>
          </cell>
          <cell r="E1772" t="str">
            <v>IOCL</v>
          </cell>
          <cell r="F1772" t="str">
            <v>2021-22</v>
          </cell>
          <cell r="G1772" t="str">
            <v>Shirdi RSA</v>
          </cell>
          <cell r="H1772">
            <v>44560</v>
          </cell>
          <cell r="I1772" t="str">
            <v>OPEN</v>
          </cell>
          <cell r="J1772" t="str">
            <v>POHEGAON</v>
          </cell>
          <cell r="K1772" t="str">
            <v>Ahmednagar</v>
          </cell>
          <cell r="L1772" t="str">
            <v>D1</v>
          </cell>
          <cell r="M1772" t="str">
            <v>NH-160B</v>
          </cell>
          <cell r="O1772" t="str">
            <v>B</v>
          </cell>
        </row>
        <row r="1773">
          <cell r="C1773">
            <v>344909</v>
          </cell>
          <cell r="D1773" t="str">
            <v>MAN DESHI PETROLEUM</v>
          </cell>
          <cell r="E1773" t="str">
            <v>IOCL</v>
          </cell>
          <cell r="F1773" t="str">
            <v>2021-22</v>
          </cell>
          <cell r="G1773" t="str">
            <v>Satara East RSA</v>
          </cell>
          <cell r="H1773">
            <v>44561</v>
          </cell>
          <cell r="I1773" t="str">
            <v>ST</v>
          </cell>
          <cell r="J1773" t="str">
            <v>MASWAD HAVALDARWADI RD</v>
          </cell>
          <cell r="K1773" t="str">
            <v>Satara</v>
          </cell>
          <cell r="L1773" t="str">
            <v>D1</v>
          </cell>
          <cell r="M1773" t="str">
            <v>NH-548C</v>
          </cell>
          <cell r="O1773" t="str">
            <v>A</v>
          </cell>
        </row>
        <row r="1774">
          <cell r="C1774">
            <v>344916</v>
          </cell>
          <cell r="D1774" t="str">
            <v>JYOTTIBBA PETROLEUM</v>
          </cell>
          <cell r="E1774" t="str">
            <v>IOCL</v>
          </cell>
          <cell r="F1774" t="str">
            <v>2021-22</v>
          </cell>
          <cell r="G1774" t="str">
            <v>Satara West RSA</v>
          </cell>
          <cell r="H1774">
            <v>44561</v>
          </cell>
          <cell r="I1774" t="str">
            <v>OPEN</v>
          </cell>
          <cell r="J1774" t="str">
            <v>KHOJEWADI</v>
          </cell>
          <cell r="K1774" t="str">
            <v>Satara</v>
          </cell>
          <cell r="L1774" t="str">
            <v>E</v>
          </cell>
          <cell r="O1774" t="str">
            <v>B</v>
          </cell>
        </row>
        <row r="1775">
          <cell r="C1775">
            <v>344917</v>
          </cell>
          <cell r="D1775" t="str">
            <v>TAMHANE PETROLEUM</v>
          </cell>
          <cell r="E1775" t="str">
            <v>IOCL</v>
          </cell>
          <cell r="F1775" t="str">
            <v>2021-22</v>
          </cell>
          <cell r="G1775" t="str">
            <v>Pune Hadapsar RSA</v>
          </cell>
          <cell r="H1775">
            <v>44560</v>
          </cell>
          <cell r="I1775" t="str">
            <v>OPEN</v>
          </cell>
          <cell r="J1775" t="str">
            <v>Ravangaon RHS</v>
          </cell>
          <cell r="K1775" t="str">
            <v>Pune</v>
          </cell>
          <cell r="L1775" t="str">
            <v>D1</v>
          </cell>
          <cell r="M1775" t="str">
            <v>NH-65</v>
          </cell>
          <cell r="O1775" t="str">
            <v>A</v>
          </cell>
        </row>
        <row r="1776">
          <cell r="C1776">
            <v>344981</v>
          </cell>
          <cell r="D1776" t="str">
            <v>SHRI BHOJLING PETROLEUM</v>
          </cell>
          <cell r="E1776" t="str">
            <v>IOCL</v>
          </cell>
          <cell r="F1776" t="str">
            <v>2021-22</v>
          </cell>
          <cell r="G1776" t="str">
            <v>Satara East RSA</v>
          </cell>
          <cell r="H1776">
            <v>44561</v>
          </cell>
          <cell r="I1776" t="str">
            <v>SC</v>
          </cell>
          <cell r="J1776" t="str">
            <v>JAMBHULANI</v>
          </cell>
          <cell r="K1776" t="str">
            <v>Satara</v>
          </cell>
          <cell r="L1776" t="str">
            <v>E</v>
          </cell>
          <cell r="O1776" t="str">
            <v>A</v>
          </cell>
        </row>
        <row r="1777">
          <cell r="C1777">
            <v>344982</v>
          </cell>
          <cell r="D1777" t="str">
            <v>SHREENATH PETROLEUM SERVICE</v>
          </cell>
          <cell r="E1777" t="str">
            <v>IOCL</v>
          </cell>
          <cell r="F1777" t="str">
            <v>2021-22</v>
          </cell>
          <cell r="G1777" t="str">
            <v>Pune Tathawade RSA</v>
          </cell>
          <cell r="H1777">
            <v>44561</v>
          </cell>
          <cell r="I1777" t="str">
            <v>SC</v>
          </cell>
          <cell r="J1777" t="str">
            <v>VADGAON NIMBALKAR</v>
          </cell>
          <cell r="K1777" t="str">
            <v>Pune</v>
          </cell>
          <cell r="L1777" t="str">
            <v>E</v>
          </cell>
          <cell r="O1777" t="str">
            <v>A</v>
          </cell>
        </row>
        <row r="1778">
          <cell r="C1778">
            <v>345565</v>
          </cell>
          <cell r="D1778" t="str">
            <v>RAJPURE PETROLEUM</v>
          </cell>
          <cell r="E1778" t="str">
            <v>IOCL</v>
          </cell>
          <cell r="F1778" t="str">
            <v>2021-22</v>
          </cell>
          <cell r="G1778" t="str">
            <v>Pune Saswad RSA</v>
          </cell>
          <cell r="H1778">
            <v>44592</v>
          </cell>
          <cell r="I1778" t="str">
            <v>SC</v>
          </cell>
          <cell r="J1778" t="str">
            <v>bhigwan-rashin road</v>
          </cell>
          <cell r="K1778" t="str">
            <v>Pune</v>
          </cell>
          <cell r="L1778" t="str">
            <v>D2</v>
          </cell>
          <cell r="O1778" t="str">
            <v>A</v>
          </cell>
        </row>
        <row r="1779">
          <cell r="C1779">
            <v>345566</v>
          </cell>
          <cell r="D1779" t="str">
            <v>AABASHRI KISAN SEVA KENDRA</v>
          </cell>
          <cell r="E1779" t="str">
            <v>IOCL</v>
          </cell>
          <cell r="F1779" t="str">
            <v>2021-22</v>
          </cell>
          <cell r="G1779" t="str">
            <v>Ahmednagar West RSA</v>
          </cell>
          <cell r="H1779">
            <v>44592</v>
          </cell>
          <cell r="I1779" t="str">
            <v>SC</v>
          </cell>
          <cell r="J1779" t="str">
            <v>Nagalwadi</v>
          </cell>
          <cell r="K1779" t="str">
            <v>Ahmednagar</v>
          </cell>
          <cell r="L1779" t="str">
            <v>E</v>
          </cell>
          <cell r="O1779" t="str">
            <v>A</v>
          </cell>
        </row>
        <row r="1780">
          <cell r="C1780">
            <v>345608</v>
          </cell>
          <cell r="D1780" t="str">
            <v>OMKAR PETROLEUM</v>
          </cell>
          <cell r="E1780" t="str">
            <v>IOCL</v>
          </cell>
          <cell r="F1780" t="str">
            <v>2021-22</v>
          </cell>
          <cell r="G1780" t="str">
            <v>Ahmednagar East RSA</v>
          </cell>
          <cell r="H1780">
            <v>44592</v>
          </cell>
          <cell r="I1780" t="str">
            <v>ST</v>
          </cell>
          <cell r="J1780" t="str">
            <v>Mungi- Hatgaon NH752E</v>
          </cell>
          <cell r="K1780" t="str">
            <v>Ahmednagar</v>
          </cell>
          <cell r="L1780" t="str">
            <v>D1</v>
          </cell>
          <cell r="M1780" t="str">
            <v>NH-752E</v>
          </cell>
          <cell r="O1780" t="str">
            <v>A</v>
          </cell>
        </row>
        <row r="1781">
          <cell r="C1781">
            <v>345609</v>
          </cell>
          <cell r="D1781" t="str">
            <v>SAINATH ENTERPRISE</v>
          </cell>
          <cell r="E1781" t="str">
            <v>IOCL</v>
          </cell>
          <cell r="F1781" t="str">
            <v>2021-22</v>
          </cell>
          <cell r="G1781" t="str">
            <v>Pune Wagholi RSA</v>
          </cell>
          <cell r="H1781">
            <v>44592</v>
          </cell>
          <cell r="I1781" t="str">
            <v>ST</v>
          </cell>
          <cell r="J1781" t="str">
            <v>Narayangaon to Alephata LHS</v>
          </cell>
          <cell r="K1781" t="str">
            <v>Pune</v>
          </cell>
          <cell r="L1781" t="str">
            <v>D1</v>
          </cell>
          <cell r="M1781" t="str">
            <v>NH-60</v>
          </cell>
          <cell r="O1781" t="str">
            <v>A</v>
          </cell>
        </row>
        <row r="1782">
          <cell r="C1782">
            <v>345611</v>
          </cell>
          <cell r="D1782" t="str">
            <v>SHRI NAGESHWAR PETROLEUM</v>
          </cell>
          <cell r="E1782" t="str">
            <v>IOCL</v>
          </cell>
          <cell r="F1782" t="str">
            <v>2021-22</v>
          </cell>
          <cell r="G1782" t="str">
            <v>Ahmednagar West RSA</v>
          </cell>
          <cell r="H1782">
            <v>44592</v>
          </cell>
          <cell r="I1782" t="str">
            <v>OPEN</v>
          </cell>
          <cell r="J1782" t="str">
            <v>Nagalwadi</v>
          </cell>
          <cell r="K1782" t="str">
            <v>Ahmednagar</v>
          </cell>
          <cell r="L1782" t="str">
            <v>E</v>
          </cell>
          <cell r="O1782" t="str">
            <v>B</v>
          </cell>
        </row>
        <row r="1783">
          <cell r="C1783">
            <v>345693</v>
          </cell>
          <cell r="D1783" t="str">
            <v>MALHAR ENERGY</v>
          </cell>
          <cell r="E1783" t="str">
            <v>IOCL</v>
          </cell>
          <cell r="G1783" t="str">
            <v>Pune Saswad RSA</v>
          </cell>
          <cell r="H1783">
            <v>28352</v>
          </cell>
          <cell r="I1783" t="str">
            <v>OPEN (W)</v>
          </cell>
          <cell r="J1783" t="str">
            <v>JEJURI</v>
          </cell>
          <cell r="K1783" t="str">
            <v>Pune</v>
          </cell>
          <cell r="L1783" t="str">
            <v>D1</v>
          </cell>
          <cell r="M1783" t="str">
            <v>NH-965</v>
          </cell>
          <cell r="O1783" t="str">
            <v>A</v>
          </cell>
        </row>
        <row r="1784">
          <cell r="C1784">
            <v>345706</v>
          </cell>
          <cell r="D1784" t="str">
            <v>SHIVSAMARTH PETROCHEM</v>
          </cell>
          <cell r="E1784" t="str">
            <v>IOCL</v>
          </cell>
          <cell r="F1784" t="str">
            <v>2021-22</v>
          </cell>
          <cell r="G1784" t="str">
            <v>Satara West RSA</v>
          </cell>
          <cell r="H1784">
            <v>44592</v>
          </cell>
          <cell r="I1784" t="str">
            <v>OPEN</v>
          </cell>
          <cell r="J1784" t="str">
            <v>Bhuinj to Khandala</v>
          </cell>
          <cell r="K1784" t="str">
            <v>Satara</v>
          </cell>
          <cell r="L1784" t="str">
            <v>D1</v>
          </cell>
          <cell r="M1784" t="str">
            <v>NH-48</v>
          </cell>
          <cell r="O1784" t="str">
            <v>B</v>
          </cell>
        </row>
        <row r="1785">
          <cell r="C1785">
            <v>346336</v>
          </cell>
          <cell r="D1785" t="str">
            <v>SSK PETROLEUM</v>
          </cell>
          <cell r="E1785" t="str">
            <v>IOCL</v>
          </cell>
          <cell r="F1785" t="str">
            <v>2021-22</v>
          </cell>
          <cell r="G1785" t="str">
            <v>Pune Hadapsar RSA</v>
          </cell>
          <cell r="H1785">
            <v>44620</v>
          </cell>
          <cell r="I1785" t="str">
            <v>SC</v>
          </cell>
          <cell r="J1785" t="str">
            <v>Kasurdi</v>
          </cell>
          <cell r="K1785" t="str">
            <v>Pune</v>
          </cell>
          <cell r="L1785" t="str">
            <v>E</v>
          </cell>
          <cell r="O1785" t="str">
            <v>A</v>
          </cell>
        </row>
        <row r="1786">
          <cell r="C1786">
            <v>346362</v>
          </cell>
          <cell r="D1786" t="str">
            <v>ATOLE PETROLEUM</v>
          </cell>
          <cell r="E1786" t="str">
            <v>IOCL</v>
          </cell>
          <cell r="F1786" t="str">
            <v>2021-22</v>
          </cell>
          <cell r="G1786" t="str">
            <v>Pune Hadapsar RSA</v>
          </cell>
          <cell r="H1786">
            <v>44620</v>
          </cell>
          <cell r="I1786" t="str">
            <v>SC</v>
          </cell>
          <cell r="J1786" t="str">
            <v>Ravangaon LHS</v>
          </cell>
          <cell r="K1786" t="str">
            <v>Pune</v>
          </cell>
          <cell r="L1786" t="str">
            <v>D1</v>
          </cell>
          <cell r="M1786" t="str">
            <v>NH-65</v>
          </cell>
          <cell r="O1786" t="str">
            <v>A</v>
          </cell>
        </row>
        <row r="1787">
          <cell r="C1787">
            <v>346363</v>
          </cell>
          <cell r="D1787" t="str">
            <v>MAHIPATI MAHARAJ GP PETROLEUM</v>
          </cell>
          <cell r="E1787" t="str">
            <v>IOCL</v>
          </cell>
          <cell r="F1787" t="str">
            <v>2021-22</v>
          </cell>
          <cell r="G1787" t="str">
            <v>Shirdi RSA</v>
          </cell>
          <cell r="H1787">
            <v>44651</v>
          </cell>
          <cell r="I1787" t="str">
            <v>OBC</v>
          </cell>
          <cell r="J1787" t="str">
            <v>GADADHE AKHADA</v>
          </cell>
          <cell r="K1787" t="str">
            <v>Ahmednagar</v>
          </cell>
          <cell r="L1787" t="str">
            <v>D2</v>
          </cell>
          <cell r="O1787" t="str">
            <v>B</v>
          </cell>
        </row>
        <row r="1788">
          <cell r="C1788">
            <v>346369</v>
          </cell>
          <cell r="D1788" t="str">
            <v>DATTA KAKA SANE PETROLEUM</v>
          </cell>
          <cell r="E1788" t="str">
            <v>IOCL</v>
          </cell>
          <cell r="F1788" t="str">
            <v>2021-22</v>
          </cell>
          <cell r="G1788" t="str">
            <v>Pimpri Chinchwad RSA</v>
          </cell>
          <cell r="H1788">
            <v>44620</v>
          </cell>
          <cell r="I1788" t="str">
            <v>OPEN</v>
          </cell>
          <cell r="J1788" t="str">
            <v>CHIKHLI</v>
          </cell>
          <cell r="K1788" t="str">
            <v>Pune</v>
          </cell>
          <cell r="L1788" t="str">
            <v>A</v>
          </cell>
          <cell r="O1788" t="str">
            <v>A</v>
          </cell>
        </row>
        <row r="1789">
          <cell r="C1789">
            <v>346397</v>
          </cell>
          <cell r="D1789" t="str">
            <v>S. H. DUBAL PETROLEUM</v>
          </cell>
          <cell r="E1789" t="str">
            <v>IOCL</v>
          </cell>
          <cell r="F1789" t="str">
            <v>2021-22</v>
          </cell>
          <cell r="G1789" t="str">
            <v>Satara West RSA</v>
          </cell>
          <cell r="H1789">
            <v>44620</v>
          </cell>
          <cell r="I1789" t="str">
            <v>OPEN</v>
          </cell>
          <cell r="J1789" t="str">
            <v>Karad on NH48 LHS</v>
          </cell>
          <cell r="K1789" t="str">
            <v>Satara</v>
          </cell>
          <cell r="L1789" t="str">
            <v>D1</v>
          </cell>
          <cell r="M1789" t="str">
            <v>NH-48</v>
          </cell>
          <cell r="O1789" t="str">
            <v>B</v>
          </cell>
        </row>
        <row r="1790">
          <cell r="C1790">
            <v>346399</v>
          </cell>
          <cell r="D1790" t="str">
            <v>JYOTIRLING KISAN SEWA KENDRA</v>
          </cell>
          <cell r="E1790" t="str">
            <v>IOCL</v>
          </cell>
          <cell r="F1790" t="str">
            <v>2021-22</v>
          </cell>
          <cell r="G1790" t="str">
            <v>Pune Saswad RSA</v>
          </cell>
          <cell r="H1790">
            <v>44620</v>
          </cell>
          <cell r="I1790" t="str">
            <v>OBC</v>
          </cell>
          <cell r="J1790" t="str">
            <v>Mandaki</v>
          </cell>
          <cell r="K1790" t="str">
            <v>Pune</v>
          </cell>
          <cell r="L1790" t="str">
            <v>E</v>
          </cell>
          <cell r="O1790" t="str">
            <v>B</v>
          </cell>
        </row>
        <row r="1791">
          <cell r="C1791">
            <v>346403</v>
          </cell>
          <cell r="D1791" t="str">
            <v>SHIVANKEET PETROLEUM</v>
          </cell>
          <cell r="E1791" t="str">
            <v>IOCL</v>
          </cell>
          <cell r="F1791" t="str">
            <v>2021-22</v>
          </cell>
          <cell r="G1791" t="str">
            <v>Pune Wagholi RSA</v>
          </cell>
          <cell r="H1791">
            <v>44620</v>
          </cell>
          <cell r="I1791" t="str">
            <v>SC</v>
          </cell>
          <cell r="J1791" t="str">
            <v>Ranjangaon to Shirur LHS</v>
          </cell>
          <cell r="K1791" t="str">
            <v>Pune</v>
          </cell>
          <cell r="L1791" t="str">
            <v>D1</v>
          </cell>
          <cell r="M1791" t="str">
            <v>NH-753F</v>
          </cell>
          <cell r="O1791" t="str">
            <v>A</v>
          </cell>
        </row>
        <row r="1792">
          <cell r="C1792">
            <v>347071</v>
          </cell>
          <cell r="D1792" t="str">
            <v>SAIDEEP PETROLEUM</v>
          </cell>
          <cell r="E1792" t="str">
            <v>IOCL</v>
          </cell>
          <cell r="F1792" t="str">
            <v>2021-22</v>
          </cell>
          <cell r="G1792" t="str">
            <v>Shirdi RSA</v>
          </cell>
          <cell r="H1792">
            <v>44651</v>
          </cell>
          <cell r="I1792" t="str">
            <v>OPEN</v>
          </cell>
          <cell r="J1792" t="str">
            <v>PUNTAMBA PHATA</v>
          </cell>
          <cell r="K1792" t="str">
            <v>Ahmednagar</v>
          </cell>
          <cell r="L1792" t="str">
            <v>D1</v>
          </cell>
          <cell r="M1792" t="str">
            <v>NH-752G</v>
          </cell>
          <cell r="O1792" t="str">
            <v>B</v>
          </cell>
        </row>
        <row r="1793">
          <cell r="C1793">
            <v>347361</v>
          </cell>
          <cell r="D1793" t="str">
            <v>SHREE MAULI PETROLEUM</v>
          </cell>
          <cell r="E1793" t="str">
            <v>IOCL</v>
          </cell>
          <cell r="F1793" t="str">
            <v>2021-22</v>
          </cell>
          <cell r="G1793" t="str">
            <v>Ahmednagar West RSA</v>
          </cell>
          <cell r="H1793">
            <v>44651</v>
          </cell>
          <cell r="I1793" t="str">
            <v>ST</v>
          </cell>
          <cell r="J1793" t="str">
            <v>Bhalawani</v>
          </cell>
          <cell r="K1793" t="str">
            <v>Ahmednagar</v>
          </cell>
          <cell r="L1793" t="str">
            <v>D1</v>
          </cell>
          <cell r="M1793" t="str">
            <v>NH-61</v>
          </cell>
          <cell r="O1793" t="str">
            <v>A</v>
          </cell>
        </row>
        <row r="1794">
          <cell r="C1794">
            <v>347366</v>
          </cell>
          <cell r="D1794" t="str">
            <v>DARSHAN PETROLEUM &amp; TRANSPORT SERVI</v>
          </cell>
          <cell r="E1794" t="str">
            <v>IOCL</v>
          </cell>
          <cell r="F1794" t="str">
            <v>2021-22</v>
          </cell>
          <cell r="G1794" t="str">
            <v>Pune Wagholi RSA</v>
          </cell>
          <cell r="H1794">
            <v>44651</v>
          </cell>
          <cell r="I1794" t="str">
            <v>OPEN</v>
          </cell>
          <cell r="J1794" t="str">
            <v>Manchar</v>
          </cell>
          <cell r="K1794" t="str">
            <v>Pune</v>
          </cell>
          <cell r="L1794" t="str">
            <v>C</v>
          </cell>
          <cell r="O1794" t="str">
            <v>B</v>
          </cell>
        </row>
        <row r="1795">
          <cell r="C1795">
            <v>347370</v>
          </cell>
          <cell r="D1795" t="str">
            <v>ABHISHEK PETROLEUM</v>
          </cell>
          <cell r="E1795" t="str">
            <v>IOCL</v>
          </cell>
          <cell r="F1795" t="str">
            <v>2021-22</v>
          </cell>
          <cell r="G1795" t="str">
            <v>Ahmednagar West RSA</v>
          </cell>
          <cell r="H1795">
            <v>44651</v>
          </cell>
          <cell r="I1795" t="str">
            <v>OPEN</v>
          </cell>
          <cell r="J1795" t="str">
            <v>Takli Dhokeshwar</v>
          </cell>
          <cell r="K1795" t="str">
            <v>Ahmednagar</v>
          </cell>
          <cell r="L1795" t="str">
            <v>D1</v>
          </cell>
          <cell r="M1795" t="str">
            <v>NH-61</v>
          </cell>
          <cell r="O1795" t="str">
            <v>B</v>
          </cell>
        </row>
        <row r="1796">
          <cell r="C1796">
            <v>347382</v>
          </cell>
          <cell r="D1796" t="str">
            <v>PARVATI PETROLEUM</v>
          </cell>
          <cell r="E1796" t="str">
            <v>IOCL</v>
          </cell>
          <cell r="F1796" t="str">
            <v>2021-22</v>
          </cell>
          <cell r="G1796" t="str">
            <v>Satara East RSA</v>
          </cell>
          <cell r="H1796">
            <v>44651</v>
          </cell>
          <cell r="I1796" t="str">
            <v>OPEN</v>
          </cell>
          <cell r="J1796" t="str">
            <v>BORWAT</v>
          </cell>
          <cell r="K1796" t="str">
            <v>Satara</v>
          </cell>
          <cell r="L1796" t="str">
            <v>E</v>
          </cell>
          <cell r="O1796" t="str">
            <v>B</v>
          </cell>
        </row>
        <row r="1797">
          <cell r="C1797">
            <v>347383</v>
          </cell>
          <cell r="D1797" t="str">
            <v>SALUNKE PETROLEUM</v>
          </cell>
          <cell r="E1797" t="str">
            <v>IOCL</v>
          </cell>
          <cell r="F1797" t="str">
            <v>2021-22</v>
          </cell>
          <cell r="G1797" t="str">
            <v>Pune Hadapsar RSA</v>
          </cell>
          <cell r="H1797">
            <v>44650</v>
          </cell>
          <cell r="I1797" t="str">
            <v>OPEN</v>
          </cell>
          <cell r="J1797" t="str">
            <v>Vasunde</v>
          </cell>
          <cell r="K1797" t="str">
            <v>Pune</v>
          </cell>
          <cell r="L1797" t="str">
            <v>D1</v>
          </cell>
          <cell r="M1797" t="str">
            <v>NH-965G</v>
          </cell>
          <cell r="O1797" t="str">
            <v>B</v>
          </cell>
        </row>
        <row r="1798">
          <cell r="C1798">
            <v>347461</v>
          </cell>
          <cell r="D1798" t="str">
            <v>PESHAVE PETROLEUM</v>
          </cell>
          <cell r="E1798" t="str">
            <v>IOCL</v>
          </cell>
          <cell r="F1798" t="str">
            <v>2021-22</v>
          </cell>
          <cell r="G1798" t="str">
            <v>Pune Saswad RSA</v>
          </cell>
          <cell r="H1798">
            <v>44651</v>
          </cell>
          <cell r="I1798" t="str">
            <v>OPEN</v>
          </cell>
          <cell r="J1798" t="str">
            <v>JEJURI</v>
          </cell>
          <cell r="K1798" t="str">
            <v>Pune</v>
          </cell>
          <cell r="L1798" t="str">
            <v>D1</v>
          </cell>
          <cell r="M1798" t="str">
            <v>NH-965</v>
          </cell>
          <cell r="O1798" t="str">
            <v>B</v>
          </cell>
        </row>
        <row r="1799">
          <cell r="C1799">
            <v>347490</v>
          </cell>
          <cell r="D1799" t="str">
            <v>SHAHID PRADIP SARODE PETROLEUM</v>
          </cell>
          <cell r="E1799" t="str">
            <v>IOCL</v>
          </cell>
          <cell r="F1799" t="str">
            <v>2021-22</v>
          </cell>
          <cell r="G1799" t="str">
            <v>Pune Wagholi RSA</v>
          </cell>
          <cell r="H1799">
            <v>44651</v>
          </cell>
          <cell r="I1799" t="str">
            <v>SC</v>
          </cell>
          <cell r="J1799" t="str">
            <v>Karde</v>
          </cell>
          <cell r="K1799" t="str">
            <v>Pune</v>
          </cell>
          <cell r="L1799" t="str">
            <v>D2</v>
          </cell>
          <cell r="O1799" t="str">
            <v>A</v>
          </cell>
        </row>
        <row r="1800">
          <cell r="C1800">
            <v>347513</v>
          </cell>
          <cell r="D1800" t="str">
            <v>SUKHWANI PETROTECH</v>
          </cell>
          <cell r="E1800" t="str">
            <v>IOCL</v>
          </cell>
          <cell r="F1800" t="str">
            <v>2021-22</v>
          </cell>
          <cell r="G1800" t="str">
            <v>Pune City RSA</v>
          </cell>
          <cell r="H1800">
            <v>44651</v>
          </cell>
          <cell r="I1800" t="str">
            <v>OPEN</v>
          </cell>
          <cell r="J1800" t="str">
            <v>Pimple Saudagar</v>
          </cell>
          <cell r="K1800" t="str">
            <v>Pune</v>
          </cell>
          <cell r="L1800" t="str">
            <v>A</v>
          </cell>
          <cell r="O1800" t="str">
            <v>A</v>
          </cell>
        </row>
        <row r="1801">
          <cell r="C1801">
            <v>347526</v>
          </cell>
          <cell r="D1801" t="str">
            <v>JAI HIND PETROLEUM</v>
          </cell>
          <cell r="E1801" t="str">
            <v>IOCL</v>
          </cell>
          <cell r="F1801" t="str">
            <v>2021-22</v>
          </cell>
          <cell r="G1801" t="str">
            <v>Ahmednagar East RSA</v>
          </cell>
          <cell r="H1801">
            <v>44651</v>
          </cell>
          <cell r="I1801" t="str">
            <v>OPEN</v>
          </cell>
          <cell r="J1801" t="str">
            <v>Akhegaon</v>
          </cell>
          <cell r="K1801" t="str">
            <v>Ahmednagar</v>
          </cell>
          <cell r="L1801" t="str">
            <v>E</v>
          </cell>
          <cell r="O1801" t="str">
            <v>B</v>
          </cell>
        </row>
        <row r="1802">
          <cell r="C1802">
            <v>348211</v>
          </cell>
          <cell r="D1802" t="str">
            <v>MAHALAXMI PETROLEUM</v>
          </cell>
          <cell r="E1802" t="str">
            <v>IOCL</v>
          </cell>
          <cell r="F1802" t="str">
            <v>2022-23</v>
          </cell>
          <cell r="G1802" t="str">
            <v>Pune Wagholi RSA</v>
          </cell>
          <cell r="H1802">
            <v>44681</v>
          </cell>
          <cell r="I1802" t="str">
            <v>OPEN</v>
          </cell>
          <cell r="J1802" t="str">
            <v>Pabal</v>
          </cell>
          <cell r="K1802" t="str">
            <v>Pune</v>
          </cell>
          <cell r="L1802" t="str">
            <v>E</v>
          </cell>
          <cell r="O1802" t="str">
            <v>B</v>
          </cell>
        </row>
        <row r="1803">
          <cell r="C1803">
            <v>348890</v>
          </cell>
          <cell r="D1803" t="str">
            <v>AKSHAY PETRO SALES</v>
          </cell>
          <cell r="E1803" t="str">
            <v>IOCL</v>
          </cell>
          <cell r="F1803" t="str">
            <v>2022-23</v>
          </cell>
          <cell r="G1803" t="str">
            <v>Shirdi RSA</v>
          </cell>
          <cell r="H1803">
            <v>44711</v>
          </cell>
          <cell r="I1803" t="str">
            <v>OPEN</v>
          </cell>
          <cell r="J1803" t="str">
            <v>TANDULNER</v>
          </cell>
          <cell r="K1803" t="str">
            <v>Ahmednagar</v>
          </cell>
          <cell r="L1803" t="str">
            <v>E</v>
          </cell>
          <cell r="O1803" t="str">
            <v>B</v>
          </cell>
        </row>
        <row r="1804">
          <cell r="C1804">
            <v>349731</v>
          </cell>
          <cell r="D1804" t="str">
            <v>FAJAL PETROLEUM</v>
          </cell>
          <cell r="E1804" t="str">
            <v>IOCL</v>
          </cell>
          <cell r="F1804" t="str">
            <v>2022-23</v>
          </cell>
          <cell r="G1804" t="str">
            <v>Pune Saswad RSA</v>
          </cell>
          <cell r="H1804">
            <v>44742</v>
          </cell>
          <cell r="I1804" t="str">
            <v>OPEN</v>
          </cell>
          <cell r="J1804" t="str">
            <v>nimgaon ketki</v>
          </cell>
          <cell r="K1804" t="str">
            <v>Pune</v>
          </cell>
          <cell r="L1804" t="str">
            <v>E</v>
          </cell>
          <cell r="O1804" t="str">
            <v>B</v>
          </cell>
        </row>
        <row r="1805">
          <cell r="C1805">
            <v>350290</v>
          </cell>
          <cell r="D1805" t="str">
            <v>JAI BHAGWAN PETROLEUM</v>
          </cell>
          <cell r="E1805" t="str">
            <v>IOCL</v>
          </cell>
          <cell r="F1805" t="str">
            <v>2022-23</v>
          </cell>
          <cell r="G1805" t="str">
            <v>Ahmednagar West RSA</v>
          </cell>
          <cell r="H1805">
            <v>44773</v>
          </cell>
          <cell r="I1805" t="str">
            <v>OBC</v>
          </cell>
          <cell r="J1805" t="str">
            <v>SHEKTE</v>
          </cell>
          <cell r="K1805" t="str">
            <v>Ahmednagar</v>
          </cell>
          <cell r="L1805" t="str">
            <v>D1</v>
          </cell>
          <cell r="M1805" t="str">
            <v>NH-61</v>
          </cell>
          <cell r="O1805" t="str">
            <v>B</v>
          </cell>
        </row>
        <row r="1806">
          <cell r="C1806">
            <v>350292</v>
          </cell>
          <cell r="D1806" t="str">
            <v>MAHALAXMI FUEL STATION</v>
          </cell>
          <cell r="E1806" t="str">
            <v>IOCL</v>
          </cell>
          <cell r="F1806" t="str">
            <v>2022-23</v>
          </cell>
          <cell r="G1806" t="str">
            <v>Pune Wagholi RSA</v>
          </cell>
          <cell r="H1806">
            <v>44773</v>
          </cell>
          <cell r="I1806" t="str">
            <v>SC</v>
          </cell>
          <cell r="J1806" t="str">
            <v>Alephata to Ottur</v>
          </cell>
          <cell r="K1806" t="str">
            <v>Pune</v>
          </cell>
          <cell r="L1806" t="str">
            <v>D1</v>
          </cell>
          <cell r="M1806" t="str">
            <v>NH-61</v>
          </cell>
          <cell r="O1806" t="str">
            <v>A</v>
          </cell>
        </row>
        <row r="1807">
          <cell r="C1807">
            <v>350765</v>
          </cell>
          <cell r="D1807" t="str">
            <v>SAHYADRI PETROLEUM</v>
          </cell>
          <cell r="E1807" t="str">
            <v>IOCL</v>
          </cell>
          <cell r="F1807" t="str">
            <v>2022-23</v>
          </cell>
          <cell r="G1807" t="str">
            <v>Pune Wagholi RSA</v>
          </cell>
          <cell r="H1807">
            <v>44803</v>
          </cell>
          <cell r="I1807" t="str">
            <v>ST</v>
          </cell>
          <cell r="J1807" t="str">
            <v>Alephata to Ottur</v>
          </cell>
          <cell r="K1807" t="str">
            <v>Pune</v>
          </cell>
          <cell r="L1807" t="str">
            <v>D1</v>
          </cell>
          <cell r="M1807" t="str">
            <v>NH-61</v>
          </cell>
          <cell r="O1807" t="str">
            <v>A</v>
          </cell>
        </row>
        <row r="1808">
          <cell r="C1808">
            <v>350836</v>
          </cell>
          <cell r="D1808" t="str">
            <v>BAHIRAT PATIL PETROLEUM</v>
          </cell>
          <cell r="E1808" t="str">
            <v>IOCL</v>
          </cell>
          <cell r="F1808" t="str">
            <v>2022-23</v>
          </cell>
          <cell r="G1808" t="str">
            <v>Pune Hadapsar RSA</v>
          </cell>
          <cell r="H1808">
            <v>44803</v>
          </cell>
          <cell r="I1808" t="str">
            <v>OPEN</v>
          </cell>
          <cell r="J1808" t="str">
            <v>P5_Pargaon</v>
          </cell>
          <cell r="K1808" t="str">
            <v>Pune</v>
          </cell>
          <cell r="L1808" t="str">
            <v>D2</v>
          </cell>
          <cell r="O1808" t="str">
            <v>B</v>
          </cell>
        </row>
        <row r="1809">
          <cell r="C1809">
            <v>351541</v>
          </cell>
          <cell r="D1809" t="str">
            <v>GANGOTRI PETROLEUM</v>
          </cell>
          <cell r="E1809" t="str">
            <v>IOCL</v>
          </cell>
          <cell r="F1809" t="str">
            <v>2022-23</v>
          </cell>
          <cell r="G1809" t="str">
            <v>Shirdi RSA</v>
          </cell>
          <cell r="H1809">
            <v>44834</v>
          </cell>
          <cell r="I1809" t="str">
            <v>OPEN</v>
          </cell>
          <cell r="J1809" t="str">
            <v>KOLHEWADI</v>
          </cell>
          <cell r="K1809" t="str">
            <v>Ahmednagar</v>
          </cell>
          <cell r="L1809" t="str">
            <v>E</v>
          </cell>
          <cell r="O1809" t="str">
            <v>B</v>
          </cell>
        </row>
        <row r="1810">
          <cell r="C1810">
            <v>352085</v>
          </cell>
          <cell r="D1810" t="str">
            <v>Kadam Patil Petro Service</v>
          </cell>
          <cell r="E1810" t="str">
            <v>IOCL</v>
          </cell>
          <cell r="F1810" t="str">
            <v>2022-23</v>
          </cell>
          <cell r="G1810" t="str">
            <v>Satara East RSA</v>
          </cell>
          <cell r="H1810">
            <v>44865</v>
          </cell>
          <cell r="I1810" t="str">
            <v>OPEN</v>
          </cell>
          <cell r="J1810" t="str">
            <v>Lonand MIDC</v>
          </cell>
          <cell r="K1810" t="str">
            <v>Satara</v>
          </cell>
          <cell r="L1810" t="str">
            <v>E</v>
          </cell>
          <cell r="O1810" t="str">
            <v>B</v>
          </cell>
        </row>
        <row r="1811">
          <cell r="C1811">
            <v>352691</v>
          </cell>
          <cell r="D1811" t="str">
            <v>SHREE LAKSHMI PETROLEUM</v>
          </cell>
          <cell r="E1811" t="str">
            <v>IOCL</v>
          </cell>
          <cell r="F1811" t="str">
            <v>2022-23</v>
          </cell>
          <cell r="G1811" t="str">
            <v>Satara West RSA</v>
          </cell>
          <cell r="H1811">
            <v>44895</v>
          </cell>
          <cell r="I1811" t="str">
            <v>ST</v>
          </cell>
          <cell r="J1811" t="str">
            <v>Nandgaon to Ghogaon</v>
          </cell>
          <cell r="K1811" t="str">
            <v>Satara</v>
          </cell>
          <cell r="L1811" t="str">
            <v>D2</v>
          </cell>
          <cell r="O1811" t="str">
            <v>A</v>
          </cell>
        </row>
        <row r="1812">
          <cell r="C1812">
            <v>352692</v>
          </cell>
          <cell r="D1812" t="str">
            <v>VAIBHAVI FUEL STATION</v>
          </cell>
          <cell r="E1812" t="str">
            <v>IOCL</v>
          </cell>
          <cell r="F1812" t="str">
            <v>2022-23</v>
          </cell>
          <cell r="G1812" t="str">
            <v>Pune Wagholi RSA</v>
          </cell>
          <cell r="H1812">
            <v>44894</v>
          </cell>
          <cell r="I1812" t="str">
            <v>SC</v>
          </cell>
          <cell r="J1812" t="str">
            <v>Nhawra Village SH</v>
          </cell>
          <cell r="K1812" t="str">
            <v>Pune</v>
          </cell>
          <cell r="L1812" t="str">
            <v>D2</v>
          </cell>
          <cell r="O1812" t="str">
            <v>A</v>
          </cell>
        </row>
        <row r="1813">
          <cell r="C1813">
            <v>352873</v>
          </cell>
          <cell r="D1813" t="str">
            <v>M N MHASKE PATIL PETROLEUM</v>
          </cell>
          <cell r="E1813" t="str">
            <v>IOCL</v>
          </cell>
          <cell r="F1813" t="str">
            <v>2022-23</v>
          </cell>
          <cell r="G1813" t="str">
            <v>Shirdi RSA</v>
          </cell>
          <cell r="H1813">
            <v>44957</v>
          </cell>
          <cell r="I1813" t="str">
            <v>OBC</v>
          </cell>
          <cell r="J1813" t="str">
            <v>BABLESHWAR NH</v>
          </cell>
          <cell r="K1813" t="str">
            <v>Ahmednagar</v>
          </cell>
          <cell r="L1813" t="str">
            <v>D1</v>
          </cell>
          <cell r="M1813" t="str">
            <v>NH-160</v>
          </cell>
          <cell r="O1813" t="str">
            <v>B</v>
          </cell>
        </row>
        <row r="1814">
          <cell r="C1814">
            <v>353015</v>
          </cell>
          <cell r="D1814" t="str">
            <v>S.V.M. PETROLEUM</v>
          </cell>
          <cell r="E1814" t="str">
            <v>IOCL</v>
          </cell>
          <cell r="F1814" t="str">
            <v>2022-23</v>
          </cell>
          <cell r="G1814" t="str">
            <v>Satara West RSA</v>
          </cell>
          <cell r="H1814">
            <v>44916</v>
          </cell>
          <cell r="I1814" t="str">
            <v>OPEN</v>
          </cell>
          <cell r="J1814" t="str">
            <v>Shirwal to Khandala</v>
          </cell>
          <cell r="K1814" t="str">
            <v>Satara</v>
          </cell>
          <cell r="L1814" t="str">
            <v>D1</v>
          </cell>
          <cell r="M1814" t="str">
            <v>NH-48</v>
          </cell>
          <cell r="O1814" t="str">
            <v>B</v>
          </cell>
        </row>
        <row r="1815">
          <cell r="C1815">
            <v>353751</v>
          </cell>
          <cell r="D1815" t="str">
            <v>K.M.S.K ENERGY AND AUTO SERVICE STA</v>
          </cell>
          <cell r="E1815" t="str">
            <v>IOCL</v>
          </cell>
          <cell r="F1815" t="str">
            <v>2022-23</v>
          </cell>
          <cell r="G1815" t="str">
            <v>Ahmednagar West RSA</v>
          </cell>
          <cell r="H1815">
            <v>44926</v>
          </cell>
          <cell r="I1815" t="str">
            <v>OPEN</v>
          </cell>
          <cell r="J1815" t="str">
            <v>KOLGAON</v>
          </cell>
          <cell r="K1815" t="str">
            <v>Ahmednagar</v>
          </cell>
          <cell r="L1815" t="str">
            <v>D1</v>
          </cell>
          <cell r="M1815" t="str">
            <v>NH-160</v>
          </cell>
          <cell r="O1815" t="str">
            <v>A</v>
          </cell>
        </row>
        <row r="1816">
          <cell r="C1816">
            <v>353803</v>
          </cell>
          <cell r="D1816" t="str">
            <v>MAHADEV PETROLEUM</v>
          </cell>
          <cell r="E1816" t="str">
            <v>IOCL</v>
          </cell>
          <cell r="G1816" t="str">
            <v>Pune Wagholi RSA</v>
          </cell>
          <cell r="H1816">
            <v>44957</v>
          </cell>
          <cell r="I1816" t="str">
            <v>OPEN</v>
          </cell>
          <cell r="J1816" t="str">
            <v>Ranjangaon to Shirur RHS</v>
          </cell>
          <cell r="K1816" t="str">
            <v>Pune</v>
          </cell>
          <cell r="L1816" t="str">
            <v>D1</v>
          </cell>
          <cell r="M1816" t="str">
            <v>NH-753F</v>
          </cell>
          <cell r="O1816" t="str">
            <v>A</v>
          </cell>
        </row>
        <row r="1817">
          <cell r="C1817">
            <v>354113</v>
          </cell>
          <cell r="D1817" t="str">
            <v>SHREE MAHALAXMI PETROLEUM</v>
          </cell>
          <cell r="E1817" t="str">
            <v>IOCL</v>
          </cell>
          <cell r="F1817" t="str">
            <v>2022-23</v>
          </cell>
          <cell r="G1817" t="str">
            <v>Pune Wagholi RSA</v>
          </cell>
          <cell r="H1817">
            <v>44953</v>
          </cell>
          <cell r="I1817" t="str">
            <v>OBC</v>
          </cell>
          <cell r="J1817" t="str">
            <v>Malthan</v>
          </cell>
          <cell r="K1817" t="str">
            <v>Pune</v>
          </cell>
          <cell r="L1817" t="str">
            <v>D2</v>
          </cell>
          <cell r="O1817" t="str">
            <v>B</v>
          </cell>
        </row>
        <row r="1818">
          <cell r="C1818">
            <v>354271</v>
          </cell>
          <cell r="D1818" t="str">
            <v>SHREE TUKARAM PETROLEUM</v>
          </cell>
          <cell r="E1818" t="str">
            <v>IOCL</v>
          </cell>
          <cell r="F1818" t="str">
            <v>2022-23</v>
          </cell>
          <cell r="G1818" t="str">
            <v>Ahmednagar East RSA</v>
          </cell>
          <cell r="H1818">
            <v>44957</v>
          </cell>
          <cell r="I1818" t="str">
            <v>OPEN</v>
          </cell>
          <cell r="J1818" t="str">
            <v>Tamashwadi</v>
          </cell>
          <cell r="K1818" t="str">
            <v>Ahmednagar</v>
          </cell>
          <cell r="L1818" t="str">
            <v>E</v>
          </cell>
          <cell r="O1818" t="str">
            <v>B</v>
          </cell>
        </row>
        <row r="1819">
          <cell r="C1819">
            <v>354292</v>
          </cell>
          <cell r="D1819" t="str">
            <v>SHRI GANESH FILLING STATION</v>
          </cell>
          <cell r="E1819" t="str">
            <v>IOCL</v>
          </cell>
          <cell r="F1819" t="str">
            <v>2022-23</v>
          </cell>
          <cell r="G1819" t="str">
            <v>Pune Saswad RSA</v>
          </cell>
          <cell r="H1819">
            <v>44957</v>
          </cell>
          <cell r="I1819" t="str">
            <v>OPEN</v>
          </cell>
          <cell r="J1819" t="str">
            <v>BHIGWAN</v>
          </cell>
          <cell r="K1819" t="str">
            <v>Pune</v>
          </cell>
          <cell r="L1819" t="str">
            <v>D1</v>
          </cell>
          <cell r="M1819" t="str">
            <v>NH-65</v>
          </cell>
          <cell r="O1819" t="str">
            <v>A</v>
          </cell>
        </row>
        <row r="1820">
          <cell r="C1820">
            <v>354309</v>
          </cell>
          <cell r="D1820" t="str">
            <v>SVS PETROLEUM</v>
          </cell>
          <cell r="E1820" t="str">
            <v>IOCL</v>
          </cell>
          <cell r="F1820" t="str">
            <v>2022-23</v>
          </cell>
          <cell r="G1820" t="str">
            <v>Pune Saswad RSA</v>
          </cell>
          <cell r="H1820">
            <v>44957</v>
          </cell>
          <cell r="I1820" t="str">
            <v>OPEN</v>
          </cell>
          <cell r="J1820" t="str">
            <v>JEJURI</v>
          </cell>
          <cell r="K1820" t="str">
            <v>Pune</v>
          </cell>
          <cell r="L1820" t="str">
            <v>D1</v>
          </cell>
          <cell r="M1820" t="str">
            <v>NH-965</v>
          </cell>
          <cell r="O1820" t="str">
            <v>B</v>
          </cell>
        </row>
        <row r="1821">
          <cell r="C1821">
            <v>354344</v>
          </cell>
          <cell r="D1821" t="str">
            <v>STAR PETROLEUM</v>
          </cell>
          <cell r="E1821" t="str">
            <v>IOCL</v>
          </cell>
          <cell r="F1821" t="str">
            <v>2022-23</v>
          </cell>
          <cell r="G1821" t="str">
            <v>Satara East RSA</v>
          </cell>
          <cell r="H1821">
            <v>44957</v>
          </cell>
          <cell r="I1821" t="str">
            <v>OPEN</v>
          </cell>
          <cell r="J1821" t="str">
            <v>PHALTAN UPLAVE ROAD</v>
          </cell>
          <cell r="K1821" t="str">
            <v>Satara</v>
          </cell>
          <cell r="L1821" t="str">
            <v>E</v>
          </cell>
          <cell r="O1821" t="str">
            <v>B</v>
          </cell>
        </row>
        <row r="1822">
          <cell r="C1822">
            <v>354443</v>
          </cell>
          <cell r="D1822" t="str">
            <v>SAI VEER BHADRA PETROLEUM</v>
          </cell>
          <cell r="E1822" t="str">
            <v>IOCL</v>
          </cell>
          <cell r="F1822" t="str">
            <v>2022-23</v>
          </cell>
          <cell r="G1822" t="str">
            <v>Shirdi RSA</v>
          </cell>
          <cell r="H1822">
            <v>44957</v>
          </cell>
          <cell r="I1822" t="str">
            <v>OBC</v>
          </cell>
          <cell r="J1822" t="str">
            <v>DAHIGAON BOLKA</v>
          </cell>
          <cell r="K1822" t="str">
            <v>Ahmednagar</v>
          </cell>
          <cell r="L1822" t="str">
            <v>D1</v>
          </cell>
          <cell r="M1822" t="str">
            <v>NH-752I</v>
          </cell>
          <cell r="O1822" t="str">
            <v>B</v>
          </cell>
        </row>
        <row r="1823">
          <cell r="C1823">
            <v>354967</v>
          </cell>
          <cell r="D1823" t="str">
            <v>POLESTAR FUEL STATION</v>
          </cell>
          <cell r="E1823" t="str">
            <v>IOCL</v>
          </cell>
          <cell r="G1823" t="str">
            <v>Ahmednagar East RSA</v>
          </cell>
          <cell r="H1823">
            <v>44980</v>
          </cell>
          <cell r="I1823" t="str">
            <v>OPEN</v>
          </cell>
          <cell r="J1823" t="str">
            <v>WAMBHORI PHATA ON NH160</v>
          </cell>
          <cell r="K1823" t="str">
            <v>Ahmednagar</v>
          </cell>
          <cell r="L1823" t="str">
            <v>D1</v>
          </cell>
          <cell r="M1823" t="str">
            <v>NH-160</v>
          </cell>
          <cell r="O1823" t="str">
            <v>A</v>
          </cell>
        </row>
        <row r="1824">
          <cell r="C1824">
            <v>355347</v>
          </cell>
          <cell r="D1824" t="str">
            <v>LOYAL PETROL PUMP</v>
          </cell>
          <cell r="E1824" t="str">
            <v>IOCL</v>
          </cell>
          <cell r="F1824" t="str">
            <v>2022-23</v>
          </cell>
          <cell r="G1824" t="str">
            <v>Pimpri Chinchwad RSA</v>
          </cell>
          <cell r="H1824">
            <v>44984</v>
          </cell>
          <cell r="I1824" t="str">
            <v>OBC</v>
          </cell>
          <cell r="J1824" t="str">
            <v xml:space="preserve">Sablewadi to shikhrapur </v>
          </cell>
          <cell r="K1824" t="str">
            <v>Pune</v>
          </cell>
          <cell r="L1824" t="str">
            <v>D1</v>
          </cell>
          <cell r="M1824" t="str">
            <v>NH-548D</v>
          </cell>
          <cell r="O1824" t="str">
            <v>B</v>
          </cell>
        </row>
        <row r="1825">
          <cell r="C1825">
            <v>355348</v>
          </cell>
          <cell r="D1825" t="str">
            <v>MADHAV PETROLEUM</v>
          </cell>
          <cell r="E1825" t="str">
            <v>IOCL</v>
          </cell>
          <cell r="F1825" t="str">
            <v>2022-23</v>
          </cell>
          <cell r="G1825" t="str">
            <v>Pune Hadapsar RSA</v>
          </cell>
          <cell r="H1825">
            <v>44985</v>
          </cell>
          <cell r="I1825" t="str">
            <v>OBC</v>
          </cell>
          <cell r="J1825" t="str">
            <v>Pimpalgaon</v>
          </cell>
          <cell r="K1825" t="str">
            <v>Pune</v>
          </cell>
          <cell r="L1825" t="str">
            <v>E</v>
          </cell>
          <cell r="O1825" t="str">
            <v>B</v>
          </cell>
        </row>
        <row r="1826">
          <cell r="C1826">
            <v>355384</v>
          </cell>
          <cell r="D1826" t="str">
            <v>WAGHESHWARA PETROHUB</v>
          </cell>
          <cell r="E1826" t="str">
            <v>IOCL</v>
          </cell>
          <cell r="F1826" t="str">
            <v>2022-23</v>
          </cell>
          <cell r="G1826" t="str">
            <v>Pune Wagholi RSA</v>
          </cell>
          <cell r="H1826">
            <v>44985</v>
          </cell>
          <cell r="I1826" t="str">
            <v>OBC</v>
          </cell>
          <cell r="J1826" t="str">
            <v>Koregaon Bhima to Shikrapur LHS</v>
          </cell>
          <cell r="K1826" t="str">
            <v>Pune</v>
          </cell>
          <cell r="L1826" t="str">
            <v>D1</v>
          </cell>
          <cell r="M1826" t="str">
            <v>NH-753F</v>
          </cell>
          <cell r="O1826" t="str">
            <v>B</v>
          </cell>
        </row>
        <row r="1827">
          <cell r="C1827">
            <v>355582</v>
          </cell>
          <cell r="D1827" t="str">
            <v>SWARAJ PETROLINK</v>
          </cell>
          <cell r="E1827" t="str">
            <v>IOCL</v>
          </cell>
          <cell r="F1827" t="str">
            <v>2022-23</v>
          </cell>
          <cell r="G1827" t="str">
            <v>Satara West RSA</v>
          </cell>
          <cell r="H1827">
            <v>44985</v>
          </cell>
          <cell r="I1827" t="str">
            <v>ST</v>
          </cell>
          <cell r="J1827" t="str">
            <v>SHENDRE NOT ON NH</v>
          </cell>
          <cell r="K1827" t="str">
            <v>Satara</v>
          </cell>
          <cell r="L1827" t="str">
            <v>E</v>
          </cell>
          <cell r="O1827" t="str">
            <v>A</v>
          </cell>
        </row>
        <row r="1828">
          <cell r="C1828">
            <v>356386</v>
          </cell>
          <cell r="D1828" t="str">
            <v>BALAMBIKA PETROL STATION</v>
          </cell>
          <cell r="E1828" t="str">
            <v>IOCL</v>
          </cell>
          <cell r="F1828" t="str">
            <v>2022-23</v>
          </cell>
          <cell r="G1828" t="str">
            <v>Ahmednagar East RSA</v>
          </cell>
          <cell r="H1828">
            <v>45014</v>
          </cell>
          <cell r="I1828" t="str">
            <v>OBC</v>
          </cell>
          <cell r="J1828" t="str">
            <v>Bodhegaon</v>
          </cell>
          <cell r="K1828" t="str">
            <v>Ahmednagar</v>
          </cell>
          <cell r="L1828" t="str">
            <v>D2</v>
          </cell>
          <cell r="O1828" t="str">
            <v>B</v>
          </cell>
        </row>
        <row r="1829">
          <cell r="C1829">
            <v>356680</v>
          </cell>
          <cell r="D1829" t="str">
            <v>SHREE MANIK PETROLEUM</v>
          </cell>
          <cell r="E1829" t="str">
            <v>IOCL</v>
          </cell>
          <cell r="F1829" t="str">
            <v>2023-24</v>
          </cell>
          <cell r="G1829" t="str">
            <v>Pune Saswad RSA</v>
          </cell>
          <cell r="H1829">
            <v>45077</v>
          </cell>
          <cell r="I1829" t="str">
            <v>OPEN</v>
          </cell>
          <cell r="J1829" t="str">
            <v>Indapur Bypass</v>
          </cell>
          <cell r="K1829" t="str">
            <v>Pune</v>
          </cell>
          <cell r="L1829" t="str">
            <v>D1</v>
          </cell>
          <cell r="M1829" t="str">
            <v>NH-65</v>
          </cell>
          <cell r="O1829" t="str">
            <v>A</v>
          </cell>
        </row>
        <row r="1830">
          <cell r="C1830">
            <v>356681</v>
          </cell>
          <cell r="D1830" t="str">
            <v>SHRIRAM PETROL PUMP</v>
          </cell>
          <cell r="E1830" t="str">
            <v>IOCL</v>
          </cell>
          <cell r="F1830" t="str">
            <v>2022-23</v>
          </cell>
          <cell r="G1830" t="str">
            <v>Satara East RSA</v>
          </cell>
          <cell r="H1830">
            <v>45016</v>
          </cell>
          <cell r="I1830" t="str">
            <v>ST</v>
          </cell>
          <cell r="J1830" t="str">
            <v>VIKHALE</v>
          </cell>
          <cell r="K1830" t="str">
            <v>Satara</v>
          </cell>
          <cell r="L1830" t="str">
            <v>D2</v>
          </cell>
          <cell r="O1830" t="str">
            <v>A</v>
          </cell>
        </row>
        <row r="1831">
          <cell r="C1831">
            <v>358164</v>
          </cell>
          <cell r="D1831" t="str">
            <v>SARTHAK PETROL PUMP</v>
          </cell>
          <cell r="E1831" t="str">
            <v>IOCL</v>
          </cell>
          <cell r="F1831" t="str">
            <v>2023-24</v>
          </cell>
          <cell r="G1831" t="str">
            <v>Ahmednagar West RSA</v>
          </cell>
          <cell r="H1831">
            <v>45077</v>
          </cell>
          <cell r="I1831" t="str">
            <v>SC</v>
          </cell>
          <cell r="J1831" t="str">
            <v>Bhalgaon</v>
          </cell>
          <cell r="K1831" t="str">
            <v>Ahmednagar</v>
          </cell>
          <cell r="L1831" t="str">
            <v>D1</v>
          </cell>
          <cell r="M1831" t="str">
            <v>NH-752E</v>
          </cell>
          <cell r="O1831" t="str">
            <v>A</v>
          </cell>
        </row>
        <row r="1832">
          <cell r="C1832">
            <v>359225</v>
          </cell>
          <cell r="D1832" t="str">
            <v>VIJAYRAJ PETROLEUM</v>
          </cell>
          <cell r="E1832" t="str">
            <v>IOCL</v>
          </cell>
          <cell r="F1832" t="str">
            <v>2023-24</v>
          </cell>
          <cell r="G1832" t="str">
            <v>Pune Tathawade RSA</v>
          </cell>
          <cell r="H1832">
            <v>45138</v>
          </cell>
          <cell r="I1832" t="str">
            <v>OPEN</v>
          </cell>
          <cell r="J1832" t="str">
            <v>Gulunche</v>
          </cell>
          <cell r="K1832" t="str">
            <v>Pune</v>
          </cell>
          <cell r="L1832" t="str">
            <v>D1</v>
          </cell>
          <cell r="M1832" t="str">
            <v>NH-965D</v>
          </cell>
          <cell r="O1832" t="str">
            <v>B</v>
          </cell>
        </row>
        <row r="1833">
          <cell r="C1833">
            <v>359445</v>
          </cell>
          <cell r="D1833" t="str">
            <v>TANISHQA PETROLEUM</v>
          </cell>
          <cell r="E1833" t="str">
            <v>IOCL</v>
          </cell>
          <cell r="F1833" t="str">
            <v>2023-24</v>
          </cell>
          <cell r="G1833" t="str">
            <v>Pune Wagholi RSA</v>
          </cell>
          <cell r="H1833">
            <v>45138</v>
          </cell>
          <cell r="I1833" t="str">
            <v>SC</v>
          </cell>
          <cell r="J1833" t="str">
            <v>Peth on NH RHS</v>
          </cell>
          <cell r="K1833" t="str">
            <v>Pune</v>
          </cell>
          <cell r="L1833" t="str">
            <v>D1</v>
          </cell>
          <cell r="M1833" t="str">
            <v>NH-60</v>
          </cell>
          <cell r="O1833" t="str">
            <v>A</v>
          </cell>
        </row>
        <row r="1834">
          <cell r="C1834">
            <v>360731</v>
          </cell>
          <cell r="D1834" t="str">
            <v>SANAS PETROLEUM</v>
          </cell>
          <cell r="E1834" t="str">
            <v>IOCL</v>
          </cell>
          <cell r="F1834" t="str">
            <v>2023-24</v>
          </cell>
          <cell r="G1834" t="str">
            <v>Pune Hadapsar RSA</v>
          </cell>
          <cell r="H1834">
            <v>45197</v>
          </cell>
          <cell r="I1834" t="str">
            <v>OPEN</v>
          </cell>
          <cell r="J1834" t="str">
            <v>Urlikanchan</v>
          </cell>
          <cell r="K1834" t="str">
            <v>Pune</v>
          </cell>
          <cell r="L1834" t="str">
            <v>C</v>
          </cell>
          <cell r="O1834" t="str">
            <v>B</v>
          </cell>
        </row>
        <row r="1835">
          <cell r="C1835">
            <v>361682</v>
          </cell>
          <cell r="D1835" t="str">
            <v>S S PETROLEUM</v>
          </cell>
          <cell r="E1835" t="str">
            <v>IOCL</v>
          </cell>
          <cell r="F1835" t="str">
            <v>2023-24</v>
          </cell>
          <cell r="G1835" t="str">
            <v>Pune Tathawade RSA</v>
          </cell>
          <cell r="H1835">
            <v>45230</v>
          </cell>
          <cell r="I1835" t="str">
            <v>OPEN</v>
          </cell>
          <cell r="J1835" t="str">
            <v>KHED SHIVAPUR TO JAMBHULWADI</v>
          </cell>
          <cell r="K1835" t="str">
            <v>Pune</v>
          </cell>
          <cell r="L1835" t="str">
            <v>D1</v>
          </cell>
          <cell r="M1835" t="str">
            <v>NH-48</v>
          </cell>
          <cell r="O1835" t="str">
            <v>A</v>
          </cell>
        </row>
        <row r="1836">
          <cell r="C1836">
            <v>362531</v>
          </cell>
          <cell r="D1836" t="str">
            <v>SRI BALASAHEB GADILKAR PETROLEUM</v>
          </cell>
          <cell r="E1836" t="str">
            <v>IOCL</v>
          </cell>
          <cell r="F1836" t="str">
            <v>2023-24</v>
          </cell>
          <cell r="G1836" t="str">
            <v>Ahmednagar East RSA</v>
          </cell>
          <cell r="H1836">
            <v>45260</v>
          </cell>
          <cell r="I1836" t="str">
            <v>OBC</v>
          </cell>
          <cell r="J1836" t="str">
            <v>Supe toll</v>
          </cell>
          <cell r="K1836" t="str">
            <v>Ahmednagar</v>
          </cell>
          <cell r="L1836" t="str">
            <v>D1</v>
          </cell>
          <cell r="M1836" t="str">
            <v>NH-753F</v>
          </cell>
          <cell r="O1836" t="str">
            <v>B</v>
          </cell>
        </row>
        <row r="1837">
          <cell r="C1837">
            <v>362532</v>
          </cell>
          <cell r="D1837" t="str">
            <v>TRIMURTI PETROL PUMP</v>
          </cell>
          <cell r="E1837" t="str">
            <v>IOCL</v>
          </cell>
          <cell r="F1837" t="str">
            <v>2023-24</v>
          </cell>
          <cell r="G1837" t="str">
            <v>Satara West RSA</v>
          </cell>
          <cell r="H1837">
            <v>45260</v>
          </cell>
          <cell r="I1837" t="str">
            <v>OBC</v>
          </cell>
          <cell r="J1837" t="str">
            <v>PATAN</v>
          </cell>
          <cell r="K1837" t="str">
            <v>Satara</v>
          </cell>
          <cell r="L1837" t="str">
            <v>D1</v>
          </cell>
          <cell r="M1837" t="str">
            <v>NH-166E</v>
          </cell>
          <cell r="O1837" t="str">
            <v>B</v>
          </cell>
        </row>
        <row r="1838">
          <cell r="C1838">
            <v>363282</v>
          </cell>
          <cell r="D1838" t="str">
            <v>Shivratna Agency</v>
          </cell>
          <cell r="E1838" t="str">
            <v>IOCL</v>
          </cell>
          <cell r="F1838" t="str">
            <v>2023-24</v>
          </cell>
          <cell r="G1838" t="str">
            <v>Satara East RSA</v>
          </cell>
          <cell r="H1838">
            <v>45291</v>
          </cell>
          <cell r="I1838" t="str">
            <v>OBC</v>
          </cell>
          <cell r="J1838" t="str">
            <v>MALAVADI</v>
          </cell>
          <cell r="K1838" t="str">
            <v>Satara</v>
          </cell>
          <cell r="L1838" t="str">
            <v>E</v>
          </cell>
          <cell r="O1838" t="str">
            <v>B</v>
          </cell>
        </row>
        <row r="1839">
          <cell r="C1839">
            <v>386575</v>
          </cell>
          <cell r="D1839" t="str">
            <v>COCO CHASNALI ADHOC TIRUPATI BALAJI (D.S.BHOSALE &amp; CO- 363324)</v>
          </cell>
          <cell r="E1839" t="str">
            <v>IOCL</v>
          </cell>
          <cell r="G1839" t="str">
            <v>Shirdi RSA</v>
          </cell>
          <cell r="H1839">
            <v>38748</v>
          </cell>
          <cell r="I1839" t="str">
            <v>OPEN</v>
          </cell>
          <cell r="J1839" t="str">
            <v>CHAS NALI</v>
          </cell>
          <cell r="K1839" t="str">
            <v>Ahmednagar</v>
          </cell>
          <cell r="L1839" t="str">
            <v>D2</v>
          </cell>
          <cell r="O1839" t="str">
            <v>A</v>
          </cell>
        </row>
        <row r="1840">
          <cell r="C1840">
            <v>363424</v>
          </cell>
          <cell r="D1840" t="str">
            <v>C. R. GODSE PETROLEUM</v>
          </cell>
          <cell r="E1840" t="str">
            <v>IOCL</v>
          </cell>
          <cell r="F1840" t="str">
            <v>2023-24</v>
          </cell>
          <cell r="G1840" t="str">
            <v>Satara East RSA</v>
          </cell>
          <cell r="H1840">
            <v>45297</v>
          </cell>
          <cell r="I1840" t="str">
            <v>OPEN</v>
          </cell>
          <cell r="J1840" t="str">
            <v>Waduj</v>
          </cell>
          <cell r="K1840" t="str">
            <v>Satara</v>
          </cell>
          <cell r="L1840" t="str">
            <v>D2</v>
          </cell>
          <cell r="O1840" t="str">
            <v>B</v>
          </cell>
        </row>
        <row r="1841">
          <cell r="C1841">
            <v>367894</v>
          </cell>
          <cell r="D1841" t="str">
            <v>HIGHWAY ENERGY JUNCTION</v>
          </cell>
          <cell r="E1841" t="str">
            <v>IOCL</v>
          </cell>
          <cell r="F1841" t="str">
            <v>2024-25</v>
          </cell>
          <cell r="G1841" t="str">
            <v>Pune Hadapsar RSA</v>
          </cell>
          <cell r="H1841">
            <v>45451</v>
          </cell>
          <cell r="I1841" t="str">
            <v>OPEN</v>
          </cell>
          <cell r="J1841" t="str">
            <v>Yawat RHS</v>
          </cell>
          <cell r="K1841" t="str">
            <v>Pune</v>
          </cell>
          <cell r="L1841" t="str">
            <v>D1</v>
          </cell>
          <cell r="M1841" t="str">
            <v>NH-65</v>
          </cell>
          <cell r="O1841" t="str">
            <v>B</v>
          </cell>
        </row>
        <row r="1842">
          <cell r="C1842">
            <v>368608</v>
          </cell>
          <cell r="D1842" t="str">
            <v>COCO Astagaon Om Gurudev Petro (346004)</v>
          </cell>
          <cell r="E1842" t="str">
            <v>IOCL</v>
          </cell>
          <cell r="G1842" t="str">
            <v>Shirdi RSA</v>
          </cell>
          <cell r="H1842">
            <v>36673</v>
          </cell>
          <cell r="I1842" t="str">
            <v>DEF (OPEN)</v>
          </cell>
          <cell r="J1842" t="str">
            <v>ASTAGAON</v>
          </cell>
          <cell r="K1842" t="str">
            <v>Ahmednagar</v>
          </cell>
          <cell r="L1842" t="str">
            <v>D1</v>
          </cell>
          <cell r="M1842" t="str">
            <v>NH-160</v>
          </cell>
          <cell r="O1842" t="str">
            <v>A</v>
          </cell>
        </row>
        <row r="1843">
          <cell r="C1843">
            <v>369441</v>
          </cell>
          <cell r="D1843" t="str">
            <v>D K PETROLEUM</v>
          </cell>
          <cell r="E1843" t="str">
            <v>IOCL</v>
          </cell>
          <cell r="F1843" t="str">
            <v>2024-25</v>
          </cell>
          <cell r="G1843" t="str">
            <v>Ahmednagar East RSA</v>
          </cell>
          <cell r="H1843">
            <v>45564</v>
          </cell>
          <cell r="I1843" t="str">
            <v>OBC</v>
          </cell>
          <cell r="J1843" t="str">
            <v>Kedgaon</v>
          </cell>
          <cell r="K1843" t="str">
            <v>Ahmednagar</v>
          </cell>
          <cell r="L1843" t="str">
            <v>D2</v>
          </cell>
          <cell r="O1843" t="str">
            <v>B</v>
          </cell>
        </row>
        <row r="1844">
          <cell r="C1844">
            <v>369442</v>
          </cell>
          <cell r="D1844" t="str">
            <v>SHRI YASHWANT PETROLEUM</v>
          </cell>
          <cell r="E1844" t="str">
            <v>IOCL</v>
          </cell>
          <cell r="F1844" t="str">
            <v>2024-25</v>
          </cell>
          <cell r="G1844" t="str">
            <v>Satara East RSA</v>
          </cell>
          <cell r="H1844">
            <v>45504</v>
          </cell>
          <cell r="I1844" t="str">
            <v>OBC</v>
          </cell>
          <cell r="J1844" t="str">
            <v>Wakalwadi</v>
          </cell>
          <cell r="K1844" t="str">
            <v>Satara</v>
          </cell>
          <cell r="L1844" t="str">
            <v>D2</v>
          </cell>
          <cell r="O1844" t="str">
            <v>B</v>
          </cell>
        </row>
        <row r="1845">
          <cell r="C1845">
            <v>369443</v>
          </cell>
          <cell r="D1845" t="str">
            <v>RAJHANS PETROLEUM</v>
          </cell>
          <cell r="E1845" t="str">
            <v>IOCL</v>
          </cell>
          <cell r="F1845" t="str">
            <v>2024-25</v>
          </cell>
          <cell r="G1845" t="str">
            <v>Satara East RSA</v>
          </cell>
          <cell r="H1845">
            <v>45527</v>
          </cell>
          <cell r="I1845" t="str">
            <v>OPEN(W)</v>
          </cell>
          <cell r="J1845" t="str">
            <v>Dahiwadi on NH</v>
          </cell>
          <cell r="K1845" t="str">
            <v>Satara</v>
          </cell>
          <cell r="L1845" t="str">
            <v>D1</v>
          </cell>
          <cell r="M1845" t="str">
            <v>NH-160</v>
          </cell>
          <cell r="O1845" t="str">
            <v>B</v>
          </cell>
        </row>
        <row r="1846">
          <cell r="C1846">
            <v>370143</v>
          </cell>
          <cell r="D1846" t="str">
            <v>SHIVRATNA PETROL PUMP</v>
          </cell>
          <cell r="E1846" t="str">
            <v>IOCL</v>
          </cell>
          <cell r="F1846" t="str">
            <v>2024-25</v>
          </cell>
          <cell r="G1846" t="str">
            <v>Satara East RSA</v>
          </cell>
          <cell r="H1846">
            <v>45534</v>
          </cell>
          <cell r="I1846" t="str">
            <v>OPEN</v>
          </cell>
          <cell r="J1846" t="str">
            <v>Wavarhire</v>
          </cell>
          <cell r="K1846" t="str">
            <v>Satara</v>
          </cell>
          <cell r="L1846" t="str">
            <v>D2</v>
          </cell>
          <cell r="O1846" t="str">
            <v>B</v>
          </cell>
        </row>
        <row r="1847">
          <cell r="C1847">
            <v>371006</v>
          </cell>
          <cell r="D1847" t="str">
            <v>SURYA PETROLEUM</v>
          </cell>
          <cell r="E1847" t="str">
            <v>IOCL</v>
          </cell>
          <cell r="F1847" t="str">
            <v>2024-25</v>
          </cell>
          <cell r="G1847" t="str">
            <v>Satara East RSA</v>
          </cell>
          <cell r="H1847">
            <v>45565</v>
          </cell>
          <cell r="I1847" t="str">
            <v>SC</v>
          </cell>
          <cell r="J1847" t="str">
            <v>Kalaj</v>
          </cell>
          <cell r="K1847" t="str">
            <v>Satara</v>
          </cell>
          <cell r="L1847" t="str">
            <v>D1</v>
          </cell>
          <cell r="M1847" t="str">
            <v>NH-965</v>
          </cell>
          <cell r="O1847" t="str">
            <v>A</v>
          </cell>
        </row>
        <row r="1848">
          <cell r="C1848">
            <v>371055</v>
          </cell>
          <cell r="D1848" t="str">
            <v>COCO VADGAON ADHOC SAMARTH PETRO (285387 ADHOC VIPUL FUEL STATION)</v>
          </cell>
          <cell r="E1848" t="str">
            <v>IOCL</v>
          </cell>
          <cell r="G1848" t="str">
            <v>Shirdi RSA</v>
          </cell>
          <cell r="H1848">
            <v>43220</v>
          </cell>
          <cell r="I1848" t="str">
            <v>OPEN</v>
          </cell>
          <cell r="J1848" t="str">
            <v>VADGAONPAN</v>
          </cell>
          <cell r="K1848" t="str">
            <v>Ahmednagar</v>
          </cell>
          <cell r="L1848" t="str">
            <v>D2</v>
          </cell>
          <cell r="O1848" t="str">
            <v>A</v>
          </cell>
        </row>
        <row r="1849">
          <cell r="C1849">
            <v>371924</v>
          </cell>
          <cell r="D1849" t="str">
            <v>SAI AGENCY</v>
          </cell>
          <cell r="E1849" t="str">
            <v>IOCL</v>
          </cell>
          <cell r="F1849" t="str">
            <v>2024-25</v>
          </cell>
          <cell r="G1849" t="str">
            <v>Satara East RSA</v>
          </cell>
          <cell r="H1849">
            <v>45598</v>
          </cell>
          <cell r="I1849" t="str">
            <v>OPEN</v>
          </cell>
          <cell r="J1849" t="str">
            <v>Mhaswad</v>
          </cell>
          <cell r="K1849" t="str">
            <v>Satara</v>
          </cell>
          <cell r="L1849" t="str">
            <v>D1</v>
          </cell>
          <cell r="M1849" t="str">
            <v>NH-548C</v>
          </cell>
          <cell r="O1849" t="str">
            <v>B</v>
          </cell>
        </row>
        <row r="1850">
          <cell r="C1850">
            <v>354938</v>
          </cell>
          <cell r="D1850" t="str">
            <v>COCO Shevgoan (Adhoc Kalika Agency 372060 (Old Code 354938))</v>
          </cell>
          <cell r="E1850" t="str">
            <v>IOCL</v>
          </cell>
          <cell r="G1850" t="str">
            <v>Ahmednagar East RSA</v>
          </cell>
          <cell r="H1850">
            <v>44975</v>
          </cell>
          <cell r="I1850" t="str">
            <v>OBC</v>
          </cell>
          <cell r="J1850" t="str">
            <v>Amrapur</v>
          </cell>
          <cell r="K1850" t="str">
            <v>Ahmednagar</v>
          </cell>
          <cell r="L1850" t="str">
            <v>D2</v>
          </cell>
          <cell r="O1850" t="str">
            <v>A</v>
          </cell>
        </row>
        <row r="1851">
          <cell r="C1851">
            <v>372701</v>
          </cell>
          <cell r="D1851" t="str">
            <v>JAGTAP PETROLEUM</v>
          </cell>
          <cell r="E1851" t="str">
            <v>IOCL</v>
          </cell>
          <cell r="F1851" t="str">
            <v>2024-25</v>
          </cell>
          <cell r="G1851" t="str">
            <v>Pune Saswad RSA</v>
          </cell>
          <cell r="H1851">
            <v>45626</v>
          </cell>
          <cell r="I1851" t="str">
            <v>OPEN</v>
          </cell>
          <cell r="J1851" t="str">
            <v>Saswad-Narayanpur Road</v>
          </cell>
          <cell r="K1851" t="str">
            <v>Pune</v>
          </cell>
          <cell r="L1851" t="str">
            <v>D2</v>
          </cell>
          <cell r="O1851" t="str">
            <v>B</v>
          </cell>
        </row>
        <row r="1852">
          <cell r="C1852">
            <v>372702</v>
          </cell>
          <cell r="D1852" t="str">
            <v>K K PETROLEUM</v>
          </cell>
          <cell r="E1852" t="str">
            <v>IOCL</v>
          </cell>
          <cell r="F1852" t="str">
            <v>2024-25</v>
          </cell>
          <cell r="G1852" t="str">
            <v>Pune Saswad RSA</v>
          </cell>
          <cell r="H1852">
            <v>45626</v>
          </cell>
          <cell r="I1852" t="str">
            <v>OPEN</v>
          </cell>
          <cell r="J1852" t="str">
            <v>Saswad-Jejuri Road</v>
          </cell>
          <cell r="K1852" t="str">
            <v>Pune</v>
          </cell>
          <cell r="L1852" t="str">
            <v>D1</v>
          </cell>
          <cell r="M1852" t="str">
            <v>NH-965</v>
          </cell>
          <cell r="O1852" t="str">
            <v>B</v>
          </cell>
        </row>
        <row r="1853">
          <cell r="C1853">
            <v>372758</v>
          </cell>
          <cell r="D1853" t="str">
            <v>PAWAR AND SITAI FUEL</v>
          </cell>
          <cell r="E1853" t="str">
            <v>IOCL</v>
          </cell>
          <cell r="F1853" t="str">
            <v>2024-25</v>
          </cell>
          <cell r="G1853" t="str">
            <v>Ahmednagar East RSA</v>
          </cell>
          <cell r="H1853">
            <v>45626</v>
          </cell>
          <cell r="I1853" t="str">
            <v>OBC</v>
          </cell>
          <cell r="J1853" t="str">
            <v>Mungi- Hatgaon NH752E</v>
          </cell>
          <cell r="K1853" t="str">
            <v>Ahmednagar</v>
          </cell>
          <cell r="L1853" t="str">
            <v>D1</v>
          </cell>
          <cell r="M1853" t="str">
            <v>NH-752E</v>
          </cell>
          <cell r="O1853" t="str">
            <v>B</v>
          </cell>
        </row>
        <row r="1854">
          <cell r="C1854">
            <v>373799</v>
          </cell>
          <cell r="D1854" t="str">
            <v>JAIHIND FUELS</v>
          </cell>
          <cell r="E1854" t="str">
            <v>IOCL</v>
          </cell>
          <cell r="F1854" t="str">
            <v>2024-25</v>
          </cell>
          <cell r="G1854" t="str">
            <v>Ahmednagar East RSA</v>
          </cell>
          <cell r="H1854">
            <v>45657</v>
          </cell>
          <cell r="I1854" t="str">
            <v>OPEN</v>
          </cell>
          <cell r="J1854" t="str">
            <v>Pathare Khurd Manjri Road</v>
          </cell>
          <cell r="K1854" t="str">
            <v>Ahmednagar</v>
          </cell>
          <cell r="L1854" t="str">
            <v>E</v>
          </cell>
          <cell r="O1854" t="str">
            <v>B</v>
          </cell>
        </row>
        <row r="1855">
          <cell r="C1855">
            <v>373800</v>
          </cell>
          <cell r="D1855" t="str">
            <v>MAPS PETROLEUM</v>
          </cell>
          <cell r="E1855" t="str">
            <v>IOCL</v>
          </cell>
          <cell r="F1855" t="str">
            <v>2024-25</v>
          </cell>
          <cell r="G1855" t="str">
            <v>Satara West RSA</v>
          </cell>
          <cell r="H1855">
            <v>45657</v>
          </cell>
          <cell r="I1855" t="str">
            <v>OPEN</v>
          </cell>
          <cell r="J1855" t="str">
            <v>Karad to Masur Road</v>
          </cell>
          <cell r="K1855" t="str">
            <v>Satara</v>
          </cell>
          <cell r="L1855" t="str">
            <v>D2</v>
          </cell>
          <cell r="O1855" t="str">
            <v>B</v>
          </cell>
        </row>
        <row r="1856">
          <cell r="C1856">
            <v>373914</v>
          </cell>
          <cell r="D1856" t="str">
            <v>GP PETROLEUM</v>
          </cell>
          <cell r="E1856" t="str">
            <v>IOCL</v>
          </cell>
          <cell r="F1856" t="str">
            <v>2024-25</v>
          </cell>
          <cell r="G1856" t="str">
            <v>Pimpri Chinchwad RSA</v>
          </cell>
          <cell r="H1856">
            <v>45657</v>
          </cell>
          <cell r="I1856" t="str">
            <v>OPEN</v>
          </cell>
          <cell r="J1856" t="str">
            <v>Talegaon MIDC</v>
          </cell>
          <cell r="K1856" t="str">
            <v>Pune</v>
          </cell>
          <cell r="L1856" t="str">
            <v>C</v>
          </cell>
          <cell r="O1856" t="str">
            <v>A</v>
          </cell>
        </row>
        <row r="1857">
          <cell r="C1857">
            <v>374090</v>
          </cell>
          <cell r="D1857" t="str">
            <v>COCO WRD ADHOC 3S SERVICE STATION (363370 ADHOC SHRI KRISHNA PETROLEUM)</v>
          </cell>
          <cell r="E1857" t="str">
            <v>IOCL</v>
          </cell>
          <cell r="G1857" t="str">
            <v>Pune City RSA</v>
          </cell>
          <cell r="H1857">
            <v>39136</v>
          </cell>
          <cell r="I1857" t="str">
            <v>OPEN</v>
          </cell>
          <cell r="J1857" t="str">
            <v>WELLESLY ROAD</v>
          </cell>
          <cell r="K1857" t="str">
            <v>Pune</v>
          </cell>
          <cell r="L1857" t="str">
            <v>A</v>
          </cell>
          <cell r="O1857" t="str">
            <v>A</v>
          </cell>
        </row>
        <row r="1858">
          <cell r="C1858">
            <v>385847</v>
          </cell>
          <cell r="D1858" t="str">
            <v>COCO ASALE (ADHOC SHIVSAMARTH 374491 (361912 ADHOC RENUKA PETROL &amp; DIESEL))</v>
          </cell>
          <cell r="E1858" t="str">
            <v>IOCL</v>
          </cell>
          <cell r="F1858" t="str">
            <v>2018-19</v>
          </cell>
          <cell r="G1858" t="str">
            <v>Satara West RSA</v>
          </cell>
          <cell r="H1858">
            <v>43287</v>
          </cell>
          <cell r="I1858" t="str">
            <v>OPEN</v>
          </cell>
          <cell r="J1858" t="str">
            <v>Asale - Wai Road</v>
          </cell>
          <cell r="K1858" t="str">
            <v>Satara</v>
          </cell>
          <cell r="L1858" t="str">
            <v>E</v>
          </cell>
          <cell r="O1858" t="str">
            <v>A</v>
          </cell>
        </row>
        <row r="1859">
          <cell r="C1859">
            <v>374921</v>
          </cell>
          <cell r="D1859" t="str">
            <v>SHARAYU AGRO INDUSTRIES LTD.</v>
          </cell>
          <cell r="E1859" t="str">
            <v>IOCL</v>
          </cell>
          <cell r="F1859" t="str">
            <v>2024-25</v>
          </cell>
          <cell r="G1859" t="str">
            <v>Satara East RSA</v>
          </cell>
          <cell r="H1859">
            <v>45688</v>
          </cell>
          <cell r="I1859" t="str">
            <v>OPEN</v>
          </cell>
          <cell r="J1859" t="str">
            <v>Aljapur</v>
          </cell>
          <cell r="K1859" t="str">
            <v>Satara</v>
          </cell>
          <cell r="L1859" t="str">
            <v>D2</v>
          </cell>
          <cell r="O1859" t="str">
            <v>B</v>
          </cell>
        </row>
        <row r="1860">
          <cell r="C1860">
            <v>374922</v>
          </cell>
          <cell r="D1860" t="str">
            <v>SHIVTEJ PETROL PUMP</v>
          </cell>
          <cell r="E1860" t="str">
            <v>IOCL</v>
          </cell>
          <cell r="F1860" t="str">
            <v>2024-25</v>
          </cell>
          <cell r="G1860" t="str">
            <v>Satara East RSA</v>
          </cell>
          <cell r="H1860">
            <v>45688</v>
          </cell>
          <cell r="I1860" t="str">
            <v>OPEN</v>
          </cell>
          <cell r="J1860" t="str">
            <v>chitali</v>
          </cell>
          <cell r="K1860" t="str">
            <v>Satara</v>
          </cell>
          <cell r="L1860" t="str">
            <v>D2</v>
          </cell>
          <cell r="O1860" t="str">
            <v>B</v>
          </cell>
        </row>
        <row r="1861">
          <cell r="C1861">
            <v>375065</v>
          </cell>
          <cell r="D1861" t="str">
            <v>AJINKYA POOJA PETROLEUM</v>
          </cell>
          <cell r="E1861" t="str">
            <v>IOCL</v>
          </cell>
          <cell r="F1861" t="str">
            <v>2024-25</v>
          </cell>
          <cell r="G1861" t="str">
            <v>Pune Wagholi RSA</v>
          </cell>
          <cell r="H1861">
            <v>45688</v>
          </cell>
          <cell r="I1861" t="str">
            <v>OBC</v>
          </cell>
          <cell r="J1861" t="str">
            <v>Belhe to Loni on belhe jejuri highway</v>
          </cell>
          <cell r="K1861" t="str">
            <v>Pune</v>
          </cell>
          <cell r="L1861" t="str">
            <v>D2</v>
          </cell>
          <cell r="O1861" t="str">
            <v>B</v>
          </cell>
        </row>
        <row r="1862">
          <cell r="C1862">
            <v>376895</v>
          </cell>
          <cell r="D1862" t="str">
            <v>JEEVAN PETROLEUM</v>
          </cell>
          <cell r="E1862" t="str">
            <v>IOCL</v>
          </cell>
          <cell r="F1862" t="str">
            <v>2024-25</v>
          </cell>
          <cell r="G1862" t="str">
            <v>Pune Wagholi RSA</v>
          </cell>
          <cell r="H1862">
            <v>45716</v>
          </cell>
          <cell r="I1862" t="str">
            <v>OPEN</v>
          </cell>
          <cell r="J1862" t="str">
            <v>Belhe to Loni on belhe jejuri highway</v>
          </cell>
          <cell r="K1862" t="str">
            <v>Pune</v>
          </cell>
          <cell r="L1862" t="str">
            <v>D2</v>
          </cell>
          <cell r="O1862" t="str">
            <v>B</v>
          </cell>
        </row>
        <row r="1863">
          <cell r="C1863">
            <v>377124</v>
          </cell>
          <cell r="D1863" t="str">
            <v>COCO KOKAMTHAN ( 274010 DATTAPRABHA PETROLEUM)</v>
          </cell>
          <cell r="E1863" t="str">
            <v>IOCL</v>
          </cell>
          <cell r="F1863" t="str">
            <v>2013-14</v>
          </cell>
          <cell r="G1863" t="str">
            <v>Shirdi RSA</v>
          </cell>
          <cell r="H1863">
            <v>41578</v>
          </cell>
          <cell r="I1863" t="str">
            <v>OPEN</v>
          </cell>
          <cell r="J1863" t="str">
            <v>PUNTAMBA PHATA</v>
          </cell>
          <cell r="K1863" t="str">
            <v>Ahmednagar</v>
          </cell>
          <cell r="L1863" t="str">
            <v>D1</v>
          </cell>
          <cell r="M1863" t="str">
            <v>NH-752G</v>
          </cell>
          <cell r="O1863" t="str">
            <v>B</v>
          </cell>
        </row>
        <row r="1864">
          <cell r="C1864">
            <v>392222</v>
          </cell>
          <cell r="D1864" t="str">
            <v>COCO SHRIGONDA (352674 ADHOC AABASHRI KISAN)</v>
          </cell>
          <cell r="E1864" t="str">
            <v>IOCL</v>
          </cell>
          <cell r="G1864" t="str">
            <v>Ahmednagar West RSA</v>
          </cell>
          <cell r="H1864">
            <v>44895</v>
          </cell>
          <cell r="I1864" t="str">
            <v>SC</v>
          </cell>
          <cell r="J1864" t="str">
            <v>SHRIGONDA-NH</v>
          </cell>
          <cell r="K1864" t="str">
            <v>Ahmednagar</v>
          </cell>
          <cell r="L1864" t="str">
            <v>D1</v>
          </cell>
          <cell r="M1864" t="str">
            <v>NH-548D</v>
          </cell>
          <cell r="O1864" t="str">
            <v>A</v>
          </cell>
        </row>
        <row r="1865">
          <cell r="C1865">
            <v>378372</v>
          </cell>
          <cell r="D1865" t="str">
            <v>ASHTAVINAYAK PETROLEUM</v>
          </cell>
          <cell r="E1865" t="str">
            <v>IOCL</v>
          </cell>
          <cell r="F1865" t="str">
            <v>2024-25</v>
          </cell>
          <cell r="G1865" t="str">
            <v>Ahmednagar East RSA</v>
          </cell>
          <cell r="H1865">
            <v>45747</v>
          </cell>
          <cell r="I1865" t="str">
            <v>OPEN</v>
          </cell>
          <cell r="J1865" t="str">
            <v>MIRI</v>
          </cell>
          <cell r="K1865" t="str">
            <v>Ahmednagar</v>
          </cell>
          <cell r="L1865" t="str">
            <v>D2</v>
          </cell>
          <cell r="O1865" t="str">
            <v>B</v>
          </cell>
        </row>
        <row r="1866">
          <cell r="C1866">
            <v>378572</v>
          </cell>
          <cell r="D1866" t="str">
            <v>JAY PETROLEUM</v>
          </cell>
          <cell r="E1866" t="str">
            <v>IOCL</v>
          </cell>
          <cell r="F1866" t="str">
            <v>2024-25</v>
          </cell>
          <cell r="G1866" t="str">
            <v>Pune Saswad RSA</v>
          </cell>
          <cell r="H1866">
            <v>45747</v>
          </cell>
          <cell r="I1866" t="str">
            <v>OPEN</v>
          </cell>
          <cell r="J1866" t="str">
            <v>Kolvihire</v>
          </cell>
          <cell r="K1866" t="str">
            <v>Pune</v>
          </cell>
          <cell r="L1866" t="str">
            <v>E</v>
          </cell>
          <cell r="O1866" t="str">
            <v>B</v>
          </cell>
        </row>
        <row r="1867">
          <cell r="C1867">
            <v>378576</v>
          </cell>
          <cell r="D1867" t="str">
            <v>NEW JOLLY PETROLEUM</v>
          </cell>
          <cell r="E1867" t="str">
            <v>IOCL</v>
          </cell>
          <cell r="F1867" t="str">
            <v>2024-25</v>
          </cell>
          <cell r="G1867" t="str">
            <v>Pune Hadapsar RSA</v>
          </cell>
          <cell r="H1867">
            <v>45747</v>
          </cell>
          <cell r="I1867" t="str">
            <v>OPEN</v>
          </cell>
          <cell r="J1867" t="str">
            <v>Urlikanchan to Sahajpur RHS</v>
          </cell>
          <cell r="K1867" t="str">
            <v>Pune</v>
          </cell>
          <cell r="L1867" t="str">
            <v>D1</v>
          </cell>
          <cell r="M1867" t="str">
            <v>NH-65</v>
          </cell>
          <cell r="O1867" t="str">
            <v>B</v>
          </cell>
        </row>
        <row r="1868">
          <cell r="C1868">
            <v>378597</v>
          </cell>
          <cell r="D1868" t="str">
            <v>SUBHEDAR PETROLEUM</v>
          </cell>
          <cell r="E1868" t="str">
            <v>IOCL</v>
          </cell>
          <cell r="F1868" t="str">
            <v>2024-25</v>
          </cell>
          <cell r="G1868" t="str">
            <v>Pune Saswad RSA</v>
          </cell>
          <cell r="H1868">
            <v>45747</v>
          </cell>
          <cell r="I1868" t="str">
            <v>SC</v>
          </cell>
          <cell r="J1868" t="str">
            <v>Saswad-Jejuri Road</v>
          </cell>
          <cell r="K1868" t="str">
            <v>Pune</v>
          </cell>
          <cell r="L1868" t="str">
            <v>D1</v>
          </cell>
          <cell r="M1868" t="str">
            <v>NH-965</v>
          </cell>
          <cell r="O1868" t="str">
            <v>A</v>
          </cell>
        </row>
        <row r="1869">
          <cell r="C1869">
            <v>378598</v>
          </cell>
          <cell r="D1869" t="str">
            <v>SHRI KRISHNA PETROLEUM</v>
          </cell>
          <cell r="E1869" t="str">
            <v>IOCL</v>
          </cell>
          <cell r="F1869" t="str">
            <v>2024-25</v>
          </cell>
          <cell r="G1869" t="str">
            <v>Pune Saswad RSA</v>
          </cell>
          <cell r="H1869">
            <v>45747</v>
          </cell>
          <cell r="I1869" t="str">
            <v>ST</v>
          </cell>
          <cell r="J1869" t="str">
            <v>Jejuri Morgaon Road</v>
          </cell>
          <cell r="K1869" t="str">
            <v>Pune</v>
          </cell>
          <cell r="L1869" t="str">
            <v>D2</v>
          </cell>
          <cell r="O1869" t="str">
            <v>A</v>
          </cell>
        </row>
        <row r="1870">
          <cell r="C1870">
            <v>378599</v>
          </cell>
          <cell r="D1870" t="str">
            <v>AARYAN FUEL CORPORATION</v>
          </cell>
          <cell r="E1870" t="str">
            <v>IOCL</v>
          </cell>
          <cell r="F1870" t="str">
            <v>2024-25</v>
          </cell>
          <cell r="G1870" t="str">
            <v>Satara West RSA</v>
          </cell>
          <cell r="H1870">
            <v>45747</v>
          </cell>
          <cell r="I1870" t="str">
            <v>SC</v>
          </cell>
          <cell r="J1870" t="str">
            <v>KARAD TO KASHIL</v>
          </cell>
          <cell r="K1870" t="str">
            <v>Satara</v>
          </cell>
          <cell r="L1870" t="str">
            <v>D1</v>
          </cell>
          <cell r="M1870" t="str">
            <v>NH-48</v>
          </cell>
          <cell r="O1870" t="str">
            <v>A</v>
          </cell>
        </row>
        <row r="1871">
          <cell r="C1871">
            <v>378776</v>
          </cell>
          <cell r="D1871" t="str">
            <v>OM SAI KRUSHNA PETROLEUM</v>
          </cell>
          <cell r="E1871" t="str">
            <v>IOCL</v>
          </cell>
          <cell r="F1871" t="str">
            <v>2024-25</v>
          </cell>
          <cell r="G1871" t="str">
            <v>Shirdi RSA</v>
          </cell>
          <cell r="H1871">
            <v>45747</v>
          </cell>
          <cell r="I1871" t="str">
            <v>OPEN</v>
          </cell>
          <cell r="J1871" t="str">
            <v>WARI</v>
          </cell>
          <cell r="K1871" t="str">
            <v>Ahmednagar</v>
          </cell>
          <cell r="L1871" t="str">
            <v>E</v>
          </cell>
          <cell r="O1871" t="str">
            <v>B</v>
          </cell>
        </row>
        <row r="1872">
          <cell r="C1872">
            <v>379084</v>
          </cell>
          <cell r="D1872" t="str">
            <v>COCO YERWADA (355769 YADAV SERVICE STATION - ADHOC PANNA MOTI)</v>
          </cell>
          <cell r="E1872" t="str">
            <v>IOCL</v>
          </cell>
          <cell r="G1872" t="str">
            <v>Pune City RSA</v>
          </cell>
          <cell r="H1872">
            <v>20545</v>
          </cell>
          <cell r="I1872" t="str">
            <v>OPEN</v>
          </cell>
          <cell r="J1872" t="str">
            <v>YERWADA</v>
          </cell>
          <cell r="K1872" t="str">
            <v>Pune</v>
          </cell>
          <cell r="L1872" t="str">
            <v>A</v>
          </cell>
          <cell r="O1872" t="str">
            <v>A</v>
          </cell>
        </row>
        <row r="1873">
          <cell r="C1873">
            <v>379095</v>
          </cell>
          <cell r="D1873" t="str">
            <v>COCO RANJANGAON (364204 ADHOC - RUSHI PETRO)</v>
          </cell>
          <cell r="E1873" t="str">
            <v>IOCL</v>
          </cell>
          <cell r="G1873" t="str">
            <v>Pune Wagholi RSA</v>
          </cell>
          <cell r="H1873">
            <v>45064</v>
          </cell>
          <cell r="I1873" t="str">
            <v>OPEN</v>
          </cell>
          <cell r="J1873" t="str">
            <v>Ranjangaon LHS</v>
          </cell>
          <cell r="K1873" t="str">
            <v>Pune</v>
          </cell>
          <cell r="L1873" t="str">
            <v>D1</v>
          </cell>
          <cell r="M1873" t="str">
            <v>NH-753F</v>
          </cell>
          <cell r="O1873" t="str">
            <v>A</v>
          </cell>
        </row>
        <row r="1874">
          <cell r="C1874">
            <v>392208</v>
          </cell>
          <cell r="D1874" t="str">
            <v>COCO WADUJ (232087 - Torve Petrol Station)</v>
          </cell>
          <cell r="E1874" t="str">
            <v>IOCL</v>
          </cell>
          <cell r="G1874" t="str">
            <v>Satara East RSA</v>
          </cell>
          <cell r="H1874">
            <v>40170</v>
          </cell>
          <cell r="I1874" t="str">
            <v>SC</v>
          </cell>
          <cell r="J1874" t="str">
            <v>Waduj</v>
          </cell>
          <cell r="K1874" t="str">
            <v>Satara</v>
          </cell>
          <cell r="L1874" t="str">
            <v>D2</v>
          </cell>
          <cell r="O1874" t="str">
            <v>A</v>
          </cell>
        </row>
        <row r="1875">
          <cell r="C1875">
            <v>379606</v>
          </cell>
          <cell r="D1875" t="str">
            <v>YASHRAJ PETROLEUM</v>
          </cell>
          <cell r="E1875" t="str">
            <v>IOCL</v>
          </cell>
          <cell r="F1875" t="str">
            <v>2025-26</v>
          </cell>
          <cell r="G1875" t="str">
            <v>Pune Wagholi RSA</v>
          </cell>
          <cell r="H1875">
            <v>45869</v>
          </cell>
          <cell r="I1875" t="str">
            <v>OBC</v>
          </cell>
          <cell r="J1875" t="str">
            <v>LONIKAND to KOREGAON BHIMA RHS</v>
          </cell>
          <cell r="K1875" t="str">
            <v>Pune</v>
          </cell>
          <cell r="L1875" t="str">
            <v>D1</v>
          </cell>
          <cell r="M1875" t="str">
            <v>NH-753F</v>
          </cell>
          <cell r="O1875" t="str">
            <v>B</v>
          </cell>
        </row>
        <row r="1876">
          <cell r="C1876">
            <v>379686</v>
          </cell>
          <cell r="D1876" t="str">
            <v>SHIV PARVATI PETROLEUM</v>
          </cell>
          <cell r="E1876" t="str">
            <v>IOCL</v>
          </cell>
          <cell r="F1876" t="str">
            <v>2025-26</v>
          </cell>
          <cell r="G1876" t="str">
            <v>Pune Wagholi RSA</v>
          </cell>
          <cell r="H1876">
            <v>45777</v>
          </cell>
          <cell r="I1876" t="str">
            <v>OPEN</v>
          </cell>
          <cell r="J1876" t="str">
            <v>Belhe to Loni on belhe jejuri highway</v>
          </cell>
          <cell r="K1876" t="str">
            <v>Pune</v>
          </cell>
          <cell r="L1876" t="str">
            <v>D2</v>
          </cell>
          <cell r="O1876" t="str">
            <v>B</v>
          </cell>
        </row>
        <row r="1877">
          <cell r="C1877">
            <v>380365</v>
          </cell>
          <cell r="D1877" t="str">
            <v>YASHODA PETROLEUM</v>
          </cell>
          <cell r="E1877" t="str">
            <v>IOCL</v>
          </cell>
          <cell r="F1877" t="str">
            <v>2025-26</v>
          </cell>
          <cell r="G1877" t="str">
            <v>Pune Saswad RSA</v>
          </cell>
          <cell r="H1877">
            <v>45808</v>
          </cell>
          <cell r="I1877" t="str">
            <v>OPEN</v>
          </cell>
          <cell r="J1877" t="str">
            <v>HINGANGAON</v>
          </cell>
          <cell r="K1877" t="str">
            <v>Pune</v>
          </cell>
          <cell r="L1877" t="str">
            <v>D1</v>
          </cell>
          <cell r="M1877" t="str">
            <v>NH-65</v>
          </cell>
          <cell r="O1877" t="str">
            <v>B</v>
          </cell>
        </row>
        <row r="1878">
          <cell r="C1878">
            <v>380366</v>
          </cell>
          <cell r="D1878" t="str">
            <v>JAY MALHAR PETROLEUM</v>
          </cell>
          <cell r="E1878" t="str">
            <v>IOCL</v>
          </cell>
          <cell r="F1878" t="str">
            <v>2025-26</v>
          </cell>
          <cell r="G1878" t="str">
            <v>Pune Wagholi RSA</v>
          </cell>
          <cell r="H1878">
            <v>45808</v>
          </cell>
          <cell r="I1878" t="str">
            <v>OPEN</v>
          </cell>
          <cell r="J1878" t="str">
            <v>Loni to shikhrapur on belhe jejuri highway</v>
          </cell>
          <cell r="K1878" t="str">
            <v>Pune</v>
          </cell>
          <cell r="L1878" t="str">
            <v>D2</v>
          </cell>
          <cell r="O1878" t="str">
            <v>B</v>
          </cell>
        </row>
        <row r="1879">
          <cell r="C1879">
            <v>381116</v>
          </cell>
          <cell r="D1879" t="str">
            <v>SHIV GOURANNSH PETROLEUM</v>
          </cell>
          <cell r="E1879" t="str">
            <v>IOCL</v>
          </cell>
          <cell r="F1879" t="str">
            <v>2025-26</v>
          </cell>
          <cell r="G1879" t="str">
            <v>Ahmednagar East RSA</v>
          </cell>
          <cell r="H1879">
            <v>45838</v>
          </cell>
          <cell r="I1879" t="str">
            <v>OPEN</v>
          </cell>
          <cell r="J1879" t="str">
            <v>Nagar-Manmad Bypass</v>
          </cell>
          <cell r="K1879" t="str">
            <v>Ahmednagar</v>
          </cell>
          <cell r="L1879" t="str">
            <v>D1</v>
          </cell>
          <cell r="M1879" t="str">
            <v>NH-160</v>
          </cell>
          <cell r="O1879" t="str">
            <v>B</v>
          </cell>
        </row>
        <row r="1880">
          <cell r="C1880">
            <v>381186</v>
          </cell>
          <cell r="D1880" t="str">
            <v>NATHKRUPA PETROLEUM</v>
          </cell>
          <cell r="E1880" t="str">
            <v>IOCL</v>
          </cell>
          <cell r="F1880" t="str">
            <v>2025-26</v>
          </cell>
          <cell r="G1880" t="str">
            <v>Ahmednagar West RSA</v>
          </cell>
          <cell r="H1880">
            <v>45869</v>
          </cell>
          <cell r="I1880" t="str">
            <v>SC</v>
          </cell>
          <cell r="J1880" t="str">
            <v>Khandgaon</v>
          </cell>
          <cell r="K1880" t="str">
            <v>Ahmednagar</v>
          </cell>
          <cell r="L1880" t="str">
            <v>E</v>
          </cell>
          <cell r="O1880" t="str">
            <v>A</v>
          </cell>
        </row>
        <row r="1881">
          <cell r="C1881">
            <v>381798</v>
          </cell>
          <cell r="D1881" t="str">
            <v>Mamta Petroleum</v>
          </cell>
          <cell r="E1881" t="str">
            <v>IOCL</v>
          </cell>
          <cell r="F1881" t="str">
            <v>2025-26</v>
          </cell>
          <cell r="G1881" t="str">
            <v>Ahmednagar West RSA</v>
          </cell>
          <cell r="H1881">
            <v>45869</v>
          </cell>
          <cell r="I1881" t="str">
            <v>OBC</v>
          </cell>
          <cell r="J1881" t="str">
            <v>SHEKTE</v>
          </cell>
          <cell r="K1881" t="str">
            <v>Ahmednagar</v>
          </cell>
          <cell r="L1881" t="str">
            <v>D1</v>
          </cell>
          <cell r="M1881" t="str">
            <v>NH-61</v>
          </cell>
          <cell r="O1881" t="str">
            <v>B</v>
          </cell>
        </row>
        <row r="1882">
          <cell r="C1882">
            <v>381929</v>
          </cell>
          <cell r="D1882" t="str">
            <v>Jay Shankar Petroleum</v>
          </cell>
          <cell r="E1882" t="str">
            <v>IOCL</v>
          </cell>
          <cell r="F1882" t="str">
            <v>2025-26</v>
          </cell>
          <cell r="G1882" t="str">
            <v>Satara East RSA</v>
          </cell>
          <cell r="H1882">
            <v>45869</v>
          </cell>
          <cell r="I1882" t="str">
            <v>OBC</v>
          </cell>
          <cell r="J1882" t="str">
            <v>Saskal</v>
          </cell>
          <cell r="K1882" t="str">
            <v>Satara</v>
          </cell>
          <cell r="L1882" t="str">
            <v>E</v>
          </cell>
          <cell r="O1882" t="str">
            <v>B</v>
          </cell>
        </row>
        <row r="1883">
          <cell r="C1883">
            <v>381934</v>
          </cell>
          <cell r="D1883" t="str">
            <v>Mauli Fuel Station</v>
          </cell>
          <cell r="E1883" t="str">
            <v>IOCL</v>
          </cell>
          <cell r="F1883" t="str">
            <v>2025-26</v>
          </cell>
          <cell r="G1883" t="str">
            <v>Satara West RSA</v>
          </cell>
          <cell r="H1883">
            <v>45869</v>
          </cell>
          <cell r="I1883" t="str">
            <v>OPEN</v>
          </cell>
          <cell r="J1883" t="str">
            <v>PATAN</v>
          </cell>
          <cell r="K1883" t="str">
            <v>Satara</v>
          </cell>
          <cell r="L1883" t="str">
            <v>D1</v>
          </cell>
          <cell r="M1883" t="str">
            <v>NH-166E</v>
          </cell>
          <cell r="O1883" t="str">
            <v>B</v>
          </cell>
        </row>
        <row r="1884">
          <cell r="C1884">
            <v>381984</v>
          </cell>
          <cell r="D1884" t="str">
            <v>Ambika Petroleum</v>
          </cell>
          <cell r="E1884" t="str">
            <v>IOCL</v>
          </cell>
          <cell r="F1884" t="str">
            <v>2025-26</v>
          </cell>
          <cell r="G1884" t="str">
            <v>Pune Hadapsar RSA</v>
          </cell>
          <cell r="H1884">
            <v>45869</v>
          </cell>
          <cell r="I1884" t="str">
            <v>OPEN</v>
          </cell>
          <cell r="J1884" t="str">
            <v>Yawat LHS</v>
          </cell>
          <cell r="K1884" t="str">
            <v>Pune</v>
          </cell>
          <cell r="L1884" t="str">
            <v>D1</v>
          </cell>
          <cell r="M1884" t="str">
            <v>NH-65</v>
          </cell>
          <cell r="O1884" t="str">
            <v>B</v>
          </cell>
        </row>
        <row r="1885">
          <cell r="C1885">
            <v>382026</v>
          </cell>
          <cell r="D1885" t="str">
            <v>S B Petroleum</v>
          </cell>
          <cell r="E1885" t="str">
            <v>IOCL</v>
          </cell>
          <cell r="F1885" t="str">
            <v>2025-26</v>
          </cell>
          <cell r="G1885" t="str">
            <v>Ahmednagar West RSA</v>
          </cell>
          <cell r="H1885">
            <v>45869</v>
          </cell>
          <cell r="I1885" t="str">
            <v>OBC</v>
          </cell>
          <cell r="J1885" t="str">
            <v>Walunj</v>
          </cell>
          <cell r="K1885" t="str">
            <v>Ahmednagar</v>
          </cell>
          <cell r="L1885" t="str">
            <v>D1</v>
          </cell>
          <cell r="M1885" t="str">
            <v>NH-561A</v>
          </cell>
          <cell r="O1885" t="str">
            <v>B</v>
          </cell>
        </row>
        <row r="1886">
          <cell r="C1886">
            <v>504556</v>
          </cell>
          <cell r="D1886" t="str">
            <v>NEW AUTO CORNER-PUNE</v>
          </cell>
          <cell r="E1886" t="str">
            <v>IOCL</v>
          </cell>
          <cell r="G1886" t="str">
            <v>Pune City RSA</v>
          </cell>
          <cell r="H1886">
            <v>26081</v>
          </cell>
          <cell r="I1886" t="str">
            <v>OPEN</v>
          </cell>
          <cell r="J1886" t="str">
            <v>SOMWAR PETH/NANA PETH</v>
          </cell>
          <cell r="K1886" t="str">
            <v>Pune</v>
          </cell>
          <cell r="L1886" t="str">
            <v>A</v>
          </cell>
          <cell r="O1886" t="str">
            <v>B</v>
          </cell>
        </row>
        <row r="1887">
          <cell r="C1887">
            <v>524929</v>
          </cell>
          <cell r="D1887" t="str">
            <v>BAFNA BROTHERS (HSD)</v>
          </cell>
          <cell r="E1887" t="str">
            <v>IOCL</v>
          </cell>
          <cell r="G1887" t="str">
            <v>Pune Hadapsar RSA</v>
          </cell>
          <cell r="H1887">
            <v>32843</v>
          </cell>
          <cell r="I1887" t="str">
            <v>OPEN</v>
          </cell>
          <cell r="J1887" t="str">
            <v>Loni RHS</v>
          </cell>
          <cell r="K1887" t="str">
            <v>Pune</v>
          </cell>
          <cell r="L1887" t="str">
            <v>D1</v>
          </cell>
          <cell r="M1887" t="str">
            <v>NH-65</v>
          </cell>
          <cell r="O1887" t="str">
            <v>A</v>
          </cell>
        </row>
        <row r="1888">
          <cell r="C1888">
            <v>524930</v>
          </cell>
          <cell r="D1888" t="str">
            <v>KAJALE &amp; SONS (HSD)</v>
          </cell>
          <cell r="E1888" t="str">
            <v>IOCL</v>
          </cell>
          <cell r="G1888" t="str">
            <v>Pimpri Chinchwad RSA</v>
          </cell>
          <cell r="H1888">
            <v>34056</v>
          </cell>
          <cell r="I1888" t="str">
            <v>OPEN</v>
          </cell>
          <cell r="J1888" t="str">
            <v>Moshi</v>
          </cell>
          <cell r="K1888" t="str">
            <v>Pune</v>
          </cell>
          <cell r="L1888" t="str">
            <v>A</v>
          </cell>
          <cell r="O1888" t="str">
            <v>A</v>
          </cell>
        </row>
        <row r="1889">
          <cell r="C1889">
            <v>382024</v>
          </cell>
          <cell r="D1889" t="str">
            <v>Makhamale Petroleum</v>
          </cell>
          <cell r="E1889" t="str">
            <v>IOCL</v>
          </cell>
          <cell r="F1889" t="str">
            <v>2025-26</v>
          </cell>
          <cell r="G1889" t="str">
            <v>Pimpri Chinchwad RSA</v>
          </cell>
          <cell r="H1889">
            <v>45899</v>
          </cell>
          <cell r="I1889" t="str">
            <v>OBC</v>
          </cell>
          <cell r="J1889" t="str">
            <v>Induri</v>
          </cell>
          <cell r="K1889" t="str">
            <v>Pune</v>
          </cell>
          <cell r="L1889" t="str">
            <v>D1</v>
          </cell>
          <cell r="M1889" t="str">
            <v>NH-548D</v>
          </cell>
          <cell r="O1889" t="str">
            <v>B</v>
          </cell>
        </row>
        <row r="1890">
          <cell r="C1890">
            <v>126375</v>
          </cell>
          <cell r="D1890" t="str">
            <v>RADHA KRISHNA SERVICE CENTRE</v>
          </cell>
          <cell r="E1890" t="str">
            <v>IOCL</v>
          </cell>
          <cell r="F1890" t="str">
            <v>2025-26</v>
          </cell>
          <cell r="G1890" t="str">
            <v>Pune City RSA</v>
          </cell>
          <cell r="H1890">
            <v>45883</v>
          </cell>
          <cell r="I1890" t="str">
            <v>OPEN</v>
          </cell>
          <cell r="J1890" t="str">
            <v>LOHAGAON WAGHOLI ROAD</v>
          </cell>
          <cell r="K1890" t="str">
            <v>Pune</v>
          </cell>
          <cell r="L1890" t="str">
            <v>A</v>
          </cell>
          <cell r="O1890" t="str">
            <v>B</v>
          </cell>
        </row>
        <row r="1891">
          <cell r="C1891">
            <v>382656</v>
          </cell>
          <cell r="D1891" t="str">
            <v>KSHIRSAGAR PETROLEUM</v>
          </cell>
          <cell r="E1891" t="str">
            <v>IOCL</v>
          </cell>
          <cell r="F1891" t="str">
            <v>2025-26</v>
          </cell>
          <cell r="G1891" t="str">
            <v>Pune Saswad RSA</v>
          </cell>
          <cell r="H1891">
            <v>45900</v>
          </cell>
          <cell r="I1891" t="str">
            <v>OBC</v>
          </cell>
          <cell r="J1891" t="str">
            <v>bhigwan-rashin road</v>
          </cell>
          <cell r="K1891" t="str">
            <v>Pune</v>
          </cell>
          <cell r="L1891" t="str">
            <v>D2</v>
          </cell>
          <cell r="O1891" t="str">
            <v>B</v>
          </cell>
        </row>
        <row r="1892">
          <cell r="C1892">
            <v>382748</v>
          </cell>
          <cell r="D1892" t="str">
            <v>SHREE JAY MALHAR PETROLEUM</v>
          </cell>
          <cell r="E1892" t="str">
            <v>IOCL</v>
          </cell>
          <cell r="F1892" t="str">
            <v>2025-26</v>
          </cell>
          <cell r="G1892" t="str">
            <v>Satara West RSA</v>
          </cell>
          <cell r="H1892">
            <v>45900</v>
          </cell>
          <cell r="I1892" t="str">
            <v>SC</v>
          </cell>
          <cell r="J1892" t="str">
            <v>ATIT TO KASHIL</v>
          </cell>
          <cell r="K1892" t="str">
            <v>Satara</v>
          </cell>
          <cell r="L1892" t="str">
            <v>D1</v>
          </cell>
          <cell r="M1892" t="str">
            <v>NH-48</v>
          </cell>
          <cell r="O1892" t="str">
            <v>A</v>
          </cell>
        </row>
        <row r="1893">
          <cell r="C1893">
            <v>382749</v>
          </cell>
          <cell r="D1893" t="str">
            <v>BRAMHACHAITANYA PETROLEUM</v>
          </cell>
          <cell r="E1893" t="str">
            <v>IOCL</v>
          </cell>
          <cell r="F1893" t="str">
            <v>2025-26</v>
          </cell>
          <cell r="G1893" t="str">
            <v>Satara West RSA</v>
          </cell>
          <cell r="H1893">
            <v>45900</v>
          </cell>
          <cell r="I1893" t="str">
            <v>OPEN</v>
          </cell>
          <cell r="J1893" t="str">
            <v>Narayanwadi Not on NH</v>
          </cell>
          <cell r="K1893" t="str">
            <v>Satara</v>
          </cell>
          <cell r="L1893" t="str">
            <v>D2</v>
          </cell>
          <cell r="O1893" t="str">
            <v>B</v>
          </cell>
        </row>
        <row r="1894">
          <cell r="C1894">
            <v>382655</v>
          </cell>
          <cell r="D1894" t="str">
            <v>BALAJI PETROL PUMP</v>
          </cell>
          <cell r="E1894" t="str">
            <v>IOCL</v>
          </cell>
          <cell r="F1894" t="str">
            <v>2025-26</v>
          </cell>
          <cell r="G1894" t="str">
            <v>Ahmednagar West RSA</v>
          </cell>
          <cell r="H1894">
            <v>45930</v>
          </cell>
          <cell r="I1894" t="str">
            <v>OBC</v>
          </cell>
          <cell r="J1894" t="str">
            <v>JAMKHED-NANNAJ RD</v>
          </cell>
          <cell r="K1894" t="str">
            <v>Ahmednagar</v>
          </cell>
          <cell r="L1894" t="str">
            <v>D2</v>
          </cell>
          <cell r="O1894" t="str">
            <v>B</v>
          </cell>
        </row>
        <row r="1895">
          <cell r="C1895">
            <v>383736</v>
          </cell>
          <cell r="D1895" t="str">
            <v>GAVALI PETROLEUM</v>
          </cell>
          <cell r="E1895" t="str">
            <v>IOCL</v>
          </cell>
          <cell r="F1895" t="str">
            <v>2025-26</v>
          </cell>
          <cell r="G1895" t="str">
            <v>Pune Tathawade RSA</v>
          </cell>
          <cell r="H1895">
            <v>45930</v>
          </cell>
          <cell r="I1895" t="str">
            <v>SC</v>
          </cell>
          <cell r="J1895" t="str">
            <v>MORGAON</v>
          </cell>
          <cell r="K1895" t="str">
            <v>Pune</v>
          </cell>
          <cell r="L1895" t="str">
            <v>D1</v>
          </cell>
          <cell r="M1895" t="str">
            <v>NH-965D</v>
          </cell>
          <cell r="O1895" t="str">
            <v>A</v>
          </cell>
        </row>
        <row r="1896">
          <cell r="C1896">
            <v>383737</v>
          </cell>
          <cell r="D1896" t="str">
            <v>DNYANESHWARI PETROLEUM</v>
          </cell>
          <cell r="E1896" t="str">
            <v>IOCL</v>
          </cell>
          <cell r="F1896" t="str">
            <v>2025-26</v>
          </cell>
          <cell r="G1896" t="str">
            <v>Ahmednagar West RSA</v>
          </cell>
          <cell r="H1896">
            <v>45930</v>
          </cell>
          <cell r="I1896" t="str">
            <v>OBC</v>
          </cell>
          <cell r="J1896" t="str">
            <v>TAKALI KADEVALIT</v>
          </cell>
          <cell r="K1896" t="str">
            <v>Ahmednagar</v>
          </cell>
          <cell r="L1896" t="str">
            <v>E</v>
          </cell>
          <cell r="O1896" t="str">
            <v>B</v>
          </cell>
        </row>
        <row r="1897">
          <cell r="C1897">
            <v>384663</v>
          </cell>
          <cell r="D1897" t="str">
            <v>Shantai Petroleum</v>
          </cell>
          <cell r="E1897" t="str">
            <v>IOCL</v>
          </cell>
          <cell r="F1897" t="str">
            <v>2025-26</v>
          </cell>
          <cell r="G1897" t="str">
            <v>Ahmednagar East RSA</v>
          </cell>
          <cell r="H1897">
            <v>45961</v>
          </cell>
          <cell r="I1897" t="str">
            <v>OBC</v>
          </cell>
          <cell r="J1897" t="str">
            <v>Supe toll</v>
          </cell>
          <cell r="K1897" t="str">
            <v>Ahmednagar</v>
          </cell>
          <cell r="L1897" t="str">
            <v>D1</v>
          </cell>
          <cell r="M1897" t="str">
            <v>NH-753F</v>
          </cell>
          <cell r="O1897" t="str">
            <v>B</v>
          </cell>
        </row>
        <row r="1898">
          <cell r="C1898">
            <v>383803</v>
          </cell>
          <cell r="D1898" t="str">
            <v>KADAM PETROLEUM</v>
          </cell>
          <cell r="E1898" t="str">
            <v>IOCL</v>
          </cell>
          <cell r="F1898" t="str">
            <v>2025-26</v>
          </cell>
          <cell r="G1898" t="str">
            <v>Ahmednagar West RSA</v>
          </cell>
          <cell r="H1898">
            <v>45952</v>
          </cell>
          <cell r="I1898" t="str">
            <v>OBC</v>
          </cell>
          <cell r="J1898" t="str">
            <v>SIDDHITEK-SH</v>
          </cell>
          <cell r="K1898" t="str">
            <v>Ahmednagar</v>
          </cell>
          <cell r="L1898" t="str">
            <v>D2</v>
          </cell>
          <cell r="O1898" t="str">
            <v>B</v>
          </cell>
        </row>
        <row r="1899">
          <cell r="C1899">
            <v>383832</v>
          </cell>
          <cell r="D1899" t="str">
            <v>BORUDE PETROLEUM</v>
          </cell>
          <cell r="E1899" t="str">
            <v>IOCL</v>
          </cell>
          <cell r="F1899" t="str">
            <v>2025-26</v>
          </cell>
          <cell r="G1899" t="str">
            <v>Ahmednagar West RSA</v>
          </cell>
          <cell r="H1899">
            <v>45959</v>
          </cell>
          <cell r="I1899" t="str">
            <v>OPEN</v>
          </cell>
          <cell r="J1899" t="str">
            <v>MIRAJGAON-NH</v>
          </cell>
          <cell r="K1899" t="str">
            <v>Ahmednagar</v>
          </cell>
          <cell r="L1899" t="str">
            <v>D1</v>
          </cell>
          <cell r="M1899" t="str">
            <v>NH-561A</v>
          </cell>
          <cell r="O1899" t="str">
            <v>B</v>
          </cell>
        </row>
        <row r="1900">
          <cell r="C1900">
            <v>384143</v>
          </cell>
          <cell r="D1900" t="str">
            <v>GURU PETROLEUM,</v>
          </cell>
          <cell r="E1900" t="str">
            <v>IOCL</v>
          </cell>
          <cell r="F1900" t="str">
            <v>2025-26</v>
          </cell>
          <cell r="G1900" t="str">
            <v>Ahmednagar East RSA</v>
          </cell>
          <cell r="H1900">
            <v>45961</v>
          </cell>
          <cell r="I1900" t="str">
            <v>ST</v>
          </cell>
          <cell r="J1900" t="str">
            <v>Handinimgaon</v>
          </cell>
          <cell r="K1900" t="str">
            <v>Ahmednagar</v>
          </cell>
          <cell r="L1900" t="str">
            <v>D1</v>
          </cell>
          <cell r="M1900" t="str">
            <v>NH-753F</v>
          </cell>
          <cell r="O1900" t="str">
            <v>A</v>
          </cell>
        </row>
        <row r="1901">
          <cell r="C1901">
            <v>384714</v>
          </cell>
          <cell r="D1901" t="str">
            <v>YASHWANT PETROLEUM</v>
          </cell>
          <cell r="E1901" t="str">
            <v>IOCL</v>
          </cell>
          <cell r="F1901" t="str">
            <v>2025-26</v>
          </cell>
          <cell r="G1901" t="str">
            <v>Pune Wagholi RSA</v>
          </cell>
          <cell r="H1901">
            <v>45961</v>
          </cell>
          <cell r="I1901" t="str">
            <v>OPEN</v>
          </cell>
          <cell r="J1901" t="str">
            <v>Narayangaon to Alephata RHS</v>
          </cell>
          <cell r="K1901" t="str">
            <v>Pune</v>
          </cell>
          <cell r="L1901" t="str">
            <v>D1</v>
          </cell>
          <cell r="M1901" t="str">
            <v>NH-60</v>
          </cell>
          <cell r="O1901" t="str">
            <v>B</v>
          </cell>
        </row>
        <row r="1902">
          <cell r="C1902">
            <v>385541</v>
          </cell>
          <cell r="D1902" t="str">
            <v>JAGDAMB PETROLEUM</v>
          </cell>
          <cell r="E1902" t="str">
            <v>IOCL</v>
          </cell>
          <cell r="F1902" t="str">
            <v>2025-26</v>
          </cell>
          <cell r="G1902" t="str">
            <v>Satara East RSA</v>
          </cell>
          <cell r="H1902">
            <v>45991</v>
          </cell>
          <cell r="I1902" t="str">
            <v>OPEN</v>
          </cell>
          <cell r="J1902" t="str">
            <v>Katar Khatav</v>
          </cell>
          <cell r="K1902" t="str">
            <v>Satara</v>
          </cell>
          <cell r="L1902" t="str">
            <v>D1</v>
          </cell>
          <cell r="M1902" t="str">
            <v>NH-160</v>
          </cell>
          <cell r="O1902" t="str">
            <v>B</v>
          </cell>
        </row>
        <row r="1903">
          <cell r="C1903">
            <v>385542</v>
          </cell>
          <cell r="D1903" t="str">
            <v>SHREE SHARADA PETROLEUM</v>
          </cell>
          <cell r="E1903" t="str">
            <v>IOCL</v>
          </cell>
          <cell r="F1903" t="str">
            <v>2025-26</v>
          </cell>
          <cell r="G1903" t="str">
            <v>Pune City RSA</v>
          </cell>
          <cell r="H1903">
            <v>45988</v>
          </cell>
          <cell r="I1903" t="str">
            <v>OPEN</v>
          </cell>
          <cell r="J1903" t="str">
            <v>RAVET</v>
          </cell>
          <cell r="K1903" t="str">
            <v>Pune</v>
          </cell>
          <cell r="L1903" t="str">
            <v>A</v>
          </cell>
          <cell r="O1903" t="str">
            <v>A</v>
          </cell>
        </row>
        <row r="1904">
          <cell r="C1904">
            <v>385803</v>
          </cell>
          <cell r="D1904" t="str">
            <v>Karle Gajraj Petroleum</v>
          </cell>
          <cell r="E1904" t="str">
            <v>IOCL</v>
          </cell>
          <cell r="F1904" t="str">
            <v>2025-26</v>
          </cell>
          <cell r="G1904" t="str">
            <v>Pune City RSA</v>
          </cell>
          <cell r="H1904">
            <v>45991</v>
          </cell>
          <cell r="I1904" t="str">
            <v>OPEN</v>
          </cell>
          <cell r="J1904" t="str">
            <v>NANDED CITY</v>
          </cell>
          <cell r="K1904" t="str">
            <v>Pune</v>
          </cell>
          <cell r="L1904" t="str">
            <v>A</v>
          </cell>
          <cell r="O1904" t="str">
            <v>A</v>
          </cell>
        </row>
        <row r="1905">
          <cell r="C1905">
            <v>385864</v>
          </cell>
          <cell r="D1905" t="str">
            <v>SHIV SHAMBHU PETROLEUM KSK</v>
          </cell>
          <cell r="E1905" t="str">
            <v>IOCL</v>
          </cell>
          <cell r="F1905" t="str">
            <v>2025-26</v>
          </cell>
          <cell r="G1905" t="str">
            <v>Ahmednagar West RSA</v>
          </cell>
          <cell r="H1905">
            <v>45991</v>
          </cell>
          <cell r="I1905" t="str">
            <v>OPEN</v>
          </cell>
          <cell r="J1905" t="str">
            <v>Visapur</v>
          </cell>
          <cell r="K1905" t="str">
            <v>Ahmednagar</v>
          </cell>
          <cell r="L1905" t="str">
            <v>E</v>
          </cell>
          <cell r="O1905" t="str">
            <v>B</v>
          </cell>
        </row>
        <row r="1906">
          <cell r="C1906">
            <v>386278</v>
          </cell>
          <cell r="D1906" t="str">
            <v>RADHIKA PETROLEUM</v>
          </cell>
          <cell r="E1906" t="str">
            <v>IOCL</v>
          </cell>
          <cell r="F1906" t="str">
            <v>2025-26</v>
          </cell>
          <cell r="G1906" t="str">
            <v>Pimpri Chinchwad RSA</v>
          </cell>
          <cell r="H1906">
            <v>46014</v>
          </cell>
          <cell r="I1906" t="str">
            <v>OPEN</v>
          </cell>
          <cell r="J1906" t="str">
            <v>Mangrul</v>
          </cell>
          <cell r="K1906" t="str">
            <v>Pune</v>
          </cell>
          <cell r="L1906" t="str">
            <v>E</v>
          </cell>
          <cell r="O1906" t="str">
            <v>B</v>
          </cell>
        </row>
        <row r="1907">
          <cell r="C1907">
            <v>386380</v>
          </cell>
          <cell r="D1907" t="str">
            <v>BHIMA SHANKAR ENERGY SERVICES</v>
          </cell>
          <cell r="E1907" t="str">
            <v>IOCL</v>
          </cell>
          <cell r="F1907" t="str">
            <v>2025-26</v>
          </cell>
          <cell r="G1907" t="str">
            <v>Pune Wagholi RSA</v>
          </cell>
          <cell r="H1907">
            <v>46021</v>
          </cell>
          <cell r="I1907" t="str">
            <v>ST</v>
          </cell>
          <cell r="J1907" t="str">
            <v>Manchar Bypass RHS</v>
          </cell>
          <cell r="K1907" t="str">
            <v>Pune</v>
          </cell>
          <cell r="L1907" t="str">
            <v>D1</v>
          </cell>
          <cell r="M1907" t="str">
            <v>NH-60</v>
          </cell>
          <cell r="O1907" t="str">
            <v>A</v>
          </cell>
        </row>
        <row r="1908">
          <cell r="C1908">
            <v>386381</v>
          </cell>
          <cell r="D1908" t="str">
            <v>KAVERI FUEL STATION</v>
          </cell>
          <cell r="E1908" t="str">
            <v>IOCL</v>
          </cell>
          <cell r="F1908" t="str">
            <v>2025-26</v>
          </cell>
          <cell r="G1908" t="str">
            <v>Pimpri Chinchwad RSA</v>
          </cell>
          <cell r="H1908">
            <v>46021</v>
          </cell>
          <cell r="I1908" t="str">
            <v>SC</v>
          </cell>
          <cell r="J1908" t="str">
            <v>Rajgurunagar on NH</v>
          </cell>
          <cell r="K1908" t="str">
            <v>Pune</v>
          </cell>
          <cell r="L1908" t="str">
            <v>D1</v>
          </cell>
          <cell r="M1908" t="str">
            <v>NH-60</v>
          </cell>
          <cell r="O1908" t="str">
            <v>A</v>
          </cell>
        </row>
        <row r="1909">
          <cell r="C1909">
            <v>386760</v>
          </cell>
          <cell r="D1909" t="str">
            <v>Shri Kshetra Bhimashankar Petroleum</v>
          </cell>
          <cell r="E1909" t="str">
            <v>IOCL</v>
          </cell>
          <cell r="F1909" t="str">
            <v>2025-26</v>
          </cell>
          <cell r="G1909" t="str">
            <v>Pune Wagholi RSA</v>
          </cell>
          <cell r="H1909">
            <v>46022</v>
          </cell>
          <cell r="I1909" t="str">
            <v>OPEN</v>
          </cell>
          <cell r="J1909" t="str">
            <v>Ghodegaon_Ambegaon</v>
          </cell>
          <cell r="K1909" t="str">
            <v>Pune</v>
          </cell>
          <cell r="L1909" t="str">
            <v>D2</v>
          </cell>
          <cell r="O1909" t="str">
            <v>B</v>
          </cell>
        </row>
        <row r="1910">
          <cell r="C1910">
            <v>386853</v>
          </cell>
          <cell r="D1910" t="str">
            <v>SWAMIDNYA PETROLEUM</v>
          </cell>
          <cell r="E1910" t="str">
            <v>IOCL</v>
          </cell>
          <cell r="F1910" t="str">
            <v>2025-26</v>
          </cell>
          <cell r="G1910" t="str">
            <v>Pune Wagholi RSA</v>
          </cell>
          <cell r="H1910">
            <v>46022</v>
          </cell>
          <cell r="I1910" t="str">
            <v>ST</v>
          </cell>
          <cell r="J1910" t="str">
            <v>Alephata on Kalyan highway</v>
          </cell>
          <cell r="K1910" t="str">
            <v>Pune</v>
          </cell>
          <cell r="L1910" t="str">
            <v>D1</v>
          </cell>
          <cell r="M1910" t="str">
            <v>NH-61</v>
          </cell>
          <cell r="O1910" t="str">
            <v>A</v>
          </cell>
        </row>
        <row r="1911">
          <cell r="C1911">
            <v>387659</v>
          </cell>
          <cell r="D1911" t="str">
            <v>SAJAI PETROLEUM</v>
          </cell>
          <cell r="E1911" t="str">
            <v>IOCL</v>
          </cell>
          <cell r="F1911" t="str">
            <v>2025-26</v>
          </cell>
          <cell r="G1911" t="str">
            <v>Satara West RSA</v>
          </cell>
          <cell r="H1911">
            <v>46053</v>
          </cell>
          <cell r="I1911" t="str">
            <v>OPEN</v>
          </cell>
          <cell r="J1911" t="str">
            <v>Malgaon</v>
          </cell>
          <cell r="K1911" t="str">
            <v>Satara</v>
          </cell>
          <cell r="L1911" t="str">
            <v>E</v>
          </cell>
          <cell r="O1911" t="str">
            <v>B</v>
          </cell>
        </row>
        <row r="1912">
          <cell r="C1912">
            <v>387724</v>
          </cell>
          <cell r="D1912" t="str">
            <v>TIRUPATI PETROLEUM</v>
          </cell>
          <cell r="E1912" t="str">
            <v>IOCL</v>
          </cell>
          <cell r="F1912" t="str">
            <v>2025-26</v>
          </cell>
          <cell r="G1912" t="str">
            <v>Ahmednagar West RSA</v>
          </cell>
          <cell r="H1912">
            <v>46053</v>
          </cell>
          <cell r="I1912" t="str">
            <v>OBC</v>
          </cell>
          <cell r="J1912" t="str">
            <v>Jawalke (Jamkhed)</v>
          </cell>
          <cell r="K1912" t="str">
            <v>Ahmednagar</v>
          </cell>
          <cell r="L1912" t="str">
            <v>E</v>
          </cell>
          <cell r="O1912" t="str">
            <v>B</v>
          </cell>
        </row>
        <row r="1913">
          <cell r="C1913">
            <v>388055</v>
          </cell>
          <cell r="D1913" t="str">
            <v>AVIRA PETROLEUM</v>
          </cell>
          <cell r="E1913" t="str">
            <v>IOCL</v>
          </cell>
          <cell r="F1913" t="str">
            <v>2025-26</v>
          </cell>
          <cell r="G1913" t="str">
            <v>Shirdi RSA</v>
          </cell>
          <cell r="H1913">
            <v>46053</v>
          </cell>
          <cell r="I1913" t="str">
            <v>ST</v>
          </cell>
          <cell r="J1913" t="str">
            <v>RAJUR</v>
          </cell>
          <cell r="K1913" t="str">
            <v>Ahmednagar</v>
          </cell>
          <cell r="L1913" t="str">
            <v>D2</v>
          </cell>
          <cell r="O1913" t="str">
            <v>A</v>
          </cell>
        </row>
        <row r="1914">
          <cell r="C1914">
            <v>388096</v>
          </cell>
          <cell r="D1914" t="str">
            <v>RB PETROCHEM</v>
          </cell>
          <cell r="E1914" t="str">
            <v>IOCL</v>
          </cell>
          <cell r="F1914" t="str">
            <v>2025-26</v>
          </cell>
          <cell r="G1914" t="str">
            <v>Pune City RSA</v>
          </cell>
          <cell r="H1914">
            <v>46081</v>
          </cell>
          <cell r="I1914" t="str">
            <v>OPEN</v>
          </cell>
          <cell r="J1914" t="str">
            <v>SHANKARSETH ROAD</v>
          </cell>
          <cell r="K1914" t="str">
            <v>Pune</v>
          </cell>
          <cell r="L1914" t="str">
            <v>A</v>
          </cell>
          <cell r="O1914" t="str">
            <v>A</v>
          </cell>
        </row>
        <row r="1915">
          <cell r="C1915">
            <v>378952</v>
          </cell>
          <cell r="D1915" t="str">
            <v>POONAM PETROLEUM</v>
          </cell>
          <cell r="E1915" t="str">
            <v>IOCL</v>
          </cell>
          <cell r="F1915" t="str">
            <v>2025-26</v>
          </cell>
          <cell r="G1915" t="str">
            <v>Pune City RSA</v>
          </cell>
          <cell r="H1915">
            <v>46069</v>
          </cell>
          <cell r="I1915" t="str">
            <v>OPEN</v>
          </cell>
          <cell r="J1915" t="str">
            <v>MUNDHWA/GHORPADI</v>
          </cell>
          <cell r="K1915" t="str">
            <v>Pune</v>
          </cell>
          <cell r="L1915" t="str">
            <v>A</v>
          </cell>
          <cell r="O1915" t="str">
            <v>B</v>
          </cell>
        </row>
        <row r="1916">
          <cell r="C1916">
            <v>389349</v>
          </cell>
          <cell r="D1916" t="str">
            <v>FALCON PETROLEUM</v>
          </cell>
          <cell r="E1916" t="str">
            <v>IOCL</v>
          </cell>
          <cell r="F1916" t="str">
            <v>2025-26</v>
          </cell>
          <cell r="G1916" t="str">
            <v>Satara East RSA</v>
          </cell>
          <cell r="H1916">
            <v>46081</v>
          </cell>
          <cell r="I1916" t="str">
            <v>SC</v>
          </cell>
          <cell r="J1916" t="str">
            <v>Nidhal</v>
          </cell>
          <cell r="K1916" t="str">
            <v>Satara</v>
          </cell>
          <cell r="L1916" t="str">
            <v>D1</v>
          </cell>
          <cell r="M1916" t="str">
            <v>NH-548C</v>
          </cell>
          <cell r="O1916" t="str">
            <v>A</v>
          </cell>
        </row>
        <row r="1917">
          <cell r="C1917">
            <v>391467</v>
          </cell>
          <cell r="D1917" t="str">
            <v>Shivmudra Petroleum</v>
          </cell>
          <cell r="E1917" t="str">
            <v>IOCL</v>
          </cell>
          <cell r="F1917" t="str">
            <v>2025-26</v>
          </cell>
          <cell r="G1917" t="str">
            <v>Pimpri Chinchwad RSA</v>
          </cell>
          <cell r="H1917">
            <v>46112</v>
          </cell>
          <cell r="I1917" t="str">
            <v>ST</v>
          </cell>
          <cell r="J1917" t="str">
            <v xml:space="preserve">Sablewadi to shikhrapur </v>
          </cell>
          <cell r="K1917" t="str">
            <v>Pune</v>
          </cell>
          <cell r="L1917" t="str">
            <v>D1</v>
          </cell>
          <cell r="M1917" t="str">
            <v>NH-548D</v>
          </cell>
          <cell r="O1917" t="str">
            <v>A</v>
          </cell>
        </row>
        <row r="1918">
          <cell r="C1918">
            <v>391523</v>
          </cell>
          <cell r="D1918" t="str">
            <v>Kanifnath Petroleum</v>
          </cell>
          <cell r="E1918" t="str">
            <v>IOCL</v>
          </cell>
          <cell r="F1918" t="str">
            <v>2025-26</v>
          </cell>
          <cell r="G1918" t="str">
            <v>Pune Saswad RSA</v>
          </cell>
          <cell r="H1918">
            <v>46112</v>
          </cell>
          <cell r="I1918" t="str">
            <v>OPEN</v>
          </cell>
          <cell r="J1918" t="str">
            <v>Saswad-Bopdev-Pune Road</v>
          </cell>
          <cell r="K1918" t="str">
            <v>Pune</v>
          </cell>
          <cell r="L1918" t="str">
            <v>D2</v>
          </cell>
          <cell r="O1918" t="str">
            <v>A</v>
          </cell>
        </row>
        <row r="1919">
          <cell r="C1919">
            <v>390976</v>
          </cell>
          <cell r="D1919" t="str">
            <v>SHYAM PETROLEUM</v>
          </cell>
          <cell r="E1919" t="str">
            <v>IOCL</v>
          </cell>
          <cell r="F1919" t="str">
            <v>2025-26</v>
          </cell>
          <cell r="G1919" t="str">
            <v>Ahmednagar West RSA</v>
          </cell>
          <cell r="H1919">
            <v>46112</v>
          </cell>
          <cell r="I1919" t="str">
            <v>OBC</v>
          </cell>
          <cell r="J1919" t="str">
            <v>ADHALGAON</v>
          </cell>
          <cell r="K1919" t="str">
            <v>Ahmednagar</v>
          </cell>
          <cell r="L1919" t="str">
            <v>D1</v>
          </cell>
          <cell r="M1919" t="str">
            <v>NH-548D</v>
          </cell>
          <cell r="O1919" t="str">
            <v>B</v>
          </cell>
        </row>
        <row r="1920">
          <cell r="C1920">
            <v>391468</v>
          </cell>
          <cell r="D1920" t="str">
            <v>JAI HIND PETROLEUM</v>
          </cell>
          <cell r="E1920" t="str">
            <v>IOCL</v>
          </cell>
          <cell r="F1920" t="str">
            <v>2025-26</v>
          </cell>
          <cell r="G1920" t="str">
            <v>Ahmednagar West RSA</v>
          </cell>
          <cell r="H1920">
            <v>46112</v>
          </cell>
          <cell r="I1920" t="str">
            <v>SC</v>
          </cell>
          <cell r="J1920" t="str">
            <v>Sakur</v>
          </cell>
          <cell r="K1920" t="str">
            <v>Ahmednagar</v>
          </cell>
          <cell r="L1920" t="str">
            <v>E</v>
          </cell>
          <cell r="O1920" t="str">
            <v>A</v>
          </cell>
        </row>
        <row r="1921">
          <cell r="C1921">
            <v>391466</v>
          </cell>
          <cell r="D1921" t="str">
            <v>Gurudatta Petroleum</v>
          </cell>
          <cell r="E1921" t="str">
            <v>IOCL</v>
          </cell>
          <cell r="F1921" t="str">
            <v>2025-26</v>
          </cell>
          <cell r="G1921" t="str">
            <v>Pimpri Chinchwad RSA</v>
          </cell>
          <cell r="H1921">
            <v>46112</v>
          </cell>
          <cell r="I1921" t="str">
            <v>OPEN</v>
          </cell>
          <cell r="J1921" t="str">
            <v>Chakan Bhose</v>
          </cell>
          <cell r="K1921" t="str">
            <v>Pune</v>
          </cell>
          <cell r="L1921" t="str">
            <v>D1</v>
          </cell>
          <cell r="M1921" t="str">
            <v>NH-548D</v>
          </cell>
          <cell r="O1921" t="str">
            <v>A</v>
          </cell>
        </row>
        <row r="1922">
          <cell r="C1922">
            <v>391546</v>
          </cell>
          <cell r="D1922" t="str">
            <v>Sai Veenit Petroleum</v>
          </cell>
          <cell r="E1922" t="str">
            <v>IOCL</v>
          </cell>
          <cell r="F1922" t="str">
            <v>2026-27</v>
          </cell>
          <cell r="G1922" t="str">
            <v>Pune Tathawade RSA</v>
          </cell>
          <cell r="H1922">
            <v>46135</v>
          </cell>
          <cell r="I1922" t="str">
            <v>SC</v>
          </cell>
          <cell r="J1922" t="str">
            <v>Thugaon-Kamshet Road</v>
          </cell>
          <cell r="K1922" t="str">
            <v>Pune</v>
          </cell>
          <cell r="L1922" t="str">
            <v>E</v>
          </cell>
          <cell r="O1922" t="str">
            <v>A</v>
          </cell>
        </row>
        <row r="1923">
          <cell r="C1923">
            <v>392301</v>
          </cell>
          <cell r="D1923" t="str">
            <v>S N Borate Petroleum</v>
          </cell>
          <cell r="E1923" t="str">
            <v>IOCL</v>
          </cell>
          <cell r="F1923" t="str">
            <v>2026-27</v>
          </cell>
          <cell r="G1923" t="str">
            <v>Pimpri Chinchwad RSA</v>
          </cell>
          <cell r="H1923">
            <v>46156</v>
          </cell>
          <cell r="I1923" t="str">
            <v>OPEN</v>
          </cell>
          <cell r="J1923" t="str">
            <v>Moshi</v>
          </cell>
          <cell r="K1923" t="str">
            <v>Pune</v>
          </cell>
          <cell r="L1923" t="str">
            <v>A</v>
          </cell>
          <cell r="O1923" t="str">
            <v>A</v>
          </cell>
        </row>
        <row r="1924">
          <cell r="C1924">
            <v>392992</v>
          </cell>
          <cell r="D1924" t="str">
            <v>BHAIRAVNATH PETROLEUM</v>
          </cell>
          <cell r="E1924" t="str">
            <v>IOCL</v>
          </cell>
          <cell r="F1924" t="str">
            <v>2026-27</v>
          </cell>
          <cell r="G1924" t="str">
            <v>Satara East RSA</v>
          </cell>
          <cell r="H1924">
            <v>46172</v>
          </cell>
          <cell r="I1924" t="str">
            <v>OPEN</v>
          </cell>
          <cell r="J1924" t="str">
            <v>BORWAT</v>
          </cell>
          <cell r="K1924" t="str">
            <v>Satara</v>
          </cell>
          <cell r="L1924" t="str">
            <v>E</v>
          </cell>
          <cell r="O1924" t="str">
            <v>B</v>
          </cell>
        </row>
        <row r="1925">
          <cell r="C1925">
            <v>392938</v>
          </cell>
          <cell r="D1925" t="str">
            <v>GANGAGIRI PETROLEUM</v>
          </cell>
          <cell r="E1925" t="str">
            <v>IOCL</v>
          </cell>
          <cell r="F1925" t="str">
            <v>2026-27</v>
          </cell>
          <cell r="G1925" t="str">
            <v>Ahmednagar West RSA</v>
          </cell>
          <cell r="H1925">
            <v>46172</v>
          </cell>
          <cell r="I1925" t="str">
            <v>OPEN</v>
          </cell>
          <cell r="J1925" t="str">
            <v>MIRAJGAON-NH</v>
          </cell>
          <cell r="K1925" t="str">
            <v>Ahmednagar</v>
          </cell>
          <cell r="L1925" t="str">
            <v>D1</v>
          </cell>
          <cell r="M1925" t="str">
            <v>NH-561A</v>
          </cell>
          <cell r="O1925" t="str">
            <v>B</v>
          </cell>
        </row>
        <row r="1926">
          <cell r="C1926">
            <v>392994</v>
          </cell>
          <cell r="D1926" t="str">
            <v>Mauli Petroleum</v>
          </cell>
          <cell r="E1926" t="str">
            <v>IOCL</v>
          </cell>
          <cell r="F1926" t="str">
            <v>2026-27</v>
          </cell>
          <cell r="G1926" t="str">
            <v>Pune Saswad RSA</v>
          </cell>
          <cell r="H1926">
            <v>46172</v>
          </cell>
          <cell r="I1926" t="str">
            <v>SC</v>
          </cell>
          <cell r="J1926" t="str">
            <v>badalwadi</v>
          </cell>
          <cell r="K1926" t="str">
            <v>Pune</v>
          </cell>
          <cell r="L1926" t="str">
            <v>D1</v>
          </cell>
          <cell r="M1926" t="str">
            <v>NH-65</v>
          </cell>
          <cell r="O1926" t="str">
            <v>A</v>
          </cell>
        </row>
        <row r="1927">
          <cell r="C1927">
            <v>393015</v>
          </cell>
          <cell r="D1927" t="str">
            <v>Ahilya Petroleum</v>
          </cell>
          <cell r="E1927" t="str">
            <v>IOCL</v>
          </cell>
          <cell r="F1927" t="str">
            <v>2026-27</v>
          </cell>
          <cell r="G1927" t="str">
            <v>Pune Tathawade RSA</v>
          </cell>
          <cell r="H1927">
            <v>46172</v>
          </cell>
          <cell r="I1927" t="str">
            <v>SC</v>
          </cell>
          <cell r="J1927" t="str">
            <v>MORGAON-BARAMATI RD</v>
          </cell>
          <cell r="K1927" t="str">
            <v>Pune</v>
          </cell>
          <cell r="L1927" t="str">
            <v>D2</v>
          </cell>
          <cell r="O1927" t="str">
            <v>A</v>
          </cell>
        </row>
        <row r="1928">
          <cell r="C1928">
            <v>393129</v>
          </cell>
          <cell r="D1928" t="str">
            <v>VIJAYRAJ PETROLEUM</v>
          </cell>
          <cell r="E1928" t="str">
            <v>IOCL</v>
          </cell>
          <cell r="F1928" t="str">
            <v>2026-27</v>
          </cell>
          <cell r="G1928" t="str">
            <v>Pune Saswad RSA</v>
          </cell>
          <cell r="H1928">
            <v>46172</v>
          </cell>
          <cell r="I1928" t="str">
            <v>OPEN</v>
          </cell>
          <cell r="J1928" t="str">
            <v>KALAS INDAPUR</v>
          </cell>
          <cell r="K1928" t="str">
            <v>Pune</v>
          </cell>
          <cell r="L1928" t="str">
            <v>E</v>
          </cell>
          <cell r="O1928" t="str">
            <v>B</v>
          </cell>
        </row>
        <row r="1929">
          <cell r="C1929">
            <v>393128</v>
          </cell>
          <cell r="D1929" t="str">
            <v>KRISHNA PETROLEUM AND ENERGY HUB</v>
          </cell>
          <cell r="E1929" t="str">
            <v>IOCL</v>
          </cell>
          <cell r="F1929" t="str">
            <v>2026-27</v>
          </cell>
          <cell r="G1929" t="str">
            <v>Satara West RSA</v>
          </cell>
          <cell r="H1929">
            <v>46172</v>
          </cell>
          <cell r="I1929" t="str">
            <v>OPEN</v>
          </cell>
          <cell r="J1929" t="str">
            <v>Karad on NH48 RHS</v>
          </cell>
          <cell r="K1929" t="str">
            <v>Satara</v>
          </cell>
          <cell r="L1929" t="str">
            <v>D1</v>
          </cell>
          <cell r="M1929" t="str">
            <v>NH-48</v>
          </cell>
          <cell r="O1929" t="str">
            <v>B</v>
          </cell>
        </row>
        <row r="1930">
          <cell r="C1930">
            <v>29748</v>
          </cell>
          <cell r="D1930" t="str">
            <v>ESSAR Saradwadi</v>
          </cell>
          <cell r="E1930" t="str">
            <v>NEL</v>
          </cell>
          <cell r="G1930" t="str">
            <v>Pune Wagholi RSA</v>
          </cell>
          <cell r="J1930" t="str">
            <v>Ranjangaon to Shirur RHS</v>
          </cell>
          <cell r="K1930" t="str">
            <v>Pune</v>
          </cell>
          <cell r="L1930" t="str">
            <v>D1</v>
          </cell>
          <cell r="M1930" t="str">
            <v>NH-753F</v>
          </cell>
          <cell r="O1930" t="str">
            <v>B</v>
          </cell>
        </row>
        <row r="1931">
          <cell r="C1931">
            <v>29749</v>
          </cell>
          <cell r="D1931" t="str">
            <v>ESSAR Ghodegaon</v>
          </cell>
          <cell r="E1931" t="str">
            <v>NEL</v>
          </cell>
          <cell r="G1931" t="str">
            <v>Pune Wagholi RSA</v>
          </cell>
          <cell r="J1931" t="str">
            <v>Ghodegaon_Ambegaon</v>
          </cell>
          <cell r="K1931" t="str">
            <v>Pune</v>
          </cell>
          <cell r="L1931" t="str">
            <v>D2</v>
          </cell>
          <cell r="O1931" t="str">
            <v>B</v>
          </cell>
        </row>
        <row r="1932">
          <cell r="C1932">
            <v>30615</v>
          </cell>
          <cell r="D1932" t="str">
            <v>sai sidhi entps</v>
          </cell>
          <cell r="E1932" t="str">
            <v>NEL</v>
          </cell>
          <cell r="G1932" t="str">
            <v>Ahmednagar East RSA</v>
          </cell>
          <cell r="J1932" t="str">
            <v>Supe</v>
          </cell>
          <cell r="K1932" t="str">
            <v>Ahmednagar</v>
          </cell>
          <cell r="L1932" t="str">
            <v>D1</v>
          </cell>
          <cell r="M1932" t="str">
            <v>NH-753F</v>
          </cell>
          <cell r="O1932" t="str">
            <v>B</v>
          </cell>
        </row>
        <row r="1933">
          <cell r="C1933">
            <v>30616</v>
          </cell>
          <cell r="D1933" t="str">
            <v>VAISHNAVI SERVICE CENTER</v>
          </cell>
          <cell r="E1933" t="str">
            <v>NEL</v>
          </cell>
          <cell r="G1933" t="str">
            <v>Ahmednagar West RSA</v>
          </cell>
          <cell r="J1933" t="str">
            <v>KARJAT</v>
          </cell>
          <cell r="K1933" t="str">
            <v>Ahmednagar</v>
          </cell>
          <cell r="L1933" t="str">
            <v>D2</v>
          </cell>
          <cell r="O1933" t="str">
            <v>B</v>
          </cell>
        </row>
        <row r="1934">
          <cell r="C1934">
            <v>30617</v>
          </cell>
          <cell r="D1934" t="str">
            <v>sai deep entps</v>
          </cell>
          <cell r="E1934" t="str">
            <v>NEL</v>
          </cell>
          <cell r="G1934" t="str">
            <v>Ahmednagar East RSA</v>
          </cell>
          <cell r="J1934" t="str">
            <v>WAMBHORI PHATA ON NH160</v>
          </cell>
          <cell r="K1934" t="str">
            <v>Ahmednagar</v>
          </cell>
          <cell r="L1934" t="str">
            <v>D2</v>
          </cell>
          <cell r="O1934" t="str">
            <v>B</v>
          </cell>
        </row>
        <row r="1935">
          <cell r="C1935">
            <v>33310</v>
          </cell>
          <cell r="D1935" t="str">
            <v>Akshay Auto Services</v>
          </cell>
          <cell r="E1935" t="str">
            <v>NEL</v>
          </cell>
          <cell r="G1935" t="str">
            <v>Satara West RSA</v>
          </cell>
          <cell r="J1935" t="str">
            <v>Monopoly</v>
          </cell>
          <cell r="K1935" t="str">
            <v>Satara</v>
          </cell>
          <cell r="L1935" t="str">
            <v>E</v>
          </cell>
          <cell r="O1935" t="str">
            <v>B</v>
          </cell>
        </row>
        <row r="1936">
          <cell r="C1936">
            <v>33311</v>
          </cell>
          <cell r="D1936" t="str">
            <v>Balaji Petroleum-Satara</v>
          </cell>
          <cell r="E1936" t="str">
            <v>NEL</v>
          </cell>
          <cell r="G1936" t="str">
            <v>Satara East RSA</v>
          </cell>
          <cell r="J1936" t="str">
            <v>pusegaon phaltan road</v>
          </cell>
          <cell r="K1936" t="str">
            <v>Satara</v>
          </cell>
          <cell r="L1936" t="str">
            <v>D2</v>
          </cell>
          <cell r="O1936" t="str">
            <v>B</v>
          </cell>
        </row>
        <row r="1937">
          <cell r="C1937">
            <v>33312</v>
          </cell>
          <cell r="D1937" t="str">
            <v>Bhama Petroleum</v>
          </cell>
          <cell r="E1937" t="str">
            <v>NEL</v>
          </cell>
          <cell r="G1937" t="str">
            <v>Satara East RSA</v>
          </cell>
          <cell r="J1937" t="str">
            <v>Koregaon</v>
          </cell>
          <cell r="K1937" t="str">
            <v>Satara</v>
          </cell>
          <cell r="L1937" t="str">
            <v>D1</v>
          </cell>
          <cell r="M1937" t="str">
            <v>NH-548C</v>
          </cell>
          <cell r="O1937" t="str">
            <v>B</v>
          </cell>
        </row>
        <row r="1938">
          <cell r="C1938">
            <v>33313</v>
          </cell>
          <cell r="D1938" t="str">
            <v>High Mount Petrol Pump</v>
          </cell>
          <cell r="E1938" t="str">
            <v>NEL</v>
          </cell>
          <cell r="G1938" t="str">
            <v>Satara East RSA</v>
          </cell>
          <cell r="J1938" t="str">
            <v>Monopoly</v>
          </cell>
          <cell r="K1938" t="str">
            <v>Satara</v>
          </cell>
          <cell r="L1938" t="str">
            <v>D1</v>
          </cell>
          <cell r="M1938" t="str">
            <v>NH-48</v>
          </cell>
          <cell r="O1938" t="str">
            <v>B</v>
          </cell>
        </row>
        <row r="1939">
          <cell r="C1939">
            <v>33314</v>
          </cell>
          <cell r="D1939" t="str">
            <v>Nak Gasoline Corporation (Closed)</v>
          </cell>
          <cell r="E1939" t="str">
            <v>NEL</v>
          </cell>
          <cell r="G1939" t="str">
            <v>Satara East RSA</v>
          </cell>
          <cell r="J1939" t="str">
            <v>Phaltan Baramati Road</v>
          </cell>
          <cell r="K1939" t="str">
            <v>Satara</v>
          </cell>
          <cell r="L1939" t="str">
            <v>D2</v>
          </cell>
          <cell r="O1939" t="str">
            <v>B</v>
          </cell>
        </row>
        <row r="1940">
          <cell r="C1940">
            <v>33315</v>
          </cell>
          <cell r="D1940" t="str">
            <v>Shree Dattkrupa Petroleum</v>
          </cell>
          <cell r="E1940" t="str">
            <v>NEL</v>
          </cell>
          <cell r="G1940" t="str">
            <v>Satara West RSA</v>
          </cell>
          <cell r="J1940" t="str">
            <v>Karad Shenoli Road</v>
          </cell>
          <cell r="K1940" t="str">
            <v>Satara</v>
          </cell>
          <cell r="L1940" t="str">
            <v>D1</v>
          </cell>
          <cell r="M1940" t="str">
            <v>NH-266</v>
          </cell>
          <cell r="O1940" t="str">
            <v>B</v>
          </cell>
        </row>
        <row r="1941">
          <cell r="C1941">
            <v>33980</v>
          </cell>
          <cell r="D1941" t="str">
            <v>Keshar Auto Sales &amp; Services, Rahuri</v>
          </cell>
          <cell r="E1941" t="str">
            <v>NEL</v>
          </cell>
          <cell r="G1941" t="str">
            <v>Shirdi RSA</v>
          </cell>
          <cell r="J1941" t="str">
            <v>RAHURI NH</v>
          </cell>
          <cell r="K1941" t="str">
            <v>Ahmednagar</v>
          </cell>
          <cell r="L1941" t="str">
            <v>D1</v>
          </cell>
          <cell r="M1941" t="str">
            <v>NH-160</v>
          </cell>
          <cell r="O1941" t="str">
            <v>B</v>
          </cell>
        </row>
        <row r="1942">
          <cell r="C1942">
            <v>33982</v>
          </cell>
          <cell r="D1942" t="str">
            <v>K C Fulari &amp; Co., Savedi</v>
          </cell>
          <cell r="E1942" t="str">
            <v>NEL</v>
          </cell>
          <cell r="G1942" t="str">
            <v>Ahmednagar East RSA</v>
          </cell>
          <cell r="J1942" t="str">
            <v>Savedi</v>
          </cell>
          <cell r="K1942" t="str">
            <v>Ahmednagar</v>
          </cell>
          <cell r="L1942" t="str">
            <v>C</v>
          </cell>
          <cell r="O1942" t="str">
            <v>B</v>
          </cell>
        </row>
        <row r="1943">
          <cell r="C1943">
            <v>33983</v>
          </cell>
          <cell r="D1943" t="str">
            <v>Sai Samarth Petroleum, Shirdi</v>
          </cell>
          <cell r="E1943" t="str">
            <v>NEL</v>
          </cell>
          <cell r="G1943" t="str">
            <v>Shirdi RSA</v>
          </cell>
          <cell r="J1943" t="str">
            <v xml:space="preserve">SHIRDI </v>
          </cell>
          <cell r="K1943" t="str">
            <v>Ahmednagar</v>
          </cell>
          <cell r="L1943" t="str">
            <v>D1</v>
          </cell>
          <cell r="M1943" t="str">
            <v>NH-160</v>
          </cell>
          <cell r="O1943" t="str">
            <v>B</v>
          </cell>
        </row>
        <row r="1944">
          <cell r="C1944">
            <v>34290</v>
          </cell>
          <cell r="D1944" t="str">
            <v>SHANTANU PETROLEUM</v>
          </cell>
          <cell r="E1944" t="str">
            <v>NEL</v>
          </cell>
          <cell r="G1944" t="str">
            <v>Pune Saswad RSA</v>
          </cell>
          <cell r="J1944" t="str">
            <v>badalwadi</v>
          </cell>
          <cell r="K1944" t="str">
            <v>Pune</v>
          </cell>
          <cell r="L1944" t="str">
            <v>D1</v>
          </cell>
          <cell r="M1944" t="str">
            <v>NH-65</v>
          </cell>
          <cell r="O1944" t="str">
            <v>B</v>
          </cell>
        </row>
        <row r="1945">
          <cell r="C1945">
            <v>34291</v>
          </cell>
          <cell r="D1945" t="str">
            <v>SHIV MALHAR SERVICE STATION</v>
          </cell>
          <cell r="E1945" t="str">
            <v>NEL</v>
          </cell>
          <cell r="G1945" t="str">
            <v>Pune Saswad RSA</v>
          </cell>
          <cell r="J1945" t="str">
            <v>JEJURI</v>
          </cell>
          <cell r="K1945" t="str">
            <v>Pune</v>
          </cell>
          <cell r="L1945" t="str">
            <v>D1</v>
          </cell>
          <cell r="M1945" t="str">
            <v>NH-965</v>
          </cell>
          <cell r="O1945" t="str">
            <v>B</v>
          </cell>
        </row>
        <row r="1946">
          <cell r="C1946">
            <v>34293</v>
          </cell>
          <cell r="D1946" t="str">
            <v>TANVI PETROLEUM</v>
          </cell>
          <cell r="E1946" t="str">
            <v>NEL</v>
          </cell>
          <cell r="G1946" t="str">
            <v>Pune Hadapsar RSA</v>
          </cell>
          <cell r="J1946" t="str">
            <v>Daund-City</v>
          </cell>
          <cell r="K1946" t="str">
            <v>Pune</v>
          </cell>
          <cell r="L1946" t="str">
            <v>D2</v>
          </cell>
          <cell r="O1946" t="str">
            <v>B</v>
          </cell>
        </row>
        <row r="1947">
          <cell r="C1947">
            <v>34294</v>
          </cell>
          <cell r="D1947" t="str">
            <v>TIRUPATI PETROLEUM</v>
          </cell>
          <cell r="E1947" t="str">
            <v>NEL</v>
          </cell>
          <cell r="G1947" t="str">
            <v>Pune Hadapsar RSA</v>
          </cell>
          <cell r="J1947" t="str">
            <v>Pilanwadi</v>
          </cell>
          <cell r="K1947" t="str">
            <v>Pune</v>
          </cell>
          <cell r="L1947" t="str">
            <v>D2</v>
          </cell>
          <cell r="O1947" t="str">
            <v>B</v>
          </cell>
        </row>
        <row r="1948">
          <cell r="C1948">
            <v>34295</v>
          </cell>
          <cell r="D1948" t="str">
            <v>Wanwe Petroleum</v>
          </cell>
          <cell r="E1948" t="str">
            <v>NEL</v>
          </cell>
          <cell r="G1948" t="str">
            <v>Pune Saswad RSA</v>
          </cell>
          <cell r="J1948" t="str">
            <v>Ravangaon LHS</v>
          </cell>
          <cell r="K1948" t="str">
            <v>Pune</v>
          </cell>
          <cell r="L1948" t="str">
            <v>D1</v>
          </cell>
          <cell r="M1948" t="str">
            <v>NH-65</v>
          </cell>
          <cell r="O1948" t="str">
            <v>B</v>
          </cell>
        </row>
        <row r="1949">
          <cell r="C1949">
            <v>34298</v>
          </cell>
          <cell r="D1949" t="str">
            <v>Shree Indu Petroleum</v>
          </cell>
          <cell r="E1949" t="str">
            <v>NEL</v>
          </cell>
          <cell r="G1949" t="str">
            <v>Pune Tathawade RSA</v>
          </cell>
          <cell r="J1949" t="str">
            <v>BARAMATI PATAS ROAD</v>
          </cell>
          <cell r="K1949" t="str">
            <v>Pune</v>
          </cell>
          <cell r="L1949" t="str">
            <v>D1</v>
          </cell>
          <cell r="M1949" t="str">
            <v>NH-160</v>
          </cell>
          <cell r="O1949" t="str">
            <v>B</v>
          </cell>
        </row>
        <row r="1950">
          <cell r="C1950">
            <v>34301</v>
          </cell>
          <cell r="D1950" t="str">
            <v>EOL PANDURANG PETROL PUMP ALANDI</v>
          </cell>
          <cell r="E1950" t="str">
            <v>NEL</v>
          </cell>
          <cell r="G1950" t="str">
            <v>Pimpri Chinchwad RSA</v>
          </cell>
          <cell r="J1950" t="str">
            <v>ALANDI RURAL</v>
          </cell>
          <cell r="K1950" t="str">
            <v>Pune</v>
          </cell>
          <cell r="L1950" t="str">
            <v>E</v>
          </cell>
          <cell r="O1950" t="str">
            <v>B</v>
          </cell>
        </row>
        <row r="1951">
          <cell r="C1951">
            <v>34302</v>
          </cell>
          <cell r="D1951" t="str">
            <v>EOL KAMDHENU PETROLUM CHINCHWAD</v>
          </cell>
          <cell r="E1951" t="str">
            <v>NEL</v>
          </cell>
          <cell r="G1951" t="str">
            <v>Pimpri Chinchwad RSA</v>
          </cell>
          <cell r="J1951" t="str">
            <v>Chinchwad</v>
          </cell>
          <cell r="K1951" t="str">
            <v>Pune</v>
          </cell>
          <cell r="L1951" t="str">
            <v>A</v>
          </cell>
          <cell r="O1951" t="str">
            <v>B</v>
          </cell>
        </row>
        <row r="1952">
          <cell r="C1952">
            <v>34306</v>
          </cell>
          <cell r="D1952" t="str">
            <v>More Motels Pvt Ltd</v>
          </cell>
          <cell r="E1952" t="str">
            <v>NEL</v>
          </cell>
          <cell r="G1952" t="str">
            <v>Pune City RSA</v>
          </cell>
          <cell r="J1952" t="str">
            <v>SINGHAD ROAD/NAVIPETH</v>
          </cell>
          <cell r="K1952" t="str">
            <v>Pune</v>
          </cell>
          <cell r="L1952" t="str">
            <v>A</v>
          </cell>
          <cell r="O1952" t="str">
            <v>B</v>
          </cell>
        </row>
        <row r="1953">
          <cell r="C1953">
            <v>34310</v>
          </cell>
          <cell r="D1953" t="str">
            <v>Essar Karandi</v>
          </cell>
          <cell r="E1953" t="str">
            <v>NEL</v>
          </cell>
          <cell r="G1953" t="str">
            <v>Pimpri Chinchwad RSA</v>
          </cell>
          <cell r="J1953" t="str">
            <v xml:space="preserve">Sablewadi to shikhrapur </v>
          </cell>
          <cell r="K1953" t="str">
            <v>Pune</v>
          </cell>
          <cell r="L1953" t="str">
            <v>D1</v>
          </cell>
          <cell r="M1953" t="str">
            <v>NH-548D</v>
          </cell>
          <cell r="O1953" t="str">
            <v>B</v>
          </cell>
        </row>
        <row r="1954">
          <cell r="C1954">
            <v>34314</v>
          </cell>
          <cell r="D1954" t="str">
            <v>OM SERVICES</v>
          </cell>
          <cell r="E1954" t="str">
            <v>NEL</v>
          </cell>
          <cell r="G1954" t="str">
            <v>Ahmednagar West RSA</v>
          </cell>
          <cell r="J1954" t="str">
            <v>Bhalawani</v>
          </cell>
          <cell r="K1954" t="str">
            <v>Ahmednagar</v>
          </cell>
          <cell r="L1954" t="str">
            <v>D1</v>
          </cell>
          <cell r="M1954" t="str">
            <v>NH-61</v>
          </cell>
          <cell r="O1954" t="str">
            <v>B</v>
          </cell>
        </row>
        <row r="1955">
          <cell r="C1955">
            <v>34315</v>
          </cell>
          <cell r="D1955" t="str">
            <v>lotus petroleum</v>
          </cell>
          <cell r="E1955" t="str">
            <v>NEL</v>
          </cell>
          <cell r="G1955" t="str">
            <v>Ahmednagar East RSA</v>
          </cell>
          <cell r="J1955" t="str">
            <v>Dhangarwadi</v>
          </cell>
          <cell r="K1955" t="str">
            <v>Ahmednagar</v>
          </cell>
          <cell r="L1955" t="str">
            <v>D1</v>
          </cell>
          <cell r="M1955" t="str">
            <v>NH-753F</v>
          </cell>
          <cell r="O1955" t="str">
            <v>B</v>
          </cell>
        </row>
        <row r="1956">
          <cell r="C1956">
            <v>34316</v>
          </cell>
          <cell r="D1956" t="str">
            <v>SHREE SAI SAMARTH PETROLEUM</v>
          </cell>
          <cell r="E1956" t="str">
            <v>NEL</v>
          </cell>
          <cell r="G1956" t="str">
            <v>Ahmednagar West RSA</v>
          </cell>
          <cell r="J1956" t="str">
            <v>Sakur</v>
          </cell>
          <cell r="K1956" t="str">
            <v>Ahmednagar</v>
          </cell>
          <cell r="L1956" t="str">
            <v>D2</v>
          </cell>
          <cell r="O1956" t="str">
            <v>B</v>
          </cell>
        </row>
        <row r="1957">
          <cell r="C1957">
            <v>34318</v>
          </cell>
          <cell r="D1957" t="str">
            <v>GULABCHAND BHIKCHAND &amp; CO.</v>
          </cell>
          <cell r="E1957" t="str">
            <v>NEL</v>
          </cell>
          <cell r="G1957" t="str">
            <v>Ahmednagar West RSA</v>
          </cell>
          <cell r="J1957" t="str">
            <v>JAMKHED-MOHA RD</v>
          </cell>
          <cell r="K1957" t="str">
            <v>Ahmednagar</v>
          </cell>
          <cell r="L1957" t="str">
            <v>D1</v>
          </cell>
          <cell r="M1957" t="str">
            <v>NH-548D</v>
          </cell>
          <cell r="O1957" t="str">
            <v>B</v>
          </cell>
        </row>
        <row r="1958">
          <cell r="C1958">
            <v>34320</v>
          </cell>
          <cell r="D1958" t="str">
            <v>bhagwant petroleum</v>
          </cell>
          <cell r="E1958" t="str">
            <v>NEL</v>
          </cell>
          <cell r="G1958" t="str">
            <v>Ahmednagar East RSA</v>
          </cell>
          <cell r="J1958" t="str">
            <v>Shendi</v>
          </cell>
          <cell r="K1958" t="str">
            <v>Ahmednagar</v>
          </cell>
          <cell r="L1958" t="str">
            <v>D1</v>
          </cell>
          <cell r="M1958" t="str">
            <v>NH-753F</v>
          </cell>
          <cell r="O1958" t="str">
            <v>B</v>
          </cell>
        </row>
        <row r="1959">
          <cell r="C1959">
            <v>34321</v>
          </cell>
          <cell r="D1959" t="str">
            <v>SHIV PRASAD SERVICE STAION</v>
          </cell>
          <cell r="E1959" t="str">
            <v>NEL</v>
          </cell>
          <cell r="G1959" t="str">
            <v>Ahmednagar West RSA</v>
          </cell>
          <cell r="J1959" t="str">
            <v>ARANGAON</v>
          </cell>
          <cell r="K1959" t="str">
            <v>Ahmednagar</v>
          </cell>
          <cell r="L1959" t="str">
            <v>D1</v>
          </cell>
          <cell r="M1959" t="str">
            <v>NH-160</v>
          </cell>
          <cell r="O1959" t="str">
            <v>B</v>
          </cell>
        </row>
        <row r="1960">
          <cell r="C1960">
            <v>35251</v>
          </cell>
          <cell r="D1960" t="str">
            <v>MAHATMA PHULE SERVICE STAT0N</v>
          </cell>
          <cell r="E1960" t="str">
            <v>NEL</v>
          </cell>
          <cell r="G1960" t="str">
            <v>Ahmednagar East RSA</v>
          </cell>
          <cell r="J1960" t="str">
            <v>Shevgaon</v>
          </cell>
          <cell r="K1960" t="str">
            <v>Ahmednagar</v>
          </cell>
          <cell r="L1960" t="str">
            <v>D2</v>
          </cell>
          <cell r="O1960" t="str">
            <v>B</v>
          </cell>
        </row>
        <row r="1961">
          <cell r="C1961">
            <v>35260</v>
          </cell>
          <cell r="D1961" t="str">
            <v>Shri Tarkeshwar Petroleum</v>
          </cell>
          <cell r="E1961" t="str">
            <v>NEL</v>
          </cell>
          <cell r="G1961" t="str">
            <v>Satara West RSA</v>
          </cell>
          <cell r="J1961" t="str">
            <v>TARALE</v>
          </cell>
          <cell r="K1961" t="str">
            <v>Satara</v>
          </cell>
          <cell r="L1961" t="str">
            <v>E</v>
          </cell>
          <cell r="O1961" t="str">
            <v>B</v>
          </cell>
        </row>
        <row r="1962">
          <cell r="C1962">
            <v>35350</v>
          </cell>
          <cell r="D1962" t="str">
            <v>renuka  services</v>
          </cell>
          <cell r="E1962" t="str">
            <v>NEL</v>
          </cell>
          <cell r="G1962" t="str">
            <v>Ahmednagar East RSA</v>
          </cell>
          <cell r="J1962" t="str">
            <v>Handinimgaon</v>
          </cell>
          <cell r="K1962" t="str">
            <v>Ahmednagar</v>
          </cell>
          <cell r="L1962" t="str">
            <v>D1</v>
          </cell>
          <cell r="M1962" t="str">
            <v>NH-753F</v>
          </cell>
          <cell r="O1962" t="str">
            <v>B</v>
          </cell>
        </row>
        <row r="1963">
          <cell r="C1963">
            <v>35357</v>
          </cell>
          <cell r="D1963" t="str">
            <v>C.T. PETROLEUM</v>
          </cell>
          <cell r="E1963" t="str">
            <v>NEL</v>
          </cell>
          <cell r="G1963" t="str">
            <v>Ahmednagar West RSA</v>
          </cell>
          <cell r="J1963" t="str">
            <v>SHRIGONDA-SH</v>
          </cell>
          <cell r="K1963" t="str">
            <v>Ahmednagar</v>
          </cell>
          <cell r="L1963" t="str">
            <v>D2</v>
          </cell>
          <cell r="O1963" t="str">
            <v>B</v>
          </cell>
        </row>
        <row r="1964">
          <cell r="C1964">
            <v>35505</v>
          </cell>
          <cell r="D1964" t="str">
            <v>SANDEEP SERVICE STATION</v>
          </cell>
          <cell r="E1964" t="str">
            <v>NEL</v>
          </cell>
          <cell r="G1964" t="str">
            <v>Ahmednagar West RSA</v>
          </cell>
          <cell r="J1964" t="str">
            <v>Nighoj</v>
          </cell>
          <cell r="K1964" t="str">
            <v>Ahmednagar</v>
          </cell>
          <cell r="L1964" t="str">
            <v>D1</v>
          </cell>
          <cell r="M1964" t="str">
            <v>NH-761</v>
          </cell>
          <cell r="O1964" t="str">
            <v>B</v>
          </cell>
        </row>
        <row r="1965">
          <cell r="C1965">
            <v>35911</v>
          </cell>
          <cell r="D1965" t="str">
            <v>Essar Ojhar</v>
          </cell>
          <cell r="E1965" t="str">
            <v>NEL</v>
          </cell>
          <cell r="G1965" t="str">
            <v>Pune Wagholi RSA</v>
          </cell>
          <cell r="J1965" t="str">
            <v>Narayangaon Ozar Road</v>
          </cell>
          <cell r="K1965" t="str">
            <v>Pune</v>
          </cell>
          <cell r="L1965" t="str">
            <v>D2</v>
          </cell>
          <cell r="O1965" t="str">
            <v>B</v>
          </cell>
        </row>
        <row r="1966">
          <cell r="C1966">
            <v>35921</v>
          </cell>
          <cell r="D1966" t="str">
            <v>Essar Kandali</v>
          </cell>
          <cell r="E1966" t="str">
            <v>NEL</v>
          </cell>
          <cell r="G1966" t="str">
            <v>Pimpri Chinchwad RSA</v>
          </cell>
          <cell r="J1966" t="str">
            <v xml:space="preserve">Sablewadi to shikhrapur </v>
          </cell>
          <cell r="K1966" t="str">
            <v>Pune</v>
          </cell>
          <cell r="L1966" t="str">
            <v>D1</v>
          </cell>
          <cell r="M1966" t="str">
            <v>NH-548D</v>
          </cell>
          <cell r="O1966" t="str">
            <v>B</v>
          </cell>
        </row>
        <row r="1967">
          <cell r="C1967">
            <v>37275</v>
          </cell>
          <cell r="D1967" t="str">
            <v>S D PETROLEUM RASE</v>
          </cell>
          <cell r="E1967" t="str">
            <v>NEL</v>
          </cell>
          <cell r="G1967" t="str">
            <v>Pimpri Chinchwad RSA</v>
          </cell>
          <cell r="J1967" t="str">
            <v>Chakan Bhose</v>
          </cell>
          <cell r="K1967" t="str">
            <v>Pune</v>
          </cell>
          <cell r="L1967" t="str">
            <v>D1</v>
          </cell>
          <cell r="M1967" t="str">
            <v>NH-548D</v>
          </cell>
          <cell r="O1967" t="str">
            <v>B</v>
          </cell>
        </row>
        <row r="1968">
          <cell r="C1968">
            <v>37276</v>
          </cell>
          <cell r="D1968" t="str">
            <v>Siddhivinayak Petroleum, Savardari</v>
          </cell>
          <cell r="E1968" t="str">
            <v>NEL</v>
          </cell>
          <cell r="G1968" t="str">
            <v>Pimpri Chinchwad RSA</v>
          </cell>
          <cell r="J1968" t="str">
            <v>Chakan MIDC</v>
          </cell>
          <cell r="K1968" t="str">
            <v>Pune</v>
          </cell>
          <cell r="L1968" t="str">
            <v>C</v>
          </cell>
          <cell r="O1968" t="str">
            <v>B</v>
          </cell>
        </row>
        <row r="1969">
          <cell r="C1969">
            <v>37277</v>
          </cell>
          <cell r="D1969" t="str">
            <v>Kaveri Petrol Depot, Kharabwadi</v>
          </cell>
          <cell r="E1969" t="str">
            <v>NEL</v>
          </cell>
          <cell r="G1969" t="str">
            <v>Pimpri Chinchwad RSA</v>
          </cell>
          <cell r="J1969" t="str">
            <v>Chakan MIDC</v>
          </cell>
          <cell r="K1969" t="str">
            <v>Pune</v>
          </cell>
          <cell r="L1969" t="str">
            <v>C</v>
          </cell>
          <cell r="O1969" t="str">
            <v>B</v>
          </cell>
        </row>
        <row r="1970">
          <cell r="C1970">
            <v>37278</v>
          </cell>
          <cell r="D1970" t="str">
            <v>Gawade Petroleum, Chakan</v>
          </cell>
          <cell r="E1970" t="str">
            <v>NEL</v>
          </cell>
          <cell r="G1970" t="str">
            <v>Pimpri Chinchwad RSA</v>
          </cell>
          <cell r="J1970" t="str">
            <v>Chakan MIDC</v>
          </cell>
          <cell r="K1970" t="str">
            <v>Pune</v>
          </cell>
          <cell r="L1970" t="str">
            <v>C</v>
          </cell>
          <cell r="O1970" t="str">
            <v>B</v>
          </cell>
        </row>
        <row r="1971">
          <cell r="C1971">
            <v>37279</v>
          </cell>
          <cell r="D1971" t="str">
            <v>Navvakar Petrol Pumps, Chikhli</v>
          </cell>
          <cell r="E1971" t="str">
            <v>NEL</v>
          </cell>
          <cell r="G1971" t="str">
            <v>Pimpri Chinchwad RSA</v>
          </cell>
          <cell r="J1971" t="str">
            <v>Moshi</v>
          </cell>
          <cell r="K1971" t="str">
            <v>Pune</v>
          </cell>
          <cell r="L1971" t="str">
            <v>A</v>
          </cell>
          <cell r="O1971" t="str">
            <v>B</v>
          </cell>
        </row>
        <row r="1972">
          <cell r="C1972">
            <v>37705</v>
          </cell>
          <cell r="D1972" t="str">
            <v>K P Sales</v>
          </cell>
          <cell r="E1972" t="str">
            <v>NEL</v>
          </cell>
          <cell r="G1972" t="str">
            <v>Satara West RSA</v>
          </cell>
          <cell r="J1972" t="str">
            <v>Karad Oglewadi Road</v>
          </cell>
          <cell r="K1972" t="str">
            <v>Satara</v>
          </cell>
          <cell r="L1972" t="str">
            <v>D1</v>
          </cell>
          <cell r="M1972" t="str">
            <v>NH-166E</v>
          </cell>
          <cell r="O1972" t="str">
            <v>B</v>
          </cell>
        </row>
        <row r="1973">
          <cell r="C1973">
            <v>37720</v>
          </cell>
          <cell r="D1973" t="str">
            <v>JAI MALHAR PETROL PUMP</v>
          </cell>
          <cell r="E1973" t="str">
            <v>NEL</v>
          </cell>
          <cell r="G1973" t="str">
            <v>Ahmednagar West RSA</v>
          </cell>
          <cell r="J1973" t="str">
            <v>Walki</v>
          </cell>
          <cell r="K1973" t="str">
            <v>Ahmednagar</v>
          </cell>
          <cell r="L1973" t="str">
            <v>E</v>
          </cell>
          <cell r="O1973" t="str">
            <v>B</v>
          </cell>
        </row>
        <row r="1974">
          <cell r="C1974">
            <v>37721</v>
          </cell>
          <cell r="D1974" t="str">
            <v>VAISHNAVI PETROLEUM</v>
          </cell>
          <cell r="E1974" t="str">
            <v>NEL</v>
          </cell>
          <cell r="G1974" t="str">
            <v>Ahmednagar West RSA</v>
          </cell>
          <cell r="J1974" t="str">
            <v>Karjat</v>
          </cell>
          <cell r="K1974" t="str">
            <v>Ahmednagar</v>
          </cell>
          <cell r="L1974" t="str">
            <v>D2</v>
          </cell>
          <cell r="O1974" t="str">
            <v>B</v>
          </cell>
        </row>
        <row r="1975">
          <cell r="C1975">
            <v>38445</v>
          </cell>
          <cell r="D1975" t="str">
            <v>SWAGAT PETROLEUM</v>
          </cell>
          <cell r="E1975" t="str">
            <v>NEL</v>
          </cell>
          <cell r="G1975" t="str">
            <v>Ahmednagar West RSA</v>
          </cell>
          <cell r="J1975" t="str">
            <v>TAKLI KAZI</v>
          </cell>
          <cell r="K1975" t="str">
            <v>Ahmednagar</v>
          </cell>
          <cell r="L1975" t="str">
            <v>D1</v>
          </cell>
          <cell r="M1975" t="str">
            <v>NH-561</v>
          </cell>
          <cell r="O1975" t="str">
            <v>B</v>
          </cell>
        </row>
        <row r="1976">
          <cell r="C1976">
            <v>38446</v>
          </cell>
          <cell r="D1976" t="str">
            <v>TRIMURTI PETROLEUM</v>
          </cell>
          <cell r="E1976" t="str">
            <v>NEL</v>
          </cell>
          <cell r="G1976" t="str">
            <v>Ahmednagar West RSA</v>
          </cell>
          <cell r="J1976" t="str">
            <v>Kuldharan</v>
          </cell>
          <cell r="K1976" t="str">
            <v>Ahmednagar</v>
          </cell>
          <cell r="L1976" t="str">
            <v>D2</v>
          </cell>
          <cell r="O1976" t="str">
            <v>B</v>
          </cell>
        </row>
        <row r="1977">
          <cell r="C1977">
            <v>38447</v>
          </cell>
          <cell r="D1977" t="str">
            <v>Vaishnavi Service Center</v>
          </cell>
          <cell r="E1977" t="str">
            <v>NEL</v>
          </cell>
          <cell r="G1977" t="str">
            <v>Ahmednagar West RSA</v>
          </cell>
          <cell r="J1977" t="str">
            <v>ambijalgaon</v>
          </cell>
          <cell r="K1977" t="str">
            <v>Ahmednagar</v>
          </cell>
          <cell r="L1977" t="str">
            <v>E</v>
          </cell>
          <cell r="O1977" t="str">
            <v>B</v>
          </cell>
        </row>
        <row r="1978">
          <cell r="C1978">
            <v>38448</v>
          </cell>
          <cell r="D1978" t="str">
            <v>TAPAL PETROLEUM, Dhandarfal</v>
          </cell>
          <cell r="E1978" t="str">
            <v>NEL</v>
          </cell>
          <cell r="G1978" t="str">
            <v>Shirdi RSA</v>
          </cell>
          <cell r="J1978" t="str">
            <v>KALAS AKOLE</v>
          </cell>
          <cell r="K1978" t="str">
            <v>Ahmednagar</v>
          </cell>
          <cell r="L1978" t="str">
            <v>D2</v>
          </cell>
          <cell r="O1978" t="str">
            <v>B</v>
          </cell>
        </row>
        <row r="1979">
          <cell r="C1979">
            <v>38639</v>
          </cell>
          <cell r="D1979" t="str">
            <v>JAKATE PETROLEUM</v>
          </cell>
          <cell r="E1979" t="str">
            <v>NEL</v>
          </cell>
          <cell r="G1979" t="str">
            <v>Ahmednagar West RSA</v>
          </cell>
          <cell r="J1979" t="str">
            <v>SHRIGONDA-NH</v>
          </cell>
          <cell r="K1979" t="str">
            <v>Ahmednagar</v>
          </cell>
          <cell r="L1979" t="str">
            <v>D1</v>
          </cell>
          <cell r="M1979" t="str">
            <v>NH-548D</v>
          </cell>
          <cell r="O1979" t="str">
            <v>B</v>
          </cell>
        </row>
        <row r="1980">
          <cell r="C1980">
            <v>38747</v>
          </cell>
          <cell r="D1980" t="str">
            <v>Maa Santoshi Enterprises</v>
          </cell>
          <cell r="E1980" t="str">
            <v>NEL</v>
          </cell>
          <cell r="G1980" t="str">
            <v>Pune City RSA</v>
          </cell>
          <cell r="J1980" t="str">
            <v>Pimple Saudagar</v>
          </cell>
          <cell r="K1980" t="str">
            <v>Pune</v>
          </cell>
          <cell r="L1980" t="str">
            <v>A</v>
          </cell>
          <cell r="O1980" t="str">
            <v>B</v>
          </cell>
        </row>
        <row r="1981">
          <cell r="C1981">
            <v>51811034</v>
          </cell>
          <cell r="D1981" t="str">
            <v>Nayara - Bunkarphata</v>
          </cell>
          <cell r="E1981" t="str">
            <v>NEL</v>
          </cell>
          <cell r="G1981" t="str">
            <v>Pune Wagholi RSA</v>
          </cell>
          <cell r="J1981" t="str">
            <v>OZAR</v>
          </cell>
          <cell r="K1981" t="str">
            <v>Pune</v>
          </cell>
          <cell r="L1981" t="str">
            <v>E</v>
          </cell>
          <cell r="O1981" t="str">
            <v>B</v>
          </cell>
        </row>
        <row r="1982">
          <cell r="C1982">
            <v>51811035</v>
          </cell>
          <cell r="D1982" t="str">
            <v>Nayara-Pargaon</v>
          </cell>
          <cell r="E1982" t="str">
            <v>NEL</v>
          </cell>
          <cell r="G1982" t="str">
            <v>Pune Wagholi RSA</v>
          </cell>
          <cell r="J1982" t="str">
            <v>Pimpalgaon Tarfe</v>
          </cell>
          <cell r="K1982" t="str">
            <v>Pune</v>
          </cell>
          <cell r="L1982" t="str">
            <v>E</v>
          </cell>
          <cell r="O1982" t="str">
            <v>B</v>
          </cell>
        </row>
        <row r="1983">
          <cell r="C1983">
            <v>51811037</v>
          </cell>
          <cell r="D1983" t="str">
            <v>GORAKSHNATH PETROLEUM</v>
          </cell>
          <cell r="E1983" t="str">
            <v>NEL</v>
          </cell>
          <cell r="G1983" t="str">
            <v>Ahmednagar West RSA</v>
          </cell>
          <cell r="J1983" t="str">
            <v>Rashin</v>
          </cell>
          <cell r="K1983" t="str">
            <v>Ahmednagar</v>
          </cell>
          <cell r="L1983" t="str">
            <v>D2</v>
          </cell>
          <cell r="O1983" t="str">
            <v>B</v>
          </cell>
        </row>
        <row r="1984">
          <cell r="C1984">
            <v>51811038</v>
          </cell>
          <cell r="D1984" t="str">
            <v>KOLHE PETROLEUM</v>
          </cell>
          <cell r="E1984" t="str">
            <v>NEL</v>
          </cell>
          <cell r="G1984" t="str">
            <v>Ahmednagar West RSA</v>
          </cell>
          <cell r="J1984" t="str">
            <v>JAMKHED-KHARDA RD</v>
          </cell>
          <cell r="K1984" t="str">
            <v>Ahmednagar</v>
          </cell>
          <cell r="L1984" t="str">
            <v>D2</v>
          </cell>
          <cell r="O1984" t="str">
            <v>B</v>
          </cell>
        </row>
        <row r="1985">
          <cell r="C1985">
            <v>51811039</v>
          </cell>
          <cell r="D1985" t="str">
            <v>ARYAN PETROLEUM</v>
          </cell>
          <cell r="E1985" t="str">
            <v>NEL</v>
          </cell>
          <cell r="G1985" t="str">
            <v>Ahmednagar West RSA</v>
          </cell>
          <cell r="J1985" t="str">
            <v>JAMKHED-NANNAJ RD</v>
          </cell>
          <cell r="K1985" t="str">
            <v>Ahmednagar</v>
          </cell>
          <cell r="L1985" t="str">
            <v>D2</v>
          </cell>
          <cell r="O1985" t="str">
            <v>B</v>
          </cell>
        </row>
        <row r="1986">
          <cell r="C1986">
            <v>51815794</v>
          </cell>
          <cell r="D1986" t="str">
            <v>NEL Pune 1</v>
          </cell>
          <cell r="E1986" t="str">
            <v>NEL</v>
          </cell>
          <cell r="G1986" t="str">
            <v>Pune Tathawade RSA</v>
          </cell>
          <cell r="J1986" t="str">
            <v>VADGAON TO TALEGAON DHABADE</v>
          </cell>
          <cell r="K1986" t="str">
            <v>Pune</v>
          </cell>
          <cell r="L1986" t="str">
            <v>C</v>
          </cell>
          <cell r="O1986" t="str">
            <v>B</v>
          </cell>
        </row>
        <row r="1987">
          <cell r="C1987">
            <v>51815795</v>
          </cell>
          <cell r="D1987" t="str">
            <v>NEL Pune 2</v>
          </cell>
          <cell r="E1987" t="str">
            <v>NEL</v>
          </cell>
          <cell r="G1987" t="str">
            <v>Pimpri Chinchwad RSA</v>
          </cell>
          <cell r="J1987" t="str">
            <v>Urse</v>
          </cell>
          <cell r="K1987" t="str">
            <v>Pune</v>
          </cell>
          <cell r="L1987" t="str">
            <v>E</v>
          </cell>
          <cell r="O1987" t="str">
            <v>B</v>
          </cell>
        </row>
        <row r="1988">
          <cell r="C1988">
            <v>51815796</v>
          </cell>
          <cell r="D1988" t="str">
            <v>NEL Pune 3</v>
          </cell>
          <cell r="E1988" t="str">
            <v>NEL</v>
          </cell>
          <cell r="G1988" t="str">
            <v>Pimpri Chinchwad RSA</v>
          </cell>
          <cell r="J1988" t="str">
            <v>Dawadmala</v>
          </cell>
          <cell r="K1988" t="str">
            <v>Pune</v>
          </cell>
          <cell r="L1988" t="str">
            <v>C</v>
          </cell>
          <cell r="O1988" t="str">
            <v>B</v>
          </cell>
        </row>
        <row r="1989">
          <cell r="C1989">
            <v>51815797</v>
          </cell>
          <cell r="D1989" t="str">
            <v>NEL Pune 4</v>
          </cell>
          <cell r="E1989" t="str">
            <v>NEL</v>
          </cell>
          <cell r="G1989" t="str">
            <v>Pimpri Chinchwad RSA</v>
          </cell>
          <cell r="J1989" t="str">
            <v>Dehu Road</v>
          </cell>
          <cell r="K1989" t="str">
            <v>Pune</v>
          </cell>
          <cell r="L1989" t="str">
            <v>C</v>
          </cell>
          <cell r="O1989" t="str">
            <v>B</v>
          </cell>
        </row>
        <row r="1990">
          <cell r="C1990">
            <v>51815798</v>
          </cell>
          <cell r="D1990" t="str">
            <v>NEL Pune 5</v>
          </cell>
          <cell r="E1990" t="str">
            <v>NEL</v>
          </cell>
          <cell r="G1990" t="str">
            <v>Pimpri Chinchwad RSA</v>
          </cell>
          <cell r="J1990" t="str">
            <v>Dehu Road</v>
          </cell>
          <cell r="K1990" t="str">
            <v>Pune</v>
          </cell>
          <cell r="L1990" t="str">
            <v>D1</v>
          </cell>
          <cell r="M1990" t="str">
            <v>NH-548D</v>
          </cell>
          <cell r="O1990" t="str">
            <v>B</v>
          </cell>
        </row>
        <row r="1991">
          <cell r="C1991">
            <v>51815799</v>
          </cell>
          <cell r="D1991" t="str">
            <v>NEL Pune 6</v>
          </cell>
          <cell r="E1991" t="str">
            <v>NEL</v>
          </cell>
          <cell r="G1991" t="str">
            <v>Pimpri Chinchwad RSA</v>
          </cell>
          <cell r="J1991" t="str">
            <v>Chowisawadi</v>
          </cell>
          <cell r="K1991" t="str">
            <v>Pune</v>
          </cell>
          <cell r="L1991" t="str">
            <v>A</v>
          </cell>
          <cell r="O1991" t="str">
            <v>B</v>
          </cell>
        </row>
        <row r="1992">
          <cell r="C1992">
            <v>51815800</v>
          </cell>
          <cell r="D1992" t="str">
            <v>NEL Pune 7</v>
          </cell>
          <cell r="E1992" t="str">
            <v>NEL</v>
          </cell>
          <cell r="G1992" t="str">
            <v>Pimpri Chinchwad RSA</v>
          </cell>
          <cell r="J1992" t="str">
            <v>Dapodi</v>
          </cell>
          <cell r="K1992" t="str">
            <v>Pune</v>
          </cell>
          <cell r="L1992" t="str">
            <v>A</v>
          </cell>
          <cell r="M1992" t="str">
            <v>NH-965</v>
          </cell>
          <cell r="O1992" t="str">
            <v>A</v>
          </cell>
        </row>
        <row r="1993">
          <cell r="C1993">
            <v>51815801</v>
          </cell>
          <cell r="D1993" t="str">
            <v>NEL Pune 8</v>
          </cell>
          <cell r="E1993" t="str">
            <v>NEL</v>
          </cell>
          <cell r="G1993" t="str">
            <v>Pimpri Chinchwad RSA</v>
          </cell>
          <cell r="J1993" t="str">
            <v>CHIKHLI</v>
          </cell>
          <cell r="K1993" t="str">
            <v>Pune</v>
          </cell>
          <cell r="L1993" t="str">
            <v>A</v>
          </cell>
          <cell r="O1993" t="str">
            <v>B</v>
          </cell>
        </row>
        <row r="1994">
          <cell r="C1994">
            <v>51815803</v>
          </cell>
          <cell r="D1994" t="str">
            <v>NEL Pune 9</v>
          </cell>
          <cell r="E1994" t="str">
            <v>NEL</v>
          </cell>
          <cell r="G1994" t="str">
            <v>Pimpri Chinchwad RSA</v>
          </cell>
          <cell r="J1994" t="str">
            <v>Dawadmala</v>
          </cell>
          <cell r="K1994" t="str">
            <v>Pune</v>
          </cell>
          <cell r="L1994" t="str">
            <v>C</v>
          </cell>
          <cell r="O1994" t="str">
            <v>B</v>
          </cell>
        </row>
        <row r="1995">
          <cell r="C1995">
            <v>51815804</v>
          </cell>
          <cell r="D1995" t="str">
            <v>NEL Pune 10</v>
          </cell>
          <cell r="E1995" t="str">
            <v>NEL</v>
          </cell>
          <cell r="G1995" t="str">
            <v>Pimpri Chinchwad RSA</v>
          </cell>
          <cell r="J1995" t="str">
            <v>Chinchwad</v>
          </cell>
          <cell r="K1995" t="str">
            <v>Pune</v>
          </cell>
          <cell r="L1995" t="str">
            <v>A</v>
          </cell>
          <cell r="M1995" t="str">
            <v>NH-965</v>
          </cell>
          <cell r="O1995" t="str">
            <v>B</v>
          </cell>
        </row>
        <row r="1996">
          <cell r="C1996">
            <v>51815806</v>
          </cell>
          <cell r="D1996" t="str">
            <v>NEL Satara 1</v>
          </cell>
          <cell r="E1996" t="str">
            <v>NEL</v>
          </cell>
          <cell r="G1996" t="str">
            <v>Satara East RSA</v>
          </cell>
          <cell r="J1996" t="str">
            <v>VIKHALE</v>
          </cell>
          <cell r="K1996" t="str">
            <v>Satara</v>
          </cell>
          <cell r="L1996" t="str">
            <v>D2</v>
          </cell>
          <cell r="O1996" t="str">
            <v>A</v>
          </cell>
        </row>
        <row r="1997">
          <cell r="C1997">
            <v>51815807</v>
          </cell>
          <cell r="D1997" t="str">
            <v>NEL Satara 2</v>
          </cell>
          <cell r="E1997" t="str">
            <v>NEL</v>
          </cell>
          <cell r="G1997" t="str">
            <v>Satara West RSA</v>
          </cell>
          <cell r="J1997" t="str">
            <v>Monopoly</v>
          </cell>
          <cell r="K1997" t="str">
            <v>Satara</v>
          </cell>
          <cell r="L1997" t="str">
            <v>E</v>
          </cell>
          <cell r="O1997" t="str">
            <v>A</v>
          </cell>
        </row>
        <row r="1998">
          <cell r="C1998">
            <v>51815808</v>
          </cell>
          <cell r="D1998" t="str">
            <v>NEL Satara 3</v>
          </cell>
          <cell r="E1998" t="str">
            <v>NEL</v>
          </cell>
          <cell r="G1998" t="str">
            <v>Satara West RSA</v>
          </cell>
          <cell r="J1998" t="str">
            <v>Monopoly</v>
          </cell>
          <cell r="K1998" t="str">
            <v>Satara</v>
          </cell>
          <cell r="L1998" t="str">
            <v>E</v>
          </cell>
          <cell r="O1998" t="str">
            <v>A</v>
          </cell>
        </row>
        <row r="1999">
          <cell r="C1999">
            <v>51815809</v>
          </cell>
          <cell r="D1999" t="str">
            <v>NEL Satara 6</v>
          </cell>
          <cell r="E1999" t="str">
            <v>NEL</v>
          </cell>
          <cell r="G1999" t="str">
            <v>Satara East RSA</v>
          </cell>
          <cell r="J1999" t="str">
            <v>chitali</v>
          </cell>
          <cell r="K1999" t="str">
            <v>Satara</v>
          </cell>
          <cell r="L1999" t="str">
            <v>D2</v>
          </cell>
          <cell r="O1999" t="str">
            <v>A</v>
          </cell>
        </row>
        <row r="2000">
          <cell r="C2000">
            <v>51815810</v>
          </cell>
          <cell r="D2000" t="str">
            <v>NEL Satara 4</v>
          </cell>
          <cell r="E2000" t="str">
            <v>NEL</v>
          </cell>
          <cell r="G2000" t="str">
            <v>Satara West RSA</v>
          </cell>
          <cell r="J2000" t="str">
            <v>JAMBHUD</v>
          </cell>
          <cell r="K2000" t="str">
            <v>Satara</v>
          </cell>
          <cell r="L2000" t="str">
            <v>C</v>
          </cell>
          <cell r="O2000" t="str">
            <v>A</v>
          </cell>
        </row>
        <row r="2001">
          <cell r="C2001">
            <v>51815811</v>
          </cell>
          <cell r="D2001" t="str">
            <v>NEL Satara 5</v>
          </cell>
          <cell r="E2001" t="str">
            <v>NEL</v>
          </cell>
          <cell r="G2001" t="str">
            <v>Satara East RSA</v>
          </cell>
          <cell r="J2001" t="str">
            <v>pusegaon phaltan road</v>
          </cell>
          <cell r="K2001" t="str">
            <v>Satara</v>
          </cell>
          <cell r="L2001" t="str">
            <v>E</v>
          </cell>
          <cell r="O2001" t="str">
            <v>B</v>
          </cell>
        </row>
        <row r="2002">
          <cell r="C2002">
            <v>51815812</v>
          </cell>
          <cell r="D2002" t="str">
            <v>NEL Satara 7</v>
          </cell>
          <cell r="E2002" t="str">
            <v>NEL</v>
          </cell>
          <cell r="G2002" t="str">
            <v>Satara West RSA</v>
          </cell>
          <cell r="J2002" t="str">
            <v>Monopoly</v>
          </cell>
          <cell r="K2002" t="str">
            <v>Satara</v>
          </cell>
          <cell r="L2002" t="str">
            <v>E</v>
          </cell>
          <cell r="O2002" t="str">
            <v>B</v>
          </cell>
        </row>
        <row r="2003">
          <cell r="C2003">
            <v>51815813</v>
          </cell>
          <cell r="D2003" t="str">
            <v>NEL Satara 8</v>
          </cell>
          <cell r="E2003" t="str">
            <v>NEL</v>
          </cell>
          <cell r="G2003" t="str">
            <v>Satara West RSA</v>
          </cell>
          <cell r="J2003" t="str">
            <v>Monopoly</v>
          </cell>
          <cell r="K2003" t="str">
            <v>Satara</v>
          </cell>
          <cell r="L2003" t="str">
            <v>E</v>
          </cell>
          <cell r="O2003" t="str">
            <v>B</v>
          </cell>
        </row>
        <row r="2004">
          <cell r="C2004">
            <v>51815814</v>
          </cell>
          <cell r="D2004" t="str">
            <v>NEL Satara 9</v>
          </cell>
          <cell r="E2004" t="str">
            <v>NEL</v>
          </cell>
          <cell r="G2004" t="str">
            <v>Satara East RSA</v>
          </cell>
          <cell r="J2004" t="str">
            <v>Katar Khatav</v>
          </cell>
          <cell r="K2004" t="str">
            <v>Satara</v>
          </cell>
          <cell r="L2004" t="str">
            <v>D2</v>
          </cell>
          <cell r="O2004" t="str">
            <v>B</v>
          </cell>
        </row>
        <row r="2005">
          <cell r="C2005">
            <v>51815815</v>
          </cell>
          <cell r="D2005" t="str">
            <v>NEL Satara 10</v>
          </cell>
          <cell r="E2005" t="str">
            <v>NEL</v>
          </cell>
          <cell r="G2005" t="str">
            <v>Satara West RSA</v>
          </cell>
          <cell r="J2005" t="str">
            <v>Monopoly</v>
          </cell>
          <cell r="K2005" t="str">
            <v>Satara</v>
          </cell>
          <cell r="L2005" t="str">
            <v>E</v>
          </cell>
          <cell r="O2005" t="str">
            <v>A</v>
          </cell>
        </row>
        <row r="2006">
          <cell r="C2006">
            <v>51815826</v>
          </cell>
          <cell r="D2006" t="str">
            <v>NEL Ahmednagar 1</v>
          </cell>
          <cell r="E2006" t="str">
            <v>NEL</v>
          </cell>
          <cell r="G2006" t="str">
            <v>Shirdi RSA</v>
          </cell>
          <cell r="J2006" t="str">
            <v>MONOPOLY</v>
          </cell>
          <cell r="K2006" t="str">
            <v>Ahmednagar</v>
          </cell>
          <cell r="L2006" t="str">
            <v>E</v>
          </cell>
          <cell r="O2006" t="str">
            <v>B</v>
          </cell>
        </row>
        <row r="2007">
          <cell r="C2007">
            <v>51815827</v>
          </cell>
          <cell r="D2007" t="str">
            <v>NEL Ahmednagar 2</v>
          </cell>
          <cell r="E2007" t="str">
            <v>NEL</v>
          </cell>
          <cell r="G2007" t="str">
            <v>Shirdi RSA</v>
          </cell>
          <cell r="J2007" t="str">
            <v>MONOPOLY</v>
          </cell>
          <cell r="K2007" t="str">
            <v>Ahmednagar</v>
          </cell>
          <cell r="L2007" t="str">
            <v>D2</v>
          </cell>
          <cell r="O2007" t="str">
            <v>A</v>
          </cell>
        </row>
        <row r="2008">
          <cell r="C2008">
            <v>51815828</v>
          </cell>
          <cell r="D2008" t="str">
            <v>NEL Ahmednagar 3</v>
          </cell>
          <cell r="E2008" t="str">
            <v>NEL</v>
          </cell>
          <cell r="G2008" t="str">
            <v>Shirdi RSA</v>
          </cell>
          <cell r="J2008" t="str">
            <v>MONOPOLY</v>
          </cell>
          <cell r="K2008" t="str">
            <v>Ahmednagar</v>
          </cell>
          <cell r="L2008" t="str">
            <v>C</v>
          </cell>
          <cell r="O2008" t="str">
            <v>B</v>
          </cell>
        </row>
        <row r="2009">
          <cell r="C2009">
            <v>51815829</v>
          </cell>
          <cell r="D2009" t="str">
            <v>NEL Ahmednagar 4</v>
          </cell>
          <cell r="E2009" t="str">
            <v>NEL</v>
          </cell>
          <cell r="G2009" t="str">
            <v>Shirdi RSA</v>
          </cell>
          <cell r="J2009" t="str">
            <v>MONOPOLY</v>
          </cell>
          <cell r="K2009" t="str">
            <v>Ahmednagar</v>
          </cell>
          <cell r="L2009" t="str">
            <v>E</v>
          </cell>
          <cell r="O2009" t="str">
            <v>B</v>
          </cell>
        </row>
        <row r="2010">
          <cell r="C2010">
            <v>51815830</v>
          </cell>
          <cell r="D2010" t="str">
            <v>NEL Ahmednagar 5</v>
          </cell>
          <cell r="E2010" t="str">
            <v>NEL</v>
          </cell>
          <cell r="G2010" t="str">
            <v>Shirdi RSA</v>
          </cell>
          <cell r="J2010" t="str">
            <v>Monopoly</v>
          </cell>
          <cell r="K2010" t="str">
            <v>Ahmednagar</v>
          </cell>
          <cell r="L2010" t="str">
            <v>D1</v>
          </cell>
          <cell r="M2010" t="str">
            <v>NH-160</v>
          </cell>
          <cell r="O2010" t="str">
            <v>B</v>
          </cell>
        </row>
        <row r="2011">
          <cell r="C2011">
            <v>51815831</v>
          </cell>
          <cell r="D2011" t="str">
            <v>NEL Ahmednagar 6</v>
          </cell>
          <cell r="E2011" t="str">
            <v>NEL</v>
          </cell>
          <cell r="G2011" t="str">
            <v>Ahmednagar East RSA</v>
          </cell>
          <cell r="J2011" t="str">
            <v>Chanda</v>
          </cell>
          <cell r="K2011" t="str">
            <v>Ahmednagar</v>
          </cell>
          <cell r="L2011" t="str">
            <v>D2</v>
          </cell>
          <cell r="O2011" t="str">
            <v>B</v>
          </cell>
        </row>
        <row r="2012">
          <cell r="C2012">
            <v>51815832</v>
          </cell>
          <cell r="D2012" t="str">
            <v>SHUBHLAXMI PTROLEUM</v>
          </cell>
          <cell r="E2012" t="str">
            <v>NEL</v>
          </cell>
          <cell r="G2012" t="str">
            <v>Ahmednagar West RSA</v>
          </cell>
          <cell r="J2012" t="str">
            <v>Chichondi Patil</v>
          </cell>
          <cell r="K2012" t="str">
            <v>Ahmednagar</v>
          </cell>
          <cell r="L2012" t="str">
            <v>D1</v>
          </cell>
          <cell r="M2012" t="str">
            <v>NH-561</v>
          </cell>
          <cell r="O2012" t="str">
            <v>B</v>
          </cell>
        </row>
        <row r="2013">
          <cell r="C2013">
            <v>51815833</v>
          </cell>
          <cell r="D2013" t="str">
            <v>MUKTAI PETROLEUM</v>
          </cell>
          <cell r="E2013" t="str">
            <v>NEL</v>
          </cell>
          <cell r="G2013" t="str">
            <v>Ahmednagar West RSA</v>
          </cell>
          <cell r="J2013" t="str">
            <v>MAHI JALGAON-NH</v>
          </cell>
          <cell r="K2013" t="str">
            <v>Ahmednagar</v>
          </cell>
          <cell r="L2013" t="str">
            <v>D1</v>
          </cell>
          <cell r="M2013" t="str">
            <v>NH-561A</v>
          </cell>
          <cell r="O2013" t="str">
            <v>B</v>
          </cell>
        </row>
        <row r="2014">
          <cell r="C2014">
            <v>51815834</v>
          </cell>
          <cell r="D2014" t="str">
            <v>PIRSAHEB PETROLEUM</v>
          </cell>
          <cell r="E2014" t="str">
            <v>NEL</v>
          </cell>
          <cell r="G2014" t="str">
            <v>Ahmednagar West RSA</v>
          </cell>
          <cell r="J2014" t="str">
            <v>KULDHARAN (DURGAON)</v>
          </cell>
          <cell r="K2014" t="str">
            <v>Ahmednagar</v>
          </cell>
          <cell r="L2014" t="str">
            <v>E</v>
          </cell>
          <cell r="O2014" t="str">
            <v>B</v>
          </cell>
        </row>
        <row r="2015">
          <cell r="C2015">
            <v>51815835</v>
          </cell>
          <cell r="D2015" t="str">
            <v>NARMADA PETROL PUMP</v>
          </cell>
          <cell r="E2015" t="str">
            <v>NEL</v>
          </cell>
          <cell r="G2015" t="str">
            <v>Ahmednagar West RSA</v>
          </cell>
          <cell r="J2015" t="str">
            <v>MAHI JALGAON-NH</v>
          </cell>
          <cell r="K2015" t="str">
            <v>Ahmednagar</v>
          </cell>
          <cell r="L2015" t="str">
            <v>D1</v>
          </cell>
          <cell r="M2015" t="str">
            <v>NH-561A</v>
          </cell>
          <cell r="O2015" t="str">
            <v>B</v>
          </cell>
        </row>
        <row r="2016">
          <cell r="C2016">
            <v>51815836</v>
          </cell>
          <cell r="D2016" t="str">
            <v>NEL Ahmednagar 11</v>
          </cell>
          <cell r="E2016" t="str">
            <v>NEL</v>
          </cell>
          <cell r="G2016" t="str">
            <v>Ahmednagar East RSA</v>
          </cell>
          <cell r="J2016" t="str">
            <v>Chanda</v>
          </cell>
          <cell r="K2016" t="str">
            <v>Ahmednagar</v>
          </cell>
          <cell r="L2016" t="str">
            <v>D2</v>
          </cell>
          <cell r="O2016" t="str">
            <v>B</v>
          </cell>
        </row>
        <row r="2017">
          <cell r="C2017">
            <v>51815837</v>
          </cell>
          <cell r="D2017" t="str">
            <v>NEL Ahmednagar 12</v>
          </cell>
          <cell r="E2017" t="str">
            <v>NEL</v>
          </cell>
          <cell r="G2017" t="str">
            <v>Shirdi RSA</v>
          </cell>
          <cell r="J2017" t="str">
            <v>MONOPOLY</v>
          </cell>
          <cell r="K2017" t="str">
            <v>Ahmednagar</v>
          </cell>
          <cell r="L2017" t="str">
            <v>D2</v>
          </cell>
          <cell r="O2017" t="str">
            <v>B</v>
          </cell>
        </row>
        <row r="2018">
          <cell r="C2018">
            <v>51815838</v>
          </cell>
          <cell r="D2018" t="str">
            <v>NEL Ahmednagar 13</v>
          </cell>
          <cell r="E2018" t="str">
            <v>NEL</v>
          </cell>
          <cell r="G2018" t="str">
            <v>Shirdi RSA</v>
          </cell>
          <cell r="J2018" t="str">
            <v>MONOPOLY</v>
          </cell>
          <cell r="K2018" t="str">
            <v>Ahmednagar</v>
          </cell>
          <cell r="L2018" t="str">
            <v>E</v>
          </cell>
          <cell r="O2018" t="str">
            <v>B</v>
          </cell>
        </row>
        <row r="2019">
          <cell r="C2019">
            <v>51815839</v>
          </cell>
          <cell r="D2019" t="str">
            <v>NEL Ahmednagar 14</v>
          </cell>
          <cell r="E2019" t="str">
            <v>NEL</v>
          </cell>
          <cell r="G2019" t="str">
            <v>Shirdi RSA</v>
          </cell>
          <cell r="J2019" t="str">
            <v>AURANGPUR</v>
          </cell>
          <cell r="K2019" t="str">
            <v>Ahmednagar</v>
          </cell>
          <cell r="L2019" t="str">
            <v>D2</v>
          </cell>
          <cell r="O2019" t="str">
            <v>B</v>
          </cell>
        </row>
        <row r="2020">
          <cell r="C2020">
            <v>51815840</v>
          </cell>
          <cell r="D2020" t="str">
            <v>NEL Ahmednagar 15</v>
          </cell>
          <cell r="E2020" t="str">
            <v>NEL</v>
          </cell>
          <cell r="G2020" t="str">
            <v>Ahmednagar East RSA</v>
          </cell>
          <cell r="J2020" t="str">
            <v>DAHIGAON-NE</v>
          </cell>
          <cell r="K2020" t="str">
            <v>Ahmednagar</v>
          </cell>
          <cell r="L2020" t="str">
            <v>D1</v>
          </cell>
          <cell r="M2020" t="str">
            <v>NH-752E</v>
          </cell>
          <cell r="O2020" t="str">
            <v>B</v>
          </cell>
        </row>
        <row r="2021">
          <cell r="C2021">
            <v>51815846</v>
          </cell>
          <cell r="D2021" t="str">
            <v>NEL Pune 11</v>
          </cell>
          <cell r="E2021" t="str">
            <v>NEL</v>
          </cell>
          <cell r="G2021" t="str">
            <v>Pimpri Chinchwad RSA</v>
          </cell>
          <cell r="J2021" t="str">
            <v>Dapodi</v>
          </cell>
          <cell r="K2021" t="str">
            <v>Pune</v>
          </cell>
          <cell r="L2021" t="str">
            <v>A</v>
          </cell>
          <cell r="M2021" t="str">
            <v>NH-965</v>
          </cell>
          <cell r="O2021" t="str">
            <v>B</v>
          </cell>
        </row>
        <row r="2022">
          <cell r="C2022">
            <v>51815847</v>
          </cell>
          <cell r="D2022" t="str">
            <v>NEL Satara 11</v>
          </cell>
          <cell r="E2022" t="str">
            <v>NEL</v>
          </cell>
          <cell r="G2022" t="str">
            <v>Satara East RSA</v>
          </cell>
          <cell r="J2022" t="str">
            <v>Khatav</v>
          </cell>
          <cell r="K2022" t="str">
            <v>Satara</v>
          </cell>
          <cell r="L2022" t="str">
            <v>E</v>
          </cell>
          <cell r="O2022" t="str">
            <v>B</v>
          </cell>
        </row>
        <row r="2023">
          <cell r="C2023">
            <v>51815848</v>
          </cell>
          <cell r="D2023" t="str">
            <v>NEL Satara 12</v>
          </cell>
          <cell r="E2023" t="str">
            <v>NEL</v>
          </cell>
          <cell r="G2023" t="str">
            <v>Satara East RSA</v>
          </cell>
          <cell r="J2023" t="str">
            <v>Nhavi Budruk</v>
          </cell>
          <cell r="K2023" t="str">
            <v>Satara</v>
          </cell>
          <cell r="L2023" t="str">
            <v>C</v>
          </cell>
          <cell r="O2023" t="str">
            <v>B</v>
          </cell>
        </row>
        <row r="2024">
          <cell r="C2024">
            <v>51815849</v>
          </cell>
          <cell r="D2024" t="str">
            <v>NEL Satara 13</v>
          </cell>
          <cell r="E2024" t="str">
            <v>NEL</v>
          </cell>
          <cell r="G2024" t="str">
            <v>Satara East RSA</v>
          </cell>
          <cell r="J2024" t="str">
            <v>Wakalwadi</v>
          </cell>
          <cell r="K2024" t="str">
            <v>Satara</v>
          </cell>
          <cell r="L2024" t="str">
            <v>D2</v>
          </cell>
          <cell r="O2024" t="str">
            <v>B</v>
          </cell>
        </row>
        <row r="2025">
          <cell r="C2025">
            <v>51823046</v>
          </cell>
          <cell r="D2025" t="str">
            <v>Krushnai Petroleum</v>
          </cell>
          <cell r="E2025" t="str">
            <v>NEL</v>
          </cell>
          <cell r="F2025" t="str">
            <v>2023-24</v>
          </cell>
          <cell r="G2025" t="str">
            <v>Satara East RSA</v>
          </cell>
          <cell r="J2025" t="str">
            <v>RANAND</v>
          </cell>
          <cell r="K2025" t="str">
            <v>Satara</v>
          </cell>
          <cell r="L2025" t="str">
            <v>E</v>
          </cell>
          <cell r="O2025" t="str">
            <v>B</v>
          </cell>
        </row>
        <row r="2026">
          <cell r="C2026">
            <v>51823047</v>
          </cell>
          <cell r="D2026" t="str">
            <v>Paras Petroleum</v>
          </cell>
          <cell r="E2026" t="str">
            <v>NEL</v>
          </cell>
          <cell r="F2026" t="str">
            <v>2023-24</v>
          </cell>
          <cell r="G2026" t="str">
            <v>Satara East RSA</v>
          </cell>
          <cell r="J2026" t="str">
            <v>Dahiwadi on NH</v>
          </cell>
          <cell r="K2026" t="str">
            <v>Satara</v>
          </cell>
          <cell r="L2026" t="str">
            <v>D1</v>
          </cell>
          <cell r="M2026" t="str">
            <v>NH-160</v>
          </cell>
          <cell r="O2026" t="str">
            <v>B</v>
          </cell>
        </row>
        <row r="2027">
          <cell r="C2027">
            <v>51823048</v>
          </cell>
          <cell r="D2027" t="str">
            <v>Nagoba Petroleum</v>
          </cell>
          <cell r="E2027" t="str">
            <v>NEL</v>
          </cell>
          <cell r="F2027" t="str">
            <v>2023-24</v>
          </cell>
          <cell r="G2027" t="str">
            <v>Satara East RSA</v>
          </cell>
          <cell r="J2027" t="str">
            <v>Mhaswad</v>
          </cell>
          <cell r="K2027" t="str">
            <v>Satara</v>
          </cell>
          <cell r="L2027" t="str">
            <v>D1</v>
          </cell>
          <cell r="M2027" t="str">
            <v>NH-548C</v>
          </cell>
          <cell r="O2027" t="str">
            <v>B</v>
          </cell>
        </row>
        <row r="2028">
          <cell r="C2028">
            <v>51823049</v>
          </cell>
          <cell r="D2028" t="str">
            <v>Viraj Petroleum</v>
          </cell>
          <cell r="E2028" t="str">
            <v>NEL</v>
          </cell>
          <cell r="F2028" t="str">
            <v>2023-24</v>
          </cell>
          <cell r="G2028" t="str">
            <v>Satara East RSA</v>
          </cell>
          <cell r="J2028" t="str">
            <v>VIKHALE</v>
          </cell>
          <cell r="K2028" t="str">
            <v>Satara</v>
          </cell>
          <cell r="L2028" t="str">
            <v>D2</v>
          </cell>
          <cell r="O2028" t="str">
            <v>B</v>
          </cell>
        </row>
        <row r="2029">
          <cell r="C2029">
            <v>51823050</v>
          </cell>
          <cell r="D2029" t="str">
            <v>Bramhachaitanya Petroleum</v>
          </cell>
          <cell r="E2029" t="str">
            <v>NEL</v>
          </cell>
          <cell r="F2029" t="str">
            <v>2023-24</v>
          </cell>
          <cell r="G2029" t="str">
            <v>Satara East RSA</v>
          </cell>
          <cell r="J2029" t="str">
            <v>Mhaswad</v>
          </cell>
          <cell r="K2029" t="str">
            <v>Satara</v>
          </cell>
          <cell r="L2029" t="str">
            <v>D1</v>
          </cell>
          <cell r="M2029" t="str">
            <v>NH-548C</v>
          </cell>
          <cell r="O2029" t="str">
            <v>B</v>
          </cell>
        </row>
        <row r="2030">
          <cell r="C2030">
            <v>51823051</v>
          </cell>
          <cell r="D2030" t="str">
            <v>Rukmini Petroleum</v>
          </cell>
          <cell r="E2030" t="str">
            <v>NEL</v>
          </cell>
          <cell r="F2030" t="str">
            <v>2023-24</v>
          </cell>
          <cell r="G2030" t="str">
            <v>Satara East RSA</v>
          </cell>
          <cell r="J2030" t="str">
            <v>Nimbhore</v>
          </cell>
          <cell r="K2030" t="str">
            <v>Satara</v>
          </cell>
          <cell r="L2030" t="str">
            <v>D1</v>
          </cell>
          <cell r="M2030" t="str">
            <v>NH-965</v>
          </cell>
          <cell r="O2030" t="str">
            <v>B</v>
          </cell>
        </row>
        <row r="2031">
          <cell r="C2031">
            <v>51823052</v>
          </cell>
          <cell r="D2031" t="str">
            <v>Shivraj Petroleum</v>
          </cell>
          <cell r="E2031" t="str">
            <v>NEL</v>
          </cell>
          <cell r="F2031" t="str">
            <v>2023-24</v>
          </cell>
          <cell r="G2031" t="str">
            <v>Satara East RSA</v>
          </cell>
          <cell r="J2031" t="str">
            <v>Malegaon-Shirwali Road</v>
          </cell>
          <cell r="K2031" t="str">
            <v>Satara</v>
          </cell>
          <cell r="L2031" t="str">
            <v>E</v>
          </cell>
          <cell r="O2031" t="str">
            <v>B</v>
          </cell>
        </row>
        <row r="2032">
          <cell r="C2032">
            <v>51823053</v>
          </cell>
          <cell r="D2032" t="str">
            <v>Nemat Petroleum</v>
          </cell>
          <cell r="E2032" t="str">
            <v>NEL</v>
          </cell>
          <cell r="F2032" t="str">
            <v>2023-24</v>
          </cell>
          <cell r="G2032" t="str">
            <v>Satara East RSA</v>
          </cell>
          <cell r="J2032" t="str">
            <v>Phalton</v>
          </cell>
          <cell r="K2032" t="str">
            <v>Satara</v>
          </cell>
          <cell r="L2032" t="str">
            <v>D1</v>
          </cell>
          <cell r="M2032" t="str">
            <v>NH-965</v>
          </cell>
          <cell r="O2032" t="str">
            <v>B</v>
          </cell>
        </row>
        <row r="2033">
          <cell r="C2033">
            <v>51823054</v>
          </cell>
          <cell r="D2033" t="str">
            <v>Shrinath Mhaskoba Petroleum</v>
          </cell>
          <cell r="E2033" t="str">
            <v>NEL</v>
          </cell>
          <cell r="F2033" t="str">
            <v>2023-24</v>
          </cell>
          <cell r="G2033" t="str">
            <v>Satara East RSA</v>
          </cell>
          <cell r="J2033" t="str">
            <v>Wavarhire</v>
          </cell>
          <cell r="K2033" t="str">
            <v>Satara</v>
          </cell>
          <cell r="L2033" t="str">
            <v>D2</v>
          </cell>
          <cell r="O2033" t="str">
            <v>B</v>
          </cell>
        </row>
        <row r="2034">
          <cell r="C2034">
            <v>51823055</v>
          </cell>
          <cell r="D2034" t="str">
            <v>Shree Dattaguru Petroleum</v>
          </cell>
          <cell r="E2034" t="str">
            <v>NEL</v>
          </cell>
          <cell r="F2034" t="str">
            <v>2023-24</v>
          </cell>
          <cell r="G2034" t="str">
            <v>Satara East RSA</v>
          </cell>
          <cell r="J2034" t="str">
            <v>kalaj</v>
          </cell>
          <cell r="K2034" t="str">
            <v>Satara</v>
          </cell>
          <cell r="L2034" t="str">
            <v>D1</v>
          </cell>
          <cell r="M2034" t="str">
            <v>NH-965</v>
          </cell>
          <cell r="O2034" t="str">
            <v>B</v>
          </cell>
        </row>
        <row r="2035">
          <cell r="C2035">
            <v>51823346</v>
          </cell>
          <cell r="D2035" t="str">
            <v>Yashkirti Petroleum</v>
          </cell>
          <cell r="E2035" t="str">
            <v>NEL</v>
          </cell>
          <cell r="F2035" t="str">
            <v>2024-25</v>
          </cell>
          <cell r="G2035" t="str">
            <v>Satara East RSA</v>
          </cell>
          <cell r="J2035" t="str">
            <v>Pusegaon</v>
          </cell>
          <cell r="K2035" t="str">
            <v>Satara</v>
          </cell>
          <cell r="L2035" t="str">
            <v>D2</v>
          </cell>
          <cell r="O2035" t="str">
            <v>B</v>
          </cell>
        </row>
        <row r="2036">
          <cell r="C2036">
            <v>51824548</v>
          </cell>
          <cell r="D2036" t="str">
            <v>JAGDAMBA PETROLEUM</v>
          </cell>
          <cell r="E2036" t="str">
            <v>NEL</v>
          </cell>
          <cell r="F2036" t="str">
            <v>2024-25</v>
          </cell>
          <cell r="G2036" t="str">
            <v>Ahmednagar West RSA</v>
          </cell>
          <cell r="J2036" t="str">
            <v>Ghogargoan</v>
          </cell>
          <cell r="K2036" t="str">
            <v>Ahmednagar</v>
          </cell>
          <cell r="L2036" t="str">
            <v>D1</v>
          </cell>
          <cell r="M2036" t="str">
            <v>NH-561A</v>
          </cell>
          <cell r="O2036" t="str">
            <v>B</v>
          </cell>
        </row>
        <row r="2037">
          <cell r="C2037">
            <v>51824549</v>
          </cell>
          <cell r="D2037" t="str">
            <v>NEL RATNAPUR (JAMKHED)</v>
          </cell>
          <cell r="E2037" t="str">
            <v>NEL</v>
          </cell>
          <cell r="F2037" t="str">
            <v>2024-25</v>
          </cell>
          <cell r="G2037" t="str">
            <v>Ahmednagar West RSA</v>
          </cell>
          <cell r="J2037" t="str">
            <v>JAMKHED-SHRIGONDA RD</v>
          </cell>
          <cell r="K2037" t="str">
            <v>Ahmednagar</v>
          </cell>
          <cell r="L2037" t="str">
            <v>D1</v>
          </cell>
          <cell r="M2037" t="str">
            <v>NH-548D</v>
          </cell>
          <cell r="O2037" t="str">
            <v>B</v>
          </cell>
        </row>
        <row r="2038">
          <cell r="C2038">
            <v>51824550</v>
          </cell>
          <cell r="D2038" t="str">
            <v>SHIV SHANKAR PETROLEUM</v>
          </cell>
          <cell r="E2038" t="str">
            <v>NEL</v>
          </cell>
          <cell r="F2038" t="str">
            <v>2024-25</v>
          </cell>
          <cell r="G2038" t="str">
            <v>Ahmednagar West RSA</v>
          </cell>
          <cell r="J2038" t="str">
            <v>KARJAT-KULDHARAN RD</v>
          </cell>
          <cell r="K2038" t="str">
            <v>Ahmednagar</v>
          </cell>
          <cell r="L2038" t="str">
            <v>D2</v>
          </cell>
          <cell r="O2038" t="str">
            <v>B</v>
          </cell>
        </row>
        <row r="2039">
          <cell r="C2039">
            <v>51824551</v>
          </cell>
          <cell r="D2039" t="str">
            <v>ADITYA PETROLEUM</v>
          </cell>
          <cell r="E2039" t="str">
            <v>NEL</v>
          </cell>
          <cell r="F2039" t="str">
            <v>2024-25</v>
          </cell>
          <cell r="G2039" t="str">
            <v>Ahmednagar West RSA</v>
          </cell>
          <cell r="J2039" t="str">
            <v>KARJAT-RASHIN RD</v>
          </cell>
          <cell r="K2039" t="str">
            <v>Ahmednagar</v>
          </cell>
          <cell r="L2039" t="str">
            <v>D2</v>
          </cell>
          <cell r="O2039" t="str">
            <v>B</v>
          </cell>
        </row>
        <row r="2040">
          <cell r="C2040">
            <v>51824552</v>
          </cell>
          <cell r="D2040" t="str">
            <v>NARAYAN PETROLEUM</v>
          </cell>
          <cell r="E2040" t="str">
            <v>NEL</v>
          </cell>
          <cell r="F2040" t="str">
            <v>2024-25</v>
          </cell>
          <cell r="G2040" t="str">
            <v>Ahmednagar West RSA</v>
          </cell>
          <cell r="J2040" t="str">
            <v>LONI VYNKNATH-KASHTI (NH)</v>
          </cell>
          <cell r="K2040" t="str">
            <v>Ahmednagar</v>
          </cell>
          <cell r="L2040" t="str">
            <v>D1</v>
          </cell>
          <cell r="M2040" t="str">
            <v>NH-160</v>
          </cell>
          <cell r="O2040" t="str">
            <v>B</v>
          </cell>
        </row>
        <row r="2041">
          <cell r="C2041">
            <v>51824553</v>
          </cell>
          <cell r="D2041" t="str">
            <v>SAHYADRI PETROLEUM</v>
          </cell>
          <cell r="E2041" t="str">
            <v>NEL</v>
          </cell>
          <cell r="F2041" t="str">
            <v>2024-25</v>
          </cell>
          <cell r="G2041" t="str">
            <v>Ahmednagar West RSA</v>
          </cell>
          <cell r="J2041" t="str">
            <v>Nannaj</v>
          </cell>
          <cell r="K2041" t="str">
            <v>Ahmednagar</v>
          </cell>
          <cell r="L2041" t="str">
            <v>D2</v>
          </cell>
          <cell r="O2041" t="str">
            <v>B</v>
          </cell>
        </row>
        <row r="2042">
          <cell r="C2042">
            <v>51824554</v>
          </cell>
          <cell r="D2042" t="str">
            <v>ANAND PETROLEUM</v>
          </cell>
          <cell r="E2042" t="str">
            <v>NEL</v>
          </cell>
          <cell r="F2042" t="str">
            <v>2024-25</v>
          </cell>
          <cell r="G2042" t="str">
            <v>Ahmednagar West RSA</v>
          </cell>
          <cell r="J2042" t="str">
            <v>Rashin</v>
          </cell>
          <cell r="K2042" t="str">
            <v>Ahmednagar</v>
          </cell>
          <cell r="L2042" t="str">
            <v>D2</v>
          </cell>
          <cell r="O2042" t="str">
            <v>B</v>
          </cell>
        </row>
        <row r="2043">
          <cell r="C2043">
            <v>51824555</v>
          </cell>
          <cell r="D2043" t="str">
            <v>NARHARI PETROLEUM</v>
          </cell>
          <cell r="E2043" t="str">
            <v>NEL</v>
          </cell>
          <cell r="F2043" t="str">
            <v>2024-25</v>
          </cell>
          <cell r="G2043" t="str">
            <v>Ahmednagar West RSA</v>
          </cell>
          <cell r="J2043" t="str">
            <v>Tisgaon</v>
          </cell>
          <cell r="K2043" t="str">
            <v>Ahmednagar</v>
          </cell>
          <cell r="L2043" t="str">
            <v>D1</v>
          </cell>
          <cell r="M2043" t="str">
            <v>NH-61</v>
          </cell>
          <cell r="O2043" t="str">
            <v>B</v>
          </cell>
        </row>
        <row r="2044">
          <cell r="C2044">
            <v>51824556</v>
          </cell>
          <cell r="D2044" t="str">
            <v>SHANKAR PETROLEUM</v>
          </cell>
          <cell r="E2044" t="str">
            <v>NEL</v>
          </cell>
          <cell r="F2044" t="str">
            <v>2024-25</v>
          </cell>
          <cell r="G2044" t="str">
            <v>Ahmednagar West RSA</v>
          </cell>
          <cell r="J2044" t="str">
            <v>Arangaon (Jamkhed)</v>
          </cell>
          <cell r="K2044" t="str">
            <v>Ahmednagar</v>
          </cell>
          <cell r="L2044" t="str">
            <v>D1</v>
          </cell>
          <cell r="M2044" t="str">
            <v>NH-548D</v>
          </cell>
          <cell r="O2044" t="str">
            <v>B</v>
          </cell>
        </row>
        <row r="2045">
          <cell r="C2045">
            <v>51824563</v>
          </cell>
          <cell r="D2045" t="str">
            <v>SANJIVANI PETROLEUM</v>
          </cell>
          <cell r="E2045" t="str">
            <v>NEL</v>
          </cell>
          <cell r="F2045" t="str">
            <v>2024-25</v>
          </cell>
          <cell r="G2045" t="str">
            <v>Ahmednagar West RSA</v>
          </cell>
          <cell r="J2045" t="str">
            <v>Ambijalgaon</v>
          </cell>
          <cell r="K2045" t="str">
            <v>Ahmednagar</v>
          </cell>
          <cell r="L2045" t="str">
            <v>D2</v>
          </cell>
          <cell r="O2045" t="str">
            <v>B</v>
          </cell>
        </row>
        <row r="2046">
          <cell r="C2046">
            <v>25816909477</v>
          </cell>
          <cell r="D2046" t="str">
            <v>Essar Narayangaon</v>
          </cell>
          <cell r="E2046" t="str">
            <v>NEL</v>
          </cell>
          <cell r="G2046" t="str">
            <v>Pune Wagholi RSA</v>
          </cell>
          <cell r="J2046" t="str">
            <v>Narayangaon to Alephata LHS</v>
          </cell>
          <cell r="K2046" t="str">
            <v>Pune</v>
          </cell>
          <cell r="L2046" t="str">
            <v>D1</v>
          </cell>
          <cell r="M2046" t="str">
            <v>NH-60</v>
          </cell>
          <cell r="O2046" t="str">
            <v>B</v>
          </cell>
        </row>
        <row r="2047">
          <cell r="C2047">
            <v>25816909478</v>
          </cell>
          <cell r="D2047" t="str">
            <v>Essar Pimpalgaon</v>
          </cell>
          <cell r="E2047" t="str">
            <v>NEL</v>
          </cell>
          <cell r="G2047" t="str">
            <v>Pune Wagholi RSA</v>
          </cell>
          <cell r="J2047" t="str">
            <v>PIMPALGAON TARFE NARAYANGAON</v>
          </cell>
          <cell r="K2047" t="str">
            <v>Pune</v>
          </cell>
          <cell r="L2047" t="str">
            <v>D2</v>
          </cell>
          <cell r="O2047" t="str">
            <v>B</v>
          </cell>
        </row>
        <row r="2048">
          <cell r="C2048">
            <v>25816909485</v>
          </cell>
          <cell r="D2048" t="str">
            <v>ESSAR - HANMANTWADI</v>
          </cell>
          <cell r="E2048" t="str">
            <v>NEL</v>
          </cell>
          <cell r="G2048" t="str">
            <v>Pimpri Chinchwad RSA</v>
          </cell>
          <cell r="J2048" t="str">
            <v>ALANDI RURAL</v>
          </cell>
          <cell r="K2048" t="str">
            <v>Pune</v>
          </cell>
          <cell r="L2048" t="str">
            <v>E</v>
          </cell>
          <cell r="O2048" t="str">
            <v>B</v>
          </cell>
        </row>
        <row r="2049">
          <cell r="C2049">
            <v>25816909486</v>
          </cell>
          <cell r="D2049" t="str">
            <v>ESSAR - KURULI</v>
          </cell>
          <cell r="E2049" t="str">
            <v>NEL</v>
          </cell>
          <cell r="G2049" t="str">
            <v>Pimpri Chinchwad RSA</v>
          </cell>
          <cell r="J2049" t="str">
            <v>CHAKAN NH-60 LHS</v>
          </cell>
          <cell r="K2049" t="str">
            <v>Pune</v>
          </cell>
          <cell r="L2049" t="str">
            <v>D1</v>
          </cell>
          <cell r="M2049" t="str">
            <v>NH-60</v>
          </cell>
          <cell r="O2049" t="str">
            <v>B</v>
          </cell>
        </row>
        <row r="2050">
          <cell r="C2050">
            <v>25816909487</v>
          </cell>
          <cell r="D2050" t="str">
            <v>NARAYA - BHOSARI MIDC</v>
          </cell>
          <cell r="E2050" t="str">
            <v>NEL</v>
          </cell>
          <cell r="G2050" t="str">
            <v>Pimpri Chinchwad RSA</v>
          </cell>
          <cell r="J2050" t="str">
            <v>Bhosari</v>
          </cell>
          <cell r="K2050" t="str">
            <v>Pune</v>
          </cell>
          <cell r="L2050" t="str">
            <v>A</v>
          </cell>
          <cell r="O2050" t="str">
            <v>B</v>
          </cell>
        </row>
        <row r="2051">
          <cell r="C2051">
            <v>25816909488</v>
          </cell>
          <cell r="D2051" t="str">
            <v>NARAYA - SPINE ROAD</v>
          </cell>
          <cell r="E2051" t="str">
            <v>NEL</v>
          </cell>
          <cell r="G2051" t="str">
            <v>Pimpri Chinchwad RSA</v>
          </cell>
          <cell r="J2051" t="str">
            <v>Spine Road</v>
          </cell>
          <cell r="K2051" t="str">
            <v>Pune</v>
          </cell>
          <cell r="L2051" t="str">
            <v>A</v>
          </cell>
          <cell r="O2051" t="str">
            <v>B</v>
          </cell>
        </row>
        <row r="2052">
          <cell r="C2052">
            <v>51829090</v>
          </cell>
          <cell r="D2052" t="str">
            <v>Nyara Energy Junction Vadgaon</v>
          </cell>
          <cell r="E2052" t="str">
            <v>NEL</v>
          </cell>
          <cell r="F2052" t="str">
            <v>2025-26</v>
          </cell>
          <cell r="G2052" t="str">
            <v>Pune Tathawade RSA</v>
          </cell>
          <cell r="J2052" t="str">
            <v>KAMSHET TO VADGAON</v>
          </cell>
          <cell r="K2052" t="str">
            <v>Pune</v>
          </cell>
          <cell r="L2052" t="str">
            <v>D1</v>
          </cell>
          <cell r="M2052" t="str">
            <v>NH-48</v>
          </cell>
          <cell r="O2052" t="str">
            <v>B</v>
          </cell>
        </row>
        <row r="2053">
          <cell r="C2053">
            <v>51830086</v>
          </cell>
          <cell r="D2053" t="str">
            <v>NEL Barad Phalton</v>
          </cell>
          <cell r="E2053" t="str">
            <v>NEL</v>
          </cell>
          <cell r="F2053" t="str">
            <v>2025-26</v>
          </cell>
          <cell r="G2053" t="str">
            <v>Satara East RSA</v>
          </cell>
          <cell r="J2053" t="str">
            <v>Barad</v>
          </cell>
          <cell r="K2053" t="str">
            <v>Satara</v>
          </cell>
          <cell r="L2053" t="str">
            <v>D1</v>
          </cell>
          <cell r="M2053" t="str">
            <v>NH-965</v>
          </cell>
          <cell r="O2053" t="str">
            <v>B</v>
          </cell>
        </row>
        <row r="2054">
          <cell r="C2054">
            <v>51829366</v>
          </cell>
          <cell r="D2054" t="str">
            <v>NEL Bhiwari</v>
          </cell>
          <cell r="E2054" t="str">
            <v>NEL</v>
          </cell>
          <cell r="F2054" t="str">
            <v>2025-26</v>
          </cell>
          <cell r="G2054" t="str">
            <v>Pune Saswad RSA</v>
          </cell>
          <cell r="J2054" t="str">
            <v>Saswad-Bopdev-Pune Road</v>
          </cell>
          <cell r="K2054" t="str">
            <v>Pune</v>
          </cell>
          <cell r="L2054" t="str">
            <v>D2</v>
          </cell>
          <cell r="O2054" t="str">
            <v>B</v>
          </cell>
        </row>
        <row r="2055">
          <cell r="C2055">
            <v>51830114</v>
          </cell>
          <cell r="D2055" t="str">
            <v>NEL Ambavade</v>
          </cell>
          <cell r="E2055" t="str">
            <v>NEL</v>
          </cell>
          <cell r="F2055" t="str">
            <v>2025-26</v>
          </cell>
          <cell r="G2055" t="str">
            <v>Satara West RSA</v>
          </cell>
          <cell r="J2055" t="str">
            <v>Dabewadi</v>
          </cell>
          <cell r="K2055" t="str">
            <v>Satara</v>
          </cell>
          <cell r="L2055" t="str">
            <v>E</v>
          </cell>
          <cell r="O2055" t="str">
            <v>B</v>
          </cell>
        </row>
        <row r="2056">
          <cell r="C2056">
            <v>51824989</v>
          </cell>
          <cell r="D2056" t="str">
            <v>NEL Kolgaon Shrigonda</v>
          </cell>
          <cell r="E2056" t="str">
            <v>NEL</v>
          </cell>
          <cell r="F2056" t="str">
            <v>2025-26</v>
          </cell>
          <cell r="G2056" t="str">
            <v>Ahmednagar West RSA</v>
          </cell>
          <cell r="J2056" t="str">
            <v>KOLGAON</v>
          </cell>
          <cell r="K2056" t="str">
            <v>Ahmednagar</v>
          </cell>
          <cell r="L2056" t="str">
            <v>D1</v>
          </cell>
          <cell r="M2056" t="str">
            <v>NH-160</v>
          </cell>
          <cell r="O2056" t="str">
            <v>B</v>
          </cell>
        </row>
        <row r="2057">
          <cell r="C2057">
            <v>51830120</v>
          </cell>
          <cell r="D2057" t="str">
            <v>NEL Andhali</v>
          </cell>
          <cell r="E2057" t="str">
            <v>NEL</v>
          </cell>
          <cell r="F2057" t="str">
            <v>2025-26</v>
          </cell>
          <cell r="G2057" t="str">
            <v>Satara East RSA</v>
          </cell>
          <cell r="J2057" t="str">
            <v>Malawadi</v>
          </cell>
          <cell r="K2057" t="str">
            <v>Satara</v>
          </cell>
          <cell r="L2057" t="str">
            <v>D2</v>
          </cell>
          <cell r="O2057" t="str">
            <v>B</v>
          </cell>
        </row>
        <row r="2058">
          <cell r="C2058">
            <v>51830113</v>
          </cell>
          <cell r="D2058" t="str">
            <v>NEL Borgaon</v>
          </cell>
          <cell r="E2058" t="str">
            <v>NEL</v>
          </cell>
          <cell r="F2058" t="str">
            <v>2025-26</v>
          </cell>
          <cell r="G2058" t="str">
            <v>Satara West RSA</v>
          </cell>
          <cell r="J2058" t="str">
            <v>Shendre to Borgaon</v>
          </cell>
          <cell r="K2058" t="str">
            <v>Satara</v>
          </cell>
          <cell r="L2058" t="str">
            <v>D1</v>
          </cell>
          <cell r="M2058" t="str">
            <v>NH-48</v>
          </cell>
          <cell r="O2058" t="str">
            <v>B</v>
          </cell>
        </row>
        <row r="2059">
          <cell r="C2059">
            <v>51824726</v>
          </cell>
          <cell r="D2059" t="str">
            <v>NEL Waghapur</v>
          </cell>
          <cell r="E2059" t="str">
            <v>NEL</v>
          </cell>
          <cell r="F2059" t="str">
            <v>2025-26</v>
          </cell>
          <cell r="G2059" t="str">
            <v>Pune Saswad RSA</v>
          </cell>
          <cell r="J2059" t="str">
            <v>Malshiras Purandar</v>
          </cell>
          <cell r="K2059" t="str">
            <v>Pune</v>
          </cell>
          <cell r="L2059" t="str">
            <v>D2</v>
          </cell>
          <cell r="O2059" t="str">
            <v>B</v>
          </cell>
        </row>
        <row r="2060">
          <cell r="C2060">
            <v>51830006</v>
          </cell>
          <cell r="D2060" t="str">
            <v>NEL Kapadgaon</v>
          </cell>
          <cell r="E2060" t="str">
            <v>NEL</v>
          </cell>
          <cell r="F2060" t="str">
            <v>2025-26</v>
          </cell>
          <cell r="G2060" t="str">
            <v>Satara East RSA</v>
          </cell>
          <cell r="J2060" t="str">
            <v>Lonand</v>
          </cell>
          <cell r="K2060" t="str">
            <v>Satara</v>
          </cell>
          <cell r="L2060" t="str">
            <v>D1</v>
          </cell>
          <cell r="M2060" t="str">
            <v>NH-965D</v>
          </cell>
          <cell r="O2060" t="str">
            <v>B</v>
          </cell>
        </row>
        <row r="2061">
          <cell r="C2061">
            <v>51830119</v>
          </cell>
          <cell r="D2061" t="str">
            <v>NEL Kumthe</v>
          </cell>
          <cell r="E2061" t="str">
            <v>NEL</v>
          </cell>
          <cell r="F2061" t="str">
            <v>2025-26</v>
          </cell>
          <cell r="G2061" t="str">
            <v>Satara East RSA</v>
          </cell>
          <cell r="J2061" t="str">
            <v>Chimangaon</v>
          </cell>
          <cell r="K2061" t="str">
            <v>Satara</v>
          </cell>
          <cell r="L2061" t="str">
            <v>D1</v>
          </cell>
          <cell r="M2061" t="str">
            <v>NH-548C</v>
          </cell>
          <cell r="O2061" t="str">
            <v>B</v>
          </cell>
        </row>
        <row r="2062">
          <cell r="C2062">
            <v>51830106</v>
          </cell>
          <cell r="D2062" t="str">
            <v>NEL Nidhal</v>
          </cell>
          <cell r="E2062" t="str">
            <v>NEL</v>
          </cell>
          <cell r="F2062" t="str">
            <v>2025-26</v>
          </cell>
          <cell r="G2062" t="str">
            <v>Satara East RSA</v>
          </cell>
          <cell r="J2062" t="str">
            <v>Nidhal</v>
          </cell>
          <cell r="K2062" t="str">
            <v>Satara</v>
          </cell>
          <cell r="L2062" t="str">
            <v>D1</v>
          </cell>
          <cell r="M2062" t="str">
            <v>NH-548C</v>
          </cell>
          <cell r="O2062" t="str">
            <v>B</v>
          </cell>
        </row>
        <row r="2063">
          <cell r="C2063">
            <v>51831506</v>
          </cell>
          <cell r="D2063" t="str">
            <v>Sai Parvati Petroleum</v>
          </cell>
          <cell r="E2063" t="str">
            <v>NEL</v>
          </cell>
          <cell r="F2063" t="str">
            <v>2025-26</v>
          </cell>
          <cell r="G2063" t="str">
            <v>Shirdi RSA</v>
          </cell>
          <cell r="J2063" t="str">
            <v>DEVGAON</v>
          </cell>
          <cell r="K2063" t="str">
            <v>Ahmednagar</v>
          </cell>
          <cell r="L2063" t="str">
            <v>E</v>
          </cell>
          <cell r="O2063" t="str">
            <v>B</v>
          </cell>
        </row>
        <row r="2064">
          <cell r="C2064">
            <v>51831629</v>
          </cell>
          <cell r="D2064" t="str">
            <v>Mauli Petroleum NEL</v>
          </cell>
          <cell r="E2064" t="str">
            <v>NEL</v>
          </cell>
          <cell r="F2064" t="str">
            <v>2025-26</v>
          </cell>
          <cell r="G2064" t="str">
            <v>Shirdi RSA</v>
          </cell>
          <cell r="J2064" t="str">
            <v>KOTUL</v>
          </cell>
          <cell r="K2064" t="str">
            <v>Ahmednagar</v>
          </cell>
          <cell r="L2064" t="str">
            <v>D2</v>
          </cell>
          <cell r="O2064" t="str">
            <v>B</v>
          </cell>
        </row>
        <row r="2065">
          <cell r="C2065">
            <v>29750</v>
          </cell>
          <cell r="D2065" t="str">
            <v>Reliance Shirur</v>
          </cell>
          <cell r="E2065" t="str">
            <v>RBML</v>
          </cell>
          <cell r="G2065" t="str">
            <v>Pune Wagholi RSA</v>
          </cell>
          <cell r="J2065" t="str">
            <v>Ranjangaon to Shirur LHS</v>
          </cell>
          <cell r="K2065" t="str">
            <v>Pune</v>
          </cell>
          <cell r="L2065" t="str">
            <v>D1</v>
          </cell>
          <cell r="M2065" t="str">
            <v>NH-753F</v>
          </cell>
          <cell r="O2065" t="str">
            <v>B</v>
          </cell>
        </row>
        <row r="2066">
          <cell r="C2066">
            <v>33318</v>
          </cell>
          <cell r="D2066" t="str">
            <v>RIL KARAD</v>
          </cell>
          <cell r="E2066" t="str">
            <v>RBML</v>
          </cell>
          <cell r="G2066" t="str">
            <v>Satara West RSA</v>
          </cell>
          <cell r="J2066" t="str">
            <v>Karad on NH48 LHS</v>
          </cell>
          <cell r="K2066" t="str">
            <v>Satara</v>
          </cell>
          <cell r="L2066" t="str">
            <v>D1</v>
          </cell>
          <cell r="M2066" t="str">
            <v>NH-48</v>
          </cell>
          <cell r="O2066" t="str">
            <v>B</v>
          </cell>
        </row>
        <row r="2067">
          <cell r="C2067">
            <v>33319</v>
          </cell>
          <cell r="D2067" t="str">
            <v>RIL DAHIWADI</v>
          </cell>
          <cell r="E2067" t="str">
            <v>RBML</v>
          </cell>
          <cell r="G2067" t="str">
            <v>Satara East RSA</v>
          </cell>
          <cell r="J2067" t="str">
            <v>dahiwadi</v>
          </cell>
          <cell r="K2067" t="str">
            <v>Satara</v>
          </cell>
          <cell r="L2067" t="str">
            <v>D2</v>
          </cell>
          <cell r="O2067" t="str">
            <v>B</v>
          </cell>
        </row>
        <row r="2068">
          <cell r="C2068">
            <v>33320</v>
          </cell>
          <cell r="D2068" t="str">
            <v>RIL Limb Satara</v>
          </cell>
          <cell r="E2068" t="str">
            <v>RBML</v>
          </cell>
          <cell r="G2068" t="str">
            <v>Satara West RSA</v>
          </cell>
          <cell r="J2068" t="str">
            <v>Satara to Bhuinj</v>
          </cell>
          <cell r="K2068" t="str">
            <v>Satara</v>
          </cell>
          <cell r="L2068" t="str">
            <v>D1</v>
          </cell>
          <cell r="M2068" t="str">
            <v>NH-48</v>
          </cell>
          <cell r="O2068" t="str">
            <v>B</v>
          </cell>
        </row>
        <row r="2069">
          <cell r="C2069">
            <v>33321</v>
          </cell>
          <cell r="D2069" t="str">
            <v>RIL Wadhuj</v>
          </cell>
          <cell r="E2069" t="str">
            <v>RBML</v>
          </cell>
          <cell r="G2069" t="str">
            <v>Satara East RSA</v>
          </cell>
          <cell r="J2069" t="str">
            <v>Waduj</v>
          </cell>
          <cell r="K2069" t="str">
            <v>Satara</v>
          </cell>
          <cell r="L2069" t="str">
            <v>D2</v>
          </cell>
          <cell r="O2069" t="str">
            <v>B</v>
          </cell>
        </row>
        <row r="2070">
          <cell r="C2070">
            <v>33322</v>
          </cell>
          <cell r="D2070" t="str">
            <v>RIL Khandala</v>
          </cell>
          <cell r="E2070" t="str">
            <v>RBML</v>
          </cell>
          <cell r="G2070" t="str">
            <v>Satara East RSA</v>
          </cell>
          <cell r="J2070" t="str">
            <v>Khandala</v>
          </cell>
          <cell r="K2070" t="str">
            <v>Satara</v>
          </cell>
          <cell r="L2070" t="str">
            <v>C</v>
          </cell>
          <cell r="O2070" t="str">
            <v>B</v>
          </cell>
        </row>
        <row r="2071">
          <cell r="C2071">
            <v>33323</v>
          </cell>
          <cell r="D2071" t="str">
            <v>RIL Neera Road</v>
          </cell>
          <cell r="E2071" t="str">
            <v>RBML</v>
          </cell>
          <cell r="G2071" t="str">
            <v>Satara East RSA</v>
          </cell>
          <cell r="J2071" t="str">
            <v>Lonand</v>
          </cell>
          <cell r="K2071" t="str">
            <v>Satara</v>
          </cell>
          <cell r="L2071" t="str">
            <v>D1</v>
          </cell>
          <cell r="M2071" t="str">
            <v>NH-965D</v>
          </cell>
          <cell r="O2071" t="str">
            <v>B</v>
          </cell>
        </row>
        <row r="2072">
          <cell r="C2072">
            <v>33819</v>
          </cell>
          <cell r="D2072" t="str">
            <v>RIL CHAKAN</v>
          </cell>
          <cell r="E2072" t="str">
            <v>RBML</v>
          </cell>
          <cell r="G2072" t="str">
            <v>Pimpri Chinchwad RSA</v>
          </cell>
          <cell r="J2072" t="str">
            <v>CHAKAN NH-60 LHS</v>
          </cell>
          <cell r="K2072" t="str">
            <v>Pune</v>
          </cell>
          <cell r="L2072" t="str">
            <v>D1</v>
          </cell>
          <cell r="M2072" t="str">
            <v>NH-60</v>
          </cell>
          <cell r="O2072" t="str">
            <v>B</v>
          </cell>
        </row>
        <row r="2073">
          <cell r="C2073">
            <v>33821</v>
          </cell>
          <cell r="D2073" t="str">
            <v>RIL KANHEPHATA(WADGAON)</v>
          </cell>
          <cell r="E2073" t="str">
            <v>RBML</v>
          </cell>
          <cell r="G2073" t="str">
            <v>Pune Tathawade RSA</v>
          </cell>
          <cell r="J2073" t="str">
            <v>VADGAON TO KAMSHET</v>
          </cell>
          <cell r="K2073" t="str">
            <v>Pune</v>
          </cell>
          <cell r="L2073" t="str">
            <v>D1</v>
          </cell>
          <cell r="M2073" t="str">
            <v>NH-48</v>
          </cell>
          <cell r="O2073" t="str">
            <v>B</v>
          </cell>
        </row>
        <row r="2074">
          <cell r="C2074">
            <v>33900</v>
          </cell>
          <cell r="D2074" t="str">
            <v>COCO, RAHATA</v>
          </cell>
          <cell r="E2074" t="str">
            <v>RBML</v>
          </cell>
          <cell r="G2074" t="str">
            <v>Shirdi RSA</v>
          </cell>
          <cell r="J2074" t="str">
            <v>RAHATA</v>
          </cell>
          <cell r="K2074" t="str">
            <v>Ahmednagar</v>
          </cell>
          <cell r="L2074" t="str">
            <v>D1</v>
          </cell>
          <cell r="M2074" t="str">
            <v>NH-160</v>
          </cell>
          <cell r="O2074" t="str">
            <v>B</v>
          </cell>
        </row>
        <row r="2075">
          <cell r="C2075">
            <v>33903</v>
          </cell>
          <cell r="D2075" t="str">
            <v>COCO, SANGAMNER</v>
          </cell>
          <cell r="E2075" t="str">
            <v>RBML</v>
          </cell>
          <cell r="G2075" t="str">
            <v>Shirdi RSA</v>
          </cell>
          <cell r="J2075" t="str">
            <v>SANGAMNER KHURD ON NH</v>
          </cell>
          <cell r="K2075" t="str">
            <v>Ahmednagar</v>
          </cell>
          <cell r="L2075" t="str">
            <v>D1</v>
          </cell>
          <cell r="M2075" t="str">
            <v>NH-60</v>
          </cell>
          <cell r="O2075" t="str">
            <v>B</v>
          </cell>
        </row>
        <row r="2076">
          <cell r="C2076">
            <v>33904</v>
          </cell>
          <cell r="D2076" t="str">
            <v>COCO, RAHURI</v>
          </cell>
          <cell r="E2076" t="str">
            <v>RBML</v>
          </cell>
          <cell r="G2076" t="str">
            <v>Shirdi RSA</v>
          </cell>
          <cell r="J2076" t="str">
            <v>RAHURI NH</v>
          </cell>
          <cell r="K2076" t="str">
            <v>Ahmednagar</v>
          </cell>
          <cell r="L2076" t="str">
            <v>D1</v>
          </cell>
          <cell r="M2076" t="str">
            <v>NH-160</v>
          </cell>
          <cell r="O2076" t="str">
            <v>B</v>
          </cell>
        </row>
        <row r="2077">
          <cell r="C2077">
            <v>33905</v>
          </cell>
          <cell r="D2077" t="str">
            <v>COCO, KOPARGAON</v>
          </cell>
          <cell r="E2077" t="str">
            <v>RBML</v>
          </cell>
          <cell r="G2077" t="str">
            <v>Shirdi RSA</v>
          </cell>
          <cell r="J2077" t="str">
            <v>YESGAON</v>
          </cell>
          <cell r="K2077" t="str">
            <v>Ahmednagar</v>
          </cell>
          <cell r="L2077" t="str">
            <v>D1</v>
          </cell>
          <cell r="M2077" t="str">
            <v>NH-752G</v>
          </cell>
          <cell r="O2077" t="str">
            <v>B</v>
          </cell>
        </row>
        <row r="2078">
          <cell r="C2078">
            <v>33906</v>
          </cell>
          <cell r="D2078" t="str">
            <v>ANISH HIGHWAY SERVICES</v>
          </cell>
          <cell r="E2078" t="str">
            <v>RBML</v>
          </cell>
          <cell r="G2078" t="str">
            <v>Shirdi RSA</v>
          </cell>
          <cell r="J2078" t="str">
            <v>KOLHAR</v>
          </cell>
          <cell r="K2078" t="str">
            <v>Ahmednagar</v>
          </cell>
          <cell r="L2078" t="str">
            <v>D1</v>
          </cell>
          <cell r="M2078" t="str">
            <v>NH-160</v>
          </cell>
          <cell r="O2078" t="str">
            <v>B</v>
          </cell>
        </row>
        <row r="2079">
          <cell r="C2079">
            <v>33909</v>
          </cell>
          <cell r="D2079" t="str">
            <v>SAIDEEP PETROLEUM, SHIRDI</v>
          </cell>
          <cell r="E2079" t="str">
            <v>RBML</v>
          </cell>
          <cell r="G2079" t="str">
            <v>Shirdi RSA</v>
          </cell>
          <cell r="J2079" t="str">
            <v xml:space="preserve">SHIRDI </v>
          </cell>
          <cell r="K2079" t="str">
            <v>Ahmednagar</v>
          </cell>
          <cell r="L2079" t="str">
            <v>D1</v>
          </cell>
          <cell r="M2079" t="str">
            <v>NH-160</v>
          </cell>
          <cell r="O2079" t="str">
            <v>B</v>
          </cell>
        </row>
        <row r="2080">
          <cell r="C2080">
            <v>33912</v>
          </cell>
          <cell r="D2080" t="str">
            <v>OM SAI PETROLEUM, SHRIRAMPUR</v>
          </cell>
          <cell r="E2080" t="str">
            <v>RBML</v>
          </cell>
          <cell r="G2080" t="str">
            <v>Shirdi RSA</v>
          </cell>
          <cell r="J2080" t="str">
            <v>SHRIRAMPUR RURAL</v>
          </cell>
          <cell r="K2080" t="str">
            <v>Ahmednagar</v>
          </cell>
          <cell r="L2080" t="str">
            <v>D2</v>
          </cell>
          <cell r="O2080" t="str">
            <v>B</v>
          </cell>
        </row>
        <row r="2081">
          <cell r="C2081">
            <v>33913</v>
          </cell>
          <cell r="D2081" t="str">
            <v>KARACHIWALA FUEL STATION, CHAAS</v>
          </cell>
          <cell r="E2081" t="str">
            <v>RBML</v>
          </cell>
          <cell r="G2081" t="str">
            <v>Ahmednagar East RSA</v>
          </cell>
          <cell r="J2081" t="str">
            <v>Chas</v>
          </cell>
          <cell r="K2081" t="str">
            <v>Ahmednagar</v>
          </cell>
          <cell r="L2081" t="str">
            <v>D1</v>
          </cell>
          <cell r="M2081" t="str">
            <v>NH-753F</v>
          </cell>
          <cell r="O2081" t="str">
            <v>B</v>
          </cell>
        </row>
        <row r="2082">
          <cell r="C2082">
            <v>33914</v>
          </cell>
          <cell r="D2082" t="str">
            <v>S M PETROLEUM, NAGAR CITY</v>
          </cell>
          <cell r="E2082" t="str">
            <v>RBML</v>
          </cell>
          <cell r="G2082" t="str">
            <v>Ahmednagar East RSA</v>
          </cell>
          <cell r="J2082" t="str">
            <v>Nagar city</v>
          </cell>
          <cell r="K2082" t="str">
            <v>Ahmednagar</v>
          </cell>
          <cell r="L2082" t="str">
            <v>D1</v>
          </cell>
          <cell r="M2082" t="str">
            <v>NH-753F</v>
          </cell>
          <cell r="O2082" t="str">
            <v>B</v>
          </cell>
        </row>
        <row r="2083">
          <cell r="C2083">
            <v>33915</v>
          </cell>
          <cell r="D2083" t="str">
            <v>BALASAHEB VASANT BALSARAF FUEL STATION, AKOLE</v>
          </cell>
          <cell r="E2083" t="str">
            <v>RBML</v>
          </cell>
          <cell r="G2083" t="str">
            <v>Shirdi RSA</v>
          </cell>
          <cell r="J2083" t="str">
            <v>AKOLE</v>
          </cell>
          <cell r="K2083" t="str">
            <v>Ahmednagar</v>
          </cell>
          <cell r="L2083" t="str">
            <v>D2</v>
          </cell>
          <cell r="O2083" t="str">
            <v>B</v>
          </cell>
        </row>
        <row r="2084">
          <cell r="C2084">
            <v>33916</v>
          </cell>
          <cell r="D2084" t="str">
            <v>KAILASH PETROLEUM, SHIBLAPUR</v>
          </cell>
          <cell r="E2084" t="str">
            <v>RBML</v>
          </cell>
          <cell r="G2084" t="str">
            <v>Shirdi RSA</v>
          </cell>
          <cell r="J2084" t="str">
            <v>PRATAPPUR ASHWI</v>
          </cell>
          <cell r="K2084" t="str">
            <v>Ahmednagar</v>
          </cell>
          <cell r="L2084" t="str">
            <v>E</v>
          </cell>
          <cell r="O2084" t="str">
            <v>B</v>
          </cell>
        </row>
        <row r="2085">
          <cell r="C2085">
            <v>33917</v>
          </cell>
          <cell r="D2085" t="str">
            <v>SAHYADRI PETROLEUM, SAMSHERPUR</v>
          </cell>
          <cell r="E2085" t="str">
            <v>RBML</v>
          </cell>
          <cell r="G2085" t="str">
            <v>Shirdi RSA</v>
          </cell>
          <cell r="J2085" t="str">
            <v>SAMSHERPUR</v>
          </cell>
          <cell r="K2085" t="str">
            <v>Ahmednagar</v>
          </cell>
          <cell r="L2085" t="str">
            <v>E</v>
          </cell>
          <cell r="O2085" t="str">
            <v>B</v>
          </cell>
        </row>
        <row r="2086">
          <cell r="C2086">
            <v>34228</v>
          </cell>
          <cell r="D2086" t="str">
            <v>Reliance Shikrapur</v>
          </cell>
          <cell r="E2086" t="str">
            <v>RBML</v>
          </cell>
          <cell r="G2086" t="str">
            <v>Pune Wagholi RSA</v>
          </cell>
          <cell r="J2086" t="str">
            <v>Koregaon Bhima to Shikrapur LHS</v>
          </cell>
          <cell r="K2086" t="str">
            <v>Pune</v>
          </cell>
          <cell r="L2086" t="str">
            <v>D1</v>
          </cell>
          <cell r="M2086" t="str">
            <v>NH-753F</v>
          </cell>
          <cell r="O2086" t="str">
            <v>A</v>
          </cell>
        </row>
        <row r="2087">
          <cell r="C2087">
            <v>34232</v>
          </cell>
          <cell r="D2087" t="str">
            <v>Reliance Narayangaon</v>
          </cell>
          <cell r="E2087" t="str">
            <v>RBML</v>
          </cell>
          <cell r="G2087" t="str">
            <v>Pune Wagholi RSA</v>
          </cell>
          <cell r="J2087" t="str">
            <v>Narayangaon</v>
          </cell>
          <cell r="K2087" t="str">
            <v>Pune</v>
          </cell>
          <cell r="L2087" t="str">
            <v>C</v>
          </cell>
          <cell r="O2087" t="str">
            <v>B</v>
          </cell>
        </row>
        <row r="2088">
          <cell r="C2088">
            <v>34252</v>
          </cell>
          <cell r="D2088" t="str">
            <v>Raj Petroleum</v>
          </cell>
          <cell r="E2088" t="str">
            <v>RBML</v>
          </cell>
          <cell r="G2088" t="str">
            <v>Ahmednagar East RSA</v>
          </cell>
          <cell r="J2088" t="str">
            <v>Handinimgaon</v>
          </cell>
          <cell r="K2088" t="str">
            <v>Ahmednagar</v>
          </cell>
          <cell r="L2088" t="str">
            <v>D1</v>
          </cell>
          <cell r="M2088" t="str">
            <v>NH-753F</v>
          </cell>
          <cell r="O2088" t="str">
            <v>B</v>
          </cell>
        </row>
        <row r="2089">
          <cell r="C2089">
            <v>34253</v>
          </cell>
          <cell r="D2089" t="str">
            <v>Speedage Petroleum</v>
          </cell>
          <cell r="E2089" t="str">
            <v>RBML</v>
          </cell>
          <cell r="G2089" t="str">
            <v>Ahmednagar East RSA</v>
          </cell>
          <cell r="J2089" t="str">
            <v>Shendi</v>
          </cell>
          <cell r="K2089" t="str">
            <v>Ahmednagar</v>
          </cell>
          <cell r="L2089" t="str">
            <v>D1</v>
          </cell>
          <cell r="M2089" t="str">
            <v>NH-753F</v>
          </cell>
          <cell r="O2089" t="str">
            <v>B</v>
          </cell>
        </row>
        <row r="2090">
          <cell r="C2090">
            <v>34254</v>
          </cell>
          <cell r="D2090" t="str">
            <v>COCO Mirajgaon</v>
          </cell>
          <cell r="E2090" t="str">
            <v>RBML</v>
          </cell>
          <cell r="G2090" t="str">
            <v>Ahmednagar West RSA</v>
          </cell>
          <cell r="J2090" t="str">
            <v>MIRAJGAON-SH</v>
          </cell>
          <cell r="K2090" t="str">
            <v>Ahmednagar</v>
          </cell>
          <cell r="L2090" t="str">
            <v>D2</v>
          </cell>
          <cell r="O2090" t="str">
            <v>B</v>
          </cell>
        </row>
        <row r="2091">
          <cell r="C2091">
            <v>34255</v>
          </cell>
          <cell r="D2091" t="str">
            <v>Khedshivapur</v>
          </cell>
          <cell r="E2091" t="str">
            <v>RBML</v>
          </cell>
          <cell r="G2091" t="str">
            <v>Pune Tathawade RSA</v>
          </cell>
          <cell r="J2091" t="str">
            <v>KHEDSHIVAPUR TO HARISHCHANDRI</v>
          </cell>
          <cell r="K2091" t="str">
            <v>Pune</v>
          </cell>
          <cell r="L2091" t="str">
            <v>D1</v>
          </cell>
          <cell r="M2091" t="str">
            <v>NH-48</v>
          </cell>
          <cell r="O2091" t="str">
            <v>A</v>
          </cell>
        </row>
        <row r="2092">
          <cell r="C2092">
            <v>34258</v>
          </cell>
          <cell r="D2092" t="str">
            <v>Reliance Alephata</v>
          </cell>
          <cell r="E2092" t="str">
            <v>RBML</v>
          </cell>
          <cell r="G2092" t="str">
            <v>Pune Wagholi RSA</v>
          </cell>
          <cell r="J2092" t="str">
            <v>Alephata on Kalyan highway</v>
          </cell>
          <cell r="K2092" t="str">
            <v>Pune</v>
          </cell>
          <cell r="L2092" t="str">
            <v>D1</v>
          </cell>
          <cell r="M2092" t="str">
            <v>NH-61</v>
          </cell>
          <cell r="O2092" t="str">
            <v>B</v>
          </cell>
        </row>
        <row r="2093">
          <cell r="C2093">
            <v>34259</v>
          </cell>
          <cell r="D2093" t="str">
            <v>Reliance Nirgudsar</v>
          </cell>
          <cell r="E2093" t="str">
            <v>RBML</v>
          </cell>
          <cell r="G2093" t="str">
            <v>Pune Wagholi RSA</v>
          </cell>
          <cell r="J2093" t="str">
            <v>Mengdewadi</v>
          </cell>
          <cell r="K2093" t="str">
            <v>Pune</v>
          </cell>
          <cell r="L2093" t="str">
            <v>E</v>
          </cell>
          <cell r="O2093" t="str">
            <v>B</v>
          </cell>
        </row>
        <row r="2094">
          <cell r="C2094">
            <v>34273</v>
          </cell>
          <cell r="D2094" t="str">
            <v>RIL LONI KALBHOR</v>
          </cell>
          <cell r="E2094" t="str">
            <v>RBML</v>
          </cell>
          <cell r="G2094" t="str">
            <v>Pune Hadapsar RSA</v>
          </cell>
          <cell r="J2094" t="str">
            <v>Loni RHS</v>
          </cell>
          <cell r="K2094" t="str">
            <v>Pune</v>
          </cell>
          <cell r="L2094" t="str">
            <v>D1</v>
          </cell>
          <cell r="M2094" t="str">
            <v>NH-65</v>
          </cell>
          <cell r="O2094" t="str">
            <v>B</v>
          </cell>
        </row>
        <row r="2095">
          <cell r="C2095">
            <v>34274</v>
          </cell>
          <cell r="D2095" t="str">
            <v>RIL DAUND</v>
          </cell>
          <cell r="E2095" t="str">
            <v>RBML</v>
          </cell>
          <cell r="G2095" t="str">
            <v>Pune Hadapsar RSA</v>
          </cell>
          <cell r="J2095" t="str">
            <v>Daund</v>
          </cell>
          <cell r="K2095" t="str">
            <v>Pune</v>
          </cell>
          <cell r="L2095" t="str">
            <v>D2</v>
          </cell>
          <cell r="O2095" t="str">
            <v>B</v>
          </cell>
        </row>
        <row r="2096">
          <cell r="C2096">
            <v>34275</v>
          </cell>
          <cell r="D2096" t="str">
            <v>RIL SASWAD</v>
          </cell>
          <cell r="E2096" t="str">
            <v>RBML</v>
          </cell>
          <cell r="G2096" t="str">
            <v>Pune Saswad RSA</v>
          </cell>
          <cell r="J2096" t="str">
            <v>SASWAD</v>
          </cell>
          <cell r="K2096" t="str">
            <v>Pune</v>
          </cell>
          <cell r="L2096" t="str">
            <v>C</v>
          </cell>
          <cell r="O2096" t="str">
            <v>B</v>
          </cell>
        </row>
        <row r="2097">
          <cell r="C2097">
            <v>34277</v>
          </cell>
          <cell r="D2097" t="str">
            <v>RIL THEUR PHATA</v>
          </cell>
          <cell r="E2097" t="str">
            <v>RBML</v>
          </cell>
          <cell r="G2097" t="str">
            <v>Pune Hadapsar RSA</v>
          </cell>
          <cell r="J2097" t="str">
            <v>Theur</v>
          </cell>
          <cell r="K2097" t="str">
            <v>Pune</v>
          </cell>
          <cell r="L2097" t="str">
            <v>D1</v>
          </cell>
          <cell r="M2097" t="str">
            <v>NH-548DD</v>
          </cell>
          <cell r="O2097" t="str">
            <v>A</v>
          </cell>
        </row>
        <row r="2098">
          <cell r="C2098">
            <v>35365</v>
          </cell>
          <cell r="D2098" t="str">
            <v xml:space="preserve">SHRI SWAMI SAMARTH PETROLEUM </v>
          </cell>
          <cell r="E2098" t="str">
            <v>RBML</v>
          </cell>
          <cell r="G2098" t="str">
            <v>Ahmednagar West RSA</v>
          </cell>
          <cell r="J2098" t="str">
            <v>karanji</v>
          </cell>
          <cell r="K2098" t="str">
            <v>Ahmednagar</v>
          </cell>
          <cell r="L2098" t="str">
            <v>D1</v>
          </cell>
          <cell r="M2098" t="str">
            <v>NH-61</v>
          </cell>
          <cell r="O2098" t="str">
            <v>B</v>
          </cell>
        </row>
        <row r="2099">
          <cell r="C2099">
            <v>35920</v>
          </cell>
          <cell r="D2099" t="str">
            <v>Reliance Khed</v>
          </cell>
          <cell r="E2099" t="str">
            <v>RBML</v>
          </cell>
          <cell r="G2099" t="str">
            <v>Pimpri Chinchwad RSA</v>
          </cell>
          <cell r="J2099" t="str">
            <v>Rajgurunagar on NH</v>
          </cell>
          <cell r="K2099" t="str">
            <v>Pune</v>
          </cell>
          <cell r="L2099" t="str">
            <v>D1</v>
          </cell>
          <cell r="M2099" t="str">
            <v>NH-60</v>
          </cell>
          <cell r="O2099" t="str">
            <v>B</v>
          </cell>
        </row>
        <row r="2100">
          <cell r="C2100">
            <v>51924557</v>
          </cell>
          <cell r="D2100" t="str">
            <v>KADAM PETROLEUM</v>
          </cell>
          <cell r="E2100" t="str">
            <v>RBML</v>
          </cell>
          <cell r="F2100" t="str">
            <v>2023-24</v>
          </cell>
          <cell r="G2100" t="str">
            <v>Ahmednagar West RSA</v>
          </cell>
          <cell r="J2100" t="str">
            <v>LONI VYNKNATH-KASHTI (NH)</v>
          </cell>
          <cell r="K2100" t="str">
            <v>Ahmednagar</v>
          </cell>
          <cell r="L2100" t="str">
            <v>D1</v>
          </cell>
          <cell r="M2100" t="str">
            <v>NH-160</v>
          </cell>
          <cell r="O2100" t="str">
            <v>B</v>
          </cell>
        </row>
        <row r="2101">
          <cell r="C2101">
            <v>51924558</v>
          </cell>
          <cell r="D2101" t="str">
            <v>PANDHARINATH PETROLEUM</v>
          </cell>
          <cell r="E2101" t="str">
            <v>RBML</v>
          </cell>
          <cell r="F2101" t="str">
            <v>2023-24</v>
          </cell>
          <cell r="G2101" t="str">
            <v>Ahmednagar West RSA</v>
          </cell>
          <cell r="J2101" t="str">
            <v>KARJAT-RASHIN RD</v>
          </cell>
          <cell r="K2101" t="str">
            <v>Ahmednagar</v>
          </cell>
          <cell r="L2101" t="str">
            <v>D2</v>
          </cell>
          <cell r="O2101" t="str">
            <v>B</v>
          </cell>
        </row>
        <row r="2102">
          <cell r="C2102">
            <v>51924559</v>
          </cell>
          <cell r="D2102" t="str">
            <v>RAHUL PETROLEUM</v>
          </cell>
          <cell r="E2102" t="str">
            <v>RBML</v>
          </cell>
          <cell r="F2102" t="str">
            <v>2023-24</v>
          </cell>
          <cell r="G2102" t="str">
            <v>Ahmednagar West RSA</v>
          </cell>
          <cell r="J2102" t="str">
            <v>JAMKHED-KHARDA RD</v>
          </cell>
          <cell r="K2102" t="str">
            <v>Ahmednagar</v>
          </cell>
          <cell r="L2102" t="str">
            <v>D2</v>
          </cell>
          <cell r="O2102" t="str">
            <v>B</v>
          </cell>
        </row>
        <row r="2103">
          <cell r="C2103">
            <v>51924560</v>
          </cell>
          <cell r="D2103" t="str">
            <v>SHRI KRUPA PETROLEUM</v>
          </cell>
          <cell r="E2103" t="str">
            <v>RBML</v>
          </cell>
          <cell r="F2103" t="str">
            <v>2023-24</v>
          </cell>
          <cell r="G2103" t="str">
            <v>Ahmednagar West RSA</v>
          </cell>
          <cell r="J2103" t="str">
            <v>MIRAJGAON-NH</v>
          </cell>
          <cell r="K2103" t="str">
            <v>Ahmednagar</v>
          </cell>
          <cell r="L2103" t="str">
            <v>D1</v>
          </cell>
          <cell r="M2103" t="str">
            <v>NH-561A</v>
          </cell>
          <cell r="O2103" t="str">
            <v>B</v>
          </cell>
        </row>
        <row r="2104">
          <cell r="C2104">
            <v>51924562</v>
          </cell>
          <cell r="D2104" t="str">
            <v>JIO PETROLEUM PATHARDI</v>
          </cell>
          <cell r="E2104" t="str">
            <v>RBML</v>
          </cell>
          <cell r="F2104" t="str">
            <v>2023-24</v>
          </cell>
          <cell r="G2104" t="str">
            <v>Ahmednagar West RSA</v>
          </cell>
          <cell r="J2104" t="str">
            <v>PATHARDI-NH</v>
          </cell>
          <cell r="K2104" t="str">
            <v>Ahmednagar</v>
          </cell>
          <cell r="L2104" t="str">
            <v>D1</v>
          </cell>
          <cell r="M2104" t="str">
            <v>NH-61</v>
          </cell>
          <cell r="O2104" t="str">
            <v>B</v>
          </cell>
        </row>
        <row r="2105">
          <cell r="C2105">
            <v>25816909476</v>
          </cell>
          <cell r="D2105" t="str">
            <v>RIL Baramati</v>
          </cell>
          <cell r="E2105" t="str">
            <v>RBML</v>
          </cell>
          <cell r="G2105" t="str">
            <v>Pune Tathawade RSA</v>
          </cell>
          <cell r="J2105" t="str">
            <v>BARAMATI TOWN ON BHIGWAN ROAD</v>
          </cell>
          <cell r="K2105" t="str">
            <v>Pune</v>
          </cell>
          <cell r="L2105" t="str">
            <v>D1</v>
          </cell>
          <cell r="M2105" t="str">
            <v>NH-965G</v>
          </cell>
          <cell r="O2105" t="str">
            <v>A</v>
          </cell>
        </row>
        <row r="2106">
          <cell r="C2106">
            <v>51929046</v>
          </cell>
          <cell r="D2106" t="str">
            <v>RAAHI PETROLEUM</v>
          </cell>
          <cell r="E2106" t="str">
            <v>RBML</v>
          </cell>
          <cell r="F2106" t="str">
            <v>2025-26</v>
          </cell>
          <cell r="G2106" t="str">
            <v>Pune Wagholi RSA</v>
          </cell>
          <cell r="J2106" t="str">
            <v>Shikrapur to Inamgaon</v>
          </cell>
          <cell r="K2106" t="str">
            <v>Pune</v>
          </cell>
          <cell r="L2106" t="str">
            <v>D1</v>
          </cell>
          <cell r="M2106" t="str">
            <v>NH-548D</v>
          </cell>
          <cell r="O2106" t="str">
            <v>B</v>
          </cell>
        </row>
        <row r="2107">
          <cell r="C2107">
            <v>51929091</v>
          </cell>
          <cell r="D2107" t="str">
            <v>Jio BP Laxminarayan Petroleum</v>
          </cell>
          <cell r="E2107" t="str">
            <v>RBML</v>
          </cell>
          <cell r="F2107" t="str">
            <v>2025-26</v>
          </cell>
          <cell r="G2107" t="str">
            <v>Pune Tathawade RSA</v>
          </cell>
          <cell r="J2107" t="str">
            <v>Gulunche</v>
          </cell>
          <cell r="K2107" t="str">
            <v>Pune</v>
          </cell>
          <cell r="L2107" t="str">
            <v>D1</v>
          </cell>
          <cell r="M2107" t="str">
            <v>NH-965D</v>
          </cell>
          <cell r="O2107" t="str">
            <v>B</v>
          </cell>
        </row>
        <row r="2108">
          <cell r="C2108">
            <v>51930111</v>
          </cell>
          <cell r="D2108" t="str">
            <v>Jio BP Sairaj Petroleum</v>
          </cell>
          <cell r="E2108" t="str">
            <v>RBML</v>
          </cell>
          <cell r="F2108" t="str">
            <v>2025-26</v>
          </cell>
          <cell r="G2108" t="str">
            <v>Pune Saswad RSA</v>
          </cell>
          <cell r="J2108" t="str">
            <v>LONI DEOKAR</v>
          </cell>
          <cell r="K2108" t="str">
            <v>Pune</v>
          </cell>
          <cell r="L2108" t="str">
            <v>D1</v>
          </cell>
          <cell r="M2108" t="str">
            <v>NH-65</v>
          </cell>
          <cell r="O2108" t="str">
            <v>B</v>
          </cell>
        </row>
        <row r="2109">
          <cell r="C2109">
            <v>51930087</v>
          </cell>
          <cell r="D2109" t="str">
            <v>RBML Ghodegaon</v>
          </cell>
          <cell r="E2109" t="str">
            <v>RBML</v>
          </cell>
          <cell r="F2109" t="str">
            <v>2024-25</v>
          </cell>
          <cell r="G2109" t="str">
            <v>Pune Wagholi RSA</v>
          </cell>
          <cell r="J2109" t="str">
            <v>Ghodegaon_Ambegaon</v>
          </cell>
          <cell r="K2109" t="str">
            <v>Pune</v>
          </cell>
          <cell r="L2109" t="str">
            <v>D2</v>
          </cell>
          <cell r="O2109" t="str">
            <v>B</v>
          </cell>
        </row>
        <row r="2110">
          <cell r="C2110">
            <v>51924426</v>
          </cell>
          <cell r="D2110" t="str">
            <v>RBML Bhor</v>
          </cell>
          <cell r="E2110" t="str">
            <v>RBML</v>
          </cell>
          <cell r="F2110" t="str">
            <v>2024-25</v>
          </cell>
          <cell r="G2110" t="str">
            <v>Pune Tathawade RSA</v>
          </cell>
          <cell r="J2110" t="str">
            <v>BHOR</v>
          </cell>
          <cell r="K2110" t="str">
            <v>Pune</v>
          </cell>
          <cell r="L2110" t="str">
            <v>D1</v>
          </cell>
          <cell r="M2110" t="str">
            <v>NH-965DD</v>
          </cell>
          <cell r="O2110" t="str">
            <v>B</v>
          </cell>
        </row>
        <row r="2111">
          <cell r="C2111">
            <v>51930107</v>
          </cell>
          <cell r="D2111" t="str">
            <v>RBML Chilekhanwadi</v>
          </cell>
          <cell r="E2111" t="str">
            <v>RBML</v>
          </cell>
          <cell r="F2111" t="str">
            <v>2024-25</v>
          </cell>
          <cell r="G2111" t="str">
            <v>Ahmednagar East RSA</v>
          </cell>
          <cell r="J2111" t="str">
            <v>Kukana</v>
          </cell>
          <cell r="K2111" t="str">
            <v>Ahmednagar</v>
          </cell>
          <cell r="L2111" t="str">
            <v>D2</v>
          </cell>
          <cell r="O2111" t="str">
            <v>B</v>
          </cell>
        </row>
        <row r="2112">
          <cell r="C2112">
            <v>51930418</v>
          </cell>
          <cell r="D2112" t="str">
            <v>RBML Harichandri</v>
          </cell>
          <cell r="E2112" t="str">
            <v>RBML</v>
          </cell>
          <cell r="F2112" t="str">
            <v>2024-25</v>
          </cell>
          <cell r="G2112" t="str">
            <v>Pune Tathawade RSA</v>
          </cell>
          <cell r="J2112" t="str">
            <v>HARISHCHANDRI TO KHED SHIVAPUR</v>
          </cell>
          <cell r="K2112" t="str">
            <v>Pune</v>
          </cell>
          <cell r="L2112" t="str">
            <v>D1</v>
          </cell>
          <cell r="M2112" t="str">
            <v>NH-48</v>
          </cell>
          <cell r="O2112" t="str">
            <v>B</v>
          </cell>
        </row>
        <row r="2113">
          <cell r="C2113">
            <v>51930427</v>
          </cell>
          <cell r="D2113" t="str">
            <v>RBML Jaugi Bawanchi wadi</v>
          </cell>
          <cell r="E2113" t="str">
            <v>RBML</v>
          </cell>
          <cell r="F2113" t="str">
            <v>2025-26</v>
          </cell>
          <cell r="G2113" t="str">
            <v>Pune Hadapsar RSA</v>
          </cell>
          <cell r="J2113" t="str">
            <v>Yawat LHS</v>
          </cell>
          <cell r="K2113" t="str">
            <v>Pune</v>
          </cell>
          <cell r="L2113" t="str">
            <v>D1</v>
          </cell>
          <cell r="M2113" t="str">
            <v>NH-65</v>
          </cell>
          <cell r="O2113" t="str">
            <v>B</v>
          </cell>
        </row>
        <row r="2114">
          <cell r="C2114">
            <v>51930424</v>
          </cell>
          <cell r="D2114" t="str">
            <v>RBML Bhokar</v>
          </cell>
          <cell r="E2114" t="str">
            <v>RBML</v>
          </cell>
          <cell r="F2114" t="str">
            <v>2025-26</v>
          </cell>
          <cell r="G2114" t="str">
            <v>Shirdi RSA</v>
          </cell>
          <cell r="J2114" t="str">
            <v>KHOKAR-BHOKAR</v>
          </cell>
          <cell r="K2114" t="str">
            <v>Ahmednagar</v>
          </cell>
          <cell r="L2114" t="str">
            <v>D2</v>
          </cell>
          <cell r="O2114" t="str">
            <v>B</v>
          </cell>
        </row>
        <row r="2115">
          <cell r="C2115">
            <v>51924686</v>
          </cell>
          <cell r="D2115" t="str">
            <v>RBML Karanji</v>
          </cell>
          <cell r="E2115" t="str">
            <v>RBML</v>
          </cell>
          <cell r="F2115" t="str">
            <v>2025-26</v>
          </cell>
          <cell r="G2115" t="str">
            <v>Ahmednagar West RSA</v>
          </cell>
          <cell r="J2115" t="str">
            <v>Karanji</v>
          </cell>
          <cell r="K2115" t="str">
            <v>Ahmednagar</v>
          </cell>
          <cell r="L2115" t="str">
            <v>D2</v>
          </cell>
          <cell r="O2115" t="str">
            <v>B</v>
          </cell>
        </row>
        <row r="2116">
          <cell r="C2116">
            <v>51930112</v>
          </cell>
          <cell r="D2116" t="str">
            <v>RBML Maka</v>
          </cell>
          <cell r="E2116" t="str">
            <v>RBML</v>
          </cell>
          <cell r="F2116" t="str">
            <v>2025-26</v>
          </cell>
          <cell r="G2116" t="str">
            <v>Ahmednagar East RSA</v>
          </cell>
          <cell r="J2116" t="str">
            <v>Miri</v>
          </cell>
          <cell r="K2116" t="str">
            <v>Ahmednagar</v>
          </cell>
          <cell r="L2116" t="str">
            <v>D2</v>
          </cell>
          <cell r="O2116" t="str">
            <v>B</v>
          </cell>
        </row>
        <row r="2117">
          <cell r="C2117">
            <v>51930110</v>
          </cell>
          <cell r="D2117" t="str">
            <v>RBML Newasa Phata</v>
          </cell>
          <cell r="E2117" t="str">
            <v>RBML</v>
          </cell>
          <cell r="F2117" t="str">
            <v>2025-26</v>
          </cell>
          <cell r="G2117" t="str">
            <v>Ahmednagar East RSA</v>
          </cell>
          <cell r="J2117" t="str">
            <v>Ghodegaon</v>
          </cell>
          <cell r="K2117" t="str">
            <v>Ahmednagar</v>
          </cell>
          <cell r="L2117" t="str">
            <v>D1</v>
          </cell>
          <cell r="M2117" t="str">
            <v>NH-753F</v>
          </cell>
          <cell r="O2117" t="str">
            <v>B</v>
          </cell>
        </row>
        <row r="2118">
          <cell r="C2118">
            <v>51929526</v>
          </cell>
          <cell r="D2118" t="str">
            <v>RBML Barad Phalton</v>
          </cell>
          <cell r="E2118" t="str">
            <v>RBML</v>
          </cell>
          <cell r="F2118" t="str">
            <v>2025-26</v>
          </cell>
          <cell r="G2118" t="str">
            <v>Satara East RSA</v>
          </cell>
          <cell r="J2118" t="str">
            <v>Monopoly</v>
          </cell>
          <cell r="K2118" t="str">
            <v>Satara</v>
          </cell>
          <cell r="L2118" t="str">
            <v>D2</v>
          </cell>
          <cell r="O2118" t="str">
            <v>B</v>
          </cell>
        </row>
        <row r="2119">
          <cell r="C2119">
            <v>51930425</v>
          </cell>
          <cell r="D2119" t="str">
            <v>RBML Patas</v>
          </cell>
          <cell r="E2119" t="str">
            <v>RBML</v>
          </cell>
          <cell r="F2119" t="str">
            <v>2025-26</v>
          </cell>
          <cell r="G2119" t="str">
            <v>Pune Hadapsar RSA</v>
          </cell>
          <cell r="J2119" t="str">
            <v>Varvand RHS</v>
          </cell>
          <cell r="K2119" t="str">
            <v>Pune</v>
          </cell>
          <cell r="L2119" t="str">
            <v>D1</v>
          </cell>
          <cell r="M2119" t="str">
            <v>NH-65</v>
          </cell>
          <cell r="O2119" t="str">
            <v>B</v>
          </cell>
        </row>
        <row r="2120">
          <cell r="C2120">
            <v>51931628</v>
          </cell>
          <cell r="D2120" t="str">
            <v>Laxmi Petroleum Khokar Bhokar</v>
          </cell>
          <cell r="E2120" t="str">
            <v>RBML</v>
          </cell>
          <cell r="F2120" t="str">
            <v>2025-26</v>
          </cell>
          <cell r="G2120" t="str">
            <v>Shirdi RSA</v>
          </cell>
          <cell r="J2120" t="str">
            <v>KHOKAR-BHOKAR</v>
          </cell>
          <cell r="K2120" t="str">
            <v>Ahmednagar</v>
          </cell>
          <cell r="L2120" t="str">
            <v>D2</v>
          </cell>
          <cell r="O2120" t="str">
            <v>B</v>
          </cell>
        </row>
        <row r="2121">
          <cell r="C2121">
            <v>51931626</v>
          </cell>
          <cell r="D2121" t="str">
            <v>Patil &amp; Sons</v>
          </cell>
          <cell r="E2121" t="str">
            <v>RBML</v>
          </cell>
          <cell r="F2121" t="str">
            <v>2025-26</v>
          </cell>
          <cell r="G2121" t="str">
            <v>Shirdi RSA</v>
          </cell>
          <cell r="J2121" t="str">
            <v>DHAMORI KOPARGAON</v>
          </cell>
          <cell r="K2121" t="str">
            <v>Ahmednagar</v>
          </cell>
          <cell r="L2121" t="str">
            <v>E</v>
          </cell>
          <cell r="O2121" t="str">
            <v>B</v>
          </cell>
        </row>
        <row r="2122">
          <cell r="C2122">
            <v>51931627</v>
          </cell>
          <cell r="D2122" t="str">
            <v>Pragati RBML Shirasgaon</v>
          </cell>
          <cell r="E2122" t="str">
            <v>RBML</v>
          </cell>
          <cell r="F2122" t="str">
            <v>2025-26</v>
          </cell>
          <cell r="G2122" t="str">
            <v>Shirdi RSA</v>
          </cell>
          <cell r="J2122" t="str">
            <v>SHIRASGAON</v>
          </cell>
          <cell r="K2122" t="str">
            <v>Ahmednagar</v>
          </cell>
          <cell r="L2122" t="str">
            <v>D2</v>
          </cell>
          <cell r="O2122" t="str">
            <v>B</v>
          </cell>
        </row>
        <row r="2123">
          <cell r="C2123">
            <v>28316</v>
          </cell>
          <cell r="D2123" t="str">
            <v>Shell Chinchwad</v>
          </cell>
          <cell r="E2123" t="str">
            <v>SIMPL</v>
          </cell>
          <cell r="G2123" t="str">
            <v>Pimpri Chinchwad RSA</v>
          </cell>
          <cell r="J2123" t="str">
            <v>Chinchwad</v>
          </cell>
          <cell r="K2123" t="str">
            <v>Pune</v>
          </cell>
          <cell r="L2123" t="str">
            <v>A</v>
          </cell>
          <cell r="O2123" t="str">
            <v>B</v>
          </cell>
        </row>
        <row r="2124">
          <cell r="C2124">
            <v>28317</v>
          </cell>
          <cell r="D2124" t="str">
            <v>Shell Chakan</v>
          </cell>
          <cell r="E2124" t="str">
            <v>SIMPL</v>
          </cell>
          <cell r="G2124" t="str">
            <v>Pimpri Chinchwad RSA</v>
          </cell>
          <cell r="J2124" t="str">
            <v>CHAKAN NH-60 LHS</v>
          </cell>
          <cell r="K2124" t="str">
            <v>Pune</v>
          </cell>
          <cell r="L2124" t="str">
            <v>D1</v>
          </cell>
          <cell r="M2124" t="str">
            <v>NH-60</v>
          </cell>
          <cell r="O2124" t="str">
            <v>B</v>
          </cell>
        </row>
        <row r="2125">
          <cell r="C2125">
            <v>28318</v>
          </cell>
          <cell r="D2125" t="str">
            <v>Shell Kasarwadi LHS pune to Mumbai</v>
          </cell>
          <cell r="E2125" t="str">
            <v>SIMPL</v>
          </cell>
          <cell r="G2125" t="str">
            <v>Pune City RSA</v>
          </cell>
          <cell r="J2125" t="str">
            <v>Kasarwadi</v>
          </cell>
          <cell r="K2125" t="str">
            <v>Pune</v>
          </cell>
          <cell r="L2125" t="str">
            <v>A</v>
          </cell>
          <cell r="O2125" t="str">
            <v>A</v>
          </cell>
        </row>
        <row r="2126">
          <cell r="C2126">
            <v>28319</v>
          </cell>
          <cell r="D2126" t="str">
            <v>shell kasarwadi RHS pune to mumbai</v>
          </cell>
          <cell r="E2126" t="str">
            <v>SIMPL</v>
          </cell>
          <cell r="G2126" t="str">
            <v>Pune City RSA</v>
          </cell>
          <cell r="J2126" t="str">
            <v>Kasarwadi</v>
          </cell>
          <cell r="K2126" t="str">
            <v>Pune</v>
          </cell>
          <cell r="L2126" t="str">
            <v>A</v>
          </cell>
          <cell r="O2126" t="str">
            <v>A</v>
          </cell>
        </row>
        <row r="2127">
          <cell r="C2127">
            <v>30089</v>
          </cell>
          <cell r="D2127" t="str">
            <v>SHELL HINJEWADI</v>
          </cell>
          <cell r="E2127" t="str">
            <v>SIMPL</v>
          </cell>
          <cell r="G2127" t="str">
            <v>Pune City RSA</v>
          </cell>
          <cell r="J2127" t="str">
            <v>Hinjewadi</v>
          </cell>
          <cell r="K2127" t="str">
            <v>Pune</v>
          </cell>
          <cell r="L2127" t="str">
            <v>A</v>
          </cell>
          <cell r="O2127" t="str">
            <v>A</v>
          </cell>
        </row>
        <row r="2128">
          <cell r="C2128">
            <v>30090</v>
          </cell>
          <cell r="D2128" t="str">
            <v>SHELL VARVE</v>
          </cell>
          <cell r="E2128" t="str">
            <v>SIMPL</v>
          </cell>
          <cell r="G2128" t="str">
            <v>Pune Tathawade RSA</v>
          </cell>
          <cell r="J2128" t="str">
            <v>KHEDSHIVAPUR TO HARISHCHANDRI</v>
          </cell>
          <cell r="K2128" t="str">
            <v>Pune</v>
          </cell>
          <cell r="L2128" t="str">
            <v>D1</v>
          </cell>
          <cell r="M2128" t="str">
            <v>NH-48</v>
          </cell>
          <cell r="O2128" t="str">
            <v>A</v>
          </cell>
        </row>
        <row r="2129">
          <cell r="C2129">
            <v>30091</v>
          </cell>
          <cell r="D2129" t="str">
            <v>SHELL PAUD RD,MULSHI</v>
          </cell>
          <cell r="E2129" t="str">
            <v>SIMPL</v>
          </cell>
          <cell r="G2129" t="str">
            <v>Pune City RSA</v>
          </cell>
          <cell r="J2129" t="str">
            <v>PAUD ROAD</v>
          </cell>
          <cell r="K2129" t="str">
            <v>Pune</v>
          </cell>
          <cell r="L2129" t="str">
            <v>A</v>
          </cell>
          <cell r="O2129" t="str">
            <v>A</v>
          </cell>
        </row>
        <row r="2130">
          <cell r="C2130">
            <v>30092</v>
          </cell>
          <cell r="D2130" t="str">
            <v>SHELL KHARADI BYPASS</v>
          </cell>
          <cell r="E2130" t="str">
            <v>SIMPL</v>
          </cell>
          <cell r="G2130" t="str">
            <v>Pune City RSA</v>
          </cell>
          <cell r="J2130" t="str">
            <v>KHARADI BYPASS</v>
          </cell>
          <cell r="K2130" t="str">
            <v>Pune</v>
          </cell>
          <cell r="L2130" t="str">
            <v>A</v>
          </cell>
          <cell r="O2130" t="str">
            <v>A</v>
          </cell>
        </row>
        <row r="2131">
          <cell r="C2131">
            <v>30093</v>
          </cell>
          <cell r="D2131" t="str">
            <v>SHELL WARJE</v>
          </cell>
          <cell r="E2131" t="str">
            <v>SIMPL</v>
          </cell>
          <cell r="G2131" t="str">
            <v>Pune Tathawade RSA</v>
          </cell>
          <cell r="J2131" t="str">
            <v>BAVDHAN TO NARHE</v>
          </cell>
          <cell r="K2131" t="str">
            <v>Pune</v>
          </cell>
          <cell r="L2131" t="str">
            <v>A</v>
          </cell>
          <cell r="M2131" t="str">
            <v>NH-48</v>
          </cell>
          <cell r="O2131" t="str">
            <v>A</v>
          </cell>
        </row>
        <row r="2132">
          <cell r="C2132">
            <v>34531</v>
          </cell>
          <cell r="D2132" t="str">
            <v>Shell Somatane Phata</v>
          </cell>
          <cell r="E2132" t="str">
            <v>SIMPL</v>
          </cell>
          <cell r="G2132" t="str">
            <v>Pune Tathawade RSA</v>
          </cell>
          <cell r="J2132" t="str">
            <v>DEHU ROAD TO TALEGAON DABHADE</v>
          </cell>
          <cell r="K2132" t="str">
            <v>Pune</v>
          </cell>
          <cell r="L2132" t="str">
            <v>D1</v>
          </cell>
          <cell r="M2132" t="str">
            <v>NH-48</v>
          </cell>
          <cell r="O2132" t="str">
            <v>B</v>
          </cell>
        </row>
        <row r="2133">
          <cell r="C2133">
            <v>34801</v>
          </cell>
          <cell r="D2133" t="str">
            <v>SHELL KHARADI BYPASS (CHANDAN NAGAR)</v>
          </cell>
          <cell r="E2133" t="str">
            <v>SIMPL</v>
          </cell>
          <cell r="G2133" t="str">
            <v>Pune City RSA</v>
          </cell>
          <cell r="J2133" t="str">
            <v>KHARADI BYPASS</v>
          </cell>
          <cell r="K2133" t="str">
            <v>Pune</v>
          </cell>
          <cell r="L2133" t="str">
            <v>A</v>
          </cell>
          <cell r="O2133" t="str">
            <v>B</v>
          </cell>
        </row>
        <row r="2134">
          <cell r="C2134">
            <v>34803</v>
          </cell>
          <cell r="D2134" t="str">
            <v>SHELL TATHAWADE</v>
          </cell>
          <cell r="E2134" t="str">
            <v>SIMPL</v>
          </cell>
          <cell r="G2134" t="str">
            <v>Pune Tathawade RSA</v>
          </cell>
          <cell r="J2134" t="str">
            <v>BALEWADI TO DEHU ROAD</v>
          </cell>
          <cell r="K2134" t="str">
            <v>Pune</v>
          </cell>
          <cell r="L2134" t="str">
            <v>A</v>
          </cell>
          <cell r="M2134" t="str">
            <v>NH-48</v>
          </cell>
          <cell r="O2134" t="str">
            <v>B</v>
          </cell>
        </row>
        <row r="2135">
          <cell r="C2135">
            <v>34831</v>
          </cell>
          <cell r="D2135" t="str">
            <v>SHELL LONI KALBHOR</v>
          </cell>
          <cell r="E2135" t="str">
            <v>SIMPL</v>
          </cell>
          <cell r="G2135" t="str">
            <v>Pune Hadapsar RSA</v>
          </cell>
          <cell r="J2135" t="str">
            <v>Loni LHS</v>
          </cell>
          <cell r="K2135" t="str">
            <v>Pune</v>
          </cell>
          <cell r="L2135" t="str">
            <v>D1</v>
          </cell>
          <cell r="M2135" t="str">
            <v>NH-65</v>
          </cell>
          <cell r="O2135" t="str">
            <v>B</v>
          </cell>
        </row>
        <row r="2136">
          <cell r="C2136">
            <v>35141</v>
          </cell>
          <cell r="D2136" t="str">
            <v>Shell HADAPSAR</v>
          </cell>
          <cell r="E2136" t="str">
            <v>SIMPL</v>
          </cell>
          <cell r="G2136" t="str">
            <v>Pune City RSA</v>
          </cell>
          <cell r="J2136" t="str">
            <v>Wagholi</v>
          </cell>
          <cell r="K2136" t="str">
            <v>Pune</v>
          </cell>
          <cell r="L2136" t="str">
            <v>D1</v>
          </cell>
          <cell r="M2136" t="str">
            <v>NH-753F</v>
          </cell>
          <cell r="O2136" t="str">
            <v>B</v>
          </cell>
        </row>
        <row r="2137">
          <cell r="C2137">
            <v>52110546</v>
          </cell>
          <cell r="D2137" t="str">
            <v>Shell RO CHAS</v>
          </cell>
          <cell r="E2137" t="str">
            <v>SIMPL</v>
          </cell>
          <cell r="G2137" t="str">
            <v>Ahmednagar East RSA</v>
          </cell>
          <cell r="J2137" t="str">
            <v>Chas</v>
          </cell>
          <cell r="K2137" t="str">
            <v>Ahmednagar</v>
          </cell>
          <cell r="L2137" t="str">
            <v>D1</v>
          </cell>
          <cell r="M2137" t="str">
            <v>NH-753F</v>
          </cell>
          <cell r="O2137" t="str">
            <v>A</v>
          </cell>
        </row>
        <row r="2138">
          <cell r="C2138">
            <v>52111030</v>
          </cell>
          <cell r="D2138" t="str">
            <v>SHELL AIR INDIA HOUSE</v>
          </cell>
          <cell r="E2138" t="str">
            <v>SIMPL</v>
          </cell>
          <cell r="G2138" t="str">
            <v>Pune City RSA</v>
          </cell>
          <cell r="J2138" t="str">
            <v xml:space="preserve">PUNE RTO </v>
          </cell>
          <cell r="K2138" t="str">
            <v>Pune</v>
          </cell>
          <cell r="L2138" t="str">
            <v>A</v>
          </cell>
          <cell r="O2138" t="str">
            <v>A</v>
          </cell>
        </row>
        <row r="2139">
          <cell r="C2139">
            <v>52111031</v>
          </cell>
          <cell r="D2139" t="str">
            <v>SHELL SB ROAD</v>
          </cell>
          <cell r="E2139" t="str">
            <v>SIMPL</v>
          </cell>
          <cell r="G2139" t="str">
            <v>Pune City RSA</v>
          </cell>
          <cell r="J2139" t="str">
            <v>SB ROAD</v>
          </cell>
          <cell r="K2139" t="str">
            <v>Pune</v>
          </cell>
          <cell r="L2139" t="str">
            <v>A</v>
          </cell>
          <cell r="O2139" t="str">
            <v>A</v>
          </cell>
        </row>
        <row r="2140">
          <cell r="C2140">
            <v>52111033</v>
          </cell>
          <cell r="D2140" t="str">
            <v>SHELL NANDED CITY</v>
          </cell>
          <cell r="E2140" t="str">
            <v>SIMPL</v>
          </cell>
          <cell r="G2140" t="str">
            <v>Pune City RSA</v>
          </cell>
          <cell r="J2140" t="str">
            <v>NANDED CITY</v>
          </cell>
          <cell r="K2140" t="str">
            <v>Pune</v>
          </cell>
          <cell r="L2140" t="str">
            <v>A</v>
          </cell>
          <cell r="O2140" t="str">
            <v>B</v>
          </cell>
        </row>
        <row r="2141">
          <cell r="C2141">
            <v>52111036</v>
          </cell>
          <cell r="D2141" t="str">
            <v>Bopgaon ,VARVE Shell</v>
          </cell>
          <cell r="E2141" t="str">
            <v>SIMPL</v>
          </cell>
          <cell r="G2141" t="str">
            <v>Pune Tathawade RSA</v>
          </cell>
          <cell r="J2141" t="str">
            <v>HARISHCHANDRI TO KHED SHIVAPUR</v>
          </cell>
          <cell r="K2141" t="str">
            <v>Pune</v>
          </cell>
          <cell r="L2141" t="str">
            <v>D1</v>
          </cell>
          <cell r="M2141" t="str">
            <v>NH-48</v>
          </cell>
          <cell r="O2141" t="str">
            <v>A</v>
          </cell>
        </row>
        <row r="2142">
          <cell r="C2142">
            <v>52112027</v>
          </cell>
          <cell r="D2142" t="str">
            <v>SHELL PIMPLE NILAKH</v>
          </cell>
          <cell r="E2142" t="str">
            <v>SIMPL</v>
          </cell>
          <cell r="G2142" t="str">
            <v>Pune City RSA</v>
          </cell>
          <cell r="J2142" t="str">
            <v>WAKAD</v>
          </cell>
          <cell r="K2142" t="str">
            <v>Pune</v>
          </cell>
          <cell r="L2142" t="str">
            <v>A</v>
          </cell>
          <cell r="O2142" t="str">
            <v>A</v>
          </cell>
        </row>
        <row r="2143">
          <cell r="C2143">
            <v>52112086</v>
          </cell>
          <cell r="D2143" t="str">
            <v>SHELL HINJEWADI PHASE 2</v>
          </cell>
          <cell r="E2143" t="str">
            <v>SIMPL</v>
          </cell>
          <cell r="G2143" t="str">
            <v>Pune City RSA</v>
          </cell>
          <cell r="J2143" t="str">
            <v>Hinjewadi</v>
          </cell>
          <cell r="K2143" t="str">
            <v>Pune</v>
          </cell>
          <cell r="L2143" t="str">
            <v>A</v>
          </cell>
          <cell r="O2143" t="str">
            <v>A</v>
          </cell>
        </row>
        <row r="2144">
          <cell r="C2144">
            <v>52112087</v>
          </cell>
          <cell r="D2144" t="str">
            <v>SHELL SADHU VASWANI ROAD</v>
          </cell>
          <cell r="E2144" t="str">
            <v>SIMPL</v>
          </cell>
          <cell r="G2144" t="str">
            <v>Pune City RSA</v>
          </cell>
          <cell r="J2144" t="str">
            <v>GPO</v>
          </cell>
          <cell r="K2144" t="str">
            <v>Pune</v>
          </cell>
          <cell r="L2144" t="str">
            <v>A</v>
          </cell>
          <cell r="O2144" t="str">
            <v>A</v>
          </cell>
        </row>
        <row r="2145">
          <cell r="C2145">
            <v>52112088</v>
          </cell>
          <cell r="D2145" t="str">
            <v>SHELL THERGAON</v>
          </cell>
          <cell r="E2145" t="str">
            <v>SIMPL</v>
          </cell>
          <cell r="G2145" t="str">
            <v>Pune City RSA</v>
          </cell>
          <cell r="J2145" t="str">
            <v>Thergaon</v>
          </cell>
          <cell r="K2145" t="str">
            <v>Pune</v>
          </cell>
          <cell r="L2145" t="str">
            <v>A</v>
          </cell>
          <cell r="O2145" t="str">
            <v>A</v>
          </cell>
        </row>
        <row r="2146">
          <cell r="C2146">
            <v>52112089</v>
          </cell>
          <cell r="D2146" t="str">
            <v>SHELL RAVET</v>
          </cell>
          <cell r="E2146" t="str">
            <v>SIMPL</v>
          </cell>
          <cell r="G2146" t="str">
            <v>Pune Tathawade RSA</v>
          </cell>
          <cell r="J2146" t="str">
            <v>DEHU ROAD TO BALEWADI</v>
          </cell>
          <cell r="K2146" t="str">
            <v>Pune</v>
          </cell>
          <cell r="L2146" t="str">
            <v>A</v>
          </cell>
          <cell r="M2146" t="str">
            <v>NH-48</v>
          </cell>
          <cell r="O2146" t="str">
            <v>A</v>
          </cell>
        </row>
        <row r="2147">
          <cell r="C2147">
            <v>52113726</v>
          </cell>
          <cell r="D2147" t="str">
            <v>SHELL RO CHIKHALI EXIT</v>
          </cell>
          <cell r="E2147" t="str">
            <v>SIMPL</v>
          </cell>
          <cell r="G2147" t="str">
            <v>Pimpri Chinchwad RSA</v>
          </cell>
          <cell r="J2147" t="str">
            <v>Moshi</v>
          </cell>
          <cell r="K2147" t="str">
            <v>Pune</v>
          </cell>
          <cell r="L2147" t="str">
            <v>A</v>
          </cell>
          <cell r="O2147" t="str">
            <v>A</v>
          </cell>
        </row>
        <row r="2148">
          <cell r="C2148">
            <v>52114247</v>
          </cell>
          <cell r="D2148" t="str">
            <v>Shell RO Karad</v>
          </cell>
          <cell r="E2148" t="str">
            <v>SIMPL</v>
          </cell>
          <cell r="G2148" t="str">
            <v>Satara West RSA</v>
          </cell>
          <cell r="J2148" t="str">
            <v>KARAD TO KASHIL</v>
          </cell>
          <cell r="K2148" t="str">
            <v>Satara</v>
          </cell>
          <cell r="L2148" t="str">
            <v>D1</v>
          </cell>
          <cell r="M2148" t="str">
            <v>NH-48</v>
          </cell>
          <cell r="O2148" t="str">
            <v>B</v>
          </cell>
        </row>
        <row r="2149">
          <cell r="C2149">
            <v>52115786</v>
          </cell>
          <cell r="D2149" t="str">
            <v>Shell RO Ranjangaon</v>
          </cell>
          <cell r="E2149" t="str">
            <v>SIMPL</v>
          </cell>
          <cell r="G2149" t="str">
            <v>Pune Wagholi RSA</v>
          </cell>
          <cell r="J2149" t="str">
            <v>Ranjangaon RHS</v>
          </cell>
          <cell r="K2149" t="str">
            <v>Pune</v>
          </cell>
          <cell r="L2149" t="str">
            <v>D1</v>
          </cell>
          <cell r="M2149" t="str">
            <v>NH-753F</v>
          </cell>
          <cell r="O2149" t="str">
            <v>B</v>
          </cell>
        </row>
        <row r="2150">
          <cell r="C2150">
            <v>52115787</v>
          </cell>
          <cell r="D2150" t="str">
            <v>Shell RO Koregoan Bhima</v>
          </cell>
          <cell r="E2150" t="str">
            <v>SIMPL</v>
          </cell>
          <cell r="G2150" t="str">
            <v>Pune Wagholi RSA</v>
          </cell>
          <cell r="J2150" t="str">
            <v>LONIKAND to KOREGAON BHIMA LHS</v>
          </cell>
          <cell r="K2150" t="str">
            <v>Pune</v>
          </cell>
          <cell r="L2150" t="str">
            <v>D1</v>
          </cell>
          <cell r="M2150" t="str">
            <v>NH-753F</v>
          </cell>
          <cell r="O2150" t="str">
            <v>B</v>
          </cell>
        </row>
        <row r="2151">
          <cell r="C2151">
            <v>52115789</v>
          </cell>
          <cell r="D2151" t="str">
            <v>Shell RO Sus Road</v>
          </cell>
          <cell r="E2151" t="str">
            <v>SIMPL</v>
          </cell>
          <cell r="G2151" t="str">
            <v>Pune City RSA</v>
          </cell>
          <cell r="J2151" t="str">
            <v>SUS ROAD</v>
          </cell>
          <cell r="K2151" t="str">
            <v>Pune</v>
          </cell>
          <cell r="L2151" t="str">
            <v>D2</v>
          </cell>
          <cell r="O2151" t="str">
            <v>B</v>
          </cell>
        </row>
        <row r="2152">
          <cell r="C2152">
            <v>52115790</v>
          </cell>
          <cell r="D2152" t="str">
            <v>Shell RO Mohammadwadi</v>
          </cell>
          <cell r="E2152" t="str">
            <v>SIMPL</v>
          </cell>
          <cell r="G2152" t="str">
            <v>Pune City RSA</v>
          </cell>
          <cell r="J2152" t="str">
            <v>WANWORIE</v>
          </cell>
          <cell r="K2152" t="str">
            <v>Pune</v>
          </cell>
          <cell r="L2152" t="str">
            <v>A</v>
          </cell>
          <cell r="O2152" t="str">
            <v>B</v>
          </cell>
        </row>
        <row r="2153">
          <cell r="C2153">
            <v>52117046</v>
          </cell>
          <cell r="D2153" t="str">
            <v>WAGHOLI 2</v>
          </cell>
          <cell r="E2153" t="str">
            <v>SIMPL</v>
          </cell>
          <cell r="G2153" t="str">
            <v>Pune City RSA</v>
          </cell>
          <cell r="J2153" t="str">
            <v>WAGHOLI</v>
          </cell>
          <cell r="K2153" t="str">
            <v>Pune</v>
          </cell>
          <cell r="L2153" t="str">
            <v>A</v>
          </cell>
          <cell r="O2153" t="str">
            <v>B</v>
          </cell>
        </row>
        <row r="2154">
          <cell r="C2154">
            <v>52117047</v>
          </cell>
          <cell r="D2154" t="str">
            <v>URULI 2</v>
          </cell>
          <cell r="E2154" t="str">
            <v>SIMPL</v>
          </cell>
          <cell r="G2154" t="str">
            <v>Pune Hadapsar RSA</v>
          </cell>
          <cell r="J2154" t="str">
            <v>Urlidevachi Undri road</v>
          </cell>
          <cell r="K2154" t="str">
            <v>Pune</v>
          </cell>
          <cell r="L2154" t="str">
            <v>A</v>
          </cell>
          <cell r="O2154" t="str">
            <v>B</v>
          </cell>
        </row>
        <row r="2155">
          <cell r="C2155">
            <v>52117048</v>
          </cell>
          <cell r="D2155" t="str">
            <v>PIMPALE GURAV</v>
          </cell>
          <cell r="E2155" t="str">
            <v>SIMPL</v>
          </cell>
          <cell r="G2155" t="str">
            <v>Pune City RSA</v>
          </cell>
          <cell r="J2155" t="str">
            <v>SANGAVI</v>
          </cell>
          <cell r="K2155" t="str">
            <v>Pune</v>
          </cell>
          <cell r="L2155" t="str">
            <v>A</v>
          </cell>
          <cell r="O2155" t="str">
            <v>B</v>
          </cell>
        </row>
        <row r="2156">
          <cell r="C2156">
            <v>52117049</v>
          </cell>
          <cell r="D2156" t="str">
            <v>SHIVAJI NAGAR</v>
          </cell>
          <cell r="E2156" t="str">
            <v>SIMPL</v>
          </cell>
          <cell r="G2156" t="str">
            <v>Pune City RSA</v>
          </cell>
          <cell r="J2156" t="str">
            <v>SHIVAJINAGAR</v>
          </cell>
          <cell r="K2156" t="str">
            <v>Pune</v>
          </cell>
          <cell r="L2156" t="str">
            <v>A</v>
          </cell>
          <cell r="O2156" t="str">
            <v>B</v>
          </cell>
        </row>
        <row r="2157">
          <cell r="C2157">
            <v>52117050</v>
          </cell>
          <cell r="D2157" t="str">
            <v>AMBEGAON</v>
          </cell>
          <cell r="E2157" t="str">
            <v>SIMPL</v>
          </cell>
          <cell r="G2157" t="str">
            <v>Pune City RSA</v>
          </cell>
          <cell r="J2157" t="str">
            <v>AMBEGAON/WARJE</v>
          </cell>
          <cell r="K2157" t="str">
            <v>Pune</v>
          </cell>
          <cell r="L2157" t="str">
            <v>A</v>
          </cell>
          <cell r="O2157" t="str">
            <v>B</v>
          </cell>
        </row>
        <row r="2158">
          <cell r="C2158">
            <v>52117051</v>
          </cell>
          <cell r="D2158" t="str">
            <v>MAGARPATTA</v>
          </cell>
          <cell r="E2158" t="str">
            <v>SIMPL</v>
          </cell>
          <cell r="G2158" t="str">
            <v>Pune City RSA</v>
          </cell>
          <cell r="J2158" t="str">
            <v>MAGARPATTA CITY</v>
          </cell>
          <cell r="K2158" t="str">
            <v>Pune</v>
          </cell>
          <cell r="L2158" t="str">
            <v>A</v>
          </cell>
          <cell r="O2158" t="str">
            <v>B</v>
          </cell>
        </row>
        <row r="2159">
          <cell r="C2159">
            <v>52117052</v>
          </cell>
          <cell r="D2159" t="str">
            <v>NAGAR ROAD</v>
          </cell>
          <cell r="E2159" t="str">
            <v>SIMPL</v>
          </cell>
          <cell r="G2159" t="str">
            <v>Pune City RSA</v>
          </cell>
          <cell r="J2159" t="str">
            <v>Wagholi</v>
          </cell>
          <cell r="K2159" t="str">
            <v>Pune</v>
          </cell>
          <cell r="L2159" t="str">
            <v>A</v>
          </cell>
          <cell r="O2159" t="str">
            <v>B</v>
          </cell>
        </row>
        <row r="2160">
          <cell r="C2160">
            <v>52127267</v>
          </cell>
          <cell r="D2160" t="str">
            <v>SHELL RAVET BRTS</v>
          </cell>
          <cell r="E2160" t="str">
            <v>SIMPL</v>
          </cell>
          <cell r="G2160" t="str">
            <v>Pune City RSA</v>
          </cell>
          <cell r="J2160" t="str">
            <v>RAVET</v>
          </cell>
          <cell r="K2160" t="str">
            <v>Pune</v>
          </cell>
          <cell r="L2160" t="str">
            <v>A</v>
          </cell>
          <cell r="O2160" t="str">
            <v>B</v>
          </cell>
        </row>
        <row r="2161">
          <cell r="C2161">
            <v>52130116</v>
          </cell>
          <cell r="D2161" t="str">
            <v>SHELL BELAWADE</v>
          </cell>
          <cell r="E2161" t="str">
            <v>SIMPL</v>
          </cell>
          <cell r="F2161" t="str">
            <v>2025-26</v>
          </cell>
          <cell r="G2161" t="str">
            <v>Satara West RSA</v>
          </cell>
          <cell r="J2161" t="str">
            <v>KASHIL TO KARAD</v>
          </cell>
          <cell r="K2161" t="str">
            <v>Satara</v>
          </cell>
          <cell r="L2161" t="str">
            <v>D1</v>
          </cell>
          <cell r="M2161" t="str">
            <v>NH-48</v>
          </cell>
          <cell r="O2161" t="str">
            <v>B</v>
          </cell>
        </row>
        <row r="2162">
          <cell r="C2162">
            <v>52130426</v>
          </cell>
          <cell r="D2162" t="str">
            <v>SHELL GUHA</v>
          </cell>
          <cell r="E2162" t="str">
            <v>SIMPL</v>
          </cell>
          <cell r="F2162" t="str">
            <v>2025-26</v>
          </cell>
          <cell r="G2162" t="str">
            <v>Shirdi RSA</v>
          </cell>
          <cell r="J2162" t="str">
            <v>RAHURI FACTORY RHS</v>
          </cell>
          <cell r="K2162" t="str">
            <v>Ahmednagar</v>
          </cell>
          <cell r="L2162" t="str">
            <v>D1</v>
          </cell>
          <cell r="M2162" t="str">
            <v>NH-160</v>
          </cell>
          <cell r="O2162" t="str">
            <v>B</v>
          </cell>
        </row>
        <row r="2163">
          <cell r="C2163">
            <v>52130126</v>
          </cell>
          <cell r="D2163" t="str">
            <v>SHELL KHALUMBRE</v>
          </cell>
          <cell r="E2163" t="str">
            <v>SIMPL</v>
          </cell>
          <cell r="F2163" t="str">
            <v>2024-25</v>
          </cell>
          <cell r="G2163" t="str">
            <v>Pimpri Chinchwad RSA</v>
          </cell>
          <cell r="J2163" t="str">
            <v>Induri</v>
          </cell>
          <cell r="K2163" t="str">
            <v>Pune</v>
          </cell>
          <cell r="L2163" t="str">
            <v>A</v>
          </cell>
          <cell r="O2163" t="str">
            <v>B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41E6E-8B00-4008-84DB-0C39F19E106B}">
  <dimension ref="A1:EI643"/>
  <sheetViews>
    <sheetView tabSelected="1" workbookViewId="0">
      <selection activeCell="C55" sqref="C55"/>
    </sheetView>
  </sheetViews>
  <sheetFormatPr defaultColWidth="8.81640625" defaultRowHeight="14.5" x14ac:dyDescent="0.35"/>
  <cols>
    <col min="1" max="1" width="7" style="47" customWidth="1"/>
    <col min="2" max="2" width="8.81640625" style="47"/>
    <col min="3" max="3" width="34.453125" style="48" customWidth="1"/>
    <col min="4" max="4" width="22.453125" style="47" customWidth="1"/>
    <col min="5" max="5" width="8.453125" customWidth="1"/>
    <col min="6" max="6" width="7.81640625" customWidth="1"/>
    <col min="7" max="7" width="11.453125" style="47" bestFit="1" customWidth="1"/>
    <col min="8" max="8" width="10.1796875" style="47" customWidth="1"/>
    <col min="9" max="10" width="12.453125" customWidth="1"/>
    <col min="11" max="11" width="10.1796875" customWidth="1"/>
    <col min="12" max="39" width="9.1796875" style="47" customWidth="1"/>
    <col min="40" max="49" width="9.1796875" customWidth="1"/>
    <col min="50" max="50" width="9.1796875" style="53" customWidth="1"/>
    <col min="51" max="62" width="8.453125" customWidth="1"/>
    <col min="63" max="63" width="9.453125" customWidth="1"/>
    <col min="64" max="75" width="8.453125" customWidth="1"/>
    <col min="76" max="76" width="9.453125" customWidth="1"/>
  </cols>
  <sheetData>
    <row r="1" spans="1:76" s="30" customFormat="1" ht="31.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125</v>
      </c>
      <c r="H1" s="3" t="s">
        <v>126</v>
      </c>
      <c r="I1" s="3" t="s">
        <v>8</v>
      </c>
      <c r="J1" s="3" t="s">
        <v>127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11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11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11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11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11" t="s">
        <v>74</v>
      </c>
    </row>
    <row r="2" spans="1:76" x14ac:dyDescent="0.35">
      <c r="A2" s="31">
        <v>1</v>
      </c>
      <c r="B2" s="31">
        <v>192265</v>
      </c>
      <c r="C2" s="32" t="s">
        <v>128</v>
      </c>
      <c r="D2" s="6" t="s">
        <v>129</v>
      </c>
      <c r="E2" s="31" t="s">
        <v>85</v>
      </c>
      <c r="F2" s="31" t="s">
        <v>85</v>
      </c>
      <c r="G2" s="31" t="s">
        <v>130</v>
      </c>
      <c r="H2" s="33">
        <v>44412</v>
      </c>
      <c r="I2" s="6" t="s">
        <v>131</v>
      </c>
      <c r="J2" s="6"/>
      <c r="K2" s="31" t="s">
        <v>82</v>
      </c>
      <c r="L2" s="34">
        <v>186690.239999999</v>
      </c>
      <c r="M2" s="34">
        <v>188093.269999999</v>
      </c>
      <c r="N2" s="34">
        <v>180486.59</v>
      </c>
      <c r="O2" s="34">
        <v>208636.73</v>
      </c>
      <c r="P2" s="34">
        <v>204807.42</v>
      </c>
      <c r="Q2" s="34">
        <v>182067.81</v>
      </c>
      <c r="R2" s="34">
        <v>190265.1</v>
      </c>
      <c r="S2" s="34">
        <v>188530.85</v>
      </c>
      <c r="T2" s="34">
        <v>191035.2</v>
      </c>
      <c r="U2" s="34">
        <v>195459.59</v>
      </c>
      <c r="V2" s="34">
        <v>177299.709999999</v>
      </c>
      <c r="W2" s="34">
        <v>181320.03</v>
      </c>
      <c r="X2" s="11">
        <f t="shared" ref="X2:X52" si="0">SUM(L2:W2)</f>
        <v>2274692.5399999972</v>
      </c>
      <c r="Y2" s="34">
        <v>203614</v>
      </c>
      <c r="Z2" s="34">
        <v>218972</v>
      </c>
      <c r="AA2" s="34">
        <v>239060</v>
      </c>
      <c r="AB2" s="34">
        <v>245765</v>
      </c>
      <c r="AC2" s="34">
        <v>240691</v>
      </c>
      <c r="AD2" s="34">
        <v>186707</v>
      </c>
      <c r="AE2" s="34">
        <v>218750</v>
      </c>
      <c r="AF2" s="34">
        <v>214319</v>
      </c>
      <c r="AG2" s="34">
        <v>185210</v>
      </c>
      <c r="AH2" s="34">
        <v>228806</v>
      </c>
      <c r="AI2" s="34">
        <v>230243</v>
      </c>
      <c r="AJ2" s="34">
        <v>241232</v>
      </c>
      <c r="AK2" s="11">
        <f t="shared" ref="AK2:AK50" si="1">SUM(Y2:AJ2)</f>
        <v>2653369</v>
      </c>
      <c r="AL2" s="34">
        <v>224981.23</v>
      </c>
      <c r="AM2" s="35">
        <v>163725.489999999</v>
      </c>
      <c r="AN2" s="35">
        <v>249788.592</v>
      </c>
      <c r="AO2" s="35">
        <v>252388.02600000001</v>
      </c>
      <c r="AP2" s="35">
        <v>109402.91</v>
      </c>
      <c r="AQ2" s="35">
        <v>170352.33600000001</v>
      </c>
      <c r="AR2" s="35">
        <v>229703</v>
      </c>
      <c r="AS2" s="35">
        <v>130092</v>
      </c>
      <c r="AT2" s="35">
        <v>67564.66</v>
      </c>
      <c r="AU2" s="35">
        <v>227545.682</v>
      </c>
      <c r="AV2" s="35">
        <v>180988.283</v>
      </c>
      <c r="AW2" s="35">
        <v>216704.872999999</v>
      </c>
      <c r="AX2" s="11">
        <f t="shared" ref="AX2:AX50" si="2">SUM(AL2:AW2)</f>
        <v>2223237.0819999981</v>
      </c>
      <c r="AY2" s="10">
        <v>232620.43900000001</v>
      </c>
      <c r="AZ2" s="10">
        <v>242692.144</v>
      </c>
      <c r="BA2" s="10">
        <v>250731</v>
      </c>
      <c r="BB2" s="10">
        <v>253690</v>
      </c>
      <c r="BC2" s="10">
        <v>258143</v>
      </c>
      <c r="BD2" s="10">
        <v>168933.41</v>
      </c>
      <c r="BE2" s="10">
        <v>230834.049999999</v>
      </c>
      <c r="BF2" s="35">
        <v>230465.149999999</v>
      </c>
      <c r="BG2" s="35">
        <v>235727.76</v>
      </c>
      <c r="BH2" s="35">
        <v>233651.67</v>
      </c>
      <c r="BI2" s="35">
        <v>220456.98</v>
      </c>
      <c r="BJ2" s="35">
        <v>250083.79</v>
      </c>
      <c r="BK2" s="11">
        <f t="shared" ref="BK2:BK50" si="3">SUM(AY2:BJ2)</f>
        <v>2808029.3929999978</v>
      </c>
      <c r="BL2" s="10">
        <v>272839</v>
      </c>
      <c r="BM2" s="10">
        <v>311083</v>
      </c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1">
        <f t="shared" ref="BX2:BX52" si="4">SUM(BL2:BW2)</f>
        <v>583922</v>
      </c>
    </row>
    <row r="3" spans="1:76" x14ac:dyDescent="0.35">
      <c r="A3" s="31">
        <v>2</v>
      </c>
      <c r="B3" s="31">
        <v>192260</v>
      </c>
      <c r="C3" s="32" t="s">
        <v>132</v>
      </c>
      <c r="D3" s="6" t="s">
        <v>133</v>
      </c>
      <c r="E3" s="31" t="s">
        <v>85</v>
      </c>
      <c r="F3" s="31" t="s">
        <v>85</v>
      </c>
      <c r="G3" s="31" t="s">
        <v>130</v>
      </c>
      <c r="H3" s="33">
        <v>43903</v>
      </c>
      <c r="I3" s="6" t="s">
        <v>131</v>
      </c>
      <c r="J3" s="6"/>
      <c r="K3" s="31" t="s">
        <v>82</v>
      </c>
      <c r="L3" s="34">
        <v>176195.019999999</v>
      </c>
      <c r="M3" s="34">
        <v>186332.66</v>
      </c>
      <c r="N3" s="34">
        <v>181936.239999999</v>
      </c>
      <c r="O3" s="34">
        <v>187830.66</v>
      </c>
      <c r="P3" s="34">
        <v>181115.769999999</v>
      </c>
      <c r="Q3" s="34">
        <v>167449.62</v>
      </c>
      <c r="R3" s="34">
        <v>169934.16</v>
      </c>
      <c r="S3" s="34">
        <v>165950.649999999</v>
      </c>
      <c r="T3" s="34">
        <v>175906.579999999</v>
      </c>
      <c r="U3" s="34">
        <v>174911.22</v>
      </c>
      <c r="V3" s="34">
        <v>159525.16</v>
      </c>
      <c r="W3" s="34">
        <v>163321.34</v>
      </c>
      <c r="X3" s="11">
        <f t="shared" si="0"/>
        <v>2090409.0799999947</v>
      </c>
      <c r="Y3" s="34">
        <v>159208</v>
      </c>
      <c r="Z3" s="34">
        <v>168477</v>
      </c>
      <c r="AA3" s="34">
        <v>161473</v>
      </c>
      <c r="AB3" s="34">
        <v>183429</v>
      </c>
      <c r="AC3" s="34">
        <v>174867</v>
      </c>
      <c r="AD3" s="34">
        <v>140439</v>
      </c>
      <c r="AE3" s="34">
        <v>162516</v>
      </c>
      <c r="AF3" s="34">
        <v>144053</v>
      </c>
      <c r="AG3" s="34">
        <v>170250</v>
      </c>
      <c r="AH3" s="34">
        <v>171397</v>
      </c>
      <c r="AI3" s="34">
        <v>160822</v>
      </c>
      <c r="AJ3" s="34">
        <v>163960</v>
      </c>
      <c r="AK3" s="11">
        <f t="shared" si="1"/>
        <v>1960891</v>
      </c>
      <c r="AL3" s="34">
        <v>170018.7</v>
      </c>
      <c r="AM3" s="35">
        <v>179332.62</v>
      </c>
      <c r="AN3" s="35">
        <v>169673.70600000001</v>
      </c>
      <c r="AO3" s="35">
        <v>187716.647</v>
      </c>
      <c r="AP3" s="35">
        <v>187391.359999999</v>
      </c>
      <c r="AQ3" s="35">
        <v>171286.489999999</v>
      </c>
      <c r="AR3" s="35">
        <v>166900</v>
      </c>
      <c r="AS3" s="35">
        <v>173877</v>
      </c>
      <c r="AT3" s="35">
        <v>188537.046</v>
      </c>
      <c r="AU3" s="35">
        <v>172190.967999999</v>
      </c>
      <c r="AV3" s="35">
        <v>158262.557999999</v>
      </c>
      <c r="AW3" s="35">
        <v>162717.443999999</v>
      </c>
      <c r="AX3" s="11">
        <f t="shared" si="2"/>
        <v>2087904.538999995</v>
      </c>
      <c r="AY3" s="10">
        <v>114806.40700000001</v>
      </c>
      <c r="AZ3" s="10">
        <v>178522.307999999</v>
      </c>
      <c r="BA3" s="10">
        <v>181396</v>
      </c>
      <c r="BB3" s="10">
        <v>182823</v>
      </c>
      <c r="BC3" s="10">
        <v>111070</v>
      </c>
      <c r="BD3" s="10">
        <v>175062.769999999</v>
      </c>
      <c r="BE3" s="10">
        <v>184344.75</v>
      </c>
      <c r="BF3" s="35">
        <v>185541.899999999</v>
      </c>
      <c r="BG3" s="35">
        <v>194722.049999999</v>
      </c>
      <c r="BH3" s="35">
        <v>188504.6</v>
      </c>
      <c r="BI3" s="35">
        <v>174726.299999999</v>
      </c>
      <c r="BJ3" s="35">
        <v>175943.23</v>
      </c>
      <c r="BK3" s="11">
        <f t="shared" si="3"/>
        <v>2047463.3149999948</v>
      </c>
      <c r="BL3" s="10">
        <v>164700</v>
      </c>
      <c r="BM3" s="10">
        <v>190795</v>
      </c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1">
        <f t="shared" si="4"/>
        <v>355495</v>
      </c>
    </row>
    <row r="4" spans="1:76" x14ac:dyDescent="0.35">
      <c r="A4" s="31">
        <v>3</v>
      </c>
      <c r="B4" s="31">
        <v>162507</v>
      </c>
      <c r="C4" s="32" t="s">
        <v>134</v>
      </c>
      <c r="D4" s="6" t="s">
        <v>129</v>
      </c>
      <c r="E4" s="31" t="s">
        <v>85</v>
      </c>
      <c r="F4" s="31" t="s">
        <v>85</v>
      </c>
      <c r="G4" s="31" t="s">
        <v>135</v>
      </c>
      <c r="H4" s="33">
        <v>44019</v>
      </c>
      <c r="I4" s="6" t="s">
        <v>131</v>
      </c>
      <c r="J4" s="6"/>
      <c r="K4" s="31" t="s">
        <v>82</v>
      </c>
      <c r="L4" s="34">
        <v>154182.269999999</v>
      </c>
      <c r="M4" s="34">
        <v>140891.34</v>
      </c>
      <c r="N4" s="34">
        <v>126370.12</v>
      </c>
      <c r="O4" s="34">
        <v>165640.6</v>
      </c>
      <c r="P4" s="34">
        <v>154294.89000000001</v>
      </c>
      <c r="Q4" s="34">
        <v>141041.13</v>
      </c>
      <c r="R4" s="34">
        <v>155392.39000000001</v>
      </c>
      <c r="S4" s="34">
        <v>129381.67</v>
      </c>
      <c r="T4" s="34">
        <v>120132.039999999</v>
      </c>
      <c r="U4" s="34">
        <v>130363.25</v>
      </c>
      <c r="V4" s="34">
        <v>125799.1</v>
      </c>
      <c r="W4" s="34">
        <v>136945.829999999</v>
      </c>
      <c r="X4" s="11">
        <f t="shared" si="0"/>
        <v>1680434.6299999971</v>
      </c>
      <c r="Y4" s="34">
        <v>142066</v>
      </c>
      <c r="Z4" s="34">
        <v>143296</v>
      </c>
      <c r="AA4" s="34">
        <v>127366</v>
      </c>
      <c r="AB4" s="34">
        <v>150356</v>
      </c>
      <c r="AC4" s="34">
        <v>113229</v>
      </c>
      <c r="AD4" s="34">
        <v>136843</v>
      </c>
      <c r="AE4" s="34">
        <v>132846</v>
      </c>
      <c r="AF4" s="34">
        <v>134538</v>
      </c>
      <c r="AG4" s="34">
        <v>136692</v>
      </c>
      <c r="AH4" s="34">
        <v>140099</v>
      </c>
      <c r="AI4" s="34">
        <v>141366</v>
      </c>
      <c r="AJ4" s="34">
        <v>143216</v>
      </c>
      <c r="AK4" s="11">
        <f t="shared" si="1"/>
        <v>1641913</v>
      </c>
      <c r="AL4" s="34">
        <v>145627.91</v>
      </c>
      <c r="AM4" s="35">
        <v>77344.889999999898</v>
      </c>
      <c r="AN4" s="35">
        <v>133032.80600000001</v>
      </c>
      <c r="AO4" s="35">
        <v>152218.625999999</v>
      </c>
      <c r="AP4" s="35">
        <v>160090.69500000001</v>
      </c>
      <c r="AQ4" s="35">
        <v>148317.95800000001</v>
      </c>
      <c r="AR4" s="35">
        <v>166180</v>
      </c>
      <c r="AS4" s="35">
        <v>57428</v>
      </c>
      <c r="AT4" s="35">
        <v>0</v>
      </c>
      <c r="AU4" s="35">
        <v>0</v>
      </c>
      <c r="AV4" s="35">
        <v>0</v>
      </c>
      <c r="AW4" s="35">
        <v>0</v>
      </c>
      <c r="AX4" s="11">
        <f t="shared" si="2"/>
        <v>1040240.884999999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58764.209999999897</v>
      </c>
      <c r="BF4" s="35">
        <v>152598.45000000001</v>
      </c>
      <c r="BG4" s="35">
        <v>181066.89</v>
      </c>
      <c r="BH4" s="35">
        <v>184819.764</v>
      </c>
      <c r="BI4" s="35">
        <v>168859.78</v>
      </c>
      <c r="BJ4" s="35">
        <v>178020.359999999</v>
      </c>
      <c r="BK4" s="11">
        <f t="shared" si="3"/>
        <v>924129.45399999898</v>
      </c>
      <c r="BL4" s="10">
        <v>161519</v>
      </c>
      <c r="BM4" s="10">
        <v>173413</v>
      </c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1">
        <f t="shared" si="4"/>
        <v>334932</v>
      </c>
    </row>
    <row r="5" spans="1:76" x14ac:dyDescent="0.35">
      <c r="A5" s="31">
        <v>4</v>
      </c>
      <c r="B5" s="31">
        <v>192263</v>
      </c>
      <c r="C5" s="32" t="s">
        <v>136</v>
      </c>
      <c r="D5" s="6" t="s">
        <v>129</v>
      </c>
      <c r="E5" s="31" t="s">
        <v>85</v>
      </c>
      <c r="F5" s="31" t="s">
        <v>116</v>
      </c>
      <c r="G5" s="31" t="s">
        <v>135</v>
      </c>
      <c r="H5" s="33">
        <v>43904</v>
      </c>
      <c r="I5" s="6" t="s">
        <v>131</v>
      </c>
      <c r="J5" s="6"/>
      <c r="K5" s="31" t="s">
        <v>82</v>
      </c>
      <c r="L5" s="34">
        <v>159925.519999999</v>
      </c>
      <c r="M5" s="34">
        <v>160258.57</v>
      </c>
      <c r="N5" s="34">
        <v>144641.60000000001</v>
      </c>
      <c r="O5" s="34">
        <v>141821.87</v>
      </c>
      <c r="P5" s="34">
        <v>135844.209999999</v>
      </c>
      <c r="Q5" s="34">
        <v>91950.1</v>
      </c>
      <c r="R5" s="34">
        <v>107190.82</v>
      </c>
      <c r="S5" s="34">
        <v>94882.99</v>
      </c>
      <c r="T5" s="34">
        <v>124433</v>
      </c>
      <c r="U5" s="34">
        <v>133223.239999999</v>
      </c>
      <c r="V5" s="34">
        <v>106886.88</v>
      </c>
      <c r="W5" s="34">
        <v>115373.56</v>
      </c>
      <c r="X5" s="11">
        <f t="shared" si="0"/>
        <v>1516432.3599999971</v>
      </c>
      <c r="Y5" s="34">
        <v>115545</v>
      </c>
      <c r="Z5" s="34">
        <v>95536</v>
      </c>
      <c r="AA5" s="34">
        <v>121884</v>
      </c>
      <c r="AB5" s="34">
        <v>121067</v>
      </c>
      <c r="AC5" s="34">
        <v>111989</v>
      </c>
      <c r="AD5" s="34">
        <v>97449</v>
      </c>
      <c r="AE5" s="34">
        <v>100493</v>
      </c>
      <c r="AF5" s="34">
        <v>106402</v>
      </c>
      <c r="AG5" s="34">
        <v>102977</v>
      </c>
      <c r="AH5" s="34">
        <v>93685</v>
      </c>
      <c r="AI5" s="34">
        <v>93596</v>
      </c>
      <c r="AJ5" s="34">
        <v>94211</v>
      </c>
      <c r="AK5" s="11">
        <f t="shared" si="1"/>
        <v>1254834</v>
      </c>
      <c r="AL5" s="34">
        <v>98830.720000000001</v>
      </c>
      <c r="AM5" s="35">
        <v>96088.679999999906</v>
      </c>
      <c r="AN5" s="35">
        <v>84481.304000000004</v>
      </c>
      <c r="AO5" s="35">
        <v>71243.486999999906</v>
      </c>
      <c r="AP5" s="35">
        <v>71116.850000000006</v>
      </c>
      <c r="AQ5" s="35">
        <v>68241.497000000003</v>
      </c>
      <c r="AR5" s="35">
        <v>46728</v>
      </c>
      <c r="AS5" s="35">
        <v>58575</v>
      </c>
      <c r="AT5" s="35">
        <v>71200.578999999896</v>
      </c>
      <c r="AU5" s="35">
        <v>73607.176999999894</v>
      </c>
      <c r="AV5" s="35">
        <v>72653.881999999896</v>
      </c>
      <c r="AW5" s="35">
        <v>79675.585000000006</v>
      </c>
      <c r="AX5" s="11">
        <f t="shared" si="2"/>
        <v>892442.76099999947</v>
      </c>
      <c r="AY5" s="10">
        <v>95326.474000000002</v>
      </c>
      <c r="AZ5" s="10">
        <v>84910.023000000001</v>
      </c>
      <c r="BA5" s="10">
        <v>95896</v>
      </c>
      <c r="BB5" s="10">
        <v>87602</v>
      </c>
      <c r="BC5" s="10">
        <v>68141</v>
      </c>
      <c r="BD5" s="10">
        <v>69891.669999999896</v>
      </c>
      <c r="BE5" s="10">
        <v>61077.73</v>
      </c>
      <c r="BF5" s="35">
        <v>65077.629999999903</v>
      </c>
      <c r="BG5" s="35">
        <v>65352.43</v>
      </c>
      <c r="BH5" s="35">
        <v>68279.593999999895</v>
      </c>
      <c r="BI5" s="35">
        <v>64798.019999999902</v>
      </c>
      <c r="BJ5" s="35">
        <v>71287.979999999894</v>
      </c>
      <c r="BK5" s="11">
        <f t="shared" si="3"/>
        <v>897640.55099999951</v>
      </c>
      <c r="BL5" s="10">
        <v>69812</v>
      </c>
      <c r="BM5" s="10">
        <v>76485</v>
      </c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1">
        <f t="shared" si="4"/>
        <v>146297</v>
      </c>
    </row>
    <row r="6" spans="1:76" x14ac:dyDescent="0.35">
      <c r="A6" s="31">
        <v>5</v>
      </c>
      <c r="B6" s="31">
        <v>234891</v>
      </c>
      <c r="C6" s="32" t="s">
        <v>137</v>
      </c>
      <c r="D6" s="6" t="s">
        <v>129</v>
      </c>
      <c r="E6" s="31" t="s">
        <v>85</v>
      </c>
      <c r="F6" s="31" t="s">
        <v>85</v>
      </c>
      <c r="G6" s="31" t="s">
        <v>138</v>
      </c>
      <c r="H6" s="33">
        <v>45236</v>
      </c>
      <c r="I6" s="6" t="s">
        <v>131</v>
      </c>
      <c r="J6" s="6"/>
      <c r="K6" s="31" t="s">
        <v>82</v>
      </c>
      <c r="L6" s="34">
        <v>61202.37</v>
      </c>
      <c r="M6" s="34">
        <v>54670.07</v>
      </c>
      <c r="N6" s="34">
        <v>53333.769999999902</v>
      </c>
      <c r="O6" s="34">
        <v>45245.05</v>
      </c>
      <c r="P6" s="34">
        <v>70767.929999999906</v>
      </c>
      <c r="Q6" s="34">
        <v>60680.849999999897</v>
      </c>
      <c r="R6" s="34">
        <v>61447.01</v>
      </c>
      <c r="S6" s="34">
        <v>66813.070000000007</v>
      </c>
      <c r="T6" s="34">
        <v>59673.809999999903</v>
      </c>
      <c r="U6" s="34">
        <v>53211.32</v>
      </c>
      <c r="V6" s="34">
        <v>45817.29</v>
      </c>
      <c r="W6" s="34">
        <v>56272.58</v>
      </c>
      <c r="X6" s="11">
        <f t="shared" si="0"/>
        <v>689135.11999999965</v>
      </c>
      <c r="Y6" s="34">
        <v>59386</v>
      </c>
      <c r="Z6" s="34">
        <v>60592</v>
      </c>
      <c r="AA6" s="34">
        <v>37089</v>
      </c>
      <c r="AB6" s="34">
        <v>3796</v>
      </c>
      <c r="AC6" s="34">
        <v>0</v>
      </c>
      <c r="AD6" s="34">
        <v>620</v>
      </c>
      <c r="AE6" s="34">
        <v>1131</v>
      </c>
      <c r="AF6" s="34">
        <v>19954</v>
      </c>
      <c r="AG6" s="34">
        <v>28688</v>
      </c>
      <c r="AH6" s="34">
        <v>40828</v>
      </c>
      <c r="AI6" s="34">
        <v>31605</v>
      </c>
      <c r="AJ6" s="34">
        <v>11716</v>
      </c>
      <c r="AK6" s="11">
        <f t="shared" si="1"/>
        <v>295405</v>
      </c>
      <c r="AL6" s="34">
        <v>33875.47</v>
      </c>
      <c r="AM6" s="35">
        <v>35143.696000000004</v>
      </c>
      <c r="AN6" s="35">
        <v>35916.678</v>
      </c>
      <c r="AO6" s="35">
        <v>24639.657999999901</v>
      </c>
      <c r="AP6" s="35">
        <v>19682.47</v>
      </c>
      <c r="AQ6" s="35">
        <v>39116.059999999903</v>
      </c>
      <c r="AR6" s="35">
        <v>38108</v>
      </c>
      <c r="AS6" s="35">
        <v>30805</v>
      </c>
      <c r="AT6" s="35">
        <v>37170.014000000003</v>
      </c>
      <c r="AU6" s="35">
        <v>36059.519999999902</v>
      </c>
      <c r="AV6" s="35">
        <v>35022.671999999897</v>
      </c>
      <c r="AW6" s="35">
        <v>0</v>
      </c>
      <c r="AX6" s="11">
        <f t="shared" si="2"/>
        <v>365539.2379999996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1778.52</v>
      </c>
      <c r="BE6" s="10">
        <v>2419.4090000000001</v>
      </c>
      <c r="BF6" s="35">
        <v>3625.9299999999898</v>
      </c>
      <c r="BG6" s="35">
        <v>7776.14</v>
      </c>
      <c r="BH6" s="35">
        <v>9905.8719999999903</v>
      </c>
      <c r="BI6" s="35">
        <v>14325.26</v>
      </c>
      <c r="BJ6" s="35">
        <v>31708.549999999901</v>
      </c>
      <c r="BK6" s="11">
        <f t="shared" si="3"/>
        <v>71539.68099999988</v>
      </c>
      <c r="BL6" s="10">
        <v>46203</v>
      </c>
      <c r="BM6" s="10">
        <v>55615</v>
      </c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1">
        <f t="shared" si="4"/>
        <v>101818</v>
      </c>
    </row>
    <row r="7" spans="1:76" x14ac:dyDescent="0.35">
      <c r="A7" s="31">
        <v>6</v>
      </c>
      <c r="B7" s="31">
        <v>194146</v>
      </c>
      <c r="C7" s="32" t="s">
        <v>139</v>
      </c>
      <c r="D7" s="6" t="s">
        <v>133</v>
      </c>
      <c r="E7" s="31" t="s">
        <v>85</v>
      </c>
      <c r="F7" s="31" t="s">
        <v>85</v>
      </c>
      <c r="G7" s="31" t="s">
        <v>138</v>
      </c>
      <c r="H7" s="33">
        <v>45040</v>
      </c>
      <c r="I7" s="6" t="s">
        <v>131</v>
      </c>
      <c r="J7" s="6"/>
      <c r="K7" s="31" t="s">
        <v>82</v>
      </c>
      <c r="L7" s="34">
        <v>226228.42</v>
      </c>
      <c r="M7" s="34">
        <v>248809.519999999</v>
      </c>
      <c r="N7" s="34">
        <v>185027.47</v>
      </c>
      <c r="O7" s="34">
        <v>263963.28999999899</v>
      </c>
      <c r="P7" s="34">
        <v>240230.87</v>
      </c>
      <c r="Q7" s="34">
        <v>10589.5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  <c r="X7" s="11">
        <f t="shared" si="0"/>
        <v>1174849.069999998</v>
      </c>
      <c r="Y7" s="34">
        <v>57978</v>
      </c>
      <c r="Z7" s="34">
        <v>195820</v>
      </c>
      <c r="AA7" s="34">
        <v>226940</v>
      </c>
      <c r="AB7" s="34">
        <v>275545</v>
      </c>
      <c r="AC7" s="34">
        <v>239249</v>
      </c>
      <c r="AD7" s="34">
        <v>244261</v>
      </c>
      <c r="AE7" s="34">
        <v>247990</v>
      </c>
      <c r="AF7" s="34">
        <v>240342</v>
      </c>
      <c r="AG7" s="34">
        <v>248521</v>
      </c>
      <c r="AH7" s="34">
        <v>269921</v>
      </c>
      <c r="AI7" s="34">
        <v>269355</v>
      </c>
      <c r="AJ7" s="34">
        <v>282049</v>
      </c>
      <c r="AK7" s="11">
        <f t="shared" si="1"/>
        <v>2797971</v>
      </c>
      <c r="AL7" s="34">
        <v>268371.26</v>
      </c>
      <c r="AM7" s="35">
        <v>340115.31</v>
      </c>
      <c r="AN7" s="35">
        <v>348181.72100000002</v>
      </c>
      <c r="AO7" s="35">
        <v>352853.10200000001</v>
      </c>
      <c r="AP7" s="35">
        <v>362075.59</v>
      </c>
      <c r="AQ7" s="35">
        <v>342563.18800000002</v>
      </c>
      <c r="AR7" s="35">
        <v>361426</v>
      </c>
      <c r="AS7" s="35">
        <v>326499</v>
      </c>
      <c r="AT7" s="35">
        <v>370705.57400000002</v>
      </c>
      <c r="AU7" s="35">
        <v>338166.87800000003</v>
      </c>
      <c r="AV7" s="35">
        <v>316720.620999999</v>
      </c>
      <c r="AW7" s="35">
        <v>351162.74400000001</v>
      </c>
      <c r="AX7" s="11">
        <f t="shared" si="2"/>
        <v>4078840.987999999</v>
      </c>
      <c r="AY7" s="10">
        <v>285994.25</v>
      </c>
      <c r="AZ7" s="10">
        <v>348768.592</v>
      </c>
      <c r="BA7" s="10">
        <v>359964</v>
      </c>
      <c r="BB7" s="10">
        <v>383051</v>
      </c>
      <c r="BC7" s="10">
        <v>368539</v>
      </c>
      <c r="BD7" s="10">
        <v>155372.299999999</v>
      </c>
      <c r="BE7" s="10">
        <v>0</v>
      </c>
      <c r="BF7" s="35">
        <v>0</v>
      </c>
      <c r="BG7" s="35">
        <v>0</v>
      </c>
      <c r="BH7" s="35">
        <v>0</v>
      </c>
      <c r="BI7" s="35">
        <v>150392.70000000001</v>
      </c>
      <c r="BJ7" s="35">
        <v>306850.81</v>
      </c>
      <c r="BK7" s="11">
        <f t="shared" si="3"/>
        <v>2358932.6519999988</v>
      </c>
      <c r="BL7" s="10">
        <v>318567</v>
      </c>
      <c r="BM7" s="10">
        <v>320402</v>
      </c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1">
        <f t="shared" si="4"/>
        <v>638969</v>
      </c>
    </row>
    <row r="8" spans="1:76" x14ac:dyDescent="0.35">
      <c r="A8" s="31">
        <v>7</v>
      </c>
      <c r="B8" s="31">
        <v>192267</v>
      </c>
      <c r="C8" s="32" t="s">
        <v>140</v>
      </c>
      <c r="D8" s="6" t="s">
        <v>133</v>
      </c>
      <c r="E8" s="31" t="s">
        <v>85</v>
      </c>
      <c r="F8" s="31" t="s">
        <v>85</v>
      </c>
      <c r="G8" s="31" t="s">
        <v>141</v>
      </c>
      <c r="H8" s="33">
        <v>44921</v>
      </c>
      <c r="I8" s="6" t="s">
        <v>131</v>
      </c>
      <c r="J8" s="6"/>
      <c r="K8" s="31" t="s">
        <v>82</v>
      </c>
      <c r="L8" s="34">
        <v>174596.929999999</v>
      </c>
      <c r="M8" s="34">
        <v>183166.66</v>
      </c>
      <c r="N8" s="34">
        <v>169097.079999999</v>
      </c>
      <c r="O8" s="34">
        <v>176390.89</v>
      </c>
      <c r="P8" s="34">
        <v>172538.66</v>
      </c>
      <c r="Q8" s="34">
        <v>156924.079999999</v>
      </c>
      <c r="R8" s="34">
        <v>152100.59</v>
      </c>
      <c r="S8" s="34">
        <v>156382.25</v>
      </c>
      <c r="T8" s="34">
        <v>134183.22</v>
      </c>
      <c r="U8" s="34">
        <v>149983.39000000001</v>
      </c>
      <c r="V8" s="34">
        <v>142390.97</v>
      </c>
      <c r="W8" s="34">
        <v>149788.109999999</v>
      </c>
      <c r="X8" s="11">
        <f t="shared" si="0"/>
        <v>1917542.8299999961</v>
      </c>
      <c r="Y8" s="34">
        <v>154276</v>
      </c>
      <c r="Z8" s="34">
        <v>154087</v>
      </c>
      <c r="AA8" s="34">
        <v>145305</v>
      </c>
      <c r="AB8" s="34">
        <v>146888</v>
      </c>
      <c r="AC8" s="34">
        <v>148482</v>
      </c>
      <c r="AD8" s="34">
        <v>148537</v>
      </c>
      <c r="AE8" s="34">
        <v>136111</v>
      </c>
      <c r="AF8" s="34">
        <v>141892</v>
      </c>
      <c r="AG8" s="34">
        <v>155344</v>
      </c>
      <c r="AH8" s="34">
        <v>131509</v>
      </c>
      <c r="AI8" s="34">
        <v>151752</v>
      </c>
      <c r="AJ8" s="34">
        <v>149989</v>
      </c>
      <c r="AK8" s="11">
        <f t="shared" si="1"/>
        <v>1764172</v>
      </c>
      <c r="AL8" s="34">
        <v>144989.59</v>
      </c>
      <c r="AM8" s="35">
        <v>151415.01</v>
      </c>
      <c r="AN8" s="35">
        <v>164555.446</v>
      </c>
      <c r="AO8" s="35">
        <v>181362.43700000001</v>
      </c>
      <c r="AP8" s="35">
        <v>169792.42600000001</v>
      </c>
      <c r="AQ8" s="35">
        <v>155854.003999999</v>
      </c>
      <c r="AR8" s="35">
        <v>160322</v>
      </c>
      <c r="AS8" s="35">
        <v>157676</v>
      </c>
      <c r="AT8" s="35">
        <v>177406.99900000001</v>
      </c>
      <c r="AU8" s="35">
        <v>176422.99400000001</v>
      </c>
      <c r="AV8" s="35">
        <v>155120.046999999</v>
      </c>
      <c r="AW8" s="35">
        <v>175641.293999999</v>
      </c>
      <c r="AX8" s="11">
        <f t="shared" si="2"/>
        <v>1970558.2469999972</v>
      </c>
      <c r="AY8" s="10">
        <v>178169.66</v>
      </c>
      <c r="AZ8" s="10">
        <v>161894.37</v>
      </c>
      <c r="BA8" s="10">
        <v>181844</v>
      </c>
      <c r="BB8" s="10">
        <v>189951</v>
      </c>
      <c r="BC8" s="10">
        <v>185740</v>
      </c>
      <c r="BD8" s="10">
        <v>159401.17000000001</v>
      </c>
      <c r="BE8" s="10">
        <v>164523.41</v>
      </c>
      <c r="BF8" s="35">
        <v>160541</v>
      </c>
      <c r="BG8" s="35">
        <v>165942.95000000001</v>
      </c>
      <c r="BH8" s="35">
        <v>158679.704999999</v>
      </c>
      <c r="BI8" s="35">
        <v>154192.32000000001</v>
      </c>
      <c r="BJ8" s="35">
        <v>152793.209999999</v>
      </c>
      <c r="BK8" s="11">
        <f t="shared" si="3"/>
        <v>2013672.7949999978</v>
      </c>
      <c r="BL8" s="10">
        <v>165905</v>
      </c>
      <c r="BM8" s="10">
        <v>167881</v>
      </c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1">
        <f t="shared" si="4"/>
        <v>333786</v>
      </c>
    </row>
    <row r="9" spans="1:76" x14ac:dyDescent="0.35">
      <c r="A9" s="31">
        <v>8</v>
      </c>
      <c r="B9" s="31">
        <v>296747</v>
      </c>
      <c r="C9" s="32" t="s">
        <v>142</v>
      </c>
      <c r="D9" s="6" t="s">
        <v>129</v>
      </c>
      <c r="E9" s="31" t="s">
        <v>77</v>
      </c>
      <c r="F9" s="31" t="s">
        <v>85</v>
      </c>
      <c r="G9" s="31" t="s">
        <v>143</v>
      </c>
      <c r="H9" s="33">
        <v>45070</v>
      </c>
      <c r="I9" s="6" t="s">
        <v>131</v>
      </c>
      <c r="J9" s="6"/>
      <c r="K9" s="31" t="s">
        <v>82</v>
      </c>
      <c r="L9" s="34">
        <v>0</v>
      </c>
      <c r="M9" s="34">
        <v>0</v>
      </c>
      <c r="N9" s="34">
        <v>0</v>
      </c>
      <c r="O9" s="34">
        <v>0</v>
      </c>
      <c r="P9" s="34">
        <v>0</v>
      </c>
      <c r="Q9" s="34">
        <v>0</v>
      </c>
      <c r="R9" s="34">
        <v>0</v>
      </c>
      <c r="S9" s="34">
        <v>0</v>
      </c>
      <c r="T9" s="34">
        <v>0</v>
      </c>
      <c r="U9" s="34">
        <v>0</v>
      </c>
      <c r="V9" s="34">
        <v>0</v>
      </c>
      <c r="W9" s="34">
        <v>0</v>
      </c>
      <c r="X9" s="11">
        <f t="shared" si="0"/>
        <v>0</v>
      </c>
      <c r="Y9" s="34">
        <v>0</v>
      </c>
      <c r="Z9" s="34">
        <v>36303</v>
      </c>
      <c r="AA9" s="34">
        <v>115548</v>
      </c>
      <c r="AB9" s="34">
        <v>135498</v>
      </c>
      <c r="AC9" s="34">
        <v>118336</v>
      </c>
      <c r="AD9" s="34">
        <v>107473</v>
      </c>
      <c r="AE9" s="34">
        <v>77818</v>
      </c>
      <c r="AF9" s="34">
        <v>74066</v>
      </c>
      <c r="AG9" s="34">
        <v>81523</v>
      </c>
      <c r="AH9" s="34">
        <v>80301</v>
      </c>
      <c r="AI9" s="34">
        <v>77140</v>
      </c>
      <c r="AJ9" s="34">
        <v>81954</v>
      </c>
      <c r="AK9" s="11">
        <f t="shared" si="1"/>
        <v>985960</v>
      </c>
      <c r="AL9" s="34">
        <v>87744.169999999896</v>
      </c>
      <c r="AM9" s="35">
        <v>106935.50999999901</v>
      </c>
      <c r="AN9" s="35">
        <v>99175.051000000007</v>
      </c>
      <c r="AO9" s="35">
        <v>107610.537</v>
      </c>
      <c r="AP9" s="35">
        <v>113238.910999999</v>
      </c>
      <c r="AQ9" s="35">
        <v>103886.208</v>
      </c>
      <c r="AR9" s="35">
        <v>110926</v>
      </c>
      <c r="AS9" s="35">
        <v>103013</v>
      </c>
      <c r="AT9" s="35">
        <v>121140.391</v>
      </c>
      <c r="AU9" s="35">
        <v>114819.543999999</v>
      </c>
      <c r="AV9" s="35">
        <v>91346.053</v>
      </c>
      <c r="AW9" s="35">
        <v>117366.496</v>
      </c>
      <c r="AX9" s="11">
        <f t="shared" si="2"/>
        <v>1277201.870999997</v>
      </c>
      <c r="AY9" s="10">
        <v>121722.31600000001</v>
      </c>
      <c r="AZ9" s="10">
        <v>139004.62</v>
      </c>
      <c r="BA9" s="10">
        <v>145278</v>
      </c>
      <c r="BB9" s="10">
        <v>156300</v>
      </c>
      <c r="BC9" s="10">
        <v>150419</v>
      </c>
      <c r="BD9" s="10">
        <v>149016</v>
      </c>
      <c r="BE9" s="10">
        <v>151667.709999999</v>
      </c>
      <c r="BF9" s="35">
        <v>155957.519999999</v>
      </c>
      <c r="BG9" s="35">
        <v>159918.079999999</v>
      </c>
      <c r="BH9" s="35">
        <v>158839.95000000001</v>
      </c>
      <c r="BI9" s="35">
        <v>156192.44</v>
      </c>
      <c r="BJ9" s="35">
        <v>170151.37</v>
      </c>
      <c r="BK9" s="11">
        <f t="shared" si="3"/>
        <v>1814467.0059999968</v>
      </c>
      <c r="BL9" s="10">
        <v>165895</v>
      </c>
      <c r="BM9" s="10">
        <v>178766</v>
      </c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1">
        <f t="shared" si="4"/>
        <v>344661</v>
      </c>
    </row>
    <row r="10" spans="1:76" x14ac:dyDescent="0.35">
      <c r="A10" s="31">
        <v>9</v>
      </c>
      <c r="B10" s="31">
        <v>212785</v>
      </c>
      <c r="C10" s="32" t="s">
        <v>144</v>
      </c>
      <c r="D10" s="15" t="s">
        <v>76</v>
      </c>
      <c r="E10" s="31" t="s">
        <v>77</v>
      </c>
      <c r="F10" s="31" t="s">
        <v>116</v>
      </c>
      <c r="G10" s="31" t="s">
        <v>145</v>
      </c>
      <c r="H10" s="33">
        <v>45232</v>
      </c>
      <c r="I10" s="15" t="s">
        <v>146</v>
      </c>
      <c r="J10" s="15"/>
      <c r="K10" s="31" t="s">
        <v>82</v>
      </c>
      <c r="L10" s="34">
        <v>57087.75</v>
      </c>
      <c r="M10" s="34">
        <v>92423.99</v>
      </c>
      <c r="N10" s="34">
        <v>94793.25</v>
      </c>
      <c r="O10" s="34">
        <v>95700.55</v>
      </c>
      <c r="P10" s="34">
        <v>90765.99</v>
      </c>
      <c r="Q10" s="34">
        <v>84750.419999999896</v>
      </c>
      <c r="R10" s="34">
        <v>84617.32</v>
      </c>
      <c r="S10" s="34">
        <v>94519.039999999906</v>
      </c>
      <c r="T10" s="34">
        <v>98953.779999999897</v>
      </c>
      <c r="U10" s="34">
        <v>95044.66</v>
      </c>
      <c r="V10" s="34">
        <v>91599.88</v>
      </c>
      <c r="W10" s="34">
        <v>98657.559999999896</v>
      </c>
      <c r="X10" s="11">
        <f t="shared" si="0"/>
        <v>1078914.1899999995</v>
      </c>
      <c r="Y10" s="34">
        <v>67741</v>
      </c>
      <c r="Z10" s="34">
        <v>94277</v>
      </c>
      <c r="AA10" s="34">
        <v>106349</v>
      </c>
      <c r="AB10" s="34">
        <v>87145</v>
      </c>
      <c r="AC10" s="34">
        <v>79346</v>
      </c>
      <c r="AD10" s="34">
        <v>81246</v>
      </c>
      <c r="AE10" s="34">
        <v>81828</v>
      </c>
      <c r="AF10" s="34">
        <v>83815</v>
      </c>
      <c r="AG10" s="34">
        <v>90563</v>
      </c>
      <c r="AH10" s="34">
        <v>62680</v>
      </c>
      <c r="AI10" s="34">
        <v>69679</v>
      </c>
      <c r="AJ10" s="34">
        <v>80258</v>
      </c>
      <c r="AK10" s="11">
        <f t="shared" si="1"/>
        <v>984927</v>
      </c>
      <c r="AL10" s="34">
        <v>64037.66</v>
      </c>
      <c r="AM10" s="35">
        <v>0</v>
      </c>
      <c r="AN10" s="35">
        <v>24593.9399999999</v>
      </c>
      <c r="AO10" s="35">
        <v>70457.008000000002</v>
      </c>
      <c r="AP10" s="35">
        <v>85255.803</v>
      </c>
      <c r="AQ10" s="35">
        <v>86033.05</v>
      </c>
      <c r="AR10" s="35">
        <v>99760</v>
      </c>
      <c r="AS10" s="35">
        <v>103540</v>
      </c>
      <c r="AT10" s="35">
        <v>104782.56200000001</v>
      </c>
      <c r="AU10" s="35">
        <v>0</v>
      </c>
      <c r="AV10" s="35">
        <v>0</v>
      </c>
      <c r="AW10" s="35">
        <v>0</v>
      </c>
      <c r="AX10" s="11">
        <f t="shared" si="2"/>
        <v>638460.02299999993</v>
      </c>
      <c r="AY10" s="10">
        <v>0</v>
      </c>
      <c r="AZ10" s="10">
        <v>60994.599999999897</v>
      </c>
      <c r="BA10" s="10">
        <v>80038</v>
      </c>
      <c r="BB10" s="10">
        <v>97353</v>
      </c>
      <c r="BC10" s="10">
        <v>82176</v>
      </c>
      <c r="BD10" s="10">
        <v>90313</v>
      </c>
      <c r="BE10" s="10">
        <v>98252.02</v>
      </c>
      <c r="BF10" s="35">
        <v>101239.77</v>
      </c>
      <c r="BG10" s="35">
        <v>108093.41</v>
      </c>
      <c r="BH10" s="35">
        <v>105067.514</v>
      </c>
      <c r="BI10" s="35">
        <v>95030.1</v>
      </c>
      <c r="BJ10" s="35">
        <v>115125.13</v>
      </c>
      <c r="BK10" s="11">
        <f t="shared" si="3"/>
        <v>1033682.5439999999</v>
      </c>
      <c r="BL10" s="10">
        <v>99341</v>
      </c>
      <c r="BM10" s="10">
        <v>102596</v>
      </c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1">
        <f t="shared" si="4"/>
        <v>201937</v>
      </c>
    </row>
    <row r="11" spans="1:76" x14ac:dyDescent="0.35">
      <c r="A11" s="31">
        <v>10</v>
      </c>
      <c r="B11" s="31">
        <v>286127</v>
      </c>
      <c r="C11" s="32" t="s">
        <v>147</v>
      </c>
      <c r="D11" s="15" t="s">
        <v>84</v>
      </c>
      <c r="E11" s="31" t="s">
        <v>77</v>
      </c>
      <c r="F11" s="31" t="s">
        <v>116</v>
      </c>
      <c r="G11" s="31" t="s">
        <v>145</v>
      </c>
      <c r="H11" s="33">
        <v>45232</v>
      </c>
      <c r="I11" s="15" t="s">
        <v>146</v>
      </c>
      <c r="J11" s="15"/>
      <c r="K11" s="31" t="s">
        <v>82</v>
      </c>
      <c r="L11" s="34">
        <v>226053.95</v>
      </c>
      <c r="M11" s="34">
        <v>249247.649999999</v>
      </c>
      <c r="N11" s="34">
        <v>224174.85</v>
      </c>
      <c r="O11" s="34">
        <v>212813.709999999</v>
      </c>
      <c r="P11" s="34">
        <v>213968.35</v>
      </c>
      <c r="Q11" s="34">
        <v>204104.5</v>
      </c>
      <c r="R11" s="34">
        <v>201900.72</v>
      </c>
      <c r="S11" s="34">
        <v>204033.41</v>
      </c>
      <c r="T11" s="34">
        <v>204447.91</v>
      </c>
      <c r="U11" s="34">
        <v>206771.64</v>
      </c>
      <c r="V11" s="34">
        <v>191170.149999999</v>
      </c>
      <c r="W11" s="34">
        <v>207569.739999999</v>
      </c>
      <c r="X11" s="11">
        <f t="shared" si="0"/>
        <v>2546256.5799999959</v>
      </c>
      <c r="Y11" s="34">
        <v>212751</v>
      </c>
      <c r="Z11" s="34">
        <v>221960</v>
      </c>
      <c r="AA11" s="34">
        <v>180928</v>
      </c>
      <c r="AB11" s="34">
        <v>166178</v>
      </c>
      <c r="AC11" s="34">
        <v>168946</v>
      </c>
      <c r="AD11" s="34">
        <v>156679</v>
      </c>
      <c r="AE11" s="34">
        <v>157053</v>
      </c>
      <c r="AF11" s="34">
        <v>156849</v>
      </c>
      <c r="AG11" s="34">
        <v>158397</v>
      </c>
      <c r="AH11" s="34">
        <v>127288</v>
      </c>
      <c r="AI11" s="34">
        <v>130226</v>
      </c>
      <c r="AJ11" s="34">
        <v>129693</v>
      </c>
      <c r="AK11" s="11">
        <f t="shared" si="1"/>
        <v>1966948</v>
      </c>
      <c r="AL11" s="34">
        <v>140561.75</v>
      </c>
      <c r="AM11" s="35">
        <v>150264.766</v>
      </c>
      <c r="AN11" s="35">
        <v>139640.96400000001</v>
      </c>
      <c r="AO11" s="35">
        <v>145741.00200000001</v>
      </c>
      <c r="AP11" s="35">
        <v>146229.443999999</v>
      </c>
      <c r="AQ11" s="35">
        <v>124225.899999999</v>
      </c>
      <c r="AR11" s="35">
        <v>115742</v>
      </c>
      <c r="AS11" s="35">
        <v>98617</v>
      </c>
      <c r="AT11" s="35">
        <v>91343.527000000002</v>
      </c>
      <c r="AU11" s="35">
        <v>91708.866999999897</v>
      </c>
      <c r="AV11" s="35">
        <v>88567.914000000004</v>
      </c>
      <c r="AW11" s="35">
        <v>98195.673999999897</v>
      </c>
      <c r="AX11" s="11">
        <f t="shared" si="2"/>
        <v>1430838.8079999979</v>
      </c>
      <c r="AY11" s="10">
        <v>98490.289999999906</v>
      </c>
      <c r="AZ11" s="10">
        <v>109305.986</v>
      </c>
      <c r="BA11" s="10">
        <v>94638</v>
      </c>
      <c r="BB11" s="10">
        <v>86222</v>
      </c>
      <c r="BC11" s="10">
        <v>92455</v>
      </c>
      <c r="BD11" s="10">
        <v>92683.1</v>
      </c>
      <c r="BE11" s="10">
        <v>97879.57</v>
      </c>
      <c r="BF11" s="35">
        <v>105112.61</v>
      </c>
      <c r="BG11" s="35">
        <v>128283.50999999901</v>
      </c>
      <c r="BH11" s="35">
        <v>95031.418000000005</v>
      </c>
      <c r="BI11" s="35">
        <v>91304.589999999895</v>
      </c>
      <c r="BJ11" s="35">
        <v>89458.449999999895</v>
      </c>
      <c r="BK11" s="11">
        <f t="shared" si="3"/>
        <v>1180864.5239999988</v>
      </c>
      <c r="BL11" s="10">
        <v>97303</v>
      </c>
      <c r="BM11" s="10">
        <v>109776</v>
      </c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1">
        <f t="shared" si="4"/>
        <v>207079</v>
      </c>
    </row>
    <row r="12" spans="1:76" x14ac:dyDescent="0.35">
      <c r="A12" s="31">
        <v>11</v>
      </c>
      <c r="B12" s="31">
        <v>307928</v>
      </c>
      <c r="C12" s="32" t="s">
        <v>148</v>
      </c>
      <c r="D12" s="6" t="s">
        <v>133</v>
      </c>
      <c r="E12" s="31" t="s">
        <v>85</v>
      </c>
      <c r="F12" s="31" t="s">
        <v>116</v>
      </c>
      <c r="G12" s="31" t="s">
        <v>145</v>
      </c>
      <c r="H12" s="33">
        <v>45173</v>
      </c>
      <c r="I12" s="6" t="s">
        <v>131</v>
      </c>
      <c r="J12" s="6"/>
      <c r="K12" s="31" t="s">
        <v>82</v>
      </c>
      <c r="L12" s="34">
        <v>0</v>
      </c>
      <c r="M12" s="34">
        <v>0</v>
      </c>
      <c r="N12" s="34">
        <v>0</v>
      </c>
      <c r="O12" s="34">
        <v>0</v>
      </c>
      <c r="P12" s="34">
        <v>0</v>
      </c>
      <c r="Q12" s="34">
        <v>0</v>
      </c>
      <c r="R12" s="34">
        <v>0</v>
      </c>
      <c r="S12" s="34">
        <v>0</v>
      </c>
      <c r="T12" s="34">
        <v>0</v>
      </c>
      <c r="U12" s="34">
        <v>0</v>
      </c>
      <c r="V12" s="34">
        <v>0</v>
      </c>
      <c r="W12" s="34">
        <v>0</v>
      </c>
      <c r="X12" s="11">
        <f t="shared" si="0"/>
        <v>0</v>
      </c>
      <c r="Y12" s="34">
        <v>0</v>
      </c>
      <c r="Z12" s="34">
        <v>0</v>
      </c>
      <c r="AA12" s="34">
        <v>0</v>
      </c>
      <c r="AB12" s="34">
        <v>0</v>
      </c>
      <c r="AC12" s="34">
        <v>1006</v>
      </c>
      <c r="AD12" s="34">
        <v>55645</v>
      </c>
      <c r="AE12" s="34">
        <v>89469</v>
      </c>
      <c r="AF12" s="34">
        <v>96812</v>
      </c>
      <c r="AG12" s="34">
        <v>127304</v>
      </c>
      <c r="AH12" s="34">
        <v>150680</v>
      </c>
      <c r="AI12" s="34">
        <v>156190</v>
      </c>
      <c r="AJ12" s="34">
        <v>167259</v>
      </c>
      <c r="AK12" s="11">
        <f t="shared" si="1"/>
        <v>844365</v>
      </c>
      <c r="AL12" s="34">
        <v>174171.079999999</v>
      </c>
      <c r="AM12" s="35">
        <v>169120.01</v>
      </c>
      <c r="AN12" s="35">
        <v>179914.981</v>
      </c>
      <c r="AO12" s="35">
        <v>166209.644</v>
      </c>
      <c r="AP12" s="35">
        <v>140245.85</v>
      </c>
      <c r="AQ12" s="35">
        <v>149638.17000000001</v>
      </c>
      <c r="AR12" s="35">
        <v>152814</v>
      </c>
      <c r="AS12" s="35">
        <v>127751</v>
      </c>
      <c r="AT12" s="35">
        <v>181932.043999999</v>
      </c>
      <c r="AU12" s="35">
        <v>198450.003999999</v>
      </c>
      <c r="AV12" s="35">
        <v>212660.223999999</v>
      </c>
      <c r="AW12" s="35">
        <v>195530.361999999</v>
      </c>
      <c r="AX12" s="11">
        <f t="shared" si="2"/>
        <v>2048437.3689999951</v>
      </c>
      <c r="AY12" s="10">
        <v>195476.45600000001</v>
      </c>
      <c r="AZ12" s="10">
        <v>194742.337999999</v>
      </c>
      <c r="BA12" s="10">
        <v>202685</v>
      </c>
      <c r="BB12" s="10">
        <v>225528</v>
      </c>
      <c r="BC12" s="10">
        <v>229336</v>
      </c>
      <c r="BD12" s="10">
        <v>232872.72</v>
      </c>
      <c r="BE12" s="10">
        <v>222088.149999999</v>
      </c>
      <c r="BF12" s="35">
        <v>235611.1</v>
      </c>
      <c r="BG12" s="35">
        <v>241636.48000000001</v>
      </c>
      <c r="BH12" s="35">
        <v>241803.72500000001</v>
      </c>
      <c r="BI12" s="35">
        <v>172672.109999999</v>
      </c>
      <c r="BJ12" s="35">
        <v>176663.57</v>
      </c>
      <c r="BK12" s="11">
        <f t="shared" si="3"/>
        <v>2571115.6489999969</v>
      </c>
      <c r="BL12" s="10">
        <v>68242</v>
      </c>
      <c r="BM12" s="10">
        <v>213865</v>
      </c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1">
        <f t="shared" si="4"/>
        <v>282107</v>
      </c>
    </row>
    <row r="13" spans="1:76" x14ac:dyDescent="0.35">
      <c r="A13" s="31">
        <v>12</v>
      </c>
      <c r="B13" s="31">
        <v>192262</v>
      </c>
      <c r="C13" s="32" t="s">
        <v>149</v>
      </c>
      <c r="D13" s="6" t="s">
        <v>133</v>
      </c>
      <c r="E13" s="31" t="s">
        <v>85</v>
      </c>
      <c r="F13" s="31" t="s">
        <v>85</v>
      </c>
      <c r="G13" s="31" t="s">
        <v>145</v>
      </c>
      <c r="H13" s="33">
        <v>44921</v>
      </c>
      <c r="I13" s="6" t="s">
        <v>131</v>
      </c>
      <c r="J13" s="6"/>
      <c r="K13" s="31" t="s">
        <v>82</v>
      </c>
      <c r="L13" s="34">
        <v>43496.82</v>
      </c>
      <c r="M13" s="34">
        <v>60582.86</v>
      </c>
      <c r="N13" s="34">
        <v>51968.989999999903</v>
      </c>
      <c r="O13" s="34">
        <v>48885.62</v>
      </c>
      <c r="P13" s="34">
        <v>0</v>
      </c>
      <c r="Q13" s="34">
        <v>0</v>
      </c>
      <c r="R13" s="34">
        <v>0</v>
      </c>
      <c r="S13" s="34">
        <v>0</v>
      </c>
      <c r="T13" s="34">
        <v>20051.32</v>
      </c>
      <c r="U13" s="34">
        <v>44804.699999999903</v>
      </c>
      <c r="V13" s="34">
        <v>38246.75</v>
      </c>
      <c r="W13" s="34">
        <v>48537.339999999902</v>
      </c>
      <c r="X13" s="11">
        <f t="shared" si="0"/>
        <v>356574.39999999973</v>
      </c>
      <c r="Y13" s="34">
        <v>53878</v>
      </c>
      <c r="Z13" s="34">
        <v>60447</v>
      </c>
      <c r="AA13" s="34">
        <v>53703</v>
      </c>
      <c r="AB13" s="34">
        <v>58609</v>
      </c>
      <c r="AC13" s="34">
        <v>51792</v>
      </c>
      <c r="AD13" s="34">
        <v>32386</v>
      </c>
      <c r="AE13" s="34">
        <v>43624</v>
      </c>
      <c r="AF13" s="34">
        <v>39976</v>
      </c>
      <c r="AG13" s="34">
        <v>46679</v>
      </c>
      <c r="AH13" s="34">
        <v>35539</v>
      </c>
      <c r="AI13" s="34">
        <v>22203</v>
      </c>
      <c r="AJ13" s="34">
        <v>23515</v>
      </c>
      <c r="AK13" s="11">
        <f t="shared" si="1"/>
        <v>522351</v>
      </c>
      <c r="AL13" s="34">
        <v>28028.59</v>
      </c>
      <c r="AM13" s="35">
        <v>32185.13</v>
      </c>
      <c r="AN13" s="35">
        <v>33316.334000000003</v>
      </c>
      <c r="AO13" s="35">
        <v>31028.322</v>
      </c>
      <c r="AP13" s="35">
        <v>34611.514000000003</v>
      </c>
      <c r="AQ13" s="35">
        <v>31323.4579999999</v>
      </c>
      <c r="AR13" s="35">
        <v>33142</v>
      </c>
      <c r="AS13" s="35">
        <v>31616</v>
      </c>
      <c r="AT13" s="35">
        <v>33618.122000000003</v>
      </c>
      <c r="AU13" s="35">
        <v>34839.701999999903</v>
      </c>
      <c r="AV13" s="35">
        <v>31622.7419999999</v>
      </c>
      <c r="AW13" s="35">
        <v>0</v>
      </c>
      <c r="AX13" s="11">
        <f t="shared" si="2"/>
        <v>355331.9139999997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35">
        <v>0</v>
      </c>
      <c r="BG13" s="35">
        <v>0</v>
      </c>
      <c r="BH13" s="35">
        <v>0</v>
      </c>
      <c r="BI13" s="35">
        <v>0</v>
      </c>
      <c r="BJ13" s="35">
        <v>0</v>
      </c>
      <c r="BK13" s="11">
        <f t="shared" si="3"/>
        <v>0</v>
      </c>
      <c r="BL13" s="10">
        <v>0</v>
      </c>
      <c r="BM13" s="10">
        <v>0</v>
      </c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1">
        <f t="shared" si="4"/>
        <v>0</v>
      </c>
    </row>
    <row r="14" spans="1:76" x14ac:dyDescent="0.35">
      <c r="A14" s="31">
        <v>13</v>
      </c>
      <c r="B14" s="31">
        <v>193203</v>
      </c>
      <c r="C14" s="32" t="s">
        <v>150</v>
      </c>
      <c r="D14" s="15" t="s">
        <v>84</v>
      </c>
      <c r="E14" s="31" t="s">
        <v>77</v>
      </c>
      <c r="F14" s="31" t="s">
        <v>116</v>
      </c>
      <c r="G14" s="31" t="s">
        <v>151</v>
      </c>
      <c r="H14" s="33">
        <v>45232</v>
      </c>
      <c r="I14" s="15" t="s">
        <v>146</v>
      </c>
      <c r="J14" s="15"/>
      <c r="K14" s="31" t="s">
        <v>82</v>
      </c>
      <c r="L14" s="34">
        <v>98604.75</v>
      </c>
      <c r="M14" s="34">
        <v>98638.44</v>
      </c>
      <c r="N14" s="34">
        <v>102947.59</v>
      </c>
      <c r="O14" s="34">
        <v>126723.81</v>
      </c>
      <c r="P14" s="34">
        <v>138972.06</v>
      </c>
      <c r="Q14" s="34">
        <v>134238.269999999</v>
      </c>
      <c r="R14" s="34">
        <v>131606.519999999</v>
      </c>
      <c r="S14" s="34">
        <v>138709.47</v>
      </c>
      <c r="T14" s="34">
        <v>144274.23000000001</v>
      </c>
      <c r="U14" s="34">
        <v>140049.41</v>
      </c>
      <c r="V14" s="34">
        <v>140418.709999999</v>
      </c>
      <c r="W14" s="34">
        <v>151589.22</v>
      </c>
      <c r="X14" s="11">
        <f t="shared" si="0"/>
        <v>1546772.479999997</v>
      </c>
      <c r="Y14" s="34">
        <v>149982</v>
      </c>
      <c r="Z14" s="34">
        <v>166776</v>
      </c>
      <c r="AA14" s="34">
        <v>142677</v>
      </c>
      <c r="AB14" s="34">
        <v>158146</v>
      </c>
      <c r="AC14" s="34">
        <v>164847</v>
      </c>
      <c r="AD14" s="34">
        <v>153852</v>
      </c>
      <c r="AE14" s="34">
        <v>153135</v>
      </c>
      <c r="AF14" s="34">
        <v>162387</v>
      </c>
      <c r="AG14" s="34">
        <v>165251</v>
      </c>
      <c r="AH14" s="34">
        <v>161186</v>
      </c>
      <c r="AI14" s="34">
        <v>164696</v>
      </c>
      <c r="AJ14" s="34">
        <v>171739</v>
      </c>
      <c r="AK14" s="11">
        <f t="shared" si="1"/>
        <v>1914674</v>
      </c>
      <c r="AL14" s="34">
        <v>181487.04</v>
      </c>
      <c r="AM14" s="35">
        <v>173301.58600000001</v>
      </c>
      <c r="AN14" s="35">
        <v>155514.766</v>
      </c>
      <c r="AO14" s="35">
        <v>157367.636</v>
      </c>
      <c r="AP14" s="35">
        <v>159551.247999999</v>
      </c>
      <c r="AQ14" s="35">
        <v>134233.63</v>
      </c>
      <c r="AR14" s="35">
        <v>153459</v>
      </c>
      <c r="AS14" s="35">
        <v>162287</v>
      </c>
      <c r="AT14" s="35">
        <v>184173.799999999</v>
      </c>
      <c r="AU14" s="35">
        <v>180678.992</v>
      </c>
      <c r="AV14" s="35">
        <v>178516.823999999</v>
      </c>
      <c r="AW14" s="35">
        <v>201790.31</v>
      </c>
      <c r="AX14" s="11">
        <f t="shared" si="2"/>
        <v>2022361.8319999971</v>
      </c>
      <c r="AY14" s="10">
        <v>184791.25</v>
      </c>
      <c r="AZ14" s="10">
        <v>189801.94200000001</v>
      </c>
      <c r="BA14" s="10">
        <v>185626</v>
      </c>
      <c r="BB14" s="10">
        <v>192643</v>
      </c>
      <c r="BC14" s="10">
        <v>171034</v>
      </c>
      <c r="BD14" s="10">
        <v>175826.45</v>
      </c>
      <c r="BE14" s="10">
        <v>188652.149999999</v>
      </c>
      <c r="BF14" s="35">
        <v>182365.649999999</v>
      </c>
      <c r="BG14" s="35">
        <v>190261.78</v>
      </c>
      <c r="BH14" s="35">
        <v>188376.91500000001</v>
      </c>
      <c r="BI14" s="35">
        <v>186775.329999999</v>
      </c>
      <c r="BJ14" s="35">
        <v>189375.69</v>
      </c>
      <c r="BK14" s="11">
        <f t="shared" si="3"/>
        <v>2225530.1569999969</v>
      </c>
      <c r="BL14" s="10">
        <v>189945</v>
      </c>
      <c r="BM14" s="10">
        <v>185595</v>
      </c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1">
        <f t="shared" si="4"/>
        <v>375540</v>
      </c>
    </row>
    <row r="15" spans="1:76" x14ac:dyDescent="0.35">
      <c r="A15" s="31">
        <v>14</v>
      </c>
      <c r="B15" s="31">
        <v>292987</v>
      </c>
      <c r="C15" s="32" t="s">
        <v>152</v>
      </c>
      <c r="D15" s="6" t="s">
        <v>133</v>
      </c>
      <c r="E15" s="31" t="s">
        <v>85</v>
      </c>
      <c r="F15" s="31" t="s">
        <v>85</v>
      </c>
      <c r="G15" s="31" t="s">
        <v>151</v>
      </c>
      <c r="H15" s="33">
        <v>45232</v>
      </c>
      <c r="I15" s="15" t="s">
        <v>146</v>
      </c>
      <c r="J15" s="15"/>
      <c r="K15" s="31" t="s">
        <v>82</v>
      </c>
      <c r="L15" s="34">
        <v>74461.149999999907</v>
      </c>
      <c r="M15" s="34">
        <v>78743.66</v>
      </c>
      <c r="N15" s="34">
        <v>85521.779999999897</v>
      </c>
      <c r="O15" s="34">
        <v>110422.75</v>
      </c>
      <c r="P15" s="34">
        <v>104391.429999999</v>
      </c>
      <c r="Q15" s="34">
        <v>98333.91</v>
      </c>
      <c r="R15" s="34">
        <v>98624.779999999897</v>
      </c>
      <c r="S15" s="34">
        <v>106022.28</v>
      </c>
      <c r="T15" s="34">
        <v>109237.97</v>
      </c>
      <c r="U15" s="34">
        <v>109432.55</v>
      </c>
      <c r="V15" s="34">
        <v>97489.289999999906</v>
      </c>
      <c r="W15" s="34">
        <v>96135.83</v>
      </c>
      <c r="X15" s="11">
        <f t="shared" si="0"/>
        <v>1168817.3799999987</v>
      </c>
      <c r="Y15" s="34">
        <v>102164</v>
      </c>
      <c r="Z15" s="34">
        <v>94010</v>
      </c>
      <c r="AA15" s="34">
        <v>110534</v>
      </c>
      <c r="AB15" s="34">
        <v>123004</v>
      </c>
      <c r="AC15" s="34">
        <v>115761</v>
      </c>
      <c r="AD15" s="34">
        <v>105811</v>
      </c>
      <c r="AE15" s="34">
        <v>107740</v>
      </c>
      <c r="AF15" s="34">
        <v>97907</v>
      </c>
      <c r="AG15" s="34">
        <v>105200</v>
      </c>
      <c r="AH15" s="34">
        <v>96954</v>
      </c>
      <c r="AI15" s="34">
        <v>94442</v>
      </c>
      <c r="AJ15" s="34">
        <v>95339</v>
      </c>
      <c r="AK15" s="11">
        <f t="shared" si="1"/>
        <v>1248866</v>
      </c>
      <c r="AL15" s="34">
        <v>104302.179999999</v>
      </c>
      <c r="AM15" s="35">
        <v>122699.81</v>
      </c>
      <c r="AN15" s="35">
        <v>116696.504</v>
      </c>
      <c r="AO15" s="35">
        <v>112207.276</v>
      </c>
      <c r="AP15" s="35">
        <v>115555.353</v>
      </c>
      <c r="AQ15" s="35">
        <v>111924.806</v>
      </c>
      <c r="AR15" s="35">
        <v>119589</v>
      </c>
      <c r="AS15" s="35">
        <v>116658</v>
      </c>
      <c r="AT15" s="35">
        <v>123443.212</v>
      </c>
      <c r="AU15" s="35">
        <v>130141.05</v>
      </c>
      <c r="AV15" s="35">
        <v>111615.433</v>
      </c>
      <c r="AW15" s="35">
        <v>127324.13499999901</v>
      </c>
      <c r="AX15" s="11">
        <f t="shared" si="2"/>
        <v>1412156.758999998</v>
      </c>
      <c r="AY15" s="10">
        <v>124899.545</v>
      </c>
      <c r="AZ15" s="10">
        <v>131533.679999999</v>
      </c>
      <c r="BA15" s="10">
        <v>117579</v>
      </c>
      <c r="BB15" s="10">
        <v>145626</v>
      </c>
      <c r="BC15" s="10">
        <v>147655</v>
      </c>
      <c r="BD15" s="10">
        <v>140813.09</v>
      </c>
      <c r="BE15" s="10">
        <v>148121.269999999</v>
      </c>
      <c r="BF15" s="35">
        <v>145871.34</v>
      </c>
      <c r="BG15" s="35">
        <v>150997.329999999</v>
      </c>
      <c r="BH15" s="35">
        <v>158074.18799999901</v>
      </c>
      <c r="BI15" s="35">
        <v>141529.35</v>
      </c>
      <c r="BJ15" s="35">
        <v>142827.29</v>
      </c>
      <c r="BK15" s="11">
        <f t="shared" si="3"/>
        <v>1695527.0829999959</v>
      </c>
      <c r="BL15" s="10">
        <v>143099</v>
      </c>
      <c r="BM15" s="10">
        <v>137732</v>
      </c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1">
        <f t="shared" si="4"/>
        <v>280831</v>
      </c>
    </row>
    <row r="16" spans="1:76" x14ac:dyDescent="0.35">
      <c r="A16" s="31">
        <v>15</v>
      </c>
      <c r="B16" s="31">
        <v>273082</v>
      </c>
      <c r="C16" s="32" t="s">
        <v>153</v>
      </c>
      <c r="D16" s="6" t="s">
        <v>133</v>
      </c>
      <c r="E16" s="31" t="s">
        <v>77</v>
      </c>
      <c r="F16" s="31" t="s">
        <v>85</v>
      </c>
      <c r="G16" s="31" t="s">
        <v>151</v>
      </c>
      <c r="H16" s="33">
        <v>43904</v>
      </c>
      <c r="I16" s="6" t="s">
        <v>131</v>
      </c>
      <c r="J16" s="6"/>
      <c r="K16" s="31" t="s">
        <v>82</v>
      </c>
      <c r="L16" s="34">
        <v>51750.97</v>
      </c>
      <c r="M16" s="34">
        <v>40483.22</v>
      </c>
      <c r="N16" s="34">
        <v>41432</v>
      </c>
      <c r="O16" s="34">
        <v>39602.43</v>
      </c>
      <c r="P16" s="34">
        <v>44443.059999999903</v>
      </c>
      <c r="Q16" s="34">
        <v>36655.68</v>
      </c>
      <c r="R16" s="34">
        <v>49578.87</v>
      </c>
      <c r="S16" s="34">
        <v>55010.05</v>
      </c>
      <c r="T16" s="34">
        <v>56361.36</v>
      </c>
      <c r="U16" s="34">
        <v>57557.43</v>
      </c>
      <c r="V16" s="34">
        <v>40633.639999999898</v>
      </c>
      <c r="W16" s="34">
        <v>45926.339999999902</v>
      </c>
      <c r="X16" s="11">
        <f t="shared" si="0"/>
        <v>559435.0499999997</v>
      </c>
      <c r="Y16" s="34">
        <v>37341</v>
      </c>
      <c r="Z16" s="34">
        <v>29711</v>
      </c>
      <c r="AA16" s="34">
        <v>34276</v>
      </c>
      <c r="AB16" s="34">
        <v>42346</v>
      </c>
      <c r="AC16" s="34">
        <v>38422</v>
      </c>
      <c r="AD16" s="34">
        <v>39811</v>
      </c>
      <c r="AE16" s="34">
        <v>38016</v>
      </c>
      <c r="AF16" s="34">
        <v>34666</v>
      </c>
      <c r="AG16" s="34">
        <v>39252</v>
      </c>
      <c r="AH16" s="34">
        <v>38041</v>
      </c>
      <c r="AI16" s="34">
        <v>35944</v>
      </c>
      <c r="AJ16" s="34">
        <v>38424</v>
      </c>
      <c r="AK16" s="11">
        <f t="shared" si="1"/>
        <v>446250</v>
      </c>
      <c r="AL16" s="34">
        <v>40471.379999999903</v>
      </c>
      <c r="AM16" s="35">
        <v>42377.68</v>
      </c>
      <c r="AN16" s="35">
        <v>46961.722000000002</v>
      </c>
      <c r="AO16" s="35">
        <v>50017.059999999903</v>
      </c>
      <c r="AP16" s="35">
        <v>56424.067000000003</v>
      </c>
      <c r="AQ16" s="35">
        <v>53744.233999999902</v>
      </c>
      <c r="AR16" s="35">
        <v>52901</v>
      </c>
      <c r="AS16" s="35">
        <v>45969</v>
      </c>
      <c r="AT16" s="35">
        <v>50559.379999999903</v>
      </c>
      <c r="AU16" s="35">
        <v>53246.781000000003</v>
      </c>
      <c r="AV16" s="35">
        <v>48363.756999999903</v>
      </c>
      <c r="AW16" s="35">
        <v>56041.938000000002</v>
      </c>
      <c r="AX16" s="11">
        <f t="shared" si="2"/>
        <v>597077.99899999949</v>
      </c>
      <c r="AY16" s="10">
        <v>51850.658000000003</v>
      </c>
      <c r="AZ16" s="10">
        <v>55244.392</v>
      </c>
      <c r="BA16" s="10">
        <v>58332</v>
      </c>
      <c r="BB16" s="10">
        <v>58027</v>
      </c>
      <c r="BC16" s="10">
        <v>55440</v>
      </c>
      <c r="BD16" s="10">
        <v>52942.239999999903</v>
      </c>
      <c r="BE16" s="10">
        <v>49708.08</v>
      </c>
      <c r="BF16" s="35">
        <v>49255.129999999903</v>
      </c>
      <c r="BG16" s="35">
        <v>41895.93</v>
      </c>
      <c r="BH16" s="35">
        <v>48281.529999999897</v>
      </c>
      <c r="BI16" s="35">
        <v>45689.93</v>
      </c>
      <c r="BJ16" s="35">
        <v>42995.18</v>
      </c>
      <c r="BK16" s="11">
        <f t="shared" si="3"/>
        <v>609662.06999999983</v>
      </c>
      <c r="BL16" s="10">
        <v>48265</v>
      </c>
      <c r="BM16" s="10">
        <v>49810</v>
      </c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1">
        <f t="shared" si="4"/>
        <v>98075</v>
      </c>
    </row>
    <row r="17" spans="1:77" x14ac:dyDescent="0.35">
      <c r="A17" s="31">
        <v>16</v>
      </c>
      <c r="B17" s="31">
        <v>126335</v>
      </c>
      <c r="C17" s="32" t="s">
        <v>154</v>
      </c>
      <c r="D17" s="15" t="s">
        <v>84</v>
      </c>
      <c r="E17" s="31" t="s">
        <v>85</v>
      </c>
      <c r="F17" s="31" t="s">
        <v>116</v>
      </c>
      <c r="G17" s="31" t="s">
        <v>79</v>
      </c>
      <c r="H17" s="33">
        <v>45232</v>
      </c>
      <c r="I17" s="15" t="s">
        <v>146</v>
      </c>
      <c r="J17" s="15"/>
      <c r="K17" s="31" t="s">
        <v>82</v>
      </c>
      <c r="L17" s="34">
        <v>117926.95</v>
      </c>
      <c r="M17" s="34">
        <v>156778</v>
      </c>
      <c r="N17" s="34">
        <v>153555.91</v>
      </c>
      <c r="O17" s="34">
        <v>120972.02</v>
      </c>
      <c r="P17" s="34">
        <v>128484.07</v>
      </c>
      <c r="Q17" s="34">
        <v>113566.06</v>
      </c>
      <c r="R17" s="34">
        <v>118463.75</v>
      </c>
      <c r="S17" s="34">
        <v>122943.37</v>
      </c>
      <c r="T17" s="34">
        <v>126233.39</v>
      </c>
      <c r="U17" s="34">
        <v>119032.94</v>
      </c>
      <c r="V17" s="34">
        <v>100940.33</v>
      </c>
      <c r="W17" s="34">
        <v>102220.67</v>
      </c>
      <c r="X17" s="11">
        <f t="shared" si="0"/>
        <v>1481117.46</v>
      </c>
      <c r="Y17" s="34">
        <v>116975</v>
      </c>
      <c r="Z17" s="34">
        <v>134598</v>
      </c>
      <c r="AA17" s="34">
        <v>20416</v>
      </c>
      <c r="AB17" s="34">
        <v>0</v>
      </c>
      <c r="AC17" s="34">
        <v>42112</v>
      </c>
      <c r="AD17" s="34">
        <v>96819</v>
      </c>
      <c r="AE17" s="34">
        <v>106642</v>
      </c>
      <c r="AF17" s="34">
        <v>117320</v>
      </c>
      <c r="AG17" s="34">
        <v>123026</v>
      </c>
      <c r="AH17" s="34">
        <v>108378</v>
      </c>
      <c r="AI17" s="34">
        <v>98834</v>
      </c>
      <c r="AJ17" s="34">
        <v>110985</v>
      </c>
      <c r="AK17" s="11">
        <f t="shared" si="1"/>
        <v>1076105</v>
      </c>
      <c r="AL17" s="34">
        <v>103475.41</v>
      </c>
      <c r="AM17" s="35">
        <v>105874.289</v>
      </c>
      <c r="AN17" s="35">
        <v>89270.032000000007</v>
      </c>
      <c r="AO17" s="35">
        <v>87205.729999999894</v>
      </c>
      <c r="AP17" s="35">
        <v>91419.288</v>
      </c>
      <c r="AQ17" s="35">
        <v>88426.74</v>
      </c>
      <c r="AR17" s="35">
        <v>80318</v>
      </c>
      <c r="AS17" s="35">
        <v>95980</v>
      </c>
      <c r="AT17" s="35">
        <v>103747.933999999</v>
      </c>
      <c r="AU17" s="35">
        <v>94065.16</v>
      </c>
      <c r="AV17" s="35">
        <v>85129.869999999893</v>
      </c>
      <c r="AW17" s="35">
        <v>92531.114000000001</v>
      </c>
      <c r="AX17" s="11">
        <f t="shared" si="2"/>
        <v>1117443.5669999989</v>
      </c>
      <c r="AY17" s="10">
        <v>106785.31299999901</v>
      </c>
      <c r="AZ17" s="10">
        <v>116219.356</v>
      </c>
      <c r="BA17" s="10">
        <v>104176</v>
      </c>
      <c r="BB17" s="10">
        <v>94928</v>
      </c>
      <c r="BC17" s="10">
        <v>97691</v>
      </c>
      <c r="BD17" s="10">
        <v>88478.46</v>
      </c>
      <c r="BE17" s="10">
        <v>110311.58</v>
      </c>
      <c r="BF17" s="35">
        <v>102131.94</v>
      </c>
      <c r="BG17" s="35">
        <v>108866.89</v>
      </c>
      <c r="BH17" s="35">
        <v>93587.813999999897</v>
      </c>
      <c r="BI17" s="35">
        <v>85416.320000000007</v>
      </c>
      <c r="BJ17" s="35">
        <v>109155.02</v>
      </c>
      <c r="BK17" s="11">
        <f t="shared" si="3"/>
        <v>1217747.692999999</v>
      </c>
      <c r="BL17" s="10">
        <v>113692</v>
      </c>
      <c r="BM17" s="10">
        <v>128477</v>
      </c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1">
        <f t="shared" si="4"/>
        <v>242169</v>
      </c>
    </row>
    <row r="18" spans="1:77" x14ac:dyDescent="0.35">
      <c r="A18" s="31">
        <v>17</v>
      </c>
      <c r="B18" s="31">
        <v>222515</v>
      </c>
      <c r="C18" s="32" t="s">
        <v>155</v>
      </c>
      <c r="D18" s="15" t="s">
        <v>115</v>
      </c>
      <c r="E18" s="31" t="s">
        <v>77</v>
      </c>
      <c r="F18" s="31" t="s">
        <v>116</v>
      </c>
      <c r="G18" s="31" t="s">
        <v>79</v>
      </c>
      <c r="H18" s="33">
        <v>45232</v>
      </c>
      <c r="I18" s="15" t="s">
        <v>146</v>
      </c>
      <c r="J18" s="15"/>
      <c r="K18" s="31" t="s">
        <v>82</v>
      </c>
      <c r="L18" s="34">
        <v>83410</v>
      </c>
      <c r="M18" s="34">
        <v>90072.779999999897</v>
      </c>
      <c r="N18" s="34">
        <v>83315.789999999906</v>
      </c>
      <c r="O18" s="34">
        <v>106742.59</v>
      </c>
      <c r="P18" s="34">
        <v>108369.41</v>
      </c>
      <c r="Q18" s="34">
        <v>102316.96</v>
      </c>
      <c r="R18" s="34">
        <v>96510.75</v>
      </c>
      <c r="S18" s="34">
        <v>108717.87</v>
      </c>
      <c r="T18" s="34">
        <v>119093.88</v>
      </c>
      <c r="U18" s="34">
        <v>119776.899999999</v>
      </c>
      <c r="V18" s="34">
        <v>106458.32</v>
      </c>
      <c r="W18" s="34">
        <v>112380.67</v>
      </c>
      <c r="X18" s="11">
        <f t="shared" si="0"/>
        <v>1237165.9199999988</v>
      </c>
      <c r="Y18" s="34">
        <v>115938</v>
      </c>
      <c r="Z18" s="34">
        <v>120866</v>
      </c>
      <c r="AA18" s="34">
        <v>113174</v>
      </c>
      <c r="AB18" s="34">
        <v>132451</v>
      </c>
      <c r="AC18" s="34">
        <v>131793</v>
      </c>
      <c r="AD18" s="34">
        <v>125064</v>
      </c>
      <c r="AE18" s="34">
        <v>124680</v>
      </c>
      <c r="AF18" s="34">
        <v>116940</v>
      </c>
      <c r="AG18" s="34">
        <v>128283</v>
      </c>
      <c r="AH18" s="34">
        <v>119428</v>
      </c>
      <c r="AI18" s="34">
        <v>117407</v>
      </c>
      <c r="AJ18" s="34">
        <v>121431</v>
      </c>
      <c r="AK18" s="11">
        <f t="shared" si="1"/>
        <v>1467455</v>
      </c>
      <c r="AL18" s="34">
        <v>127715.88</v>
      </c>
      <c r="AM18" s="35">
        <v>113934.67</v>
      </c>
      <c r="AN18" s="35">
        <v>118716.478</v>
      </c>
      <c r="AO18" s="35">
        <v>107849.064</v>
      </c>
      <c r="AP18" s="35">
        <v>105614.365999999</v>
      </c>
      <c r="AQ18" s="35">
        <v>110511.838</v>
      </c>
      <c r="AR18" s="35">
        <v>115154</v>
      </c>
      <c r="AS18" s="35">
        <v>139105</v>
      </c>
      <c r="AT18" s="35">
        <v>157672.242</v>
      </c>
      <c r="AU18" s="35">
        <v>150364.72</v>
      </c>
      <c r="AV18" s="35">
        <v>136976.72</v>
      </c>
      <c r="AW18" s="35">
        <v>151061.88800000001</v>
      </c>
      <c r="AX18" s="11">
        <f t="shared" si="2"/>
        <v>1534676.865999999</v>
      </c>
      <c r="AY18" s="10">
        <v>139274.538</v>
      </c>
      <c r="AZ18" s="10">
        <v>146157</v>
      </c>
      <c r="BA18" s="10">
        <v>121814</v>
      </c>
      <c r="BB18" s="10">
        <v>115111</v>
      </c>
      <c r="BC18" s="10">
        <v>146638</v>
      </c>
      <c r="BD18" s="10">
        <v>163226.799999999</v>
      </c>
      <c r="BE18" s="10">
        <v>168594.269999999</v>
      </c>
      <c r="BF18" s="35">
        <v>173154.72</v>
      </c>
      <c r="BG18" s="35">
        <v>172596.89</v>
      </c>
      <c r="BH18" s="35">
        <v>144073.06400000001</v>
      </c>
      <c r="BI18" s="35">
        <v>137512.47</v>
      </c>
      <c r="BJ18" s="35">
        <v>114763</v>
      </c>
      <c r="BK18" s="11">
        <f t="shared" si="3"/>
        <v>1742915.751999998</v>
      </c>
      <c r="BL18" s="10">
        <v>146584</v>
      </c>
      <c r="BM18" s="10">
        <v>145288</v>
      </c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1">
        <f t="shared" si="4"/>
        <v>291872</v>
      </c>
    </row>
    <row r="19" spans="1:77" x14ac:dyDescent="0.35">
      <c r="A19" s="31">
        <v>18</v>
      </c>
      <c r="B19" s="31">
        <v>226494</v>
      </c>
      <c r="C19" s="32" t="s">
        <v>156</v>
      </c>
      <c r="D19" s="15" t="s">
        <v>84</v>
      </c>
      <c r="E19" s="31" t="s">
        <v>77</v>
      </c>
      <c r="F19" s="31" t="s">
        <v>116</v>
      </c>
      <c r="G19" s="31" t="s">
        <v>79</v>
      </c>
      <c r="H19" s="33">
        <v>45232</v>
      </c>
      <c r="I19" s="15" t="s">
        <v>146</v>
      </c>
      <c r="J19" s="15"/>
      <c r="K19" s="31" t="s">
        <v>82</v>
      </c>
      <c r="L19" s="34">
        <v>107965.07</v>
      </c>
      <c r="M19" s="34">
        <v>105150.17</v>
      </c>
      <c r="N19" s="34">
        <v>74311.059999999896</v>
      </c>
      <c r="O19" s="34">
        <v>76668.960000000006</v>
      </c>
      <c r="P19" s="34">
        <v>74502.339999999895</v>
      </c>
      <c r="Q19" s="34">
        <v>72798.039999999906</v>
      </c>
      <c r="R19" s="34">
        <v>70330.960000000006</v>
      </c>
      <c r="S19" s="34">
        <v>65716.619999999893</v>
      </c>
      <c r="T19" s="34">
        <v>72330.490000000005</v>
      </c>
      <c r="U19" s="34">
        <v>68317.38</v>
      </c>
      <c r="V19" s="34">
        <v>68741.759999999893</v>
      </c>
      <c r="W19" s="34">
        <v>71487.289999999906</v>
      </c>
      <c r="X19" s="11">
        <f t="shared" si="0"/>
        <v>928320.13999999943</v>
      </c>
      <c r="Y19" s="34">
        <v>78340</v>
      </c>
      <c r="Z19" s="34">
        <v>60369</v>
      </c>
      <c r="AA19" s="34">
        <v>72814</v>
      </c>
      <c r="AB19" s="34">
        <v>48645</v>
      </c>
      <c r="AC19" s="34">
        <v>0</v>
      </c>
      <c r="AD19" s="34">
        <v>20253</v>
      </c>
      <c r="AE19" s="34">
        <v>75745</v>
      </c>
      <c r="AF19" s="34">
        <v>86385</v>
      </c>
      <c r="AG19" s="34">
        <v>84938</v>
      </c>
      <c r="AH19" s="34">
        <v>83681</v>
      </c>
      <c r="AI19" s="34">
        <v>78282</v>
      </c>
      <c r="AJ19" s="34">
        <v>79478</v>
      </c>
      <c r="AK19" s="11">
        <f t="shared" si="1"/>
        <v>768930</v>
      </c>
      <c r="AL19" s="34">
        <v>91486.839999999895</v>
      </c>
      <c r="AM19" s="35">
        <v>96133.57</v>
      </c>
      <c r="AN19" s="35">
        <v>87732.077999999907</v>
      </c>
      <c r="AO19" s="35">
        <v>90263.77</v>
      </c>
      <c r="AP19" s="35">
        <v>94399.278000000006</v>
      </c>
      <c r="AQ19" s="35">
        <v>86924.130999999907</v>
      </c>
      <c r="AR19" s="35">
        <v>89914</v>
      </c>
      <c r="AS19" s="35">
        <v>104448</v>
      </c>
      <c r="AT19" s="35">
        <v>95439.44</v>
      </c>
      <c r="AU19" s="35">
        <v>88825.539999999906</v>
      </c>
      <c r="AV19" s="35">
        <v>95392.066000000006</v>
      </c>
      <c r="AW19" s="35">
        <v>103319.466</v>
      </c>
      <c r="AX19" s="11">
        <f t="shared" si="2"/>
        <v>1124278.1789999998</v>
      </c>
      <c r="AY19" s="10">
        <v>112155.2</v>
      </c>
      <c r="AZ19" s="10">
        <v>126358.84600000001</v>
      </c>
      <c r="BA19" s="10">
        <v>105181</v>
      </c>
      <c r="BB19" s="10">
        <v>104956</v>
      </c>
      <c r="BC19" s="10">
        <v>108731</v>
      </c>
      <c r="BD19" s="10">
        <v>101167.21</v>
      </c>
      <c r="BE19" s="10">
        <v>109048.31</v>
      </c>
      <c r="BF19" s="35">
        <v>115011.8</v>
      </c>
      <c r="BG19" s="35">
        <v>120634.6</v>
      </c>
      <c r="BH19" s="35">
        <v>110295.052</v>
      </c>
      <c r="BI19" s="35">
        <v>108404.7</v>
      </c>
      <c r="BJ19" s="35">
        <v>115453.21</v>
      </c>
      <c r="BK19" s="11">
        <f t="shared" si="3"/>
        <v>1337396.9279999998</v>
      </c>
      <c r="BL19" s="10">
        <v>114256</v>
      </c>
      <c r="BM19" s="10">
        <v>134484</v>
      </c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1">
        <f t="shared" si="4"/>
        <v>248740</v>
      </c>
    </row>
    <row r="20" spans="1:77" x14ac:dyDescent="0.35">
      <c r="A20" s="31">
        <v>19</v>
      </c>
      <c r="B20" s="31">
        <v>233737</v>
      </c>
      <c r="C20" s="32" t="s">
        <v>157</v>
      </c>
      <c r="D20" s="6" t="s">
        <v>133</v>
      </c>
      <c r="E20" s="31" t="s">
        <v>85</v>
      </c>
      <c r="F20" s="31" t="s">
        <v>85</v>
      </c>
      <c r="G20" s="31" t="s">
        <v>79</v>
      </c>
      <c r="H20" s="33">
        <v>45232</v>
      </c>
      <c r="I20" s="15" t="s">
        <v>146</v>
      </c>
      <c r="J20" s="15"/>
      <c r="K20" s="31" t="s">
        <v>82</v>
      </c>
      <c r="L20" s="34">
        <v>56709.47</v>
      </c>
      <c r="M20" s="34">
        <v>76534</v>
      </c>
      <c r="N20" s="34">
        <v>104408.02</v>
      </c>
      <c r="O20" s="34">
        <v>107535.83</v>
      </c>
      <c r="P20" s="34">
        <v>102169.47</v>
      </c>
      <c r="Q20" s="34">
        <v>114104.929999999</v>
      </c>
      <c r="R20" s="34">
        <v>100218.35</v>
      </c>
      <c r="S20" s="34">
        <v>105921.61</v>
      </c>
      <c r="T20" s="34">
        <v>108800.82</v>
      </c>
      <c r="U20" s="34">
        <v>101268.31</v>
      </c>
      <c r="V20" s="34">
        <v>93004.199999999895</v>
      </c>
      <c r="W20" s="34">
        <v>104280.5</v>
      </c>
      <c r="X20" s="11">
        <f t="shared" si="0"/>
        <v>1174955.5099999991</v>
      </c>
      <c r="Y20" s="34">
        <v>101358</v>
      </c>
      <c r="Z20" s="34">
        <v>99644</v>
      </c>
      <c r="AA20" s="34">
        <v>125177</v>
      </c>
      <c r="AB20" s="34">
        <v>128683</v>
      </c>
      <c r="AC20" s="34">
        <v>127785</v>
      </c>
      <c r="AD20" s="34">
        <v>127358</v>
      </c>
      <c r="AE20" s="34">
        <v>132140</v>
      </c>
      <c r="AF20" s="34">
        <v>120488</v>
      </c>
      <c r="AG20" s="34">
        <v>137126</v>
      </c>
      <c r="AH20" s="34">
        <v>117164</v>
      </c>
      <c r="AI20" s="34">
        <v>111508</v>
      </c>
      <c r="AJ20" s="34">
        <v>120892</v>
      </c>
      <c r="AK20" s="11">
        <f t="shared" si="1"/>
        <v>1449323</v>
      </c>
      <c r="AL20" s="34">
        <v>118625.12</v>
      </c>
      <c r="AM20" s="35">
        <v>113035.764</v>
      </c>
      <c r="AN20" s="35">
        <v>102303.74400000001</v>
      </c>
      <c r="AO20" s="35">
        <v>104269.182</v>
      </c>
      <c r="AP20" s="35">
        <v>102980.925</v>
      </c>
      <c r="AQ20" s="35">
        <v>104582.285999999</v>
      </c>
      <c r="AR20" s="35">
        <v>108694</v>
      </c>
      <c r="AS20" s="35">
        <v>128402</v>
      </c>
      <c r="AT20" s="35">
        <v>126755.662</v>
      </c>
      <c r="AU20" s="35">
        <v>133007.848</v>
      </c>
      <c r="AV20" s="35">
        <v>114657.48</v>
      </c>
      <c r="AW20" s="35">
        <v>136567.144</v>
      </c>
      <c r="AX20" s="11">
        <f t="shared" si="2"/>
        <v>1393881.1549999991</v>
      </c>
      <c r="AY20" s="10">
        <v>131575.549999999</v>
      </c>
      <c r="AZ20" s="10">
        <v>116952.274</v>
      </c>
      <c r="BA20" s="10">
        <v>131040</v>
      </c>
      <c r="BB20" s="10">
        <v>118854</v>
      </c>
      <c r="BC20" s="10">
        <v>129223</v>
      </c>
      <c r="BD20" s="10">
        <v>118971.16</v>
      </c>
      <c r="BE20" s="10">
        <v>130118.399999999</v>
      </c>
      <c r="BF20" s="35">
        <v>132367.5</v>
      </c>
      <c r="BG20" s="35">
        <v>161381.32</v>
      </c>
      <c r="BH20" s="35">
        <v>166107.503</v>
      </c>
      <c r="BI20" s="35">
        <v>167079.429999999</v>
      </c>
      <c r="BJ20" s="35">
        <v>165343.48000000001</v>
      </c>
      <c r="BK20" s="11">
        <f t="shared" si="3"/>
        <v>1669013.6169999971</v>
      </c>
      <c r="BL20" s="10">
        <v>142817</v>
      </c>
      <c r="BM20" s="10">
        <v>142668</v>
      </c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1">
        <f t="shared" si="4"/>
        <v>285485</v>
      </c>
    </row>
    <row r="21" spans="1:77" x14ac:dyDescent="0.35">
      <c r="A21" s="31">
        <v>20</v>
      </c>
      <c r="B21" s="31">
        <v>274012</v>
      </c>
      <c r="C21" s="32" t="s">
        <v>158</v>
      </c>
      <c r="D21" s="15" t="s">
        <v>76</v>
      </c>
      <c r="E21" s="31" t="s">
        <v>85</v>
      </c>
      <c r="F21" s="31" t="s">
        <v>116</v>
      </c>
      <c r="G21" s="31" t="s">
        <v>79</v>
      </c>
      <c r="H21" s="33">
        <v>45232</v>
      </c>
      <c r="I21" s="15" t="s">
        <v>146</v>
      </c>
      <c r="J21" s="15"/>
      <c r="K21" s="31" t="s">
        <v>82</v>
      </c>
      <c r="L21" s="34">
        <v>93701.339999999895</v>
      </c>
      <c r="M21" s="34">
        <v>105782.49</v>
      </c>
      <c r="N21" s="34">
        <v>114835.06</v>
      </c>
      <c r="O21" s="34">
        <v>120062.71</v>
      </c>
      <c r="P21" s="34">
        <v>87893.27</v>
      </c>
      <c r="Q21" s="34">
        <v>85702</v>
      </c>
      <c r="R21" s="34">
        <v>89990.919999999896</v>
      </c>
      <c r="S21" s="34">
        <v>97108.309999999896</v>
      </c>
      <c r="T21" s="34">
        <v>102928.86</v>
      </c>
      <c r="U21" s="34">
        <v>100061.25999999901</v>
      </c>
      <c r="V21" s="34">
        <v>102258.16</v>
      </c>
      <c r="W21" s="34">
        <v>105803.21</v>
      </c>
      <c r="X21" s="11">
        <f t="shared" si="0"/>
        <v>1206127.5899999987</v>
      </c>
      <c r="Y21" s="34">
        <v>114429</v>
      </c>
      <c r="Z21" s="34">
        <v>132076</v>
      </c>
      <c r="AA21" s="34">
        <v>107085</v>
      </c>
      <c r="AB21" s="34">
        <v>45010</v>
      </c>
      <c r="AC21" s="34">
        <v>84432</v>
      </c>
      <c r="AD21" s="34">
        <v>85343</v>
      </c>
      <c r="AE21" s="34">
        <v>83989</v>
      </c>
      <c r="AF21" s="34">
        <v>99344</v>
      </c>
      <c r="AG21" s="34">
        <v>113375</v>
      </c>
      <c r="AH21" s="34">
        <v>141365</v>
      </c>
      <c r="AI21" s="34">
        <v>117288</v>
      </c>
      <c r="AJ21" s="34">
        <v>105087</v>
      </c>
      <c r="AK21" s="11">
        <f t="shared" si="1"/>
        <v>1228823</v>
      </c>
      <c r="AL21" s="34">
        <v>128693.59</v>
      </c>
      <c r="AM21" s="35">
        <v>152469.255999999</v>
      </c>
      <c r="AN21" s="35">
        <v>57935.067999999897</v>
      </c>
      <c r="AO21" s="35">
        <v>0</v>
      </c>
      <c r="AP21" s="35">
        <v>0</v>
      </c>
      <c r="AQ21" s="35">
        <v>0</v>
      </c>
      <c r="AR21" s="35">
        <v>0</v>
      </c>
      <c r="AS21" s="35">
        <v>0</v>
      </c>
      <c r="AT21" s="35">
        <v>0</v>
      </c>
      <c r="AU21" s="35">
        <v>0</v>
      </c>
      <c r="AV21" s="35">
        <v>10690.959999999901</v>
      </c>
      <c r="AW21" s="35">
        <v>47497.599999999897</v>
      </c>
      <c r="AX21" s="11">
        <f t="shared" si="2"/>
        <v>397286.47399999871</v>
      </c>
      <c r="AY21" s="10">
        <v>57664.51</v>
      </c>
      <c r="AZ21" s="10">
        <v>631.05999999999904</v>
      </c>
      <c r="BA21" s="10">
        <v>0</v>
      </c>
      <c r="BB21" s="10">
        <v>0</v>
      </c>
      <c r="BC21" s="10">
        <v>70099</v>
      </c>
      <c r="BD21" s="10">
        <v>109379.48</v>
      </c>
      <c r="BE21" s="10">
        <v>121351.69</v>
      </c>
      <c r="BF21" s="35">
        <v>133117.269999999</v>
      </c>
      <c r="BG21" s="35">
        <v>44966.129999999903</v>
      </c>
      <c r="BH21" s="35">
        <v>36823.775999999903</v>
      </c>
      <c r="BI21" s="35">
        <v>117690.36</v>
      </c>
      <c r="BJ21" s="35">
        <v>116894.06</v>
      </c>
      <c r="BK21" s="11">
        <f t="shared" si="3"/>
        <v>808617.33599999873</v>
      </c>
      <c r="BL21" s="10">
        <v>115578</v>
      </c>
      <c r="BM21" s="10">
        <v>132549</v>
      </c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1">
        <f t="shared" si="4"/>
        <v>248127</v>
      </c>
    </row>
    <row r="22" spans="1:77" x14ac:dyDescent="0.35">
      <c r="A22" s="31">
        <v>21</v>
      </c>
      <c r="B22" s="31">
        <v>313338</v>
      </c>
      <c r="C22" s="32" t="s">
        <v>159</v>
      </c>
      <c r="D22" s="15" t="s">
        <v>109</v>
      </c>
      <c r="E22" s="31" t="s">
        <v>85</v>
      </c>
      <c r="F22" s="31" t="s">
        <v>116</v>
      </c>
      <c r="G22" s="31" t="s">
        <v>79</v>
      </c>
      <c r="H22" s="33">
        <v>45232</v>
      </c>
      <c r="I22" s="15" t="s">
        <v>146</v>
      </c>
      <c r="J22" s="15"/>
      <c r="K22" s="31" t="s">
        <v>82</v>
      </c>
      <c r="L22" s="34">
        <v>51167.91</v>
      </c>
      <c r="M22" s="34">
        <v>99813.38</v>
      </c>
      <c r="N22" s="34">
        <v>84500.46</v>
      </c>
      <c r="O22" s="34">
        <v>74894.839999999895</v>
      </c>
      <c r="P22" s="34">
        <v>81087.070000000007</v>
      </c>
      <c r="Q22" s="34">
        <v>75080.779999999897</v>
      </c>
      <c r="R22" s="34">
        <v>87937.1</v>
      </c>
      <c r="S22" s="34">
        <v>89457.22</v>
      </c>
      <c r="T22" s="34">
        <v>92903</v>
      </c>
      <c r="U22" s="34">
        <v>90794.69</v>
      </c>
      <c r="V22" s="34">
        <v>99267.66</v>
      </c>
      <c r="W22" s="34">
        <v>98364.75</v>
      </c>
      <c r="X22" s="11">
        <f t="shared" si="0"/>
        <v>1025268.8599999998</v>
      </c>
      <c r="Y22" s="34">
        <v>99255</v>
      </c>
      <c r="Z22" s="34">
        <v>105117</v>
      </c>
      <c r="AA22" s="34">
        <v>92430</v>
      </c>
      <c r="AB22" s="34">
        <v>99122</v>
      </c>
      <c r="AC22" s="34">
        <v>106326</v>
      </c>
      <c r="AD22" s="34">
        <v>105550</v>
      </c>
      <c r="AE22" s="34">
        <v>100837</v>
      </c>
      <c r="AF22" s="34">
        <v>116871</v>
      </c>
      <c r="AG22" s="34">
        <v>108725</v>
      </c>
      <c r="AH22" s="34">
        <v>93594</v>
      </c>
      <c r="AI22" s="34">
        <v>92740</v>
      </c>
      <c r="AJ22" s="34">
        <v>75705</v>
      </c>
      <c r="AK22" s="11">
        <f t="shared" si="1"/>
        <v>1196272</v>
      </c>
      <c r="AL22" s="34">
        <v>76847.490000000005</v>
      </c>
      <c r="AM22" s="35">
        <v>90637.153000000006</v>
      </c>
      <c r="AN22" s="35">
        <v>92592.357000000004</v>
      </c>
      <c r="AO22" s="35">
        <v>81118.051000000007</v>
      </c>
      <c r="AP22" s="35">
        <v>95926.542000000001</v>
      </c>
      <c r="AQ22" s="35">
        <v>79025.979999999894</v>
      </c>
      <c r="AR22" s="35">
        <v>93175</v>
      </c>
      <c r="AS22" s="35">
        <v>110916</v>
      </c>
      <c r="AT22" s="35">
        <v>106203.36500000001</v>
      </c>
      <c r="AU22" s="35">
        <v>97039.88</v>
      </c>
      <c r="AV22" s="35">
        <v>106601.649999999</v>
      </c>
      <c r="AW22" s="35">
        <v>113149.537</v>
      </c>
      <c r="AX22" s="11">
        <f t="shared" si="2"/>
        <v>1143233.0049999987</v>
      </c>
      <c r="AY22" s="10">
        <v>115843.1</v>
      </c>
      <c r="AZ22" s="10">
        <v>127022.77899999901</v>
      </c>
      <c r="BA22" s="10">
        <v>114177</v>
      </c>
      <c r="BB22" s="10">
        <v>115702</v>
      </c>
      <c r="BC22" s="10">
        <v>110378</v>
      </c>
      <c r="BD22" s="10">
        <v>110546.16</v>
      </c>
      <c r="BE22" s="10">
        <v>121445.57</v>
      </c>
      <c r="BF22" s="35">
        <v>123678.5</v>
      </c>
      <c r="BG22" s="35">
        <v>134244.62</v>
      </c>
      <c r="BH22" s="35">
        <v>128573.912</v>
      </c>
      <c r="BI22" s="35">
        <v>104328.42</v>
      </c>
      <c r="BJ22" s="35">
        <v>55803.18</v>
      </c>
      <c r="BK22" s="11">
        <f t="shared" si="3"/>
        <v>1361743.2409999988</v>
      </c>
      <c r="BL22" s="10">
        <v>180858</v>
      </c>
      <c r="BM22" s="10">
        <v>228677</v>
      </c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1">
        <f t="shared" si="4"/>
        <v>409535</v>
      </c>
    </row>
    <row r="23" spans="1:77" x14ac:dyDescent="0.35">
      <c r="A23" s="31">
        <v>22</v>
      </c>
      <c r="B23" s="31">
        <v>315209</v>
      </c>
      <c r="C23" s="32" t="s">
        <v>160</v>
      </c>
      <c r="D23" s="15" t="s">
        <v>109</v>
      </c>
      <c r="E23" s="31" t="s">
        <v>77</v>
      </c>
      <c r="F23" s="31" t="s">
        <v>116</v>
      </c>
      <c r="G23" s="31" t="s">
        <v>79</v>
      </c>
      <c r="H23" s="33">
        <v>45232</v>
      </c>
      <c r="I23" s="15" t="s">
        <v>146</v>
      </c>
      <c r="J23" s="15"/>
      <c r="K23" s="31" t="s">
        <v>82</v>
      </c>
      <c r="L23" s="34">
        <v>51297.889999999898</v>
      </c>
      <c r="M23" s="34">
        <v>75363.97</v>
      </c>
      <c r="N23" s="34">
        <v>79485.740000000005</v>
      </c>
      <c r="O23" s="34">
        <v>86131.809999999896</v>
      </c>
      <c r="P23" s="34">
        <v>81196.5</v>
      </c>
      <c r="Q23" s="34">
        <v>78225.899999999907</v>
      </c>
      <c r="R23" s="34">
        <v>86483.919999999896</v>
      </c>
      <c r="S23" s="34">
        <v>83412.22</v>
      </c>
      <c r="T23" s="34">
        <v>85388.589999999895</v>
      </c>
      <c r="U23" s="34">
        <v>80728.91</v>
      </c>
      <c r="V23" s="34">
        <v>73675.669999999896</v>
      </c>
      <c r="W23" s="34">
        <v>69193.86</v>
      </c>
      <c r="X23" s="11">
        <f t="shared" si="0"/>
        <v>930584.9799999994</v>
      </c>
      <c r="Y23" s="34">
        <v>77736</v>
      </c>
      <c r="Z23" s="34">
        <v>85732</v>
      </c>
      <c r="AA23" s="34">
        <v>94815</v>
      </c>
      <c r="AB23" s="34">
        <v>87418</v>
      </c>
      <c r="AC23" s="34">
        <v>98225</v>
      </c>
      <c r="AD23" s="34">
        <v>90853</v>
      </c>
      <c r="AE23" s="34">
        <v>90425</v>
      </c>
      <c r="AF23" s="34">
        <v>106704</v>
      </c>
      <c r="AG23" s="34">
        <v>109329</v>
      </c>
      <c r="AH23" s="34">
        <v>101451</v>
      </c>
      <c r="AI23" s="34">
        <v>68931</v>
      </c>
      <c r="AJ23" s="34">
        <v>75236</v>
      </c>
      <c r="AK23" s="11">
        <f t="shared" si="1"/>
        <v>1086855</v>
      </c>
      <c r="AL23" s="34">
        <v>91504.24</v>
      </c>
      <c r="AM23" s="35">
        <v>99521.71</v>
      </c>
      <c r="AN23" s="35">
        <v>66818.139999999898</v>
      </c>
      <c r="AO23" s="35">
        <v>87372.952000000005</v>
      </c>
      <c r="AP23" s="35">
        <v>74212.428</v>
      </c>
      <c r="AQ23" s="35">
        <v>75537.600000000006</v>
      </c>
      <c r="AR23" s="35">
        <v>78264</v>
      </c>
      <c r="AS23" s="35">
        <v>96934</v>
      </c>
      <c r="AT23" s="35">
        <v>93410.012000000002</v>
      </c>
      <c r="AU23" s="35">
        <v>90787.906000000003</v>
      </c>
      <c r="AV23" s="35">
        <v>83001.589999999895</v>
      </c>
      <c r="AW23" s="35">
        <v>81485.614000000001</v>
      </c>
      <c r="AX23" s="11">
        <f t="shared" si="2"/>
        <v>1018850.1919999998</v>
      </c>
      <c r="AY23" s="10">
        <v>89623.062000000005</v>
      </c>
      <c r="AZ23" s="10">
        <v>101735.71400000001</v>
      </c>
      <c r="BA23" s="10">
        <v>86399</v>
      </c>
      <c r="BB23" s="10">
        <v>85528</v>
      </c>
      <c r="BC23" s="10">
        <v>98896</v>
      </c>
      <c r="BD23" s="10">
        <v>94587.399999999907</v>
      </c>
      <c r="BE23" s="10">
        <v>104229.03</v>
      </c>
      <c r="BF23" s="35">
        <v>104544.97</v>
      </c>
      <c r="BG23" s="35">
        <v>109782.85</v>
      </c>
      <c r="BH23" s="35">
        <v>104159.41</v>
      </c>
      <c r="BI23" s="35">
        <v>99920.679999999906</v>
      </c>
      <c r="BJ23" s="35">
        <v>108661.41</v>
      </c>
      <c r="BK23" s="11">
        <f t="shared" si="3"/>
        <v>1188067.5259999998</v>
      </c>
      <c r="BL23" s="10">
        <v>108487</v>
      </c>
      <c r="BM23" s="10">
        <v>119423</v>
      </c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1">
        <f t="shared" si="4"/>
        <v>227910</v>
      </c>
    </row>
    <row r="24" spans="1:77" x14ac:dyDescent="0.35">
      <c r="A24" s="31">
        <v>23</v>
      </c>
      <c r="B24" s="31">
        <v>280303</v>
      </c>
      <c r="C24" s="32" t="s">
        <v>161</v>
      </c>
      <c r="D24" s="15" t="s">
        <v>115</v>
      </c>
      <c r="E24" s="31" t="s">
        <v>77</v>
      </c>
      <c r="F24" s="31" t="s">
        <v>116</v>
      </c>
      <c r="G24" s="31" t="s">
        <v>79</v>
      </c>
      <c r="H24" s="33">
        <v>44212</v>
      </c>
      <c r="I24" s="15" t="s">
        <v>146</v>
      </c>
      <c r="J24" s="15"/>
      <c r="K24" s="31" t="s">
        <v>82</v>
      </c>
      <c r="L24" s="34">
        <v>127552.95</v>
      </c>
      <c r="M24" s="34">
        <v>27728.799999999901</v>
      </c>
      <c r="N24" s="34">
        <v>133207.549999999</v>
      </c>
      <c r="O24" s="34">
        <v>116634.1</v>
      </c>
      <c r="P24" s="34">
        <v>144189.929999999</v>
      </c>
      <c r="Q24" s="34">
        <v>128169.539999999</v>
      </c>
      <c r="R24" s="34">
        <v>146374.489999999</v>
      </c>
      <c r="S24" s="34">
        <v>145582.269999999</v>
      </c>
      <c r="T24" s="34">
        <v>145560.609999999</v>
      </c>
      <c r="U24" s="34">
        <v>128446.94</v>
      </c>
      <c r="V24" s="34">
        <v>5686.35</v>
      </c>
      <c r="W24" s="34">
        <v>0</v>
      </c>
      <c r="X24" s="11">
        <f t="shared" si="0"/>
        <v>1249133.529999994</v>
      </c>
      <c r="Y24" s="34">
        <v>14006</v>
      </c>
      <c r="Z24" s="34">
        <v>81324</v>
      </c>
      <c r="AA24" s="34">
        <v>88689</v>
      </c>
      <c r="AB24" s="34">
        <v>28417</v>
      </c>
      <c r="AC24" s="34">
        <v>0</v>
      </c>
      <c r="AD24" s="34">
        <v>0</v>
      </c>
      <c r="AE24" s="34">
        <v>0</v>
      </c>
      <c r="AF24" s="34">
        <v>0</v>
      </c>
      <c r="AG24" s="34">
        <v>0</v>
      </c>
      <c r="AH24" s="34">
        <v>0</v>
      </c>
      <c r="AI24" s="34">
        <v>0</v>
      </c>
      <c r="AJ24" s="34">
        <v>0</v>
      </c>
      <c r="AK24" s="11">
        <f t="shared" si="1"/>
        <v>212436</v>
      </c>
      <c r="AL24" s="34">
        <v>0</v>
      </c>
      <c r="AM24" s="35">
        <v>0</v>
      </c>
      <c r="AN24" s="35">
        <v>4033.5</v>
      </c>
      <c r="AO24" s="35">
        <v>109725.02</v>
      </c>
      <c r="AP24" s="35">
        <v>107390.198999999</v>
      </c>
      <c r="AQ24" s="35">
        <v>99926.024999999907</v>
      </c>
      <c r="AR24" s="35">
        <v>126159</v>
      </c>
      <c r="AS24" s="35">
        <v>119917</v>
      </c>
      <c r="AT24" s="35">
        <v>105866.38</v>
      </c>
      <c r="AU24" s="35">
        <v>133228.587999999</v>
      </c>
      <c r="AV24" s="35">
        <v>135766.986</v>
      </c>
      <c r="AW24" s="35">
        <v>125861.178</v>
      </c>
      <c r="AX24" s="11">
        <f t="shared" si="2"/>
        <v>1067873.8759999981</v>
      </c>
      <c r="AY24" s="10">
        <v>108967.433999999</v>
      </c>
      <c r="AZ24" s="10">
        <v>122047.31</v>
      </c>
      <c r="BA24" s="10">
        <v>123884</v>
      </c>
      <c r="BB24" s="10">
        <v>136109</v>
      </c>
      <c r="BC24" s="10">
        <v>134427</v>
      </c>
      <c r="BD24" s="10">
        <v>111112.96000000001</v>
      </c>
      <c r="BE24" s="10">
        <v>151374.179999999</v>
      </c>
      <c r="BF24" s="35">
        <v>162044.579999999</v>
      </c>
      <c r="BG24" s="35">
        <v>174189.53</v>
      </c>
      <c r="BH24" s="35">
        <v>133564.03</v>
      </c>
      <c r="BI24" s="35">
        <v>125266.75999999901</v>
      </c>
      <c r="BJ24" s="35">
        <v>143049.22</v>
      </c>
      <c r="BK24" s="11">
        <f t="shared" si="3"/>
        <v>1626036.003999996</v>
      </c>
      <c r="BL24" s="10">
        <v>153234</v>
      </c>
      <c r="BM24" s="10">
        <v>141949</v>
      </c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1">
        <f t="shared" si="4"/>
        <v>295183</v>
      </c>
    </row>
    <row r="25" spans="1:77" x14ac:dyDescent="0.35">
      <c r="A25" s="31">
        <v>24</v>
      </c>
      <c r="B25" s="31">
        <v>304691</v>
      </c>
      <c r="C25" s="32" t="s">
        <v>162</v>
      </c>
      <c r="D25" s="6" t="s">
        <v>133</v>
      </c>
      <c r="E25" s="31" t="s">
        <v>77</v>
      </c>
      <c r="F25" s="31" t="s">
        <v>110</v>
      </c>
      <c r="G25" s="31" t="s">
        <v>79</v>
      </c>
      <c r="H25" s="33">
        <v>44212</v>
      </c>
      <c r="I25" s="6" t="s">
        <v>131</v>
      </c>
      <c r="J25" s="6"/>
      <c r="K25" s="31" t="s">
        <v>82</v>
      </c>
      <c r="L25" s="34">
        <v>0</v>
      </c>
      <c r="M25" s="34">
        <v>0</v>
      </c>
      <c r="N25" s="34">
        <v>0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34">
        <v>0</v>
      </c>
      <c r="U25" s="34">
        <v>0</v>
      </c>
      <c r="V25" s="34">
        <v>0</v>
      </c>
      <c r="W25" s="34">
        <v>0</v>
      </c>
      <c r="X25" s="11">
        <f t="shared" si="0"/>
        <v>0</v>
      </c>
      <c r="Y25" s="34">
        <v>0</v>
      </c>
      <c r="Z25" s="34">
        <v>0</v>
      </c>
      <c r="AA25" s="34">
        <v>0</v>
      </c>
      <c r="AB25" s="34">
        <v>0</v>
      </c>
      <c r="AC25" s="34">
        <v>0</v>
      </c>
      <c r="AD25" s="34">
        <v>0</v>
      </c>
      <c r="AE25" s="34">
        <v>0</v>
      </c>
      <c r="AF25" s="34">
        <v>0</v>
      </c>
      <c r="AG25" s="34">
        <v>0</v>
      </c>
      <c r="AH25" s="34">
        <v>0</v>
      </c>
      <c r="AI25" s="34">
        <v>0</v>
      </c>
      <c r="AJ25" s="34">
        <v>0</v>
      </c>
      <c r="AK25" s="11">
        <f t="shared" si="1"/>
        <v>0</v>
      </c>
      <c r="AL25" s="34">
        <v>0</v>
      </c>
      <c r="AM25" s="35">
        <v>0</v>
      </c>
      <c r="AN25" s="35">
        <v>0</v>
      </c>
      <c r="AO25" s="35">
        <v>36615.169999999896</v>
      </c>
      <c r="AP25" s="35">
        <v>98165.684999999896</v>
      </c>
      <c r="AQ25" s="35">
        <v>112978.42</v>
      </c>
      <c r="AR25" s="35">
        <v>123115</v>
      </c>
      <c r="AS25" s="35">
        <v>120100</v>
      </c>
      <c r="AT25" s="35">
        <v>129245.164999999</v>
      </c>
      <c r="AU25" s="35">
        <v>131020.50900000001</v>
      </c>
      <c r="AV25" s="35">
        <v>123410.406</v>
      </c>
      <c r="AW25" s="35">
        <v>143681.576</v>
      </c>
      <c r="AX25" s="11">
        <f t="shared" si="2"/>
        <v>1018331.9309999987</v>
      </c>
      <c r="AY25" s="10">
        <v>144676.524999999</v>
      </c>
      <c r="AZ25" s="10">
        <v>151510.56</v>
      </c>
      <c r="BA25" s="10">
        <v>164180</v>
      </c>
      <c r="BB25" s="10">
        <v>190037</v>
      </c>
      <c r="BC25" s="10">
        <v>192136</v>
      </c>
      <c r="BD25" s="10">
        <v>177389.399999999</v>
      </c>
      <c r="BE25" s="10">
        <v>184747.51</v>
      </c>
      <c r="BF25" s="35">
        <v>187722.299999999</v>
      </c>
      <c r="BG25" s="35">
        <v>188442.66</v>
      </c>
      <c r="BH25" s="35">
        <v>189102.6</v>
      </c>
      <c r="BI25" s="35">
        <v>174504.959999999</v>
      </c>
      <c r="BJ25" s="35">
        <v>192677.78</v>
      </c>
      <c r="BK25" s="11">
        <f t="shared" si="3"/>
        <v>2137127.2949999962</v>
      </c>
      <c r="BL25" s="10">
        <v>202285</v>
      </c>
      <c r="BM25" s="10">
        <v>139165</v>
      </c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1">
        <f t="shared" si="4"/>
        <v>341450</v>
      </c>
    </row>
    <row r="26" spans="1:77" x14ac:dyDescent="0.35">
      <c r="A26" s="31">
        <v>25</v>
      </c>
      <c r="B26" s="31">
        <v>275379</v>
      </c>
      <c r="C26" s="32" t="s">
        <v>163</v>
      </c>
      <c r="D26" s="15" t="s">
        <v>129</v>
      </c>
      <c r="E26" s="31" t="s">
        <v>77</v>
      </c>
      <c r="F26" s="31" t="s">
        <v>116</v>
      </c>
      <c r="G26" s="31" t="s">
        <v>79</v>
      </c>
      <c r="H26" s="33">
        <v>44641</v>
      </c>
      <c r="I26" s="6" t="s">
        <v>131</v>
      </c>
      <c r="J26" s="6"/>
      <c r="K26" s="31" t="s">
        <v>82</v>
      </c>
      <c r="L26" s="34">
        <v>70686.059999999896</v>
      </c>
      <c r="M26" s="34">
        <v>77469.070000000007</v>
      </c>
      <c r="N26" s="34">
        <v>72968.570000000007</v>
      </c>
      <c r="O26" s="34">
        <v>66296.229999999894</v>
      </c>
      <c r="P26" s="34">
        <v>72859.419999999896</v>
      </c>
      <c r="Q26" s="34">
        <v>65443.9</v>
      </c>
      <c r="R26" s="34">
        <v>65282.879999999903</v>
      </c>
      <c r="S26" s="34">
        <v>63002.139999999898</v>
      </c>
      <c r="T26" s="34">
        <v>60177.389999999898</v>
      </c>
      <c r="U26" s="34">
        <v>62171.839999999902</v>
      </c>
      <c r="V26" s="34">
        <v>60867.099999999897</v>
      </c>
      <c r="W26" s="34">
        <v>71688.389999999898</v>
      </c>
      <c r="X26" s="11">
        <f t="shared" si="0"/>
        <v>808912.98999999906</v>
      </c>
      <c r="Y26" s="34">
        <v>65146</v>
      </c>
      <c r="Z26" s="34">
        <v>62058</v>
      </c>
      <c r="AA26" s="34">
        <v>52000</v>
      </c>
      <c r="AB26" s="34">
        <v>62109</v>
      </c>
      <c r="AC26" s="34">
        <v>62479</v>
      </c>
      <c r="AD26" s="34">
        <v>58543</v>
      </c>
      <c r="AE26" s="34">
        <v>56115</v>
      </c>
      <c r="AF26" s="34">
        <v>55901</v>
      </c>
      <c r="AG26" s="34">
        <v>29571</v>
      </c>
      <c r="AH26" s="34">
        <v>24299</v>
      </c>
      <c r="AI26" s="34">
        <v>24741</v>
      </c>
      <c r="AJ26" s="34">
        <v>45605</v>
      </c>
      <c r="AK26" s="11">
        <f t="shared" si="1"/>
        <v>598567</v>
      </c>
      <c r="AL26" s="34">
        <v>47611.349999999897</v>
      </c>
      <c r="AM26" s="35">
        <v>42332.252</v>
      </c>
      <c r="AN26" s="35">
        <v>46164.025999999903</v>
      </c>
      <c r="AO26" s="35">
        <v>47613.792999999903</v>
      </c>
      <c r="AP26" s="35">
        <v>43838.699999999903</v>
      </c>
      <c r="AQ26" s="35">
        <v>38007.447999999902</v>
      </c>
      <c r="AR26" s="35">
        <v>39991</v>
      </c>
      <c r="AS26" s="35">
        <v>38150</v>
      </c>
      <c r="AT26" s="35">
        <v>41012.642</v>
      </c>
      <c r="AU26" s="35">
        <v>42464.466</v>
      </c>
      <c r="AV26" s="35">
        <v>41357.773999999903</v>
      </c>
      <c r="AW26" s="35">
        <v>37151.743999999897</v>
      </c>
      <c r="AX26" s="11">
        <f t="shared" si="2"/>
        <v>505695.19499999931</v>
      </c>
      <c r="AY26" s="10">
        <v>34535.942999999897</v>
      </c>
      <c r="AZ26" s="10">
        <v>34102.599000000002</v>
      </c>
      <c r="BA26" s="6">
        <v>31424</v>
      </c>
      <c r="BB26" s="6">
        <v>29941</v>
      </c>
      <c r="BC26" s="6">
        <v>26921</v>
      </c>
      <c r="BD26" s="10">
        <v>25409.4199999999</v>
      </c>
      <c r="BE26" s="10">
        <v>29840.23</v>
      </c>
      <c r="BF26" s="35">
        <v>28095.41</v>
      </c>
      <c r="BG26" s="35">
        <v>29550.619999999901</v>
      </c>
      <c r="BH26" s="35">
        <v>29762.624</v>
      </c>
      <c r="BI26" s="35">
        <v>30784.59</v>
      </c>
      <c r="BJ26" s="35">
        <v>29909.43</v>
      </c>
      <c r="BK26" s="11">
        <f t="shared" si="3"/>
        <v>360276.86599999975</v>
      </c>
      <c r="BL26" s="10">
        <v>27040</v>
      </c>
      <c r="BM26" s="10">
        <v>30747</v>
      </c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1">
        <f t="shared" si="4"/>
        <v>57787</v>
      </c>
    </row>
    <row r="27" spans="1:77" x14ac:dyDescent="0.35">
      <c r="A27" s="31">
        <v>26</v>
      </c>
      <c r="B27" s="31">
        <v>192876</v>
      </c>
      <c r="C27" s="32" t="s">
        <v>164</v>
      </c>
      <c r="D27" s="15" t="s">
        <v>84</v>
      </c>
      <c r="E27" s="31" t="s">
        <v>85</v>
      </c>
      <c r="F27" s="31" t="s">
        <v>78</v>
      </c>
      <c r="G27" s="31" t="s">
        <v>79</v>
      </c>
      <c r="H27" s="33">
        <v>44192</v>
      </c>
      <c r="I27" s="15" t="s">
        <v>146</v>
      </c>
      <c r="J27" s="15"/>
      <c r="K27" s="36" t="s">
        <v>88</v>
      </c>
      <c r="L27" s="35">
        <v>29831.97</v>
      </c>
      <c r="M27" s="35">
        <v>41542.519999999902</v>
      </c>
      <c r="N27" s="35">
        <v>44892.879999999903</v>
      </c>
      <c r="O27" s="35">
        <v>51667.139999999898</v>
      </c>
      <c r="P27" s="35">
        <v>46591.709999999897</v>
      </c>
      <c r="Q27" s="35">
        <v>41223.94</v>
      </c>
      <c r="R27" s="35">
        <v>39470.33</v>
      </c>
      <c r="S27" s="35">
        <v>26768.880000000001</v>
      </c>
      <c r="T27" s="35">
        <v>37452.529999999897</v>
      </c>
      <c r="U27" s="35">
        <v>37652.76</v>
      </c>
      <c r="V27" s="35">
        <v>41963.33</v>
      </c>
      <c r="W27" s="35">
        <v>46972.309999999903</v>
      </c>
      <c r="X27" s="11">
        <f t="shared" si="0"/>
        <v>486030.29999999946</v>
      </c>
      <c r="Y27" s="35">
        <v>42656.57</v>
      </c>
      <c r="Z27" s="35">
        <v>46864.599999999897</v>
      </c>
      <c r="AA27" s="35">
        <v>55911.26</v>
      </c>
      <c r="AB27" s="35">
        <v>57153.08</v>
      </c>
      <c r="AC27" s="35">
        <v>63294.87</v>
      </c>
      <c r="AD27" s="35">
        <v>54908.04</v>
      </c>
      <c r="AE27" s="35">
        <v>53841.11</v>
      </c>
      <c r="AF27" s="35">
        <v>54929.72</v>
      </c>
      <c r="AG27" s="35">
        <v>59524.169999999896</v>
      </c>
      <c r="AH27" s="35">
        <v>46938.989999999903</v>
      </c>
      <c r="AI27" s="35">
        <v>16518.59</v>
      </c>
      <c r="AJ27" s="34">
        <v>0</v>
      </c>
      <c r="AK27" s="11">
        <f t="shared" si="1"/>
        <v>552540.99999999965</v>
      </c>
      <c r="AL27" s="34">
        <v>0</v>
      </c>
      <c r="AM27" s="35">
        <v>15108.48</v>
      </c>
      <c r="AN27" s="35">
        <v>50328.389999999898</v>
      </c>
      <c r="AO27" s="35">
        <v>58505.934999999903</v>
      </c>
      <c r="AP27" s="35">
        <v>61064.087</v>
      </c>
      <c r="AQ27" s="35">
        <v>62753.97</v>
      </c>
      <c r="AR27" s="35">
        <v>63969</v>
      </c>
      <c r="AS27" s="35">
        <v>51041</v>
      </c>
      <c r="AT27" s="35">
        <v>51280.464</v>
      </c>
      <c r="AU27" s="35">
        <v>53448.086000000003</v>
      </c>
      <c r="AV27" s="35">
        <v>48672.123</v>
      </c>
      <c r="AW27" s="35">
        <v>49419.036999999902</v>
      </c>
      <c r="AX27" s="11">
        <f t="shared" si="2"/>
        <v>565590.57199999969</v>
      </c>
      <c r="AY27" s="10">
        <v>68649.16</v>
      </c>
      <c r="AZ27" s="10">
        <v>81303.205000000002</v>
      </c>
      <c r="BA27" s="6">
        <v>82107</v>
      </c>
      <c r="BB27" s="6">
        <v>86959</v>
      </c>
      <c r="BC27" s="6">
        <v>99045</v>
      </c>
      <c r="BD27" s="10">
        <v>95705.74</v>
      </c>
      <c r="BE27" s="10">
        <v>96442.74</v>
      </c>
      <c r="BF27" s="35">
        <v>96191.139999999898</v>
      </c>
      <c r="BG27" s="35">
        <v>93273.399999999907</v>
      </c>
      <c r="BH27" s="35">
        <v>67540.888999999894</v>
      </c>
      <c r="BI27" s="35">
        <v>80979.619999999893</v>
      </c>
      <c r="BJ27" s="35">
        <v>64790.15</v>
      </c>
      <c r="BK27" s="11">
        <f t="shared" si="3"/>
        <v>1012987.0439999995</v>
      </c>
      <c r="BL27" s="10">
        <v>156874</v>
      </c>
      <c r="BM27" s="10">
        <v>162939</v>
      </c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1">
        <f t="shared" si="4"/>
        <v>319813</v>
      </c>
    </row>
    <row r="28" spans="1:77" x14ac:dyDescent="0.35">
      <c r="A28" s="31">
        <v>27</v>
      </c>
      <c r="B28" s="31">
        <v>265541</v>
      </c>
      <c r="C28" s="32" t="s">
        <v>165</v>
      </c>
      <c r="D28" s="15" t="s">
        <v>129</v>
      </c>
      <c r="E28" s="31" t="s">
        <v>85</v>
      </c>
      <c r="F28" s="31" t="s">
        <v>116</v>
      </c>
      <c r="G28" s="31" t="s">
        <v>79</v>
      </c>
      <c r="H28" s="33">
        <v>44620</v>
      </c>
      <c r="I28" s="6" t="s">
        <v>131</v>
      </c>
      <c r="J28" s="6"/>
      <c r="K28" s="31" t="s">
        <v>82</v>
      </c>
      <c r="L28" s="34">
        <v>46107.12</v>
      </c>
      <c r="M28" s="34">
        <v>37750.589999999902</v>
      </c>
      <c r="N28" s="34">
        <v>42073.739999999903</v>
      </c>
      <c r="O28" s="34">
        <v>43627.349999999897</v>
      </c>
      <c r="P28" s="34">
        <v>43829.36</v>
      </c>
      <c r="Q28" s="34">
        <v>33250.76</v>
      </c>
      <c r="R28" s="34">
        <v>44935.48</v>
      </c>
      <c r="S28" s="34">
        <v>48468.87</v>
      </c>
      <c r="T28" s="34">
        <v>47007.57</v>
      </c>
      <c r="U28" s="34">
        <v>43527.239999999903</v>
      </c>
      <c r="V28" s="34">
        <v>42024.809999999903</v>
      </c>
      <c r="W28" s="34">
        <v>47755.209999999897</v>
      </c>
      <c r="X28" s="11">
        <f t="shared" si="0"/>
        <v>520358.09999999939</v>
      </c>
      <c r="Y28" s="34">
        <v>45804</v>
      </c>
      <c r="Z28" s="34">
        <v>52012</v>
      </c>
      <c r="AA28" s="34">
        <v>42535</v>
      </c>
      <c r="AB28" s="34">
        <v>47466</v>
      </c>
      <c r="AC28" s="34">
        <v>42902</v>
      </c>
      <c r="AD28" s="34">
        <v>41079</v>
      </c>
      <c r="AE28" s="34">
        <v>41916</v>
      </c>
      <c r="AF28" s="34">
        <v>45168</v>
      </c>
      <c r="AG28" s="34">
        <v>51856</v>
      </c>
      <c r="AH28" s="34">
        <v>48910</v>
      </c>
      <c r="AI28" s="34">
        <v>46129</v>
      </c>
      <c r="AJ28" s="34">
        <v>49677</v>
      </c>
      <c r="AK28" s="11">
        <f t="shared" si="1"/>
        <v>555454</v>
      </c>
      <c r="AL28" s="34">
        <v>47916.639999999898</v>
      </c>
      <c r="AM28" s="35">
        <v>43002.875</v>
      </c>
      <c r="AN28" s="35">
        <v>41349.758999999904</v>
      </c>
      <c r="AO28" s="35">
        <v>37460.631999999903</v>
      </c>
      <c r="AP28" s="35">
        <v>36718.58</v>
      </c>
      <c r="AQ28" s="35">
        <v>34563.269999999902</v>
      </c>
      <c r="AR28" s="35">
        <v>37387</v>
      </c>
      <c r="AS28" s="35">
        <v>37955</v>
      </c>
      <c r="AT28" s="35">
        <v>39686.966999999902</v>
      </c>
      <c r="AU28" s="35">
        <v>34677.625999999902</v>
      </c>
      <c r="AV28" s="35">
        <v>31159.623</v>
      </c>
      <c r="AW28" s="35">
        <v>33832.807999999903</v>
      </c>
      <c r="AX28" s="11">
        <f t="shared" si="2"/>
        <v>455710.77999999927</v>
      </c>
      <c r="AY28" s="10">
        <v>35703.709999999897</v>
      </c>
      <c r="AZ28" s="10">
        <v>37396.241000000002</v>
      </c>
      <c r="BA28" s="6">
        <v>27678</v>
      </c>
      <c r="BB28" s="6">
        <v>30583</v>
      </c>
      <c r="BC28" s="6">
        <v>33034</v>
      </c>
      <c r="BD28" s="10">
        <v>30965.06</v>
      </c>
      <c r="BE28" s="10">
        <v>38001.22</v>
      </c>
      <c r="BF28" s="35">
        <v>34907.300000000003</v>
      </c>
      <c r="BG28" s="35">
        <v>36697.599999999897</v>
      </c>
      <c r="BH28" s="35">
        <v>38029.892</v>
      </c>
      <c r="BI28" s="35">
        <v>26778.1899999999</v>
      </c>
      <c r="BJ28" s="35">
        <v>24015.74</v>
      </c>
      <c r="BK28" s="11">
        <f t="shared" si="3"/>
        <v>393789.95299999969</v>
      </c>
      <c r="BL28" s="10">
        <v>22557</v>
      </c>
      <c r="BM28" s="10">
        <v>27936</v>
      </c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1">
        <f t="shared" si="4"/>
        <v>50493</v>
      </c>
    </row>
    <row r="29" spans="1:77" x14ac:dyDescent="0.35">
      <c r="A29" s="31">
        <v>28</v>
      </c>
      <c r="B29" s="31">
        <v>135645</v>
      </c>
      <c r="C29" s="32" t="s">
        <v>166</v>
      </c>
      <c r="D29" s="15" t="s">
        <v>129</v>
      </c>
      <c r="E29" s="31" t="s">
        <v>85</v>
      </c>
      <c r="F29" s="31" t="s">
        <v>116</v>
      </c>
      <c r="G29" s="31" t="s">
        <v>79</v>
      </c>
      <c r="H29" s="33">
        <v>44802</v>
      </c>
      <c r="I29" s="6" t="s">
        <v>131</v>
      </c>
      <c r="J29" s="6"/>
      <c r="K29" s="31" t="s">
        <v>82</v>
      </c>
      <c r="L29" s="34">
        <v>0</v>
      </c>
      <c r="M29" s="34">
        <v>0</v>
      </c>
      <c r="N29" s="34">
        <v>0</v>
      </c>
      <c r="O29" s="34">
        <v>0</v>
      </c>
      <c r="P29" s="34">
        <v>5277.52</v>
      </c>
      <c r="Q29" s="34">
        <v>56660.19</v>
      </c>
      <c r="R29" s="34">
        <v>55115.54</v>
      </c>
      <c r="S29" s="34">
        <v>68210.720000000001</v>
      </c>
      <c r="T29" s="34">
        <v>67268.869999999893</v>
      </c>
      <c r="U29" s="34">
        <v>72015.22</v>
      </c>
      <c r="V29" s="34">
        <v>58734.83</v>
      </c>
      <c r="W29" s="34">
        <v>64528.98</v>
      </c>
      <c r="X29" s="11">
        <f t="shared" si="0"/>
        <v>447811.86999999994</v>
      </c>
      <c r="Y29" s="34">
        <v>72909</v>
      </c>
      <c r="Z29" s="34">
        <v>88441</v>
      </c>
      <c r="AA29" s="34">
        <v>84953</v>
      </c>
      <c r="AB29" s="34">
        <v>90680</v>
      </c>
      <c r="AC29" s="34">
        <v>70055</v>
      </c>
      <c r="AD29" s="34">
        <v>77519</v>
      </c>
      <c r="AE29" s="34">
        <v>96694</v>
      </c>
      <c r="AF29" s="34">
        <v>86926</v>
      </c>
      <c r="AG29" s="34">
        <v>94990</v>
      </c>
      <c r="AH29" s="34">
        <v>92656</v>
      </c>
      <c r="AI29" s="34">
        <v>88832</v>
      </c>
      <c r="AJ29" s="34">
        <v>92078</v>
      </c>
      <c r="AK29" s="11">
        <f t="shared" si="1"/>
        <v>1036733</v>
      </c>
      <c r="AL29" s="34">
        <v>90730.589999999895</v>
      </c>
      <c r="AM29" s="35">
        <v>101008.48</v>
      </c>
      <c r="AN29" s="35">
        <v>87461.755000000005</v>
      </c>
      <c r="AO29" s="35">
        <v>91086.895999999906</v>
      </c>
      <c r="AP29" s="35">
        <v>81530.429999999906</v>
      </c>
      <c r="AQ29" s="35">
        <v>72962</v>
      </c>
      <c r="AR29" s="35">
        <v>75328</v>
      </c>
      <c r="AS29" s="35">
        <v>63699</v>
      </c>
      <c r="AT29" s="35">
        <v>67580.229999999894</v>
      </c>
      <c r="AU29" s="35">
        <v>70982.889999999898</v>
      </c>
      <c r="AV29" s="35">
        <v>64184.851000000002</v>
      </c>
      <c r="AW29" s="35">
        <v>63406.285000000003</v>
      </c>
      <c r="AX29" s="11">
        <f t="shared" si="2"/>
        <v>929961.40699999954</v>
      </c>
      <c r="AY29" s="10">
        <v>71653.070000000007</v>
      </c>
      <c r="AZ29" s="10">
        <v>73131.898000000001</v>
      </c>
      <c r="BA29" s="6">
        <v>74164</v>
      </c>
      <c r="BB29" s="6">
        <v>75654</v>
      </c>
      <c r="BC29" s="6">
        <v>65630</v>
      </c>
      <c r="BD29" s="10">
        <v>64914.019999999902</v>
      </c>
      <c r="BE29" s="10">
        <v>62221.139999999898</v>
      </c>
      <c r="BF29" s="35">
        <v>60352</v>
      </c>
      <c r="BG29" s="35">
        <v>61345.099999999897</v>
      </c>
      <c r="BH29" s="35">
        <v>64219.197999999902</v>
      </c>
      <c r="BI29" s="35">
        <v>61817.36</v>
      </c>
      <c r="BJ29" s="35">
        <v>67739.369999999893</v>
      </c>
      <c r="BK29" s="11">
        <f t="shared" si="3"/>
        <v>802841.15599999938</v>
      </c>
      <c r="BL29" s="10">
        <v>61814</v>
      </c>
      <c r="BM29" s="10">
        <v>69601</v>
      </c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1">
        <f t="shared" si="4"/>
        <v>131415</v>
      </c>
    </row>
    <row r="30" spans="1:77" x14ac:dyDescent="0.35">
      <c r="A30" s="31">
        <v>29</v>
      </c>
      <c r="B30" s="31">
        <v>176113</v>
      </c>
      <c r="C30" s="32" t="s">
        <v>167</v>
      </c>
      <c r="D30" s="15" t="s">
        <v>129</v>
      </c>
      <c r="E30" s="31" t="s">
        <v>77</v>
      </c>
      <c r="F30" s="31" t="s">
        <v>85</v>
      </c>
      <c r="G30" s="31" t="s">
        <v>90</v>
      </c>
      <c r="H30" s="33">
        <v>44362</v>
      </c>
      <c r="I30" s="6" t="s">
        <v>131</v>
      </c>
      <c r="J30" s="6"/>
      <c r="K30" s="31" t="s">
        <v>82</v>
      </c>
      <c r="L30" s="34">
        <v>163991.609999999</v>
      </c>
      <c r="M30" s="34">
        <v>167762.78</v>
      </c>
      <c r="N30" s="34">
        <v>171033.28</v>
      </c>
      <c r="O30" s="34">
        <v>198898.04</v>
      </c>
      <c r="P30" s="34">
        <v>196474.14</v>
      </c>
      <c r="Q30" s="34">
        <v>187677.14</v>
      </c>
      <c r="R30" s="34">
        <v>167500.1</v>
      </c>
      <c r="S30" s="34">
        <v>177207.03</v>
      </c>
      <c r="T30" s="34">
        <v>179065.019999999</v>
      </c>
      <c r="U30" s="34">
        <v>184522.2</v>
      </c>
      <c r="V30" s="34">
        <v>158324.049999999</v>
      </c>
      <c r="W30" s="34">
        <v>182120.69</v>
      </c>
      <c r="X30" s="11">
        <f t="shared" si="0"/>
        <v>2134576.0799999973</v>
      </c>
      <c r="Y30" s="34">
        <v>181708</v>
      </c>
      <c r="Z30" s="34">
        <v>185150</v>
      </c>
      <c r="AA30" s="34">
        <v>187119</v>
      </c>
      <c r="AB30" s="34">
        <v>208343</v>
      </c>
      <c r="AC30" s="34">
        <v>193650</v>
      </c>
      <c r="AD30" s="34">
        <v>147148</v>
      </c>
      <c r="AE30" s="34">
        <v>173616</v>
      </c>
      <c r="AF30" s="34">
        <v>154636</v>
      </c>
      <c r="AG30" s="34">
        <v>183626</v>
      </c>
      <c r="AH30" s="34">
        <v>172216</v>
      </c>
      <c r="AI30" s="34">
        <v>155635</v>
      </c>
      <c r="AJ30" s="34">
        <v>165596</v>
      </c>
      <c r="AK30" s="11">
        <f t="shared" si="1"/>
        <v>2108443</v>
      </c>
      <c r="AL30" s="34">
        <v>157177.28</v>
      </c>
      <c r="AM30" s="35">
        <v>184531.16</v>
      </c>
      <c r="AN30" s="35">
        <v>182680.99100000001</v>
      </c>
      <c r="AO30" s="35">
        <v>195355.448</v>
      </c>
      <c r="AP30" s="35">
        <v>199406.054</v>
      </c>
      <c r="AQ30" s="35">
        <v>171539.67</v>
      </c>
      <c r="AR30" s="35">
        <v>174419</v>
      </c>
      <c r="AS30" s="35">
        <v>163855</v>
      </c>
      <c r="AT30" s="35">
        <v>194198.66200000001</v>
      </c>
      <c r="AU30" s="35">
        <v>193422.272</v>
      </c>
      <c r="AV30" s="35">
        <v>174629.56299999901</v>
      </c>
      <c r="AW30" s="35">
        <v>194706.375999999</v>
      </c>
      <c r="AX30" s="11">
        <f t="shared" si="2"/>
        <v>2185921.4759999979</v>
      </c>
      <c r="AY30" s="10">
        <v>186390.39</v>
      </c>
      <c r="AZ30" s="10">
        <v>196623.141999999</v>
      </c>
      <c r="BA30" s="6">
        <v>196377</v>
      </c>
      <c r="BB30" s="6">
        <v>203023</v>
      </c>
      <c r="BC30" s="6">
        <v>201190</v>
      </c>
      <c r="BD30" s="10">
        <v>196159.519999999</v>
      </c>
      <c r="BE30" s="10">
        <v>160083.98000000001</v>
      </c>
      <c r="BF30" s="35">
        <v>178896.12</v>
      </c>
      <c r="BG30" s="35">
        <v>188900.38</v>
      </c>
      <c r="BH30" s="35">
        <v>181892.51</v>
      </c>
      <c r="BI30" s="35">
        <v>165262.85</v>
      </c>
      <c r="BJ30" s="35">
        <v>172531.73</v>
      </c>
      <c r="BK30" s="11">
        <f t="shared" si="3"/>
        <v>2227330.6219999981</v>
      </c>
      <c r="BL30" s="10">
        <v>156403</v>
      </c>
      <c r="BM30" s="10">
        <v>168464</v>
      </c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1">
        <f t="shared" si="4"/>
        <v>324867</v>
      </c>
    </row>
    <row r="31" spans="1:77" x14ac:dyDescent="0.35">
      <c r="A31" s="31">
        <v>30</v>
      </c>
      <c r="B31" s="31">
        <v>126303</v>
      </c>
      <c r="C31" s="32" t="s">
        <v>168</v>
      </c>
      <c r="D31" s="15" t="s">
        <v>84</v>
      </c>
      <c r="E31" s="31" t="s">
        <v>77</v>
      </c>
      <c r="F31" s="31" t="s">
        <v>78</v>
      </c>
      <c r="G31" s="31" t="s">
        <v>90</v>
      </c>
      <c r="H31" s="33">
        <v>44727</v>
      </c>
      <c r="I31" s="15" t="s">
        <v>146</v>
      </c>
      <c r="J31" s="15"/>
      <c r="K31" s="36" t="s">
        <v>88</v>
      </c>
      <c r="L31" s="34">
        <v>0</v>
      </c>
      <c r="M31" s="34">
        <v>0</v>
      </c>
      <c r="N31" s="35">
        <v>30013.7</v>
      </c>
      <c r="O31" s="35">
        <v>61909.83</v>
      </c>
      <c r="P31" s="35">
        <v>67990.899999999907</v>
      </c>
      <c r="Q31" s="35">
        <v>71171.759999999893</v>
      </c>
      <c r="R31" s="35">
        <v>79922.479999999894</v>
      </c>
      <c r="S31" s="35">
        <v>79099.41</v>
      </c>
      <c r="T31" s="35">
        <v>82680.649999999907</v>
      </c>
      <c r="U31" s="35">
        <v>78282.929999999906</v>
      </c>
      <c r="V31" s="35">
        <v>74696.729999999894</v>
      </c>
      <c r="W31" s="35">
        <v>67696.160000000003</v>
      </c>
      <c r="X31" s="11">
        <f t="shared" si="0"/>
        <v>693464.54999999946</v>
      </c>
      <c r="Y31" s="34">
        <v>0</v>
      </c>
      <c r="Z31" s="34">
        <v>0</v>
      </c>
      <c r="AA31" s="35">
        <v>64470.8</v>
      </c>
      <c r="AB31" s="35">
        <v>85109.88</v>
      </c>
      <c r="AC31" s="35">
        <v>90652.96</v>
      </c>
      <c r="AD31" s="35">
        <v>32443.2599999999</v>
      </c>
      <c r="AE31" s="35">
        <v>15097.19</v>
      </c>
      <c r="AF31" s="34">
        <v>0</v>
      </c>
      <c r="AG31" s="34">
        <v>0</v>
      </c>
      <c r="AH31" s="34">
        <v>0</v>
      </c>
      <c r="AI31" s="34">
        <v>0</v>
      </c>
      <c r="AJ31" s="34">
        <v>0</v>
      </c>
      <c r="AK31" s="11">
        <f t="shared" si="1"/>
        <v>287774.08999999991</v>
      </c>
      <c r="AL31" s="34">
        <v>0</v>
      </c>
      <c r="AM31" s="35">
        <v>0</v>
      </c>
      <c r="AN31" s="35">
        <v>0</v>
      </c>
      <c r="AO31" s="35">
        <v>0</v>
      </c>
      <c r="AP31" s="35">
        <v>0</v>
      </c>
      <c r="AQ31" s="35">
        <v>0</v>
      </c>
      <c r="AR31" s="35">
        <v>59726</v>
      </c>
      <c r="AS31" s="35">
        <v>104063</v>
      </c>
      <c r="AT31" s="35">
        <v>99532.631999999896</v>
      </c>
      <c r="AU31" s="35">
        <v>96066.266000000003</v>
      </c>
      <c r="AV31" s="35">
        <v>70498.36</v>
      </c>
      <c r="AW31" s="35">
        <v>30932.108</v>
      </c>
      <c r="AX31" s="11">
        <f t="shared" si="2"/>
        <v>460818.36599999986</v>
      </c>
      <c r="AY31" s="10">
        <v>0</v>
      </c>
      <c r="AZ31" s="10">
        <v>0</v>
      </c>
      <c r="BA31" s="6">
        <v>0</v>
      </c>
      <c r="BB31" s="6">
        <v>0</v>
      </c>
      <c r="BC31" s="6">
        <v>0</v>
      </c>
      <c r="BD31" s="10">
        <v>0</v>
      </c>
      <c r="BE31" s="10">
        <v>33838.879999999903</v>
      </c>
      <c r="BF31" s="35">
        <v>16935.2599999999</v>
      </c>
      <c r="BG31" s="35">
        <v>0</v>
      </c>
      <c r="BH31" s="35">
        <v>0</v>
      </c>
      <c r="BI31" s="35">
        <v>0</v>
      </c>
      <c r="BJ31" s="35">
        <v>0</v>
      </c>
      <c r="BK31" s="11">
        <f t="shared" si="3"/>
        <v>50774.139999999803</v>
      </c>
      <c r="BL31" s="10">
        <v>0</v>
      </c>
      <c r="BM31" s="10">
        <v>0</v>
      </c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1">
        <f t="shared" si="4"/>
        <v>0</v>
      </c>
    </row>
    <row r="32" spans="1:77" x14ac:dyDescent="0.35">
      <c r="A32" s="31">
        <v>31</v>
      </c>
      <c r="B32" s="31">
        <v>262399</v>
      </c>
      <c r="C32" s="32" t="s">
        <v>169</v>
      </c>
      <c r="D32" s="15" t="s">
        <v>84</v>
      </c>
      <c r="E32" s="31" t="s">
        <v>77</v>
      </c>
      <c r="F32" s="31" t="s">
        <v>98</v>
      </c>
      <c r="G32" s="31" t="s">
        <v>90</v>
      </c>
      <c r="H32" s="33">
        <v>45092</v>
      </c>
      <c r="I32" s="15" t="s">
        <v>146</v>
      </c>
      <c r="J32" s="15"/>
      <c r="K32" s="36" t="s">
        <v>88</v>
      </c>
      <c r="L32" s="34">
        <v>0</v>
      </c>
      <c r="M32" s="34">
        <v>0</v>
      </c>
      <c r="N32" s="34">
        <v>0</v>
      </c>
      <c r="O32" s="34">
        <v>0</v>
      </c>
      <c r="P32" s="34">
        <v>0</v>
      </c>
      <c r="Q32" s="34">
        <v>0</v>
      </c>
      <c r="R32" s="34">
        <v>0</v>
      </c>
      <c r="S32" s="34">
        <v>0</v>
      </c>
      <c r="T32" s="34">
        <v>0</v>
      </c>
      <c r="U32" s="34">
        <v>0</v>
      </c>
      <c r="V32" s="34">
        <v>0</v>
      </c>
      <c r="W32" s="34">
        <v>0</v>
      </c>
      <c r="X32" s="11">
        <f t="shared" si="0"/>
        <v>0</v>
      </c>
      <c r="Y32" s="34">
        <v>0</v>
      </c>
      <c r="Z32" s="34">
        <v>0</v>
      </c>
      <c r="AA32" s="34">
        <v>3755</v>
      </c>
      <c r="AB32" s="34">
        <v>6740</v>
      </c>
      <c r="AC32" s="34">
        <v>0</v>
      </c>
      <c r="AD32" s="34">
        <v>0</v>
      </c>
      <c r="AE32" s="34">
        <v>0</v>
      </c>
      <c r="AF32" s="34">
        <v>1363</v>
      </c>
      <c r="AG32" s="34">
        <v>7332</v>
      </c>
      <c r="AH32" s="34">
        <v>8159</v>
      </c>
      <c r="AI32" s="34">
        <v>0</v>
      </c>
      <c r="AJ32" s="34">
        <v>0</v>
      </c>
      <c r="AK32" s="11">
        <f t="shared" si="1"/>
        <v>27349</v>
      </c>
      <c r="AL32" s="34">
        <v>0</v>
      </c>
      <c r="AM32" s="35">
        <v>0</v>
      </c>
      <c r="AN32" s="35">
        <v>0</v>
      </c>
      <c r="AO32" s="35">
        <v>0</v>
      </c>
      <c r="AP32" s="35">
        <v>0</v>
      </c>
      <c r="AQ32" s="35">
        <v>0</v>
      </c>
      <c r="AR32" s="35">
        <v>0</v>
      </c>
      <c r="AS32" s="35">
        <v>0</v>
      </c>
      <c r="AT32" s="35">
        <v>0</v>
      </c>
      <c r="AU32" s="35">
        <v>0</v>
      </c>
      <c r="AV32" s="35">
        <v>0</v>
      </c>
      <c r="AW32" s="35">
        <v>0</v>
      </c>
      <c r="AX32" s="11">
        <f t="shared" si="2"/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35">
        <v>0</v>
      </c>
      <c r="BG32" s="35">
        <v>0</v>
      </c>
      <c r="BH32" s="35">
        <v>0</v>
      </c>
      <c r="BI32" s="35">
        <v>0</v>
      </c>
      <c r="BJ32" s="35">
        <v>0</v>
      </c>
      <c r="BK32" s="11">
        <f t="shared" si="3"/>
        <v>0</v>
      </c>
      <c r="BL32" s="10">
        <v>0</v>
      </c>
      <c r="BM32" s="10">
        <v>0</v>
      </c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1">
        <f t="shared" si="4"/>
        <v>0</v>
      </c>
      <c r="BY32" t="s">
        <v>170</v>
      </c>
    </row>
    <row r="33" spans="1:76" x14ac:dyDescent="0.35">
      <c r="A33" s="31">
        <v>32</v>
      </c>
      <c r="B33" s="31">
        <v>192256</v>
      </c>
      <c r="C33" s="32" t="s">
        <v>171</v>
      </c>
      <c r="D33" s="6" t="s">
        <v>76</v>
      </c>
      <c r="E33" s="31" t="s">
        <v>85</v>
      </c>
      <c r="F33" s="31" t="s">
        <v>116</v>
      </c>
      <c r="G33" s="31" t="s">
        <v>90</v>
      </c>
      <c r="H33" s="33">
        <v>44363</v>
      </c>
      <c r="I33" s="6" t="s">
        <v>131</v>
      </c>
      <c r="J33" s="6"/>
      <c r="K33" s="31" t="s">
        <v>82</v>
      </c>
      <c r="L33" s="34">
        <v>80676.309999999896</v>
      </c>
      <c r="M33" s="34">
        <v>82542.100000000006</v>
      </c>
      <c r="N33" s="34">
        <v>71148.55</v>
      </c>
      <c r="O33" s="34">
        <v>73998.25</v>
      </c>
      <c r="P33" s="34">
        <v>83667.119999999893</v>
      </c>
      <c r="Q33" s="34">
        <v>79336.160000000003</v>
      </c>
      <c r="R33" s="34">
        <v>74816.169999999896</v>
      </c>
      <c r="S33" s="34">
        <v>71090.83</v>
      </c>
      <c r="T33" s="34">
        <v>74815.11</v>
      </c>
      <c r="U33" s="34">
        <v>70908.02</v>
      </c>
      <c r="V33" s="34">
        <v>64080.72</v>
      </c>
      <c r="W33" s="34">
        <v>68923.11</v>
      </c>
      <c r="X33" s="11">
        <f t="shared" si="0"/>
        <v>896002.4499999996</v>
      </c>
      <c r="Y33" s="34">
        <v>61597</v>
      </c>
      <c r="Z33" s="34">
        <v>55222</v>
      </c>
      <c r="AA33" s="34">
        <v>50860</v>
      </c>
      <c r="AB33" s="34">
        <v>73381</v>
      </c>
      <c r="AC33" s="34">
        <v>96949</v>
      </c>
      <c r="AD33" s="34">
        <v>90307</v>
      </c>
      <c r="AE33" s="34">
        <v>99511</v>
      </c>
      <c r="AF33" s="34">
        <v>85756</v>
      </c>
      <c r="AG33" s="34">
        <v>105014</v>
      </c>
      <c r="AH33" s="34">
        <v>97789</v>
      </c>
      <c r="AI33" s="34">
        <v>97004</v>
      </c>
      <c r="AJ33" s="34">
        <v>100276</v>
      </c>
      <c r="AK33" s="11">
        <f t="shared" si="1"/>
        <v>1013666</v>
      </c>
      <c r="AL33" s="34">
        <v>95040.38</v>
      </c>
      <c r="AM33" s="35">
        <v>88185.02</v>
      </c>
      <c r="AN33" s="35">
        <v>81262.365000000005</v>
      </c>
      <c r="AO33" s="35">
        <v>95874.528000000006</v>
      </c>
      <c r="AP33" s="35">
        <v>97975.093999999895</v>
      </c>
      <c r="AQ33" s="35">
        <v>98682.028000000006</v>
      </c>
      <c r="AR33" s="35">
        <v>99407</v>
      </c>
      <c r="AS33" s="35">
        <v>99134</v>
      </c>
      <c r="AT33" s="35">
        <v>104987.36900000001</v>
      </c>
      <c r="AU33" s="35">
        <v>108286.186</v>
      </c>
      <c r="AV33" s="35">
        <v>96537.073999999906</v>
      </c>
      <c r="AW33" s="35">
        <v>121929.341</v>
      </c>
      <c r="AX33" s="11">
        <f t="shared" si="2"/>
        <v>1187300.3849999998</v>
      </c>
      <c r="AY33" s="10">
        <v>99765.448999999906</v>
      </c>
      <c r="AZ33" s="10">
        <v>97628.206000000006</v>
      </c>
      <c r="BA33" s="10">
        <v>75600</v>
      </c>
      <c r="BB33" s="10">
        <v>79119</v>
      </c>
      <c r="BC33" s="10">
        <v>89115</v>
      </c>
      <c r="BD33" s="10">
        <v>83808.619999999893</v>
      </c>
      <c r="BE33" s="10">
        <v>89349.36</v>
      </c>
      <c r="BF33" s="35">
        <v>76120</v>
      </c>
      <c r="BG33" s="35">
        <v>89925.619999999893</v>
      </c>
      <c r="BH33" s="35">
        <v>98052.74</v>
      </c>
      <c r="BI33" s="35">
        <v>84840.419999999896</v>
      </c>
      <c r="BJ33" s="35">
        <v>72626.570000000007</v>
      </c>
      <c r="BK33" s="11">
        <f t="shared" si="3"/>
        <v>1035950.9849999996</v>
      </c>
      <c r="BL33" s="10">
        <v>92033</v>
      </c>
      <c r="BM33" s="10">
        <v>111642</v>
      </c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1">
        <f t="shared" si="4"/>
        <v>203675</v>
      </c>
    </row>
    <row r="34" spans="1:76" x14ac:dyDescent="0.35">
      <c r="A34" s="31">
        <v>33</v>
      </c>
      <c r="B34" s="31">
        <v>269385</v>
      </c>
      <c r="C34" s="32" t="s">
        <v>114</v>
      </c>
      <c r="D34" s="15" t="s">
        <v>115</v>
      </c>
      <c r="E34" s="31" t="s">
        <v>85</v>
      </c>
      <c r="F34" s="31" t="s">
        <v>116</v>
      </c>
      <c r="G34" s="31" t="s">
        <v>22</v>
      </c>
      <c r="H34" s="33">
        <v>45232</v>
      </c>
      <c r="I34" s="15" t="s">
        <v>146</v>
      </c>
      <c r="J34" s="15"/>
      <c r="K34" s="31" t="s">
        <v>82</v>
      </c>
      <c r="L34" s="34">
        <v>0</v>
      </c>
      <c r="M34" s="34">
        <v>0</v>
      </c>
      <c r="N34" s="34">
        <v>23316.779999999901</v>
      </c>
      <c r="O34" s="34">
        <v>37226.65</v>
      </c>
      <c r="P34" s="34">
        <v>37859.08</v>
      </c>
      <c r="Q34" s="34">
        <v>32387.68</v>
      </c>
      <c r="R34" s="34">
        <v>44350.44</v>
      </c>
      <c r="S34" s="34">
        <v>36176.029999999897</v>
      </c>
      <c r="T34" s="34">
        <v>31773.5099999999</v>
      </c>
      <c r="U34" s="34">
        <v>30289.52</v>
      </c>
      <c r="V34" s="34">
        <v>28357.029999999901</v>
      </c>
      <c r="W34" s="34">
        <v>26892.13</v>
      </c>
      <c r="X34" s="11">
        <f t="shared" si="0"/>
        <v>328628.84999999963</v>
      </c>
      <c r="Y34" s="34">
        <v>33302</v>
      </c>
      <c r="Z34" s="34">
        <v>40945</v>
      </c>
      <c r="AA34" s="34">
        <v>35135</v>
      </c>
      <c r="AB34" s="34">
        <v>35134</v>
      </c>
      <c r="AC34" s="34">
        <v>35643</v>
      </c>
      <c r="AD34" s="34">
        <v>35299</v>
      </c>
      <c r="AE34" s="34">
        <v>35244</v>
      </c>
      <c r="AF34" s="34">
        <v>48446</v>
      </c>
      <c r="AG34" s="34">
        <v>44879</v>
      </c>
      <c r="AH34" s="34">
        <v>41544</v>
      </c>
      <c r="AI34" s="34">
        <v>37270</v>
      </c>
      <c r="AJ34" s="34">
        <v>38385</v>
      </c>
      <c r="AK34" s="11">
        <f t="shared" si="1"/>
        <v>461226</v>
      </c>
      <c r="AL34" s="34">
        <v>43756.44</v>
      </c>
      <c r="AM34" s="35">
        <v>47253.417999999903</v>
      </c>
      <c r="AN34" s="35">
        <v>45822.614000000001</v>
      </c>
      <c r="AO34" s="35">
        <v>43262.601999999897</v>
      </c>
      <c r="AP34" s="35">
        <v>52459.55</v>
      </c>
      <c r="AQ34" s="35">
        <v>45844.72</v>
      </c>
      <c r="AR34" s="35">
        <v>40926</v>
      </c>
      <c r="AS34" s="35">
        <v>60778</v>
      </c>
      <c r="AT34" s="35">
        <v>55242.415000000001</v>
      </c>
      <c r="AU34" s="35">
        <v>56619.381000000001</v>
      </c>
      <c r="AV34" s="35">
        <v>56205.275999999903</v>
      </c>
      <c r="AW34" s="35">
        <v>45449.868000000002</v>
      </c>
      <c r="AX34" s="11">
        <f t="shared" si="2"/>
        <v>593620.28399999975</v>
      </c>
      <c r="AY34" s="10">
        <v>68378.75</v>
      </c>
      <c r="AZ34" s="10">
        <v>81315.343999999895</v>
      </c>
      <c r="BA34" s="10">
        <v>71269</v>
      </c>
      <c r="BB34" s="10">
        <v>69751</v>
      </c>
      <c r="BC34" s="10">
        <v>77536</v>
      </c>
      <c r="BD34" s="10">
        <v>70385.699999999895</v>
      </c>
      <c r="BE34" s="10">
        <v>86988.99</v>
      </c>
      <c r="BF34" s="35">
        <v>86687.589999999895</v>
      </c>
      <c r="BG34" s="35">
        <v>92132.649999999907</v>
      </c>
      <c r="BH34" s="35">
        <v>84091.634000000005</v>
      </c>
      <c r="BI34" s="35">
        <v>79158.27</v>
      </c>
      <c r="BJ34" s="35">
        <v>87688.24</v>
      </c>
      <c r="BK34" s="11">
        <f t="shared" si="3"/>
        <v>955383.1679999996</v>
      </c>
      <c r="BL34" s="10">
        <v>97771</v>
      </c>
      <c r="BM34" s="10">
        <v>107659</v>
      </c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1">
        <f t="shared" si="4"/>
        <v>205430</v>
      </c>
    </row>
    <row r="35" spans="1:76" x14ac:dyDescent="0.35">
      <c r="A35" s="31">
        <v>34</v>
      </c>
      <c r="B35" s="31">
        <v>278694</v>
      </c>
      <c r="C35" s="32" t="s">
        <v>172</v>
      </c>
      <c r="D35" s="15" t="s">
        <v>115</v>
      </c>
      <c r="E35" s="31" t="s">
        <v>77</v>
      </c>
      <c r="F35" s="31" t="s">
        <v>116</v>
      </c>
      <c r="G35" s="31" t="s">
        <v>22</v>
      </c>
      <c r="H35" s="33">
        <v>45232</v>
      </c>
      <c r="I35" s="15" t="s">
        <v>146</v>
      </c>
      <c r="J35" s="15"/>
      <c r="K35" s="31" t="s">
        <v>82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6041.71</v>
      </c>
      <c r="S35" s="34">
        <v>52980.339999999902</v>
      </c>
      <c r="T35" s="34">
        <v>62016.5</v>
      </c>
      <c r="U35" s="34">
        <v>59382.41</v>
      </c>
      <c r="V35" s="34">
        <v>25017.06</v>
      </c>
      <c r="W35" s="34">
        <v>85942.869999999893</v>
      </c>
      <c r="X35" s="11">
        <f t="shared" si="0"/>
        <v>291380.88999999978</v>
      </c>
      <c r="Y35" s="34">
        <v>98278</v>
      </c>
      <c r="Z35" s="34">
        <v>49866</v>
      </c>
      <c r="AA35" s="34">
        <v>38671</v>
      </c>
      <c r="AB35" s="34">
        <v>99064</v>
      </c>
      <c r="AC35" s="34">
        <v>25495</v>
      </c>
      <c r="AD35" s="34">
        <v>0</v>
      </c>
      <c r="AE35" s="34">
        <v>13851</v>
      </c>
      <c r="AF35" s="34">
        <v>98636</v>
      </c>
      <c r="AG35" s="34">
        <v>109345</v>
      </c>
      <c r="AH35" s="34">
        <v>93886</v>
      </c>
      <c r="AI35" s="34">
        <v>72989</v>
      </c>
      <c r="AJ35" s="34">
        <v>75701</v>
      </c>
      <c r="AK35" s="11">
        <f t="shared" si="1"/>
        <v>775782</v>
      </c>
      <c r="AL35" s="34">
        <v>89208.07</v>
      </c>
      <c r="AM35" s="35">
        <v>69025.712</v>
      </c>
      <c r="AN35" s="35">
        <v>19.68</v>
      </c>
      <c r="AO35" s="35">
        <v>0</v>
      </c>
      <c r="AP35" s="35">
        <v>0</v>
      </c>
      <c r="AQ35" s="35">
        <v>0</v>
      </c>
      <c r="AR35" s="35">
        <v>0</v>
      </c>
      <c r="AS35" s="35">
        <v>0</v>
      </c>
      <c r="AT35" s="35">
        <v>0</v>
      </c>
      <c r="AU35" s="35">
        <v>0</v>
      </c>
      <c r="AV35" s="35">
        <v>0</v>
      </c>
      <c r="AW35" s="35">
        <v>12493.02</v>
      </c>
      <c r="AX35" s="11">
        <f t="shared" si="2"/>
        <v>170746.48199999999</v>
      </c>
      <c r="AY35" s="10">
        <v>50157.98</v>
      </c>
      <c r="AZ35" s="10">
        <v>90037.827999999907</v>
      </c>
      <c r="BA35" s="10">
        <v>80647</v>
      </c>
      <c r="BB35" s="10">
        <v>73753</v>
      </c>
      <c r="BC35" s="10">
        <v>91215</v>
      </c>
      <c r="BD35" s="10">
        <v>68346.339999999895</v>
      </c>
      <c r="BE35" s="10">
        <v>103606</v>
      </c>
      <c r="BF35" s="35">
        <v>103331.21</v>
      </c>
      <c r="BG35" s="35">
        <v>121061.92</v>
      </c>
      <c r="BH35" s="35">
        <v>84442.389999999898</v>
      </c>
      <c r="BI35" s="35">
        <v>79194.759999999893</v>
      </c>
      <c r="BJ35" s="35">
        <v>83221.809999999896</v>
      </c>
      <c r="BK35" s="11">
        <f t="shared" si="3"/>
        <v>1029015.2379999995</v>
      </c>
      <c r="BL35" s="10">
        <v>94458</v>
      </c>
      <c r="BM35" s="10">
        <v>112397</v>
      </c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1">
        <f t="shared" si="4"/>
        <v>206855</v>
      </c>
    </row>
    <row r="36" spans="1:76" x14ac:dyDescent="0.35">
      <c r="A36" s="31">
        <v>35</v>
      </c>
      <c r="B36" s="31">
        <v>202488</v>
      </c>
      <c r="C36" s="32" t="s">
        <v>173</v>
      </c>
      <c r="D36" s="15" t="s">
        <v>129</v>
      </c>
      <c r="E36" s="31" t="s">
        <v>77</v>
      </c>
      <c r="F36" s="31" t="s">
        <v>85</v>
      </c>
      <c r="G36" s="31" t="s">
        <v>22</v>
      </c>
      <c r="H36" s="33">
        <v>45236</v>
      </c>
      <c r="I36" s="6" t="s">
        <v>131</v>
      </c>
      <c r="J36" s="6"/>
      <c r="K36" s="31" t="s">
        <v>82</v>
      </c>
      <c r="L36" s="34">
        <v>0</v>
      </c>
      <c r="M36" s="34">
        <v>0</v>
      </c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4">
        <v>0</v>
      </c>
      <c r="U36" s="34">
        <v>0</v>
      </c>
      <c r="V36" s="34">
        <v>0</v>
      </c>
      <c r="W36" s="34">
        <v>0</v>
      </c>
      <c r="X36" s="11">
        <f t="shared" si="0"/>
        <v>0</v>
      </c>
      <c r="Y36" s="34">
        <v>0</v>
      </c>
      <c r="Z36" s="34">
        <v>0</v>
      </c>
      <c r="AA36" s="34">
        <v>0</v>
      </c>
      <c r="AB36" s="34">
        <v>0</v>
      </c>
      <c r="AC36" s="34">
        <v>0</v>
      </c>
      <c r="AD36" s="34">
        <v>0</v>
      </c>
      <c r="AE36" s="34">
        <v>5280</v>
      </c>
      <c r="AF36" s="34">
        <v>27308</v>
      </c>
      <c r="AG36" s="34">
        <v>48004</v>
      </c>
      <c r="AH36" s="34">
        <v>54203</v>
      </c>
      <c r="AI36" s="34">
        <v>63644</v>
      </c>
      <c r="AJ36" s="34">
        <v>71696</v>
      </c>
      <c r="AK36" s="11">
        <f t="shared" si="1"/>
        <v>270135</v>
      </c>
      <c r="AL36" s="34">
        <v>76812.789999999906</v>
      </c>
      <c r="AM36" s="35">
        <v>95700.160000000003</v>
      </c>
      <c r="AN36" s="35">
        <v>98927.678</v>
      </c>
      <c r="AO36" s="35">
        <v>102611.16</v>
      </c>
      <c r="AP36" s="35">
        <v>110302.261</v>
      </c>
      <c r="AQ36" s="35">
        <v>106581.624</v>
      </c>
      <c r="AR36" s="35">
        <v>110153</v>
      </c>
      <c r="AS36" s="35">
        <v>99837</v>
      </c>
      <c r="AT36" s="35">
        <v>108012.215</v>
      </c>
      <c r="AU36" s="35">
        <v>111180.008</v>
      </c>
      <c r="AV36" s="35">
        <v>97082.809999999896</v>
      </c>
      <c r="AW36" s="35">
        <v>114211.834</v>
      </c>
      <c r="AX36" s="11">
        <f t="shared" si="2"/>
        <v>1231412.5399999998</v>
      </c>
      <c r="AY36" s="10">
        <v>124604.861</v>
      </c>
      <c r="AZ36" s="10">
        <v>133521.924999999</v>
      </c>
      <c r="BA36" s="10">
        <v>137474</v>
      </c>
      <c r="BB36" s="10">
        <v>141613</v>
      </c>
      <c r="BC36" s="10">
        <v>141910</v>
      </c>
      <c r="BD36" s="10">
        <v>131525.799999999</v>
      </c>
      <c r="BE36" s="10">
        <v>123746.3</v>
      </c>
      <c r="BF36" s="35">
        <v>124679.899999999</v>
      </c>
      <c r="BG36" s="35">
        <v>131592.48000000001</v>
      </c>
      <c r="BH36" s="35">
        <v>130464.455</v>
      </c>
      <c r="BI36" s="35">
        <v>123748.929999999</v>
      </c>
      <c r="BJ36" s="35">
        <v>137040.17000000001</v>
      </c>
      <c r="BK36" s="11">
        <f t="shared" si="3"/>
        <v>1581921.820999996</v>
      </c>
      <c r="BL36" s="10">
        <v>143012</v>
      </c>
      <c r="BM36" s="10">
        <v>130722</v>
      </c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1">
        <f t="shared" si="4"/>
        <v>273734</v>
      </c>
    </row>
    <row r="37" spans="1:76" x14ac:dyDescent="0.35">
      <c r="A37" s="31">
        <v>36</v>
      </c>
      <c r="B37" s="31">
        <v>332702</v>
      </c>
      <c r="C37" s="32" t="s">
        <v>174</v>
      </c>
      <c r="D37" s="15" t="s">
        <v>175</v>
      </c>
      <c r="E37" s="31" t="s">
        <v>77</v>
      </c>
      <c r="F37" s="31" t="s">
        <v>116</v>
      </c>
      <c r="G37" s="31" t="s">
        <v>22</v>
      </c>
      <c r="H37" s="33">
        <v>44910</v>
      </c>
      <c r="I37" s="15" t="s">
        <v>120</v>
      </c>
      <c r="J37" s="15"/>
      <c r="K37" s="31" t="s">
        <v>82</v>
      </c>
      <c r="L37" s="34">
        <v>17144.0999999999</v>
      </c>
      <c r="M37" s="34">
        <v>15391.719999999899</v>
      </c>
      <c r="N37" s="34">
        <v>25549.81</v>
      </c>
      <c r="O37" s="34">
        <v>27153.869999999901</v>
      </c>
      <c r="P37" s="34">
        <v>22600.45</v>
      </c>
      <c r="Q37" s="34">
        <v>6132</v>
      </c>
      <c r="R37" s="34">
        <v>0</v>
      </c>
      <c r="S37" s="34">
        <v>0</v>
      </c>
      <c r="T37" s="34">
        <v>91215.697</v>
      </c>
      <c r="U37" s="34">
        <v>28931.9199999999</v>
      </c>
      <c r="V37" s="34">
        <v>23724.5</v>
      </c>
      <c r="W37" s="34">
        <v>23948.59</v>
      </c>
      <c r="X37" s="11">
        <f t="shared" si="0"/>
        <v>281792.6569999996</v>
      </c>
      <c r="Y37" s="34">
        <v>21482</v>
      </c>
      <c r="Z37" s="34">
        <v>29425</v>
      </c>
      <c r="AA37" s="34">
        <v>25717</v>
      </c>
      <c r="AB37" s="34">
        <v>25910</v>
      </c>
      <c r="AC37" s="34">
        <v>25872</v>
      </c>
      <c r="AD37" s="34">
        <v>26730</v>
      </c>
      <c r="AE37" s="34">
        <v>24018</v>
      </c>
      <c r="AF37" s="34">
        <v>33506</v>
      </c>
      <c r="AG37" s="34">
        <v>32506</v>
      </c>
      <c r="AH37" s="34">
        <v>30606</v>
      </c>
      <c r="AI37" s="34">
        <v>29620</v>
      </c>
      <c r="AJ37" s="34">
        <v>28594</v>
      </c>
      <c r="AK37" s="11">
        <f t="shared" si="1"/>
        <v>333986</v>
      </c>
      <c r="AL37" s="34">
        <v>36990</v>
      </c>
      <c r="AM37" s="35">
        <v>38710.019999999902</v>
      </c>
      <c r="AN37" s="35">
        <v>38613.353999999897</v>
      </c>
      <c r="AO37" s="35">
        <v>36812.237999999903</v>
      </c>
      <c r="AP37" s="35">
        <v>36291.826000000001</v>
      </c>
      <c r="AQ37" s="35">
        <v>16029.156000000001</v>
      </c>
      <c r="AR37" s="35">
        <v>11258</v>
      </c>
      <c r="AS37" s="35">
        <v>24343</v>
      </c>
      <c r="AT37" s="35">
        <v>28766.352999999901</v>
      </c>
      <c r="AU37" s="35">
        <v>32479.3149999999</v>
      </c>
      <c r="AV37" s="35">
        <v>32440.593000000001</v>
      </c>
      <c r="AW37" s="35">
        <v>30350.82</v>
      </c>
      <c r="AX37" s="11">
        <f t="shared" si="2"/>
        <v>363084.67499999946</v>
      </c>
      <c r="AY37" s="10">
        <v>25216.86</v>
      </c>
      <c r="AZ37" s="10">
        <v>32540</v>
      </c>
      <c r="BA37" s="10">
        <v>31372</v>
      </c>
      <c r="BB37" s="10">
        <v>31055</v>
      </c>
      <c r="BC37" s="10">
        <v>29490</v>
      </c>
      <c r="BD37" s="10">
        <v>28551.038</v>
      </c>
      <c r="BE37" s="10">
        <v>31355.9199999999</v>
      </c>
      <c r="BF37" s="35">
        <v>30543.8499999999</v>
      </c>
      <c r="BG37" s="35">
        <v>33055.760000000002</v>
      </c>
      <c r="BH37" s="35">
        <v>30760.108</v>
      </c>
      <c r="BI37" s="35">
        <v>28240.34</v>
      </c>
      <c r="BJ37" s="35">
        <v>30180.029999999901</v>
      </c>
      <c r="BK37" s="11">
        <f t="shared" si="3"/>
        <v>362360.90599999973</v>
      </c>
      <c r="BL37" s="10">
        <v>28759</v>
      </c>
      <c r="BM37" s="10">
        <v>32782</v>
      </c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1">
        <f t="shared" si="4"/>
        <v>61541</v>
      </c>
    </row>
    <row r="38" spans="1:76" x14ac:dyDescent="0.35">
      <c r="A38" s="31">
        <v>37</v>
      </c>
      <c r="B38" s="6">
        <v>319411</v>
      </c>
      <c r="C38" s="32" t="s">
        <v>176</v>
      </c>
      <c r="D38" s="15" t="s">
        <v>76</v>
      </c>
      <c r="E38" s="31" t="s">
        <v>77</v>
      </c>
      <c r="F38" s="31" t="s">
        <v>78</v>
      </c>
      <c r="G38" s="31" t="s">
        <v>22</v>
      </c>
      <c r="H38" s="33">
        <v>45411</v>
      </c>
      <c r="I38" s="6" t="s">
        <v>146</v>
      </c>
      <c r="J38" s="6"/>
      <c r="K38" s="31" t="s">
        <v>82</v>
      </c>
      <c r="L38" s="34">
        <v>0</v>
      </c>
      <c r="M38" s="34">
        <v>0</v>
      </c>
      <c r="N38" s="34">
        <v>0</v>
      </c>
      <c r="O38" s="34">
        <v>0</v>
      </c>
      <c r="P38" s="34">
        <v>0</v>
      </c>
      <c r="Q38" s="34">
        <v>0</v>
      </c>
      <c r="R38" s="34">
        <v>0</v>
      </c>
      <c r="S38" s="34">
        <v>0</v>
      </c>
      <c r="T38" s="34">
        <v>0</v>
      </c>
      <c r="U38" s="34">
        <v>0</v>
      </c>
      <c r="V38" s="34">
        <v>0</v>
      </c>
      <c r="W38" s="34">
        <v>0</v>
      </c>
      <c r="X38" s="11">
        <f t="shared" si="0"/>
        <v>0</v>
      </c>
      <c r="Y38" s="34">
        <v>0</v>
      </c>
      <c r="Z38" s="34">
        <v>0</v>
      </c>
      <c r="AA38" s="34">
        <v>0</v>
      </c>
      <c r="AB38" s="34">
        <v>0</v>
      </c>
      <c r="AC38" s="34">
        <v>0</v>
      </c>
      <c r="AD38" s="34">
        <v>0</v>
      </c>
      <c r="AE38" s="34">
        <v>0</v>
      </c>
      <c r="AF38" s="34">
        <v>0</v>
      </c>
      <c r="AG38" s="34">
        <v>0</v>
      </c>
      <c r="AH38" s="34">
        <v>0</v>
      </c>
      <c r="AI38" s="34">
        <v>0</v>
      </c>
      <c r="AJ38" s="34">
        <v>0</v>
      </c>
      <c r="AK38" s="11">
        <f t="shared" si="1"/>
        <v>0</v>
      </c>
      <c r="AL38" s="34">
        <v>1132</v>
      </c>
      <c r="AM38" s="31">
        <v>26826</v>
      </c>
      <c r="AN38" s="35">
        <v>28435.734</v>
      </c>
      <c r="AO38" s="35">
        <v>33243.489999999903</v>
      </c>
      <c r="AP38" s="35">
        <v>31407.858</v>
      </c>
      <c r="AQ38" s="35">
        <v>30547.5099999999</v>
      </c>
      <c r="AR38" s="35">
        <v>33745</v>
      </c>
      <c r="AS38" s="35">
        <v>44941</v>
      </c>
      <c r="AT38" s="35">
        <v>48071.175999999898</v>
      </c>
      <c r="AU38" s="35">
        <v>20558.173999999901</v>
      </c>
      <c r="AV38" s="35">
        <v>0</v>
      </c>
      <c r="AW38" s="35">
        <v>59.67</v>
      </c>
      <c r="AX38" s="11">
        <f t="shared" si="2"/>
        <v>298967.61199999956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35">
        <v>0</v>
      </c>
      <c r="BG38" s="35">
        <v>0</v>
      </c>
      <c r="BH38" s="35">
        <v>0</v>
      </c>
      <c r="BI38" s="35">
        <v>0</v>
      </c>
      <c r="BJ38" s="35">
        <v>0</v>
      </c>
      <c r="BK38" s="11">
        <f t="shared" si="3"/>
        <v>0</v>
      </c>
      <c r="BL38" s="10">
        <v>0</v>
      </c>
      <c r="BM38" s="10">
        <v>0</v>
      </c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1">
        <f t="shared" si="4"/>
        <v>0</v>
      </c>
    </row>
    <row r="39" spans="1:76" x14ac:dyDescent="0.35">
      <c r="A39" s="31">
        <v>38</v>
      </c>
      <c r="B39" s="6">
        <v>126402</v>
      </c>
      <c r="C39" s="32" t="s">
        <v>177</v>
      </c>
      <c r="D39" s="15" t="s">
        <v>76</v>
      </c>
      <c r="E39" s="31" t="s">
        <v>85</v>
      </c>
      <c r="F39" s="31" t="s">
        <v>116</v>
      </c>
      <c r="G39" s="31" t="s">
        <v>35</v>
      </c>
      <c r="H39" s="33">
        <v>45232</v>
      </c>
      <c r="I39" s="6" t="s">
        <v>146</v>
      </c>
      <c r="J39" s="6"/>
      <c r="K39" s="31" t="s">
        <v>82</v>
      </c>
      <c r="L39" s="34">
        <v>0</v>
      </c>
      <c r="M39" s="34">
        <v>0</v>
      </c>
      <c r="N39" s="34">
        <v>0</v>
      </c>
      <c r="O39" s="34">
        <v>0</v>
      </c>
      <c r="P39" s="34">
        <v>0</v>
      </c>
      <c r="Q39" s="34">
        <v>0</v>
      </c>
      <c r="R39" s="34">
        <v>0</v>
      </c>
      <c r="S39" s="34">
        <v>0</v>
      </c>
      <c r="T39" s="34">
        <v>0</v>
      </c>
      <c r="U39" s="34">
        <v>0</v>
      </c>
      <c r="V39" s="34">
        <v>0</v>
      </c>
      <c r="W39" s="34">
        <v>0</v>
      </c>
      <c r="X39" s="11">
        <f t="shared" si="0"/>
        <v>0</v>
      </c>
      <c r="Y39" s="34">
        <v>0</v>
      </c>
      <c r="Z39" s="34">
        <v>0</v>
      </c>
      <c r="AA39" s="34">
        <v>0</v>
      </c>
      <c r="AB39" s="34">
        <v>0</v>
      </c>
      <c r="AC39" s="34">
        <v>0</v>
      </c>
      <c r="AD39" s="34">
        <v>35121</v>
      </c>
      <c r="AE39" s="34">
        <v>77289</v>
      </c>
      <c r="AF39" s="34">
        <v>97100</v>
      </c>
      <c r="AG39" s="34">
        <v>111154</v>
      </c>
      <c r="AH39" s="34">
        <v>105924</v>
      </c>
      <c r="AI39" s="34">
        <v>108455</v>
      </c>
      <c r="AJ39" s="34">
        <v>97215</v>
      </c>
      <c r="AK39" s="11">
        <f t="shared" si="1"/>
        <v>632258</v>
      </c>
      <c r="AL39" s="34">
        <v>122035.14</v>
      </c>
      <c r="AM39" s="35">
        <v>147292.247999999</v>
      </c>
      <c r="AN39" s="35">
        <v>135626.318999999</v>
      </c>
      <c r="AO39" s="35">
        <v>125133.039999999</v>
      </c>
      <c r="AP39" s="35">
        <v>128378.209</v>
      </c>
      <c r="AQ39" s="35">
        <v>117693.929999999</v>
      </c>
      <c r="AR39" s="35">
        <v>126173</v>
      </c>
      <c r="AS39" s="35">
        <v>130422</v>
      </c>
      <c r="AT39" s="35">
        <v>143867.019</v>
      </c>
      <c r="AU39" s="35">
        <v>145547.17000000001</v>
      </c>
      <c r="AV39" s="35">
        <v>143629.35800000001</v>
      </c>
      <c r="AW39" s="35">
        <v>144010.67600000001</v>
      </c>
      <c r="AX39" s="11">
        <f t="shared" si="2"/>
        <v>1609808.108999996</v>
      </c>
      <c r="AY39" s="10">
        <v>140081.679999999</v>
      </c>
      <c r="AZ39" s="10">
        <v>128691.395999999</v>
      </c>
      <c r="BA39" s="10">
        <v>119479</v>
      </c>
      <c r="BB39" s="10">
        <v>109307</v>
      </c>
      <c r="BC39" s="10">
        <v>118346</v>
      </c>
      <c r="BD39" s="10">
        <v>107785.2</v>
      </c>
      <c r="BE39" s="10">
        <v>124611.56</v>
      </c>
      <c r="BF39" s="35">
        <v>127892.039999999</v>
      </c>
      <c r="BG39" s="35">
        <v>136422.14000000001</v>
      </c>
      <c r="BH39" s="35">
        <v>133267.997999999</v>
      </c>
      <c r="BI39" s="35">
        <v>128642.11</v>
      </c>
      <c r="BJ39" s="35">
        <v>137184.75</v>
      </c>
      <c r="BK39" s="11">
        <f t="shared" si="3"/>
        <v>1511710.8739999961</v>
      </c>
      <c r="BL39" s="10">
        <v>129310</v>
      </c>
      <c r="BM39" s="10">
        <v>137250</v>
      </c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1">
        <f t="shared" si="4"/>
        <v>266560</v>
      </c>
    </row>
    <row r="40" spans="1:76" x14ac:dyDescent="0.35">
      <c r="A40" s="31">
        <v>39</v>
      </c>
      <c r="B40" s="6">
        <v>223995</v>
      </c>
      <c r="C40" s="32" t="s">
        <v>178</v>
      </c>
      <c r="D40" s="15" t="s">
        <v>129</v>
      </c>
      <c r="E40" s="31" t="s">
        <v>85</v>
      </c>
      <c r="F40" s="31" t="s">
        <v>116</v>
      </c>
      <c r="G40" s="31" t="s">
        <v>35</v>
      </c>
      <c r="H40" s="33">
        <v>45370</v>
      </c>
      <c r="I40" s="6" t="s">
        <v>131</v>
      </c>
      <c r="J40" s="6"/>
      <c r="K40" s="31" t="s">
        <v>82</v>
      </c>
      <c r="L40" s="34">
        <v>0</v>
      </c>
      <c r="M40" s="34">
        <v>0</v>
      </c>
      <c r="N40" s="34">
        <v>0</v>
      </c>
      <c r="O40" s="34">
        <v>0</v>
      </c>
      <c r="P40" s="34">
        <v>0</v>
      </c>
      <c r="Q40" s="34">
        <v>0</v>
      </c>
      <c r="R40" s="34">
        <v>0</v>
      </c>
      <c r="S40" s="34">
        <v>0</v>
      </c>
      <c r="T40" s="34">
        <v>0</v>
      </c>
      <c r="U40" s="34">
        <v>0</v>
      </c>
      <c r="V40" s="34">
        <v>0</v>
      </c>
      <c r="W40" s="34">
        <v>0</v>
      </c>
      <c r="X40" s="11">
        <f t="shared" si="0"/>
        <v>0</v>
      </c>
      <c r="Y40" s="34">
        <v>0</v>
      </c>
      <c r="Z40" s="34">
        <v>0</v>
      </c>
      <c r="AA40" s="34">
        <v>0</v>
      </c>
      <c r="AB40" s="34">
        <v>0</v>
      </c>
      <c r="AC40" s="34">
        <v>0</v>
      </c>
      <c r="AD40" s="34">
        <v>0</v>
      </c>
      <c r="AE40" s="34">
        <v>0</v>
      </c>
      <c r="AF40" s="34">
        <v>0</v>
      </c>
      <c r="AG40" s="34">
        <v>0</v>
      </c>
      <c r="AH40" s="34">
        <v>0</v>
      </c>
      <c r="AI40" s="34">
        <v>0</v>
      </c>
      <c r="AJ40" s="34">
        <v>556</v>
      </c>
      <c r="AK40" s="11">
        <f t="shared" si="1"/>
        <v>556</v>
      </c>
      <c r="AL40" s="34">
        <v>12051.6</v>
      </c>
      <c r="AM40" s="35">
        <v>24702.5099999999</v>
      </c>
      <c r="AN40" s="35">
        <v>28396.536</v>
      </c>
      <c r="AO40" s="35">
        <v>27545.146000000001</v>
      </c>
      <c r="AP40" s="35">
        <v>24218.5099999999</v>
      </c>
      <c r="AQ40" s="35">
        <v>22239.863000000001</v>
      </c>
      <c r="AR40" s="35">
        <v>22972</v>
      </c>
      <c r="AS40" s="35">
        <v>25624</v>
      </c>
      <c r="AT40" s="35">
        <v>27932.847000000002</v>
      </c>
      <c r="AU40" s="35">
        <v>25587.859</v>
      </c>
      <c r="AV40" s="35">
        <v>25517.413</v>
      </c>
      <c r="AW40" s="35">
        <v>27388.99</v>
      </c>
      <c r="AX40" s="11">
        <f t="shared" si="2"/>
        <v>294177.2739999998</v>
      </c>
      <c r="AY40" s="10">
        <v>26081.004000000001</v>
      </c>
      <c r="AZ40" s="10">
        <v>21958.248</v>
      </c>
      <c r="BA40" s="10">
        <v>18988</v>
      </c>
      <c r="BB40" s="10">
        <v>25319</v>
      </c>
      <c r="BC40" s="10">
        <v>25099</v>
      </c>
      <c r="BD40" s="10">
        <v>22081.619999999901</v>
      </c>
      <c r="BE40" s="10">
        <v>21777.799999999901</v>
      </c>
      <c r="BF40" s="35">
        <v>20697.97</v>
      </c>
      <c r="BG40" s="35">
        <v>21198.3499999999</v>
      </c>
      <c r="BH40" s="35">
        <v>21308.8499999999</v>
      </c>
      <c r="BI40" s="35">
        <v>19412.560000000001</v>
      </c>
      <c r="BJ40" s="35">
        <v>17505.740000000002</v>
      </c>
      <c r="BK40" s="11">
        <f t="shared" si="3"/>
        <v>261428.14199999959</v>
      </c>
      <c r="BL40" s="10">
        <v>17685</v>
      </c>
      <c r="BM40" s="10">
        <v>15261</v>
      </c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1">
        <f t="shared" si="4"/>
        <v>32946</v>
      </c>
    </row>
    <row r="41" spans="1:76" x14ac:dyDescent="0.35">
      <c r="A41" s="31">
        <v>40</v>
      </c>
      <c r="B41" s="6">
        <v>125893</v>
      </c>
      <c r="C41" s="32" t="s">
        <v>179</v>
      </c>
      <c r="D41" s="15" t="s">
        <v>76</v>
      </c>
      <c r="E41" s="31" t="s">
        <v>77</v>
      </c>
      <c r="F41" s="31" t="s">
        <v>78</v>
      </c>
      <c r="G41" s="31" t="s">
        <v>35</v>
      </c>
      <c r="H41" s="33">
        <v>45257</v>
      </c>
      <c r="I41" s="6" t="s">
        <v>146</v>
      </c>
      <c r="J41" s="6"/>
      <c r="K41" s="31" t="s">
        <v>82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4">
        <v>0</v>
      </c>
      <c r="U41" s="34">
        <v>0</v>
      </c>
      <c r="V41" s="34">
        <v>0</v>
      </c>
      <c r="W41" s="34">
        <v>0</v>
      </c>
      <c r="X41" s="11">
        <f t="shared" si="0"/>
        <v>0</v>
      </c>
      <c r="Y41" s="34">
        <v>0</v>
      </c>
      <c r="Z41" s="34">
        <v>0</v>
      </c>
      <c r="AA41" s="34">
        <v>0</v>
      </c>
      <c r="AB41" s="34">
        <v>0</v>
      </c>
      <c r="AC41" s="34">
        <v>0</v>
      </c>
      <c r="AD41" s="34">
        <v>0</v>
      </c>
      <c r="AE41" s="34">
        <v>0</v>
      </c>
      <c r="AF41" s="34">
        <v>47922</v>
      </c>
      <c r="AG41" s="34">
        <v>47161</v>
      </c>
      <c r="AH41" s="34">
        <v>47703</v>
      </c>
      <c r="AI41" s="34">
        <v>45824</v>
      </c>
      <c r="AJ41" s="34">
        <v>49001</v>
      </c>
      <c r="AK41" s="11">
        <f t="shared" si="1"/>
        <v>237611</v>
      </c>
      <c r="AL41" s="34">
        <v>57521.98</v>
      </c>
      <c r="AM41" s="35">
        <v>68619.569000000003</v>
      </c>
      <c r="AN41" s="35">
        <v>61687.563999999897</v>
      </c>
      <c r="AO41" s="35">
        <v>58563.22</v>
      </c>
      <c r="AP41" s="35">
        <v>61812.302000000003</v>
      </c>
      <c r="AQ41" s="35">
        <v>58924.262000000002</v>
      </c>
      <c r="AR41" s="35">
        <v>58549</v>
      </c>
      <c r="AS41" s="35">
        <v>67399</v>
      </c>
      <c r="AT41" s="35">
        <v>71949.744999999893</v>
      </c>
      <c r="AU41" s="35">
        <v>69536.611999999906</v>
      </c>
      <c r="AV41" s="35">
        <v>69451.540999999896</v>
      </c>
      <c r="AW41" s="35">
        <v>76410.736000000004</v>
      </c>
      <c r="AX41" s="11">
        <f t="shared" si="2"/>
        <v>780425.53099999961</v>
      </c>
      <c r="AY41" s="10">
        <v>81542.44</v>
      </c>
      <c r="AZ41" s="10">
        <v>101509.236</v>
      </c>
      <c r="BA41" s="10">
        <v>99845</v>
      </c>
      <c r="BB41" s="10">
        <v>102731</v>
      </c>
      <c r="BC41" s="10">
        <v>112566</v>
      </c>
      <c r="BD41" s="10">
        <v>96042.13</v>
      </c>
      <c r="BE41" s="10">
        <v>107925.46</v>
      </c>
      <c r="BF41" s="35">
        <v>111850.1</v>
      </c>
      <c r="BG41" s="35">
        <v>124860.53</v>
      </c>
      <c r="BH41" s="35">
        <v>119624.202</v>
      </c>
      <c r="BI41" s="35">
        <v>116584.3</v>
      </c>
      <c r="BJ41" s="35">
        <v>119883.2</v>
      </c>
      <c r="BK41" s="11">
        <f t="shared" si="3"/>
        <v>1294963.598</v>
      </c>
      <c r="BL41" s="10">
        <v>129595</v>
      </c>
      <c r="BM41" s="10">
        <v>144322</v>
      </c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1">
        <f t="shared" si="4"/>
        <v>273917</v>
      </c>
    </row>
    <row r="42" spans="1:76" x14ac:dyDescent="0.35">
      <c r="A42" s="31">
        <v>41</v>
      </c>
      <c r="B42" s="6">
        <v>194558</v>
      </c>
      <c r="C42" s="32" t="s">
        <v>180</v>
      </c>
      <c r="D42" s="15" t="s">
        <v>129</v>
      </c>
      <c r="E42" s="31" t="s">
        <v>85</v>
      </c>
      <c r="F42" s="31" t="s">
        <v>78</v>
      </c>
      <c r="G42" s="31" t="s">
        <v>79</v>
      </c>
      <c r="H42" s="33">
        <v>44331</v>
      </c>
      <c r="I42" s="6" t="s">
        <v>131</v>
      </c>
      <c r="J42" s="6"/>
      <c r="K42" s="31" t="s">
        <v>82</v>
      </c>
      <c r="L42" s="34">
        <v>0</v>
      </c>
      <c r="M42" s="34">
        <v>0</v>
      </c>
      <c r="N42" s="34">
        <v>0</v>
      </c>
      <c r="O42" s="34">
        <v>0</v>
      </c>
      <c r="P42" s="34">
        <v>0</v>
      </c>
      <c r="Q42" s="34">
        <v>0</v>
      </c>
      <c r="R42" s="34">
        <v>0</v>
      </c>
      <c r="S42" s="34">
        <v>0</v>
      </c>
      <c r="T42" s="34">
        <v>0</v>
      </c>
      <c r="U42" s="34">
        <v>0</v>
      </c>
      <c r="V42" s="34">
        <v>0</v>
      </c>
      <c r="W42" s="34">
        <v>0</v>
      </c>
      <c r="X42" s="11">
        <f t="shared" si="0"/>
        <v>0</v>
      </c>
      <c r="Y42" s="34">
        <v>0</v>
      </c>
      <c r="Z42" s="34">
        <v>0</v>
      </c>
      <c r="AA42" s="34">
        <v>0</v>
      </c>
      <c r="AB42" s="34">
        <v>0</v>
      </c>
      <c r="AC42" s="34">
        <v>0</v>
      </c>
      <c r="AD42" s="34">
        <v>0</v>
      </c>
      <c r="AE42" s="34">
        <v>0</v>
      </c>
      <c r="AF42" s="34">
        <v>0</v>
      </c>
      <c r="AG42" s="34">
        <v>0</v>
      </c>
      <c r="AH42" s="34">
        <v>0</v>
      </c>
      <c r="AI42" s="34">
        <v>0</v>
      </c>
      <c r="AJ42" s="34">
        <v>0</v>
      </c>
      <c r="AK42" s="11">
        <f t="shared" si="1"/>
        <v>0</v>
      </c>
      <c r="AL42" s="34">
        <v>0</v>
      </c>
      <c r="AM42" s="34">
        <v>0</v>
      </c>
      <c r="AN42" s="35">
        <v>0</v>
      </c>
      <c r="AO42" s="35">
        <v>46073.279999999897</v>
      </c>
      <c r="AP42" s="35">
        <v>77561.714999999895</v>
      </c>
      <c r="AQ42" s="35">
        <v>72085.205000000002</v>
      </c>
      <c r="AR42" s="35">
        <v>78805</v>
      </c>
      <c r="AS42" s="35">
        <v>66269</v>
      </c>
      <c r="AT42" s="35">
        <v>65330.05</v>
      </c>
      <c r="AU42" s="35">
        <v>70805.137000000002</v>
      </c>
      <c r="AV42" s="35">
        <v>72540.619999999893</v>
      </c>
      <c r="AW42" s="35">
        <v>77805.589000000007</v>
      </c>
      <c r="AX42" s="11">
        <f t="shared" si="2"/>
        <v>627275.59599999967</v>
      </c>
      <c r="AY42" s="10">
        <v>76136.289999999906</v>
      </c>
      <c r="AZ42" s="10">
        <v>84874.225999999893</v>
      </c>
      <c r="BA42" s="10">
        <v>75221</v>
      </c>
      <c r="BB42" s="10">
        <v>75812</v>
      </c>
      <c r="BC42" s="10">
        <v>91479</v>
      </c>
      <c r="BD42" s="10">
        <v>85609.699999999895</v>
      </c>
      <c r="BE42" s="10">
        <v>91468.96</v>
      </c>
      <c r="BF42" s="35">
        <v>91471.32</v>
      </c>
      <c r="BG42" s="35">
        <v>90694.929999999906</v>
      </c>
      <c r="BH42" s="35">
        <v>88615.57</v>
      </c>
      <c r="BI42" s="35">
        <v>80328.089999999895</v>
      </c>
      <c r="BJ42" s="35">
        <v>90847.539999999906</v>
      </c>
      <c r="BK42" s="11">
        <f t="shared" si="3"/>
        <v>1022558.6259999996</v>
      </c>
      <c r="BL42" s="10">
        <v>96984</v>
      </c>
      <c r="BM42" s="10">
        <v>105970</v>
      </c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1">
        <f t="shared" si="4"/>
        <v>202954</v>
      </c>
    </row>
    <row r="43" spans="1:76" x14ac:dyDescent="0.35">
      <c r="A43" s="31">
        <v>42</v>
      </c>
      <c r="B43" s="6">
        <v>311572</v>
      </c>
      <c r="C43" s="32" t="s">
        <v>181</v>
      </c>
      <c r="D43" s="15" t="s">
        <v>175</v>
      </c>
      <c r="E43" s="31" t="s">
        <v>77</v>
      </c>
      <c r="F43" s="31" t="s">
        <v>78</v>
      </c>
      <c r="G43" s="31" t="s">
        <v>35</v>
      </c>
      <c r="H43" s="33">
        <v>45495</v>
      </c>
      <c r="I43" s="6" t="s">
        <v>120</v>
      </c>
      <c r="J43" s="6"/>
      <c r="K43" s="31" t="s">
        <v>82</v>
      </c>
      <c r="L43" s="34">
        <v>0</v>
      </c>
      <c r="M43" s="34">
        <v>0</v>
      </c>
      <c r="N43" s="34">
        <v>0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4">
        <v>0</v>
      </c>
      <c r="U43" s="34">
        <v>0</v>
      </c>
      <c r="V43" s="34">
        <v>0</v>
      </c>
      <c r="W43" s="34">
        <v>0</v>
      </c>
      <c r="X43" s="11">
        <f t="shared" si="0"/>
        <v>0</v>
      </c>
      <c r="Y43" s="34">
        <v>0</v>
      </c>
      <c r="Z43" s="34">
        <v>0</v>
      </c>
      <c r="AA43" s="34">
        <v>0</v>
      </c>
      <c r="AB43" s="34">
        <v>0</v>
      </c>
      <c r="AC43" s="34">
        <v>0</v>
      </c>
      <c r="AD43" s="34">
        <v>0</v>
      </c>
      <c r="AE43" s="34">
        <v>0</v>
      </c>
      <c r="AF43" s="34">
        <v>0</v>
      </c>
      <c r="AG43" s="34">
        <v>0</v>
      </c>
      <c r="AH43" s="34">
        <v>0</v>
      </c>
      <c r="AI43" s="34">
        <v>0</v>
      </c>
      <c r="AJ43" s="34">
        <v>0</v>
      </c>
      <c r="AK43" s="11">
        <f t="shared" si="1"/>
        <v>0</v>
      </c>
      <c r="AL43" s="34">
        <v>0</v>
      </c>
      <c r="AM43" s="34">
        <v>0</v>
      </c>
      <c r="AN43" s="35">
        <v>0</v>
      </c>
      <c r="AO43" s="35">
        <v>7653.5799999999899</v>
      </c>
      <c r="AP43" s="35">
        <v>33432.021999999903</v>
      </c>
      <c r="AQ43" s="35">
        <v>31035.0279999999</v>
      </c>
      <c r="AR43" s="35">
        <v>30223</v>
      </c>
      <c r="AS43" s="35">
        <v>35789</v>
      </c>
      <c r="AT43" s="35">
        <v>35170.247000000003</v>
      </c>
      <c r="AU43" s="35">
        <v>25670.4579999999</v>
      </c>
      <c r="AV43" s="35">
        <v>22549.465</v>
      </c>
      <c r="AW43" s="35">
        <v>26560.9559999999</v>
      </c>
      <c r="AX43" s="11">
        <f t="shared" si="2"/>
        <v>248083.75599999956</v>
      </c>
      <c r="AY43" s="10">
        <v>23341.350999999901</v>
      </c>
      <c r="AZ43" s="10">
        <v>28977.6899999999</v>
      </c>
      <c r="BA43" s="10">
        <v>26804</v>
      </c>
      <c r="BB43" s="10">
        <v>24789</v>
      </c>
      <c r="BC43" s="10">
        <v>29124</v>
      </c>
      <c r="BD43" s="10">
        <v>25194.981</v>
      </c>
      <c r="BE43" s="10">
        <v>33848.917000000001</v>
      </c>
      <c r="BF43" s="35">
        <v>20772.687000000002</v>
      </c>
      <c r="BG43" s="35">
        <v>29168.588</v>
      </c>
      <c r="BH43" s="35">
        <v>33419.230000000003</v>
      </c>
      <c r="BI43" s="35">
        <v>27730.8149999999</v>
      </c>
      <c r="BJ43" s="35">
        <v>34037.305</v>
      </c>
      <c r="BK43" s="11">
        <f t="shared" si="3"/>
        <v>337208.56399999966</v>
      </c>
      <c r="BL43" s="10">
        <v>36316</v>
      </c>
      <c r="BM43" s="10">
        <v>41502</v>
      </c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1">
        <f t="shared" si="4"/>
        <v>77818</v>
      </c>
    </row>
    <row r="44" spans="1:76" x14ac:dyDescent="0.35">
      <c r="A44" s="31">
        <v>43</v>
      </c>
      <c r="B44" s="31">
        <v>267352</v>
      </c>
      <c r="C44" s="32" t="s">
        <v>182</v>
      </c>
      <c r="D44" s="15" t="s">
        <v>183</v>
      </c>
      <c r="E44" s="31" t="s">
        <v>77</v>
      </c>
      <c r="F44" s="31" t="s">
        <v>110</v>
      </c>
      <c r="G44" s="31" t="s">
        <v>35</v>
      </c>
      <c r="H44" s="33">
        <v>45453</v>
      </c>
      <c r="I44" s="6" t="s">
        <v>120</v>
      </c>
      <c r="J44" s="6"/>
      <c r="K44" s="31" t="s">
        <v>82</v>
      </c>
      <c r="L44" s="34">
        <v>0</v>
      </c>
      <c r="M44" s="34">
        <v>0</v>
      </c>
      <c r="N44" s="34">
        <v>0</v>
      </c>
      <c r="O44" s="34">
        <v>0</v>
      </c>
      <c r="P44" s="34">
        <v>0</v>
      </c>
      <c r="Q44" s="34">
        <v>0</v>
      </c>
      <c r="R44" s="34">
        <v>0</v>
      </c>
      <c r="S44" s="34">
        <v>0</v>
      </c>
      <c r="T44" s="34">
        <v>0</v>
      </c>
      <c r="U44" s="34">
        <v>0</v>
      </c>
      <c r="V44" s="34">
        <v>0</v>
      </c>
      <c r="W44" s="34">
        <v>0</v>
      </c>
      <c r="X44" s="11">
        <f t="shared" si="0"/>
        <v>0</v>
      </c>
      <c r="Y44" s="34">
        <v>0</v>
      </c>
      <c r="Z44" s="34">
        <v>0</v>
      </c>
      <c r="AA44" s="34">
        <v>0</v>
      </c>
      <c r="AB44" s="34">
        <v>0</v>
      </c>
      <c r="AC44" s="34">
        <v>0</v>
      </c>
      <c r="AD44" s="34">
        <v>0</v>
      </c>
      <c r="AE44" s="34">
        <v>0</v>
      </c>
      <c r="AF44" s="34">
        <v>0</v>
      </c>
      <c r="AG44" s="34">
        <v>0</v>
      </c>
      <c r="AH44" s="34">
        <v>0</v>
      </c>
      <c r="AI44" s="34">
        <v>0</v>
      </c>
      <c r="AJ44" s="34">
        <v>0</v>
      </c>
      <c r="AK44" s="11">
        <f t="shared" si="1"/>
        <v>0</v>
      </c>
      <c r="AL44" s="34">
        <v>0</v>
      </c>
      <c r="AM44" s="34">
        <v>0</v>
      </c>
      <c r="AN44" s="35">
        <v>16826.119999999901</v>
      </c>
      <c r="AO44" s="35">
        <v>26526.222000000002</v>
      </c>
      <c r="AP44" s="35">
        <v>25843.66</v>
      </c>
      <c r="AQ44" s="35">
        <v>21429.0999999999</v>
      </c>
      <c r="AR44" s="35">
        <v>22342</v>
      </c>
      <c r="AS44" s="35">
        <v>28643</v>
      </c>
      <c r="AT44" s="35">
        <v>24468.021000000001</v>
      </c>
      <c r="AU44" s="35">
        <v>23184.472000000002</v>
      </c>
      <c r="AV44" s="35">
        <v>20506.603999999901</v>
      </c>
      <c r="AW44" s="35">
        <v>21783.924999999901</v>
      </c>
      <c r="AX44" s="11">
        <f t="shared" si="2"/>
        <v>231553.12399999963</v>
      </c>
      <c r="AY44" s="10">
        <v>25987.4399999999</v>
      </c>
      <c r="AZ44" s="10">
        <v>28029.212</v>
      </c>
      <c r="BA44" s="10">
        <v>22285</v>
      </c>
      <c r="BB44" s="10">
        <v>24113</v>
      </c>
      <c r="BC44" s="10">
        <v>29364</v>
      </c>
      <c r="BD44" s="10">
        <v>30677.488000000001</v>
      </c>
      <c r="BE44" s="10">
        <v>36617.146999999903</v>
      </c>
      <c r="BF44" s="35">
        <v>45147.684000000001</v>
      </c>
      <c r="BG44" s="35">
        <v>41180.629999999903</v>
      </c>
      <c r="BH44" s="35">
        <v>46289.743999999897</v>
      </c>
      <c r="BI44" s="35">
        <v>31606.169000000002</v>
      </c>
      <c r="BJ44" s="35">
        <v>32592.262999999901</v>
      </c>
      <c r="BK44" s="11">
        <f t="shared" si="3"/>
        <v>393889.77699999954</v>
      </c>
      <c r="BL44" s="10">
        <v>27661</v>
      </c>
      <c r="BM44" s="10">
        <v>31873</v>
      </c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1">
        <f t="shared" si="4"/>
        <v>59534</v>
      </c>
    </row>
    <row r="45" spans="1:76" x14ac:dyDescent="0.35">
      <c r="A45" s="31">
        <v>44</v>
      </c>
      <c r="B45" s="6">
        <v>296138</v>
      </c>
      <c r="C45" s="32" t="s">
        <v>184</v>
      </c>
      <c r="D45" s="15" t="s">
        <v>94</v>
      </c>
      <c r="E45" s="31" t="s">
        <v>77</v>
      </c>
      <c r="F45" s="31" t="s">
        <v>110</v>
      </c>
      <c r="G45" s="31" t="s">
        <v>35</v>
      </c>
      <c r="H45" s="33">
        <v>46019</v>
      </c>
      <c r="I45" s="6" t="s">
        <v>120</v>
      </c>
      <c r="J45" s="6"/>
      <c r="K45" s="31" t="s">
        <v>82</v>
      </c>
      <c r="L45" s="34">
        <v>0</v>
      </c>
      <c r="M45" s="34">
        <v>0</v>
      </c>
      <c r="N45" s="34">
        <v>0</v>
      </c>
      <c r="O45" s="34">
        <v>0</v>
      </c>
      <c r="P45" s="34">
        <v>0</v>
      </c>
      <c r="Q45" s="34">
        <v>0</v>
      </c>
      <c r="R45" s="34">
        <v>0</v>
      </c>
      <c r="S45" s="34">
        <v>0</v>
      </c>
      <c r="T45" s="34">
        <v>0</v>
      </c>
      <c r="U45" s="34">
        <v>0</v>
      </c>
      <c r="V45" s="34">
        <v>0</v>
      </c>
      <c r="W45" s="34">
        <v>0</v>
      </c>
      <c r="X45" s="11">
        <f t="shared" si="0"/>
        <v>0</v>
      </c>
      <c r="Y45" s="34">
        <v>0</v>
      </c>
      <c r="Z45" s="34">
        <v>0</v>
      </c>
      <c r="AA45" s="34">
        <v>0</v>
      </c>
      <c r="AB45" s="34">
        <v>0</v>
      </c>
      <c r="AC45" s="34">
        <v>0</v>
      </c>
      <c r="AD45" s="34">
        <v>0</v>
      </c>
      <c r="AE45" s="34">
        <v>0</v>
      </c>
      <c r="AF45" s="34">
        <v>0</v>
      </c>
      <c r="AG45" s="34">
        <v>0</v>
      </c>
      <c r="AH45" s="34">
        <v>0</v>
      </c>
      <c r="AI45" s="34">
        <v>0</v>
      </c>
      <c r="AJ45" s="34">
        <v>0</v>
      </c>
      <c r="AK45" s="11">
        <f t="shared" si="1"/>
        <v>0</v>
      </c>
      <c r="AL45" s="34">
        <v>0</v>
      </c>
      <c r="AM45" s="34">
        <v>0</v>
      </c>
      <c r="AN45" s="35">
        <v>0</v>
      </c>
      <c r="AO45" s="35">
        <v>0</v>
      </c>
      <c r="AP45" s="35">
        <v>0</v>
      </c>
      <c r="AQ45" s="35">
        <v>0</v>
      </c>
      <c r="AR45" s="35">
        <v>0</v>
      </c>
      <c r="AS45" s="35">
        <v>0</v>
      </c>
      <c r="AT45" s="35">
        <v>4555.3599999999897</v>
      </c>
      <c r="AU45" s="35">
        <v>18759.810000000001</v>
      </c>
      <c r="AV45" s="35">
        <v>16825.499</v>
      </c>
      <c r="AW45" s="35">
        <v>15336.79</v>
      </c>
      <c r="AX45" s="11">
        <f t="shared" si="2"/>
        <v>55477.458999999995</v>
      </c>
      <c r="AY45" s="10">
        <v>17670.779999999901</v>
      </c>
      <c r="AZ45" s="10">
        <v>16381.69</v>
      </c>
      <c r="BA45" s="10">
        <v>17264</v>
      </c>
      <c r="BB45" s="10">
        <v>18705</v>
      </c>
      <c r="BC45" s="10">
        <v>18520</v>
      </c>
      <c r="BD45" s="10">
        <v>13755.502</v>
      </c>
      <c r="BE45" s="10">
        <v>25516.81</v>
      </c>
      <c r="BF45" s="35">
        <v>16674.4399999999</v>
      </c>
      <c r="BG45" s="35">
        <v>17321.6899999999</v>
      </c>
      <c r="BH45" s="35">
        <v>17630.47</v>
      </c>
      <c r="BI45" s="35">
        <v>17463.240000000002</v>
      </c>
      <c r="BJ45" s="35">
        <v>15176.709999999901</v>
      </c>
      <c r="BK45" s="11">
        <f t="shared" si="3"/>
        <v>212080.33199999956</v>
      </c>
      <c r="BL45" s="10">
        <v>15865</v>
      </c>
      <c r="BM45" s="10">
        <v>18930</v>
      </c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1">
        <f t="shared" si="4"/>
        <v>34795</v>
      </c>
    </row>
    <row r="46" spans="1:76" x14ac:dyDescent="0.35">
      <c r="A46" s="31">
        <v>45</v>
      </c>
      <c r="B46" s="6">
        <v>226334</v>
      </c>
      <c r="C46" s="17" t="str">
        <f>VLOOKUP(B46,[1]Master!$C$2:$O$2163,2,0)</f>
        <v>Shri Radhakrishna Vikhe Patil</v>
      </c>
      <c r="D46" s="18" t="str">
        <f>VLOOKUP(B46,[1]Master!$C$2:$O$2163,5,0)</f>
        <v>Shirdi RSA</v>
      </c>
      <c r="E46" s="18" t="str">
        <f>VLOOKUP(B46,[1]Master!$C$2:$O$2163,13,0)</f>
        <v>B</v>
      </c>
      <c r="F46" s="18" t="str">
        <f>VLOOKUP(B46,[1]Master!$C$2:$O$2163,10,0)</f>
        <v>D1</v>
      </c>
      <c r="G46" s="37" t="s">
        <v>48</v>
      </c>
      <c r="H46" s="18" t="s">
        <v>106</v>
      </c>
      <c r="I46" s="38" t="s">
        <v>120</v>
      </c>
      <c r="J46" s="39"/>
      <c r="K46" s="18" t="s">
        <v>82</v>
      </c>
      <c r="L46" s="40">
        <v>0</v>
      </c>
      <c r="M46" s="40">
        <v>0</v>
      </c>
      <c r="N46" s="40">
        <v>0</v>
      </c>
      <c r="O46" s="40">
        <v>0</v>
      </c>
      <c r="P46" s="40">
        <v>0</v>
      </c>
      <c r="Q46" s="40">
        <v>0</v>
      </c>
      <c r="R46" s="40">
        <v>0</v>
      </c>
      <c r="S46" s="40">
        <v>0</v>
      </c>
      <c r="T46" s="40">
        <v>0</v>
      </c>
      <c r="U46" s="40">
        <v>0</v>
      </c>
      <c r="V46" s="40">
        <v>0</v>
      </c>
      <c r="W46" s="40">
        <v>0</v>
      </c>
      <c r="X46" s="11">
        <f t="shared" si="0"/>
        <v>0</v>
      </c>
      <c r="Y46" s="40">
        <v>0</v>
      </c>
      <c r="Z46" s="40">
        <v>0</v>
      </c>
      <c r="AA46" s="40">
        <v>0</v>
      </c>
      <c r="AB46" s="40">
        <v>0</v>
      </c>
      <c r="AC46" s="40">
        <v>0</v>
      </c>
      <c r="AD46" s="40">
        <v>0</v>
      </c>
      <c r="AE46" s="40">
        <v>0</v>
      </c>
      <c r="AF46" s="40">
        <v>0</v>
      </c>
      <c r="AG46" s="40">
        <v>0</v>
      </c>
      <c r="AH46" s="40">
        <v>0</v>
      </c>
      <c r="AI46" s="40">
        <v>0</v>
      </c>
      <c r="AJ46" s="40">
        <v>0</v>
      </c>
      <c r="AK46" s="11">
        <f t="shared" si="1"/>
        <v>0</v>
      </c>
      <c r="AL46" s="40">
        <v>0</v>
      </c>
      <c r="AM46" s="40">
        <v>0</v>
      </c>
      <c r="AN46" s="40">
        <v>0</v>
      </c>
      <c r="AO46" s="40">
        <v>0</v>
      </c>
      <c r="AP46" s="40">
        <v>0</v>
      </c>
      <c r="AQ46" s="40">
        <v>0</v>
      </c>
      <c r="AR46" s="40">
        <v>0</v>
      </c>
      <c r="AS46" s="40">
        <v>0</v>
      </c>
      <c r="AT46" s="40">
        <v>0</v>
      </c>
      <c r="AU46" s="40">
        <v>0</v>
      </c>
      <c r="AV46" s="40">
        <v>0</v>
      </c>
      <c r="AW46" s="35">
        <v>0</v>
      </c>
      <c r="AX46" s="11">
        <f t="shared" si="2"/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35">
        <v>0</v>
      </c>
      <c r="BG46" s="35">
        <v>0</v>
      </c>
      <c r="BH46" s="35">
        <v>0</v>
      </c>
      <c r="BI46" s="35">
        <v>0</v>
      </c>
      <c r="BJ46" s="35">
        <v>0</v>
      </c>
      <c r="BK46" s="11">
        <f t="shared" si="3"/>
        <v>0</v>
      </c>
      <c r="BL46" s="10">
        <v>0</v>
      </c>
      <c r="BM46" s="10">
        <v>0</v>
      </c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1">
        <f t="shared" si="4"/>
        <v>0</v>
      </c>
    </row>
    <row r="47" spans="1:76" x14ac:dyDescent="0.35">
      <c r="A47" s="31">
        <v>46</v>
      </c>
      <c r="B47" s="6">
        <v>342786</v>
      </c>
      <c r="C47" s="17" t="str">
        <f>VLOOKUP(B47,[1]Master!$C$2:$O$2163,2,0)</f>
        <v>PRAVARA PHALE BHAJIPALA UTPADAK PKV</v>
      </c>
      <c r="D47" s="18" t="str">
        <f>VLOOKUP(B47,[1]Master!$C$2:$O$2163,5,0)</f>
        <v>Shirdi RSA</v>
      </c>
      <c r="E47" s="18" t="str">
        <f>VLOOKUP(B47,[1]Master!$C$2:$O$2163,13,0)</f>
        <v>B</v>
      </c>
      <c r="F47" s="18" t="str">
        <f>VLOOKUP(B47,[1]Master!$C$2:$O$2163,10,0)</f>
        <v>D1</v>
      </c>
      <c r="G47" s="37" t="s">
        <v>48</v>
      </c>
      <c r="H47" s="41">
        <v>46081</v>
      </c>
      <c r="I47" s="38" t="s">
        <v>120</v>
      </c>
      <c r="J47" s="39"/>
      <c r="K47" s="18" t="s">
        <v>82</v>
      </c>
      <c r="L47" s="40">
        <v>0</v>
      </c>
      <c r="M47" s="40">
        <v>0</v>
      </c>
      <c r="N47" s="40">
        <v>0</v>
      </c>
      <c r="O47" s="40">
        <v>0</v>
      </c>
      <c r="P47" s="40">
        <v>0</v>
      </c>
      <c r="Q47" s="40">
        <v>0</v>
      </c>
      <c r="R47" s="40">
        <v>0</v>
      </c>
      <c r="S47" s="40">
        <v>0</v>
      </c>
      <c r="T47" s="40">
        <v>0</v>
      </c>
      <c r="U47" s="40">
        <v>0</v>
      </c>
      <c r="V47" s="40">
        <v>0</v>
      </c>
      <c r="W47" s="40">
        <v>0</v>
      </c>
      <c r="X47" s="11">
        <f t="shared" si="0"/>
        <v>0</v>
      </c>
      <c r="Y47" s="40">
        <v>0</v>
      </c>
      <c r="Z47" s="40">
        <v>0</v>
      </c>
      <c r="AA47" s="40">
        <v>0</v>
      </c>
      <c r="AB47" s="40">
        <v>0</v>
      </c>
      <c r="AC47" s="40">
        <v>0</v>
      </c>
      <c r="AD47" s="40">
        <v>0</v>
      </c>
      <c r="AE47" s="40">
        <v>0</v>
      </c>
      <c r="AF47" s="40">
        <v>0</v>
      </c>
      <c r="AG47" s="40">
        <v>0</v>
      </c>
      <c r="AH47" s="40">
        <v>0</v>
      </c>
      <c r="AI47" s="40">
        <v>0</v>
      </c>
      <c r="AJ47" s="40">
        <v>0</v>
      </c>
      <c r="AK47" s="11">
        <f t="shared" si="1"/>
        <v>0</v>
      </c>
      <c r="AL47" s="40">
        <v>0</v>
      </c>
      <c r="AM47" s="40">
        <v>0</v>
      </c>
      <c r="AN47" s="40">
        <v>0</v>
      </c>
      <c r="AO47" s="40">
        <v>0</v>
      </c>
      <c r="AP47" s="40">
        <v>0</v>
      </c>
      <c r="AQ47" s="40">
        <v>0</v>
      </c>
      <c r="AR47" s="40">
        <v>0</v>
      </c>
      <c r="AS47" s="40">
        <v>0</v>
      </c>
      <c r="AT47" s="40">
        <v>0</v>
      </c>
      <c r="AU47" s="40">
        <v>0</v>
      </c>
      <c r="AV47" s="40">
        <v>0</v>
      </c>
      <c r="AW47" s="35">
        <v>0</v>
      </c>
      <c r="AX47" s="11">
        <f t="shared" si="2"/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35">
        <v>0</v>
      </c>
      <c r="BG47" s="35">
        <v>0</v>
      </c>
      <c r="BH47" s="35">
        <v>0</v>
      </c>
      <c r="BI47" s="35">
        <v>6690.8</v>
      </c>
      <c r="BJ47" s="35">
        <v>21606.74</v>
      </c>
      <c r="BK47" s="11">
        <f t="shared" si="3"/>
        <v>28297.54</v>
      </c>
      <c r="BL47" s="10">
        <v>31141</v>
      </c>
      <c r="BM47" s="10">
        <v>46652</v>
      </c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1">
        <f t="shared" si="4"/>
        <v>77793</v>
      </c>
    </row>
    <row r="48" spans="1:76" x14ac:dyDescent="0.35">
      <c r="A48" s="31">
        <v>47</v>
      </c>
      <c r="B48" s="6">
        <v>273554</v>
      </c>
      <c r="C48" s="17" t="str">
        <f>VLOOKUP(B48,[1]Master!$C$2:$O$2163,2,0)</f>
        <v>SHITOLE PETROLEUM KSK</v>
      </c>
      <c r="D48" s="18" t="str">
        <f>VLOOKUP(B48,[1]Master!$C$2:$O$2163,5,0)</f>
        <v>Pune City RSA</v>
      </c>
      <c r="E48" s="18" t="str">
        <f>VLOOKUP(B48,[1]Master!$C$2:$O$2163,13,0)</f>
        <v>B</v>
      </c>
      <c r="F48" s="18" t="str">
        <f>VLOOKUP(B48,[1]Master!$C$2:$O$2163,10,0)</f>
        <v>D2</v>
      </c>
      <c r="G48" s="37" t="s">
        <v>61</v>
      </c>
      <c r="H48" s="41">
        <v>46172</v>
      </c>
      <c r="I48" s="38" t="s">
        <v>131</v>
      </c>
      <c r="J48" s="39"/>
      <c r="K48" s="18" t="s">
        <v>82</v>
      </c>
      <c r="L48" s="40">
        <v>0</v>
      </c>
      <c r="M48" s="40">
        <v>0</v>
      </c>
      <c r="N48" s="40">
        <v>0</v>
      </c>
      <c r="O48" s="40">
        <v>0</v>
      </c>
      <c r="P48" s="40">
        <v>0</v>
      </c>
      <c r="Q48" s="40">
        <v>0</v>
      </c>
      <c r="R48" s="40">
        <v>0</v>
      </c>
      <c r="S48" s="40">
        <v>0</v>
      </c>
      <c r="T48" s="40">
        <v>0</v>
      </c>
      <c r="U48" s="40">
        <v>0</v>
      </c>
      <c r="V48" s="40">
        <v>0</v>
      </c>
      <c r="W48" s="40">
        <v>0</v>
      </c>
      <c r="X48" s="11">
        <f t="shared" si="0"/>
        <v>0</v>
      </c>
      <c r="Y48" s="40">
        <v>0</v>
      </c>
      <c r="Z48" s="40">
        <v>0</v>
      </c>
      <c r="AA48" s="40">
        <v>0</v>
      </c>
      <c r="AB48" s="40">
        <v>0</v>
      </c>
      <c r="AC48" s="40">
        <v>0</v>
      </c>
      <c r="AD48" s="40">
        <v>0</v>
      </c>
      <c r="AE48" s="40">
        <v>0</v>
      </c>
      <c r="AF48" s="40">
        <v>0</v>
      </c>
      <c r="AG48" s="40">
        <v>0</v>
      </c>
      <c r="AH48" s="40">
        <v>0</v>
      </c>
      <c r="AI48" s="40">
        <v>0</v>
      </c>
      <c r="AJ48" s="40">
        <v>0</v>
      </c>
      <c r="AK48" s="11">
        <f t="shared" si="1"/>
        <v>0</v>
      </c>
      <c r="AL48" s="40">
        <v>0</v>
      </c>
      <c r="AM48" s="40">
        <v>0</v>
      </c>
      <c r="AN48" s="40">
        <v>0</v>
      </c>
      <c r="AO48" s="40">
        <v>0</v>
      </c>
      <c r="AP48" s="40">
        <v>0</v>
      </c>
      <c r="AQ48" s="40">
        <v>0</v>
      </c>
      <c r="AR48" s="40">
        <v>0</v>
      </c>
      <c r="AS48" s="40">
        <v>0</v>
      </c>
      <c r="AT48" s="40">
        <v>0</v>
      </c>
      <c r="AU48" s="40">
        <v>0</v>
      </c>
      <c r="AV48" s="40">
        <v>0</v>
      </c>
      <c r="AW48" s="35">
        <v>0</v>
      </c>
      <c r="AX48" s="11">
        <f t="shared" si="2"/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35">
        <v>0</v>
      </c>
      <c r="BG48" s="35">
        <v>0</v>
      </c>
      <c r="BH48" s="35">
        <v>0</v>
      </c>
      <c r="BI48" s="35">
        <v>0</v>
      </c>
      <c r="BJ48" s="35">
        <v>0</v>
      </c>
      <c r="BK48" s="11">
        <f t="shared" si="3"/>
        <v>0</v>
      </c>
      <c r="BL48" s="10">
        <v>0</v>
      </c>
      <c r="BM48" s="10">
        <v>3538</v>
      </c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1">
        <f t="shared" si="4"/>
        <v>3538</v>
      </c>
    </row>
    <row r="49" spans="1:139" x14ac:dyDescent="0.35">
      <c r="A49" s="31">
        <v>48</v>
      </c>
      <c r="B49" s="6">
        <v>192269</v>
      </c>
      <c r="C49" s="17" t="str">
        <f>VLOOKUP(B49,[1]Master!$C$2:$O$2163,2,0)</f>
        <v>SHRI BALAJI PETROLEUM</v>
      </c>
      <c r="D49" s="18" t="str">
        <f>VLOOKUP(B49,[1]Master!$C$2:$O$2163,5,0)</f>
        <v>Pune Hadapsar RSA</v>
      </c>
      <c r="E49" s="18" t="str">
        <f>VLOOKUP(B49,[1]Master!$C$2:$O$2163,13,0)</f>
        <v>A</v>
      </c>
      <c r="F49" s="18" t="str">
        <f>VLOOKUP(B49,[1]Master!$C$2:$O$2163,10,0)</f>
        <v>D1</v>
      </c>
      <c r="G49" s="37" t="s">
        <v>61</v>
      </c>
      <c r="H49" s="18" t="s">
        <v>106</v>
      </c>
      <c r="I49" s="38" t="s">
        <v>146</v>
      </c>
      <c r="J49" s="39"/>
      <c r="K49" s="18" t="s">
        <v>82</v>
      </c>
      <c r="L49" s="40">
        <v>0</v>
      </c>
      <c r="M49" s="40">
        <v>0</v>
      </c>
      <c r="N49" s="40">
        <v>0</v>
      </c>
      <c r="O49" s="40">
        <v>0</v>
      </c>
      <c r="P49" s="40">
        <v>0</v>
      </c>
      <c r="Q49" s="40">
        <v>0</v>
      </c>
      <c r="R49" s="40">
        <v>0</v>
      </c>
      <c r="S49" s="40">
        <v>0</v>
      </c>
      <c r="T49" s="40">
        <v>0</v>
      </c>
      <c r="U49" s="40">
        <v>0</v>
      </c>
      <c r="V49" s="40">
        <v>0</v>
      </c>
      <c r="W49" s="40">
        <v>0</v>
      </c>
      <c r="X49" s="11">
        <f t="shared" si="0"/>
        <v>0</v>
      </c>
      <c r="Y49" s="40">
        <v>0</v>
      </c>
      <c r="Z49" s="40">
        <v>0</v>
      </c>
      <c r="AA49" s="40">
        <v>0</v>
      </c>
      <c r="AB49" s="40">
        <v>0</v>
      </c>
      <c r="AC49" s="40">
        <v>0</v>
      </c>
      <c r="AD49" s="40">
        <v>0</v>
      </c>
      <c r="AE49" s="40">
        <v>0</v>
      </c>
      <c r="AF49" s="40">
        <v>0</v>
      </c>
      <c r="AG49" s="40">
        <v>0</v>
      </c>
      <c r="AH49" s="40">
        <v>0</v>
      </c>
      <c r="AI49" s="40">
        <v>0</v>
      </c>
      <c r="AJ49" s="40">
        <v>0</v>
      </c>
      <c r="AK49" s="11">
        <f t="shared" si="1"/>
        <v>0</v>
      </c>
      <c r="AL49" s="40">
        <v>0</v>
      </c>
      <c r="AM49" s="40">
        <v>0</v>
      </c>
      <c r="AN49" s="40">
        <v>0</v>
      </c>
      <c r="AO49" s="40">
        <v>0</v>
      </c>
      <c r="AP49" s="40">
        <v>0</v>
      </c>
      <c r="AQ49" s="40">
        <v>0</v>
      </c>
      <c r="AR49" s="40">
        <v>0</v>
      </c>
      <c r="AS49" s="40">
        <v>0</v>
      </c>
      <c r="AT49" s="40">
        <v>0</v>
      </c>
      <c r="AU49" s="40">
        <v>0</v>
      </c>
      <c r="AV49" s="40">
        <v>0</v>
      </c>
      <c r="AW49" s="35">
        <v>0</v>
      </c>
      <c r="AX49" s="11">
        <f t="shared" si="2"/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35">
        <v>0</v>
      </c>
      <c r="BG49" s="35">
        <v>0</v>
      </c>
      <c r="BH49" s="35">
        <v>0</v>
      </c>
      <c r="BI49" s="35">
        <v>0</v>
      </c>
      <c r="BJ49" s="35">
        <v>0</v>
      </c>
      <c r="BK49" s="11">
        <f t="shared" si="3"/>
        <v>0</v>
      </c>
      <c r="BL49" s="10">
        <v>0</v>
      </c>
      <c r="BM49" s="10">
        <v>0</v>
      </c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1">
        <f t="shared" si="4"/>
        <v>0</v>
      </c>
    </row>
    <row r="50" spans="1:139" x14ac:dyDescent="0.35">
      <c r="A50" s="31">
        <v>49</v>
      </c>
      <c r="B50" s="6">
        <v>299301</v>
      </c>
      <c r="C50" s="17" t="str">
        <f>VLOOKUP(B50,[1]Master!$C$2:$O$2163,2,0)</f>
        <v>Shree Narayan Maharaj Petroleum</v>
      </c>
      <c r="D50" s="18" t="str">
        <f>VLOOKUP(B50,[1]Master!$C$2:$O$2163,5,0)</f>
        <v>Pune Hadapsar RSA</v>
      </c>
      <c r="E50" s="18" t="str">
        <f>VLOOKUP(B50,[1]Master!$C$2:$O$2163,13,0)</f>
        <v>B</v>
      </c>
      <c r="F50" s="18" t="str">
        <f>VLOOKUP(B50,[1]Master!$C$2:$O$2163,10,0)</f>
        <v>D1</v>
      </c>
      <c r="G50" s="37"/>
      <c r="H50" s="41">
        <v>46156</v>
      </c>
      <c r="I50" s="38" t="s">
        <v>146</v>
      </c>
      <c r="J50" s="39"/>
      <c r="K50" s="36" t="s">
        <v>88</v>
      </c>
      <c r="L50" s="40">
        <v>0</v>
      </c>
      <c r="M50" s="40">
        <v>0</v>
      </c>
      <c r="N50" s="40">
        <v>0</v>
      </c>
      <c r="O50" s="40">
        <v>0</v>
      </c>
      <c r="P50" s="40">
        <v>0</v>
      </c>
      <c r="Q50" s="40">
        <v>0</v>
      </c>
      <c r="R50" s="40">
        <v>0</v>
      </c>
      <c r="S50" s="40">
        <v>0</v>
      </c>
      <c r="T50" s="40">
        <v>0</v>
      </c>
      <c r="U50" s="40">
        <v>0</v>
      </c>
      <c r="V50" s="40">
        <v>0</v>
      </c>
      <c r="W50" s="40">
        <v>0</v>
      </c>
      <c r="X50" s="11">
        <f t="shared" si="0"/>
        <v>0</v>
      </c>
      <c r="Y50" s="40">
        <v>0</v>
      </c>
      <c r="Z50" s="40">
        <v>0</v>
      </c>
      <c r="AA50" s="40">
        <v>0</v>
      </c>
      <c r="AB50" s="40">
        <v>0</v>
      </c>
      <c r="AC50" s="40">
        <v>0</v>
      </c>
      <c r="AD50" s="40">
        <v>0</v>
      </c>
      <c r="AE50" s="40">
        <v>0</v>
      </c>
      <c r="AF50" s="40">
        <v>0</v>
      </c>
      <c r="AG50" s="40">
        <v>0</v>
      </c>
      <c r="AH50" s="40">
        <v>0</v>
      </c>
      <c r="AI50" s="40">
        <v>0</v>
      </c>
      <c r="AJ50" s="40">
        <v>0</v>
      </c>
      <c r="AK50" s="11">
        <f t="shared" si="1"/>
        <v>0</v>
      </c>
      <c r="AL50" s="40">
        <v>0</v>
      </c>
      <c r="AM50" s="40">
        <v>0</v>
      </c>
      <c r="AN50" s="40">
        <v>0</v>
      </c>
      <c r="AO50" s="40">
        <v>0</v>
      </c>
      <c r="AP50" s="40">
        <v>0</v>
      </c>
      <c r="AQ50" s="40">
        <v>0</v>
      </c>
      <c r="AR50" s="40">
        <v>0</v>
      </c>
      <c r="AS50" s="40">
        <v>0</v>
      </c>
      <c r="AT50" s="40">
        <v>0</v>
      </c>
      <c r="AU50" s="40">
        <v>0</v>
      </c>
      <c r="AV50" s="40">
        <v>0</v>
      </c>
      <c r="AW50" s="35">
        <v>0</v>
      </c>
      <c r="AX50" s="11">
        <f t="shared" si="2"/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35">
        <v>0</v>
      </c>
      <c r="BG50" s="35">
        <v>0</v>
      </c>
      <c r="BH50" s="35">
        <v>0</v>
      </c>
      <c r="BI50" s="35">
        <v>0</v>
      </c>
      <c r="BJ50" s="35">
        <v>0</v>
      </c>
      <c r="BK50" s="11">
        <f t="shared" si="3"/>
        <v>0</v>
      </c>
      <c r="BL50" s="10">
        <v>0</v>
      </c>
      <c r="BM50" s="10">
        <v>9879</v>
      </c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1">
        <f t="shared" si="4"/>
        <v>9879</v>
      </c>
    </row>
    <row r="51" spans="1:139" s="42" customFormat="1" x14ac:dyDescent="0.35">
      <c r="A51" s="31"/>
      <c r="B51" s="31"/>
      <c r="C51" s="32"/>
      <c r="D51" s="31"/>
      <c r="G51" s="31"/>
      <c r="H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1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1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11"/>
      <c r="AY51" s="10"/>
      <c r="AZ51" s="10"/>
      <c r="BA51" s="10"/>
      <c r="BB51" s="10"/>
      <c r="BC51" s="10"/>
      <c r="BD51" s="10"/>
      <c r="BE51" s="10"/>
      <c r="BF51" s="43"/>
      <c r="BG51" s="43"/>
      <c r="BH51" s="43"/>
      <c r="BI51" s="43"/>
      <c r="BJ51" s="43"/>
      <c r="BK51" s="11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</row>
    <row r="52" spans="1:139" ht="21" customHeight="1" x14ac:dyDescent="0.35">
      <c r="A52" s="44"/>
      <c r="B52" s="44"/>
      <c r="C52" s="45"/>
      <c r="D52" s="44"/>
      <c r="E52" s="46"/>
      <c r="F52" s="46"/>
      <c r="G52" s="44"/>
      <c r="H52" s="44"/>
      <c r="I52" s="46"/>
      <c r="J52" s="46"/>
      <c r="K52" s="46"/>
      <c r="L52" s="23">
        <f t="shared" ref="L52:W52" si="5">SUM(L2:L51)</f>
        <v>2788644.9099999941</v>
      </c>
      <c r="M52" s="23">
        <f t="shared" si="5"/>
        <v>2942024.2799999961</v>
      </c>
      <c r="N52" s="23">
        <f t="shared" si="5"/>
        <v>2950348.2299999953</v>
      </c>
      <c r="O52" s="23">
        <f t="shared" si="5"/>
        <v>3194098.1799999988</v>
      </c>
      <c r="P52" s="23">
        <f t="shared" si="5"/>
        <v>3137182.3999999957</v>
      </c>
      <c r="Q52" s="23">
        <f t="shared" si="5"/>
        <v>2712033.6099999952</v>
      </c>
      <c r="R52" s="23">
        <f t="shared" si="5"/>
        <v>2776403.6499999976</v>
      </c>
      <c r="S52" s="23">
        <f t="shared" si="5"/>
        <v>2842099.4699999974</v>
      </c>
      <c r="T52" s="23">
        <f t="shared" si="5"/>
        <v>3025402.906999995</v>
      </c>
      <c r="U52" s="23">
        <f t="shared" si="5"/>
        <v>2966923.7899999963</v>
      </c>
      <c r="V52" s="23">
        <f t="shared" si="5"/>
        <v>2585100.1399999955</v>
      </c>
      <c r="W52" s="23">
        <f t="shared" si="5"/>
        <v>2801636.8699999964</v>
      </c>
      <c r="X52" s="11">
        <f t="shared" si="0"/>
        <v>34721898.436999954</v>
      </c>
      <c r="Y52" s="23">
        <f t="shared" ref="Y52:AJ52" si="6">SUM(Y2:Y51)</f>
        <v>2856849.57</v>
      </c>
      <c r="Z52" s="23">
        <f t="shared" si="6"/>
        <v>3169973.6</v>
      </c>
      <c r="AA52" s="23">
        <f t="shared" si="6"/>
        <v>3158859.0599999996</v>
      </c>
      <c r="AB52" s="23">
        <f t="shared" si="6"/>
        <v>3258607.96</v>
      </c>
      <c r="AC52" s="23">
        <f t="shared" si="6"/>
        <v>3064628.83</v>
      </c>
      <c r="AD52" s="23">
        <f t="shared" si="6"/>
        <v>2938096.3</v>
      </c>
      <c r="AE52" s="23">
        <f t="shared" si="6"/>
        <v>3155450.3</v>
      </c>
      <c r="AF52" s="23">
        <f t="shared" si="6"/>
        <v>3349627.72</v>
      </c>
      <c r="AG52" s="23">
        <f t="shared" si="6"/>
        <v>3571615.17</v>
      </c>
      <c r="AH52" s="23">
        <f t="shared" si="6"/>
        <v>3458808.9899999998</v>
      </c>
      <c r="AI52" s="23">
        <f t="shared" si="6"/>
        <v>3300910.59</v>
      </c>
      <c r="AJ52" s="23">
        <f t="shared" si="6"/>
        <v>3377748</v>
      </c>
      <c r="AK52" s="11">
        <f>SUM(Y52:AJ52)</f>
        <v>38661176.089999996</v>
      </c>
      <c r="AL52" s="23">
        <f t="shared" ref="AL52:BW52" si="7">SUM(AL2:AL51)</f>
        <v>3523831.5599999977</v>
      </c>
      <c r="AM52" s="23">
        <f t="shared" si="7"/>
        <v>3603954.503999996</v>
      </c>
      <c r="AN52" s="23">
        <f t="shared" si="7"/>
        <v>3544448.7969999989</v>
      </c>
      <c r="AO52" s="23">
        <f t="shared" si="7"/>
        <v>3800800.6169999968</v>
      </c>
      <c r="AP52" s="23">
        <f t="shared" si="7"/>
        <v>3803014.0599999921</v>
      </c>
      <c r="AQ52" s="23">
        <f t="shared" si="7"/>
        <v>3649572.7929999945</v>
      </c>
      <c r="AR52" s="23">
        <f t="shared" si="7"/>
        <v>3907866</v>
      </c>
      <c r="AS52" s="23">
        <f t="shared" si="7"/>
        <v>3782147</v>
      </c>
      <c r="AT52" s="23">
        <f t="shared" si="7"/>
        <v>3933562.523999996</v>
      </c>
      <c r="AU52" s="23">
        <f t="shared" si="7"/>
        <v>3945494.497999995</v>
      </c>
      <c r="AV52" s="23">
        <f t="shared" si="7"/>
        <v>3656877.2849999918</v>
      </c>
      <c r="AW52" s="23">
        <f t="shared" si="7"/>
        <v>3900546.5449999929</v>
      </c>
      <c r="AX52" s="11">
        <f>SUM(AL52:AW52)</f>
        <v>45052116.182999946</v>
      </c>
      <c r="AY52" s="23">
        <f t="shared" si="7"/>
        <v>3846610.1349999942</v>
      </c>
      <c r="AZ52" s="23">
        <f t="shared" si="7"/>
        <v>4174071.979999993</v>
      </c>
      <c r="BA52" s="23">
        <f t="shared" si="7"/>
        <v>4092856</v>
      </c>
      <c r="BB52" s="23">
        <f t="shared" si="7"/>
        <v>4222268</v>
      </c>
      <c r="BC52" s="23">
        <f t="shared" si="7"/>
        <v>4287951</v>
      </c>
      <c r="BD52" s="23">
        <f t="shared" si="7"/>
        <v>3916683.3489999939</v>
      </c>
      <c r="BE52" s="23">
        <f t="shared" si="7"/>
        <v>4156794.4629999916</v>
      </c>
      <c r="BF52" s="23">
        <f t="shared" si="7"/>
        <v>4278282.7809999911</v>
      </c>
      <c r="BG52" s="23">
        <f t="shared" si="7"/>
        <v>4425162.6179999951</v>
      </c>
      <c r="BH52" s="23">
        <f t="shared" si="7"/>
        <v>4215016.1099999966</v>
      </c>
      <c r="BI52" s="23">
        <f t="shared" si="7"/>
        <v>4146332.723999992</v>
      </c>
      <c r="BJ52" s="23">
        <f t="shared" si="7"/>
        <v>4453662.4579999987</v>
      </c>
      <c r="BK52" s="11">
        <f>SUM(AY52:BJ52)</f>
        <v>50215691.617999949</v>
      </c>
      <c r="BL52" s="23">
        <f t="shared" si="7"/>
        <v>4654704</v>
      </c>
      <c r="BM52" s="23">
        <f t="shared" si="7"/>
        <v>5096560</v>
      </c>
      <c r="BN52" s="23">
        <f t="shared" si="7"/>
        <v>0</v>
      </c>
      <c r="BO52" s="23">
        <f t="shared" si="7"/>
        <v>0</v>
      </c>
      <c r="BP52" s="23">
        <f t="shared" si="7"/>
        <v>0</v>
      </c>
      <c r="BQ52" s="23">
        <f t="shared" si="7"/>
        <v>0</v>
      </c>
      <c r="BR52" s="23">
        <f t="shared" si="7"/>
        <v>0</v>
      </c>
      <c r="BS52" s="23">
        <f t="shared" si="7"/>
        <v>0</v>
      </c>
      <c r="BT52" s="23">
        <f t="shared" si="7"/>
        <v>0</v>
      </c>
      <c r="BU52" s="23">
        <f t="shared" si="7"/>
        <v>0</v>
      </c>
      <c r="BV52" s="23">
        <f t="shared" si="7"/>
        <v>0</v>
      </c>
      <c r="BW52" s="23">
        <f t="shared" si="7"/>
        <v>0</v>
      </c>
      <c r="BX52" s="11">
        <f t="shared" si="4"/>
        <v>9751264</v>
      </c>
    </row>
    <row r="53" spans="1:139" x14ac:dyDescent="0.35">
      <c r="AX53"/>
    </row>
    <row r="54" spans="1:139" x14ac:dyDescent="0.35">
      <c r="AX54"/>
    </row>
    <row r="55" spans="1:139" x14ac:dyDescent="0.35">
      <c r="D55" s="49"/>
      <c r="E55" s="49"/>
      <c r="F55" s="49"/>
      <c r="G55" s="24"/>
      <c r="H55" s="24"/>
      <c r="I55" s="24"/>
      <c r="J55" s="24"/>
      <c r="K55" s="24"/>
      <c r="L55" s="25" t="s">
        <v>10</v>
      </c>
      <c r="M55" s="25" t="s">
        <v>11</v>
      </c>
      <c r="N55" s="25" t="s">
        <v>12</v>
      </c>
      <c r="O55" s="25" t="s">
        <v>13</v>
      </c>
      <c r="P55" s="25" t="s">
        <v>14</v>
      </c>
      <c r="Q55" s="25" t="s">
        <v>15</v>
      </c>
      <c r="R55" s="25" t="s">
        <v>16</v>
      </c>
      <c r="S55" s="25" t="s">
        <v>17</v>
      </c>
      <c r="T55" s="25" t="s">
        <v>18</v>
      </c>
      <c r="U55" s="25" t="s">
        <v>19</v>
      </c>
      <c r="V55" s="25" t="s">
        <v>20</v>
      </c>
      <c r="W55" s="25" t="s">
        <v>21</v>
      </c>
      <c r="X55" s="26" t="s">
        <v>22</v>
      </c>
      <c r="Y55" s="25" t="s">
        <v>23</v>
      </c>
      <c r="Z55" s="25" t="s">
        <v>24</v>
      </c>
      <c r="AA55" s="25" t="s">
        <v>25</v>
      </c>
      <c r="AB55" s="25" t="s">
        <v>26</v>
      </c>
      <c r="AC55" s="25" t="s">
        <v>27</v>
      </c>
      <c r="AD55" s="25" t="s">
        <v>28</v>
      </c>
      <c r="AE55" s="25" t="s">
        <v>29</v>
      </c>
      <c r="AF55" s="25" t="s">
        <v>30</v>
      </c>
      <c r="AG55" s="25" t="s">
        <v>31</v>
      </c>
      <c r="AH55" s="25" t="s">
        <v>32</v>
      </c>
      <c r="AI55" s="25" t="s">
        <v>33</v>
      </c>
      <c r="AJ55" s="25" t="s">
        <v>34</v>
      </c>
      <c r="AK55" s="26" t="s">
        <v>35</v>
      </c>
      <c r="AL55" s="25" t="s">
        <v>36</v>
      </c>
      <c r="AM55" s="25" t="s">
        <v>37</v>
      </c>
      <c r="AN55" s="25" t="s">
        <v>38</v>
      </c>
      <c r="AO55" s="25" t="s">
        <v>39</v>
      </c>
      <c r="AP55" s="25" t="s">
        <v>40</v>
      </c>
      <c r="AQ55" s="25" t="s">
        <v>41</v>
      </c>
      <c r="AR55" s="25" t="s">
        <v>42</v>
      </c>
      <c r="AS55" s="25" t="s">
        <v>43</v>
      </c>
      <c r="AT55" s="25" t="s">
        <v>44</v>
      </c>
      <c r="AU55" s="25" t="s">
        <v>45</v>
      </c>
      <c r="AV55" s="25" t="s">
        <v>46</v>
      </c>
      <c r="AW55" s="25" t="s">
        <v>47</v>
      </c>
      <c r="AX55" s="26" t="s">
        <v>48</v>
      </c>
      <c r="AY55" s="25" t="s">
        <v>49</v>
      </c>
      <c r="AZ55" s="25" t="s">
        <v>50</v>
      </c>
      <c r="BA55" s="25" t="s">
        <v>51</v>
      </c>
      <c r="BB55" s="25" t="s">
        <v>52</v>
      </c>
      <c r="BC55" s="25" t="s">
        <v>53</v>
      </c>
      <c r="BD55" s="25" t="s">
        <v>54</v>
      </c>
      <c r="BE55" s="25" t="s">
        <v>55</v>
      </c>
      <c r="BF55" s="25" t="s">
        <v>56</v>
      </c>
      <c r="BG55" s="25" t="s">
        <v>57</v>
      </c>
      <c r="BH55" s="25" t="s">
        <v>58</v>
      </c>
      <c r="BI55" s="25" t="s">
        <v>59</v>
      </c>
      <c r="BJ55" s="25" t="s">
        <v>60</v>
      </c>
      <c r="BK55" s="26" t="s">
        <v>61</v>
      </c>
      <c r="BL55" s="25" t="s">
        <v>62</v>
      </c>
      <c r="BM55" s="25" t="s">
        <v>63</v>
      </c>
      <c r="BN55" s="25" t="s">
        <v>64</v>
      </c>
      <c r="BO55" s="25" t="s">
        <v>65</v>
      </c>
      <c r="BP55" s="25" t="s">
        <v>66</v>
      </c>
      <c r="BQ55" s="25" t="s">
        <v>67</v>
      </c>
      <c r="BR55" s="25" t="s">
        <v>68</v>
      </c>
      <c r="BS55" s="25" t="s">
        <v>69</v>
      </c>
      <c r="BT55" s="25" t="s">
        <v>70</v>
      </c>
      <c r="BU55" s="25" t="s">
        <v>71</v>
      </c>
      <c r="BV55" s="25" t="s">
        <v>72</v>
      </c>
      <c r="BW55" s="25" t="s">
        <v>73</v>
      </c>
      <c r="BX55" s="26" t="s">
        <v>74</v>
      </c>
    </row>
    <row r="56" spans="1:139" s="50" customFormat="1" x14ac:dyDescent="0.35">
      <c r="E56" s="49"/>
      <c r="F56" s="49"/>
      <c r="G56" s="27" t="s">
        <v>118</v>
      </c>
      <c r="H56" s="24" t="s">
        <v>119</v>
      </c>
      <c r="I56" s="24"/>
      <c r="J56" s="24"/>
      <c r="K56" s="24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51"/>
      <c r="Y56" s="10">
        <v>3011.2130000000002</v>
      </c>
      <c r="Z56" s="10">
        <v>3362.36</v>
      </c>
      <c r="AA56" s="10">
        <v>3334.1219999999998</v>
      </c>
      <c r="AB56" s="10">
        <v>3423.7859999999996</v>
      </c>
      <c r="AC56" s="10">
        <v>3234.2950000000001</v>
      </c>
      <c r="AD56" s="10">
        <v>3092.1030000000001</v>
      </c>
      <c r="AE56" s="10">
        <v>3319.0120000000002</v>
      </c>
      <c r="AF56" s="10">
        <v>3522.5539999999996</v>
      </c>
      <c r="AG56" s="10">
        <v>3750.4990000000007</v>
      </c>
      <c r="AH56" s="10">
        <v>3646.9119999999998</v>
      </c>
      <c r="AI56" s="10">
        <v>3477.511</v>
      </c>
      <c r="AJ56" s="10">
        <v>3569.0740000000001</v>
      </c>
      <c r="AK56" s="28">
        <f t="shared" ref="AK56:AK61" si="8">SUM(Y56:AJ56)</f>
        <v>40743.440999999999</v>
      </c>
      <c r="AL56" s="10">
        <v>3523.8159999999998</v>
      </c>
      <c r="AM56" s="10">
        <v>3603.9390000000003</v>
      </c>
      <c r="AN56" s="10">
        <v>3544.4289999999996</v>
      </c>
      <c r="AO56" s="10">
        <v>3800.7850000000003</v>
      </c>
      <c r="AP56" s="10">
        <v>3802.9949999999994</v>
      </c>
      <c r="AQ56" s="10">
        <v>3649.556</v>
      </c>
      <c r="AR56" s="10">
        <v>3907.8470000000002</v>
      </c>
      <c r="AS56" s="10">
        <v>3782.127</v>
      </c>
      <c r="AT56" s="10">
        <v>3933.5459999999998</v>
      </c>
      <c r="AU56" s="10">
        <v>3945.4739999999997</v>
      </c>
      <c r="AV56" s="10">
        <v>3656.8560000000002</v>
      </c>
      <c r="AW56" s="10">
        <v>3900.5249999999996</v>
      </c>
      <c r="AX56" s="28">
        <f t="shared" ref="AX56:AX61" si="9">SUM(AL56:AW56)</f>
        <v>45051.895000000004</v>
      </c>
      <c r="AY56" s="10">
        <v>3846.56</v>
      </c>
      <c r="AZ56" s="10">
        <v>4174.05</v>
      </c>
      <c r="BA56" s="10">
        <v>4092.86</v>
      </c>
      <c r="BB56" s="10">
        <v>4222.2699999999995</v>
      </c>
      <c r="BC56" s="10">
        <v>4287.9399999999996</v>
      </c>
      <c r="BD56" s="10">
        <v>3916.68</v>
      </c>
      <c r="BE56" s="10">
        <v>4156.79</v>
      </c>
      <c r="BF56" s="10">
        <v>4278.29</v>
      </c>
      <c r="BG56" s="10">
        <v>4425.16</v>
      </c>
      <c r="BH56" s="10">
        <v>4215.0200000000004</v>
      </c>
      <c r="BI56" s="10">
        <v>4146.33</v>
      </c>
      <c r="BJ56" s="10">
        <v>4453.66</v>
      </c>
      <c r="BK56" s="28">
        <f t="shared" ref="BK56:BK61" si="10">SUM(AY56:BJ56)</f>
        <v>50215.610000000015</v>
      </c>
      <c r="BL56" s="10">
        <v>4654.7063600000001</v>
      </c>
      <c r="BM56" s="10">
        <v>5096.5579299999999</v>
      </c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28">
        <f t="shared" ref="BX56:BX61" si="11">SUM(BL56:BW56)</f>
        <v>9751.2642899999992</v>
      </c>
    </row>
    <row r="57" spans="1:139" s="50" customFormat="1" x14ac:dyDescent="0.35">
      <c r="E57" s="49"/>
      <c r="F57" s="49"/>
      <c r="G57" s="27"/>
      <c r="H57" s="24" t="s">
        <v>120</v>
      </c>
      <c r="I57" s="24"/>
      <c r="J57" s="24"/>
      <c r="K57" s="24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51"/>
      <c r="Y57" s="10">
        <v>4554.8559299999997</v>
      </c>
      <c r="Z57" s="10">
        <v>5385.9802300000001</v>
      </c>
      <c r="AA57" s="10">
        <v>5225.9171499999993</v>
      </c>
      <c r="AB57" s="10">
        <v>5719.60682</v>
      </c>
      <c r="AC57" s="10">
        <v>5859.7148799999995</v>
      </c>
      <c r="AD57" s="10">
        <v>5697.5570399999997</v>
      </c>
      <c r="AE57" s="10">
        <v>5774.6260700000003</v>
      </c>
      <c r="AF57" s="10">
        <v>5990.2629000000006</v>
      </c>
      <c r="AG57" s="10">
        <v>6495.2983100000001</v>
      </c>
      <c r="AH57" s="10">
        <v>6520.3764200000005</v>
      </c>
      <c r="AI57" s="10">
        <v>6402.2322900000008</v>
      </c>
      <c r="AJ57" s="10">
        <v>6600.1488100000006</v>
      </c>
      <c r="AK57" s="28">
        <f t="shared" si="8"/>
        <v>70226.576849999998</v>
      </c>
      <c r="AL57" s="10">
        <v>6491.6795299999994</v>
      </c>
      <c r="AM57" s="10">
        <v>7150.8610599999993</v>
      </c>
      <c r="AN57" s="10">
        <v>7412.5027199999986</v>
      </c>
      <c r="AO57" s="10">
        <v>7678.5212900000006</v>
      </c>
      <c r="AP57" s="10">
        <v>8079.0624299999999</v>
      </c>
      <c r="AQ57" s="10">
        <v>7703.0144399999999</v>
      </c>
      <c r="AR57" s="10">
        <v>8341.5167699999984</v>
      </c>
      <c r="AS57" s="10">
        <v>8409.8264899999995</v>
      </c>
      <c r="AT57" s="10">
        <v>8843.94463</v>
      </c>
      <c r="AU57" s="10">
        <v>8785.2627499999999</v>
      </c>
      <c r="AV57" s="10">
        <v>8150.6418000000012</v>
      </c>
      <c r="AW57" s="10">
        <v>8953.7239100000006</v>
      </c>
      <c r="AX57" s="28">
        <f t="shared" si="9"/>
        <v>96000.557819999987</v>
      </c>
      <c r="AY57" s="10">
        <v>9188.75</v>
      </c>
      <c r="AZ57" s="10">
        <v>9788.880000000001</v>
      </c>
      <c r="BA57" s="10">
        <v>9048.2100000000009</v>
      </c>
      <c r="BB57" s="10">
        <v>9344.0600000000013</v>
      </c>
      <c r="BC57" s="10">
        <v>9664.35</v>
      </c>
      <c r="BD57" s="10">
        <v>9040.4699999999993</v>
      </c>
      <c r="BE57" s="10">
        <v>9944.48</v>
      </c>
      <c r="BF57" s="10">
        <v>9906.1299999999992</v>
      </c>
      <c r="BG57" s="10">
        <v>10104.42</v>
      </c>
      <c r="BH57" s="10">
        <v>9953.2899999999991</v>
      </c>
      <c r="BI57" s="10">
        <v>9061.67</v>
      </c>
      <c r="BJ57" s="10">
        <v>9668.92</v>
      </c>
      <c r="BK57" s="28">
        <f t="shared" si="10"/>
        <v>114713.63</v>
      </c>
      <c r="BL57" s="10">
        <v>9852.5621499999997</v>
      </c>
      <c r="BM57" s="10">
        <v>10387.811150000001</v>
      </c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28">
        <f t="shared" si="11"/>
        <v>20240.373299999999</v>
      </c>
    </row>
    <row r="58" spans="1:139" s="50" customFormat="1" x14ac:dyDescent="0.35">
      <c r="E58" s="49"/>
      <c r="F58" s="49"/>
      <c r="G58" s="27"/>
      <c r="H58" s="24" t="s">
        <v>121</v>
      </c>
      <c r="I58" s="24"/>
      <c r="J58" s="24"/>
      <c r="K58" s="24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51"/>
      <c r="Y58" s="10">
        <v>5011.1758110000001</v>
      </c>
      <c r="Z58" s="10">
        <v>5845.670329999999</v>
      </c>
      <c r="AA58" s="10">
        <v>5419.2209000000003</v>
      </c>
      <c r="AB58" s="10">
        <v>5545.4156790000006</v>
      </c>
      <c r="AC58" s="10">
        <v>4568.2361300000002</v>
      </c>
      <c r="AD58" s="10">
        <v>7075.44506</v>
      </c>
      <c r="AE58" s="10">
        <v>5670.3212890000013</v>
      </c>
      <c r="AF58" s="10">
        <v>4973.0315609999998</v>
      </c>
      <c r="AG58" s="10">
        <v>7273.6196449999989</v>
      </c>
      <c r="AH58" s="10">
        <v>5942.5780060000006</v>
      </c>
      <c r="AI58" s="10">
        <v>5743.724569</v>
      </c>
      <c r="AJ58" s="10">
        <v>5831.7001639999999</v>
      </c>
      <c r="AK58" s="28">
        <f t="shared" si="8"/>
        <v>68900.139144000001</v>
      </c>
      <c r="AL58" s="10">
        <v>5308.729510000001</v>
      </c>
      <c r="AM58" s="10">
        <v>5666.0930280000002</v>
      </c>
      <c r="AN58" s="10">
        <v>5689.9362720000008</v>
      </c>
      <c r="AO58" s="10">
        <v>5832.701509999999</v>
      </c>
      <c r="AP58" s="10">
        <v>5992.2029080000002</v>
      </c>
      <c r="AQ58" s="10">
        <v>5591.2898420000001</v>
      </c>
      <c r="AR58" s="10">
        <v>5831.5709200000001</v>
      </c>
      <c r="AS58" s="10">
        <v>6100.0913649999993</v>
      </c>
      <c r="AT58" s="10">
        <v>6368.4897229999997</v>
      </c>
      <c r="AU58" s="10">
        <v>6096.3132350000005</v>
      </c>
      <c r="AV58" s="10">
        <v>5473.52855</v>
      </c>
      <c r="AW58" s="10">
        <v>5819.9041790000001</v>
      </c>
      <c r="AX58" s="28">
        <f t="shared" si="9"/>
        <v>69770.851041999995</v>
      </c>
      <c r="AY58" s="10">
        <v>5866.079999999999</v>
      </c>
      <c r="AZ58" s="10">
        <v>6593.07</v>
      </c>
      <c r="BA58" s="10">
        <v>6073.21</v>
      </c>
      <c r="BB58" s="10">
        <v>6165.89</v>
      </c>
      <c r="BC58" s="10">
        <v>6190.6900000000005</v>
      </c>
      <c r="BD58" s="10">
        <v>5454.0999999999995</v>
      </c>
      <c r="BE58" s="10">
        <v>5719.9500000000007</v>
      </c>
      <c r="BF58" s="10">
        <v>5981.41</v>
      </c>
      <c r="BG58" s="10">
        <v>6244.58</v>
      </c>
      <c r="BH58" s="10">
        <v>5992.87</v>
      </c>
      <c r="BI58" s="10">
        <v>5537.63</v>
      </c>
      <c r="BJ58" s="10">
        <v>5806.92</v>
      </c>
      <c r="BK58" s="28">
        <f t="shared" si="10"/>
        <v>71626.399999999994</v>
      </c>
      <c r="BL58" s="10">
        <v>5854.8085910000009</v>
      </c>
      <c r="BM58" s="10">
        <v>6460.071054</v>
      </c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28">
        <f t="shared" si="11"/>
        <v>12314.879645000001</v>
      </c>
    </row>
    <row r="59" spans="1:139" s="50" customFormat="1" x14ac:dyDescent="0.35">
      <c r="E59" s="49"/>
      <c r="F59" s="49"/>
      <c r="G59" s="27"/>
      <c r="H59" s="24" t="s">
        <v>122</v>
      </c>
      <c r="I59" s="24"/>
      <c r="J59" s="24"/>
      <c r="K59" s="24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51"/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28">
        <f t="shared" si="8"/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28">
        <f t="shared" si="9"/>
        <v>0</v>
      </c>
      <c r="AY59" s="10">
        <v>0</v>
      </c>
      <c r="AZ59" s="10">
        <v>0</v>
      </c>
      <c r="BA59" s="10">
        <v>0</v>
      </c>
      <c r="BB59" s="10">
        <v>0</v>
      </c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0">
        <v>0</v>
      </c>
      <c r="BI59" s="10">
        <v>0</v>
      </c>
      <c r="BJ59" s="6">
        <v>0</v>
      </c>
      <c r="BK59" s="28">
        <f t="shared" si="10"/>
        <v>0</v>
      </c>
      <c r="BL59" s="10">
        <v>0</v>
      </c>
      <c r="BM59" s="10">
        <v>0</v>
      </c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28">
        <f t="shared" si="11"/>
        <v>0</v>
      </c>
    </row>
    <row r="60" spans="1:139" s="50" customFormat="1" x14ac:dyDescent="0.35">
      <c r="E60" s="49"/>
      <c r="F60" s="49"/>
      <c r="G60" s="27"/>
      <c r="H60" s="24" t="s">
        <v>123</v>
      </c>
      <c r="I60" s="24"/>
      <c r="J60" s="24"/>
      <c r="K60" s="24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51"/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28">
        <f t="shared" si="8"/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28">
        <f t="shared" si="9"/>
        <v>0</v>
      </c>
      <c r="AY60" s="10">
        <v>0</v>
      </c>
      <c r="AZ60" s="10">
        <v>0</v>
      </c>
      <c r="BA60" s="10">
        <v>0</v>
      </c>
      <c r="BB60" s="10">
        <v>0</v>
      </c>
      <c r="BC60" s="10">
        <v>0</v>
      </c>
      <c r="BD60" s="10">
        <v>0</v>
      </c>
      <c r="BE60" s="10">
        <v>0</v>
      </c>
      <c r="BF60" s="10">
        <v>0</v>
      </c>
      <c r="BG60" s="10">
        <v>0</v>
      </c>
      <c r="BH60" s="10">
        <v>0</v>
      </c>
      <c r="BI60" s="10">
        <v>0</v>
      </c>
      <c r="BJ60" s="6">
        <v>0</v>
      </c>
      <c r="BK60" s="28">
        <f t="shared" si="10"/>
        <v>0</v>
      </c>
      <c r="BL60" s="10">
        <v>0</v>
      </c>
      <c r="BM60" s="10">
        <v>0</v>
      </c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28">
        <f t="shared" si="11"/>
        <v>0</v>
      </c>
    </row>
    <row r="61" spans="1:139" s="50" customFormat="1" x14ac:dyDescent="0.35">
      <c r="E61" s="49"/>
      <c r="F61" s="49"/>
      <c r="G61" s="27"/>
      <c r="H61" s="24" t="s">
        <v>124</v>
      </c>
      <c r="I61" s="24"/>
      <c r="J61" s="24"/>
      <c r="K61" s="24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51"/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28">
        <f t="shared" si="8"/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28">
        <f t="shared" si="9"/>
        <v>0</v>
      </c>
      <c r="AY61" s="10">
        <v>0</v>
      </c>
      <c r="AZ61" s="10">
        <v>0</v>
      </c>
      <c r="BA61" s="10">
        <v>0</v>
      </c>
      <c r="BB61" s="10">
        <v>0</v>
      </c>
      <c r="BC61" s="10">
        <v>0</v>
      </c>
      <c r="BD61" s="10">
        <v>0</v>
      </c>
      <c r="BE61" s="10">
        <v>0</v>
      </c>
      <c r="BF61" s="10">
        <v>0</v>
      </c>
      <c r="BG61" s="6">
        <v>0</v>
      </c>
      <c r="BH61" s="10">
        <v>0</v>
      </c>
      <c r="BI61" s="10">
        <v>0</v>
      </c>
      <c r="BJ61" s="6">
        <v>0</v>
      </c>
      <c r="BK61" s="28">
        <f t="shared" si="10"/>
        <v>0</v>
      </c>
      <c r="BL61" s="10">
        <v>0</v>
      </c>
      <c r="BM61" s="10">
        <v>0</v>
      </c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28">
        <f t="shared" si="11"/>
        <v>0</v>
      </c>
    </row>
    <row r="62" spans="1:139" s="50" customFormat="1" x14ac:dyDescent="0.35">
      <c r="D62" s="49"/>
      <c r="E62" s="49"/>
      <c r="F62" s="49"/>
      <c r="G62" s="24"/>
      <c r="H62" s="24"/>
      <c r="I62" s="24"/>
      <c r="J62" s="24"/>
      <c r="K62" s="24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1"/>
      <c r="Y62" s="22">
        <f>SUM(Y56:Y61)</f>
        <v>12577.244740999999</v>
      </c>
      <c r="Z62" s="22">
        <f t="shared" ref="Z62:BX62" si="12">SUM(Z56:Z61)</f>
        <v>14594.010559999999</v>
      </c>
      <c r="AA62" s="22">
        <f t="shared" si="12"/>
        <v>13979.260049999999</v>
      </c>
      <c r="AB62" s="22">
        <f t="shared" si="12"/>
        <v>14688.808498999999</v>
      </c>
      <c r="AC62" s="22">
        <f t="shared" si="12"/>
        <v>13662.246009999999</v>
      </c>
      <c r="AD62" s="22">
        <f t="shared" si="12"/>
        <v>15865.105099999999</v>
      </c>
      <c r="AE62" s="22">
        <f t="shared" si="12"/>
        <v>14763.959359000002</v>
      </c>
      <c r="AF62" s="22">
        <f t="shared" si="12"/>
        <v>14485.848461</v>
      </c>
      <c r="AG62" s="22">
        <f t="shared" si="12"/>
        <v>17519.416955000001</v>
      </c>
      <c r="AH62" s="22">
        <f t="shared" si="12"/>
        <v>16109.866426000001</v>
      </c>
      <c r="AI62" s="22">
        <f t="shared" si="12"/>
        <v>15623.467859</v>
      </c>
      <c r="AJ62" s="22">
        <f t="shared" si="12"/>
        <v>16000.922974000001</v>
      </c>
      <c r="AK62" s="28">
        <f t="shared" si="12"/>
        <v>179870.15699400002</v>
      </c>
      <c r="AL62" s="22">
        <f t="shared" si="12"/>
        <v>15324.225040000001</v>
      </c>
      <c r="AM62" s="22">
        <f t="shared" si="12"/>
        <v>16420.893088000001</v>
      </c>
      <c r="AN62" s="22">
        <f t="shared" si="12"/>
        <v>16646.867992</v>
      </c>
      <c r="AO62" s="22">
        <f t="shared" si="12"/>
        <v>17312.007799999999</v>
      </c>
      <c r="AP62" s="22">
        <f t="shared" si="12"/>
        <v>17874.260338</v>
      </c>
      <c r="AQ62" s="22">
        <f t="shared" si="12"/>
        <v>16943.860282000001</v>
      </c>
      <c r="AR62" s="22">
        <f t="shared" si="12"/>
        <v>18080.934689999998</v>
      </c>
      <c r="AS62" s="22">
        <f t="shared" si="12"/>
        <v>18292.044855</v>
      </c>
      <c r="AT62" s="22">
        <f t="shared" si="12"/>
        <v>19145.980352999999</v>
      </c>
      <c r="AU62" s="22">
        <f t="shared" si="12"/>
        <v>18827.049985000001</v>
      </c>
      <c r="AV62" s="22">
        <f t="shared" si="12"/>
        <v>17281.02635</v>
      </c>
      <c r="AW62" s="22">
        <f t="shared" si="12"/>
        <v>18674.153088999999</v>
      </c>
      <c r="AX62" s="28">
        <f t="shared" si="12"/>
        <v>210823.303862</v>
      </c>
      <c r="AY62" s="22">
        <f t="shared" si="12"/>
        <v>18901.39</v>
      </c>
      <c r="AZ62" s="22">
        <f t="shared" si="12"/>
        <v>20556</v>
      </c>
      <c r="BA62" s="22">
        <f t="shared" si="12"/>
        <v>19214.280000000002</v>
      </c>
      <c r="BB62" s="22">
        <f t="shared" si="12"/>
        <v>19732.22</v>
      </c>
      <c r="BC62" s="22">
        <f t="shared" si="12"/>
        <v>20142.980000000003</v>
      </c>
      <c r="BD62" s="22">
        <f t="shared" si="12"/>
        <v>18411.25</v>
      </c>
      <c r="BE62" s="22">
        <f t="shared" si="12"/>
        <v>19821.22</v>
      </c>
      <c r="BF62" s="22">
        <f t="shared" si="12"/>
        <v>20165.829999999998</v>
      </c>
      <c r="BG62" s="22">
        <f t="shared" si="12"/>
        <v>20774.16</v>
      </c>
      <c r="BH62" s="22">
        <f t="shared" si="12"/>
        <v>20161.18</v>
      </c>
      <c r="BI62" s="22">
        <f t="shared" si="12"/>
        <v>18745.63</v>
      </c>
      <c r="BJ62" s="22">
        <f t="shared" si="12"/>
        <v>19929.5</v>
      </c>
      <c r="BK62" s="28">
        <f t="shared" si="12"/>
        <v>236555.64</v>
      </c>
      <c r="BL62" s="22">
        <f t="shared" si="12"/>
        <v>20362.077101000003</v>
      </c>
      <c r="BM62" s="22">
        <f t="shared" si="12"/>
        <v>21944.440134</v>
      </c>
      <c r="BN62" s="22">
        <f t="shared" si="12"/>
        <v>0</v>
      </c>
      <c r="BO62" s="22">
        <f t="shared" si="12"/>
        <v>0</v>
      </c>
      <c r="BP62" s="22">
        <f t="shared" si="12"/>
        <v>0</v>
      </c>
      <c r="BQ62" s="22">
        <f t="shared" si="12"/>
        <v>0</v>
      </c>
      <c r="BR62" s="22">
        <f t="shared" si="12"/>
        <v>0</v>
      </c>
      <c r="BS62" s="22">
        <f t="shared" si="12"/>
        <v>0</v>
      </c>
      <c r="BT62" s="22">
        <f t="shared" si="12"/>
        <v>0</v>
      </c>
      <c r="BU62" s="22">
        <f t="shared" si="12"/>
        <v>0</v>
      </c>
      <c r="BV62" s="22">
        <f t="shared" si="12"/>
        <v>0</v>
      </c>
      <c r="BW62" s="22">
        <f t="shared" si="12"/>
        <v>0</v>
      </c>
      <c r="BX62" s="28">
        <f t="shared" si="12"/>
        <v>42306.517234999999</v>
      </c>
    </row>
    <row r="63" spans="1:139" x14ac:dyDescent="0.35">
      <c r="AX63"/>
    </row>
    <row r="64" spans="1:139" x14ac:dyDescent="0.35">
      <c r="AX64"/>
    </row>
    <row r="65" spans="50:50" x14ac:dyDescent="0.35">
      <c r="AX65"/>
    </row>
    <row r="66" spans="50:50" x14ac:dyDescent="0.35">
      <c r="AX66"/>
    </row>
    <row r="67" spans="50:50" x14ac:dyDescent="0.35">
      <c r="AX67"/>
    </row>
    <row r="68" spans="50:50" x14ac:dyDescent="0.35">
      <c r="AX68"/>
    </row>
    <row r="69" spans="50:50" x14ac:dyDescent="0.35">
      <c r="AX69"/>
    </row>
    <row r="70" spans="50:50" x14ac:dyDescent="0.35">
      <c r="AX70"/>
    </row>
    <row r="71" spans="50:50" x14ac:dyDescent="0.35">
      <c r="AX71"/>
    </row>
    <row r="72" spans="50:50" x14ac:dyDescent="0.35">
      <c r="AX72"/>
    </row>
    <row r="73" spans="50:50" x14ac:dyDescent="0.35">
      <c r="AX73"/>
    </row>
    <row r="74" spans="50:50" x14ac:dyDescent="0.35">
      <c r="AX74"/>
    </row>
    <row r="75" spans="50:50" x14ac:dyDescent="0.35">
      <c r="AX75"/>
    </row>
    <row r="76" spans="50:50" x14ac:dyDescent="0.35">
      <c r="AX76"/>
    </row>
    <row r="77" spans="50:50" x14ac:dyDescent="0.35">
      <c r="AX77"/>
    </row>
    <row r="78" spans="50:50" x14ac:dyDescent="0.35">
      <c r="AX78"/>
    </row>
    <row r="79" spans="50:50" x14ac:dyDescent="0.35">
      <c r="AX79"/>
    </row>
    <row r="80" spans="50:50" x14ac:dyDescent="0.35">
      <c r="AX80"/>
    </row>
    <row r="81" spans="50:50" x14ac:dyDescent="0.35">
      <c r="AX81"/>
    </row>
    <row r="82" spans="50:50" x14ac:dyDescent="0.35">
      <c r="AX82"/>
    </row>
    <row r="83" spans="50:50" x14ac:dyDescent="0.35">
      <c r="AX83"/>
    </row>
    <row r="84" spans="50:50" x14ac:dyDescent="0.35">
      <c r="AX84"/>
    </row>
    <row r="85" spans="50:50" x14ac:dyDescent="0.35">
      <c r="AX85"/>
    </row>
    <row r="86" spans="50:50" x14ac:dyDescent="0.35">
      <c r="AX86"/>
    </row>
    <row r="87" spans="50:50" x14ac:dyDescent="0.35">
      <c r="AX87"/>
    </row>
    <row r="88" spans="50:50" x14ac:dyDescent="0.35">
      <c r="AX88"/>
    </row>
    <row r="89" spans="50:50" x14ac:dyDescent="0.35">
      <c r="AX89"/>
    </row>
    <row r="90" spans="50:50" x14ac:dyDescent="0.35">
      <c r="AX90"/>
    </row>
    <row r="91" spans="50:50" x14ac:dyDescent="0.35">
      <c r="AX91"/>
    </row>
    <row r="92" spans="50:50" x14ac:dyDescent="0.35">
      <c r="AX92"/>
    </row>
    <row r="93" spans="50:50" x14ac:dyDescent="0.35">
      <c r="AX93"/>
    </row>
    <row r="94" spans="50:50" x14ac:dyDescent="0.35">
      <c r="AX94"/>
    </row>
    <row r="95" spans="50:50" x14ac:dyDescent="0.35">
      <c r="AX95"/>
    </row>
    <row r="96" spans="50:50" x14ac:dyDescent="0.35">
      <c r="AX96"/>
    </row>
    <row r="97" spans="50:50" x14ac:dyDescent="0.35">
      <c r="AX97"/>
    </row>
    <row r="98" spans="50:50" x14ac:dyDescent="0.35">
      <c r="AX98"/>
    </row>
    <row r="99" spans="50:50" x14ac:dyDescent="0.35">
      <c r="AX99"/>
    </row>
    <row r="100" spans="50:50" x14ac:dyDescent="0.35">
      <c r="AX100"/>
    </row>
    <row r="101" spans="50:50" x14ac:dyDescent="0.35">
      <c r="AX101"/>
    </row>
    <row r="102" spans="50:50" x14ac:dyDescent="0.35">
      <c r="AX102"/>
    </row>
    <row r="103" spans="50:50" x14ac:dyDescent="0.35">
      <c r="AX103"/>
    </row>
    <row r="104" spans="50:50" x14ac:dyDescent="0.35">
      <c r="AX104"/>
    </row>
    <row r="105" spans="50:50" x14ac:dyDescent="0.35">
      <c r="AX105"/>
    </row>
    <row r="106" spans="50:50" x14ac:dyDescent="0.35">
      <c r="AX106"/>
    </row>
    <row r="107" spans="50:50" x14ac:dyDescent="0.35">
      <c r="AX107"/>
    </row>
    <row r="108" spans="50:50" x14ac:dyDescent="0.35">
      <c r="AX108"/>
    </row>
    <row r="109" spans="50:50" x14ac:dyDescent="0.35">
      <c r="AX109"/>
    </row>
    <row r="110" spans="50:50" x14ac:dyDescent="0.35">
      <c r="AX110"/>
    </row>
    <row r="111" spans="50:50" x14ac:dyDescent="0.35">
      <c r="AX111"/>
    </row>
    <row r="112" spans="50:50" x14ac:dyDescent="0.35">
      <c r="AX112"/>
    </row>
    <row r="113" spans="50:50" x14ac:dyDescent="0.35">
      <c r="AX113"/>
    </row>
    <row r="114" spans="50:50" x14ac:dyDescent="0.35">
      <c r="AX114"/>
    </row>
    <row r="115" spans="50:50" x14ac:dyDescent="0.35">
      <c r="AX115"/>
    </row>
    <row r="116" spans="50:50" x14ac:dyDescent="0.35">
      <c r="AX116"/>
    </row>
    <row r="117" spans="50:50" x14ac:dyDescent="0.35">
      <c r="AX117"/>
    </row>
    <row r="118" spans="50:50" x14ac:dyDescent="0.35">
      <c r="AX118"/>
    </row>
    <row r="119" spans="50:50" x14ac:dyDescent="0.35">
      <c r="AX119"/>
    </row>
    <row r="120" spans="50:50" x14ac:dyDescent="0.35">
      <c r="AX120"/>
    </row>
    <row r="121" spans="50:50" x14ac:dyDescent="0.35">
      <c r="AX121"/>
    </row>
    <row r="122" spans="50:50" x14ac:dyDescent="0.35">
      <c r="AX122"/>
    </row>
    <row r="123" spans="50:50" x14ac:dyDescent="0.35">
      <c r="AX123"/>
    </row>
    <row r="124" spans="50:50" x14ac:dyDescent="0.35">
      <c r="AX124"/>
    </row>
    <row r="125" spans="50:50" x14ac:dyDescent="0.35">
      <c r="AX125"/>
    </row>
    <row r="126" spans="50:50" x14ac:dyDescent="0.35">
      <c r="AX126"/>
    </row>
    <row r="127" spans="50:50" x14ac:dyDescent="0.35">
      <c r="AX127"/>
    </row>
    <row r="128" spans="50:50" x14ac:dyDescent="0.35">
      <c r="AX128"/>
    </row>
    <row r="129" spans="50:50" x14ac:dyDescent="0.35">
      <c r="AX129"/>
    </row>
    <row r="130" spans="50:50" x14ac:dyDescent="0.35">
      <c r="AX130"/>
    </row>
    <row r="131" spans="50:50" x14ac:dyDescent="0.35">
      <c r="AX131"/>
    </row>
    <row r="132" spans="50:50" x14ac:dyDescent="0.35">
      <c r="AX132"/>
    </row>
    <row r="133" spans="50:50" x14ac:dyDescent="0.35">
      <c r="AX133"/>
    </row>
    <row r="134" spans="50:50" x14ac:dyDescent="0.35">
      <c r="AX134"/>
    </row>
    <row r="135" spans="50:50" x14ac:dyDescent="0.35">
      <c r="AX135"/>
    </row>
    <row r="136" spans="50:50" x14ac:dyDescent="0.35">
      <c r="AX136"/>
    </row>
    <row r="137" spans="50:50" x14ac:dyDescent="0.35">
      <c r="AX137"/>
    </row>
    <row r="138" spans="50:50" x14ac:dyDescent="0.35">
      <c r="AX138"/>
    </row>
    <row r="139" spans="50:50" x14ac:dyDescent="0.35">
      <c r="AX139"/>
    </row>
    <row r="140" spans="50:50" x14ac:dyDescent="0.35">
      <c r="AX140"/>
    </row>
    <row r="141" spans="50:50" x14ac:dyDescent="0.35">
      <c r="AX141"/>
    </row>
    <row r="142" spans="50:50" x14ac:dyDescent="0.35">
      <c r="AX142"/>
    </row>
    <row r="143" spans="50:50" x14ac:dyDescent="0.35">
      <c r="AX143"/>
    </row>
    <row r="144" spans="50:50" x14ac:dyDescent="0.35">
      <c r="AX144"/>
    </row>
    <row r="145" spans="50:50" x14ac:dyDescent="0.35">
      <c r="AX145"/>
    </row>
    <row r="146" spans="50:50" x14ac:dyDescent="0.35">
      <c r="AX146"/>
    </row>
    <row r="147" spans="50:50" x14ac:dyDescent="0.35">
      <c r="AX147"/>
    </row>
    <row r="148" spans="50:50" x14ac:dyDescent="0.35">
      <c r="AX148"/>
    </row>
    <row r="149" spans="50:50" x14ac:dyDescent="0.35">
      <c r="AX149"/>
    </row>
    <row r="150" spans="50:50" x14ac:dyDescent="0.35">
      <c r="AX150"/>
    </row>
    <row r="151" spans="50:50" x14ac:dyDescent="0.35">
      <c r="AX151"/>
    </row>
    <row r="152" spans="50:50" x14ac:dyDescent="0.35">
      <c r="AX152"/>
    </row>
    <row r="153" spans="50:50" x14ac:dyDescent="0.35">
      <c r="AX153"/>
    </row>
    <row r="154" spans="50:50" x14ac:dyDescent="0.35">
      <c r="AX154"/>
    </row>
    <row r="155" spans="50:50" x14ac:dyDescent="0.35">
      <c r="AX155"/>
    </row>
    <row r="156" spans="50:50" x14ac:dyDescent="0.35">
      <c r="AX156"/>
    </row>
    <row r="157" spans="50:50" x14ac:dyDescent="0.35">
      <c r="AX157"/>
    </row>
    <row r="158" spans="50:50" x14ac:dyDescent="0.35">
      <c r="AX158"/>
    </row>
    <row r="159" spans="50:50" x14ac:dyDescent="0.35">
      <c r="AX159"/>
    </row>
    <row r="160" spans="50:50" x14ac:dyDescent="0.35">
      <c r="AX160"/>
    </row>
    <row r="161" spans="50:50" x14ac:dyDescent="0.35">
      <c r="AX161"/>
    </row>
    <row r="162" spans="50:50" x14ac:dyDescent="0.35">
      <c r="AX162"/>
    </row>
    <row r="163" spans="50:50" x14ac:dyDescent="0.35">
      <c r="AX163"/>
    </row>
    <row r="164" spans="50:50" x14ac:dyDescent="0.35">
      <c r="AX164"/>
    </row>
    <row r="165" spans="50:50" x14ac:dyDescent="0.35">
      <c r="AX165"/>
    </row>
    <row r="166" spans="50:50" x14ac:dyDescent="0.35">
      <c r="AX166"/>
    </row>
    <row r="167" spans="50:50" x14ac:dyDescent="0.35">
      <c r="AX167"/>
    </row>
    <row r="168" spans="50:50" x14ac:dyDescent="0.35">
      <c r="AX168"/>
    </row>
    <row r="169" spans="50:50" x14ac:dyDescent="0.35">
      <c r="AX169"/>
    </row>
    <row r="170" spans="50:50" x14ac:dyDescent="0.35">
      <c r="AX170"/>
    </row>
    <row r="171" spans="50:50" x14ac:dyDescent="0.35">
      <c r="AX171"/>
    </row>
    <row r="172" spans="50:50" x14ac:dyDescent="0.35">
      <c r="AX172"/>
    </row>
    <row r="173" spans="50:50" x14ac:dyDescent="0.35">
      <c r="AX173"/>
    </row>
    <row r="174" spans="50:50" x14ac:dyDescent="0.35">
      <c r="AX174"/>
    </row>
    <row r="175" spans="50:50" x14ac:dyDescent="0.35">
      <c r="AX175"/>
    </row>
    <row r="176" spans="50:50" x14ac:dyDescent="0.35">
      <c r="AX176"/>
    </row>
    <row r="177" spans="50:50" x14ac:dyDescent="0.35">
      <c r="AX177"/>
    </row>
    <row r="178" spans="50:50" x14ac:dyDescent="0.35">
      <c r="AX178"/>
    </row>
    <row r="179" spans="50:50" x14ac:dyDescent="0.35">
      <c r="AX179"/>
    </row>
    <row r="180" spans="50:50" x14ac:dyDescent="0.35">
      <c r="AX180"/>
    </row>
    <row r="181" spans="50:50" x14ac:dyDescent="0.35">
      <c r="AX181"/>
    </row>
    <row r="182" spans="50:50" x14ac:dyDescent="0.35">
      <c r="AX182"/>
    </row>
    <row r="183" spans="50:50" x14ac:dyDescent="0.35">
      <c r="AX183"/>
    </row>
    <row r="184" spans="50:50" x14ac:dyDescent="0.35">
      <c r="AX184"/>
    </row>
    <row r="185" spans="50:50" x14ac:dyDescent="0.35">
      <c r="AX185"/>
    </row>
    <row r="186" spans="50:50" x14ac:dyDescent="0.35">
      <c r="AX186"/>
    </row>
    <row r="187" spans="50:50" x14ac:dyDescent="0.35">
      <c r="AX187"/>
    </row>
    <row r="188" spans="50:50" x14ac:dyDescent="0.35">
      <c r="AX188"/>
    </row>
    <row r="189" spans="50:50" x14ac:dyDescent="0.35">
      <c r="AX189"/>
    </row>
    <row r="190" spans="50:50" x14ac:dyDescent="0.35">
      <c r="AX190"/>
    </row>
    <row r="191" spans="50:50" x14ac:dyDescent="0.35">
      <c r="AX191"/>
    </row>
    <row r="192" spans="50:50" x14ac:dyDescent="0.35">
      <c r="AX192"/>
    </row>
    <row r="193" spans="50:50" x14ac:dyDescent="0.35">
      <c r="AX193"/>
    </row>
    <row r="194" spans="50:50" x14ac:dyDescent="0.35">
      <c r="AX194"/>
    </row>
    <row r="195" spans="50:50" x14ac:dyDescent="0.35">
      <c r="AX195"/>
    </row>
    <row r="196" spans="50:50" x14ac:dyDescent="0.35">
      <c r="AX196"/>
    </row>
    <row r="197" spans="50:50" x14ac:dyDescent="0.35">
      <c r="AX197"/>
    </row>
    <row r="198" spans="50:50" x14ac:dyDescent="0.35">
      <c r="AX198"/>
    </row>
    <row r="199" spans="50:50" x14ac:dyDescent="0.35">
      <c r="AX199"/>
    </row>
    <row r="200" spans="50:50" x14ac:dyDescent="0.35">
      <c r="AX200"/>
    </row>
    <row r="201" spans="50:50" x14ac:dyDescent="0.35">
      <c r="AX201"/>
    </row>
    <row r="202" spans="50:50" x14ac:dyDescent="0.35">
      <c r="AX202"/>
    </row>
    <row r="203" spans="50:50" x14ac:dyDescent="0.35">
      <c r="AX203"/>
    </row>
    <row r="204" spans="50:50" x14ac:dyDescent="0.35">
      <c r="AX204"/>
    </row>
    <row r="205" spans="50:50" x14ac:dyDescent="0.35">
      <c r="AX205"/>
    </row>
    <row r="206" spans="50:50" x14ac:dyDescent="0.35">
      <c r="AX206"/>
    </row>
    <row r="207" spans="50:50" x14ac:dyDescent="0.35">
      <c r="AX207"/>
    </row>
    <row r="208" spans="50:50" x14ac:dyDescent="0.35">
      <c r="AX208"/>
    </row>
    <row r="209" spans="50:50" x14ac:dyDescent="0.35">
      <c r="AX209"/>
    </row>
    <row r="210" spans="50:50" x14ac:dyDescent="0.35">
      <c r="AX210"/>
    </row>
    <row r="211" spans="50:50" x14ac:dyDescent="0.35">
      <c r="AX211"/>
    </row>
    <row r="212" spans="50:50" x14ac:dyDescent="0.35">
      <c r="AX212"/>
    </row>
    <row r="213" spans="50:50" x14ac:dyDescent="0.35">
      <c r="AX213"/>
    </row>
    <row r="214" spans="50:50" x14ac:dyDescent="0.35">
      <c r="AX214"/>
    </row>
    <row r="215" spans="50:50" x14ac:dyDescent="0.35">
      <c r="AX215"/>
    </row>
    <row r="216" spans="50:50" x14ac:dyDescent="0.35">
      <c r="AX216"/>
    </row>
    <row r="217" spans="50:50" x14ac:dyDescent="0.35">
      <c r="AX217"/>
    </row>
    <row r="218" spans="50:50" x14ac:dyDescent="0.35">
      <c r="AX218"/>
    </row>
    <row r="219" spans="50:50" x14ac:dyDescent="0.35">
      <c r="AX219"/>
    </row>
    <row r="220" spans="50:50" x14ac:dyDescent="0.35">
      <c r="AX220"/>
    </row>
    <row r="221" spans="50:50" x14ac:dyDescent="0.35">
      <c r="AX221"/>
    </row>
    <row r="222" spans="50:50" x14ac:dyDescent="0.35">
      <c r="AX222"/>
    </row>
    <row r="223" spans="50:50" x14ac:dyDescent="0.35">
      <c r="AX223"/>
    </row>
    <row r="224" spans="50:50" x14ac:dyDescent="0.35">
      <c r="AX224"/>
    </row>
    <row r="225" spans="50:50" x14ac:dyDescent="0.35">
      <c r="AX225"/>
    </row>
    <row r="226" spans="50:50" x14ac:dyDescent="0.35">
      <c r="AX226"/>
    </row>
    <row r="227" spans="50:50" x14ac:dyDescent="0.35">
      <c r="AX227"/>
    </row>
    <row r="228" spans="50:50" x14ac:dyDescent="0.35">
      <c r="AX228"/>
    </row>
    <row r="229" spans="50:50" x14ac:dyDescent="0.35">
      <c r="AX229"/>
    </row>
    <row r="230" spans="50:50" x14ac:dyDescent="0.35">
      <c r="AX230"/>
    </row>
    <row r="231" spans="50:50" x14ac:dyDescent="0.35">
      <c r="AX231"/>
    </row>
    <row r="232" spans="50:50" x14ac:dyDescent="0.35">
      <c r="AX232"/>
    </row>
    <row r="233" spans="50:50" x14ac:dyDescent="0.35">
      <c r="AX233"/>
    </row>
    <row r="234" spans="50:50" x14ac:dyDescent="0.35">
      <c r="AX234"/>
    </row>
    <row r="235" spans="50:50" x14ac:dyDescent="0.35">
      <c r="AX235"/>
    </row>
    <row r="236" spans="50:50" x14ac:dyDescent="0.35">
      <c r="AX236"/>
    </row>
    <row r="237" spans="50:50" x14ac:dyDescent="0.35">
      <c r="AX237"/>
    </row>
    <row r="238" spans="50:50" x14ac:dyDescent="0.35">
      <c r="AX238"/>
    </row>
    <row r="239" spans="50:50" x14ac:dyDescent="0.35">
      <c r="AX239"/>
    </row>
    <row r="240" spans="50:50" x14ac:dyDescent="0.35">
      <c r="AX240"/>
    </row>
    <row r="241" spans="50:50" x14ac:dyDescent="0.35">
      <c r="AX241"/>
    </row>
    <row r="242" spans="50:50" x14ac:dyDescent="0.35">
      <c r="AX242"/>
    </row>
    <row r="243" spans="50:50" x14ac:dyDescent="0.35">
      <c r="AX243"/>
    </row>
    <row r="244" spans="50:50" x14ac:dyDescent="0.35">
      <c r="AX244"/>
    </row>
    <row r="245" spans="50:50" x14ac:dyDescent="0.35">
      <c r="AX245"/>
    </row>
    <row r="246" spans="50:50" x14ac:dyDescent="0.35">
      <c r="AX246"/>
    </row>
    <row r="247" spans="50:50" x14ac:dyDescent="0.35">
      <c r="AX247"/>
    </row>
    <row r="248" spans="50:50" x14ac:dyDescent="0.35">
      <c r="AX248"/>
    </row>
    <row r="249" spans="50:50" x14ac:dyDescent="0.35">
      <c r="AX249"/>
    </row>
    <row r="250" spans="50:50" x14ac:dyDescent="0.35">
      <c r="AX250"/>
    </row>
    <row r="251" spans="50:50" x14ac:dyDescent="0.35">
      <c r="AX251"/>
    </row>
    <row r="252" spans="50:50" x14ac:dyDescent="0.35">
      <c r="AX252"/>
    </row>
    <row r="253" spans="50:50" x14ac:dyDescent="0.35">
      <c r="AX253"/>
    </row>
    <row r="254" spans="50:50" x14ac:dyDescent="0.35">
      <c r="AX254"/>
    </row>
    <row r="255" spans="50:50" x14ac:dyDescent="0.35">
      <c r="AX255"/>
    </row>
    <row r="256" spans="50:50" x14ac:dyDescent="0.35">
      <c r="AX256"/>
    </row>
    <row r="257" spans="50:50" x14ac:dyDescent="0.35">
      <c r="AX257"/>
    </row>
    <row r="258" spans="50:50" x14ac:dyDescent="0.35">
      <c r="AX258"/>
    </row>
    <row r="259" spans="50:50" x14ac:dyDescent="0.35">
      <c r="AX259"/>
    </row>
    <row r="260" spans="50:50" x14ac:dyDescent="0.35">
      <c r="AX260"/>
    </row>
    <row r="261" spans="50:50" x14ac:dyDescent="0.35">
      <c r="AX261"/>
    </row>
    <row r="262" spans="50:50" x14ac:dyDescent="0.35">
      <c r="AX262"/>
    </row>
    <row r="263" spans="50:50" x14ac:dyDescent="0.35">
      <c r="AX263"/>
    </row>
    <row r="264" spans="50:50" x14ac:dyDescent="0.35">
      <c r="AX264"/>
    </row>
    <row r="265" spans="50:50" x14ac:dyDescent="0.35">
      <c r="AX265"/>
    </row>
    <row r="266" spans="50:50" x14ac:dyDescent="0.35">
      <c r="AX266"/>
    </row>
    <row r="267" spans="50:50" x14ac:dyDescent="0.35">
      <c r="AX267"/>
    </row>
    <row r="268" spans="50:50" x14ac:dyDescent="0.35">
      <c r="AX268"/>
    </row>
    <row r="269" spans="50:50" x14ac:dyDescent="0.35">
      <c r="AX269"/>
    </row>
    <row r="270" spans="50:50" x14ac:dyDescent="0.35">
      <c r="AX270"/>
    </row>
    <row r="271" spans="50:50" x14ac:dyDescent="0.35">
      <c r="AX271"/>
    </row>
    <row r="272" spans="50:50" x14ac:dyDescent="0.35">
      <c r="AX272"/>
    </row>
    <row r="273" spans="50:50" x14ac:dyDescent="0.35">
      <c r="AX273"/>
    </row>
    <row r="274" spans="50:50" x14ac:dyDescent="0.35">
      <c r="AX274"/>
    </row>
    <row r="275" spans="50:50" x14ac:dyDescent="0.35">
      <c r="AX275"/>
    </row>
    <row r="276" spans="50:50" x14ac:dyDescent="0.35">
      <c r="AX276"/>
    </row>
    <row r="277" spans="50:50" x14ac:dyDescent="0.35">
      <c r="AX277"/>
    </row>
    <row r="278" spans="50:50" x14ac:dyDescent="0.35">
      <c r="AX278"/>
    </row>
    <row r="279" spans="50:50" x14ac:dyDescent="0.35">
      <c r="AX279"/>
    </row>
    <row r="280" spans="50:50" x14ac:dyDescent="0.35">
      <c r="AX280"/>
    </row>
    <row r="281" spans="50:50" x14ac:dyDescent="0.35">
      <c r="AX281"/>
    </row>
    <row r="282" spans="50:50" x14ac:dyDescent="0.35">
      <c r="AX282"/>
    </row>
    <row r="283" spans="50:50" x14ac:dyDescent="0.35">
      <c r="AX283"/>
    </row>
    <row r="284" spans="50:50" x14ac:dyDescent="0.35">
      <c r="AX284"/>
    </row>
    <row r="285" spans="50:50" x14ac:dyDescent="0.35">
      <c r="AX285"/>
    </row>
    <row r="286" spans="50:50" x14ac:dyDescent="0.35">
      <c r="AX286"/>
    </row>
    <row r="287" spans="50:50" x14ac:dyDescent="0.35">
      <c r="AX287"/>
    </row>
    <row r="288" spans="50:50" x14ac:dyDescent="0.35">
      <c r="AX288"/>
    </row>
    <row r="289" spans="50:50" x14ac:dyDescent="0.35">
      <c r="AX289"/>
    </row>
    <row r="290" spans="50:50" x14ac:dyDescent="0.35">
      <c r="AX290"/>
    </row>
    <row r="291" spans="50:50" x14ac:dyDescent="0.35">
      <c r="AX291"/>
    </row>
    <row r="292" spans="50:50" x14ac:dyDescent="0.35">
      <c r="AX292"/>
    </row>
    <row r="293" spans="50:50" x14ac:dyDescent="0.35">
      <c r="AX293"/>
    </row>
    <row r="294" spans="50:50" x14ac:dyDescent="0.35">
      <c r="AX294"/>
    </row>
    <row r="295" spans="50:50" x14ac:dyDescent="0.35">
      <c r="AX295"/>
    </row>
    <row r="296" spans="50:50" x14ac:dyDescent="0.35">
      <c r="AX296"/>
    </row>
    <row r="297" spans="50:50" x14ac:dyDescent="0.35">
      <c r="AX297"/>
    </row>
    <row r="298" spans="50:50" x14ac:dyDescent="0.35">
      <c r="AX298"/>
    </row>
    <row r="299" spans="50:50" x14ac:dyDescent="0.35">
      <c r="AX299"/>
    </row>
    <row r="300" spans="50:50" x14ac:dyDescent="0.35">
      <c r="AX300"/>
    </row>
    <row r="301" spans="50:50" x14ac:dyDescent="0.35">
      <c r="AX301"/>
    </row>
    <row r="302" spans="50:50" x14ac:dyDescent="0.35">
      <c r="AX302"/>
    </row>
    <row r="303" spans="50:50" x14ac:dyDescent="0.35">
      <c r="AX303"/>
    </row>
    <row r="304" spans="50:50" x14ac:dyDescent="0.35">
      <c r="AX304"/>
    </row>
    <row r="305" spans="50:50" x14ac:dyDescent="0.35">
      <c r="AX305"/>
    </row>
    <row r="306" spans="50:50" x14ac:dyDescent="0.35">
      <c r="AX306"/>
    </row>
    <row r="307" spans="50:50" x14ac:dyDescent="0.35">
      <c r="AX307"/>
    </row>
    <row r="308" spans="50:50" x14ac:dyDescent="0.35">
      <c r="AX308"/>
    </row>
    <row r="309" spans="50:50" x14ac:dyDescent="0.35">
      <c r="AX309"/>
    </row>
    <row r="310" spans="50:50" x14ac:dyDescent="0.35">
      <c r="AX310"/>
    </row>
    <row r="311" spans="50:50" x14ac:dyDescent="0.35">
      <c r="AX311"/>
    </row>
    <row r="312" spans="50:50" x14ac:dyDescent="0.35">
      <c r="AX312"/>
    </row>
    <row r="313" spans="50:50" x14ac:dyDescent="0.35">
      <c r="AX313"/>
    </row>
    <row r="314" spans="50:50" x14ac:dyDescent="0.35">
      <c r="AX314"/>
    </row>
    <row r="315" spans="50:50" x14ac:dyDescent="0.35">
      <c r="AX315"/>
    </row>
    <row r="316" spans="50:50" x14ac:dyDescent="0.35">
      <c r="AX316"/>
    </row>
    <row r="317" spans="50:50" x14ac:dyDescent="0.35">
      <c r="AX317"/>
    </row>
    <row r="318" spans="50:50" x14ac:dyDescent="0.35">
      <c r="AX318"/>
    </row>
    <row r="319" spans="50:50" x14ac:dyDescent="0.35">
      <c r="AX319"/>
    </row>
    <row r="320" spans="50:50" x14ac:dyDescent="0.35">
      <c r="AX320"/>
    </row>
    <row r="321" spans="50:50" x14ac:dyDescent="0.35">
      <c r="AX321"/>
    </row>
    <row r="322" spans="50:50" x14ac:dyDescent="0.35">
      <c r="AX322"/>
    </row>
    <row r="323" spans="50:50" x14ac:dyDescent="0.35">
      <c r="AX323"/>
    </row>
    <row r="324" spans="50:50" x14ac:dyDescent="0.35">
      <c r="AX324"/>
    </row>
    <row r="325" spans="50:50" x14ac:dyDescent="0.35">
      <c r="AX325"/>
    </row>
    <row r="326" spans="50:50" x14ac:dyDescent="0.35">
      <c r="AX326"/>
    </row>
    <row r="327" spans="50:50" x14ac:dyDescent="0.35">
      <c r="AX327"/>
    </row>
    <row r="328" spans="50:50" x14ac:dyDescent="0.35">
      <c r="AX328"/>
    </row>
    <row r="329" spans="50:50" x14ac:dyDescent="0.35">
      <c r="AX329"/>
    </row>
    <row r="330" spans="50:50" x14ac:dyDescent="0.35">
      <c r="AX330"/>
    </row>
    <row r="331" spans="50:50" x14ac:dyDescent="0.35">
      <c r="AX331"/>
    </row>
    <row r="332" spans="50:50" x14ac:dyDescent="0.35">
      <c r="AX332"/>
    </row>
    <row r="333" spans="50:50" x14ac:dyDescent="0.35">
      <c r="AX333"/>
    </row>
    <row r="334" spans="50:50" x14ac:dyDescent="0.35">
      <c r="AX334"/>
    </row>
    <row r="335" spans="50:50" x14ac:dyDescent="0.35">
      <c r="AX335"/>
    </row>
    <row r="336" spans="50:50" x14ac:dyDescent="0.35">
      <c r="AX336"/>
    </row>
    <row r="337" spans="50:50" x14ac:dyDescent="0.35">
      <c r="AX337"/>
    </row>
    <row r="338" spans="50:50" x14ac:dyDescent="0.35">
      <c r="AX338"/>
    </row>
    <row r="339" spans="50:50" x14ac:dyDescent="0.35">
      <c r="AX339"/>
    </row>
    <row r="340" spans="50:50" x14ac:dyDescent="0.35">
      <c r="AX340"/>
    </row>
    <row r="341" spans="50:50" x14ac:dyDescent="0.35">
      <c r="AX341"/>
    </row>
    <row r="342" spans="50:50" x14ac:dyDescent="0.35">
      <c r="AX342"/>
    </row>
    <row r="343" spans="50:50" x14ac:dyDescent="0.35">
      <c r="AX343"/>
    </row>
    <row r="344" spans="50:50" x14ac:dyDescent="0.35">
      <c r="AX344"/>
    </row>
    <row r="345" spans="50:50" x14ac:dyDescent="0.35">
      <c r="AX345"/>
    </row>
    <row r="346" spans="50:50" x14ac:dyDescent="0.35">
      <c r="AX346"/>
    </row>
    <row r="347" spans="50:50" x14ac:dyDescent="0.35">
      <c r="AX347"/>
    </row>
    <row r="348" spans="50:50" x14ac:dyDescent="0.35">
      <c r="AX348"/>
    </row>
    <row r="349" spans="50:50" x14ac:dyDescent="0.35">
      <c r="AX349"/>
    </row>
    <row r="350" spans="50:50" x14ac:dyDescent="0.35">
      <c r="AX350"/>
    </row>
    <row r="351" spans="50:50" x14ac:dyDescent="0.35">
      <c r="AX351"/>
    </row>
    <row r="352" spans="50:50" x14ac:dyDescent="0.35">
      <c r="AX352"/>
    </row>
    <row r="353" spans="50:50" x14ac:dyDescent="0.35">
      <c r="AX353"/>
    </row>
    <row r="354" spans="50:50" x14ac:dyDescent="0.35">
      <c r="AX354"/>
    </row>
    <row r="355" spans="50:50" x14ac:dyDescent="0.35">
      <c r="AX355"/>
    </row>
    <row r="356" spans="50:50" x14ac:dyDescent="0.35">
      <c r="AX356"/>
    </row>
    <row r="357" spans="50:50" x14ac:dyDescent="0.35">
      <c r="AX357"/>
    </row>
    <row r="358" spans="50:50" x14ac:dyDescent="0.35">
      <c r="AX358"/>
    </row>
    <row r="359" spans="50:50" x14ac:dyDescent="0.35">
      <c r="AX359"/>
    </row>
    <row r="360" spans="50:50" x14ac:dyDescent="0.35">
      <c r="AX360"/>
    </row>
    <row r="361" spans="50:50" x14ac:dyDescent="0.35">
      <c r="AX361"/>
    </row>
    <row r="362" spans="50:50" x14ac:dyDescent="0.35">
      <c r="AX362"/>
    </row>
    <row r="363" spans="50:50" x14ac:dyDescent="0.35">
      <c r="AX363"/>
    </row>
    <row r="364" spans="50:50" x14ac:dyDescent="0.35">
      <c r="AX364"/>
    </row>
    <row r="365" spans="50:50" x14ac:dyDescent="0.35">
      <c r="AX365"/>
    </row>
    <row r="366" spans="50:50" x14ac:dyDescent="0.35">
      <c r="AX366"/>
    </row>
    <row r="367" spans="50:50" x14ac:dyDescent="0.35">
      <c r="AX367"/>
    </row>
    <row r="368" spans="50:50" x14ac:dyDescent="0.35">
      <c r="AX368"/>
    </row>
    <row r="369" spans="50:50" x14ac:dyDescent="0.35">
      <c r="AX369"/>
    </row>
    <row r="370" spans="50:50" x14ac:dyDescent="0.35">
      <c r="AX370"/>
    </row>
    <row r="371" spans="50:50" x14ac:dyDescent="0.35">
      <c r="AX371"/>
    </row>
    <row r="372" spans="50:50" x14ac:dyDescent="0.35">
      <c r="AX372"/>
    </row>
    <row r="373" spans="50:50" x14ac:dyDescent="0.35">
      <c r="AX373"/>
    </row>
    <row r="374" spans="50:50" x14ac:dyDescent="0.35">
      <c r="AX374"/>
    </row>
    <row r="375" spans="50:50" x14ac:dyDescent="0.35">
      <c r="AX375"/>
    </row>
    <row r="376" spans="50:50" x14ac:dyDescent="0.35">
      <c r="AX376"/>
    </row>
    <row r="377" spans="50:50" x14ac:dyDescent="0.35">
      <c r="AX377"/>
    </row>
    <row r="378" spans="50:50" x14ac:dyDescent="0.35">
      <c r="AX378"/>
    </row>
    <row r="379" spans="50:50" x14ac:dyDescent="0.35">
      <c r="AX379"/>
    </row>
    <row r="380" spans="50:50" x14ac:dyDescent="0.35">
      <c r="AX380"/>
    </row>
    <row r="381" spans="50:50" x14ac:dyDescent="0.35">
      <c r="AX381"/>
    </row>
    <row r="382" spans="50:50" x14ac:dyDescent="0.35">
      <c r="AX382"/>
    </row>
    <row r="383" spans="50:50" x14ac:dyDescent="0.35">
      <c r="AX383"/>
    </row>
    <row r="384" spans="50:50" x14ac:dyDescent="0.35">
      <c r="AX384"/>
    </row>
    <row r="385" spans="50:50" x14ac:dyDescent="0.35">
      <c r="AX385"/>
    </row>
    <row r="386" spans="50:50" x14ac:dyDescent="0.35">
      <c r="AX386"/>
    </row>
    <row r="387" spans="50:50" x14ac:dyDescent="0.35">
      <c r="AX387"/>
    </row>
    <row r="388" spans="50:50" x14ac:dyDescent="0.35">
      <c r="AX388"/>
    </row>
    <row r="389" spans="50:50" x14ac:dyDescent="0.35">
      <c r="AX389"/>
    </row>
    <row r="390" spans="50:50" x14ac:dyDescent="0.35">
      <c r="AX390"/>
    </row>
    <row r="391" spans="50:50" x14ac:dyDescent="0.35">
      <c r="AX391"/>
    </row>
    <row r="392" spans="50:50" x14ac:dyDescent="0.35">
      <c r="AX392"/>
    </row>
    <row r="393" spans="50:50" x14ac:dyDescent="0.35">
      <c r="AX393"/>
    </row>
    <row r="394" spans="50:50" x14ac:dyDescent="0.35">
      <c r="AX394"/>
    </row>
    <row r="395" spans="50:50" x14ac:dyDescent="0.35">
      <c r="AX395"/>
    </row>
    <row r="396" spans="50:50" x14ac:dyDescent="0.35">
      <c r="AX396"/>
    </row>
    <row r="397" spans="50:50" x14ac:dyDescent="0.35">
      <c r="AX397"/>
    </row>
    <row r="398" spans="50:50" x14ac:dyDescent="0.35">
      <c r="AX398"/>
    </row>
    <row r="399" spans="50:50" x14ac:dyDescent="0.35">
      <c r="AX399"/>
    </row>
    <row r="400" spans="50:50" x14ac:dyDescent="0.35">
      <c r="AX400"/>
    </row>
    <row r="401" spans="50:50" x14ac:dyDescent="0.35">
      <c r="AX401"/>
    </row>
    <row r="402" spans="50:50" x14ac:dyDescent="0.35">
      <c r="AX402"/>
    </row>
    <row r="403" spans="50:50" x14ac:dyDescent="0.35">
      <c r="AX403"/>
    </row>
    <row r="404" spans="50:50" x14ac:dyDescent="0.35">
      <c r="AX404"/>
    </row>
    <row r="405" spans="50:50" x14ac:dyDescent="0.35">
      <c r="AX405"/>
    </row>
    <row r="406" spans="50:50" x14ac:dyDescent="0.35">
      <c r="AX406"/>
    </row>
    <row r="407" spans="50:50" x14ac:dyDescent="0.35">
      <c r="AX407"/>
    </row>
    <row r="408" spans="50:50" x14ac:dyDescent="0.35">
      <c r="AX408"/>
    </row>
    <row r="409" spans="50:50" x14ac:dyDescent="0.35">
      <c r="AX409"/>
    </row>
    <row r="410" spans="50:50" x14ac:dyDescent="0.35">
      <c r="AX410"/>
    </row>
    <row r="411" spans="50:50" x14ac:dyDescent="0.35">
      <c r="AX411"/>
    </row>
    <row r="412" spans="50:50" x14ac:dyDescent="0.35">
      <c r="AX412"/>
    </row>
    <row r="413" spans="50:50" x14ac:dyDescent="0.35">
      <c r="AX413"/>
    </row>
    <row r="414" spans="50:50" x14ac:dyDescent="0.35">
      <c r="AX414"/>
    </row>
    <row r="415" spans="50:50" x14ac:dyDescent="0.35">
      <c r="AX415"/>
    </row>
    <row r="416" spans="50:50" x14ac:dyDescent="0.35">
      <c r="AX416"/>
    </row>
    <row r="417" spans="50:50" x14ac:dyDescent="0.35">
      <c r="AX417"/>
    </row>
    <row r="418" spans="50:50" x14ac:dyDescent="0.35">
      <c r="AX418"/>
    </row>
    <row r="419" spans="50:50" x14ac:dyDescent="0.35">
      <c r="AX419"/>
    </row>
    <row r="420" spans="50:50" x14ac:dyDescent="0.35">
      <c r="AX420"/>
    </row>
    <row r="421" spans="50:50" x14ac:dyDescent="0.35">
      <c r="AX421"/>
    </row>
    <row r="422" spans="50:50" x14ac:dyDescent="0.35">
      <c r="AX422"/>
    </row>
    <row r="423" spans="50:50" x14ac:dyDescent="0.35">
      <c r="AX423"/>
    </row>
    <row r="424" spans="50:50" x14ac:dyDescent="0.35">
      <c r="AX424"/>
    </row>
    <row r="425" spans="50:50" x14ac:dyDescent="0.35">
      <c r="AX425"/>
    </row>
    <row r="426" spans="50:50" x14ac:dyDescent="0.35">
      <c r="AX426"/>
    </row>
    <row r="427" spans="50:50" x14ac:dyDescent="0.35">
      <c r="AX427"/>
    </row>
    <row r="428" spans="50:50" x14ac:dyDescent="0.35">
      <c r="AX428"/>
    </row>
    <row r="429" spans="50:50" x14ac:dyDescent="0.35">
      <c r="AX429"/>
    </row>
    <row r="430" spans="50:50" x14ac:dyDescent="0.35">
      <c r="AX430"/>
    </row>
    <row r="431" spans="50:50" x14ac:dyDescent="0.35">
      <c r="AX431"/>
    </row>
    <row r="432" spans="50:50" x14ac:dyDescent="0.35">
      <c r="AX432"/>
    </row>
    <row r="433" spans="50:50" x14ac:dyDescent="0.35">
      <c r="AX433"/>
    </row>
    <row r="434" spans="50:50" x14ac:dyDescent="0.35">
      <c r="AX434"/>
    </row>
    <row r="435" spans="50:50" x14ac:dyDescent="0.35">
      <c r="AX435"/>
    </row>
    <row r="436" spans="50:50" x14ac:dyDescent="0.35">
      <c r="AX436"/>
    </row>
    <row r="437" spans="50:50" x14ac:dyDescent="0.35">
      <c r="AX437"/>
    </row>
    <row r="438" spans="50:50" x14ac:dyDescent="0.35">
      <c r="AX438"/>
    </row>
    <row r="439" spans="50:50" x14ac:dyDescent="0.35">
      <c r="AX439"/>
    </row>
    <row r="440" spans="50:50" x14ac:dyDescent="0.35">
      <c r="AX440"/>
    </row>
    <row r="441" spans="50:50" x14ac:dyDescent="0.35">
      <c r="AX441"/>
    </row>
    <row r="442" spans="50:50" x14ac:dyDescent="0.35">
      <c r="AX442"/>
    </row>
    <row r="443" spans="50:50" x14ac:dyDescent="0.35">
      <c r="AX443"/>
    </row>
    <row r="444" spans="50:50" x14ac:dyDescent="0.35">
      <c r="AX444"/>
    </row>
    <row r="445" spans="50:50" x14ac:dyDescent="0.35">
      <c r="AX445"/>
    </row>
    <row r="446" spans="50:50" x14ac:dyDescent="0.35">
      <c r="AX446"/>
    </row>
    <row r="447" spans="50:50" x14ac:dyDescent="0.35">
      <c r="AX447"/>
    </row>
    <row r="448" spans="50:50" x14ac:dyDescent="0.35">
      <c r="AX448"/>
    </row>
    <row r="449" spans="50:50" x14ac:dyDescent="0.35">
      <c r="AX449"/>
    </row>
    <row r="450" spans="50:50" x14ac:dyDescent="0.35">
      <c r="AX450"/>
    </row>
    <row r="451" spans="50:50" x14ac:dyDescent="0.35">
      <c r="AX451"/>
    </row>
    <row r="452" spans="50:50" x14ac:dyDescent="0.35">
      <c r="AX452"/>
    </row>
    <row r="453" spans="50:50" x14ac:dyDescent="0.35">
      <c r="AX453"/>
    </row>
    <row r="454" spans="50:50" x14ac:dyDescent="0.35">
      <c r="AX454"/>
    </row>
    <row r="455" spans="50:50" x14ac:dyDescent="0.35">
      <c r="AX455"/>
    </row>
    <row r="456" spans="50:50" x14ac:dyDescent="0.35">
      <c r="AX456"/>
    </row>
    <row r="457" spans="50:50" x14ac:dyDescent="0.35">
      <c r="AX457"/>
    </row>
    <row r="458" spans="50:50" x14ac:dyDescent="0.35">
      <c r="AX458"/>
    </row>
    <row r="459" spans="50:50" x14ac:dyDescent="0.35">
      <c r="AX459"/>
    </row>
    <row r="460" spans="50:50" x14ac:dyDescent="0.35">
      <c r="AX460"/>
    </row>
    <row r="461" spans="50:50" x14ac:dyDescent="0.35">
      <c r="AX461"/>
    </row>
    <row r="462" spans="50:50" x14ac:dyDescent="0.35">
      <c r="AX462"/>
    </row>
    <row r="463" spans="50:50" x14ac:dyDescent="0.35">
      <c r="AX463"/>
    </row>
    <row r="464" spans="50:50" x14ac:dyDescent="0.35">
      <c r="AX464"/>
    </row>
    <row r="465" spans="50:50" x14ac:dyDescent="0.35">
      <c r="AX465"/>
    </row>
    <row r="466" spans="50:50" x14ac:dyDescent="0.35">
      <c r="AX466"/>
    </row>
    <row r="467" spans="50:50" x14ac:dyDescent="0.35">
      <c r="AX467"/>
    </row>
    <row r="468" spans="50:50" x14ac:dyDescent="0.35">
      <c r="AX468"/>
    </row>
    <row r="469" spans="50:50" x14ac:dyDescent="0.35">
      <c r="AX469"/>
    </row>
    <row r="470" spans="50:50" x14ac:dyDescent="0.35">
      <c r="AX470"/>
    </row>
    <row r="471" spans="50:50" x14ac:dyDescent="0.35">
      <c r="AX471"/>
    </row>
    <row r="472" spans="50:50" x14ac:dyDescent="0.35">
      <c r="AX472"/>
    </row>
    <row r="473" spans="50:50" x14ac:dyDescent="0.35">
      <c r="AX473"/>
    </row>
    <row r="474" spans="50:50" x14ac:dyDescent="0.35">
      <c r="AX474"/>
    </row>
    <row r="475" spans="50:50" x14ac:dyDescent="0.35">
      <c r="AX475"/>
    </row>
    <row r="476" spans="50:50" x14ac:dyDescent="0.35">
      <c r="AX476"/>
    </row>
    <row r="477" spans="50:50" x14ac:dyDescent="0.35">
      <c r="AX477"/>
    </row>
    <row r="478" spans="50:50" x14ac:dyDescent="0.35">
      <c r="AX478"/>
    </row>
    <row r="479" spans="50:50" x14ac:dyDescent="0.35">
      <c r="AX479"/>
    </row>
    <row r="480" spans="50:50" x14ac:dyDescent="0.35">
      <c r="AX480"/>
    </row>
    <row r="481" spans="50:50" x14ac:dyDescent="0.35">
      <c r="AX481"/>
    </row>
    <row r="482" spans="50:50" x14ac:dyDescent="0.35">
      <c r="AX482"/>
    </row>
    <row r="483" spans="50:50" x14ac:dyDescent="0.35">
      <c r="AX483"/>
    </row>
    <row r="484" spans="50:50" x14ac:dyDescent="0.35">
      <c r="AX484"/>
    </row>
    <row r="485" spans="50:50" x14ac:dyDescent="0.35">
      <c r="AX485"/>
    </row>
    <row r="486" spans="50:50" x14ac:dyDescent="0.35">
      <c r="AX486"/>
    </row>
    <row r="487" spans="50:50" x14ac:dyDescent="0.35">
      <c r="AX487"/>
    </row>
    <row r="488" spans="50:50" x14ac:dyDescent="0.35">
      <c r="AX488"/>
    </row>
    <row r="489" spans="50:50" x14ac:dyDescent="0.35">
      <c r="AX489"/>
    </row>
    <row r="490" spans="50:50" x14ac:dyDescent="0.35">
      <c r="AX490"/>
    </row>
    <row r="491" spans="50:50" x14ac:dyDescent="0.35">
      <c r="AX491"/>
    </row>
    <row r="492" spans="50:50" x14ac:dyDescent="0.35">
      <c r="AX492"/>
    </row>
    <row r="493" spans="50:50" x14ac:dyDescent="0.35">
      <c r="AX493"/>
    </row>
    <row r="494" spans="50:50" x14ac:dyDescent="0.35">
      <c r="AX494"/>
    </row>
    <row r="495" spans="50:50" x14ac:dyDescent="0.35">
      <c r="AX495"/>
    </row>
    <row r="496" spans="50:50" x14ac:dyDescent="0.35">
      <c r="AX496"/>
    </row>
    <row r="497" spans="50:50" x14ac:dyDescent="0.35">
      <c r="AX497"/>
    </row>
    <row r="498" spans="50:50" x14ac:dyDescent="0.35">
      <c r="AX498"/>
    </row>
    <row r="499" spans="50:50" x14ac:dyDescent="0.35">
      <c r="AX499"/>
    </row>
    <row r="500" spans="50:50" x14ac:dyDescent="0.35">
      <c r="AX500"/>
    </row>
    <row r="501" spans="50:50" x14ac:dyDescent="0.35">
      <c r="AX501"/>
    </row>
    <row r="502" spans="50:50" x14ac:dyDescent="0.35">
      <c r="AX502"/>
    </row>
    <row r="503" spans="50:50" x14ac:dyDescent="0.35">
      <c r="AX503"/>
    </row>
    <row r="504" spans="50:50" x14ac:dyDescent="0.35">
      <c r="AX504"/>
    </row>
    <row r="505" spans="50:50" x14ac:dyDescent="0.35">
      <c r="AX505"/>
    </row>
    <row r="506" spans="50:50" x14ac:dyDescent="0.35">
      <c r="AX506"/>
    </row>
    <row r="507" spans="50:50" x14ac:dyDescent="0.35">
      <c r="AX507"/>
    </row>
    <row r="508" spans="50:50" x14ac:dyDescent="0.35">
      <c r="AX508"/>
    </row>
    <row r="509" spans="50:50" x14ac:dyDescent="0.35">
      <c r="AX509"/>
    </row>
    <row r="510" spans="50:50" x14ac:dyDescent="0.35">
      <c r="AX510"/>
    </row>
    <row r="511" spans="50:50" x14ac:dyDescent="0.35">
      <c r="AX511"/>
    </row>
    <row r="512" spans="50:50" x14ac:dyDescent="0.35">
      <c r="AX512"/>
    </row>
    <row r="513" spans="50:50" x14ac:dyDescent="0.35">
      <c r="AX513"/>
    </row>
    <row r="514" spans="50:50" x14ac:dyDescent="0.35">
      <c r="AX514"/>
    </row>
    <row r="515" spans="50:50" x14ac:dyDescent="0.35">
      <c r="AX515"/>
    </row>
    <row r="516" spans="50:50" x14ac:dyDescent="0.35">
      <c r="AX516"/>
    </row>
    <row r="517" spans="50:50" x14ac:dyDescent="0.35">
      <c r="AX517"/>
    </row>
    <row r="518" spans="50:50" x14ac:dyDescent="0.35">
      <c r="AX518"/>
    </row>
    <row r="519" spans="50:50" x14ac:dyDescent="0.35">
      <c r="AX519"/>
    </row>
    <row r="520" spans="50:50" x14ac:dyDescent="0.35">
      <c r="AX520"/>
    </row>
    <row r="521" spans="50:50" x14ac:dyDescent="0.35">
      <c r="AX521"/>
    </row>
    <row r="522" spans="50:50" x14ac:dyDescent="0.35">
      <c r="AX522"/>
    </row>
    <row r="523" spans="50:50" x14ac:dyDescent="0.35">
      <c r="AX523"/>
    </row>
    <row r="524" spans="50:50" x14ac:dyDescent="0.35">
      <c r="AX524"/>
    </row>
    <row r="525" spans="50:50" x14ac:dyDescent="0.35">
      <c r="AX525"/>
    </row>
    <row r="526" spans="50:50" x14ac:dyDescent="0.35">
      <c r="AX526"/>
    </row>
    <row r="527" spans="50:50" x14ac:dyDescent="0.35">
      <c r="AX527"/>
    </row>
    <row r="528" spans="50:50" x14ac:dyDescent="0.35">
      <c r="AX528"/>
    </row>
    <row r="529" spans="50:50" x14ac:dyDescent="0.35">
      <c r="AX529"/>
    </row>
    <row r="530" spans="50:50" x14ac:dyDescent="0.35">
      <c r="AX530"/>
    </row>
    <row r="531" spans="50:50" x14ac:dyDescent="0.35">
      <c r="AX531"/>
    </row>
    <row r="532" spans="50:50" x14ac:dyDescent="0.35">
      <c r="AX532"/>
    </row>
    <row r="533" spans="50:50" x14ac:dyDescent="0.35">
      <c r="AX533"/>
    </row>
    <row r="534" spans="50:50" x14ac:dyDescent="0.35">
      <c r="AX534"/>
    </row>
    <row r="535" spans="50:50" x14ac:dyDescent="0.35">
      <c r="AX535"/>
    </row>
    <row r="536" spans="50:50" x14ac:dyDescent="0.35">
      <c r="AX536"/>
    </row>
    <row r="537" spans="50:50" x14ac:dyDescent="0.35">
      <c r="AX537"/>
    </row>
    <row r="538" spans="50:50" x14ac:dyDescent="0.35">
      <c r="AX538"/>
    </row>
    <row r="539" spans="50:50" x14ac:dyDescent="0.35">
      <c r="AX539"/>
    </row>
    <row r="540" spans="50:50" x14ac:dyDescent="0.35">
      <c r="AX540"/>
    </row>
    <row r="541" spans="50:50" x14ac:dyDescent="0.35">
      <c r="AX541"/>
    </row>
    <row r="542" spans="50:50" x14ac:dyDescent="0.35">
      <c r="AX542"/>
    </row>
    <row r="543" spans="50:50" x14ac:dyDescent="0.35">
      <c r="AX543"/>
    </row>
    <row r="544" spans="50:50" x14ac:dyDescent="0.35">
      <c r="AX544"/>
    </row>
    <row r="545" spans="50:50" x14ac:dyDescent="0.35">
      <c r="AX545"/>
    </row>
    <row r="546" spans="50:50" x14ac:dyDescent="0.35">
      <c r="AX546"/>
    </row>
    <row r="547" spans="50:50" x14ac:dyDescent="0.35">
      <c r="AX547"/>
    </row>
    <row r="548" spans="50:50" x14ac:dyDescent="0.35">
      <c r="AX548"/>
    </row>
    <row r="549" spans="50:50" x14ac:dyDescent="0.35">
      <c r="AX549"/>
    </row>
    <row r="550" spans="50:50" x14ac:dyDescent="0.35">
      <c r="AX550"/>
    </row>
    <row r="551" spans="50:50" x14ac:dyDescent="0.35">
      <c r="AX551"/>
    </row>
    <row r="552" spans="50:50" x14ac:dyDescent="0.35">
      <c r="AX552"/>
    </row>
    <row r="553" spans="50:50" x14ac:dyDescent="0.35">
      <c r="AX553"/>
    </row>
    <row r="554" spans="50:50" x14ac:dyDescent="0.35">
      <c r="AX554"/>
    </row>
    <row r="555" spans="50:50" x14ac:dyDescent="0.35">
      <c r="AX555"/>
    </row>
    <row r="556" spans="50:50" x14ac:dyDescent="0.35">
      <c r="AX556"/>
    </row>
    <row r="557" spans="50:50" x14ac:dyDescent="0.35">
      <c r="AX557"/>
    </row>
    <row r="558" spans="50:50" x14ac:dyDescent="0.35">
      <c r="AX558"/>
    </row>
    <row r="559" spans="50:50" x14ac:dyDescent="0.35">
      <c r="AX559"/>
    </row>
    <row r="560" spans="50:50" x14ac:dyDescent="0.35">
      <c r="AX560"/>
    </row>
    <row r="561" spans="50:50" x14ac:dyDescent="0.35">
      <c r="AX561"/>
    </row>
    <row r="562" spans="50:50" x14ac:dyDescent="0.35">
      <c r="AX562"/>
    </row>
    <row r="563" spans="50:50" x14ac:dyDescent="0.35">
      <c r="AX563"/>
    </row>
    <row r="564" spans="50:50" x14ac:dyDescent="0.35">
      <c r="AX564"/>
    </row>
    <row r="565" spans="50:50" x14ac:dyDescent="0.35">
      <c r="AX565"/>
    </row>
    <row r="566" spans="50:50" x14ac:dyDescent="0.35">
      <c r="AX566"/>
    </row>
    <row r="567" spans="50:50" x14ac:dyDescent="0.35">
      <c r="AX567"/>
    </row>
    <row r="568" spans="50:50" x14ac:dyDescent="0.35">
      <c r="AX568"/>
    </row>
    <row r="569" spans="50:50" x14ac:dyDescent="0.35">
      <c r="AX569"/>
    </row>
    <row r="570" spans="50:50" x14ac:dyDescent="0.35">
      <c r="AX570"/>
    </row>
    <row r="571" spans="50:50" x14ac:dyDescent="0.35">
      <c r="AX571"/>
    </row>
    <row r="572" spans="50:50" x14ac:dyDescent="0.35">
      <c r="AX572"/>
    </row>
    <row r="573" spans="50:50" x14ac:dyDescent="0.35">
      <c r="AX573"/>
    </row>
    <row r="574" spans="50:50" x14ac:dyDescent="0.35">
      <c r="AX574"/>
    </row>
    <row r="575" spans="50:50" x14ac:dyDescent="0.35">
      <c r="AX575"/>
    </row>
    <row r="576" spans="50:50" x14ac:dyDescent="0.35">
      <c r="AX576"/>
    </row>
    <row r="577" spans="50:50" x14ac:dyDescent="0.35">
      <c r="AX577"/>
    </row>
    <row r="578" spans="50:50" x14ac:dyDescent="0.35">
      <c r="AX578"/>
    </row>
    <row r="579" spans="50:50" x14ac:dyDescent="0.35">
      <c r="AX579"/>
    </row>
    <row r="580" spans="50:50" x14ac:dyDescent="0.35">
      <c r="AX580"/>
    </row>
    <row r="581" spans="50:50" x14ac:dyDescent="0.35">
      <c r="AX581"/>
    </row>
    <row r="582" spans="50:50" x14ac:dyDescent="0.35">
      <c r="AX582"/>
    </row>
    <row r="583" spans="50:50" x14ac:dyDescent="0.35">
      <c r="AX583"/>
    </row>
    <row r="584" spans="50:50" x14ac:dyDescent="0.35">
      <c r="AX584"/>
    </row>
    <row r="585" spans="50:50" x14ac:dyDescent="0.35">
      <c r="AX585"/>
    </row>
    <row r="586" spans="50:50" x14ac:dyDescent="0.35">
      <c r="AX586"/>
    </row>
    <row r="587" spans="50:50" x14ac:dyDescent="0.35">
      <c r="AX587"/>
    </row>
    <row r="588" spans="50:50" x14ac:dyDescent="0.35">
      <c r="AX588"/>
    </row>
    <row r="589" spans="50:50" x14ac:dyDescent="0.35">
      <c r="AX589"/>
    </row>
    <row r="590" spans="50:50" x14ac:dyDescent="0.35">
      <c r="AX590"/>
    </row>
    <row r="591" spans="50:50" x14ac:dyDescent="0.35">
      <c r="AX591"/>
    </row>
    <row r="592" spans="50:50" x14ac:dyDescent="0.35">
      <c r="AX592"/>
    </row>
    <row r="593" spans="50:50" x14ac:dyDescent="0.35">
      <c r="AX593"/>
    </row>
    <row r="594" spans="50:50" x14ac:dyDescent="0.35">
      <c r="AX594"/>
    </row>
    <row r="595" spans="50:50" x14ac:dyDescent="0.35">
      <c r="AX595"/>
    </row>
    <row r="596" spans="50:50" x14ac:dyDescent="0.35">
      <c r="AX596"/>
    </row>
    <row r="597" spans="50:50" x14ac:dyDescent="0.35">
      <c r="AX597"/>
    </row>
    <row r="598" spans="50:50" x14ac:dyDescent="0.35">
      <c r="AX598"/>
    </row>
    <row r="599" spans="50:50" x14ac:dyDescent="0.35">
      <c r="AX599"/>
    </row>
    <row r="600" spans="50:50" x14ac:dyDescent="0.35">
      <c r="AX600"/>
    </row>
    <row r="601" spans="50:50" x14ac:dyDescent="0.35">
      <c r="AX601"/>
    </row>
    <row r="602" spans="50:50" x14ac:dyDescent="0.35">
      <c r="AX602"/>
    </row>
    <row r="603" spans="50:50" x14ac:dyDescent="0.35">
      <c r="AX603"/>
    </row>
    <row r="604" spans="50:50" x14ac:dyDescent="0.35">
      <c r="AX604"/>
    </row>
    <row r="605" spans="50:50" x14ac:dyDescent="0.35">
      <c r="AX605"/>
    </row>
    <row r="606" spans="50:50" x14ac:dyDescent="0.35">
      <c r="AX606"/>
    </row>
    <row r="607" spans="50:50" x14ac:dyDescent="0.35">
      <c r="AX607"/>
    </row>
    <row r="608" spans="50:50" x14ac:dyDescent="0.35">
      <c r="AX608"/>
    </row>
    <row r="609" spans="50:50" x14ac:dyDescent="0.35">
      <c r="AX609"/>
    </row>
    <row r="610" spans="50:50" x14ac:dyDescent="0.35">
      <c r="AX610"/>
    </row>
    <row r="611" spans="50:50" x14ac:dyDescent="0.35">
      <c r="AX611"/>
    </row>
    <row r="612" spans="50:50" x14ac:dyDescent="0.35">
      <c r="AX612"/>
    </row>
    <row r="613" spans="50:50" x14ac:dyDescent="0.35">
      <c r="AX613"/>
    </row>
    <row r="614" spans="50:50" x14ac:dyDescent="0.35">
      <c r="AX614"/>
    </row>
    <row r="615" spans="50:50" x14ac:dyDescent="0.35">
      <c r="AX615"/>
    </row>
    <row r="616" spans="50:50" x14ac:dyDescent="0.35">
      <c r="AX616"/>
    </row>
    <row r="617" spans="50:50" x14ac:dyDescent="0.35">
      <c r="AX617"/>
    </row>
    <row r="618" spans="50:50" x14ac:dyDescent="0.35">
      <c r="AX618"/>
    </row>
    <row r="619" spans="50:50" x14ac:dyDescent="0.35">
      <c r="AX619"/>
    </row>
    <row r="620" spans="50:50" x14ac:dyDescent="0.35">
      <c r="AX620"/>
    </row>
    <row r="621" spans="50:50" x14ac:dyDescent="0.35">
      <c r="AX621"/>
    </row>
    <row r="622" spans="50:50" x14ac:dyDescent="0.35">
      <c r="AX622"/>
    </row>
    <row r="623" spans="50:50" x14ac:dyDescent="0.35">
      <c r="AX623"/>
    </row>
    <row r="624" spans="50:50" x14ac:dyDescent="0.35">
      <c r="AX624"/>
    </row>
    <row r="625" spans="50:50" x14ac:dyDescent="0.35">
      <c r="AX625"/>
    </row>
    <row r="626" spans="50:50" x14ac:dyDescent="0.35">
      <c r="AX626"/>
    </row>
    <row r="627" spans="50:50" x14ac:dyDescent="0.35">
      <c r="AX627"/>
    </row>
    <row r="628" spans="50:50" x14ac:dyDescent="0.35">
      <c r="AX628"/>
    </row>
    <row r="629" spans="50:50" x14ac:dyDescent="0.35">
      <c r="AX629"/>
    </row>
    <row r="630" spans="50:50" x14ac:dyDescent="0.35">
      <c r="AX630"/>
    </row>
    <row r="631" spans="50:50" x14ac:dyDescent="0.35">
      <c r="AX631"/>
    </row>
    <row r="632" spans="50:50" x14ac:dyDescent="0.35">
      <c r="AX632"/>
    </row>
    <row r="633" spans="50:50" x14ac:dyDescent="0.35">
      <c r="AX633"/>
    </row>
    <row r="634" spans="50:50" x14ac:dyDescent="0.35">
      <c r="AX634"/>
    </row>
    <row r="635" spans="50:50" x14ac:dyDescent="0.35">
      <c r="AX635"/>
    </row>
    <row r="636" spans="50:50" x14ac:dyDescent="0.35">
      <c r="AX636"/>
    </row>
    <row r="637" spans="50:50" x14ac:dyDescent="0.35">
      <c r="AX637"/>
    </row>
    <row r="638" spans="50:50" x14ac:dyDescent="0.35">
      <c r="AX638"/>
    </row>
    <row r="639" spans="50:50" x14ac:dyDescent="0.35">
      <c r="AX639"/>
    </row>
    <row r="640" spans="50:50" x14ac:dyDescent="0.35">
      <c r="AX640"/>
    </row>
    <row r="641" spans="50:50" x14ac:dyDescent="0.35">
      <c r="AX641"/>
    </row>
    <row r="642" spans="50:50" x14ac:dyDescent="0.35">
      <c r="AX642"/>
    </row>
    <row r="643" spans="50:50" x14ac:dyDescent="0.35">
      <c r="AX643"/>
    </row>
  </sheetData>
  <mergeCells count="1">
    <mergeCell ref="G56:G6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CBB86-4DAE-41A3-9C2F-0065C4A18DA9}">
  <dimension ref="A1:BW32"/>
  <sheetViews>
    <sheetView workbookViewId="0">
      <selection activeCell="C42" sqref="C42"/>
    </sheetView>
  </sheetViews>
  <sheetFormatPr defaultColWidth="8.6328125" defaultRowHeight="14.5" x14ac:dyDescent="0.35"/>
  <cols>
    <col min="1" max="1" width="5.1796875" style="12" bestFit="1" customWidth="1"/>
    <col min="2" max="2" width="8.6328125" style="12"/>
    <col min="3" max="3" width="34.453125" style="12" customWidth="1"/>
    <col min="4" max="4" width="19.81640625" style="12" customWidth="1"/>
    <col min="5" max="5" width="9.36328125" style="12" customWidth="1"/>
    <col min="6" max="7" width="8.6328125" style="12"/>
    <col min="8" max="8" width="10.6328125" style="12" customWidth="1"/>
    <col min="9" max="9" width="33.1796875" style="12" customWidth="1"/>
    <col min="10" max="10" width="10.1796875" style="12" customWidth="1"/>
    <col min="11" max="16384" width="8.6328125" style="12"/>
  </cols>
  <sheetData>
    <row r="1" spans="1:75" s="5" customFormat="1" ht="64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4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4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4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4" t="s">
        <v>74</v>
      </c>
    </row>
    <row r="2" spans="1:75" ht="16" x14ac:dyDescent="0.35">
      <c r="A2" s="6">
        <v>1</v>
      </c>
      <c r="B2" s="7">
        <v>132007</v>
      </c>
      <c r="C2" s="8" t="s">
        <v>75</v>
      </c>
      <c r="D2" s="6" t="s">
        <v>76</v>
      </c>
      <c r="E2" s="6" t="s">
        <v>77</v>
      </c>
      <c r="F2" s="6" t="s">
        <v>78</v>
      </c>
      <c r="G2" s="6" t="s">
        <v>79</v>
      </c>
      <c r="H2" s="6" t="s">
        <v>80</v>
      </c>
      <c r="I2" s="8" t="s">
        <v>81</v>
      </c>
      <c r="J2" s="9" t="s">
        <v>82</v>
      </c>
      <c r="K2" s="10">
        <v>45767.22</v>
      </c>
      <c r="L2" s="10">
        <v>51866.32</v>
      </c>
      <c r="M2" s="10">
        <v>57390.07</v>
      </c>
      <c r="N2" s="10">
        <v>54122.33</v>
      </c>
      <c r="O2" s="10">
        <v>54571.51</v>
      </c>
      <c r="P2" s="10">
        <v>46812.029999999897</v>
      </c>
      <c r="Q2" s="10">
        <v>38828.160000000003</v>
      </c>
      <c r="R2" s="10">
        <v>38774.800000000003</v>
      </c>
      <c r="S2" s="10">
        <v>35827.629999999903</v>
      </c>
      <c r="T2" s="10">
        <v>35774.910000000003</v>
      </c>
      <c r="U2" s="10">
        <v>43847.529999999897</v>
      </c>
      <c r="V2" s="10">
        <v>34809.440000000002</v>
      </c>
      <c r="W2" s="11">
        <f t="shared" ref="W2:W15" si="0">SUM(K2:V2)</f>
        <v>538391.94999999972</v>
      </c>
      <c r="X2" s="10">
        <v>40445</v>
      </c>
      <c r="Y2" s="10">
        <v>47941</v>
      </c>
      <c r="Z2" s="10">
        <v>53842</v>
      </c>
      <c r="AA2" s="10">
        <v>56166</v>
      </c>
      <c r="AB2" s="10">
        <v>51051</v>
      </c>
      <c r="AC2" s="10">
        <v>40908</v>
      </c>
      <c r="AD2" s="10">
        <v>37525</v>
      </c>
      <c r="AE2" s="10">
        <v>35630</v>
      </c>
      <c r="AF2" s="10">
        <v>5261</v>
      </c>
      <c r="AG2" s="10">
        <v>0</v>
      </c>
      <c r="AH2" s="10">
        <v>0</v>
      </c>
      <c r="AI2" s="10">
        <v>0</v>
      </c>
      <c r="AJ2" s="11">
        <f t="shared" ref="AJ2:AJ13" si="1">SUM(X2:AI2)</f>
        <v>368769</v>
      </c>
      <c r="AK2" s="10">
        <v>0</v>
      </c>
      <c r="AL2" s="10">
        <v>0</v>
      </c>
      <c r="AM2" s="10">
        <v>0</v>
      </c>
      <c r="AN2" s="10">
        <v>0</v>
      </c>
      <c r="AO2" s="10">
        <v>0</v>
      </c>
      <c r="AP2" s="10">
        <v>0</v>
      </c>
      <c r="AQ2" s="10">
        <v>0</v>
      </c>
      <c r="AR2" s="10">
        <v>0</v>
      </c>
      <c r="AS2" s="10">
        <v>0</v>
      </c>
      <c r="AT2" s="10">
        <v>0</v>
      </c>
      <c r="AU2" s="10">
        <v>0</v>
      </c>
      <c r="AV2" s="10">
        <v>0</v>
      </c>
      <c r="AW2" s="11">
        <f t="shared" ref="AW2:AW13" si="2">SUM(AK2:AV2)</f>
        <v>0</v>
      </c>
      <c r="AX2" s="10">
        <v>0</v>
      </c>
      <c r="AY2" s="10">
        <v>0</v>
      </c>
      <c r="AZ2" s="10">
        <v>0</v>
      </c>
      <c r="BA2" s="10">
        <v>0</v>
      </c>
      <c r="BB2" s="10">
        <v>0</v>
      </c>
      <c r="BC2" s="10">
        <v>0</v>
      </c>
      <c r="BD2" s="10">
        <v>0</v>
      </c>
      <c r="BE2" s="10">
        <v>0</v>
      </c>
      <c r="BF2" s="10">
        <v>0</v>
      </c>
      <c r="BG2" s="10">
        <v>0</v>
      </c>
      <c r="BH2" s="10">
        <v>0</v>
      </c>
      <c r="BI2" s="10">
        <v>0</v>
      </c>
      <c r="BJ2" s="11">
        <f t="shared" ref="BJ2:BJ13" si="3">SUM(AX2:BI2)</f>
        <v>0</v>
      </c>
      <c r="BK2" s="10">
        <v>0</v>
      </c>
      <c r="BL2" s="10">
        <v>0</v>
      </c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1">
        <f t="shared" ref="BW2:BW13" si="4">SUM(BK2:BV2)</f>
        <v>0</v>
      </c>
    </row>
    <row r="3" spans="1:75" ht="16" x14ac:dyDescent="0.35">
      <c r="A3" s="6">
        <v>2</v>
      </c>
      <c r="B3" s="7">
        <v>192876</v>
      </c>
      <c r="C3" s="8" t="s">
        <v>83</v>
      </c>
      <c r="D3" s="6" t="s">
        <v>84</v>
      </c>
      <c r="E3" s="6" t="s">
        <v>85</v>
      </c>
      <c r="F3" s="6" t="s">
        <v>78</v>
      </c>
      <c r="G3" s="6" t="s">
        <v>79</v>
      </c>
      <c r="H3" s="6" t="s">
        <v>86</v>
      </c>
      <c r="I3" s="13" t="s">
        <v>87</v>
      </c>
      <c r="J3" s="14" t="s">
        <v>88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1">
        <f t="shared" si="0"/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5681</v>
      </c>
      <c r="AI3" s="10">
        <v>40562</v>
      </c>
      <c r="AJ3" s="11">
        <f t="shared" si="1"/>
        <v>46243</v>
      </c>
      <c r="AK3" s="10">
        <v>41445</v>
      </c>
      <c r="AL3" s="10">
        <v>21569</v>
      </c>
      <c r="AM3" s="10">
        <v>30782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1">
        <f t="shared" si="2"/>
        <v>93796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  <c r="BC3" s="10">
        <v>0</v>
      </c>
      <c r="BD3" s="10">
        <v>0</v>
      </c>
      <c r="BE3" s="10">
        <v>0</v>
      </c>
      <c r="BF3" s="10">
        <v>0</v>
      </c>
      <c r="BG3" s="10">
        <v>0</v>
      </c>
      <c r="BH3" s="10">
        <v>0</v>
      </c>
      <c r="BI3" s="10">
        <v>0</v>
      </c>
      <c r="BJ3" s="11">
        <f t="shared" si="3"/>
        <v>0</v>
      </c>
      <c r="BK3" s="10">
        <v>0</v>
      </c>
      <c r="BL3" s="10">
        <v>0</v>
      </c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1">
        <f t="shared" si="4"/>
        <v>0</v>
      </c>
    </row>
    <row r="4" spans="1:75" ht="16" x14ac:dyDescent="0.35">
      <c r="A4" s="6">
        <v>3</v>
      </c>
      <c r="B4" s="7">
        <v>126303</v>
      </c>
      <c r="C4" s="8" t="s">
        <v>89</v>
      </c>
      <c r="D4" s="6" t="s">
        <v>84</v>
      </c>
      <c r="E4" s="6" t="s">
        <v>77</v>
      </c>
      <c r="F4" s="6" t="s">
        <v>78</v>
      </c>
      <c r="G4" s="6" t="s">
        <v>90</v>
      </c>
      <c r="H4" s="6" t="s">
        <v>91</v>
      </c>
      <c r="I4" s="13" t="s">
        <v>92</v>
      </c>
      <c r="J4" s="14" t="s">
        <v>88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1">
        <f t="shared" si="0"/>
        <v>0</v>
      </c>
      <c r="X4" s="10">
        <v>0</v>
      </c>
      <c r="Y4" s="10">
        <v>0</v>
      </c>
      <c r="Z4" s="10">
        <v>209042</v>
      </c>
      <c r="AA4" s="10">
        <v>0</v>
      </c>
      <c r="AB4" s="10">
        <v>0</v>
      </c>
      <c r="AC4" s="10">
        <v>7895</v>
      </c>
      <c r="AD4" s="10">
        <v>68452</v>
      </c>
      <c r="AE4" s="10">
        <v>76370</v>
      </c>
      <c r="AF4" s="10">
        <v>80925</v>
      </c>
      <c r="AG4" s="10">
        <v>85620</v>
      </c>
      <c r="AH4" s="10">
        <v>72150</v>
      </c>
      <c r="AI4" s="10">
        <v>77753</v>
      </c>
      <c r="AJ4" s="11">
        <f t="shared" si="1"/>
        <v>678207</v>
      </c>
      <c r="AK4" s="10">
        <v>86883</v>
      </c>
      <c r="AL4" s="10">
        <v>57380</v>
      </c>
      <c r="AM4" s="10">
        <v>153178</v>
      </c>
      <c r="AN4" s="10">
        <v>91478</v>
      </c>
      <c r="AO4" s="10">
        <v>85687</v>
      </c>
      <c r="AP4" s="10">
        <v>87749</v>
      </c>
      <c r="AQ4" s="10">
        <v>38525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1">
        <f t="shared" si="2"/>
        <v>600880</v>
      </c>
      <c r="AX4" s="10">
        <v>84443.33</v>
      </c>
      <c r="AY4" s="10">
        <v>112079.91</v>
      </c>
      <c r="AZ4" s="10">
        <v>115497</v>
      </c>
      <c r="BA4" s="10">
        <v>88738</v>
      </c>
      <c r="BB4" s="10">
        <v>90263</v>
      </c>
      <c r="BC4" s="10">
        <v>88694.98</v>
      </c>
      <c r="BD4" s="10">
        <v>33561</v>
      </c>
      <c r="BE4" s="10">
        <v>0</v>
      </c>
      <c r="BF4" s="10">
        <v>0</v>
      </c>
      <c r="BG4" s="10">
        <v>0</v>
      </c>
      <c r="BH4" s="10">
        <v>68871.679999999993</v>
      </c>
      <c r="BI4" s="10">
        <v>75643.53</v>
      </c>
      <c r="BJ4" s="11">
        <f t="shared" si="3"/>
        <v>757792.42999999993</v>
      </c>
      <c r="BK4" s="10">
        <v>87689</v>
      </c>
      <c r="BL4" s="10">
        <v>113813</v>
      </c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1">
        <f t="shared" si="4"/>
        <v>201502</v>
      </c>
    </row>
    <row r="5" spans="1:75" ht="16" x14ac:dyDescent="0.35">
      <c r="A5" s="6">
        <v>4</v>
      </c>
      <c r="B5" s="7">
        <v>253797</v>
      </c>
      <c r="C5" s="8" t="s">
        <v>93</v>
      </c>
      <c r="D5" s="15" t="s">
        <v>94</v>
      </c>
      <c r="E5" s="6" t="s">
        <v>77</v>
      </c>
      <c r="F5" s="6" t="s">
        <v>78</v>
      </c>
      <c r="G5" s="6" t="s">
        <v>90</v>
      </c>
      <c r="H5" s="6" t="s">
        <v>95</v>
      </c>
      <c r="I5" s="8" t="s">
        <v>96</v>
      </c>
      <c r="J5" s="9" t="s">
        <v>82</v>
      </c>
      <c r="K5" s="10">
        <v>8258</v>
      </c>
      <c r="L5" s="10">
        <v>3654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1">
        <f t="shared" si="0"/>
        <v>11912</v>
      </c>
      <c r="X5" s="10">
        <v>0</v>
      </c>
      <c r="Y5" s="10">
        <v>0</v>
      </c>
      <c r="Z5" s="10">
        <v>4305</v>
      </c>
      <c r="AA5" s="10">
        <v>1528</v>
      </c>
      <c r="AB5" s="10">
        <v>595</v>
      </c>
      <c r="AC5" s="10">
        <v>1054</v>
      </c>
      <c r="AD5" s="10">
        <v>1416</v>
      </c>
      <c r="AE5" s="10">
        <v>1644</v>
      </c>
      <c r="AF5" s="10">
        <v>1073</v>
      </c>
      <c r="AG5" s="10">
        <v>1307</v>
      </c>
      <c r="AH5" s="10">
        <v>752</v>
      </c>
      <c r="AI5" s="10">
        <v>541</v>
      </c>
      <c r="AJ5" s="11">
        <f t="shared" si="1"/>
        <v>14215</v>
      </c>
      <c r="AK5" s="10">
        <v>861</v>
      </c>
      <c r="AL5" s="10">
        <v>0</v>
      </c>
      <c r="AM5" s="10">
        <v>1980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1">
        <f t="shared" si="2"/>
        <v>2841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1">
        <f t="shared" si="3"/>
        <v>0</v>
      </c>
      <c r="BK5" s="10">
        <v>0</v>
      </c>
      <c r="BL5" s="10">
        <v>0</v>
      </c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1">
        <f t="shared" si="4"/>
        <v>0</v>
      </c>
    </row>
    <row r="6" spans="1:75" ht="16" x14ac:dyDescent="0.35">
      <c r="A6" s="6">
        <v>5</v>
      </c>
      <c r="B6" s="7">
        <v>262399</v>
      </c>
      <c r="C6" s="8" t="s">
        <v>97</v>
      </c>
      <c r="D6" s="6" t="s">
        <v>84</v>
      </c>
      <c r="E6" s="6" t="s">
        <v>77</v>
      </c>
      <c r="F6" s="6" t="s">
        <v>98</v>
      </c>
      <c r="G6" s="6" t="s">
        <v>90</v>
      </c>
      <c r="H6" s="6" t="s">
        <v>99</v>
      </c>
      <c r="I6" s="13" t="s">
        <v>92</v>
      </c>
      <c r="J6" s="14" t="s">
        <v>88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1">
        <f t="shared" si="0"/>
        <v>0</v>
      </c>
      <c r="X6" s="10">
        <v>0</v>
      </c>
      <c r="Y6" s="10">
        <v>0</v>
      </c>
      <c r="Z6" s="10">
        <v>0</v>
      </c>
      <c r="AA6" s="10">
        <v>0</v>
      </c>
      <c r="AB6" s="10">
        <v>8932</v>
      </c>
      <c r="AC6" s="10">
        <v>5865</v>
      </c>
      <c r="AD6" s="10">
        <v>0</v>
      </c>
      <c r="AE6" s="10">
        <v>0</v>
      </c>
      <c r="AF6" s="10">
        <v>157</v>
      </c>
      <c r="AG6" s="10">
        <v>0</v>
      </c>
      <c r="AH6" s="10">
        <v>5104</v>
      </c>
      <c r="AI6" s="10">
        <v>7749</v>
      </c>
      <c r="AJ6" s="11">
        <f t="shared" si="1"/>
        <v>27807</v>
      </c>
      <c r="AK6" s="10">
        <v>7496</v>
      </c>
      <c r="AL6" s="10">
        <v>7178</v>
      </c>
      <c r="AM6" s="10">
        <v>7703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1">
        <f t="shared" si="2"/>
        <v>22377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1">
        <f t="shared" si="3"/>
        <v>0</v>
      </c>
      <c r="BK6" s="10">
        <v>0</v>
      </c>
      <c r="BL6" s="10">
        <v>0</v>
      </c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1">
        <f t="shared" si="4"/>
        <v>0</v>
      </c>
    </row>
    <row r="7" spans="1:75" ht="16" x14ac:dyDescent="0.35">
      <c r="A7" s="6">
        <v>6</v>
      </c>
      <c r="B7" s="7">
        <v>336616</v>
      </c>
      <c r="C7" s="8" t="s">
        <v>100</v>
      </c>
      <c r="D7" s="6" t="s">
        <v>76</v>
      </c>
      <c r="E7" s="6" t="s">
        <v>85</v>
      </c>
      <c r="F7" s="6" t="s">
        <v>78</v>
      </c>
      <c r="G7" s="6" t="s">
        <v>22</v>
      </c>
      <c r="H7" s="6" t="s">
        <v>101</v>
      </c>
      <c r="I7" s="8" t="s">
        <v>81</v>
      </c>
      <c r="J7" s="9" t="s">
        <v>82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1">
        <f t="shared" si="0"/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4934</v>
      </c>
      <c r="AF7" s="10">
        <v>11607</v>
      </c>
      <c r="AG7" s="10">
        <v>18425</v>
      </c>
      <c r="AH7" s="10">
        <v>14601</v>
      </c>
      <c r="AI7" s="10">
        <v>9034</v>
      </c>
      <c r="AJ7" s="11">
        <f t="shared" si="1"/>
        <v>58601</v>
      </c>
      <c r="AK7" s="10">
        <v>8244</v>
      </c>
      <c r="AL7" s="10">
        <v>15843</v>
      </c>
      <c r="AM7" s="10">
        <v>16992</v>
      </c>
      <c r="AN7" s="10">
        <v>18261</v>
      </c>
      <c r="AO7" s="10">
        <v>7988</v>
      </c>
      <c r="AP7" s="10">
        <v>5685</v>
      </c>
      <c r="AQ7" s="10">
        <v>7326</v>
      </c>
      <c r="AR7" s="10">
        <v>5717</v>
      </c>
      <c r="AS7" s="10">
        <v>7786.82</v>
      </c>
      <c r="AT7" s="10">
        <v>12591.97</v>
      </c>
      <c r="AU7" s="10">
        <v>8475.69</v>
      </c>
      <c r="AV7" s="10">
        <v>5152.3900000000003</v>
      </c>
      <c r="AW7" s="11">
        <f t="shared" si="2"/>
        <v>120062.87000000001</v>
      </c>
      <c r="AX7" s="10">
        <v>15408.11</v>
      </c>
      <c r="AY7" s="10">
        <v>4262.53</v>
      </c>
      <c r="AZ7" s="10">
        <v>1008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1">
        <f t="shared" si="3"/>
        <v>20678.64</v>
      </c>
      <c r="BK7" s="10">
        <v>0</v>
      </c>
      <c r="BL7" s="10">
        <v>0</v>
      </c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1">
        <f t="shared" si="4"/>
        <v>0</v>
      </c>
    </row>
    <row r="8" spans="1:75" ht="16" x14ac:dyDescent="0.35">
      <c r="A8" s="6">
        <v>7</v>
      </c>
      <c r="B8" s="7">
        <v>282776</v>
      </c>
      <c r="C8" s="8" t="s">
        <v>102</v>
      </c>
      <c r="D8" s="6" t="s">
        <v>84</v>
      </c>
      <c r="E8" s="6" t="s">
        <v>77</v>
      </c>
      <c r="F8" s="6" t="s">
        <v>78</v>
      </c>
      <c r="G8" s="6" t="s">
        <v>35</v>
      </c>
      <c r="H8" s="6" t="s">
        <v>103</v>
      </c>
      <c r="I8" s="16" t="s">
        <v>104</v>
      </c>
      <c r="J8" s="9" t="s">
        <v>82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1">
        <f t="shared" si="0"/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1">
        <f t="shared" si="1"/>
        <v>0</v>
      </c>
      <c r="AK8" s="10">
        <v>14341</v>
      </c>
      <c r="AL8" s="10">
        <v>18877</v>
      </c>
      <c r="AM8" s="10">
        <v>8236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11235.76</v>
      </c>
      <c r="AW8" s="11">
        <f t="shared" si="2"/>
        <v>52689.760000000002</v>
      </c>
      <c r="AX8" s="10">
        <v>20395.065999999901</v>
      </c>
      <c r="AY8" s="10">
        <v>10483.94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1">
        <f t="shared" si="3"/>
        <v>30879.005999999899</v>
      </c>
      <c r="BK8" s="10">
        <v>0</v>
      </c>
      <c r="BL8" s="10">
        <v>0</v>
      </c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1">
        <f t="shared" si="4"/>
        <v>0</v>
      </c>
    </row>
    <row r="9" spans="1:75" ht="16" x14ac:dyDescent="0.35">
      <c r="A9" s="6">
        <v>8</v>
      </c>
      <c r="B9" s="7">
        <v>284827</v>
      </c>
      <c r="C9" s="8" t="s">
        <v>105</v>
      </c>
      <c r="D9" s="6" t="s">
        <v>84</v>
      </c>
      <c r="E9" s="6" t="s">
        <v>77</v>
      </c>
      <c r="F9" s="6" t="s">
        <v>98</v>
      </c>
      <c r="G9" s="6" t="s">
        <v>35</v>
      </c>
      <c r="H9" s="6" t="s">
        <v>106</v>
      </c>
      <c r="I9" s="16" t="s">
        <v>107</v>
      </c>
      <c r="J9" s="9" t="s">
        <v>82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1">
        <f t="shared" si="0"/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1">
        <f t="shared" si="1"/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1">
        <f t="shared" si="2"/>
        <v>0</v>
      </c>
      <c r="AX9" s="10">
        <v>0</v>
      </c>
      <c r="AY9" s="10">
        <v>0</v>
      </c>
      <c r="AZ9" s="10">
        <v>0</v>
      </c>
      <c r="BA9" s="10">
        <v>1995</v>
      </c>
      <c r="BB9" s="10">
        <v>9504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8153</v>
      </c>
      <c r="BI9" s="10">
        <v>9832</v>
      </c>
      <c r="BJ9" s="11">
        <f t="shared" si="3"/>
        <v>29484</v>
      </c>
      <c r="BK9" s="10">
        <v>12037</v>
      </c>
      <c r="BL9" s="10">
        <v>10068</v>
      </c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1">
        <f t="shared" si="4"/>
        <v>22105</v>
      </c>
    </row>
    <row r="10" spans="1:75" ht="16" x14ac:dyDescent="0.35">
      <c r="A10" s="6">
        <v>9</v>
      </c>
      <c r="B10" s="7">
        <v>299301</v>
      </c>
      <c r="C10" s="8" t="s">
        <v>108</v>
      </c>
      <c r="D10" s="6" t="s">
        <v>109</v>
      </c>
      <c r="E10" s="6" t="s">
        <v>77</v>
      </c>
      <c r="F10" s="6" t="s">
        <v>110</v>
      </c>
      <c r="G10" s="6" t="s">
        <v>35</v>
      </c>
      <c r="H10" s="6" t="s">
        <v>111</v>
      </c>
      <c r="I10" s="16" t="s">
        <v>104</v>
      </c>
      <c r="J10" s="14" t="s">
        <v>88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1">
        <f t="shared" si="0"/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15808</v>
      </c>
      <c r="AJ10" s="11">
        <f t="shared" si="1"/>
        <v>15808</v>
      </c>
      <c r="AK10" s="10">
        <v>23559</v>
      </c>
      <c r="AL10" s="10">
        <v>16903</v>
      </c>
      <c r="AM10" s="10">
        <v>5097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1">
        <f t="shared" si="2"/>
        <v>45559</v>
      </c>
      <c r="AX10" s="10">
        <v>7417.0810000000001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1">
        <f t="shared" si="3"/>
        <v>7417.0810000000001</v>
      </c>
      <c r="BK10" s="10">
        <v>0</v>
      </c>
      <c r="BL10" s="10">
        <v>0</v>
      </c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1">
        <f t="shared" si="4"/>
        <v>0</v>
      </c>
    </row>
    <row r="11" spans="1:75" ht="16" x14ac:dyDescent="0.35">
      <c r="A11" s="6">
        <v>10</v>
      </c>
      <c r="B11" s="7">
        <v>319406</v>
      </c>
      <c r="C11" s="8" t="s">
        <v>112</v>
      </c>
      <c r="D11" s="6" t="s">
        <v>84</v>
      </c>
      <c r="E11" s="6" t="s">
        <v>85</v>
      </c>
      <c r="F11" s="6" t="s">
        <v>98</v>
      </c>
      <c r="G11" s="6" t="s">
        <v>35</v>
      </c>
      <c r="H11" s="6" t="s">
        <v>106</v>
      </c>
      <c r="I11" s="16" t="s">
        <v>107</v>
      </c>
      <c r="J11" s="9" t="s">
        <v>82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1">
        <f t="shared" si="0"/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1">
        <f t="shared" si="1"/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1">
        <f t="shared" si="2"/>
        <v>0</v>
      </c>
      <c r="AX11" s="10">
        <v>13532</v>
      </c>
      <c r="AY11" s="10">
        <v>6512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1458</v>
      </c>
      <c r="BI11" s="10">
        <v>8329</v>
      </c>
      <c r="BJ11" s="11">
        <f t="shared" si="3"/>
        <v>29831</v>
      </c>
      <c r="BK11" s="10">
        <v>7975</v>
      </c>
      <c r="BL11" s="10">
        <v>12384</v>
      </c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1">
        <f t="shared" si="4"/>
        <v>20359</v>
      </c>
    </row>
    <row r="12" spans="1:75" ht="16" x14ac:dyDescent="0.35">
      <c r="A12" s="6">
        <v>11</v>
      </c>
      <c r="B12" s="7">
        <v>279185</v>
      </c>
      <c r="C12" s="17" t="str">
        <f>VLOOKUP(B12,[1]Master!$C$2:$O$2163,2,0)</f>
        <v>SHREE SAI PETROLEUM</v>
      </c>
      <c r="D12" s="18" t="str">
        <f>VLOOKUP(B12,[1]Master!$C$2:$O$2163,5,0)</f>
        <v>Pune Saswad RSA</v>
      </c>
      <c r="E12" s="18" t="str">
        <f>VLOOKUP(B12,[1]Master!$C$2:$O$2163,13,0)</f>
        <v>B</v>
      </c>
      <c r="F12" s="18" t="str">
        <f>VLOOKUP(B12,[1]Master!$C$2:$O$2163,10,0)</f>
        <v>D1</v>
      </c>
      <c r="G12" s="19" t="s">
        <v>48</v>
      </c>
      <c r="H12" s="19" t="s">
        <v>106</v>
      </c>
      <c r="I12" s="20" t="s">
        <v>113</v>
      </c>
      <c r="J12" s="9" t="s">
        <v>82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1">
        <f t="shared" si="0"/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1">
        <f t="shared" si="1"/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1">
        <f t="shared" si="2"/>
        <v>0</v>
      </c>
      <c r="AX12" s="10">
        <v>21268.309000000001</v>
      </c>
      <c r="AY12" s="10">
        <v>54687.012999999999</v>
      </c>
      <c r="AZ12" s="10">
        <v>24030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1">
        <f t="shared" si="3"/>
        <v>99985.322</v>
      </c>
      <c r="BK12" s="10">
        <v>0</v>
      </c>
      <c r="BL12" s="10">
        <v>0</v>
      </c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1">
        <f t="shared" si="4"/>
        <v>0</v>
      </c>
    </row>
    <row r="13" spans="1:75" ht="16" x14ac:dyDescent="0.35">
      <c r="A13" s="6">
        <v>12</v>
      </c>
      <c r="B13" s="7">
        <v>269385</v>
      </c>
      <c r="C13" s="17" t="s">
        <v>114</v>
      </c>
      <c r="D13" s="18" t="s">
        <v>115</v>
      </c>
      <c r="E13" s="18" t="s">
        <v>85</v>
      </c>
      <c r="F13" s="18" t="s">
        <v>116</v>
      </c>
      <c r="G13" s="19" t="s">
        <v>22</v>
      </c>
      <c r="H13" s="19"/>
      <c r="I13" s="20" t="s">
        <v>117</v>
      </c>
      <c r="J13" s="9" t="s">
        <v>88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1">
        <f t="shared" si="0"/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1">
        <f t="shared" si="1"/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5566.78</v>
      </c>
      <c r="AW13" s="11">
        <f t="shared" si="2"/>
        <v>5566.78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1">
        <f t="shared" si="3"/>
        <v>0</v>
      </c>
      <c r="BK13" s="10">
        <v>0</v>
      </c>
      <c r="BL13" s="10">
        <v>0</v>
      </c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1">
        <f t="shared" si="4"/>
        <v>0</v>
      </c>
    </row>
    <row r="14" spans="1:75" x14ac:dyDescent="0.3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1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1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1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1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1"/>
    </row>
    <row r="15" spans="1:75" x14ac:dyDescent="0.3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3">
        <f t="shared" ref="K15:V15" si="5">SUM(K2:K14)</f>
        <v>54025.22</v>
      </c>
      <c r="L15" s="23">
        <f t="shared" si="5"/>
        <v>55520.32</v>
      </c>
      <c r="M15" s="23">
        <f t="shared" si="5"/>
        <v>57390.07</v>
      </c>
      <c r="N15" s="23">
        <f t="shared" si="5"/>
        <v>54122.33</v>
      </c>
      <c r="O15" s="23">
        <f t="shared" si="5"/>
        <v>54571.51</v>
      </c>
      <c r="P15" s="23">
        <f t="shared" si="5"/>
        <v>46812.029999999897</v>
      </c>
      <c r="Q15" s="23">
        <f t="shared" si="5"/>
        <v>38828.160000000003</v>
      </c>
      <c r="R15" s="23">
        <f t="shared" si="5"/>
        <v>38774.800000000003</v>
      </c>
      <c r="S15" s="23">
        <f t="shared" si="5"/>
        <v>35827.629999999903</v>
      </c>
      <c r="T15" s="23">
        <f t="shared" si="5"/>
        <v>35774.910000000003</v>
      </c>
      <c r="U15" s="23">
        <f t="shared" si="5"/>
        <v>43847.529999999897</v>
      </c>
      <c r="V15" s="23">
        <f t="shared" si="5"/>
        <v>34809.440000000002</v>
      </c>
      <c r="W15" s="11">
        <f t="shared" si="0"/>
        <v>550303.94999999972</v>
      </c>
      <c r="X15" s="23">
        <f t="shared" ref="X15:AI15" si="6">SUM(X2:X14)</f>
        <v>40445</v>
      </c>
      <c r="Y15" s="23">
        <f t="shared" si="6"/>
        <v>47941</v>
      </c>
      <c r="Z15" s="23">
        <f t="shared" si="6"/>
        <v>267189</v>
      </c>
      <c r="AA15" s="23">
        <f t="shared" si="6"/>
        <v>57694</v>
      </c>
      <c r="AB15" s="23">
        <f t="shared" si="6"/>
        <v>60578</v>
      </c>
      <c r="AC15" s="23">
        <f t="shared" si="6"/>
        <v>55722</v>
      </c>
      <c r="AD15" s="23">
        <f t="shared" si="6"/>
        <v>107393</v>
      </c>
      <c r="AE15" s="23">
        <f t="shared" si="6"/>
        <v>118578</v>
      </c>
      <c r="AF15" s="23">
        <f t="shared" si="6"/>
        <v>99023</v>
      </c>
      <c r="AG15" s="23">
        <f t="shared" si="6"/>
        <v>105352</v>
      </c>
      <c r="AH15" s="23">
        <f t="shared" si="6"/>
        <v>98288</v>
      </c>
      <c r="AI15" s="23">
        <f t="shared" si="6"/>
        <v>151447</v>
      </c>
      <c r="AJ15" s="11">
        <f>SUM(X15:AI15)</f>
        <v>1209650</v>
      </c>
      <c r="AK15" s="23">
        <f t="shared" ref="AK15:AV15" si="7">SUM(AK2:AK14)</f>
        <v>182829</v>
      </c>
      <c r="AL15" s="23">
        <f t="shared" si="7"/>
        <v>137750</v>
      </c>
      <c r="AM15" s="23">
        <f t="shared" si="7"/>
        <v>223968</v>
      </c>
      <c r="AN15" s="23">
        <f t="shared" si="7"/>
        <v>109739</v>
      </c>
      <c r="AO15" s="23">
        <f t="shared" si="7"/>
        <v>93675</v>
      </c>
      <c r="AP15" s="23">
        <f t="shared" si="7"/>
        <v>93434</v>
      </c>
      <c r="AQ15" s="23">
        <f t="shared" si="7"/>
        <v>45851</v>
      </c>
      <c r="AR15" s="23">
        <f t="shared" si="7"/>
        <v>5717</v>
      </c>
      <c r="AS15" s="23">
        <f t="shared" si="7"/>
        <v>7786.82</v>
      </c>
      <c r="AT15" s="23">
        <f t="shared" si="7"/>
        <v>12591.97</v>
      </c>
      <c r="AU15" s="23">
        <f t="shared" si="7"/>
        <v>8475.69</v>
      </c>
      <c r="AV15" s="23">
        <f t="shared" si="7"/>
        <v>21954.93</v>
      </c>
      <c r="AW15" s="11">
        <f>SUM(AK15:AV15)</f>
        <v>943772.40999999992</v>
      </c>
      <c r="AX15" s="23">
        <f t="shared" ref="AX15:BI15" si="8">SUM(AX2:AX14)</f>
        <v>162463.89599999992</v>
      </c>
      <c r="AY15" s="23">
        <f t="shared" si="8"/>
        <v>188025.39300000001</v>
      </c>
      <c r="AZ15" s="23">
        <f t="shared" si="8"/>
        <v>140535</v>
      </c>
      <c r="BA15" s="23">
        <f t="shared" si="8"/>
        <v>90733</v>
      </c>
      <c r="BB15" s="23">
        <f t="shared" si="8"/>
        <v>99767</v>
      </c>
      <c r="BC15" s="23">
        <f t="shared" si="8"/>
        <v>88694.98</v>
      </c>
      <c r="BD15" s="23">
        <f t="shared" si="8"/>
        <v>33561</v>
      </c>
      <c r="BE15" s="23">
        <f t="shared" si="8"/>
        <v>0</v>
      </c>
      <c r="BF15" s="23">
        <f t="shared" si="8"/>
        <v>0</v>
      </c>
      <c r="BG15" s="23">
        <f t="shared" si="8"/>
        <v>0</v>
      </c>
      <c r="BH15" s="23">
        <f t="shared" si="8"/>
        <v>78482.679999999993</v>
      </c>
      <c r="BI15" s="23">
        <f t="shared" si="8"/>
        <v>93804.53</v>
      </c>
      <c r="BJ15" s="11">
        <f>SUM(AX15:BI15)</f>
        <v>976067.47899999982</v>
      </c>
      <c r="BK15" s="23">
        <f>SUM(BK2:BK13)</f>
        <v>107701</v>
      </c>
      <c r="BL15" s="23">
        <f t="shared" ref="BL15:BV15" si="9">SUM(BL2:BL13)</f>
        <v>136265</v>
      </c>
      <c r="BM15" s="23">
        <f t="shared" si="9"/>
        <v>0</v>
      </c>
      <c r="BN15" s="23">
        <f t="shared" si="9"/>
        <v>0</v>
      </c>
      <c r="BO15" s="23">
        <f t="shared" si="9"/>
        <v>0</v>
      </c>
      <c r="BP15" s="23">
        <f t="shared" si="9"/>
        <v>0</v>
      </c>
      <c r="BQ15" s="23">
        <f t="shared" si="9"/>
        <v>0</v>
      </c>
      <c r="BR15" s="23">
        <f t="shared" si="9"/>
        <v>0</v>
      </c>
      <c r="BS15" s="23">
        <f t="shared" si="9"/>
        <v>0</v>
      </c>
      <c r="BT15" s="23">
        <f t="shared" si="9"/>
        <v>0</v>
      </c>
      <c r="BU15" s="23">
        <f t="shared" si="9"/>
        <v>0</v>
      </c>
      <c r="BV15" s="23">
        <f t="shared" si="9"/>
        <v>0</v>
      </c>
      <c r="BW15" s="11">
        <f t="shared" ref="BW15" si="10">SUM(BK15:BV15)</f>
        <v>243966</v>
      </c>
    </row>
    <row r="18" spans="6:75" x14ac:dyDescent="0.35">
      <c r="F18" s="24"/>
      <c r="G18" s="24"/>
      <c r="H18" s="24"/>
      <c r="I18" s="24"/>
      <c r="J18" s="24"/>
      <c r="K18" s="25" t="s">
        <v>10</v>
      </c>
      <c r="L18" s="25" t="s">
        <v>11</v>
      </c>
      <c r="M18" s="25" t="s">
        <v>12</v>
      </c>
      <c r="N18" s="25" t="s">
        <v>13</v>
      </c>
      <c r="O18" s="25" t="s">
        <v>14</v>
      </c>
      <c r="P18" s="25" t="s">
        <v>15</v>
      </c>
      <c r="Q18" s="25" t="s">
        <v>16</v>
      </c>
      <c r="R18" s="25" t="s">
        <v>17</v>
      </c>
      <c r="S18" s="25" t="s">
        <v>18</v>
      </c>
      <c r="T18" s="25" t="s">
        <v>19</v>
      </c>
      <c r="U18" s="25" t="s">
        <v>20</v>
      </c>
      <c r="V18" s="25" t="s">
        <v>21</v>
      </c>
      <c r="W18" s="26" t="s">
        <v>22</v>
      </c>
      <c r="X18" s="25" t="s">
        <v>23</v>
      </c>
      <c r="Y18" s="25" t="s">
        <v>24</v>
      </c>
      <c r="Z18" s="25" t="s">
        <v>25</v>
      </c>
      <c r="AA18" s="25" t="s">
        <v>26</v>
      </c>
      <c r="AB18" s="25" t="s">
        <v>27</v>
      </c>
      <c r="AC18" s="25" t="s">
        <v>28</v>
      </c>
      <c r="AD18" s="25" t="s">
        <v>29</v>
      </c>
      <c r="AE18" s="25" t="s">
        <v>30</v>
      </c>
      <c r="AF18" s="25" t="s">
        <v>31</v>
      </c>
      <c r="AG18" s="25" t="s">
        <v>32</v>
      </c>
      <c r="AH18" s="25" t="s">
        <v>33</v>
      </c>
      <c r="AI18" s="25" t="s">
        <v>34</v>
      </c>
      <c r="AJ18" s="26" t="s">
        <v>35</v>
      </c>
      <c r="AK18" s="25" t="s">
        <v>36</v>
      </c>
      <c r="AL18" s="25" t="s">
        <v>37</v>
      </c>
      <c r="AM18" s="25" t="s">
        <v>38</v>
      </c>
      <c r="AN18" s="25" t="s">
        <v>39</v>
      </c>
      <c r="AO18" s="25" t="s">
        <v>40</v>
      </c>
      <c r="AP18" s="25" t="s">
        <v>41</v>
      </c>
      <c r="AQ18" s="25" t="s">
        <v>42</v>
      </c>
      <c r="AR18" s="25" t="s">
        <v>43</v>
      </c>
      <c r="AS18" s="25" t="s">
        <v>44</v>
      </c>
      <c r="AT18" s="25" t="s">
        <v>45</v>
      </c>
      <c r="AU18" s="25" t="s">
        <v>46</v>
      </c>
      <c r="AV18" s="25" t="s">
        <v>47</v>
      </c>
      <c r="AW18" s="26" t="s">
        <v>48</v>
      </c>
      <c r="AX18" s="25" t="s">
        <v>49</v>
      </c>
      <c r="AY18" s="25" t="s">
        <v>50</v>
      </c>
      <c r="AZ18" s="25" t="s">
        <v>51</v>
      </c>
      <c r="BA18" s="25" t="s">
        <v>52</v>
      </c>
      <c r="BB18" s="25" t="s">
        <v>53</v>
      </c>
      <c r="BC18" s="25" t="s">
        <v>54</v>
      </c>
      <c r="BD18" s="25" t="s">
        <v>55</v>
      </c>
      <c r="BE18" s="25" t="s">
        <v>56</v>
      </c>
      <c r="BF18" s="25" t="s">
        <v>57</v>
      </c>
      <c r="BG18" s="25" t="s">
        <v>58</v>
      </c>
      <c r="BH18" s="25" t="s">
        <v>59</v>
      </c>
      <c r="BI18" s="25" t="s">
        <v>60</v>
      </c>
      <c r="BJ18" s="26" t="s">
        <v>61</v>
      </c>
      <c r="BK18" s="25" t="s">
        <v>62</v>
      </c>
      <c r="BL18" s="25" t="s">
        <v>63</v>
      </c>
      <c r="BM18" s="25" t="s">
        <v>64</v>
      </c>
      <c r="BN18" s="25" t="s">
        <v>65</v>
      </c>
      <c r="BO18" s="25" t="s">
        <v>66</v>
      </c>
      <c r="BP18" s="25" t="s">
        <v>67</v>
      </c>
      <c r="BQ18" s="25" t="s">
        <v>68</v>
      </c>
      <c r="BR18" s="25" t="s">
        <v>69</v>
      </c>
      <c r="BS18" s="25" t="s">
        <v>70</v>
      </c>
      <c r="BT18" s="25" t="s">
        <v>71</v>
      </c>
      <c r="BU18" s="25" t="s">
        <v>72</v>
      </c>
      <c r="BV18" s="25" t="s">
        <v>73</v>
      </c>
      <c r="BW18" s="26" t="s">
        <v>74</v>
      </c>
    </row>
    <row r="19" spans="6:75" x14ac:dyDescent="0.35">
      <c r="F19" s="27" t="s">
        <v>118</v>
      </c>
      <c r="G19" s="24" t="s">
        <v>119</v>
      </c>
      <c r="H19" s="24"/>
      <c r="I19" s="24"/>
      <c r="J19" s="24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28"/>
      <c r="X19" s="10">
        <v>40.44</v>
      </c>
      <c r="Y19" s="10">
        <v>47.94</v>
      </c>
      <c r="Z19" s="10">
        <v>267.19</v>
      </c>
      <c r="AA19" s="10">
        <v>197.91</v>
      </c>
      <c r="AB19" s="10">
        <v>135.68</v>
      </c>
      <c r="AC19" s="10">
        <v>131.38999999999999</v>
      </c>
      <c r="AD19" s="10">
        <v>118.80000000000001</v>
      </c>
      <c r="AE19" s="10">
        <v>119.67</v>
      </c>
      <c r="AF19" s="10">
        <v>99.02</v>
      </c>
      <c r="AG19" s="10">
        <v>105.36000000000001</v>
      </c>
      <c r="AH19" s="10">
        <v>98.29</v>
      </c>
      <c r="AI19" s="10">
        <v>151.44</v>
      </c>
      <c r="AJ19" s="28">
        <f t="shared" ref="AJ19:AJ24" si="11">SUM(X19:AI19)</f>
        <v>1513.13</v>
      </c>
      <c r="AK19" s="10">
        <v>182.82999999999998</v>
      </c>
      <c r="AL19" s="10">
        <v>137.75</v>
      </c>
      <c r="AM19" s="10">
        <v>223.96</v>
      </c>
      <c r="AN19" s="10">
        <v>109.74000000000001</v>
      </c>
      <c r="AO19" s="10">
        <v>93.679999999999993</v>
      </c>
      <c r="AP19" s="10">
        <v>93.44</v>
      </c>
      <c r="AQ19" s="10">
        <v>45.85</v>
      </c>
      <c r="AR19" s="10">
        <v>5.72</v>
      </c>
      <c r="AS19" s="10">
        <v>7.79</v>
      </c>
      <c r="AT19" s="10">
        <v>12.59</v>
      </c>
      <c r="AU19" s="10">
        <v>8.48</v>
      </c>
      <c r="AV19" s="10">
        <v>21.95</v>
      </c>
      <c r="AW19" s="28">
        <f t="shared" ref="AW19:AW24" si="12">SUM(AK19:AV19)</f>
        <v>943.78</v>
      </c>
      <c r="AX19" s="10">
        <v>162.45999999999998</v>
      </c>
      <c r="AY19" s="10">
        <v>188.03</v>
      </c>
      <c r="AZ19" s="10">
        <v>140.54</v>
      </c>
      <c r="BA19" s="10">
        <v>90.74</v>
      </c>
      <c r="BB19" s="10">
        <v>99.76</v>
      </c>
      <c r="BC19" s="10">
        <v>88.7</v>
      </c>
      <c r="BD19" s="10">
        <v>33.56</v>
      </c>
      <c r="BE19" s="10">
        <v>0</v>
      </c>
      <c r="BF19" s="10">
        <v>0</v>
      </c>
      <c r="BG19" s="10">
        <v>0</v>
      </c>
      <c r="BH19" s="10">
        <v>78.48</v>
      </c>
      <c r="BI19" s="10">
        <v>93.8</v>
      </c>
      <c r="BJ19" s="28">
        <f t="shared" ref="BJ19:BJ24" si="13">SUM(AX19:BI19)</f>
        <v>976.06999999999994</v>
      </c>
      <c r="BK19" s="10">
        <v>107.7</v>
      </c>
      <c r="BL19" s="10">
        <v>136.26</v>
      </c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28">
        <f t="shared" ref="BW19:BW24" si="14">SUM(BK19:BV19)</f>
        <v>243.95999999999998</v>
      </c>
    </row>
    <row r="20" spans="6:75" x14ac:dyDescent="0.35">
      <c r="F20" s="27"/>
      <c r="G20" s="24" t="s">
        <v>120</v>
      </c>
      <c r="H20" s="24"/>
      <c r="I20" s="24"/>
      <c r="J20" s="24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28"/>
      <c r="X20" s="10">
        <v>53.104439999999997</v>
      </c>
      <c r="Y20" s="10">
        <v>61.152459999999998</v>
      </c>
      <c r="Z20" s="10">
        <v>68.680070000000001</v>
      </c>
      <c r="AA20" s="10">
        <v>60.210680000000004</v>
      </c>
      <c r="AB20" s="10">
        <v>43.204079999999998</v>
      </c>
      <c r="AC20" s="10">
        <v>22.673469999999998</v>
      </c>
      <c r="AD20" s="10">
        <v>27.69688</v>
      </c>
      <c r="AE20" s="10">
        <v>42.280909999999999</v>
      </c>
      <c r="AF20" s="10">
        <v>43.591239999999999</v>
      </c>
      <c r="AG20" s="10">
        <v>53.442979999999999</v>
      </c>
      <c r="AH20" s="10">
        <v>42.750300000000003</v>
      </c>
      <c r="AI20" s="10">
        <v>40.466000000000001</v>
      </c>
      <c r="AJ20" s="28">
        <f t="shared" si="11"/>
        <v>559.25351000000001</v>
      </c>
      <c r="AK20" s="10">
        <v>30.414999999999999</v>
      </c>
      <c r="AL20" s="10">
        <v>21.634</v>
      </c>
      <c r="AM20" s="10">
        <v>7.3310000000000004</v>
      </c>
      <c r="AN20" s="10">
        <v>0</v>
      </c>
      <c r="AO20" s="10">
        <v>7.6669999999999998</v>
      </c>
      <c r="AP20" s="10">
        <v>12.782</v>
      </c>
      <c r="AQ20" s="10">
        <v>8.1110000000000007</v>
      </c>
      <c r="AR20" s="10">
        <v>19.640999999999998</v>
      </c>
      <c r="AS20" s="10">
        <v>18.963000000000001</v>
      </c>
      <c r="AT20" s="10">
        <v>19.637</v>
      </c>
      <c r="AU20" s="10">
        <v>27.277999999999999</v>
      </c>
      <c r="AV20" s="10">
        <v>15.188000000000001</v>
      </c>
      <c r="AW20" s="28">
        <f t="shared" si="12"/>
        <v>188.64699999999996</v>
      </c>
      <c r="AX20" s="10">
        <v>148.98999999999998</v>
      </c>
      <c r="AY20" s="10">
        <v>74.199999999999989</v>
      </c>
      <c r="AZ20" s="10">
        <v>36.010000000000005</v>
      </c>
      <c r="BA20" s="10">
        <v>61.339999999999996</v>
      </c>
      <c r="BB20" s="10">
        <v>69.61</v>
      </c>
      <c r="BC20" s="10">
        <v>12.11</v>
      </c>
      <c r="BD20" s="10">
        <v>29.470000000000002</v>
      </c>
      <c r="BE20" s="10">
        <v>57.29</v>
      </c>
      <c r="BF20" s="10">
        <v>118.31</v>
      </c>
      <c r="BG20" s="10">
        <v>200.57999999999998</v>
      </c>
      <c r="BH20" s="10">
        <v>230.82999999999998</v>
      </c>
      <c r="BI20" s="10">
        <v>316.56</v>
      </c>
      <c r="BJ20" s="28">
        <f t="shared" si="13"/>
        <v>1355.3</v>
      </c>
      <c r="BK20" s="10">
        <v>406.37400000000002</v>
      </c>
      <c r="BL20" s="10">
        <v>426.20499999999993</v>
      </c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28">
        <f t="shared" si="14"/>
        <v>832.57899999999995</v>
      </c>
    </row>
    <row r="21" spans="6:75" x14ac:dyDescent="0.35">
      <c r="F21" s="27"/>
      <c r="G21" s="24" t="s">
        <v>121</v>
      </c>
      <c r="H21" s="24"/>
      <c r="I21" s="24"/>
      <c r="J21" s="24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28"/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28">
        <f t="shared" si="11"/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28">
        <f t="shared" si="12"/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50.15</v>
      </c>
      <c r="BE21" s="10">
        <v>176.9</v>
      </c>
      <c r="BF21" s="10">
        <v>111.11</v>
      </c>
      <c r="BG21" s="10">
        <v>103.2</v>
      </c>
      <c r="BH21" s="10">
        <v>92.8</v>
      </c>
      <c r="BI21" s="10">
        <v>110.29</v>
      </c>
      <c r="BJ21" s="28">
        <f t="shared" si="13"/>
        <v>644.44999999999993</v>
      </c>
      <c r="BK21" s="10">
        <v>120.729</v>
      </c>
      <c r="BL21" s="10">
        <v>131.03399999999999</v>
      </c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28">
        <f t="shared" si="14"/>
        <v>251.76299999999998</v>
      </c>
    </row>
    <row r="22" spans="6:75" x14ac:dyDescent="0.35">
      <c r="F22" s="27"/>
      <c r="G22" s="24" t="s">
        <v>122</v>
      </c>
      <c r="H22" s="24"/>
      <c r="I22" s="24"/>
      <c r="J22" s="24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28"/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28">
        <f t="shared" si="11"/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28">
        <f t="shared" si="12"/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28">
        <f t="shared" si="13"/>
        <v>0</v>
      </c>
      <c r="BK22" s="10">
        <v>0</v>
      </c>
      <c r="BL22" s="10">
        <v>0</v>
      </c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28">
        <f t="shared" si="14"/>
        <v>0</v>
      </c>
    </row>
    <row r="23" spans="6:75" x14ac:dyDescent="0.35">
      <c r="F23" s="27"/>
      <c r="G23" s="24" t="s">
        <v>123</v>
      </c>
      <c r="H23" s="24"/>
      <c r="I23" s="24"/>
      <c r="J23" s="24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28"/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28">
        <f t="shared" si="11"/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28">
        <f t="shared" si="12"/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28">
        <f t="shared" si="13"/>
        <v>0</v>
      </c>
      <c r="BK23" s="10">
        <v>0</v>
      </c>
      <c r="BL23" s="10">
        <v>0</v>
      </c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28">
        <f t="shared" si="14"/>
        <v>0</v>
      </c>
    </row>
    <row r="24" spans="6:75" x14ac:dyDescent="0.35">
      <c r="F24" s="27"/>
      <c r="G24" s="24" t="s">
        <v>124</v>
      </c>
      <c r="H24" s="24"/>
      <c r="I24" s="24"/>
      <c r="J24" s="24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28"/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28">
        <f t="shared" si="11"/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28">
        <f t="shared" si="12"/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28">
        <f t="shared" si="13"/>
        <v>0</v>
      </c>
      <c r="BK24" s="10">
        <v>0</v>
      </c>
      <c r="BL24" s="10">
        <v>0</v>
      </c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28">
        <f t="shared" si="14"/>
        <v>0</v>
      </c>
    </row>
    <row r="25" spans="6:75" x14ac:dyDescent="0.35">
      <c r="F25" s="24"/>
      <c r="G25" s="24"/>
      <c r="H25" s="24"/>
      <c r="I25" s="24"/>
      <c r="J25" s="24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8"/>
      <c r="X25" s="22">
        <f>SUM(X19:X24)</f>
        <v>93.544439999999994</v>
      </c>
      <c r="Y25" s="22">
        <f t="shared" ref="Y25:BW25" si="15">SUM(Y19:Y24)</f>
        <v>109.09245999999999</v>
      </c>
      <c r="Z25" s="22">
        <f t="shared" si="15"/>
        <v>335.87007</v>
      </c>
      <c r="AA25" s="22">
        <f t="shared" si="15"/>
        <v>258.12067999999999</v>
      </c>
      <c r="AB25" s="22">
        <f t="shared" si="15"/>
        <v>178.88408000000001</v>
      </c>
      <c r="AC25" s="22">
        <f t="shared" si="15"/>
        <v>154.06347</v>
      </c>
      <c r="AD25" s="22">
        <f t="shared" si="15"/>
        <v>146.49688</v>
      </c>
      <c r="AE25" s="22">
        <f t="shared" si="15"/>
        <v>161.95090999999999</v>
      </c>
      <c r="AF25" s="22">
        <f t="shared" si="15"/>
        <v>142.61124000000001</v>
      </c>
      <c r="AG25" s="22">
        <f t="shared" si="15"/>
        <v>158.80298000000002</v>
      </c>
      <c r="AH25" s="22">
        <f t="shared" si="15"/>
        <v>141.0403</v>
      </c>
      <c r="AI25" s="22">
        <f t="shared" si="15"/>
        <v>191.90600000000001</v>
      </c>
      <c r="AJ25" s="28">
        <f t="shared" si="15"/>
        <v>2072.3835100000001</v>
      </c>
      <c r="AK25" s="22">
        <f t="shared" si="15"/>
        <v>213.24499999999998</v>
      </c>
      <c r="AL25" s="22">
        <f t="shared" si="15"/>
        <v>159.38400000000001</v>
      </c>
      <c r="AM25" s="22">
        <f t="shared" si="15"/>
        <v>231.291</v>
      </c>
      <c r="AN25" s="22">
        <f t="shared" si="15"/>
        <v>109.74000000000001</v>
      </c>
      <c r="AO25" s="22">
        <f t="shared" si="15"/>
        <v>101.34699999999999</v>
      </c>
      <c r="AP25" s="22">
        <f t="shared" si="15"/>
        <v>106.22199999999999</v>
      </c>
      <c r="AQ25" s="22">
        <f t="shared" si="15"/>
        <v>53.960999999999999</v>
      </c>
      <c r="AR25" s="22">
        <f t="shared" si="15"/>
        <v>25.360999999999997</v>
      </c>
      <c r="AS25" s="22">
        <f t="shared" si="15"/>
        <v>26.753</v>
      </c>
      <c r="AT25" s="22">
        <f t="shared" si="15"/>
        <v>32.227000000000004</v>
      </c>
      <c r="AU25" s="22">
        <f t="shared" si="15"/>
        <v>35.757999999999996</v>
      </c>
      <c r="AV25" s="22">
        <f t="shared" si="15"/>
        <v>37.137999999999998</v>
      </c>
      <c r="AW25" s="28">
        <f t="shared" si="15"/>
        <v>1132.4269999999999</v>
      </c>
      <c r="AX25" s="22">
        <f t="shared" si="15"/>
        <v>311.44999999999993</v>
      </c>
      <c r="AY25" s="22">
        <f t="shared" si="15"/>
        <v>262.23</v>
      </c>
      <c r="AZ25" s="22">
        <f t="shared" si="15"/>
        <v>176.55</v>
      </c>
      <c r="BA25" s="22">
        <f t="shared" si="15"/>
        <v>152.07999999999998</v>
      </c>
      <c r="BB25" s="22">
        <f t="shared" si="15"/>
        <v>169.37</v>
      </c>
      <c r="BC25" s="22">
        <f t="shared" si="15"/>
        <v>100.81</v>
      </c>
      <c r="BD25" s="22">
        <f t="shared" si="15"/>
        <v>113.18</v>
      </c>
      <c r="BE25" s="22">
        <f t="shared" si="15"/>
        <v>234.19</v>
      </c>
      <c r="BF25" s="22">
        <f t="shared" si="15"/>
        <v>229.42000000000002</v>
      </c>
      <c r="BG25" s="22">
        <f t="shared" si="15"/>
        <v>303.77999999999997</v>
      </c>
      <c r="BH25" s="22">
        <f t="shared" si="15"/>
        <v>402.11</v>
      </c>
      <c r="BI25" s="22">
        <f t="shared" si="15"/>
        <v>520.65</v>
      </c>
      <c r="BJ25" s="28">
        <f t="shared" si="15"/>
        <v>2975.8199999999997</v>
      </c>
      <c r="BK25" s="22">
        <f t="shared" si="15"/>
        <v>634.80300000000011</v>
      </c>
      <c r="BL25" s="22">
        <f t="shared" si="15"/>
        <v>693.49899999999991</v>
      </c>
      <c r="BM25" s="22">
        <f t="shared" si="15"/>
        <v>0</v>
      </c>
      <c r="BN25" s="22">
        <f t="shared" si="15"/>
        <v>0</v>
      </c>
      <c r="BO25" s="22">
        <f t="shared" si="15"/>
        <v>0</v>
      </c>
      <c r="BP25" s="22">
        <f t="shared" si="15"/>
        <v>0</v>
      </c>
      <c r="BQ25" s="22">
        <f t="shared" si="15"/>
        <v>0</v>
      </c>
      <c r="BR25" s="22">
        <f t="shared" si="15"/>
        <v>0</v>
      </c>
      <c r="BS25" s="22">
        <f t="shared" si="15"/>
        <v>0</v>
      </c>
      <c r="BT25" s="22">
        <f t="shared" si="15"/>
        <v>0</v>
      </c>
      <c r="BU25" s="22">
        <f t="shared" si="15"/>
        <v>0</v>
      </c>
      <c r="BV25" s="22">
        <f t="shared" si="15"/>
        <v>0</v>
      </c>
      <c r="BW25" s="28">
        <f t="shared" si="15"/>
        <v>1328.3019999999999</v>
      </c>
    </row>
    <row r="30" spans="6:75" x14ac:dyDescent="0.35">
      <c r="BK30" s="29"/>
      <c r="BL30" s="29"/>
    </row>
    <row r="31" spans="6:75" x14ac:dyDescent="0.35">
      <c r="BK31" s="29"/>
      <c r="BL31" s="29"/>
    </row>
    <row r="32" spans="6:75" x14ac:dyDescent="0.35">
      <c r="BK32" s="29"/>
      <c r="BL32" s="29"/>
    </row>
  </sheetData>
  <mergeCells count="1">
    <mergeCell ref="F19:F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CNG</vt:lpstr>
      <vt:lpstr>CBG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Chanchal Kislay Prasad</dc:creator>
  <cp:lastModifiedBy>Chanchal Kislay Prasad</cp:lastModifiedBy>
  <dcterms:created xsi:type="dcterms:W3CDTF">2026-07-04T12:36:59Z</dcterms:created>
  <dcterms:modified xsi:type="dcterms:W3CDTF">2026-07-04T12:38:27Z</dcterms:modified>
</cp:coreProperties>
</file>