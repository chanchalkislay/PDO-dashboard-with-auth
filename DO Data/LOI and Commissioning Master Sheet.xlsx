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namedSheetViews/namedSheetView1.xml" ContentType="application/vnd.ms-excel.namedsheetview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updateLinks="always" defaultThemeVersion="202300"/>
  <mc:AlternateContent xmlns:mc="http://schemas.openxmlformats.org/markup-compatibility/2006">
    <mc:Choice Requires="x15">
      <x15ac:absPath xmlns:x15ac="http://schemas.microsoft.com/office/spreadsheetml/2010/11/ac" url="https://indianoilworkplace-my.sharepoint.com/personal/guptamayank_indianoil_in/Documents/DO Manager/Commissioning/"/>
    </mc:Choice>
  </mc:AlternateContent>
  <xr:revisionPtr revIDLastSave="0" documentId="8_{F3FAD256-9BAA-4F68-94A0-F28C6047A336}" xr6:coauthVersionLast="47" xr6:coauthVersionMax="47" xr10:uidLastSave="{00000000-0000-0000-0000-000000000000}"/>
  <bookViews>
    <workbookView xWindow="-120" yWindow="-120" windowWidth="29040" windowHeight="15720" tabRatio="780" xr2:uid="{FAC1BD72-226F-41C4-BADD-F081F3E71AC3}"/>
  </bookViews>
  <sheets>
    <sheet name="LOI and Commissioning Master Sh" sheetId="1" r:id="rId1"/>
    <sheet name="Summary" sheetId="10" r:id="rId2"/>
    <sheet name="Planned in Nov Dec" sheetId="15" r:id="rId3"/>
    <sheet name="Review PPT update " sheetId="4" r:id="rId4"/>
    <sheet name="OMC Last 10 Years" sheetId="3" r:id="rId5"/>
    <sheet name="Planned 50 Sites" sheetId="13" r:id="rId6"/>
    <sheet name="NOC and Advance Tender Sites" sheetId="14" r:id="rId7"/>
    <sheet name="Sheet1" sheetId="16" r:id="rId8"/>
  </sheets>
  <definedNames>
    <definedName name="_xlnm._FilterDatabase" localSheetId="0" hidden="1">'LOI and Commissioning Master Sh'!$A$2:$CN$270</definedName>
    <definedName name="_xlnm._FilterDatabase" localSheetId="5" hidden="1">'Planned 50 Sites'!$A$1:$K$51</definedName>
    <definedName name="_xlnm._FilterDatabase" localSheetId="3" hidden="1">'Review PPT update '!$A$2:$Q$14</definedName>
    <definedName name="_xlnm.Print_Area" localSheetId="0">'LOI and Commissioning Master Sh'!$B$2:$AY$119</definedName>
    <definedName name="_xlnm.Print_Area" localSheetId="1">Summary!$A$1:$BS$210</definedName>
    <definedName name="_xlnm.Print_Titles" localSheetId="1">Summary!$A:$B,Summary!$160:$160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82" i="10" l="1"/>
  <c r="L182" i="10"/>
  <c r="M182" i="10"/>
  <c r="N182" i="10"/>
  <c r="K183" i="10"/>
  <c r="L183" i="10"/>
  <c r="M183" i="10"/>
  <c r="N183" i="10"/>
  <c r="J183" i="10"/>
  <c r="J182" i="10"/>
  <c r="N157" i="10" l="1"/>
  <c r="M157" i="10"/>
  <c r="L157" i="10"/>
  <c r="K157" i="10"/>
  <c r="J157" i="10"/>
  <c r="N156" i="10"/>
  <c r="M156" i="10"/>
  <c r="L156" i="10"/>
  <c r="K156" i="10"/>
  <c r="J156" i="10"/>
  <c r="K155" i="10"/>
  <c r="L155" i="10"/>
  <c r="M155" i="10"/>
  <c r="N155" i="10"/>
  <c r="J155" i="10"/>
  <c r="C90" i="10"/>
  <c r="D90" i="10"/>
  <c r="E90" i="10"/>
  <c r="F90" i="10"/>
  <c r="C91" i="10"/>
  <c r="D91" i="10"/>
  <c r="E91" i="10"/>
  <c r="F91" i="10"/>
  <c r="C92" i="10"/>
  <c r="D92" i="10"/>
  <c r="E92" i="10"/>
  <c r="F92" i="10"/>
  <c r="B91" i="10"/>
  <c r="B92" i="10"/>
  <c r="B90" i="10"/>
  <c r="C85" i="10"/>
  <c r="D85" i="10"/>
  <c r="E85" i="10"/>
  <c r="F85" i="10"/>
  <c r="C86" i="10"/>
  <c r="D86" i="10"/>
  <c r="E86" i="10"/>
  <c r="F86" i="10"/>
  <c r="C87" i="10"/>
  <c r="D87" i="10"/>
  <c r="E87" i="10"/>
  <c r="F87" i="10"/>
  <c r="B86" i="10"/>
  <c r="B87" i="10"/>
  <c r="B85" i="10"/>
  <c r="AC44" i="15" l="1"/>
  <c r="AC45" i="15"/>
  <c r="AC46" i="15"/>
  <c r="AC47" i="15"/>
  <c r="AC48" i="15"/>
  <c r="AC49" i="15"/>
  <c r="AC50" i="15"/>
  <c r="AC51" i="15"/>
  <c r="AC52" i="15"/>
  <c r="AC53" i="15"/>
  <c r="AD44" i="15"/>
  <c r="AE44" i="15"/>
  <c r="AD45" i="15"/>
  <c r="AE45" i="15"/>
  <c r="AD46" i="15"/>
  <c r="AE46" i="15"/>
  <c r="AD47" i="15"/>
  <c r="AE47" i="15"/>
  <c r="AD48" i="15"/>
  <c r="AE48" i="15"/>
  <c r="AD49" i="15"/>
  <c r="AE49" i="15"/>
  <c r="AD50" i="15"/>
  <c r="AE50" i="15"/>
  <c r="AD51" i="15"/>
  <c r="AE51" i="15"/>
  <c r="AD52" i="15"/>
  <c r="AF52" i="15" s="1"/>
  <c r="AG52" i="15" s="1"/>
  <c r="AE52" i="15"/>
  <c r="AD53" i="15"/>
  <c r="AE53" i="15"/>
  <c r="AE43" i="15"/>
  <c r="AD43" i="15"/>
  <c r="AC43" i="15"/>
  <c r="AF43" i="15" s="1"/>
  <c r="Y44" i="15"/>
  <c r="Y45" i="15"/>
  <c r="Y46" i="15"/>
  <c r="Y47" i="15"/>
  <c r="Y48" i="15"/>
  <c r="Y49" i="15"/>
  <c r="Y50" i="15"/>
  <c r="Y51" i="15"/>
  <c r="Y52" i="15"/>
  <c r="Y53" i="15"/>
  <c r="U44" i="15"/>
  <c r="U45" i="15"/>
  <c r="U46" i="15"/>
  <c r="U47" i="15"/>
  <c r="U48" i="15"/>
  <c r="U49" i="15"/>
  <c r="U50" i="15"/>
  <c r="U51" i="15"/>
  <c r="U52" i="15"/>
  <c r="U53" i="15"/>
  <c r="U43" i="15"/>
  <c r="T44" i="15"/>
  <c r="T45" i="15"/>
  <c r="T46" i="15"/>
  <c r="T47" i="15"/>
  <c r="T48" i="15"/>
  <c r="T49" i="15"/>
  <c r="T50" i="15"/>
  <c r="T51" i="15"/>
  <c r="T52" i="15"/>
  <c r="T53" i="15"/>
  <c r="T43" i="15"/>
  <c r="S44" i="15"/>
  <c r="S45" i="15"/>
  <c r="S46" i="15"/>
  <c r="S47" i="15"/>
  <c r="S48" i="15"/>
  <c r="S49" i="15"/>
  <c r="S50" i="15"/>
  <c r="S51" i="15"/>
  <c r="S52" i="15"/>
  <c r="S53" i="15"/>
  <c r="S43" i="15"/>
  <c r="O44" i="15"/>
  <c r="O45" i="15"/>
  <c r="O46" i="15"/>
  <c r="O47" i="15"/>
  <c r="O48" i="15"/>
  <c r="O49" i="15"/>
  <c r="O50" i="15"/>
  <c r="O51" i="15"/>
  <c r="O52" i="15"/>
  <c r="O53" i="15"/>
  <c r="N44" i="15"/>
  <c r="N45" i="15"/>
  <c r="N46" i="15"/>
  <c r="N47" i="15"/>
  <c r="N48" i="15"/>
  <c r="N49" i="15"/>
  <c r="N50" i="15"/>
  <c r="N51" i="15"/>
  <c r="N52" i="15"/>
  <c r="N53" i="15"/>
  <c r="M44" i="15"/>
  <c r="M45" i="15"/>
  <c r="M46" i="15"/>
  <c r="M47" i="15"/>
  <c r="M48" i="15"/>
  <c r="M49" i="15"/>
  <c r="M50" i="15"/>
  <c r="M51" i="15"/>
  <c r="M52" i="15"/>
  <c r="M53" i="15"/>
  <c r="L44" i="15"/>
  <c r="L45" i="15"/>
  <c r="L46" i="15"/>
  <c r="L47" i="15"/>
  <c r="L48" i="15"/>
  <c r="L49" i="15"/>
  <c r="L50" i="15"/>
  <c r="L51" i="15"/>
  <c r="L52" i="15"/>
  <c r="L53" i="15"/>
  <c r="J13" i="13"/>
  <c r="D4" i="4"/>
  <c r="E4" i="4"/>
  <c r="F4" i="4"/>
  <c r="G4" i="4"/>
  <c r="H4" i="4"/>
  <c r="I4" i="4"/>
  <c r="J4" i="4"/>
  <c r="K4" i="4"/>
  <c r="L4" i="4"/>
  <c r="M4" i="4"/>
  <c r="N4" i="4"/>
  <c r="O4" i="4"/>
  <c r="P4" i="4"/>
  <c r="D5" i="4"/>
  <c r="D6" i="4"/>
  <c r="D7" i="4"/>
  <c r="E7" i="4"/>
  <c r="F7" i="4"/>
  <c r="G7" i="4"/>
  <c r="H7" i="4"/>
  <c r="I7" i="4"/>
  <c r="J7" i="4"/>
  <c r="K7" i="4"/>
  <c r="L7" i="4"/>
  <c r="M7" i="4"/>
  <c r="N7" i="4"/>
  <c r="O7" i="4"/>
  <c r="P7" i="4"/>
  <c r="D8" i="4"/>
  <c r="E8" i="4"/>
  <c r="F8" i="4"/>
  <c r="G8" i="4"/>
  <c r="H8" i="4"/>
  <c r="I8" i="4"/>
  <c r="J8" i="4"/>
  <c r="K8" i="4"/>
  <c r="L8" i="4"/>
  <c r="M8" i="4"/>
  <c r="N8" i="4"/>
  <c r="O8" i="4"/>
  <c r="P8" i="4"/>
  <c r="D9" i="4"/>
  <c r="E9" i="4"/>
  <c r="F9" i="4"/>
  <c r="G9" i="4"/>
  <c r="H9" i="4"/>
  <c r="I9" i="4"/>
  <c r="J9" i="4"/>
  <c r="K9" i="4"/>
  <c r="L9" i="4"/>
  <c r="M9" i="4"/>
  <c r="N9" i="4"/>
  <c r="O9" i="4"/>
  <c r="P9" i="4"/>
  <c r="D10" i="4"/>
  <c r="D11" i="4"/>
  <c r="E11" i="4"/>
  <c r="F11" i="4"/>
  <c r="G11" i="4"/>
  <c r="H11" i="4"/>
  <c r="I11" i="4"/>
  <c r="J11" i="4"/>
  <c r="K11" i="4"/>
  <c r="L11" i="4"/>
  <c r="M11" i="4"/>
  <c r="N11" i="4"/>
  <c r="O11" i="4"/>
  <c r="P11" i="4"/>
  <c r="D12" i="4"/>
  <c r="E12" i="4"/>
  <c r="F12" i="4"/>
  <c r="G12" i="4"/>
  <c r="H12" i="4"/>
  <c r="I12" i="4"/>
  <c r="J12" i="4"/>
  <c r="K12" i="4"/>
  <c r="L12" i="4"/>
  <c r="M12" i="4"/>
  <c r="N12" i="4"/>
  <c r="O12" i="4"/>
  <c r="P12" i="4"/>
  <c r="D13" i="4"/>
  <c r="E13" i="4"/>
  <c r="F13" i="4"/>
  <c r="G13" i="4"/>
  <c r="H13" i="4"/>
  <c r="I13" i="4"/>
  <c r="J13" i="4"/>
  <c r="K13" i="4"/>
  <c r="L13" i="4"/>
  <c r="M13" i="4"/>
  <c r="N13" i="4"/>
  <c r="O13" i="4"/>
  <c r="P13" i="4"/>
  <c r="C6" i="4"/>
  <c r="C7" i="4"/>
  <c r="C8" i="4"/>
  <c r="C9" i="4"/>
  <c r="C10" i="4"/>
  <c r="C11" i="4"/>
  <c r="C12" i="4"/>
  <c r="C13" i="4"/>
  <c r="C3" i="4"/>
  <c r="D3" i="4"/>
  <c r="E3" i="4"/>
  <c r="F3" i="4"/>
  <c r="G3" i="4"/>
  <c r="H3" i="4"/>
  <c r="I3" i="4"/>
  <c r="J3" i="4"/>
  <c r="K3" i="4"/>
  <c r="L3" i="4"/>
  <c r="M3" i="4"/>
  <c r="N3" i="4"/>
  <c r="O3" i="4"/>
  <c r="P3" i="4"/>
  <c r="C4" i="4"/>
  <c r="C5" i="4"/>
  <c r="B4" i="4"/>
  <c r="B5" i="4"/>
  <c r="B6" i="4"/>
  <c r="B7" i="4"/>
  <c r="B8" i="4"/>
  <c r="B9" i="4"/>
  <c r="B10" i="4"/>
  <c r="B11" i="4"/>
  <c r="B12" i="4"/>
  <c r="B13" i="4"/>
  <c r="B110" i="4"/>
  <c r="B109" i="4"/>
  <c r="B108" i="4"/>
  <c r="B107" i="4"/>
  <c r="B106" i="4"/>
  <c r="B105" i="4"/>
  <c r="B104" i="4"/>
  <c r="B103" i="4"/>
  <c r="B102" i="4"/>
  <c r="B101" i="4"/>
  <c r="B100" i="4"/>
  <c r="AZ44" i="15"/>
  <c r="BA44" i="15"/>
  <c r="AZ45" i="15"/>
  <c r="BA45" i="15"/>
  <c r="AZ46" i="15"/>
  <c r="BA46" i="15"/>
  <c r="AZ47" i="15"/>
  <c r="BA47" i="15"/>
  <c r="AZ48" i="15"/>
  <c r="BA48" i="15"/>
  <c r="BB48" i="15" s="1"/>
  <c r="AZ49" i="15"/>
  <c r="BA49" i="15"/>
  <c r="AZ50" i="15"/>
  <c r="BA50" i="15"/>
  <c r="AZ51" i="15"/>
  <c r="BA51" i="15"/>
  <c r="AZ52" i="15"/>
  <c r="AZ54" i="15" s="1"/>
  <c r="BA52" i="15"/>
  <c r="AZ53" i="15"/>
  <c r="BB53" i="15" s="1"/>
  <c r="BA53" i="15"/>
  <c r="BA43" i="15"/>
  <c r="AZ43" i="15"/>
  <c r="AX44" i="15"/>
  <c r="AX45" i="15"/>
  <c r="AX46" i="15"/>
  <c r="AX47" i="15"/>
  <c r="AX48" i="15"/>
  <c r="AX49" i="15"/>
  <c r="AX50" i="15"/>
  <c r="AX51" i="15"/>
  <c r="AX52" i="15"/>
  <c r="AX53" i="15"/>
  <c r="AX43" i="15"/>
  <c r="AW44" i="15"/>
  <c r="AY44" i="15" s="1"/>
  <c r="AW45" i="15"/>
  <c r="AW46" i="15"/>
  <c r="AW47" i="15"/>
  <c r="AW48" i="15"/>
  <c r="AW49" i="15"/>
  <c r="AY49" i="15" s="1"/>
  <c r="AW50" i="15"/>
  <c r="AW51" i="15"/>
  <c r="AW52" i="15"/>
  <c r="AY52" i="15" s="1"/>
  <c r="AW53" i="15"/>
  <c r="AY53" i="15" s="1"/>
  <c r="AW43" i="15"/>
  <c r="AQ44" i="15"/>
  <c r="AR44" i="15"/>
  <c r="AQ45" i="15"/>
  <c r="AR45" i="15"/>
  <c r="AQ46" i="15"/>
  <c r="AR46" i="15"/>
  <c r="AQ47" i="15"/>
  <c r="AR47" i="15"/>
  <c r="AQ48" i="15"/>
  <c r="AR48" i="15"/>
  <c r="AQ49" i="15"/>
  <c r="AR49" i="15"/>
  <c r="AQ50" i="15"/>
  <c r="AR50" i="15"/>
  <c r="AQ51" i="15"/>
  <c r="AR51" i="15"/>
  <c r="AQ52" i="15"/>
  <c r="AR52" i="15"/>
  <c r="AQ53" i="15"/>
  <c r="AR53" i="15"/>
  <c r="AR43" i="15"/>
  <c r="AQ43" i="15"/>
  <c r="AO44" i="15"/>
  <c r="AO45" i="15"/>
  <c r="AO46" i="15"/>
  <c r="AO47" i="15"/>
  <c r="AO48" i="15"/>
  <c r="AO49" i="15"/>
  <c r="AO50" i="15"/>
  <c r="AO51" i="15"/>
  <c r="AO52" i="15"/>
  <c r="AO53" i="15"/>
  <c r="AO43" i="15"/>
  <c r="AN44" i="15"/>
  <c r="AN45" i="15"/>
  <c r="AN46" i="15"/>
  <c r="AN47" i="15"/>
  <c r="AN48" i="15"/>
  <c r="AN49" i="15"/>
  <c r="AN50" i="15"/>
  <c r="AN51" i="15"/>
  <c r="AN52" i="15"/>
  <c r="AN53" i="15"/>
  <c r="AN43" i="15"/>
  <c r="AK44" i="15"/>
  <c r="AK45" i="15"/>
  <c r="AK46" i="15"/>
  <c r="AK47" i="15"/>
  <c r="AK48" i="15"/>
  <c r="AK49" i="15"/>
  <c r="AK50" i="15"/>
  <c r="AK51" i="15"/>
  <c r="AK52" i="15"/>
  <c r="AK53" i="15"/>
  <c r="AK43" i="15"/>
  <c r="AJ44" i="15"/>
  <c r="AJ45" i="15"/>
  <c r="AJ46" i="15"/>
  <c r="AJ47" i="15"/>
  <c r="AJ48" i="15"/>
  <c r="AJ49" i="15"/>
  <c r="AJ50" i="15"/>
  <c r="AJ51" i="15"/>
  <c r="AJ52" i="15"/>
  <c r="AJ53" i="15"/>
  <c r="AJ43" i="15"/>
  <c r="AI44" i="15"/>
  <c r="AI45" i="15"/>
  <c r="AI46" i="15"/>
  <c r="AI47" i="15"/>
  <c r="AI48" i="15"/>
  <c r="AI49" i="15"/>
  <c r="AI50" i="15"/>
  <c r="AI51" i="15"/>
  <c r="AI52" i="15"/>
  <c r="AI53" i="15"/>
  <c r="AI43" i="15"/>
  <c r="AB44" i="15"/>
  <c r="AB45" i="15"/>
  <c r="AB46" i="15"/>
  <c r="AB47" i="15"/>
  <c r="AB48" i="15"/>
  <c r="AB49" i="15"/>
  <c r="AB50" i="15"/>
  <c r="AB51" i="15"/>
  <c r="AB52" i="15"/>
  <c r="AB53" i="15"/>
  <c r="AB43" i="15"/>
  <c r="Z44" i="15"/>
  <c r="Z45" i="15"/>
  <c r="Z46" i="15"/>
  <c r="Z47" i="15"/>
  <c r="Z48" i="15"/>
  <c r="Z49" i="15"/>
  <c r="Z50" i="15"/>
  <c r="Z51" i="15"/>
  <c r="Z52" i="15"/>
  <c r="Z53" i="15"/>
  <c r="Z43" i="15"/>
  <c r="Y43" i="15"/>
  <c r="X44" i="15"/>
  <c r="X45" i="15"/>
  <c r="X46" i="15"/>
  <c r="X47" i="15"/>
  <c r="X48" i="15"/>
  <c r="X49" i="15"/>
  <c r="X50" i="15"/>
  <c r="X51" i="15"/>
  <c r="X52" i="15"/>
  <c r="X53" i="15"/>
  <c r="X43" i="15"/>
  <c r="W44" i="15"/>
  <c r="W45" i="15"/>
  <c r="W46" i="15"/>
  <c r="W47" i="15"/>
  <c r="W48" i="15"/>
  <c r="W49" i="15"/>
  <c r="W50" i="15"/>
  <c r="W51" i="15"/>
  <c r="W52" i="15"/>
  <c r="W53" i="15"/>
  <c r="W43" i="15"/>
  <c r="R44" i="15"/>
  <c r="R45" i="15"/>
  <c r="R46" i="15"/>
  <c r="R47" i="15"/>
  <c r="R48" i="15"/>
  <c r="R49" i="15"/>
  <c r="R50" i="15"/>
  <c r="R51" i="15"/>
  <c r="R52" i="15"/>
  <c r="R53" i="15"/>
  <c r="R43" i="15"/>
  <c r="M87" i="15"/>
  <c r="L87" i="15"/>
  <c r="K87" i="15"/>
  <c r="J87" i="15"/>
  <c r="I87" i="15"/>
  <c r="H87" i="15"/>
  <c r="G87" i="15"/>
  <c r="F87" i="15"/>
  <c r="E87" i="15"/>
  <c r="D87" i="15"/>
  <c r="C87" i="15"/>
  <c r="B87" i="15"/>
  <c r="N86" i="15"/>
  <c r="N85" i="15"/>
  <c r="N84" i="15"/>
  <c r="N83" i="15"/>
  <c r="N82" i="15"/>
  <c r="N81" i="15"/>
  <c r="N80" i="15"/>
  <c r="N79" i="15"/>
  <c r="N78" i="15"/>
  <c r="N77" i="15"/>
  <c r="N76" i="15"/>
  <c r="N61" i="15"/>
  <c r="N62" i="15"/>
  <c r="N63" i="15"/>
  <c r="N64" i="15"/>
  <c r="N65" i="15"/>
  <c r="N66" i="15"/>
  <c r="N67" i="15"/>
  <c r="N68" i="15"/>
  <c r="N69" i="15"/>
  <c r="N70" i="15"/>
  <c r="N60" i="15"/>
  <c r="C71" i="15"/>
  <c r="D71" i="15"/>
  <c r="E71" i="15"/>
  <c r="F71" i="15"/>
  <c r="G71" i="15"/>
  <c r="H71" i="15"/>
  <c r="I71" i="15"/>
  <c r="J71" i="15"/>
  <c r="K71" i="15"/>
  <c r="L71" i="15"/>
  <c r="M71" i="15"/>
  <c r="B71" i="15"/>
  <c r="L43" i="15"/>
  <c r="M43" i="15"/>
  <c r="N43" i="15"/>
  <c r="O43" i="15"/>
  <c r="K44" i="15"/>
  <c r="K45" i="15"/>
  <c r="K46" i="15"/>
  <c r="K47" i="15"/>
  <c r="K48" i="15"/>
  <c r="K49" i="15"/>
  <c r="K50" i="15"/>
  <c r="K51" i="15"/>
  <c r="K52" i="15"/>
  <c r="K53" i="15"/>
  <c r="K43" i="15"/>
  <c r="J44" i="15"/>
  <c r="J45" i="15"/>
  <c r="J46" i="15"/>
  <c r="J47" i="15"/>
  <c r="J48" i="15"/>
  <c r="J49" i="15"/>
  <c r="J50" i="15"/>
  <c r="J51" i="15"/>
  <c r="J52" i="15"/>
  <c r="J53" i="15"/>
  <c r="J43" i="15"/>
  <c r="F44" i="15"/>
  <c r="F45" i="15"/>
  <c r="F46" i="15"/>
  <c r="F47" i="15"/>
  <c r="F48" i="15"/>
  <c r="F49" i="15"/>
  <c r="F50" i="15"/>
  <c r="F51" i="15"/>
  <c r="F52" i="15"/>
  <c r="F53" i="15"/>
  <c r="F43" i="15"/>
  <c r="E44" i="15"/>
  <c r="E45" i="15"/>
  <c r="E46" i="15"/>
  <c r="E47" i="15"/>
  <c r="E48" i="15"/>
  <c r="E49" i="15"/>
  <c r="E50" i="15"/>
  <c r="E51" i="15"/>
  <c r="E52" i="15"/>
  <c r="E53" i="15"/>
  <c r="E43" i="15"/>
  <c r="D44" i="15"/>
  <c r="D45" i="15"/>
  <c r="D46" i="15"/>
  <c r="D47" i="15"/>
  <c r="D48" i="15"/>
  <c r="D49" i="15"/>
  <c r="D50" i="15"/>
  <c r="D51" i="15"/>
  <c r="D52" i="15"/>
  <c r="D53" i="15"/>
  <c r="D43" i="15"/>
  <c r="B44" i="15"/>
  <c r="B45" i="15"/>
  <c r="B46" i="15"/>
  <c r="B47" i="15"/>
  <c r="B48" i="15"/>
  <c r="B49" i="15"/>
  <c r="B50" i="15"/>
  <c r="B51" i="15"/>
  <c r="B52" i="15"/>
  <c r="B53" i="15"/>
  <c r="B43" i="15"/>
  <c r="AX35" i="15"/>
  <c r="AX36" i="15"/>
  <c r="AX37" i="15"/>
  <c r="AW36" i="15"/>
  <c r="AW37" i="15"/>
  <c r="AW35" i="15"/>
  <c r="AX19" i="15"/>
  <c r="AX20" i="15"/>
  <c r="AX21" i="15"/>
  <c r="AX22" i="15"/>
  <c r="AX23" i="15"/>
  <c r="AX24" i="15"/>
  <c r="AX25" i="15"/>
  <c r="AX26" i="15"/>
  <c r="AX27" i="15"/>
  <c r="AX28" i="15"/>
  <c r="AX29" i="15"/>
  <c r="AW20" i="15"/>
  <c r="AW21" i="15"/>
  <c r="AW22" i="15"/>
  <c r="AW23" i="15"/>
  <c r="AW24" i="15"/>
  <c r="AW25" i="15"/>
  <c r="AW26" i="15"/>
  <c r="AW27" i="15"/>
  <c r="AW28" i="15"/>
  <c r="AW29" i="15"/>
  <c r="AW19" i="15"/>
  <c r="AI35" i="15"/>
  <c r="AJ35" i="15"/>
  <c r="AK35" i="15"/>
  <c r="AL35" i="15"/>
  <c r="AM35" i="15"/>
  <c r="AN35" i="15"/>
  <c r="AO35" i="15"/>
  <c r="AP35" i="15"/>
  <c r="AQ35" i="15"/>
  <c r="AR35" i="15"/>
  <c r="AS35" i="15"/>
  <c r="AI36" i="15"/>
  <c r="AJ36" i="15"/>
  <c r="AK36" i="15"/>
  <c r="AL36" i="15"/>
  <c r="AM36" i="15"/>
  <c r="AN36" i="15"/>
  <c r="AO36" i="15"/>
  <c r="AP36" i="15"/>
  <c r="AQ36" i="15"/>
  <c r="AR36" i="15"/>
  <c r="AS36" i="15"/>
  <c r="AI37" i="15"/>
  <c r="AJ37" i="15"/>
  <c r="AK37" i="15"/>
  <c r="AL37" i="15"/>
  <c r="AM37" i="15"/>
  <c r="AN37" i="15"/>
  <c r="AO37" i="15"/>
  <c r="AP37" i="15"/>
  <c r="AQ37" i="15"/>
  <c r="AR37" i="15"/>
  <c r="AS37" i="15"/>
  <c r="AH36" i="15"/>
  <c r="AH37" i="15"/>
  <c r="AH35" i="15"/>
  <c r="AA35" i="15"/>
  <c r="AB35" i="15"/>
  <c r="AC35" i="15"/>
  <c r="AD35" i="15"/>
  <c r="AE35" i="15"/>
  <c r="AA36" i="15"/>
  <c r="AB36" i="15"/>
  <c r="AC36" i="15"/>
  <c r="AD36" i="15"/>
  <c r="AE36" i="15"/>
  <c r="AA37" i="15"/>
  <c r="AB37" i="15"/>
  <c r="AC37" i="15"/>
  <c r="AD37" i="15"/>
  <c r="AE37" i="15"/>
  <c r="Z36" i="15"/>
  <c r="Z37" i="15"/>
  <c r="Z35" i="15"/>
  <c r="S35" i="15"/>
  <c r="T35" i="15"/>
  <c r="U35" i="15"/>
  <c r="V35" i="15"/>
  <c r="W35" i="15"/>
  <c r="S36" i="15"/>
  <c r="T36" i="15"/>
  <c r="U36" i="15"/>
  <c r="V36" i="15"/>
  <c r="W36" i="15"/>
  <c r="S37" i="15"/>
  <c r="T37" i="15"/>
  <c r="U37" i="15"/>
  <c r="V37" i="15"/>
  <c r="W37" i="15"/>
  <c r="R36" i="15"/>
  <c r="R37" i="15"/>
  <c r="R35" i="15"/>
  <c r="K35" i="15"/>
  <c r="L35" i="15"/>
  <c r="M35" i="15"/>
  <c r="N35" i="15"/>
  <c r="O35" i="15"/>
  <c r="K36" i="15"/>
  <c r="L36" i="15"/>
  <c r="M36" i="15"/>
  <c r="N36" i="15"/>
  <c r="O36" i="15"/>
  <c r="K37" i="15"/>
  <c r="L37" i="15"/>
  <c r="M37" i="15"/>
  <c r="N37" i="15"/>
  <c r="O37" i="15"/>
  <c r="J36" i="15"/>
  <c r="J37" i="15"/>
  <c r="J35" i="15"/>
  <c r="C35" i="15"/>
  <c r="D35" i="15"/>
  <c r="E35" i="15"/>
  <c r="F35" i="15"/>
  <c r="G35" i="15"/>
  <c r="C36" i="15"/>
  <c r="D36" i="15"/>
  <c r="E36" i="15"/>
  <c r="F36" i="15"/>
  <c r="G36" i="15"/>
  <c r="C37" i="15"/>
  <c r="D37" i="15"/>
  <c r="E37" i="15"/>
  <c r="F37" i="15"/>
  <c r="G37" i="15"/>
  <c r="B36" i="15"/>
  <c r="B37" i="15"/>
  <c r="B35" i="15"/>
  <c r="AI19" i="15"/>
  <c r="AJ19" i="15"/>
  <c r="AK19" i="15"/>
  <c r="AL19" i="15"/>
  <c r="AM19" i="15"/>
  <c r="AN19" i="15"/>
  <c r="AO19" i="15"/>
  <c r="AP19" i="15"/>
  <c r="AQ19" i="15"/>
  <c r="AR19" i="15"/>
  <c r="AS19" i="15"/>
  <c r="AI20" i="15"/>
  <c r="AJ20" i="15"/>
  <c r="AK20" i="15"/>
  <c r="AL20" i="15"/>
  <c r="AM20" i="15"/>
  <c r="AN20" i="15"/>
  <c r="AO20" i="15"/>
  <c r="AP20" i="15"/>
  <c r="AQ20" i="15"/>
  <c r="AR20" i="15"/>
  <c r="AS20" i="15"/>
  <c r="AI21" i="15"/>
  <c r="AJ21" i="15"/>
  <c r="AK21" i="15"/>
  <c r="AL21" i="15"/>
  <c r="AM21" i="15"/>
  <c r="AN21" i="15"/>
  <c r="AO21" i="15"/>
  <c r="AP21" i="15"/>
  <c r="AQ21" i="15"/>
  <c r="AR21" i="15"/>
  <c r="AS21" i="15"/>
  <c r="AI22" i="15"/>
  <c r="AJ22" i="15"/>
  <c r="AK22" i="15"/>
  <c r="AL22" i="15"/>
  <c r="AM22" i="15"/>
  <c r="AN22" i="15"/>
  <c r="AO22" i="15"/>
  <c r="AP22" i="15"/>
  <c r="AQ22" i="15"/>
  <c r="AR22" i="15"/>
  <c r="AS22" i="15"/>
  <c r="AI23" i="15"/>
  <c r="AJ23" i="15"/>
  <c r="AK23" i="15"/>
  <c r="AL23" i="15"/>
  <c r="AM23" i="15"/>
  <c r="AN23" i="15"/>
  <c r="AO23" i="15"/>
  <c r="AP23" i="15"/>
  <c r="AQ23" i="15"/>
  <c r="AR23" i="15"/>
  <c r="AS23" i="15"/>
  <c r="AI24" i="15"/>
  <c r="AJ24" i="15"/>
  <c r="AK24" i="15"/>
  <c r="AL24" i="15"/>
  <c r="AM24" i="15"/>
  <c r="AN24" i="15"/>
  <c r="AO24" i="15"/>
  <c r="AP24" i="15"/>
  <c r="AQ24" i="15"/>
  <c r="AR24" i="15"/>
  <c r="AS24" i="15"/>
  <c r="AI25" i="15"/>
  <c r="AJ25" i="15"/>
  <c r="AK25" i="15"/>
  <c r="AL25" i="15"/>
  <c r="AM25" i="15"/>
  <c r="AN25" i="15"/>
  <c r="AO25" i="15"/>
  <c r="AP25" i="15"/>
  <c r="AQ25" i="15"/>
  <c r="AR25" i="15"/>
  <c r="AS25" i="15"/>
  <c r="AI26" i="15"/>
  <c r="AJ26" i="15"/>
  <c r="AK26" i="15"/>
  <c r="AL26" i="15"/>
  <c r="AM26" i="15"/>
  <c r="AN26" i="15"/>
  <c r="AO26" i="15"/>
  <c r="AP26" i="15"/>
  <c r="AQ26" i="15"/>
  <c r="AR26" i="15"/>
  <c r="AS26" i="15"/>
  <c r="AI27" i="15"/>
  <c r="AJ27" i="15"/>
  <c r="AK27" i="15"/>
  <c r="AL27" i="15"/>
  <c r="AM27" i="15"/>
  <c r="AN27" i="15"/>
  <c r="AO27" i="15"/>
  <c r="AP27" i="15"/>
  <c r="AQ27" i="15"/>
  <c r="AR27" i="15"/>
  <c r="AS27" i="15"/>
  <c r="AI28" i="15"/>
  <c r="AJ28" i="15"/>
  <c r="AK28" i="15"/>
  <c r="AL28" i="15"/>
  <c r="AM28" i="15"/>
  <c r="AN28" i="15"/>
  <c r="AO28" i="15"/>
  <c r="AP28" i="15"/>
  <c r="AQ28" i="15"/>
  <c r="AR28" i="15"/>
  <c r="AS28" i="15"/>
  <c r="AI29" i="15"/>
  <c r="AJ29" i="15"/>
  <c r="AK29" i="15"/>
  <c r="AL29" i="15"/>
  <c r="AM29" i="15"/>
  <c r="AN29" i="15"/>
  <c r="AO29" i="15"/>
  <c r="AP29" i="15"/>
  <c r="AQ29" i="15"/>
  <c r="AR29" i="15"/>
  <c r="AS29" i="15"/>
  <c r="AH20" i="15"/>
  <c r="AH21" i="15"/>
  <c r="AH22" i="15"/>
  <c r="AH23" i="15"/>
  <c r="AH24" i="15"/>
  <c r="AH25" i="15"/>
  <c r="AH26" i="15"/>
  <c r="AH27" i="15"/>
  <c r="AH28" i="15"/>
  <c r="AH29" i="15"/>
  <c r="AH19" i="15"/>
  <c r="AA19" i="15"/>
  <c r="AB19" i="15"/>
  <c r="AC19" i="15"/>
  <c r="AD19" i="15"/>
  <c r="AE19" i="15"/>
  <c r="AA20" i="15"/>
  <c r="AB20" i="15"/>
  <c r="AC20" i="15"/>
  <c r="AD20" i="15"/>
  <c r="AE20" i="15"/>
  <c r="AA21" i="15"/>
  <c r="AB21" i="15"/>
  <c r="AC21" i="15"/>
  <c r="AD21" i="15"/>
  <c r="AE21" i="15"/>
  <c r="AA22" i="15"/>
  <c r="AB22" i="15"/>
  <c r="AC22" i="15"/>
  <c r="AD22" i="15"/>
  <c r="AE22" i="15"/>
  <c r="AA23" i="15"/>
  <c r="AB23" i="15"/>
  <c r="AC23" i="15"/>
  <c r="AD23" i="15"/>
  <c r="AE23" i="15"/>
  <c r="AA24" i="15"/>
  <c r="AB24" i="15"/>
  <c r="AC24" i="15"/>
  <c r="AD24" i="15"/>
  <c r="AE24" i="15"/>
  <c r="AA25" i="15"/>
  <c r="AB25" i="15"/>
  <c r="AC25" i="15"/>
  <c r="AD25" i="15"/>
  <c r="AE25" i="15"/>
  <c r="AA26" i="15"/>
  <c r="AB26" i="15"/>
  <c r="AC26" i="15"/>
  <c r="AD26" i="15"/>
  <c r="AE26" i="15"/>
  <c r="AA27" i="15"/>
  <c r="AB27" i="15"/>
  <c r="AC27" i="15"/>
  <c r="AD27" i="15"/>
  <c r="AE27" i="15"/>
  <c r="AA28" i="15"/>
  <c r="AB28" i="15"/>
  <c r="AC28" i="15"/>
  <c r="AD28" i="15"/>
  <c r="AE28" i="15"/>
  <c r="AA29" i="15"/>
  <c r="AB29" i="15"/>
  <c r="AC29" i="15"/>
  <c r="AD29" i="15"/>
  <c r="AE29" i="15"/>
  <c r="Z20" i="15"/>
  <c r="Z21" i="15"/>
  <c r="Z22" i="15"/>
  <c r="Z23" i="15"/>
  <c r="Z24" i="15"/>
  <c r="Z25" i="15"/>
  <c r="Z26" i="15"/>
  <c r="Z27" i="15"/>
  <c r="Z28" i="15"/>
  <c r="Z29" i="15"/>
  <c r="Z19" i="15"/>
  <c r="S19" i="15"/>
  <c r="T19" i="15"/>
  <c r="U19" i="15"/>
  <c r="V19" i="15"/>
  <c r="W19" i="15"/>
  <c r="S20" i="15"/>
  <c r="T20" i="15"/>
  <c r="U20" i="15"/>
  <c r="V20" i="15"/>
  <c r="W20" i="15"/>
  <c r="S21" i="15"/>
  <c r="T21" i="15"/>
  <c r="U21" i="15"/>
  <c r="V21" i="15"/>
  <c r="W21" i="15"/>
  <c r="S22" i="15"/>
  <c r="T22" i="15"/>
  <c r="U22" i="15"/>
  <c r="V22" i="15"/>
  <c r="W22" i="15"/>
  <c r="S23" i="15"/>
  <c r="T23" i="15"/>
  <c r="U23" i="15"/>
  <c r="V23" i="15"/>
  <c r="W23" i="15"/>
  <c r="S24" i="15"/>
  <c r="T24" i="15"/>
  <c r="U24" i="15"/>
  <c r="V24" i="15"/>
  <c r="W24" i="15"/>
  <c r="S25" i="15"/>
  <c r="T25" i="15"/>
  <c r="U25" i="15"/>
  <c r="V25" i="15"/>
  <c r="W25" i="15"/>
  <c r="S26" i="15"/>
  <c r="T26" i="15"/>
  <c r="U26" i="15"/>
  <c r="V26" i="15"/>
  <c r="W26" i="15"/>
  <c r="S27" i="15"/>
  <c r="T27" i="15"/>
  <c r="U27" i="15"/>
  <c r="V27" i="15"/>
  <c r="W27" i="15"/>
  <c r="S28" i="15"/>
  <c r="T28" i="15"/>
  <c r="U28" i="15"/>
  <c r="V28" i="15"/>
  <c r="W28" i="15"/>
  <c r="S29" i="15"/>
  <c r="T29" i="15"/>
  <c r="U29" i="15"/>
  <c r="V29" i="15"/>
  <c r="W29" i="15"/>
  <c r="R20" i="15"/>
  <c r="R21" i="15"/>
  <c r="R22" i="15"/>
  <c r="R23" i="15"/>
  <c r="R24" i="15"/>
  <c r="R25" i="15"/>
  <c r="R26" i="15"/>
  <c r="R27" i="15"/>
  <c r="R28" i="15"/>
  <c r="R29" i="15"/>
  <c r="R19" i="15"/>
  <c r="K19" i="15"/>
  <c r="L19" i="15"/>
  <c r="M19" i="15"/>
  <c r="N19" i="15"/>
  <c r="O19" i="15"/>
  <c r="K20" i="15"/>
  <c r="L20" i="15"/>
  <c r="M20" i="15"/>
  <c r="N20" i="15"/>
  <c r="O20" i="15"/>
  <c r="K21" i="15"/>
  <c r="L21" i="15"/>
  <c r="M21" i="15"/>
  <c r="N21" i="15"/>
  <c r="O21" i="15"/>
  <c r="K22" i="15"/>
  <c r="L22" i="15"/>
  <c r="M22" i="15"/>
  <c r="N22" i="15"/>
  <c r="O22" i="15"/>
  <c r="K23" i="15"/>
  <c r="L23" i="15"/>
  <c r="M23" i="15"/>
  <c r="N23" i="15"/>
  <c r="O23" i="15"/>
  <c r="K24" i="15"/>
  <c r="L24" i="15"/>
  <c r="M24" i="15"/>
  <c r="N24" i="15"/>
  <c r="O24" i="15"/>
  <c r="K25" i="15"/>
  <c r="L25" i="15"/>
  <c r="M25" i="15"/>
  <c r="N25" i="15"/>
  <c r="O25" i="15"/>
  <c r="K26" i="15"/>
  <c r="L26" i="15"/>
  <c r="M26" i="15"/>
  <c r="N26" i="15"/>
  <c r="O26" i="15"/>
  <c r="K27" i="15"/>
  <c r="L27" i="15"/>
  <c r="M27" i="15"/>
  <c r="N27" i="15"/>
  <c r="O27" i="15"/>
  <c r="K28" i="15"/>
  <c r="L28" i="15"/>
  <c r="M28" i="15"/>
  <c r="N28" i="15"/>
  <c r="O28" i="15"/>
  <c r="K29" i="15"/>
  <c r="L29" i="15"/>
  <c r="M29" i="15"/>
  <c r="N29" i="15"/>
  <c r="O29" i="15"/>
  <c r="J20" i="15"/>
  <c r="J21" i="15"/>
  <c r="J22" i="15"/>
  <c r="J23" i="15"/>
  <c r="J24" i="15"/>
  <c r="J25" i="15"/>
  <c r="J26" i="15"/>
  <c r="J27" i="15"/>
  <c r="J28" i="15"/>
  <c r="J29" i="15"/>
  <c r="J19" i="15"/>
  <c r="C19" i="15"/>
  <c r="D19" i="15"/>
  <c r="E19" i="15"/>
  <c r="F19" i="15"/>
  <c r="G19" i="15"/>
  <c r="C20" i="15"/>
  <c r="D20" i="15"/>
  <c r="E20" i="15"/>
  <c r="F20" i="15"/>
  <c r="G20" i="15"/>
  <c r="C21" i="15"/>
  <c r="D21" i="15"/>
  <c r="E21" i="15"/>
  <c r="F21" i="15"/>
  <c r="G21" i="15"/>
  <c r="C22" i="15"/>
  <c r="D22" i="15"/>
  <c r="E22" i="15"/>
  <c r="F22" i="15"/>
  <c r="G22" i="15"/>
  <c r="C23" i="15"/>
  <c r="D23" i="15"/>
  <c r="E23" i="15"/>
  <c r="F23" i="15"/>
  <c r="G23" i="15"/>
  <c r="C24" i="15"/>
  <c r="D24" i="15"/>
  <c r="E24" i="15"/>
  <c r="F24" i="15"/>
  <c r="G24" i="15"/>
  <c r="C25" i="15"/>
  <c r="D25" i="15"/>
  <c r="E25" i="15"/>
  <c r="F25" i="15"/>
  <c r="G25" i="15"/>
  <c r="C26" i="15"/>
  <c r="D26" i="15"/>
  <c r="E26" i="15"/>
  <c r="F26" i="15"/>
  <c r="G26" i="15"/>
  <c r="C27" i="15"/>
  <c r="D27" i="15"/>
  <c r="E27" i="15"/>
  <c r="F27" i="15"/>
  <c r="G27" i="15"/>
  <c r="C28" i="15"/>
  <c r="D28" i="15"/>
  <c r="E28" i="15"/>
  <c r="F28" i="15"/>
  <c r="G28" i="15"/>
  <c r="C29" i="15"/>
  <c r="D29" i="15"/>
  <c r="E29" i="15"/>
  <c r="F29" i="15"/>
  <c r="G29" i="15"/>
  <c r="B20" i="15"/>
  <c r="B21" i="15"/>
  <c r="B22" i="15"/>
  <c r="B23" i="15"/>
  <c r="B24" i="15"/>
  <c r="B25" i="15"/>
  <c r="B26" i="15"/>
  <c r="B27" i="15"/>
  <c r="B28" i="15"/>
  <c r="B29" i="15"/>
  <c r="B19" i="15"/>
  <c r="AU4" i="15"/>
  <c r="AV4" i="15"/>
  <c r="AW4" i="15"/>
  <c r="AX4" i="15"/>
  <c r="AY4" i="15"/>
  <c r="AU5" i="15"/>
  <c r="AV5" i="15"/>
  <c r="AW5" i="15"/>
  <c r="AX5" i="15"/>
  <c r="AY5" i="15"/>
  <c r="AU6" i="15"/>
  <c r="AV6" i="15"/>
  <c r="AW6" i="15"/>
  <c r="AX6" i="15"/>
  <c r="AY6" i="15"/>
  <c r="AU7" i="15"/>
  <c r="AV7" i="15"/>
  <c r="AW7" i="15"/>
  <c r="AX7" i="15"/>
  <c r="AY7" i="15"/>
  <c r="AU8" i="15"/>
  <c r="AV8" i="15"/>
  <c r="AW8" i="15"/>
  <c r="AX8" i="15"/>
  <c r="AY8" i="15"/>
  <c r="AU9" i="15"/>
  <c r="AV9" i="15"/>
  <c r="AW9" i="15"/>
  <c r="AX9" i="15"/>
  <c r="AY9" i="15"/>
  <c r="AU10" i="15"/>
  <c r="AV10" i="15"/>
  <c r="AW10" i="15"/>
  <c r="AX10" i="15"/>
  <c r="AY10" i="15"/>
  <c r="AU11" i="15"/>
  <c r="AV11" i="15"/>
  <c r="AW11" i="15"/>
  <c r="AX11" i="15"/>
  <c r="AY11" i="15"/>
  <c r="AU12" i="15"/>
  <c r="AV12" i="15"/>
  <c r="AW12" i="15"/>
  <c r="AX12" i="15"/>
  <c r="AY12" i="15"/>
  <c r="AU13" i="15"/>
  <c r="AV13" i="15"/>
  <c r="AW13" i="15"/>
  <c r="AX13" i="15"/>
  <c r="AY13" i="15"/>
  <c r="AU14" i="15"/>
  <c r="AV14" i="15"/>
  <c r="AW14" i="15"/>
  <c r="AX14" i="15"/>
  <c r="AY14" i="15"/>
  <c r="AT5" i="15"/>
  <c r="AT6" i="15"/>
  <c r="AT7" i="15"/>
  <c r="AT8" i="15"/>
  <c r="AT9" i="15"/>
  <c r="AT10" i="15"/>
  <c r="AT11" i="15"/>
  <c r="AT12" i="15"/>
  <c r="AT13" i="15"/>
  <c r="AT14" i="15"/>
  <c r="AT4" i="15"/>
  <c r="AM4" i="15"/>
  <c r="AN4" i="15"/>
  <c r="AO4" i="15"/>
  <c r="AP4" i="15"/>
  <c r="AQ4" i="15"/>
  <c r="AM5" i="15"/>
  <c r="AN5" i="15"/>
  <c r="AO5" i="15"/>
  <c r="AP5" i="15"/>
  <c r="AQ5" i="15"/>
  <c r="AM6" i="15"/>
  <c r="AN6" i="15"/>
  <c r="AO6" i="15"/>
  <c r="AP6" i="15"/>
  <c r="AQ6" i="15"/>
  <c r="AM7" i="15"/>
  <c r="AN7" i="15"/>
  <c r="AO7" i="15"/>
  <c r="AP7" i="15"/>
  <c r="AQ7" i="15"/>
  <c r="AM8" i="15"/>
  <c r="AN8" i="15"/>
  <c r="AO8" i="15"/>
  <c r="AP8" i="15"/>
  <c r="AQ8" i="15"/>
  <c r="AM9" i="15"/>
  <c r="AN9" i="15"/>
  <c r="AO9" i="15"/>
  <c r="AP9" i="15"/>
  <c r="AQ9" i="15"/>
  <c r="AM10" i="15"/>
  <c r="AN10" i="15"/>
  <c r="AO10" i="15"/>
  <c r="AP10" i="15"/>
  <c r="AQ10" i="15"/>
  <c r="AM11" i="15"/>
  <c r="AN11" i="15"/>
  <c r="AO11" i="15"/>
  <c r="AP11" i="15"/>
  <c r="AQ11" i="15"/>
  <c r="AM12" i="15"/>
  <c r="AN12" i="15"/>
  <c r="AO12" i="15"/>
  <c r="AP12" i="15"/>
  <c r="AQ12" i="15"/>
  <c r="AM13" i="15"/>
  <c r="AN13" i="15"/>
  <c r="AO13" i="15"/>
  <c r="AP13" i="15"/>
  <c r="AQ13" i="15"/>
  <c r="AM14" i="15"/>
  <c r="AN14" i="15"/>
  <c r="AO14" i="15"/>
  <c r="AP14" i="15"/>
  <c r="AQ14" i="15"/>
  <c r="AL5" i="15"/>
  <c r="AL6" i="15"/>
  <c r="AL7" i="15"/>
  <c r="AL8" i="15"/>
  <c r="AL9" i="15"/>
  <c r="AL10" i="15"/>
  <c r="AL11" i="15"/>
  <c r="AL12" i="15"/>
  <c r="AL13" i="15"/>
  <c r="AL14" i="15"/>
  <c r="AL4" i="15"/>
  <c r="AI5" i="15"/>
  <c r="AI6" i="15"/>
  <c r="AI7" i="15"/>
  <c r="AI8" i="15"/>
  <c r="AI9" i="15"/>
  <c r="AI10" i="15"/>
  <c r="AI11" i="15"/>
  <c r="AI12" i="15"/>
  <c r="AI13" i="15"/>
  <c r="AI14" i="15"/>
  <c r="AI4" i="15"/>
  <c r="AH5" i="15"/>
  <c r="AH6" i="15"/>
  <c r="AH7" i="15"/>
  <c r="AH8" i="15"/>
  <c r="AH9" i="15"/>
  <c r="AH10" i="15"/>
  <c r="AH11" i="15"/>
  <c r="AH12" i="15"/>
  <c r="AH13" i="15"/>
  <c r="AH14" i="15"/>
  <c r="AH4" i="15"/>
  <c r="S4" i="15"/>
  <c r="T4" i="15"/>
  <c r="U4" i="15"/>
  <c r="V4" i="15"/>
  <c r="W4" i="15"/>
  <c r="S5" i="15"/>
  <c r="T5" i="15"/>
  <c r="U5" i="15"/>
  <c r="V5" i="15"/>
  <c r="W5" i="15"/>
  <c r="S6" i="15"/>
  <c r="T6" i="15"/>
  <c r="U6" i="15"/>
  <c r="V6" i="15"/>
  <c r="W6" i="15"/>
  <c r="S7" i="15"/>
  <c r="T7" i="15"/>
  <c r="U7" i="15"/>
  <c r="V7" i="15"/>
  <c r="W7" i="15"/>
  <c r="S8" i="15"/>
  <c r="T8" i="15"/>
  <c r="U8" i="15"/>
  <c r="V8" i="15"/>
  <c r="W8" i="15"/>
  <c r="S9" i="15"/>
  <c r="T9" i="15"/>
  <c r="U9" i="15"/>
  <c r="V9" i="15"/>
  <c r="W9" i="15"/>
  <c r="S10" i="15"/>
  <c r="T10" i="15"/>
  <c r="U10" i="15"/>
  <c r="V10" i="15"/>
  <c r="W10" i="15"/>
  <c r="S11" i="15"/>
  <c r="T11" i="15"/>
  <c r="U11" i="15"/>
  <c r="V11" i="15"/>
  <c r="W11" i="15"/>
  <c r="S12" i="15"/>
  <c r="T12" i="15"/>
  <c r="U12" i="15"/>
  <c r="V12" i="15"/>
  <c r="W12" i="15"/>
  <c r="S13" i="15"/>
  <c r="T13" i="15"/>
  <c r="U13" i="15"/>
  <c r="V13" i="15"/>
  <c r="W13" i="15"/>
  <c r="S14" i="15"/>
  <c r="T14" i="15"/>
  <c r="U14" i="15"/>
  <c r="V14" i="15"/>
  <c r="W14" i="15"/>
  <c r="R5" i="15"/>
  <c r="R6" i="15"/>
  <c r="R7" i="15"/>
  <c r="R8" i="15"/>
  <c r="R9" i="15"/>
  <c r="R10" i="15"/>
  <c r="R11" i="15"/>
  <c r="R12" i="15"/>
  <c r="R13" i="15"/>
  <c r="R14" i="15"/>
  <c r="R4" i="15"/>
  <c r="C4" i="15"/>
  <c r="D4" i="15"/>
  <c r="E4" i="15"/>
  <c r="F4" i="15"/>
  <c r="G4" i="15"/>
  <c r="C5" i="15"/>
  <c r="D5" i="15"/>
  <c r="E5" i="15"/>
  <c r="F5" i="15"/>
  <c r="G5" i="15"/>
  <c r="C6" i="15"/>
  <c r="D6" i="15"/>
  <c r="E6" i="15"/>
  <c r="F6" i="15"/>
  <c r="G6" i="15"/>
  <c r="C7" i="15"/>
  <c r="D7" i="15"/>
  <c r="E7" i="15"/>
  <c r="F7" i="15"/>
  <c r="G7" i="15"/>
  <c r="C8" i="15"/>
  <c r="D8" i="15"/>
  <c r="E8" i="15"/>
  <c r="F8" i="15"/>
  <c r="G8" i="15"/>
  <c r="C9" i="15"/>
  <c r="D9" i="15"/>
  <c r="E9" i="15"/>
  <c r="F9" i="15"/>
  <c r="G9" i="15"/>
  <c r="C10" i="15"/>
  <c r="D10" i="15"/>
  <c r="E10" i="15"/>
  <c r="F10" i="15"/>
  <c r="G10" i="15"/>
  <c r="C11" i="15"/>
  <c r="D11" i="15"/>
  <c r="E11" i="15"/>
  <c r="F11" i="15"/>
  <c r="G11" i="15"/>
  <c r="C12" i="15"/>
  <c r="D12" i="15"/>
  <c r="E12" i="15"/>
  <c r="F12" i="15"/>
  <c r="G12" i="15"/>
  <c r="C13" i="15"/>
  <c r="D13" i="15"/>
  <c r="E13" i="15"/>
  <c r="F13" i="15"/>
  <c r="G13" i="15"/>
  <c r="C14" i="15"/>
  <c r="D14" i="15"/>
  <c r="E14" i="15"/>
  <c r="F14" i="15"/>
  <c r="G14" i="15"/>
  <c r="B5" i="15"/>
  <c r="B6" i="15"/>
  <c r="B7" i="15"/>
  <c r="B8" i="15"/>
  <c r="B9" i="15"/>
  <c r="B10" i="15"/>
  <c r="B11" i="15"/>
  <c r="B12" i="15"/>
  <c r="B13" i="15"/>
  <c r="B14" i="15"/>
  <c r="B4" i="15"/>
  <c r="AE7" i="1"/>
  <c r="AE3" i="1"/>
  <c r="AE21" i="1"/>
  <c r="AE10" i="1"/>
  <c r="AE17" i="1"/>
  <c r="AE9" i="1"/>
  <c r="AE11" i="1"/>
  <c r="AE18" i="1"/>
  <c r="AE13" i="1"/>
  <c r="H63" i="4" s="1"/>
  <c r="AE32" i="1"/>
  <c r="AE37" i="1"/>
  <c r="F23" i="4" s="1"/>
  <c r="AE54" i="1"/>
  <c r="AE31" i="1"/>
  <c r="AE36" i="1"/>
  <c r="AE40" i="1"/>
  <c r="F61" i="4" s="1"/>
  <c r="AE48" i="1"/>
  <c r="AE56" i="1"/>
  <c r="AE53" i="1"/>
  <c r="E10" i="4" s="1"/>
  <c r="AE55" i="1"/>
  <c r="AE49" i="1"/>
  <c r="AE61" i="1"/>
  <c r="AE67" i="1"/>
  <c r="AE72" i="1"/>
  <c r="AE66" i="1"/>
  <c r="AE76" i="1"/>
  <c r="AE79" i="1"/>
  <c r="AE74" i="1"/>
  <c r="AE73" i="1"/>
  <c r="AE80" i="1"/>
  <c r="AE77" i="1"/>
  <c r="AE164" i="1"/>
  <c r="AE254" i="1"/>
  <c r="AE265" i="1"/>
  <c r="AE191" i="1"/>
  <c r="AE238" i="1"/>
  <c r="AE151" i="1"/>
  <c r="AE188" i="1"/>
  <c r="AE230" i="1"/>
  <c r="AE225" i="1"/>
  <c r="AE181" i="1"/>
  <c r="AE182" i="1"/>
  <c r="AE235" i="1"/>
  <c r="AE236" i="1"/>
  <c r="AE250" i="1"/>
  <c r="AE251" i="1"/>
  <c r="AE263" i="1"/>
  <c r="AE264" i="1"/>
  <c r="AE266" i="1"/>
  <c r="AE232" i="1"/>
  <c r="AE218" i="1"/>
  <c r="AE146" i="1"/>
  <c r="AE153" i="1"/>
  <c r="AE155" i="1"/>
  <c r="AE160" i="1"/>
  <c r="AE163" i="1"/>
  <c r="AE173" i="1"/>
  <c r="AE190" i="1"/>
  <c r="AE229" i="1"/>
  <c r="AE247" i="1"/>
  <c r="AE261" i="1"/>
  <c r="AE158" i="1"/>
  <c r="AE201" i="1"/>
  <c r="AE202" i="1"/>
  <c r="AE206" i="1"/>
  <c r="AE244" i="1"/>
  <c r="AE192" i="1"/>
  <c r="AE197" i="1"/>
  <c r="AE207" i="1"/>
  <c r="AE223" i="1"/>
  <c r="AE193" i="1"/>
  <c r="AE220" i="1"/>
  <c r="AE239" i="1"/>
  <c r="AE245" i="1"/>
  <c r="AE124" i="1"/>
  <c r="AE143" i="1"/>
  <c r="AE147" i="1"/>
  <c r="AE209" i="1"/>
  <c r="AE234" i="1"/>
  <c r="AE142" i="1"/>
  <c r="AE145" i="1"/>
  <c r="AE154" i="1"/>
  <c r="AE156" i="1"/>
  <c r="AE166" i="1"/>
  <c r="AE178" i="1"/>
  <c r="AE199" i="1"/>
  <c r="AE259" i="1"/>
  <c r="AE231" i="1"/>
  <c r="AE252" i="1"/>
  <c r="AE255" i="1"/>
  <c r="AE262" i="1"/>
  <c r="AE174" i="1"/>
  <c r="AE205" i="1"/>
  <c r="AE212" i="1"/>
  <c r="AE148" i="1"/>
  <c r="AE149" i="1"/>
  <c r="AE161" i="1"/>
  <c r="AE168" i="1"/>
  <c r="AE177" i="1"/>
  <c r="AE184" i="1"/>
  <c r="AE246" i="1"/>
  <c r="AE260" i="1"/>
  <c r="AE237" i="1"/>
  <c r="AE210" i="1"/>
  <c r="AE241" i="1"/>
  <c r="AE233" i="1"/>
  <c r="AE176" i="1"/>
  <c r="AE131" i="1"/>
  <c r="AE132" i="1"/>
  <c r="AE134" i="1"/>
  <c r="AE167" i="1"/>
  <c r="AE171" i="1"/>
  <c r="AE179" i="1"/>
  <c r="AE227" i="1"/>
  <c r="AE196" i="1"/>
  <c r="AE187" i="1"/>
  <c r="AE200" i="1"/>
  <c r="AE204" i="1"/>
  <c r="AE222" i="1"/>
  <c r="AE215" i="1"/>
  <c r="AE144" i="1"/>
  <c r="AE123" i="1"/>
  <c r="AE125" i="1"/>
  <c r="AE150" i="1"/>
  <c r="AE152" i="1"/>
  <c r="AE159" i="1"/>
  <c r="AE169" i="1"/>
  <c r="AE180" i="1"/>
  <c r="AE185" i="1"/>
  <c r="AE203" i="1"/>
  <c r="AE248" i="1"/>
  <c r="AE253" i="1"/>
  <c r="AE256" i="1"/>
  <c r="AE217" i="1"/>
  <c r="AE240" i="1"/>
  <c r="AE257" i="1"/>
  <c r="AE139" i="1"/>
  <c r="AE165" i="1"/>
  <c r="AE186" i="1"/>
  <c r="AE219" i="1"/>
  <c r="AE126" i="1"/>
  <c r="AE128" i="1"/>
  <c r="AE135" i="1"/>
  <c r="AE136" i="1"/>
  <c r="AE141" i="1"/>
  <c r="AE162" i="1"/>
  <c r="AE172" i="1"/>
  <c r="AE175" i="1"/>
  <c r="AE189" i="1"/>
  <c r="AE194" i="1"/>
  <c r="AE195" i="1"/>
  <c r="AE221" i="1"/>
  <c r="AE242" i="1"/>
  <c r="AE267" i="1"/>
  <c r="AE268" i="1"/>
  <c r="AE269" i="1"/>
  <c r="AE228" i="1"/>
  <c r="AE140" i="1"/>
  <c r="AE211" i="1"/>
  <c r="AE224" i="1"/>
  <c r="AE243" i="1"/>
  <c r="AE258" i="1"/>
  <c r="AE213" i="1"/>
  <c r="AE208" i="1"/>
  <c r="AE183" i="1"/>
  <c r="AE127" i="1"/>
  <c r="AE133" i="1"/>
  <c r="AE137" i="1"/>
  <c r="AE138" i="1"/>
  <c r="AE157" i="1"/>
  <c r="AE214" i="1"/>
  <c r="AE226" i="1"/>
  <c r="AE249" i="1"/>
  <c r="AE216" i="1"/>
  <c r="AE170" i="1"/>
  <c r="AE129" i="1"/>
  <c r="AE130" i="1"/>
  <c r="AE198" i="1"/>
  <c r="AE92" i="1"/>
  <c r="AE87" i="1"/>
  <c r="AE95" i="1"/>
  <c r="AE82" i="1"/>
  <c r="AE91" i="1"/>
  <c r="AE93" i="1"/>
  <c r="AE81" i="1"/>
  <c r="AE86" i="1"/>
  <c r="AE85" i="1"/>
  <c r="AE89" i="1"/>
  <c r="AE88" i="1"/>
  <c r="AE90" i="1"/>
  <c r="AE84" i="1"/>
  <c r="AE94" i="1"/>
  <c r="AE83" i="1"/>
  <c r="F72" i="4"/>
  <c r="G72" i="4"/>
  <c r="H72" i="4"/>
  <c r="I72" i="4"/>
  <c r="J72" i="4"/>
  <c r="K72" i="4"/>
  <c r="L72" i="4"/>
  <c r="M72" i="4"/>
  <c r="N72" i="4"/>
  <c r="O72" i="4"/>
  <c r="P72" i="4"/>
  <c r="F73" i="4"/>
  <c r="G73" i="4"/>
  <c r="H73" i="4"/>
  <c r="I73" i="4"/>
  <c r="J73" i="4"/>
  <c r="K73" i="4"/>
  <c r="L73" i="4"/>
  <c r="M73" i="4"/>
  <c r="N73" i="4"/>
  <c r="O73" i="4"/>
  <c r="P73" i="4"/>
  <c r="F75" i="4"/>
  <c r="G75" i="4"/>
  <c r="H75" i="4"/>
  <c r="I75" i="4"/>
  <c r="J75" i="4"/>
  <c r="K75" i="4"/>
  <c r="L75" i="4"/>
  <c r="M75" i="4"/>
  <c r="N75" i="4"/>
  <c r="O75" i="4"/>
  <c r="P75" i="4"/>
  <c r="F76" i="4"/>
  <c r="G76" i="4"/>
  <c r="H76" i="4"/>
  <c r="I76" i="4"/>
  <c r="J76" i="4"/>
  <c r="K76" i="4"/>
  <c r="L76" i="4"/>
  <c r="M76" i="4"/>
  <c r="N76" i="4"/>
  <c r="O76" i="4"/>
  <c r="P76" i="4"/>
  <c r="F78" i="4"/>
  <c r="G78" i="4"/>
  <c r="H78" i="4"/>
  <c r="I78" i="4"/>
  <c r="J78" i="4"/>
  <c r="K78" i="4"/>
  <c r="L78" i="4"/>
  <c r="M78" i="4"/>
  <c r="N78" i="4"/>
  <c r="O78" i="4"/>
  <c r="P78" i="4"/>
  <c r="F80" i="4"/>
  <c r="G80" i="4"/>
  <c r="H80" i="4"/>
  <c r="I80" i="4"/>
  <c r="J80" i="4"/>
  <c r="K80" i="4"/>
  <c r="L80" i="4"/>
  <c r="M80" i="4"/>
  <c r="N80" i="4"/>
  <c r="O80" i="4"/>
  <c r="P80" i="4"/>
  <c r="E72" i="4"/>
  <c r="E73" i="4"/>
  <c r="E75" i="4"/>
  <c r="E76" i="4"/>
  <c r="E78" i="4"/>
  <c r="E80" i="4"/>
  <c r="F36" i="4"/>
  <c r="G36" i="4"/>
  <c r="H36" i="4"/>
  <c r="I36" i="4"/>
  <c r="J36" i="4"/>
  <c r="K36" i="4"/>
  <c r="L36" i="4"/>
  <c r="M36" i="4"/>
  <c r="N36" i="4"/>
  <c r="O36" i="4"/>
  <c r="P36" i="4"/>
  <c r="F37" i="4"/>
  <c r="G37" i="4"/>
  <c r="H37" i="4"/>
  <c r="I37" i="4"/>
  <c r="J37" i="4"/>
  <c r="K37" i="4"/>
  <c r="L37" i="4"/>
  <c r="M37" i="4"/>
  <c r="N37" i="4"/>
  <c r="O37" i="4"/>
  <c r="P37" i="4"/>
  <c r="F38" i="4"/>
  <c r="G38" i="4"/>
  <c r="H38" i="4"/>
  <c r="I38" i="4"/>
  <c r="J38" i="4"/>
  <c r="K38" i="4"/>
  <c r="L38" i="4"/>
  <c r="M38" i="4"/>
  <c r="N38" i="4"/>
  <c r="O38" i="4"/>
  <c r="P38" i="4"/>
  <c r="F39" i="4"/>
  <c r="G39" i="4"/>
  <c r="H39" i="4"/>
  <c r="I39" i="4"/>
  <c r="J39" i="4"/>
  <c r="K39" i="4"/>
  <c r="L39" i="4"/>
  <c r="M39" i="4"/>
  <c r="N39" i="4"/>
  <c r="O39" i="4"/>
  <c r="P39" i="4"/>
  <c r="F40" i="4"/>
  <c r="G40" i="4"/>
  <c r="H40" i="4"/>
  <c r="I40" i="4"/>
  <c r="J40" i="4"/>
  <c r="K40" i="4"/>
  <c r="L40" i="4"/>
  <c r="M40" i="4"/>
  <c r="N40" i="4"/>
  <c r="O40" i="4"/>
  <c r="P40" i="4"/>
  <c r="F41" i="4"/>
  <c r="G41" i="4"/>
  <c r="H41" i="4"/>
  <c r="I41" i="4"/>
  <c r="J41" i="4"/>
  <c r="K41" i="4"/>
  <c r="L41" i="4"/>
  <c r="M41" i="4"/>
  <c r="N41" i="4"/>
  <c r="O41" i="4"/>
  <c r="P41" i="4"/>
  <c r="F42" i="4"/>
  <c r="G42" i="4"/>
  <c r="H42" i="4"/>
  <c r="I42" i="4"/>
  <c r="J42" i="4"/>
  <c r="K42" i="4"/>
  <c r="L42" i="4"/>
  <c r="M42" i="4"/>
  <c r="N42" i="4"/>
  <c r="O42" i="4"/>
  <c r="P42" i="4"/>
  <c r="F43" i="4"/>
  <c r="G43" i="4"/>
  <c r="H43" i="4"/>
  <c r="I43" i="4"/>
  <c r="J43" i="4"/>
  <c r="K43" i="4"/>
  <c r="L43" i="4"/>
  <c r="M43" i="4"/>
  <c r="N43" i="4"/>
  <c r="O43" i="4"/>
  <c r="P43" i="4"/>
  <c r="F44" i="4"/>
  <c r="G44" i="4"/>
  <c r="H44" i="4"/>
  <c r="I44" i="4"/>
  <c r="J44" i="4"/>
  <c r="K44" i="4"/>
  <c r="L44" i="4"/>
  <c r="M44" i="4"/>
  <c r="N44" i="4"/>
  <c r="O44" i="4"/>
  <c r="P44" i="4"/>
  <c r="F45" i="4"/>
  <c r="G45" i="4"/>
  <c r="H45" i="4"/>
  <c r="I45" i="4"/>
  <c r="J45" i="4"/>
  <c r="K45" i="4"/>
  <c r="L45" i="4"/>
  <c r="M45" i="4"/>
  <c r="N45" i="4"/>
  <c r="O45" i="4"/>
  <c r="P45" i="4"/>
  <c r="F46" i="4"/>
  <c r="G46" i="4"/>
  <c r="H46" i="4"/>
  <c r="I46" i="4"/>
  <c r="J46" i="4"/>
  <c r="K46" i="4"/>
  <c r="L46" i="4"/>
  <c r="M46" i="4"/>
  <c r="N46" i="4"/>
  <c r="O46" i="4"/>
  <c r="P46" i="4"/>
  <c r="E37" i="4"/>
  <c r="E38" i="4"/>
  <c r="E39" i="4"/>
  <c r="E40" i="4"/>
  <c r="E41" i="4"/>
  <c r="E42" i="4"/>
  <c r="E43" i="4"/>
  <c r="E44" i="4"/>
  <c r="E45" i="4"/>
  <c r="E46" i="4"/>
  <c r="E36" i="4"/>
  <c r="F55" i="4"/>
  <c r="G55" i="4"/>
  <c r="H55" i="4"/>
  <c r="I55" i="4"/>
  <c r="J55" i="4"/>
  <c r="K55" i="4"/>
  <c r="L55" i="4"/>
  <c r="M55" i="4"/>
  <c r="N55" i="4"/>
  <c r="O55" i="4"/>
  <c r="P55" i="4"/>
  <c r="F56" i="4"/>
  <c r="G56" i="4"/>
  <c r="H56" i="4"/>
  <c r="I56" i="4"/>
  <c r="J56" i="4"/>
  <c r="K56" i="4"/>
  <c r="L56" i="4"/>
  <c r="M56" i="4"/>
  <c r="N56" i="4"/>
  <c r="O56" i="4"/>
  <c r="P56" i="4"/>
  <c r="F57" i="4"/>
  <c r="G57" i="4"/>
  <c r="H57" i="4"/>
  <c r="I57" i="4"/>
  <c r="J57" i="4"/>
  <c r="K57" i="4"/>
  <c r="L57" i="4"/>
  <c r="M57" i="4"/>
  <c r="N57" i="4"/>
  <c r="O57" i="4"/>
  <c r="P57" i="4"/>
  <c r="F59" i="4"/>
  <c r="G59" i="4"/>
  <c r="H59" i="4"/>
  <c r="I59" i="4"/>
  <c r="J59" i="4"/>
  <c r="K59" i="4"/>
  <c r="L59" i="4"/>
  <c r="M59" i="4"/>
  <c r="N59" i="4"/>
  <c r="O59" i="4"/>
  <c r="P59" i="4"/>
  <c r="F62" i="4"/>
  <c r="G62" i="4"/>
  <c r="H62" i="4"/>
  <c r="I62" i="4"/>
  <c r="J62" i="4"/>
  <c r="K62" i="4"/>
  <c r="L62" i="4"/>
  <c r="M62" i="4"/>
  <c r="N62" i="4"/>
  <c r="O62" i="4"/>
  <c r="P62" i="4"/>
  <c r="E55" i="4"/>
  <c r="E56" i="4"/>
  <c r="E57" i="4"/>
  <c r="E59" i="4"/>
  <c r="E62" i="4"/>
  <c r="AE8" i="1"/>
  <c r="Y54" i="1"/>
  <c r="Y36" i="1"/>
  <c r="Y26" i="1"/>
  <c r="Y13" i="1"/>
  <c r="Y4" i="1"/>
  <c r="Y23" i="1"/>
  <c r="Y25" i="1"/>
  <c r="Y15" i="1"/>
  <c r="Y14" i="1"/>
  <c r="Y12" i="1"/>
  <c r="Y6" i="1"/>
  <c r="Y9" i="1"/>
  <c r="Y19" i="1"/>
  <c r="Y7" i="1"/>
  <c r="Y8" i="1"/>
  <c r="J203" i="10"/>
  <c r="K203" i="10"/>
  <c r="L203" i="10"/>
  <c r="M203" i="10"/>
  <c r="N203" i="10"/>
  <c r="J204" i="10"/>
  <c r="K204" i="10"/>
  <c r="L204" i="10"/>
  <c r="M204" i="10"/>
  <c r="N204" i="10"/>
  <c r="CI7" i="1"/>
  <c r="CI8" i="1"/>
  <c r="CI16" i="1"/>
  <c r="CI10" i="1"/>
  <c r="CI21" i="1"/>
  <c r="CI18" i="1"/>
  <c r="CI17" i="1"/>
  <c r="CI14" i="1"/>
  <c r="CI12" i="1"/>
  <c r="CI6" i="1"/>
  <c r="CI9" i="1"/>
  <c r="CI19" i="1"/>
  <c r="CI11" i="1"/>
  <c r="CI22" i="1"/>
  <c r="CI15" i="1"/>
  <c r="CI62" i="1"/>
  <c r="CI79" i="1"/>
  <c r="CI80" i="1"/>
  <c r="CI63" i="1"/>
  <c r="CI13" i="1"/>
  <c r="CI4" i="1"/>
  <c r="CI23" i="1"/>
  <c r="CI25" i="1"/>
  <c r="CI29" i="1"/>
  <c r="CI28" i="1"/>
  <c r="CI26" i="1"/>
  <c r="CI27" i="1"/>
  <c r="CI37" i="1"/>
  <c r="CI32" i="1"/>
  <c r="CI31" i="1"/>
  <c r="CI54" i="1"/>
  <c r="CI36" i="1"/>
  <c r="CI5" i="1"/>
  <c r="CI35" i="1"/>
  <c r="CI40" i="1"/>
  <c r="CI33" i="1"/>
  <c r="CI42" i="1"/>
  <c r="CI41" i="1"/>
  <c r="CI43" i="1"/>
  <c r="CI44" i="1"/>
  <c r="CI34" i="1"/>
  <c r="CI48" i="1"/>
  <c r="CI45" i="1"/>
  <c r="CI46" i="1"/>
  <c r="CI49" i="1"/>
  <c r="CI56" i="1"/>
  <c r="CI55" i="1"/>
  <c r="CI53" i="1"/>
  <c r="CI81" i="1"/>
  <c r="CI82" i="1"/>
  <c r="CI52" i="1"/>
  <c r="CI51" i="1"/>
  <c r="CI70" i="1"/>
  <c r="CI61" i="1"/>
  <c r="CI69" i="1"/>
  <c r="CI60" i="1"/>
  <c r="CI65" i="1"/>
  <c r="CI68" i="1"/>
  <c r="CI71" i="1"/>
  <c r="CI59" i="1"/>
  <c r="CI67" i="1"/>
  <c r="CI66" i="1"/>
  <c r="CI72" i="1"/>
  <c r="CI50" i="1"/>
  <c r="CI256" i="1"/>
  <c r="CI76" i="1"/>
  <c r="CI74" i="1"/>
  <c r="CI73" i="1"/>
  <c r="CI77" i="1"/>
  <c r="CI75" i="1"/>
  <c r="CI78" i="1"/>
  <c r="CI105" i="1"/>
  <c r="CI102" i="1"/>
  <c r="CI106" i="1"/>
  <c r="CI58" i="1"/>
  <c r="CI64" i="1"/>
  <c r="CI117" i="1"/>
  <c r="CI112" i="1"/>
  <c r="CI109" i="1"/>
  <c r="CI108" i="1"/>
  <c r="CI116" i="1"/>
  <c r="CI99" i="1"/>
  <c r="CI100" i="1"/>
  <c r="CI101" i="1"/>
  <c r="CI111" i="1"/>
  <c r="CI114" i="1"/>
  <c r="CI24" i="1"/>
  <c r="CI97" i="1"/>
  <c r="CI104" i="1"/>
  <c r="CI115" i="1"/>
  <c r="CI113" i="1"/>
  <c r="CI20" i="1"/>
  <c r="CI47" i="1"/>
  <c r="CI110" i="1"/>
  <c r="CI103" i="1"/>
  <c r="CI107" i="1"/>
  <c r="CI120" i="1"/>
  <c r="CI119" i="1"/>
  <c r="CI121" i="1"/>
  <c r="CI122" i="1"/>
  <c r="CI118" i="1"/>
  <c r="CI96" i="1"/>
  <c r="CI98" i="1"/>
  <c r="CI225" i="1"/>
  <c r="CI249" i="1"/>
  <c r="CI217" i="1"/>
  <c r="CI216" i="1"/>
  <c r="CI227" i="1"/>
  <c r="CI228" i="1"/>
  <c r="CI237" i="1"/>
  <c r="CI140" i="1"/>
  <c r="CI164" i="1"/>
  <c r="CI170" i="1"/>
  <c r="CI181" i="1"/>
  <c r="CI182" i="1"/>
  <c r="CI190" i="1"/>
  <c r="CI192" i="1"/>
  <c r="CI196" i="1"/>
  <c r="CI197" i="1"/>
  <c r="CI207" i="1"/>
  <c r="CI210" i="1"/>
  <c r="CI211" i="1"/>
  <c r="CI223" i="1"/>
  <c r="CI224" i="1"/>
  <c r="CI229" i="1"/>
  <c r="CI231" i="1"/>
  <c r="CI235" i="1"/>
  <c r="CI236" i="1"/>
  <c r="CI240" i="1"/>
  <c r="CI241" i="1"/>
  <c r="CI243" i="1"/>
  <c r="CI250" i="1"/>
  <c r="CI251" i="1"/>
  <c r="CI252" i="1"/>
  <c r="CI254" i="1"/>
  <c r="CI255" i="1"/>
  <c r="CI257" i="1"/>
  <c r="CI258" i="1"/>
  <c r="CI262" i="1"/>
  <c r="CI263" i="1"/>
  <c r="CI264" i="1"/>
  <c r="CI265" i="1"/>
  <c r="CI266" i="1"/>
  <c r="CI213" i="1"/>
  <c r="CI174" i="1"/>
  <c r="CI233" i="1"/>
  <c r="CI139" i="1"/>
  <c r="CI165" i="1"/>
  <c r="CI176" i="1"/>
  <c r="CI187" i="1"/>
  <c r="CI186" i="1"/>
  <c r="CI200" i="1"/>
  <c r="CI205" i="1"/>
  <c r="CI204" i="1"/>
  <c r="CI222" i="1"/>
  <c r="CI219" i="1"/>
  <c r="CI232" i="1"/>
  <c r="CI191" i="1"/>
  <c r="CI193" i="1"/>
  <c r="CI208" i="1"/>
  <c r="CI212" i="1"/>
  <c r="CI218" i="1"/>
  <c r="CI220" i="1"/>
  <c r="CI215" i="1"/>
  <c r="CI239" i="1"/>
  <c r="CI238" i="1"/>
  <c r="CI245" i="1"/>
  <c r="CI247" i="1"/>
  <c r="CI261" i="1"/>
  <c r="CI144" i="1"/>
  <c r="CI183" i="1"/>
  <c r="CI123" i="1"/>
  <c r="CI124" i="1"/>
  <c r="J105" i="10" s="1"/>
  <c r="CI125" i="1"/>
  <c r="CI126" i="1"/>
  <c r="CI127" i="1"/>
  <c r="CI128" i="1"/>
  <c r="CI129" i="1"/>
  <c r="CI130" i="1"/>
  <c r="CI131" i="1"/>
  <c r="CI132" i="1"/>
  <c r="CI133" i="1"/>
  <c r="CI134" i="1"/>
  <c r="CI135" i="1"/>
  <c r="CI136" i="1"/>
  <c r="CI137" i="1"/>
  <c r="CI138" i="1"/>
  <c r="CI142" i="1"/>
  <c r="CI141" i="1"/>
  <c r="CI143" i="1"/>
  <c r="CI145" i="1"/>
  <c r="CI146" i="1"/>
  <c r="CI147" i="1"/>
  <c r="J131" i="10" s="1"/>
  <c r="CI148" i="1"/>
  <c r="CI149" i="1"/>
  <c r="CI150" i="1"/>
  <c r="CI151" i="1"/>
  <c r="CI152" i="1"/>
  <c r="CI154" i="1"/>
  <c r="CI153" i="1"/>
  <c r="CI156" i="1"/>
  <c r="CI155" i="1"/>
  <c r="CI157" i="1"/>
  <c r="CI158" i="1"/>
  <c r="CI159" i="1"/>
  <c r="CI160" i="1"/>
  <c r="CI161" i="1"/>
  <c r="CI162" i="1"/>
  <c r="CI163" i="1"/>
  <c r="CI166" i="1"/>
  <c r="CI167" i="1"/>
  <c r="CI168" i="1"/>
  <c r="CI169" i="1"/>
  <c r="CI171" i="1"/>
  <c r="CI172" i="1"/>
  <c r="CI173" i="1"/>
  <c r="CI175" i="1"/>
  <c r="CI177" i="1"/>
  <c r="CI178" i="1"/>
  <c r="CI179" i="1"/>
  <c r="CI180" i="1"/>
  <c r="CI184" i="1"/>
  <c r="CI185" i="1"/>
  <c r="CI188" i="1"/>
  <c r="CI189" i="1"/>
  <c r="CI194" i="1"/>
  <c r="CI195" i="1"/>
  <c r="CI199" i="1"/>
  <c r="CI198" i="1"/>
  <c r="CI201" i="1"/>
  <c r="CI202" i="1"/>
  <c r="CI203" i="1"/>
  <c r="CI206" i="1"/>
  <c r="CI209" i="1"/>
  <c r="CI214" i="1"/>
  <c r="CI221" i="1"/>
  <c r="CI226" i="1"/>
  <c r="CI230" i="1"/>
  <c r="CI234" i="1"/>
  <c r="CI244" i="1"/>
  <c r="CI242" i="1"/>
  <c r="CI246" i="1"/>
  <c r="CI248" i="1"/>
  <c r="CI253" i="1"/>
  <c r="CI259" i="1"/>
  <c r="CI260" i="1"/>
  <c r="CI267" i="1"/>
  <c r="CI268" i="1"/>
  <c r="CI269" i="1"/>
  <c r="CI38" i="1"/>
  <c r="CI85" i="1"/>
  <c r="CI86" i="1"/>
  <c r="CI39" i="1"/>
  <c r="CI88" i="1"/>
  <c r="CI90" i="1"/>
  <c r="CI91" i="1"/>
  <c r="CI92" i="1"/>
  <c r="CI89" i="1"/>
  <c r="CI84" i="1"/>
  <c r="CI83" i="1"/>
  <c r="CI87" i="1"/>
  <c r="CI94" i="1"/>
  <c r="CI95" i="1"/>
  <c r="CI30" i="1"/>
  <c r="CI57" i="1"/>
  <c r="CI93" i="1"/>
  <c r="CI3" i="1"/>
  <c r="C203" i="10"/>
  <c r="D203" i="10"/>
  <c r="E203" i="10"/>
  <c r="F203" i="10"/>
  <c r="C204" i="10"/>
  <c r="D204" i="10"/>
  <c r="E204" i="10"/>
  <c r="F204" i="10"/>
  <c r="B204" i="10"/>
  <c r="B203" i="10"/>
  <c r="AI38" i="15"/>
  <c r="AQ15" i="15"/>
  <c r="AM38" i="15"/>
  <c r="AO38" i="15"/>
  <c r="T15" i="15"/>
  <c r="D14" i="4"/>
  <c r="F91" i="4"/>
  <c r="G6" i="4"/>
  <c r="E5" i="4"/>
  <c r="Q3" i="4"/>
  <c r="Q11" i="4"/>
  <c r="C14" i="4"/>
  <c r="Q7" i="4"/>
  <c r="F6" i="4"/>
  <c r="E6" i="4"/>
  <c r="P10" i="4"/>
  <c r="Q12" i="4"/>
  <c r="O10" i="4"/>
  <c r="P5" i="4"/>
  <c r="N10" i="4"/>
  <c r="N5" i="4"/>
  <c r="Q13" i="4"/>
  <c r="Q8" i="4"/>
  <c r="P6" i="4"/>
  <c r="K10" i="4"/>
  <c r="Q9" i="4"/>
  <c r="O6" i="4"/>
  <c r="L5" i="4"/>
  <c r="N6" i="4"/>
  <c r="K5" i="4"/>
  <c r="I10" i="4"/>
  <c r="M6" i="4"/>
  <c r="J5" i="4"/>
  <c r="L6" i="4"/>
  <c r="I5" i="4"/>
  <c r="K6" i="4"/>
  <c r="Q4" i="4"/>
  <c r="F10" i="4"/>
  <c r="J6" i="4"/>
  <c r="G5" i="4"/>
  <c r="I6" i="4"/>
  <c r="B111" i="4"/>
  <c r="H6" i="4"/>
  <c r="AL45" i="15"/>
  <c r="AL46" i="15"/>
  <c r="BB51" i="15"/>
  <c r="BB45" i="15"/>
  <c r="BB44" i="15"/>
  <c r="BB49" i="15"/>
  <c r="AI54" i="15"/>
  <c r="AS51" i="15"/>
  <c r="AS49" i="15"/>
  <c r="AS48" i="15"/>
  <c r="AS47" i="15"/>
  <c r="AS46" i="15"/>
  <c r="AS45" i="15"/>
  <c r="AS52" i="15"/>
  <c r="AS44" i="15"/>
  <c r="AB54" i="15"/>
  <c r="AT21" i="15"/>
  <c r="N71" i="15"/>
  <c r="AY19" i="15"/>
  <c r="N87" i="15"/>
  <c r="AF20" i="15"/>
  <c r="J54" i="15"/>
  <c r="AT26" i="15"/>
  <c r="AY25" i="15"/>
  <c r="AJ38" i="15"/>
  <c r="AY21" i="15"/>
  <c r="AN38" i="15"/>
  <c r="AY26" i="15"/>
  <c r="AY24" i="15"/>
  <c r="M38" i="15"/>
  <c r="AF23" i="15"/>
  <c r="AY23" i="15"/>
  <c r="AY22" i="15"/>
  <c r="AY20" i="15"/>
  <c r="P26" i="15"/>
  <c r="AT25" i="15"/>
  <c r="AF21" i="15"/>
  <c r="AT23" i="15"/>
  <c r="AR38" i="15"/>
  <c r="AT37" i="15"/>
  <c r="AY28" i="15"/>
  <c r="J38" i="15"/>
  <c r="AL38" i="15"/>
  <c r="P36" i="15"/>
  <c r="L38" i="15"/>
  <c r="AT35" i="15"/>
  <c r="AT36" i="15"/>
  <c r="AY27" i="15"/>
  <c r="AK38" i="15"/>
  <c r="R38" i="15"/>
  <c r="Z38" i="15"/>
  <c r="AQ38" i="15"/>
  <c r="AY29" i="15"/>
  <c r="U38" i="15"/>
  <c r="O38" i="15"/>
  <c r="T38" i="15"/>
  <c r="N38" i="15"/>
  <c r="S38" i="15"/>
  <c r="W38" i="15"/>
  <c r="AX30" i="15"/>
  <c r="V38" i="15"/>
  <c r="P37" i="15"/>
  <c r="K38" i="15"/>
  <c r="AC38" i="15"/>
  <c r="AA38" i="15"/>
  <c r="P35" i="15"/>
  <c r="AP38" i="15"/>
  <c r="E38" i="15"/>
  <c r="G30" i="15"/>
  <c r="F30" i="15"/>
  <c r="AW30" i="15"/>
  <c r="E30" i="15"/>
  <c r="AE38" i="15"/>
  <c r="B30" i="15"/>
  <c r="D30" i="15"/>
  <c r="AD38" i="15"/>
  <c r="C30" i="15"/>
  <c r="AB38" i="15"/>
  <c r="AS38" i="15"/>
  <c r="AX38" i="15"/>
  <c r="AY37" i="15"/>
  <c r="AY36" i="15"/>
  <c r="AW38" i="15"/>
  <c r="AF35" i="15"/>
  <c r="AF37" i="15"/>
  <c r="AF36" i="15"/>
  <c r="X35" i="15"/>
  <c r="X37" i="15"/>
  <c r="X36" i="15"/>
  <c r="AY15" i="15"/>
  <c r="X28" i="15"/>
  <c r="AX15" i="15"/>
  <c r="AL30" i="15"/>
  <c r="AJ30" i="15"/>
  <c r="AI30" i="15"/>
  <c r="AF22" i="15"/>
  <c r="G38" i="15"/>
  <c r="F38" i="15"/>
  <c r="D38" i="15"/>
  <c r="H35" i="15"/>
  <c r="C38" i="15"/>
  <c r="H37" i="15"/>
  <c r="H36" i="15"/>
  <c r="AR7" i="15"/>
  <c r="P27" i="15"/>
  <c r="AR5" i="15"/>
  <c r="AF29" i="15"/>
  <c r="P24" i="15"/>
  <c r="P23" i="15"/>
  <c r="X25" i="15"/>
  <c r="AF27" i="15"/>
  <c r="H20" i="15"/>
  <c r="AF26" i="15"/>
  <c r="P21" i="15"/>
  <c r="P20" i="15"/>
  <c r="X22" i="15"/>
  <c r="AF24" i="15"/>
  <c r="P19" i="15"/>
  <c r="H27" i="15"/>
  <c r="P29" i="15"/>
  <c r="AR8" i="15"/>
  <c r="AZ9" i="15"/>
  <c r="H26" i="15"/>
  <c r="P28" i="15"/>
  <c r="AF28" i="15"/>
  <c r="W30" i="15"/>
  <c r="V30" i="15"/>
  <c r="AE30" i="15"/>
  <c r="AD30" i="15"/>
  <c r="AC30" i="15"/>
  <c r="Z30" i="15"/>
  <c r="AB30" i="15"/>
  <c r="AA30" i="15"/>
  <c r="AF19" i="15"/>
  <c r="AZ8" i="15"/>
  <c r="H24" i="15"/>
  <c r="H23" i="15"/>
  <c r="P25" i="15"/>
  <c r="AZ5" i="15"/>
  <c r="H21" i="15"/>
  <c r="P22" i="15"/>
  <c r="H6" i="15"/>
  <c r="X6" i="15"/>
  <c r="AR12" i="15"/>
  <c r="AR11" i="15"/>
  <c r="AU15" i="15"/>
  <c r="AR10" i="15"/>
  <c r="H29" i="15"/>
  <c r="AR9" i="15"/>
  <c r="H28" i="15"/>
  <c r="AR6" i="15"/>
  <c r="H25" i="15"/>
  <c r="X13" i="15"/>
  <c r="AZ7" i="15"/>
  <c r="H22" i="15"/>
  <c r="X11" i="15"/>
  <c r="AP15" i="15"/>
  <c r="AR14" i="15"/>
  <c r="O30" i="15"/>
  <c r="AV15" i="15"/>
  <c r="N30" i="15"/>
  <c r="M30" i="15"/>
  <c r="L30" i="15"/>
  <c r="K30" i="15"/>
  <c r="AW15" i="15"/>
  <c r="X8" i="15"/>
  <c r="AO15" i="15"/>
  <c r="X5" i="15"/>
  <c r="AN15" i="15"/>
  <c r="H9" i="15"/>
  <c r="H19" i="15"/>
  <c r="AZ14" i="15"/>
  <c r="AZ13" i="15"/>
  <c r="AZ12" i="15"/>
  <c r="AZ11" i="15"/>
  <c r="AZ10" i="15"/>
  <c r="AZ6" i="15"/>
  <c r="AT15" i="15"/>
  <c r="AZ4" i="15"/>
  <c r="K5" i="15"/>
  <c r="K8" i="15"/>
  <c r="M7" i="15"/>
  <c r="J11" i="15"/>
  <c r="K4" i="15"/>
  <c r="J7" i="15"/>
  <c r="J10" i="15"/>
  <c r="J14" i="15"/>
  <c r="K12" i="15"/>
  <c r="N10" i="15"/>
  <c r="L13" i="15"/>
  <c r="O9" i="15"/>
  <c r="J13" i="15"/>
  <c r="M13" i="15"/>
  <c r="L10" i="15"/>
  <c r="K7" i="15"/>
  <c r="Z6" i="15"/>
  <c r="J12" i="15"/>
  <c r="K10" i="15"/>
  <c r="O6" i="15"/>
  <c r="AA13" i="15"/>
  <c r="O13" i="15"/>
  <c r="K13" i="15"/>
  <c r="N6" i="15"/>
  <c r="Z9" i="15"/>
  <c r="O12" i="15"/>
  <c r="N9" i="15"/>
  <c r="M6" i="15"/>
  <c r="J9" i="15"/>
  <c r="N12" i="15"/>
  <c r="M9" i="15"/>
  <c r="L6" i="15"/>
  <c r="J8" i="15"/>
  <c r="M12" i="15"/>
  <c r="L9" i="15"/>
  <c r="K6" i="15"/>
  <c r="AB11" i="15"/>
  <c r="L12" i="15"/>
  <c r="K9" i="15"/>
  <c r="O5" i="15"/>
  <c r="J6" i="15"/>
  <c r="O8" i="15"/>
  <c r="N5" i="15"/>
  <c r="AC14" i="15"/>
  <c r="J5" i="15"/>
  <c r="O11" i="15"/>
  <c r="N8" i="15"/>
  <c r="M5" i="15"/>
  <c r="AB7" i="15"/>
  <c r="O14" i="15"/>
  <c r="N11" i="15"/>
  <c r="M8" i="15"/>
  <c r="L5" i="15"/>
  <c r="Z10" i="15"/>
  <c r="N14" i="15"/>
  <c r="M11" i="15"/>
  <c r="L8" i="15"/>
  <c r="M14" i="15"/>
  <c r="L11" i="15"/>
  <c r="O4" i="15"/>
  <c r="AA12" i="15"/>
  <c r="L14" i="15"/>
  <c r="K11" i="15"/>
  <c r="O7" i="15"/>
  <c r="N4" i="15"/>
  <c r="K14" i="15"/>
  <c r="O10" i="15"/>
  <c r="N7" i="15"/>
  <c r="M4" i="15"/>
  <c r="L4" i="15"/>
  <c r="AA11" i="15"/>
  <c r="N13" i="15"/>
  <c r="M10" i="15"/>
  <c r="L7" i="15"/>
  <c r="Z5" i="15"/>
  <c r="AA7" i="15"/>
  <c r="AD14" i="15"/>
  <c r="AD10" i="15"/>
  <c r="AD6" i="15"/>
  <c r="J4" i="15"/>
  <c r="AC10" i="15"/>
  <c r="AC6" i="15"/>
  <c r="AB14" i="15"/>
  <c r="AB10" i="15"/>
  <c r="AB6" i="15"/>
  <c r="AA14" i="15"/>
  <c r="AA10" i="15"/>
  <c r="AA6" i="15"/>
  <c r="AD13" i="15"/>
  <c r="AD9" i="15"/>
  <c r="AD5" i="15"/>
  <c r="Z4" i="15"/>
  <c r="AC13" i="15"/>
  <c r="AC9" i="15"/>
  <c r="AC5" i="15"/>
  <c r="Z14" i="15"/>
  <c r="AB13" i="15"/>
  <c r="AB9" i="15"/>
  <c r="AB5" i="15"/>
  <c r="Z13" i="15"/>
  <c r="AA9" i="15"/>
  <c r="AA5" i="15"/>
  <c r="Z12" i="15"/>
  <c r="AD12" i="15"/>
  <c r="AD8" i="15"/>
  <c r="AD4" i="15"/>
  <c r="Z11" i="15"/>
  <c r="AC12" i="15"/>
  <c r="AC8" i="15"/>
  <c r="AC4" i="15"/>
  <c r="AB12" i="15"/>
  <c r="AB8" i="15"/>
  <c r="AB4" i="15"/>
  <c r="AA8" i="15"/>
  <c r="AA4" i="15"/>
  <c r="Z8" i="15"/>
  <c r="AD11" i="15"/>
  <c r="AD7" i="15"/>
  <c r="Z7" i="15"/>
  <c r="AC11" i="15"/>
  <c r="AC7" i="15"/>
  <c r="H5" i="15"/>
  <c r="H12" i="15"/>
  <c r="J30" i="15"/>
  <c r="H11" i="15"/>
  <c r="H8" i="15"/>
  <c r="H13" i="15"/>
  <c r="H10" i="15"/>
  <c r="X4" i="15"/>
  <c r="H7" i="15"/>
  <c r="H4" i="15"/>
  <c r="AH38" i="15"/>
  <c r="AY35" i="15"/>
  <c r="B38" i="15"/>
  <c r="E63" i="4"/>
  <c r="E61" i="4"/>
  <c r="M60" i="4"/>
  <c r="F88" i="4"/>
  <c r="P63" i="4"/>
  <c r="N63" i="4"/>
  <c r="P87" i="4"/>
  <c r="M63" i="4"/>
  <c r="E23" i="4"/>
  <c r="L63" i="4"/>
  <c r="K23" i="4"/>
  <c r="K63" i="4"/>
  <c r="I23" i="4"/>
  <c r="J63" i="4"/>
  <c r="G23" i="4"/>
  <c r="L60" i="4"/>
  <c r="O87" i="4"/>
  <c r="P61" i="4"/>
  <c r="K60" i="4"/>
  <c r="E91" i="4"/>
  <c r="N87" i="4"/>
  <c r="I63" i="4"/>
  <c r="O61" i="4"/>
  <c r="J60" i="4"/>
  <c r="M87" i="4"/>
  <c r="N61" i="4"/>
  <c r="I60" i="4"/>
  <c r="P91" i="4"/>
  <c r="L87" i="4"/>
  <c r="P23" i="4"/>
  <c r="E60" i="4"/>
  <c r="G63" i="4"/>
  <c r="M61" i="4"/>
  <c r="H60" i="4"/>
  <c r="E88" i="4"/>
  <c r="O91" i="4"/>
  <c r="P88" i="4"/>
  <c r="K87" i="4"/>
  <c r="O23" i="4"/>
  <c r="F63" i="4"/>
  <c r="L61" i="4"/>
  <c r="G60" i="4"/>
  <c r="E87" i="4"/>
  <c r="N91" i="4"/>
  <c r="O88" i="4"/>
  <c r="J87" i="4"/>
  <c r="N23" i="4"/>
  <c r="K61" i="4"/>
  <c r="F60" i="4"/>
  <c r="M91" i="4"/>
  <c r="N88" i="4"/>
  <c r="I87" i="4"/>
  <c r="M23" i="4"/>
  <c r="J61" i="4"/>
  <c r="L91" i="4"/>
  <c r="M88" i="4"/>
  <c r="H87" i="4"/>
  <c r="L23" i="4"/>
  <c r="I61" i="4"/>
  <c r="K91" i="4"/>
  <c r="L88" i="4"/>
  <c r="G87" i="4"/>
  <c r="H61" i="4"/>
  <c r="J91" i="4"/>
  <c r="K88" i="4"/>
  <c r="F87" i="4"/>
  <c r="J23" i="4"/>
  <c r="G61" i="4"/>
  <c r="I91" i="4"/>
  <c r="J88" i="4"/>
  <c r="H91" i="4"/>
  <c r="I88" i="4"/>
  <c r="H23" i="4"/>
  <c r="O63" i="4"/>
  <c r="P60" i="4"/>
  <c r="G91" i="4"/>
  <c r="H88" i="4"/>
  <c r="O60" i="4"/>
  <c r="G88" i="4"/>
  <c r="N60" i="4"/>
  <c r="I69" i="10"/>
  <c r="L85" i="10"/>
  <c r="J126" i="10"/>
  <c r="J121" i="10"/>
  <c r="K126" i="10"/>
  <c r="J116" i="10"/>
  <c r="J91" i="10"/>
  <c r="J106" i="10"/>
  <c r="J86" i="10"/>
  <c r="G68" i="10"/>
  <c r="J101" i="10"/>
  <c r="K106" i="10"/>
  <c r="H66" i="10"/>
  <c r="J96" i="10"/>
  <c r="I68" i="10"/>
  <c r="J140" i="10"/>
  <c r="J125" i="10"/>
  <c r="K91" i="10"/>
  <c r="G69" i="10"/>
  <c r="N135" i="10"/>
  <c r="J141" i="10"/>
  <c r="L120" i="10"/>
  <c r="N130" i="10"/>
  <c r="J136" i="10"/>
  <c r="I67" i="10"/>
  <c r="F142" i="10"/>
  <c r="E142" i="10"/>
  <c r="D142" i="10"/>
  <c r="C142" i="10"/>
  <c r="B142" i="10"/>
  <c r="F141" i="10"/>
  <c r="E141" i="10"/>
  <c r="D141" i="10"/>
  <c r="C141" i="10"/>
  <c r="B141" i="10"/>
  <c r="F140" i="10"/>
  <c r="E140" i="10"/>
  <c r="D140" i="10"/>
  <c r="C140" i="10"/>
  <c r="B140" i="10"/>
  <c r="AE29" i="1"/>
  <c r="AE14" i="1"/>
  <c r="P79" i="4"/>
  <c r="AS98" i="1"/>
  <c r="AE98" i="1" s="1"/>
  <c r="AS96" i="1"/>
  <c r="AE96" i="1" s="1"/>
  <c r="AS118" i="1"/>
  <c r="AE118" i="1" s="1"/>
  <c r="AS122" i="1"/>
  <c r="AE122" i="1" s="1"/>
  <c r="AS121" i="1"/>
  <c r="AE121" i="1" s="1"/>
  <c r="AS119" i="1"/>
  <c r="AE119" i="1" s="1"/>
  <c r="AS120" i="1"/>
  <c r="AE120" i="1" s="1"/>
  <c r="AS107" i="1"/>
  <c r="AE107" i="1" s="1"/>
  <c r="AS103" i="1"/>
  <c r="AE103" i="1" s="1"/>
  <c r="AS110" i="1"/>
  <c r="AE110" i="1" s="1"/>
  <c r="AS47" i="1"/>
  <c r="AE20" i="1"/>
  <c r="AS113" i="1"/>
  <c r="AE113" i="1" s="1"/>
  <c r="AS115" i="1"/>
  <c r="AE115" i="1" s="1"/>
  <c r="AS104" i="1"/>
  <c r="AE104" i="1" s="1"/>
  <c r="AS97" i="1"/>
  <c r="AE97" i="1" s="1"/>
  <c r="AS24" i="1"/>
  <c r="AS114" i="1"/>
  <c r="AE114" i="1" s="1"/>
  <c r="AS111" i="1"/>
  <c r="AE111" i="1" s="1"/>
  <c r="AS101" i="1"/>
  <c r="AE101" i="1" s="1"/>
  <c r="AS100" i="1"/>
  <c r="AE100" i="1" s="1"/>
  <c r="AS99" i="1"/>
  <c r="AE99" i="1" s="1"/>
  <c r="AS116" i="1"/>
  <c r="AE116" i="1" s="1"/>
  <c r="AS108" i="1"/>
  <c r="AE108" i="1" s="1"/>
  <c r="AS109" i="1"/>
  <c r="AE109" i="1" s="1"/>
  <c r="AS112" i="1"/>
  <c r="AE112" i="1" s="1"/>
  <c r="AS117" i="1"/>
  <c r="AE117" i="1" s="1"/>
  <c r="AS64" i="1"/>
  <c r="AS58" i="1"/>
  <c r="AS106" i="1"/>
  <c r="AE106" i="1" s="1"/>
  <c r="AS102" i="1"/>
  <c r="AE102" i="1" s="1"/>
  <c r="AS105" i="1"/>
  <c r="AE105" i="1" s="1"/>
  <c r="AE75" i="1"/>
  <c r="AE59" i="1"/>
  <c r="AE65" i="1"/>
  <c r="AE60" i="1"/>
  <c r="P53" i="4" s="1"/>
  <c r="AE51" i="1"/>
  <c r="M25" i="4" s="1"/>
  <c r="AE46" i="1"/>
  <c r="M92" i="4" s="1"/>
  <c r="AE52" i="1"/>
  <c r="I70" i="4" s="1"/>
  <c r="AE45" i="1"/>
  <c r="AE44" i="1"/>
  <c r="AE43" i="1"/>
  <c r="AE41" i="1"/>
  <c r="AE42" i="1"/>
  <c r="AE27" i="1"/>
  <c r="AE26" i="1"/>
  <c r="AE28" i="1"/>
  <c r="AE25" i="1"/>
  <c r="P54" i="4" s="1"/>
  <c r="AE23" i="1"/>
  <c r="AE4" i="1"/>
  <c r="AE15" i="1"/>
  <c r="AE22" i="1"/>
  <c r="AE19" i="1"/>
  <c r="AE6" i="1"/>
  <c r="AD18" i="1"/>
  <c r="AD37" i="1"/>
  <c r="AD3" i="1"/>
  <c r="AD8" i="1"/>
  <c r="AD7" i="1"/>
  <c r="AD21" i="1"/>
  <c r="AD17" i="1"/>
  <c r="AD12" i="1"/>
  <c r="AD6" i="1"/>
  <c r="AD14" i="1"/>
  <c r="AD19" i="1"/>
  <c r="AD9" i="1"/>
  <c r="AD10" i="1"/>
  <c r="AD22" i="1"/>
  <c r="AD13" i="1"/>
  <c r="AD15" i="1"/>
  <c r="AD11" i="1"/>
  <c r="AD4" i="1"/>
  <c r="AD32" i="1"/>
  <c r="AD23" i="1"/>
  <c r="AD25" i="1"/>
  <c r="AD49" i="1"/>
  <c r="AD31" i="1"/>
  <c r="AD28" i="1"/>
  <c r="AD26" i="1"/>
  <c r="AD27" i="1"/>
  <c r="AD29" i="1"/>
  <c r="AD36" i="1"/>
  <c r="AD54" i="1"/>
  <c r="AD48" i="1"/>
  <c r="AD42" i="1"/>
  <c r="AD41" i="1"/>
  <c r="AD43" i="1"/>
  <c r="AD44" i="1"/>
  <c r="AD40" i="1"/>
  <c r="AD56" i="1"/>
  <c r="AD45" i="1"/>
  <c r="AD52" i="1"/>
  <c r="AD46" i="1"/>
  <c r="AD55" i="1"/>
  <c r="AD51" i="1"/>
  <c r="AD61" i="1"/>
  <c r="AD66" i="1"/>
  <c r="AD60" i="1"/>
  <c r="AD65" i="1"/>
  <c r="AD59" i="1"/>
  <c r="AD50" i="1"/>
  <c r="AD76" i="1"/>
  <c r="AD75" i="1"/>
  <c r="AD74" i="1"/>
  <c r="AD73" i="1"/>
  <c r="AD77" i="1"/>
  <c r="AD85" i="1"/>
  <c r="AD105" i="1"/>
  <c r="AD102" i="1"/>
  <c r="AD86" i="1"/>
  <c r="AD106" i="1"/>
  <c r="AD88" i="1"/>
  <c r="AD90" i="1"/>
  <c r="AD117" i="1"/>
  <c r="AD91" i="1"/>
  <c r="AD92" i="1"/>
  <c r="AD112" i="1"/>
  <c r="AD89" i="1"/>
  <c r="AD109" i="1"/>
  <c r="AD108" i="1"/>
  <c r="AD116" i="1"/>
  <c r="AD79" i="1"/>
  <c r="AD80" i="1"/>
  <c r="AD99" i="1"/>
  <c r="AD100" i="1"/>
  <c r="AD101" i="1"/>
  <c r="AD111" i="1"/>
  <c r="AD114" i="1"/>
  <c r="AD97" i="1"/>
  <c r="AD104" i="1"/>
  <c r="AD115" i="1"/>
  <c r="AD113" i="1"/>
  <c r="AD20" i="1"/>
  <c r="AD110" i="1"/>
  <c r="AD84" i="1"/>
  <c r="AD83" i="1"/>
  <c r="AD103" i="1"/>
  <c r="AD107" i="1"/>
  <c r="AD87" i="1"/>
  <c r="AD120" i="1"/>
  <c r="AD119" i="1"/>
  <c r="AD81" i="1"/>
  <c r="AD82" i="1"/>
  <c r="AD94" i="1"/>
  <c r="AD95" i="1"/>
  <c r="AD121" i="1"/>
  <c r="AD122" i="1"/>
  <c r="AD118" i="1"/>
  <c r="AD96" i="1"/>
  <c r="AD98" i="1"/>
  <c r="AD93" i="1"/>
  <c r="AD225" i="1"/>
  <c r="AD249" i="1"/>
  <c r="AD217" i="1"/>
  <c r="AD216" i="1"/>
  <c r="AD227" i="1"/>
  <c r="AD228" i="1"/>
  <c r="AD237" i="1"/>
  <c r="AD140" i="1"/>
  <c r="AD164" i="1"/>
  <c r="AD170" i="1"/>
  <c r="AD181" i="1"/>
  <c r="AD182" i="1"/>
  <c r="AD190" i="1"/>
  <c r="AD192" i="1"/>
  <c r="AD196" i="1"/>
  <c r="AD197" i="1"/>
  <c r="AD207" i="1"/>
  <c r="AD210" i="1"/>
  <c r="AD211" i="1"/>
  <c r="AD223" i="1"/>
  <c r="AD224" i="1"/>
  <c r="AD229" i="1"/>
  <c r="AD231" i="1"/>
  <c r="AD235" i="1"/>
  <c r="AD236" i="1"/>
  <c r="AD240" i="1"/>
  <c r="AD241" i="1"/>
  <c r="AD243" i="1"/>
  <c r="AD250" i="1"/>
  <c r="AD251" i="1"/>
  <c r="AD252" i="1"/>
  <c r="AD254" i="1"/>
  <c r="AD255" i="1"/>
  <c r="AD257" i="1"/>
  <c r="AD258" i="1"/>
  <c r="AD262" i="1"/>
  <c r="AD263" i="1"/>
  <c r="AD264" i="1"/>
  <c r="AD265" i="1"/>
  <c r="AD266" i="1"/>
  <c r="AD213" i="1"/>
  <c r="AD174" i="1"/>
  <c r="AD233" i="1"/>
  <c r="AD139" i="1"/>
  <c r="AD165" i="1"/>
  <c r="AD176" i="1"/>
  <c r="AD187" i="1"/>
  <c r="AD186" i="1"/>
  <c r="AD200" i="1"/>
  <c r="AD205" i="1"/>
  <c r="AD204" i="1"/>
  <c r="AD222" i="1"/>
  <c r="AD219" i="1"/>
  <c r="AD232" i="1"/>
  <c r="AD191" i="1"/>
  <c r="AD193" i="1"/>
  <c r="AD208" i="1"/>
  <c r="AD212" i="1"/>
  <c r="AD218" i="1"/>
  <c r="AD220" i="1"/>
  <c r="AD215" i="1"/>
  <c r="AD239" i="1"/>
  <c r="AD238" i="1"/>
  <c r="AD245" i="1"/>
  <c r="AD247" i="1"/>
  <c r="AD261" i="1"/>
  <c r="AD144" i="1"/>
  <c r="AD183" i="1"/>
  <c r="AD124" i="1"/>
  <c r="AD125" i="1"/>
  <c r="AD126" i="1"/>
  <c r="AD127" i="1"/>
  <c r="AD128" i="1"/>
  <c r="AD129" i="1"/>
  <c r="AD130" i="1"/>
  <c r="AD131" i="1"/>
  <c r="AD132" i="1"/>
  <c r="AD133" i="1"/>
  <c r="AD134" i="1"/>
  <c r="AD135" i="1"/>
  <c r="AD136" i="1"/>
  <c r="AD137" i="1"/>
  <c r="AD138" i="1"/>
  <c r="AD142" i="1"/>
  <c r="AD141" i="1"/>
  <c r="AD143" i="1"/>
  <c r="AD145" i="1"/>
  <c r="AD146" i="1"/>
  <c r="AD147" i="1"/>
  <c r="AD148" i="1"/>
  <c r="AD149" i="1"/>
  <c r="AD150" i="1"/>
  <c r="AD151" i="1"/>
  <c r="AD152" i="1"/>
  <c r="AD154" i="1"/>
  <c r="AD153" i="1"/>
  <c r="AD156" i="1"/>
  <c r="AD155" i="1"/>
  <c r="AD157" i="1"/>
  <c r="AD158" i="1"/>
  <c r="AD159" i="1"/>
  <c r="AD160" i="1"/>
  <c r="AD161" i="1"/>
  <c r="AD162" i="1"/>
  <c r="AD163" i="1"/>
  <c r="AD166" i="1"/>
  <c r="AD167" i="1"/>
  <c r="AD168" i="1"/>
  <c r="AD169" i="1"/>
  <c r="AD171" i="1"/>
  <c r="AD172" i="1"/>
  <c r="AD173" i="1"/>
  <c r="AD175" i="1"/>
  <c r="AD177" i="1"/>
  <c r="AD178" i="1"/>
  <c r="AD179" i="1"/>
  <c r="AD180" i="1"/>
  <c r="AD184" i="1"/>
  <c r="AD185" i="1"/>
  <c r="AD188" i="1"/>
  <c r="AD189" i="1"/>
  <c r="AD194" i="1"/>
  <c r="AD195" i="1"/>
  <c r="AD199" i="1"/>
  <c r="AD198" i="1"/>
  <c r="AD201" i="1"/>
  <c r="AD202" i="1"/>
  <c r="AD203" i="1"/>
  <c r="AD206" i="1"/>
  <c r="AD209" i="1"/>
  <c r="AD214" i="1"/>
  <c r="AD221" i="1"/>
  <c r="AD226" i="1"/>
  <c r="AD230" i="1"/>
  <c r="AD234" i="1"/>
  <c r="AD244" i="1"/>
  <c r="AD242" i="1"/>
  <c r="AD246" i="1"/>
  <c r="AD248" i="1"/>
  <c r="AD253" i="1"/>
  <c r="AD259" i="1"/>
  <c r="AD260" i="1"/>
  <c r="AD267" i="1"/>
  <c r="AD268" i="1"/>
  <c r="AD269" i="1"/>
  <c r="U118" i="1"/>
  <c r="N118" i="1"/>
  <c r="O118" i="1" s="1"/>
  <c r="O77" i="4"/>
  <c r="I77" i="4"/>
  <c r="L77" i="4"/>
  <c r="F77" i="4"/>
  <c r="P77" i="4"/>
  <c r="M77" i="4"/>
  <c r="J77" i="4"/>
  <c r="G77" i="4"/>
  <c r="N77" i="4"/>
  <c r="K77" i="4"/>
  <c r="E77" i="4"/>
  <c r="H77" i="4"/>
  <c r="P22" i="4"/>
  <c r="F22" i="4"/>
  <c r="G22" i="4"/>
  <c r="H22" i="4"/>
  <c r="I22" i="4"/>
  <c r="J22" i="4"/>
  <c r="E22" i="4"/>
  <c r="K22" i="4"/>
  <c r="L22" i="4"/>
  <c r="M22" i="4"/>
  <c r="N22" i="4"/>
  <c r="O22" i="4"/>
  <c r="U124" i="1"/>
  <c r="U125" i="1"/>
  <c r="U126" i="1"/>
  <c r="U127" i="1"/>
  <c r="U128" i="1"/>
  <c r="U129" i="1"/>
  <c r="U130" i="1"/>
  <c r="U57" i="1"/>
  <c r="U131" i="1"/>
  <c r="U132" i="1"/>
  <c r="U133" i="1"/>
  <c r="U134" i="1"/>
  <c r="U135" i="1"/>
  <c r="U136" i="1"/>
  <c r="U137" i="1"/>
  <c r="U138" i="1"/>
  <c r="U139" i="1"/>
  <c r="U140" i="1"/>
  <c r="U142" i="1"/>
  <c r="U141" i="1"/>
  <c r="U26" i="1"/>
  <c r="U143" i="1"/>
  <c r="U49" i="1"/>
  <c r="U144" i="1"/>
  <c r="U145" i="1"/>
  <c r="U146" i="1"/>
  <c r="U147" i="1"/>
  <c r="U148" i="1"/>
  <c r="U83" i="1"/>
  <c r="U96" i="1"/>
  <c r="U149" i="1"/>
  <c r="U150" i="1"/>
  <c r="U151" i="1"/>
  <c r="U152" i="1"/>
  <c r="U154" i="1"/>
  <c r="U153" i="1"/>
  <c r="U156" i="1"/>
  <c r="U155" i="1"/>
  <c r="U157" i="1"/>
  <c r="U158" i="1"/>
  <c r="U159" i="1"/>
  <c r="U97" i="1"/>
  <c r="U160" i="1"/>
  <c r="U161" i="1"/>
  <c r="U162" i="1"/>
  <c r="U163" i="1"/>
  <c r="U164" i="1"/>
  <c r="U165" i="1"/>
  <c r="U166" i="1"/>
  <c r="U84" i="1"/>
  <c r="U167" i="1"/>
  <c r="U73" i="1"/>
  <c r="U168" i="1"/>
  <c r="U169" i="1"/>
  <c r="U66" i="1"/>
  <c r="U170" i="1"/>
  <c r="U171" i="1"/>
  <c r="U172" i="1"/>
  <c r="U173" i="1"/>
  <c r="U174" i="1"/>
  <c r="U11" i="1"/>
  <c r="U175" i="1"/>
  <c r="U176" i="1"/>
  <c r="U177" i="1"/>
  <c r="U31" i="1"/>
  <c r="U178" i="1"/>
  <c r="U98" i="1"/>
  <c r="U179" i="1"/>
  <c r="U4" i="1"/>
  <c r="U67" i="1"/>
  <c r="U12" i="1"/>
  <c r="U99" i="1"/>
  <c r="U27" i="1"/>
  <c r="U5" i="1"/>
  <c r="U180" i="1"/>
  <c r="U45" i="1"/>
  <c r="U181" i="1"/>
  <c r="U6" i="1"/>
  <c r="U100" i="1"/>
  <c r="U101" i="1"/>
  <c r="U184" i="1"/>
  <c r="U182" i="1"/>
  <c r="U183" i="1"/>
  <c r="U185" i="1"/>
  <c r="U68" i="1"/>
  <c r="U187" i="1"/>
  <c r="U186" i="1"/>
  <c r="U188" i="1"/>
  <c r="U32" i="1"/>
  <c r="U190" i="1"/>
  <c r="U189" i="1"/>
  <c r="U33" i="1"/>
  <c r="U191" i="1"/>
  <c r="U192" i="1"/>
  <c r="U13" i="1"/>
  <c r="U193" i="1"/>
  <c r="U102" i="1"/>
  <c r="U194" i="1"/>
  <c r="U195" i="1"/>
  <c r="U196" i="1"/>
  <c r="U197" i="1"/>
  <c r="U14" i="1"/>
  <c r="U38" i="1"/>
  <c r="U199" i="1"/>
  <c r="U103" i="1"/>
  <c r="U50" i="1"/>
  <c r="U198" i="1"/>
  <c r="U34" i="1"/>
  <c r="U200" i="1"/>
  <c r="U201" i="1"/>
  <c r="U202" i="1"/>
  <c r="U203" i="1"/>
  <c r="U69" i="1"/>
  <c r="U51" i="1"/>
  <c r="U205" i="1"/>
  <c r="U204" i="1"/>
  <c r="U206" i="1"/>
  <c r="U3" i="1"/>
  <c r="U23" i="1"/>
  <c r="U104" i="1"/>
  <c r="U39" i="1"/>
  <c r="U7" i="1"/>
  <c r="U35" i="1"/>
  <c r="U207" i="1"/>
  <c r="U70" i="1"/>
  <c r="U208" i="1"/>
  <c r="U209" i="1"/>
  <c r="U210" i="1"/>
  <c r="U211" i="1"/>
  <c r="U105" i="1"/>
  <c r="U40" i="1"/>
  <c r="U213" i="1"/>
  <c r="U212" i="1"/>
  <c r="U214" i="1"/>
  <c r="U107" i="1"/>
  <c r="U106" i="1"/>
  <c r="U108" i="1"/>
  <c r="U16" i="1"/>
  <c r="U15" i="1"/>
  <c r="U17" i="1"/>
  <c r="U222" i="1"/>
  <c r="U217" i="1"/>
  <c r="U218" i="1"/>
  <c r="U219" i="1"/>
  <c r="U220" i="1"/>
  <c r="U215" i="1"/>
  <c r="U216" i="1"/>
  <c r="U85" i="1"/>
  <c r="U109" i="1"/>
  <c r="U221" i="1"/>
  <c r="U223" i="1"/>
  <c r="U224" i="1"/>
  <c r="U71" i="1"/>
  <c r="U42" i="1"/>
  <c r="U41" i="1"/>
  <c r="U18" i="1"/>
  <c r="U52" i="1"/>
  <c r="U225" i="1"/>
  <c r="U226" i="1"/>
  <c r="U19" i="1"/>
  <c r="U28" i="1"/>
  <c r="U110" i="1"/>
  <c r="U111" i="1"/>
  <c r="U43" i="1"/>
  <c r="U229" i="1"/>
  <c r="U227" i="1"/>
  <c r="U58" i="1"/>
  <c r="U112" i="1"/>
  <c r="U228" i="1"/>
  <c r="U230" i="1"/>
  <c r="U8" i="1"/>
  <c r="U36" i="1"/>
  <c r="U44" i="1"/>
  <c r="U232" i="1"/>
  <c r="U115" i="1"/>
  <c r="U113" i="1"/>
  <c r="U114" i="1"/>
  <c r="U233" i="1"/>
  <c r="U231" i="1"/>
  <c r="U234" i="1"/>
  <c r="U235" i="1"/>
  <c r="U236" i="1"/>
  <c r="U237" i="1"/>
  <c r="U59" i="1"/>
  <c r="U239" i="1"/>
  <c r="U238" i="1"/>
  <c r="U74" i="1"/>
  <c r="U240" i="1"/>
  <c r="U241" i="1"/>
  <c r="U244" i="1"/>
  <c r="U242" i="1"/>
  <c r="U243" i="1"/>
  <c r="U60" i="1"/>
  <c r="U24" i="1"/>
  <c r="U61" i="1"/>
  <c r="U80" i="1"/>
  <c r="U79" i="1"/>
  <c r="U245" i="1"/>
  <c r="U20" i="1"/>
  <c r="U29" i="1"/>
  <c r="U86" i="1"/>
  <c r="U9" i="1"/>
  <c r="U247" i="1"/>
  <c r="U246" i="1"/>
  <c r="U46" i="1"/>
  <c r="U248" i="1"/>
  <c r="U25" i="1"/>
  <c r="U62" i="1"/>
  <c r="U87" i="1"/>
  <c r="U250" i="1"/>
  <c r="U251" i="1"/>
  <c r="U249" i="1"/>
  <c r="U116" i="1"/>
  <c r="U252" i="1"/>
  <c r="U253" i="1"/>
  <c r="U47" i="1"/>
  <c r="U10" i="1"/>
  <c r="U254" i="1"/>
  <c r="U63" i="1"/>
  <c r="U256" i="1"/>
  <c r="U255" i="1"/>
  <c r="U64" i="1"/>
  <c r="U257" i="1"/>
  <c r="U53" i="1"/>
  <c r="U258" i="1"/>
  <c r="U54" i="1"/>
  <c r="U88" i="1"/>
  <c r="U37" i="1"/>
  <c r="U259" i="1"/>
  <c r="U89" i="1"/>
  <c r="U260" i="1"/>
  <c r="U21" i="1"/>
  <c r="U261" i="1"/>
  <c r="U90" i="1"/>
  <c r="U75" i="1"/>
  <c r="U262" i="1"/>
  <c r="U263" i="1"/>
  <c r="U264" i="1"/>
  <c r="U48" i="1"/>
  <c r="U117" i="1"/>
  <c r="U65" i="1"/>
  <c r="U91" i="1"/>
  <c r="U265" i="1"/>
  <c r="U72" i="1"/>
  <c r="U266" i="1"/>
  <c r="U92" i="1"/>
  <c r="U267" i="1"/>
  <c r="U268" i="1"/>
  <c r="U76" i="1"/>
  <c r="U93" i="1"/>
  <c r="U22" i="1"/>
  <c r="U77" i="1"/>
  <c r="U120" i="1"/>
  <c r="U119" i="1"/>
  <c r="U81" i="1"/>
  <c r="U55" i="1"/>
  <c r="U82" i="1"/>
  <c r="U94" i="1"/>
  <c r="U56" i="1"/>
  <c r="U269" i="1"/>
  <c r="U78" i="1"/>
  <c r="U95" i="1"/>
  <c r="U30" i="1"/>
  <c r="U121" i="1"/>
  <c r="U122" i="1"/>
  <c r="U123" i="1"/>
  <c r="N95" i="1"/>
  <c r="O95" i="1" s="1"/>
  <c r="N30" i="1"/>
  <c r="O30" i="1" s="1"/>
  <c r="N122" i="1"/>
  <c r="O122" i="1" s="1"/>
  <c r="N121" i="1"/>
  <c r="O121" i="1" s="1"/>
  <c r="C145" i="10"/>
  <c r="D145" i="10"/>
  <c r="E145" i="10"/>
  <c r="F145" i="10"/>
  <c r="C146" i="10"/>
  <c r="D146" i="10"/>
  <c r="E146" i="10"/>
  <c r="F146" i="10"/>
  <c r="C147" i="10"/>
  <c r="D147" i="10"/>
  <c r="E147" i="10"/>
  <c r="F147" i="10"/>
  <c r="B146" i="10"/>
  <c r="B147" i="10"/>
  <c r="B145" i="10"/>
  <c r="C135" i="10"/>
  <c r="D135" i="10"/>
  <c r="E135" i="10"/>
  <c r="F135" i="10"/>
  <c r="C136" i="10"/>
  <c r="D136" i="10"/>
  <c r="E136" i="10"/>
  <c r="F136" i="10"/>
  <c r="C137" i="10"/>
  <c r="D137" i="10"/>
  <c r="E137" i="10"/>
  <c r="F137" i="10"/>
  <c r="B136" i="10"/>
  <c r="B137" i="10"/>
  <c r="B135" i="10"/>
  <c r="F132" i="10"/>
  <c r="E132" i="10"/>
  <c r="D132" i="10"/>
  <c r="C132" i="10"/>
  <c r="B132" i="10"/>
  <c r="F131" i="10"/>
  <c r="E131" i="10"/>
  <c r="D131" i="10"/>
  <c r="C131" i="10"/>
  <c r="B131" i="10"/>
  <c r="F130" i="10"/>
  <c r="E130" i="10"/>
  <c r="D130" i="10"/>
  <c r="C130" i="10"/>
  <c r="B130" i="10"/>
  <c r="N82" i="1"/>
  <c r="O82" i="1" s="1"/>
  <c r="N81" i="1"/>
  <c r="O81" i="1" s="1"/>
  <c r="N94" i="1"/>
  <c r="O94" i="1" s="1"/>
  <c r="N56" i="1"/>
  <c r="O56" i="1" s="1"/>
  <c r="N269" i="1"/>
  <c r="O269" i="1" s="1"/>
  <c r="N55" i="1"/>
  <c r="O55" i="1" s="1"/>
  <c r="N78" i="1"/>
  <c r="O78" i="1" s="1"/>
  <c r="C155" i="10"/>
  <c r="D155" i="10"/>
  <c r="E155" i="10"/>
  <c r="F155" i="10"/>
  <c r="C156" i="10"/>
  <c r="D156" i="10"/>
  <c r="E156" i="10"/>
  <c r="F156" i="10"/>
  <c r="C157" i="10"/>
  <c r="D157" i="10"/>
  <c r="E157" i="10"/>
  <c r="F157" i="10"/>
  <c r="B156" i="10"/>
  <c r="B157" i="10"/>
  <c r="B155" i="10"/>
  <c r="C150" i="10"/>
  <c r="D150" i="10"/>
  <c r="E150" i="10"/>
  <c r="F150" i="10"/>
  <c r="C151" i="10"/>
  <c r="D151" i="10"/>
  <c r="E151" i="10"/>
  <c r="F151" i="10"/>
  <c r="C152" i="10"/>
  <c r="D152" i="10"/>
  <c r="E152" i="10"/>
  <c r="F152" i="10"/>
  <c r="B151" i="10"/>
  <c r="B152" i="10"/>
  <c r="B150" i="10"/>
  <c r="K80" i="10"/>
  <c r="L80" i="10"/>
  <c r="M80" i="10"/>
  <c r="N80" i="10"/>
  <c r="K81" i="10"/>
  <c r="L81" i="10"/>
  <c r="M81" i="10"/>
  <c r="N81" i="10"/>
  <c r="K82" i="10"/>
  <c r="L82" i="10"/>
  <c r="M82" i="10"/>
  <c r="N82" i="10"/>
  <c r="J81" i="10"/>
  <c r="J82" i="10"/>
  <c r="J80" i="10"/>
  <c r="K150" i="10"/>
  <c r="L150" i="10"/>
  <c r="M150" i="10"/>
  <c r="N150" i="10"/>
  <c r="K151" i="10"/>
  <c r="L151" i="10"/>
  <c r="M151" i="10"/>
  <c r="N151" i="10"/>
  <c r="K152" i="10"/>
  <c r="L152" i="10"/>
  <c r="M152" i="10"/>
  <c r="N152" i="10"/>
  <c r="J151" i="10"/>
  <c r="J152" i="10"/>
  <c r="J150" i="10"/>
  <c r="C125" i="10"/>
  <c r="D125" i="10"/>
  <c r="E125" i="10"/>
  <c r="F125" i="10"/>
  <c r="C126" i="10"/>
  <c r="D126" i="10"/>
  <c r="E126" i="10"/>
  <c r="F126" i="10"/>
  <c r="C127" i="10"/>
  <c r="D127" i="10"/>
  <c r="E127" i="10"/>
  <c r="F127" i="10"/>
  <c r="B126" i="10"/>
  <c r="B127" i="10"/>
  <c r="B125" i="10"/>
  <c r="N119" i="1"/>
  <c r="O119" i="1" s="1"/>
  <c r="N120" i="1"/>
  <c r="O120" i="1" s="1"/>
  <c r="N77" i="1"/>
  <c r="O77" i="1" s="1"/>
  <c r="N22" i="1"/>
  <c r="O22" i="1" s="1"/>
  <c r="F20" i="4"/>
  <c r="G20" i="4"/>
  <c r="H20" i="4"/>
  <c r="I20" i="4"/>
  <c r="J20" i="4"/>
  <c r="K20" i="4"/>
  <c r="L20" i="4"/>
  <c r="M20" i="4"/>
  <c r="N20" i="4"/>
  <c r="O20" i="4"/>
  <c r="P20" i="4"/>
  <c r="F26" i="4"/>
  <c r="G26" i="4"/>
  <c r="H26" i="4"/>
  <c r="I26" i="4"/>
  <c r="I106" i="4" s="1"/>
  <c r="J26" i="4"/>
  <c r="J106" i="4" s="1"/>
  <c r="K26" i="4"/>
  <c r="K106" i="4" s="1"/>
  <c r="L26" i="4"/>
  <c r="M26" i="4"/>
  <c r="N26" i="4"/>
  <c r="N106" i="4" s="1"/>
  <c r="O26" i="4"/>
  <c r="P26" i="4"/>
  <c r="E26" i="4"/>
  <c r="E106" i="4" s="1"/>
  <c r="E20" i="4"/>
  <c r="G27" i="4"/>
  <c r="C86" i="4"/>
  <c r="C87" i="4"/>
  <c r="C88" i="4"/>
  <c r="C89" i="4"/>
  <c r="C90" i="4"/>
  <c r="C91" i="4"/>
  <c r="C92" i="4"/>
  <c r="C93" i="4"/>
  <c r="C94" i="4"/>
  <c r="C95" i="4"/>
  <c r="C85" i="4"/>
  <c r="AX218" i="10"/>
  <c r="AX219" i="10"/>
  <c r="AX220" i="10"/>
  <c r="AX221" i="10"/>
  <c r="AX222" i="10"/>
  <c r="AX223" i="10"/>
  <c r="AX224" i="10"/>
  <c r="AX225" i="10"/>
  <c r="AX226" i="10"/>
  <c r="AX227" i="10"/>
  <c r="AX217" i="10"/>
  <c r="AW218" i="10"/>
  <c r="AW219" i="10"/>
  <c r="AW220" i="10"/>
  <c r="AW221" i="10"/>
  <c r="AW222" i="10"/>
  <c r="AW223" i="10"/>
  <c r="AW224" i="10"/>
  <c r="AW225" i="10"/>
  <c r="AW226" i="10"/>
  <c r="AW227" i="10"/>
  <c r="C71" i="4"/>
  <c r="C72" i="4"/>
  <c r="C73" i="4"/>
  <c r="C74" i="4"/>
  <c r="C75" i="4"/>
  <c r="C76" i="4"/>
  <c r="C77" i="4"/>
  <c r="C78" i="4"/>
  <c r="C79" i="4"/>
  <c r="C80" i="4"/>
  <c r="C70" i="4"/>
  <c r="C54" i="4"/>
  <c r="C55" i="4"/>
  <c r="C56" i="4"/>
  <c r="C57" i="4"/>
  <c r="C58" i="4"/>
  <c r="C59" i="4"/>
  <c r="C60" i="4"/>
  <c r="C61" i="4"/>
  <c r="C62" i="4"/>
  <c r="C63" i="4"/>
  <c r="C53" i="4"/>
  <c r="C37" i="4"/>
  <c r="C38" i="4"/>
  <c r="C39" i="4"/>
  <c r="C40" i="4"/>
  <c r="C41" i="4"/>
  <c r="C42" i="4"/>
  <c r="C43" i="4"/>
  <c r="C44" i="4"/>
  <c r="C45" i="4"/>
  <c r="C46" i="4"/>
  <c r="C36" i="4"/>
  <c r="G7" i="16"/>
  <c r="G4" i="16"/>
  <c r="G2" i="16"/>
  <c r="D15" i="16"/>
  <c r="D16" i="16"/>
  <c r="D17" i="16"/>
  <c r="D18" i="16"/>
  <c r="D19" i="16"/>
  <c r="D20" i="16"/>
  <c r="D21" i="16"/>
  <c r="D22" i="16"/>
  <c r="D23" i="16"/>
  <c r="D14" i="16"/>
  <c r="D3" i="16"/>
  <c r="D4" i="16"/>
  <c r="D5" i="16"/>
  <c r="D6" i="16"/>
  <c r="D7" i="16"/>
  <c r="D8" i="16"/>
  <c r="D9" i="16"/>
  <c r="C23" i="16"/>
  <c r="E22" i="16"/>
  <c r="H22" i="16" s="1"/>
  <c r="C22" i="16"/>
  <c r="E21" i="16"/>
  <c r="H21" i="16" s="1"/>
  <c r="C21" i="16"/>
  <c r="E20" i="16"/>
  <c r="H20" i="16" s="1"/>
  <c r="C20" i="16"/>
  <c r="E19" i="16"/>
  <c r="H19" i="16" s="1"/>
  <c r="C19" i="16"/>
  <c r="E18" i="16"/>
  <c r="H18" i="16" s="1"/>
  <c r="C18" i="16"/>
  <c r="E17" i="16"/>
  <c r="H17" i="16" s="1"/>
  <c r="C17" i="16"/>
  <c r="E16" i="16"/>
  <c r="H16" i="16" s="1"/>
  <c r="C16" i="16"/>
  <c r="E15" i="16"/>
  <c r="H15" i="16" s="1"/>
  <c r="C15" i="16"/>
  <c r="E14" i="16"/>
  <c r="H14" i="16" s="1"/>
  <c r="C14" i="16"/>
  <c r="C21" i="4"/>
  <c r="C22" i="4"/>
  <c r="C23" i="4"/>
  <c r="C24" i="4"/>
  <c r="C25" i="4"/>
  <c r="C26" i="4"/>
  <c r="C27" i="4"/>
  <c r="C28" i="4"/>
  <c r="C29" i="4"/>
  <c r="C30" i="4"/>
  <c r="C20" i="4"/>
  <c r="D2" i="16"/>
  <c r="C3" i="16"/>
  <c r="C4" i="16"/>
  <c r="C5" i="16"/>
  <c r="C6" i="16"/>
  <c r="C7" i="16"/>
  <c r="C8" i="16"/>
  <c r="C9" i="16"/>
  <c r="C2" i="16"/>
  <c r="B121" i="10"/>
  <c r="B122" i="10"/>
  <c r="C121" i="10"/>
  <c r="C122" i="10"/>
  <c r="C120" i="10"/>
  <c r="B120" i="10"/>
  <c r="E120" i="10"/>
  <c r="F120" i="10"/>
  <c r="E121" i="10"/>
  <c r="F121" i="10"/>
  <c r="E122" i="10"/>
  <c r="F122" i="10"/>
  <c r="D121" i="10"/>
  <c r="D122" i="10"/>
  <c r="D120" i="10"/>
  <c r="N93" i="1"/>
  <c r="O93" i="1" s="1"/>
  <c r="N200" i="10"/>
  <c r="M200" i="10"/>
  <c r="L200" i="10"/>
  <c r="K200" i="10"/>
  <c r="J200" i="10"/>
  <c r="N199" i="10"/>
  <c r="M199" i="10"/>
  <c r="L199" i="10"/>
  <c r="K199" i="10"/>
  <c r="J199" i="10"/>
  <c r="N196" i="10"/>
  <c r="M196" i="10"/>
  <c r="L196" i="10"/>
  <c r="K196" i="10"/>
  <c r="J196" i="10"/>
  <c r="N195" i="10"/>
  <c r="M195" i="10"/>
  <c r="L195" i="10"/>
  <c r="K195" i="10"/>
  <c r="J195" i="10"/>
  <c r="N163" i="10"/>
  <c r="M163" i="10"/>
  <c r="L163" i="10"/>
  <c r="K163" i="10"/>
  <c r="J163" i="10"/>
  <c r="N162" i="10"/>
  <c r="M162" i="10"/>
  <c r="L162" i="10"/>
  <c r="K162" i="10"/>
  <c r="J162" i="10"/>
  <c r="B116" i="10"/>
  <c r="C116" i="10"/>
  <c r="D116" i="10"/>
  <c r="E116" i="10"/>
  <c r="F116" i="10"/>
  <c r="B117" i="10"/>
  <c r="C117" i="10"/>
  <c r="D117" i="10"/>
  <c r="E117" i="10"/>
  <c r="F117" i="10"/>
  <c r="C115" i="10"/>
  <c r="D115" i="10"/>
  <c r="E115" i="10"/>
  <c r="F115" i="10"/>
  <c r="B115" i="10"/>
  <c r="Y24" i="1"/>
  <c r="Y187" i="1"/>
  <c r="Y49" i="1"/>
  <c r="Y35" i="1"/>
  <c r="Y45" i="1"/>
  <c r="Y144" i="1"/>
  <c r="Y43" i="1"/>
  <c r="BD218" i="10" s="1"/>
  <c r="E3" i="16"/>
  <c r="H3" i="16" s="1"/>
  <c r="E4" i="16"/>
  <c r="H4" i="16" s="1"/>
  <c r="E6" i="16"/>
  <c r="H6" i="16" s="1"/>
  <c r="Y71" i="1"/>
  <c r="Y70" i="1"/>
  <c r="Y219" i="1"/>
  <c r="Y101" i="1"/>
  <c r="Y18" i="1"/>
  <c r="Y3" i="1"/>
  <c r="E2" i="16"/>
  <c r="H2" i="16" s="1"/>
  <c r="BD227" i="10"/>
  <c r="BA227" i="10"/>
  <c r="AZ227" i="10"/>
  <c r="AU227" i="10"/>
  <c r="AT227" i="10"/>
  <c r="AR227" i="10"/>
  <c r="AQ227" i="10"/>
  <c r="AO227" i="10"/>
  <c r="AN227" i="10"/>
  <c r="AL227" i="10"/>
  <c r="AI227" i="10"/>
  <c r="AH227" i="10"/>
  <c r="AF227" i="10"/>
  <c r="AE227" i="10"/>
  <c r="Z227" i="10"/>
  <c r="Y227" i="10"/>
  <c r="W227" i="10"/>
  <c r="V227" i="10"/>
  <c r="T227" i="10"/>
  <c r="S227" i="10"/>
  <c r="Q227" i="10"/>
  <c r="P227" i="10"/>
  <c r="N227" i="10"/>
  <c r="M227" i="10"/>
  <c r="H227" i="10"/>
  <c r="G227" i="10"/>
  <c r="F227" i="10"/>
  <c r="D227" i="10"/>
  <c r="C227" i="10"/>
  <c r="BD226" i="10"/>
  <c r="BC226" i="10"/>
  <c r="BA226" i="10"/>
  <c r="AZ226" i="10"/>
  <c r="AU226" i="10"/>
  <c r="AT226" i="10"/>
  <c r="AR226" i="10"/>
  <c r="AQ226" i="10"/>
  <c r="AO226" i="10"/>
  <c r="AN226" i="10"/>
  <c r="AK226" i="10"/>
  <c r="AI226" i="10"/>
  <c r="AH226" i="10"/>
  <c r="AF226" i="10"/>
  <c r="AE226" i="10"/>
  <c r="Z226" i="10"/>
  <c r="Y226" i="10"/>
  <c r="W226" i="10"/>
  <c r="V226" i="10"/>
  <c r="T226" i="10"/>
  <c r="S226" i="10"/>
  <c r="Q226" i="10"/>
  <c r="P226" i="10"/>
  <c r="N226" i="10"/>
  <c r="M226" i="10"/>
  <c r="H226" i="10"/>
  <c r="G226" i="10"/>
  <c r="F226" i="10"/>
  <c r="D226" i="10"/>
  <c r="C226" i="10"/>
  <c r="BC225" i="10"/>
  <c r="BA225" i="10"/>
  <c r="AZ225" i="10"/>
  <c r="AU225" i="10"/>
  <c r="AT225" i="10"/>
  <c r="AR225" i="10"/>
  <c r="AQ225" i="10"/>
  <c r="AO225" i="10"/>
  <c r="AN225" i="10"/>
  <c r="AL225" i="10"/>
  <c r="AI225" i="10"/>
  <c r="AH225" i="10"/>
  <c r="AF225" i="10"/>
  <c r="AE225" i="10"/>
  <c r="Z225" i="10"/>
  <c r="Y225" i="10"/>
  <c r="W225" i="10"/>
  <c r="V225" i="10"/>
  <c r="T225" i="10"/>
  <c r="S225" i="10"/>
  <c r="Q225" i="10"/>
  <c r="P225" i="10"/>
  <c r="N225" i="10"/>
  <c r="M225" i="10"/>
  <c r="H225" i="10"/>
  <c r="G225" i="10"/>
  <c r="F225" i="10"/>
  <c r="D225" i="10"/>
  <c r="C225" i="10"/>
  <c r="BA224" i="10"/>
  <c r="AZ224" i="10"/>
  <c r="AU224" i="10"/>
  <c r="AT224" i="10"/>
  <c r="AR224" i="10"/>
  <c r="AQ224" i="10"/>
  <c r="AO224" i="10"/>
  <c r="AN224" i="10"/>
  <c r="AI224" i="10"/>
  <c r="AH224" i="10"/>
  <c r="AF224" i="10"/>
  <c r="AE224" i="10"/>
  <c r="Z224" i="10"/>
  <c r="Y224" i="10"/>
  <c r="W224" i="10"/>
  <c r="V224" i="10"/>
  <c r="T224" i="10"/>
  <c r="Q224" i="10"/>
  <c r="P224" i="10"/>
  <c r="N224" i="10"/>
  <c r="M224" i="10"/>
  <c r="H224" i="10"/>
  <c r="G224" i="10"/>
  <c r="F224" i="10"/>
  <c r="D224" i="10"/>
  <c r="C224" i="10"/>
  <c r="BD223" i="10"/>
  <c r="BC223" i="10"/>
  <c r="BA223" i="10"/>
  <c r="AZ223" i="10"/>
  <c r="AU223" i="10"/>
  <c r="AT223" i="10"/>
  <c r="AR223" i="10"/>
  <c r="AQ223" i="10"/>
  <c r="AO223" i="10"/>
  <c r="AN223" i="10"/>
  <c r="AL223" i="10"/>
  <c r="AK223" i="10"/>
  <c r="AI223" i="10"/>
  <c r="AH223" i="10"/>
  <c r="AF223" i="10"/>
  <c r="AE223" i="10"/>
  <c r="Z223" i="10"/>
  <c r="Y223" i="10"/>
  <c r="W223" i="10"/>
  <c r="V223" i="10"/>
  <c r="T223" i="10"/>
  <c r="S223" i="10"/>
  <c r="Q223" i="10"/>
  <c r="P223" i="10"/>
  <c r="N223" i="10"/>
  <c r="M223" i="10"/>
  <c r="H223" i="10"/>
  <c r="G223" i="10"/>
  <c r="F223" i="10"/>
  <c r="D223" i="10"/>
  <c r="C223" i="10"/>
  <c r="BD222" i="10"/>
  <c r="BC222" i="10"/>
  <c r="BA222" i="10"/>
  <c r="AZ222" i="10"/>
  <c r="AU222" i="10"/>
  <c r="AR222" i="10"/>
  <c r="AQ222" i="10"/>
  <c r="AO222" i="10"/>
  <c r="AN222" i="10"/>
  <c r="AK222" i="10"/>
  <c r="AI222" i="10"/>
  <c r="AH222" i="10"/>
  <c r="AF222" i="10"/>
  <c r="AE222" i="10"/>
  <c r="Z222" i="10"/>
  <c r="Y222" i="10"/>
  <c r="W222" i="10"/>
  <c r="V222" i="10"/>
  <c r="T222" i="10"/>
  <c r="S222" i="10"/>
  <c r="Q222" i="10"/>
  <c r="P222" i="10"/>
  <c r="N222" i="10"/>
  <c r="M222" i="10"/>
  <c r="H222" i="10"/>
  <c r="G222" i="10"/>
  <c r="F222" i="10"/>
  <c r="D222" i="10"/>
  <c r="C222" i="10"/>
  <c r="BC221" i="10"/>
  <c r="BA221" i="10"/>
  <c r="AZ221" i="10"/>
  <c r="AU221" i="10"/>
  <c r="AT221" i="10"/>
  <c r="AR221" i="10"/>
  <c r="AQ221" i="10"/>
  <c r="AO221" i="10"/>
  <c r="AN221" i="10"/>
  <c r="AL221" i="10"/>
  <c r="AI221" i="10"/>
  <c r="AH221" i="10"/>
  <c r="AF221" i="10"/>
  <c r="AE221" i="10"/>
  <c r="Z221" i="10"/>
  <c r="Y221" i="10"/>
  <c r="W221" i="10"/>
  <c r="V221" i="10"/>
  <c r="T221" i="10"/>
  <c r="S221" i="10"/>
  <c r="Q221" i="10"/>
  <c r="P221" i="10"/>
  <c r="N221" i="10"/>
  <c r="M221" i="10"/>
  <c r="H221" i="10"/>
  <c r="G221" i="10"/>
  <c r="F221" i="10"/>
  <c r="D221" i="10"/>
  <c r="C221" i="10"/>
  <c r="BC220" i="10"/>
  <c r="BA220" i="10"/>
  <c r="AZ220" i="10"/>
  <c r="AU220" i="10"/>
  <c r="AT220" i="10"/>
  <c r="AR220" i="10"/>
  <c r="AQ220" i="10"/>
  <c r="AO220" i="10"/>
  <c r="AN220" i="10"/>
  <c r="AL220" i="10"/>
  <c r="AK220" i="10"/>
  <c r="AI220" i="10"/>
  <c r="AH220" i="10"/>
  <c r="AF220" i="10"/>
  <c r="AE220" i="10"/>
  <c r="AC220" i="10"/>
  <c r="Z220" i="10"/>
  <c r="Y220" i="10"/>
  <c r="W220" i="10"/>
  <c r="V220" i="10"/>
  <c r="Q220" i="10"/>
  <c r="P220" i="10"/>
  <c r="N220" i="10"/>
  <c r="M220" i="10"/>
  <c r="H220" i="10"/>
  <c r="G220" i="10"/>
  <c r="F220" i="10"/>
  <c r="D220" i="10"/>
  <c r="C220" i="10"/>
  <c r="BD219" i="10"/>
  <c r="BC219" i="10"/>
  <c r="BA219" i="10"/>
  <c r="AZ219" i="10"/>
  <c r="AU219" i="10"/>
  <c r="AT219" i="10"/>
  <c r="AR219" i="10"/>
  <c r="AQ219" i="10"/>
  <c r="AO219" i="10"/>
  <c r="AN219" i="10"/>
  <c r="AL219" i="10"/>
  <c r="AK219" i="10"/>
  <c r="AI219" i="10"/>
  <c r="AH219" i="10"/>
  <c r="AF219" i="10"/>
  <c r="AE219" i="10"/>
  <c r="AC219" i="10"/>
  <c r="AB219" i="10"/>
  <c r="Z219" i="10"/>
  <c r="Y219" i="10"/>
  <c r="W219" i="10"/>
  <c r="V219" i="10"/>
  <c r="Q219" i="10"/>
  <c r="P219" i="10"/>
  <c r="N219" i="10"/>
  <c r="M219" i="10"/>
  <c r="H219" i="10"/>
  <c r="G219" i="10"/>
  <c r="F219" i="10"/>
  <c r="D219" i="10"/>
  <c r="C219" i="10"/>
  <c r="BA218" i="10"/>
  <c r="AZ218" i="10"/>
  <c r="AU218" i="10"/>
  <c r="AT218" i="10"/>
  <c r="AR218" i="10"/>
  <c r="AQ218" i="10"/>
  <c r="AO218" i="10"/>
  <c r="AN218" i="10"/>
  <c r="AI218" i="10"/>
  <c r="AH218" i="10"/>
  <c r="AF218" i="10"/>
  <c r="AE218" i="10"/>
  <c r="AB218" i="10"/>
  <c r="Z218" i="10"/>
  <c r="Y218" i="10"/>
  <c r="W218" i="10"/>
  <c r="V218" i="10"/>
  <c r="T218" i="10"/>
  <c r="S218" i="10"/>
  <c r="Q218" i="10"/>
  <c r="P218" i="10"/>
  <c r="N218" i="10"/>
  <c r="M218" i="10"/>
  <c r="H218" i="10"/>
  <c r="G218" i="10"/>
  <c r="F218" i="10"/>
  <c r="D218" i="10"/>
  <c r="C218" i="10"/>
  <c r="BD217" i="10"/>
  <c r="BC217" i="10"/>
  <c r="BA217" i="10"/>
  <c r="AZ217" i="10"/>
  <c r="AW217" i="10"/>
  <c r="AT217" i="10"/>
  <c r="AR217" i="10"/>
  <c r="AQ217" i="10"/>
  <c r="AO217" i="10"/>
  <c r="AN217" i="10"/>
  <c r="AI217" i="10"/>
  <c r="AH217" i="10"/>
  <c r="AF217" i="10"/>
  <c r="AE217" i="10"/>
  <c r="Z217" i="10"/>
  <c r="Y217" i="10"/>
  <c r="W217" i="10"/>
  <c r="V217" i="10"/>
  <c r="T217" i="10"/>
  <c r="S217" i="10"/>
  <c r="Q217" i="10"/>
  <c r="P217" i="10"/>
  <c r="N217" i="10"/>
  <c r="M217" i="10"/>
  <c r="H217" i="10"/>
  <c r="G217" i="10"/>
  <c r="F217" i="10"/>
  <c r="D217" i="10"/>
  <c r="C217" i="10"/>
  <c r="BQ227" i="10"/>
  <c r="BP227" i="10"/>
  <c r="BO227" i="10"/>
  <c r="BN227" i="10"/>
  <c r="BM227" i="10"/>
  <c r="BL227" i="10"/>
  <c r="BK227" i="10"/>
  <c r="BJ227" i="10"/>
  <c r="BI227" i="10"/>
  <c r="BH227" i="10"/>
  <c r="BG227" i="10"/>
  <c r="BF227" i="10"/>
  <c r="B227" i="10"/>
  <c r="BQ226" i="10"/>
  <c r="BP226" i="10"/>
  <c r="BO226" i="10"/>
  <c r="BN226" i="10"/>
  <c r="BM226" i="10"/>
  <c r="BL226" i="10"/>
  <c r="BK226" i="10"/>
  <c r="BJ226" i="10"/>
  <c r="BI226" i="10"/>
  <c r="BH226" i="10"/>
  <c r="BG226" i="10"/>
  <c r="BF226" i="10"/>
  <c r="B226" i="10"/>
  <c r="BQ225" i="10"/>
  <c r="BP225" i="10"/>
  <c r="BO225" i="10"/>
  <c r="BN225" i="10"/>
  <c r="BM225" i="10"/>
  <c r="BL225" i="10"/>
  <c r="BK225" i="10"/>
  <c r="BJ225" i="10"/>
  <c r="BI225" i="10"/>
  <c r="BH225" i="10"/>
  <c r="BG225" i="10"/>
  <c r="BF225" i="10"/>
  <c r="B225" i="10"/>
  <c r="BQ224" i="10"/>
  <c r="BP224" i="10"/>
  <c r="BO224" i="10"/>
  <c r="BN224" i="10"/>
  <c r="BM224" i="10"/>
  <c r="BL224" i="10"/>
  <c r="BK224" i="10"/>
  <c r="BJ224" i="10"/>
  <c r="BI224" i="10"/>
  <c r="BH224" i="10"/>
  <c r="BG224" i="10"/>
  <c r="BF224" i="10"/>
  <c r="B224" i="10"/>
  <c r="BQ223" i="10"/>
  <c r="BP223" i="10"/>
  <c r="BO223" i="10"/>
  <c r="BN223" i="10"/>
  <c r="BM223" i="10"/>
  <c r="BL223" i="10"/>
  <c r="BK223" i="10"/>
  <c r="BJ223" i="10"/>
  <c r="BI223" i="10"/>
  <c r="BH223" i="10"/>
  <c r="BG223" i="10"/>
  <c r="BF223" i="10"/>
  <c r="B223" i="10"/>
  <c r="BQ222" i="10"/>
  <c r="BP222" i="10"/>
  <c r="BO222" i="10"/>
  <c r="BN222" i="10"/>
  <c r="BM222" i="10"/>
  <c r="BL222" i="10"/>
  <c r="BK222" i="10"/>
  <c r="BJ222" i="10"/>
  <c r="BI222" i="10"/>
  <c r="BH222" i="10"/>
  <c r="BG222" i="10"/>
  <c r="BF222" i="10"/>
  <c r="B222" i="10"/>
  <c r="BQ221" i="10"/>
  <c r="BP221" i="10"/>
  <c r="BO221" i="10"/>
  <c r="BN221" i="10"/>
  <c r="BM221" i="10"/>
  <c r="BL221" i="10"/>
  <c r="BK221" i="10"/>
  <c r="BJ221" i="10"/>
  <c r="BI221" i="10"/>
  <c r="BH221" i="10"/>
  <c r="BG221" i="10"/>
  <c r="BF221" i="10"/>
  <c r="B221" i="10"/>
  <c r="BQ220" i="10"/>
  <c r="BP220" i="10"/>
  <c r="BO220" i="10"/>
  <c r="BN220" i="10"/>
  <c r="BM220" i="10"/>
  <c r="BL220" i="10"/>
  <c r="BK220" i="10"/>
  <c r="BJ220" i="10"/>
  <c r="BI220" i="10"/>
  <c r="BH220" i="10"/>
  <c r="BG220" i="10"/>
  <c r="BF220" i="10"/>
  <c r="B220" i="10"/>
  <c r="BQ219" i="10"/>
  <c r="BP219" i="10"/>
  <c r="BO219" i="10"/>
  <c r="BN219" i="10"/>
  <c r="BM219" i="10"/>
  <c r="BL219" i="10"/>
  <c r="BK219" i="10"/>
  <c r="BJ219" i="10"/>
  <c r="BI219" i="10"/>
  <c r="BH219" i="10"/>
  <c r="BG219" i="10"/>
  <c r="BF219" i="10"/>
  <c r="B219" i="10"/>
  <c r="BQ218" i="10"/>
  <c r="BP218" i="10"/>
  <c r="BO218" i="10"/>
  <c r="BN218" i="10"/>
  <c r="BM218" i="10"/>
  <c r="BL218" i="10"/>
  <c r="BK218" i="10"/>
  <c r="BJ218" i="10"/>
  <c r="BI218" i="10"/>
  <c r="BH218" i="10"/>
  <c r="BG218" i="10"/>
  <c r="BF218" i="10"/>
  <c r="B218" i="10"/>
  <c r="BQ217" i="10"/>
  <c r="BP217" i="10"/>
  <c r="BO217" i="10"/>
  <c r="BN217" i="10"/>
  <c r="BM217" i="10"/>
  <c r="BL217" i="10"/>
  <c r="BK217" i="10"/>
  <c r="BJ217" i="10"/>
  <c r="BI217" i="10"/>
  <c r="BH217" i="10"/>
  <c r="BG217" i="10"/>
  <c r="BF217" i="10"/>
  <c r="B217" i="10"/>
  <c r="G3" i="14"/>
  <c r="G4" i="14"/>
  <c r="G5" i="14"/>
  <c r="G6" i="14"/>
  <c r="G2" i="14"/>
  <c r="K191" i="10"/>
  <c r="L191" i="10"/>
  <c r="M191" i="10"/>
  <c r="N191" i="10"/>
  <c r="K192" i="10"/>
  <c r="L192" i="10"/>
  <c r="M192" i="10"/>
  <c r="N192" i="10"/>
  <c r="J192" i="10"/>
  <c r="J191" i="10"/>
  <c r="K186" i="10"/>
  <c r="L186" i="10"/>
  <c r="M186" i="10"/>
  <c r="N186" i="10"/>
  <c r="K187" i="10"/>
  <c r="L187" i="10"/>
  <c r="M187" i="10"/>
  <c r="N187" i="10"/>
  <c r="J187" i="10"/>
  <c r="J186" i="10"/>
  <c r="O183" i="10"/>
  <c r="M181" i="10"/>
  <c r="N181" i="10"/>
  <c r="O182" i="10"/>
  <c r="K178" i="10"/>
  <c r="L178" i="10"/>
  <c r="M178" i="10"/>
  <c r="N178" i="10"/>
  <c r="J178" i="10"/>
  <c r="K179" i="10"/>
  <c r="L179" i="10"/>
  <c r="M179" i="10"/>
  <c r="N179" i="10"/>
  <c r="J179" i="10"/>
  <c r="B182" i="10"/>
  <c r="C182" i="10"/>
  <c r="D182" i="10"/>
  <c r="E182" i="10"/>
  <c r="F182" i="10"/>
  <c r="K207" i="10"/>
  <c r="L207" i="10"/>
  <c r="M207" i="10"/>
  <c r="N207" i="10"/>
  <c r="K208" i="10"/>
  <c r="L208" i="10"/>
  <c r="M208" i="10"/>
  <c r="N208" i="10"/>
  <c r="K209" i="10"/>
  <c r="L209" i="10"/>
  <c r="M209" i="10"/>
  <c r="N209" i="10"/>
  <c r="J208" i="10"/>
  <c r="J209" i="10"/>
  <c r="J207" i="10"/>
  <c r="C207" i="10"/>
  <c r="D207" i="10"/>
  <c r="E207" i="10"/>
  <c r="F207" i="10"/>
  <c r="C208" i="10"/>
  <c r="D208" i="10"/>
  <c r="E208" i="10"/>
  <c r="F208" i="10"/>
  <c r="C209" i="10"/>
  <c r="D209" i="10"/>
  <c r="E209" i="10"/>
  <c r="F209" i="10"/>
  <c r="B208" i="10"/>
  <c r="B209" i="10"/>
  <c r="B207" i="10"/>
  <c r="K174" i="10"/>
  <c r="L174" i="10"/>
  <c r="M174" i="10"/>
  <c r="N174" i="10"/>
  <c r="K175" i="10"/>
  <c r="L175" i="10"/>
  <c r="M175" i="10"/>
  <c r="N175" i="10"/>
  <c r="J175" i="10"/>
  <c r="J174" i="10"/>
  <c r="O204" i="10"/>
  <c r="O203" i="10"/>
  <c r="N202" i="10"/>
  <c r="M202" i="10"/>
  <c r="L202" i="10"/>
  <c r="K202" i="10"/>
  <c r="J202" i="10"/>
  <c r="N171" i="10"/>
  <c r="M171" i="10"/>
  <c r="L171" i="10"/>
  <c r="K171" i="10"/>
  <c r="J171" i="10"/>
  <c r="N170" i="10"/>
  <c r="M170" i="10"/>
  <c r="L170" i="10"/>
  <c r="K170" i="10"/>
  <c r="J170" i="10"/>
  <c r="N167" i="10"/>
  <c r="M167" i="10"/>
  <c r="L167" i="10"/>
  <c r="K167" i="10"/>
  <c r="J167" i="10"/>
  <c r="N166" i="10"/>
  <c r="M166" i="10"/>
  <c r="L166" i="10"/>
  <c r="K166" i="10"/>
  <c r="J166" i="10"/>
  <c r="C199" i="10"/>
  <c r="D199" i="10"/>
  <c r="E199" i="10"/>
  <c r="F199" i="10"/>
  <c r="C200" i="10"/>
  <c r="D200" i="10"/>
  <c r="E200" i="10"/>
  <c r="F200" i="10"/>
  <c r="B200" i="10"/>
  <c r="C195" i="10"/>
  <c r="D195" i="10"/>
  <c r="E195" i="10"/>
  <c r="F195" i="10"/>
  <c r="C196" i="10"/>
  <c r="D196" i="10"/>
  <c r="E196" i="10"/>
  <c r="F196" i="10"/>
  <c r="B196" i="10"/>
  <c r="C186" i="10"/>
  <c r="D186" i="10"/>
  <c r="E186" i="10"/>
  <c r="F186" i="10"/>
  <c r="C187" i="10"/>
  <c r="D187" i="10"/>
  <c r="E187" i="10"/>
  <c r="F187" i="10"/>
  <c r="C178" i="10"/>
  <c r="D178" i="10"/>
  <c r="E178" i="10"/>
  <c r="F178" i="10"/>
  <c r="C179" i="10"/>
  <c r="D179" i="10"/>
  <c r="E179" i="10"/>
  <c r="F179" i="10"/>
  <c r="C183" i="10"/>
  <c r="D183" i="10"/>
  <c r="E183" i="10"/>
  <c r="F183" i="10"/>
  <c r="C191" i="10"/>
  <c r="D191" i="10"/>
  <c r="E191" i="10"/>
  <c r="F191" i="10"/>
  <c r="C192" i="10"/>
  <c r="D192" i="10"/>
  <c r="E192" i="10"/>
  <c r="F192" i="10"/>
  <c r="B192" i="10"/>
  <c r="B187" i="10"/>
  <c r="B183" i="10"/>
  <c r="B199" i="10"/>
  <c r="B195" i="10"/>
  <c r="B191" i="10"/>
  <c r="B186" i="10"/>
  <c r="B179" i="10"/>
  <c r="B178" i="10"/>
  <c r="C174" i="10"/>
  <c r="D174" i="10"/>
  <c r="E174" i="10"/>
  <c r="F174" i="10"/>
  <c r="C175" i="10"/>
  <c r="D175" i="10"/>
  <c r="E175" i="10"/>
  <c r="F175" i="10"/>
  <c r="B175" i="10"/>
  <c r="B174" i="10"/>
  <c r="C171" i="10"/>
  <c r="D171" i="10"/>
  <c r="E171" i="10"/>
  <c r="F171" i="10"/>
  <c r="B171" i="10"/>
  <c r="C170" i="10"/>
  <c r="D170" i="10"/>
  <c r="E170" i="10"/>
  <c r="F170" i="10"/>
  <c r="B170" i="10"/>
  <c r="F202" i="10"/>
  <c r="E202" i="10"/>
  <c r="D202" i="10"/>
  <c r="C202" i="10"/>
  <c r="B202" i="10"/>
  <c r="G204" i="10"/>
  <c r="G203" i="10"/>
  <c r="C167" i="10"/>
  <c r="D167" i="10"/>
  <c r="E167" i="10"/>
  <c r="F167" i="10"/>
  <c r="C166" i="10"/>
  <c r="D166" i="10"/>
  <c r="E166" i="10"/>
  <c r="F166" i="10"/>
  <c r="B167" i="10"/>
  <c r="B166" i="10"/>
  <c r="C163" i="10"/>
  <c r="D163" i="10"/>
  <c r="E163" i="10"/>
  <c r="F163" i="10"/>
  <c r="B163" i="10"/>
  <c r="C162" i="10"/>
  <c r="D162" i="10"/>
  <c r="E162" i="10"/>
  <c r="F162" i="10"/>
  <c r="B162" i="10"/>
  <c r="B111" i="10"/>
  <c r="C111" i="10"/>
  <c r="D111" i="10"/>
  <c r="E111" i="10"/>
  <c r="F111" i="10"/>
  <c r="B112" i="10"/>
  <c r="C112" i="10"/>
  <c r="D112" i="10"/>
  <c r="E112" i="10"/>
  <c r="F112" i="10"/>
  <c r="C110" i="10"/>
  <c r="D110" i="10"/>
  <c r="E110" i="10"/>
  <c r="F110" i="10"/>
  <c r="B106" i="10"/>
  <c r="C106" i="10"/>
  <c r="D106" i="10"/>
  <c r="E106" i="10"/>
  <c r="F106" i="10"/>
  <c r="B107" i="10"/>
  <c r="C107" i="10"/>
  <c r="D107" i="10"/>
  <c r="E107" i="10"/>
  <c r="F107" i="10"/>
  <c r="C105" i="10"/>
  <c r="D105" i="10"/>
  <c r="E105" i="10"/>
  <c r="F105" i="10"/>
  <c r="B101" i="10"/>
  <c r="C101" i="10"/>
  <c r="D101" i="10"/>
  <c r="E101" i="10"/>
  <c r="F101" i="10"/>
  <c r="B102" i="10"/>
  <c r="C102" i="10"/>
  <c r="D102" i="10"/>
  <c r="E102" i="10"/>
  <c r="F102" i="10"/>
  <c r="C100" i="10"/>
  <c r="D100" i="10"/>
  <c r="E100" i="10"/>
  <c r="F100" i="10"/>
  <c r="B96" i="10"/>
  <c r="C96" i="10"/>
  <c r="D96" i="10"/>
  <c r="E96" i="10"/>
  <c r="F96" i="10"/>
  <c r="F94" i="10" s="1"/>
  <c r="B97" i="10"/>
  <c r="C97" i="10"/>
  <c r="D97" i="10"/>
  <c r="E97" i="10"/>
  <c r="F97" i="10"/>
  <c r="C95" i="10"/>
  <c r="D95" i="10"/>
  <c r="E95" i="10"/>
  <c r="F95" i="10"/>
  <c r="B110" i="10"/>
  <c r="B105" i="10"/>
  <c r="B100" i="10"/>
  <c r="B95" i="10"/>
  <c r="B81" i="10"/>
  <c r="C81" i="10"/>
  <c r="D81" i="10"/>
  <c r="E81" i="10"/>
  <c r="F81" i="10"/>
  <c r="B82" i="10"/>
  <c r="C82" i="10"/>
  <c r="D82" i="10"/>
  <c r="E82" i="10"/>
  <c r="F82" i="10"/>
  <c r="C80" i="10"/>
  <c r="D80" i="10"/>
  <c r="E80" i="10"/>
  <c r="F80" i="10"/>
  <c r="B80" i="10"/>
  <c r="Y261" i="1"/>
  <c r="S220" i="10"/>
  <c r="Y53" i="1"/>
  <c r="Y247" i="1"/>
  <c r="Y245" i="1"/>
  <c r="Y193" i="1"/>
  <c r="S219" i="10"/>
  <c r="J219" i="10"/>
  <c r="T220" i="10"/>
  <c r="K220" i="10"/>
  <c r="BD220" i="10"/>
  <c r="BD221" i="10"/>
  <c r="AL226" i="10"/>
  <c r="AM226" i="10" s="1"/>
  <c r="N76" i="1"/>
  <c r="O76" i="1" s="1"/>
  <c r="N268" i="1"/>
  <c r="O268" i="1" s="1"/>
  <c r="N267" i="1"/>
  <c r="O267" i="1" s="1"/>
  <c r="N266" i="1"/>
  <c r="O266" i="1" s="1"/>
  <c r="N72" i="1"/>
  <c r="O72" i="1" s="1"/>
  <c r="N92" i="1"/>
  <c r="O92" i="1" s="1"/>
  <c r="N65" i="1"/>
  <c r="O65" i="1" s="1"/>
  <c r="N264" i="1"/>
  <c r="O264" i="1" s="1"/>
  <c r="N263" i="1"/>
  <c r="O263" i="1" s="1"/>
  <c r="N75" i="1"/>
  <c r="O75" i="1" s="1"/>
  <c r="N90" i="1"/>
  <c r="O90" i="1" s="1"/>
  <c r="N89" i="1"/>
  <c r="O89" i="1" s="1"/>
  <c r="N88" i="1"/>
  <c r="O88" i="1" s="1"/>
  <c r="N64" i="1"/>
  <c r="O64" i="1" s="1"/>
  <c r="N256" i="1"/>
  <c r="O256" i="1" s="1"/>
  <c r="N29" i="1"/>
  <c r="O29" i="1" s="1"/>
  <c r="N74" i="1"/>
  <c r="O74" i="1" s="1"/>
  <c r="N265" i="1"/>
  <c r="O265" i="1" s="1"/>
  <c r="N91" i="1"/>
  <c r="O91" i="1" s="1"/>
  <c r="N117" i="1"/>
  <c r="O117" i="1" s="1"/>
  <c r="N48" i="1"/>
  <c r="O48" i="1" s="1"/>
  <c r="N262" i="1"/>
  <c r="O262" i="1" s="1"/>
  <c r="N260" i="1"/>
  <c r="O260" i="1" s="1"/>
  <c r="N259" i="1"/>
  <c r="O259" i="1" s="1"/>
  <c r="N258" i="1"/>
  <c r="O258" i="1" s="1"/>
  <c r="N257" i="1"/>
  <c r="O257" i="1" s="1"/>
  <c r="N255" i="1"/>
  <c r="O255" i="1" s="1"/>
  <c r="N254" i="1"/>
  <c r="O254" i="1" s="1"/>
  <c r="N253" i="1"/>
  <c r="O253" i="1" s="1"/>
  <c r="N252" i="1"/>
  <c r="O252" i="1" s="1"/>
  <c r="N249" i="1"/>
  <c r="O249" i="1" s="1"/>
  <c r="N251" i="1"/>
  <c r="O251" i="1" s="1"/>
  <c r="N250" i="1"/>
  <c r="O250" i="1" s="1"/>
  <c r="N87" i="1"/>
  <c r="O87" i="1" s="1"/>
  <c r="N248" i="1"/>
  <c r="O248" i="1" s="1"/>
  <c r="N246" i="1"/>
  <c r="O246" i="1" s="1"/>
  <c r="N86" i="1"/>
  <c r="O86" i="1" s="1"/>
  <c r="N60" i="1"/>
  <c r="O60" i="1" s="1"/>
  <c r="N243" i="1"/>
  <c r="O243" i="1" s="1"/>
  <c r="N242" i="1"/>
  <c r="O242" i="1" s="1"/>
  <c r="N244" i="1"/>
  <c r="O244" i="1" s="1"/>
  <c r="N241" i="1"/>
  <c r="O241" i="1" s="1"/>
  <c r="N240" i="1"/>
  <c r="O240" i="1" s="1"/>
  <c r="N236" i="1"/>
  <c r="O236" i="1" s="1"/>
  <c r="N237" i="1"/>
  <c r="O237" i="1" s="1"/>
  <c r="N235" i="1"/>
  <c r="O235" i="1" s="1"/>
  <c r="N234" i="1"/>
  <c r="O234" i="1" s="1"/>
  <c r="N231" i="1"/>
  <c r="O231" i="1" s="1"/>
  <c r="N230" i="1"/>
  <c r="O230" i="1" s="1"/>
  <c r="N228" i="1"/>
  <c r="O228" i="1" s="1"/>
  <c r="N112" i="1"/>
  <c r="O112" i="1" s="1"/>
  <c r="N226" i="1"/>
  <c r="O226" i="1" s="1"/>
  <c r="N225" i="1"/>
  <c r="O225" i="1" s="1"/>
  <c r="N224" i="1"/>
  <c r="O224" i="1" s="1"/>
  <c r="N221" i="1"/>
  <c r="O221" i="1" s="1"/>
  <c r="N109" i="1"/>
  <c r="O109" i="1" s="1"/>
  <c r="N85" i="1"/>
  <c r="O85" i="1" s="1"/>
  <c r="N106" i="1"/>
  <c r="O106" i="1" s="1"/>
  <c r="N107" i="1"/>
  <c r="O107" i="1" s="1"/>
  <c r="N214" i="1"/>
  <c r="O214" i="1" s="1"/>
  <c r="N105" i="1"/>
  <c r="O105" i="1" s="1"/>
  <c r="N211" i="1"/>
  <c r="O211" i="1" s="1"/>
  <c r="N210" i="1"/>
  <c r="O210" i="1" s="1"/>
  <c r="N209" i="1"/>
  <c r="O209" i="1" s="1"/>
  <c r="N39" i="1"/>
  <c r="O39" i="1" s="1"/>
  <c r="N206" i="1"/>
  <c r="O206" i="1" s="1"/>
  <c r="N203" i="1"/>
  <c r="O203" i="1" s="1"/>
  <c r="N202" i="1"/>
  <c r="O202" i="1" s="1"/>
  <c r="N201" i="1"/>
  <c r="O201" i="1" s="1"/>
  <c r="N198" i="1"/>
  <c r="O198" i="1" s="1"/>
  <c r="N50" i="1"/>
  <c r="O50" i="1" s="1"/>
  <c r="N103" i="1"/>
  <c r="O103" i="1" s="1"/>
  <c r="N196" i="1"/>
  <c r="O196" i="1" s="1"/>
  <c r="N195" i="1"/>
  <c r="O195" i="1" s="1"/>
  <c r="N194" i="1"/>
  <c r="O194" i="1" s="1"/>
  <c r="N33" i="1"/>
  <c r="O33" i="1" s="1"/>
  <c r="N189" i="1"/>
  <c r="O189" i="1" s="1"/>
  <c r="N188" i="1"/>
  <c r="O188" i="1" s="1"/>
  <c r="N185" i="1"/>
  <c r="O185" i="1" s="1"/>
  <c r="N183" i="1"/>
  <c r="O183" i="1" s="1"/>
  <c r="N184" i="1"/>
  <c r="O184" i="1" s="1"/>
  <c r="N182" i="1"/>
  <c r="O182" i="1" s="1"/>
  <c r="N181" i="1"/>
  <c r="O181" i="1" s="1"/>
  <c r="N180" i="1"/>
  <c r="O180" i="1" s="1"/>
  <c r="N5" i="1"/>
  <c r="O5" i="1" s="1"/>
  <c r="N27" i="1"/>
  <c r="O27" i="1" s="1"/>
  <c r="N179" i="1"/>
  <c r="O179" i="1" s="1"/>
  <c r="N98" i="1"/>
  <c r="O98" i="1" s="1"/>
  <c r="N178" i="1"/>
  <c r="O178" i="1" s="1"/>
  <c r="N177" i="1"/>
  <c r="O177" i="1" s="1"/>
  <c r="N175" i="1"/>
  <c r="O175" i="1" s="1"/>
  <c r="N124" i="1"/>
  <c r="O124" i="1" s="1"/>
  <c r="N125" i="1"/>
  <c r="O125" i="1" s="1"/>
  <c r="N126" i="1"/>
  <c r="O126" i="1" s="1"/>
  <c r="N127" i="1"/>
  <c r="O127" i="1" s="1"/>
  <c r="N128" i="1"/>
  <c r="O128" i="1" s="1"/>
  <c r="N129" i="1"/>
  <c r="O129" i="1" s="1"/>
  <c r="N130" i="1"/>
  <c r="O130" i="1" s="1"/>
  <c r="N57" i="1"/>
  <c r="O57" i="1" s="1"/>
  <c r="N131" i="1"/>
  <c r="O131" i="1" s="1"/>
  <c r="N132" i="1"/>
  <c r="O132" i="1" s="1"/>
  <c r="N133" i="1"/>
  <c r="O133" i="1" s="1"/>
  <c r="N134" i="1"/>
  <c r="O134" i="1" s="1"/>
  <c r="N135" i="1"/>
  <c r="O135" i="1" s="1"/>
  <c r="N136" i="1"/>
  <c r="O136" i="1" s="1"/>
  <c r="N137" i="1"/>
  <c r="O137" i="1" s="1"/>
  <c r="N138" i="1"/>
  <c r="O138" i="1" s="1"/>
  <c r="N140" i="1"/>
  <c r="O140" i="1" s="1"/>
  <c r="N142" i="1"/>
  <c r="O142" i="1" s="1"/>
  <c r="N141" i="1"/>
  <c r="O141" i="1" s="1"/>
  <c r="N26" i="1"/>
  <c r="O26" i="1" s="1"/>
  <c r="N143" i="1"/>
  <c r="O143" i="1" s="1"/>
  <c r="N145" i="1"/>
  <c r="O145" i="1" s="1"/>
  <c r="N146" i="1"/>
  <c r="O146" i="1" s="1"/>
  <c r="N147" i="1"/>
  <c r="O147" i="1" s="1"/>
  <c r="N148" i="1"/>
  <c r="O148" i="1" s="1"/>
  <c r="N83" i="1"/>
  <c r="O83" i="1" s="1"/>
  <c r="N96" i="1"/>
  <c r="O96" i="1" s="1"/>
  <c r="N149" i="1"/>
  <c r="O149" i="1" s="1"/>
  <c r="N150" i="1"/>
  <c r="O150" i="1" s="1"/>
  <c r="N151" i="1"/>
  <c r="O151" i="1" s="1"/>
  <c r="N152" i="1"/>
  <c r="O152" i="1" s="1"/>
  <c r="N154" i="1"/>
  <c r="O154" i="1" s="1"/>
  <c r="N153" i="1"/>
  <c r="O153" i="1" s="1"/>
  <c r="N156" i="1"/>
  <c r="O156" i="1" s="1"/>
  <c r="N155" i="1"/>
  <c r="O155" i="1" s="1"/>
  <c r="N157" i="1"/>
  <c r="O157" i="1" s="1"/>
  <c r="N158" i="1"/>
  <c r="O158" i="1" s="1"/>
  <c r="N159" i="1"/>
  <c r="O159" i="1" s="1"/>
  <c r="N160" i="1"/>
  <c r="O160" i="1" s="1"/>
  <c r="N161" i="1"/>
  <c r="O161" i="1" s="1"/>
  <c r="N162" i="1"/>
  <c r="O162" i="1" s="1"/>
  <c r="N163" i="1"/>
  <c r="O163" i="1" s="1"/>
  <c r="N164" i="1"/>
  <c r="O164" i="1" s="1"/>
  <c r="N166" i="1"/>
  <c r="O166" i="1" s="1"/>
  <c r="N84" i="1"/>
  <c r="O84" i="1" s="1"/>
  <c r="N167" i="1"/>
  <c r="O167" i="1" s="1"/>
  <c r="N168" i="1"/>
  <c r="O168" i="1" s="1"/>
  <c r="N169" i="1"/>
  <c r="O169" i="1" s="1"/>
  <c r="N170" i="1"/>
  <c r="O170" i="1" s="1"/>
  <c r="N171" i="1"/>
  <c r="O171" i="1" s="1"/>
  <c r="N172" i="1"/>
  <c r="O172" i="1" s="1"/>
  <c r="N173" i="1"/>
  <c r="O173" i="1" s="1"/>
  <c r="N123" i="1"/>
  <c r="O123" i="1" s="1"/>
  <c r="N217" i="1"/>
  <c r="O217" i="1" s="1"/>
  <c r="N199" i="1"/>
  <c r="O199" i="1" s="1"/>
  <c r="N46" i="1"/>
  <c r="O46" i="1" s="1"/>
  <c r="N36" i="1"/>
  <c r="O36" i="1" s="1"/>
  <c r="N174" i="1"/>
  <c r="O174" i="1" s="1"/>
  <c r="N61" i="1"/>
  <c r="O61" i="1" s="1"/>
  <c r="N187" i="1"/>
  <c r="O187" i="1" s="1"/>
  <c r="N49" i="1"/>
  <c r="O49" i="1" s="1"/>
  <c r="N261" i="1"/>
  <c r="O261" i="1" s="1"/>
  <c r="N37" i="1"/>
  <c r="O37" i="1" s="1"/>
  <c r="N53" i="1"/>
  <c r="O53" i="1" s="1"/>
  <c r="N63" i="1"/>
  <c r="O63" i="1" s="1"/>
  <c r="N116" i="1"/>
  <c r="O116" i="1" s="1"/>
  <c r="N62" i="1"/>
  <c r="O62" i="1" s="1"/>
  <c r="N247" i="1"/>
  <c r="O247" i="1" s="1"/>
  <c r="N245" i="1"/>
  <c r="O245" i="1" s="1"/>
  <c r="N79" i="1"/>
  <c r="O79" i="1" s="1"/>
  <c r="N80" i="1"/>
  <c r="O80" i="1" s="1"/>
  <c r="N239" i="1"/>
  <c r="O239" i="1" s="1"/>
  <c r="N232" i="1"/>
  <c r="O232" i="1" s="1"/>
  <c r="N111" i="1"/>
  <c r="O111" i="1" s="1"/>
  <c r="N43" i="1"/>
  <c r="O43" i="1" s="1"/>
  <c r="N220" i="1"/>
  <c r="O220" i="1" s="1"/>
  <c r="N108" i="1"/>
  <c r="O108" i="1" s="1"/>
  <c r="N204" i="1"/>
  <c r="O204" i="1" s="1"/>
  <c r="N51" i="1"/>
  <c r="O51" i="1" s="1"/>
  <c r="N193" i="1"/>
  <c r="O193" i="1" s="1"/>
  <c r="N32" i="1"/>
  <c r="O32" i="1" s="1"/>
  <c r="N45" i="1"/>
  <c r="O45" i="1" s="1"/>
  <c r="N139" i="1"/>
  <c r="O139" i="1" s="1"/>
  <c r="N21" i="1"/>
  <c r="O21" i="1" s="1"/>
  <c r="N47" i="1"/>
  <c r="O47" i="1" s="1"/>
  <c r="N20" i="1"/>
  <c r="O20" i="1" s="1"/>
  <c r="N110" i="1"/>
  <c r="O110" i="1" s="1"/>
  <c r="N41" i="1"/>
  <c r="O41" i="1" s="1"/>
  <c r="N222" i="1"/>
  <c r="O222" i="1" s="1"/>
  <c r="N218" i="1"/>
  <c r="O218" i="1" s="1"/>
  <c r="N17" i="1"/>
  <c r="O17" i="1" s="1"/>
  <c r="N16" i="1"/>
  <c r="O16" i="1" s="1"/>
  <c r="N213" i="1"/>
  <c r="O213" i="1" s="1"/>
  <c r="N212" i="1"/>
  <c r="O212" i="1" s="1"/>
  <c r="N40" i="1"/>
  <c r="O40" i="1" s="1"/>
  <c r="N35" i="1"/>
  <c r="O35" i="1" s="1"/>
  <c r="N104" i="1"/>
  <c r="O104" i="1" s="1"/>
  <c r="N34" i="1"/>
  <c r="O34" i="1" s="1"/>
  <c r="N200" i="1"/>
  <c r="O200" i="1" s="1"/>
  <c r="N186" i="1"/>
  <c r="O186" i="1" s="1"/>
  <c r="N68" i="1"/>
  <c r="O68" i="1" s="1"/>
  <c r="N100" i="1"/>
  <c r="O100" i="1" s="1"/>
  <c r="N99" i="1"/>
  <c r="O99" i="1" s="1"/>
  <c r="N176" i="1"/>
  <c r="O176" i="1" s="1"/>
  <c r="N73" i="1"/>
  <c r="O73" i="1" s="1"/>
  <c r="N10" i="1"/>
  <c r="O10" i="1" s="1"/>
  <c r="N114" i="1"/>
  <c r="O114" i="1" s="1"/>
  <c r="N54" i="1"/>
  <c r="O54" i="1" s="1"/>
  <c r="N9" i="1"/>
  <c r="O9" i="1" s="1"/>
  <c r="N59" i="1"/>
  <c r="O59" i="1" s="1"/>
  <c r="N238" i="1"/>
  <c r="O238" i="1" s="1"/>
  <c r="N42" i="1"/>
  <c r="O42" i="1" s="1"/>
  <c r="N71" i="1"/>
  <c r="O71" i="1" s="1"/>
  <c r="N215" i="1"/>
  <c r="O215" i="1" s="1"/>
  <c r="N208" i="1"/>
  <c r="O208" i="1" s="1"/>
  <c r="N70" i="1"/>
  <c r="O70" i="1" s="1"/>
  <c r="N205" i="1"/>
  <c r="O205" i="1" s="1"/>
  <c r="N67" i="1"/>
  <c r="O67" i="1" s="1"/>
  <c r="N31" i="1"/>
  <c r="O31" i="1" s="1"/>
  <c r="N97" i="1"/>
  <c r="O97" i="1" s="1"/>
  <c r="N113" i="1"/>
  <c r="O113" i="1" s="1"/>
  <c r="N219" i="1"/>
  <c r="O219" i="1" s="1"/>
  <c r="N15" i="1"/>
  <c r="O15" i="1" s="1"/>
  <c r="N144" i="1"/>
  <c r="O144" i="1" s="1"/>
  <c r="N8" i="1"/>
  <c r="O8" i="1" s="1"/>
  <c r="N115" i="1"/>
  <c r="O115" i="1" s="1"/>
  <c r="N44" i="1"/>
  <c r="O44" i="1" s="1"/>
  <c r="N18" i="1"/>
  <c r="O18" i="1" s="1"/>
  <c r="N7" i="1"/>
  <c r="O7" i="1" s="1"/>
  <c r="N38" i="1"/>
  <c r="O38" i="1" s="1"/>
  <c r="N13" i="1"/>
  <c r="O13" i="1" s="1"/>
  <c r="N6" i="1"/>
  <c r="O6" i="1" s="1"/>
  <c r="N101" i="1"/>
  <c r="O101" i="1" s="1"/>
  <c r="N11" i="1"/>
  <c r="O11" i="1" s="1"/>
  <c r="N165" i="1"/>
  <c r="O165" i="1" s="1"/>
  <c r="N69" i="1"/>
  <c r="O69" i="1" s="1"/>
  <c r="N25" i="1"/>
  <c r="O25" i="1" s="1"/>
  <c r="N233" i="1"/>
  <c r="O233" i="1" s="1"/>
  <c r="N28" i="1"/>
  <c r="O28" i="1" s="1"/>
  <c r="N23" i="1"/>
  <c r="O23" i="1" s="1"/>
  <c r="N66" i="1"/>
  <c r="O66" i="1" s="1"/>
  <c r="N3" i="1"/>
  <c r="O3" i="1" s="1"/>
  <c r="N19" i="1"/>
  <c r="O19" i="1" s="1"/>
  <c r="N191" i="1"/>
  <c r="O191" i="1" s="1"/>
  <c r="N12" i="1"/>
  <c r="O12" i="1" s="1"/>
  <c r="N4" i="1"/>
  <c r="O4" i="1" s="1"/>
  <c r="N14" i="1"/>
  <c r="O14" i="1" s="1"/>
  <c r="N24" i="1"/>
  <c r="O24" i="1" s="1"/>
  <c r="N58" i="1"/>
  <c r="O58" i="1" s="1"/>
  <c r="N227" i="1"/>
  <c r="O227" i="1" s="1"/>
  <c r="N229" i="1"/>
  <c r="O229" i="1" s="1"/>
  <c r="N52" i="1"/>
  <c r="O52" i="1" s="1"/>
  <c r="N223" i="1"/>
  <c r="O223" i="1" s="1"/>
  <c r="N216" i="1"/>
  <c r="O216" i="1" s="1"/>
  <c r="N207" i="1"/>
  <c r="O207" i="1" s="1"/>
  <c r="N197" i="1"/>
  <c r="O197" i="1" s="1"/>
  <c r="N102" i="1"/>
  <c r="O102" i="1" s="1"/>
  <c r="N192" i="1"/>
  <c r="O192" i="1" s="1"/>
  <c r="N190" i="1"/>
  <c r="O190" i="1" s="1"/>
  <c r="C46" i="10"/>
  <c r="D46" i="10"/>
  <c r="E46" i="10"/>
  <c r="F46" i="10"/>
  <c r="G46" i="10"/>
  <c r="B46" i="10"/>
  <c r="C48" i="10"/>
  <c r="D48" i="10"/>
  <c r="E48" i="10"/>
  <c r="F48" i="10"/>
  <c r="G48" i="10"/>
  <c r="B48" i="10"/>
  <c r="C47" i="10"/>
  <c r="D47" i="10"/>
  <c r="E47" i="10"/>
  <c r="F47" i="10"/>
  <c r="G47" i="10"/>
  <c r="B47" i="10"/>
  <c r="C44" i="10"/>
  <c r="D44" i="10"/>
  <c r="E44" i="10"/>
  <c r="F44" i="10"/>
  <c r="G44" i="10"/>
  <c r="B44" i="10"/>
  <c r="Y61" i="1"/>
  <c r="Y217" i="1"/>
  <c r="Y199" i="1"/>
  <c r="Y191" i="1"/>
  <c r="Y66" i="1"/>
  <c r="AB227" i="10" s="1"/>
  <c r="Y28" i="1"/>
  <c r="AC12" i="10" s="1"/>
  <c r="Y233" i="1"/>
  <c r="Y69" i="1"/>
  <c r="Y165" i="1"/>
  <c r="Y11" i="1"/>
  <c r="J8" i="10" s="1"/>
  <c r="Y38" i="1"/>
  <c r="BC14" i="10" s="1"/>
  <c r="Y44" i="1"/>
  <c r="Y115" i="1"/>
  <c r="Y113" i="1"/>
  <c r="Y97" i="1"/>
  <c r="Y31" i="1"/>
  <c r="Y67" i="1"/>
  <c r="Y205" i="1"/>
  <c r="Y208" i="1"/>
  <c r="Y215" i="1"/>
  <c r="Y42" i="1"/>
  <c r="K227" i="10" s="1"/>
  <c r="Y238" i="1"/>
  <c r="Y59" i="1"/>
  <c r="Y114" i="1"/>
  <c r="Y10" i="1"/>
  <c r="Y73" i="1"/>
  <c r="AB224" i="10" s="1"/>
  <c r="Y176" i="1"/>
  <c r="Y99" i="1"/>
  <c r="Y100" i="1"/>
  <c r="Y68" i="1"/>
  <c r="BD224" i="10" s="1"/>
  <c r="Y186" i="1"/>
  <c r="Y200" i="1"/>
  <c r="Y34" i="1"/>
  <c r="Y104" i="1"/>
  <c r="AC223" i="10"/>
  <c r="Y40" i="1"/>
  <c r="AK225" i="10" s="1"/>
  <c r="AM225" i="10" s="1"/>
  <c r="Y212" i="1"/>
  <c r="Y213" i="1"/>
  <c r="AK217" i="10"/>
  <c r="Y218" i="1"/>
  <c r="Y222" i="1"/>
  <c r="Y41" i="1"/>
  <c r="Y110" i="1"/>
  <c r="Y20" i="1"/>
  <c r="Y47" i="1"/>
  <c r="Y139" i="1"/>
  <c r="Y32" i="1"/>
  <c r="Y51" i="1"/>
  <c r="Y204" i="1"/>
  <c r="Y108" i="1"/>
  <c r="Y220" i="1"/>
  <c r="Y111" i="1"/>
  <c r="Y232" i="1"/>
  <c r="Y239" i="1"/>
  <c r="Y80" i="1"/>
  <c r="Y79" i="1"/>
  <c r="Y62" i="1"/>
  <c r="Y116" i="1"/>
  <c r="Y63" i="1"/>
  <c r="J10" i="10" s="1"/>
  <c r="Y37" i="1"/>
  <c r="AB7" i="10" s="1"/>
  <c r="AT222" i="10"/>
  <c r="AK227" i="10"/>
  <c r="F5" i="10"/>
  <c r="F9" i="10"/>
  <c r="F13" i="10"/>
  <c r="F6" i="10"/>
  <c r="F10" i="10"/>
  <c r="F14" i="10"/>
  <c r="F7" i="10"/>
  <c r="F11" i="10"/>
  <c r="F4" i="10"/>
  <c r="F8" i="10"/>
  <c r="F12" i="10"/>
  <c r="G4" i="10"/>
  <c r="B80" i="4"/>
  <c r="B72" i="4"/>
  <c r="B79" i="4"/>
  <c r="B77" i="4"/>
  <c r="D77" i="4"/>
  <c r="D76" i="4"/>
  <c r="B76" i="4"/>
  <c r="D91" i="4"/>
  <c r="B75" i="4"/>
  <c r="D70" i="4"/>
  <c r="D86" i="4"/>
  <c r="B92" i="4"/>
  <c r="D75" i="4"/>
  <c r="B70" i="4"/>
  <c r="D92" i="4"/>
  <c r="B74" i="4"/>
  <c r="B85" i="4"/>
  <c r="B93" i="4"/>
  <c r="D74" i="4"/>
  <c r="D93" i="4"/>
  <c r="B73" i="4"/>
  <c r="B86" i="4"/>
  <c r="B94" i="4"/>
  <c r="D85" i="4"/>
  <c r="D73" i="4"/>
  <c r="D94" i="4"/>
  <c r="B87" i="4"/>
  <c r="B95" i="4"/>
  <c r="D72" i="4"/>
  <c r="D80" i="4"/>
  <c r="D87" i="4"/>
  <c r="D95" i="4"/>
  <c r="B71" i="4"/>
  <c r="B88" i="4"/>
  <c r="D71" i="4"/>
  <c r="D79" i="4"/>
  <c r="D88" i="4"/>
  <c r="B78" i="4"/>
  <c r="B89" i="4"/>
  <c r="D78" i="4"/>
  <c r="D89" i="4"/>
  <c r="B90" i="4"/>
  <c r="B91" i="4"/>
  <c r="D90" i="4"/>
  <c r="B54" i="4"/>
  <c r="B62" i="4"/>
  <c r="B60" i="4"/>
  <c r="D54" i="4"/>
  <c r="D62" i="4"/>
  <c r="B61" i="4"/>
  <c r="D61" i="4"/>
  <c r="D60" i="4"/>
  <c r="B59" i="4"/>
  <c r="D59" i="4"/>
  <c r="D53" i="4"/>
  <c r="B58" i="4"/>
  <c r="B53" i="4"/>
  <c r="D58" i="4"/>
  <c r="B57" i="4"/>
  <c r="D57" i="4"/>
  <c r="B56" i="4"/>
  <c r="B55" i="4"/>
  <c r="B63" i="4"/>
  <c r="D56" i="4"/>
  <c r="D55" i="4"/>
  <c r="D63" i="4"/>
  <c r="B39" i="4"/>
  <c r="D39" i="4"/>
  <c r="B46" i="4"/>
  <c r="D38" i="4"/>
  <c r="D46" i="4"/>
  <c r="B37" i="4"/>
  <c r="B45" i="4"/>
  <c r="D43" i="4"/>
  <c r="D45" i="4"/>
  <c r="B44" i="4"/>
  <c r="B40" i="4"/>
  <c r="D44" i="4"/>
  <c r="B43" i="4"/>
  <c r="B42" i="4"/>
  <c r="D42" i="4"/>
  <c r="B41" i="4"/>
  <c r="D36" i="4"/>
  <c r="D41" i="4"/>
  <c r="B36" i="4"/>
  <c r="D40" i="4"/>
  <c r="B38" i="4"/>
  <c r="D37" i="4"/>
  <c r="B28" i="4"/>
  <c r="D28" i="4"/>
  <c r="B30" i="4"/>
  <c r="D29" i="4"/>
  <c r="D27" i="4"/>
  <c r="D20" i="4"/>
  <c r="B3" i="4"/>
  <c r="B14" i="4" s="1"/>
  <c r="B21" i="4"/>
  <c r="D21" i="4"/>
  <c r="B22" i="4"/>
  <c r="D26" i="4"/>
  <c r="B23" i="4"/>
  <c r="B24" i="4"/>
  <c r="B25" i="4"/>
  <c r="D25" i="4"/>
  <c r="B26" i="4"/>
  <c r="D30" i="4"/>
  <c r="B27" i="4"/>
  <c r="D24" i="4"/>
  <c r="B29" i="4"/>
  <c r="B20" i="4"/>
  <c r="D23" i="4"/>
  <c r="D22" i="4"/>
  <c r="BO12" i="10"/>
  <c r="BO4" i="10"/>
  <c r="BJ6" i="10"/>
  <c r="BF8" i="10"/>
  <c r="BL9" i="10"/>
  <c r="BH11" i="10"/>
  <c r="BP12" i="10"/>
  <c r="BJ14" i="10"/>
  <c r="BM12" i="10"/>
  <c r="BN12" i="10"/>
  <c r="BN4" i="10"/>
  <c r="BK6" i="10"/>
  <c r="BG8" i="10"/>
  <c r="BM9" i="10"/>
  <c r="BI11" i="10"/>
  <c r="BQ12" i="10"/>
  <c r="BK14" i="10"/>
  <c r="BK9" i="10"/>
  <c r="BO11" i="10"/>
  <c r="BF5" i="10"/>
  <c r="BL6" i="10"/>
  <c r="BH8" i="10"/>
  <c r="BP9" i="10"/>
  <c r="BJ11" i="10"/>
  <c r="BF13" i="10"/>
  <c r="BL14" i="10"/>
  <c r="BI14" i="10"/>
  <c r="BN11" i="10"/>
  <c r="BG5" i="10"/>
  <c r="BM6" i="10"/>
  <c r="BI8" i="10"/>
  <c r="BQ9" i="10"/>
  <c r="BK11" i="10"/>
  <c r="BG13" i="10"/>
  <c r="BM14" i="10"/>
  <c r="BG11" i="10"/>
  <c r="BO10" i="10"/>
  <c r="BH5" i="10"/>
  <c r="BP6" i="10"/>
  <c r="BJ8" i="10"/>
  <c r="BF10" i="10"/>
  <c r="BL11" i="10"/>
  <c r="BH13" i="10"/>
  <c r="BP14" i="10"/>
  <c r="BN10" i="10"/>
  <c r="BI5" i="10"/>
  <c r="BQ6" i="10"/>
  <c r="BK8" i="10"/>
  <c r="BG10" i="10"/>
  <c r="BM11" i="10"/>
  <c r="BI13" i="10"/>
  <c r="BQ14" i="10"/>
  <c r="BO9" i="10"/>
  <c r="BJ5" i="10"/>
  <c r="BF7" i="10"/>
  <c r="BL8" i="10"/>
  <c r="BH10" i="10"/>
  <c r="BP11" i="10"/>
  <c r="BJ13" i="10"/>
  <c r="BG4" i="10"/>
  <c r="BI6" i="10"/>
  <c r="BN9" i="10"/>
  <c r="BK5" i="10"/>
  <c r="BG7" i="10"/>
  <c r="BM8" i="10"/>
  <c r="BI10" i="10"/>
  <c r="BQ11" i="10"/>
  <c r="BK13" i="10"/>
  <c r="BH4" i="10"/>
  <c r="BQ4" i="10"/>
  <c r="BO8" i="10"/>
  <c r="BL5" i="10"/>
  <c r="BH7" i="10"/>
  <c r="BP8" i="10"/>
  <c r="BJ10" i="10"/>
  <c r="BF12" i="10"/>
  <c r="BL13" i="10"/>
  <c r="BI4" i="10"/>
  <c r="BN5" i="10"/>
  <c r="BN8" i="10"/>
  <c r="BM5" i="10"/>
  <c r="BI7" i="10"/>
  <c r="BQ8" i="10"/>
  <c r="BK10" i="10"/>
  <c r="BG12" i="10"/>
  <c r="BM13" i="10"/>
  <c r="BJ4" i="10"/>
  <c r="BQ7" i="10"/>
  <c r="BO7" i="10"/>
  <c r="BP5" i="10"/>
  <c r="BJ7" i="10"/>
  <c r="BF9" i="10"/>
  <c r="BL10" i="10"/>
  <c r="BH12" i="10"/>
  <c r="BP13" i="10"/>
  <c r="BK4" i="10"/>
  <c r="BN7" i="10"/>
  <c r="BQ5" i="10"/>
  <c r="BK7" i="10"/>
  <c r="BG9" i="10"/>
  <c r="BM10" i="10"/>
  <c r="BI12" i="10"/>
  <c r="BQ13" i="10"/>
  <c r="BL4" i="10"/>
  <c r="BO14" i="10"/>
  <c r="BO6" i="10"/>
  <c r="BF6" i="10"/>
  <c r="BL7" i="10"/>
  <c r="BH9" i="10"/>
  <c r="BP10" i="10"/>
  <c r="BJ12" i="10"/>
  <c r="BF14" i="10"/>
  <c r="BM4" i="10"/>
  <c r="BH14" i="10"/>
  <c r="BN14" i="10"/>
  <c r="BN6" i="10"/>
  <c r="BG6" i="10"/>
  <c r="BM7" i="10"/>
  <c r="BI9" i="10"/>
  <c r="BQ10" i="10"/>
  <c r="BK12" i="10"/>
  <c r="BG14" i="10"/>
  <c r="BP4" i="10"/>
  <c r="BL12" i="10"/>
  <c r="BO13" i="10"/>
  <c r="BO5" i="10"/>
  <c r="BH6" i="10"/>
  <c r="BP7" i="10"/>
  <c r="BJ9" i="10"/>
  <c r="BF11" i="10"/>
  <c r="BF4" i="10"/>
  <c r="BN13" i="10"/>
  <c r="AN4" i="10"/>
  <c r="AT5" i="10"/>
  <c r="AZ6" i="10"/>
  <c r="AN8" i="10"/>
  <c r="AT9" i="10"/>
  <c r="AZ10" i="10"/>
  <c r="AN12" i="10"/>
  <c r="AT13" i="10"/>
  <c r="AZ14" i="10"/>
  <c r="AF8" i="10"/>
  <c r="W11" i="10"/>
  <c r="M5" i="10"/>
  <c r="M13" i="10"/>
  <c r="AO4" i="10"/>
  <c r="AU5" i="10"/>
  <c r="BA6" i="10"/>
  <c r="AO8" i="10"/>
  <c r="AU9" i="10"/>
  <c r="BA10" i="10"/>
  <c r="AO12" i="10"/>
  <c r="AU13" i="10"/>
  <c r="BA14" i="10"/>
  <c r="AE8" i="10"/>
  <c r="V11" i="10"/>
  <c r="N5" i="10"/>
  <c r="N13" i="10"/>
  <c r="AQ4" i="10"/>
  <c r="AW5" i="10"/>
  <c r="BC6" i="10"/>
  <c r="AQ8" i="10"/>
  <c r="AW9" i="10"/>
  <c r="BC10" i="10"/>
  <c r="AQ12" i="10"/>
  <c r="AW13" i="10"/>
  <c r="AF7" i="10"/>
  <c r="W10" i="10"/>
  <c r="M6" i="10"/>
  <c r="M14" i="10"/>
  <c r="AR4" i="10"/>
  <c r="AX5" i="10"/>
  <c r="BD6" i="10"/>
  <c r="AR8" i="10"/>
  <c r="AX9" i="10"/>
  <c r="BD10" i="10"/>
  <c r="AR12" i="10"/>
  <c r="AX13" i="10"/>
  <c r="BD14" i="10"/>
  <c r="BE14" i="10" s="1"/>
  <c r="AE7" i="10"/>
  <c r="V10" i="10"/>
  <c r="N6" i="10"/>
  <c r="N14" i="10"/>
  <c r="AT4" i="10"/>
  <c r="AZ5" i="10"/>
  <c r="AN7" i="10"/>
  <c r="AT8" i="10"/>
  <c r="AZ9" i="10"/>
  <c r="AN11" i="10"/>
  <c r="AT12" i="10"/>
  <c r="AZ13" i="10"/>
  <c r="AF14" i="10"/>
  <c r="AF6" i="10"/>
  <c r="W9" i="10"/>
  <c r="M7" i="10"/>
  <c r="N4" i="10"/>
  <c r="AU4" i="10"/>
  <c r="BA5" i="10"/>
  <c r="AO7" i="10"/>
  <c r="AU8" i="10"/>
  <c r="BA9" i="10"/>
  <c r="AO11" i="10"/>
  <c r="AU12" i="10"/>
  <c r="BA13" i="10"/>
  <c r="AE14" i="10"/>
  <c r="AE6" i="10"/>
  <c r="V9" i="10"/>
  <c r="N7" i="10"/>
  <c r="M4" i="10"/>
  <c r="AW4" i="10"/>
  <c r="BC5" i="10"/>
  <c r="AQ7" i="10"/>
  <c r="AW8" i="10"/>
  <c r="BC9" i="10"/>
  <c r="AQ11" i="10"/>
  <c r="AW12" i="10"/>
  <c r="BC13" i="10"/>
  <c r="AF13" i="10"/>
  <c r="AF5" i="10"/>
  <c r="W8" i="10"/>
  <c r="M8" i="10"/>
  <c r="N12" i="10"/>
  <c r="AX4" i="10"/>
  <c r="BD5" i="10"/>
  <c r="AR7" i="10"/>
  <c r="AX8" i="10"/>
  <c r="BD9" i="10"/>
  <c r="AR11" i="10"/>
  <c r="AX12" i="10"/>
  <c r="BD13" i="10"/>
  <c r="AE13" i="10"/>
  <c r="AE5" i="10"/>
  <c r="V8" i="10"/>
  <c r="N8" i="10"/>
  <c r="AZ4" i="10"/>
  <c r="AN6" i="10"/>
  <c r="AT7" i="10"/>
  <c r="AZ8" i="10"/>
  <c r="AN10" i="10"/>
  <c r="AT11" i="10"/>
  <c r="AZ12" i="10"/>
  <c r="AN14" i="10"/>
  <c r="AF12" i="10"/>
  <c r="AF4" i="10"/>
  <c r="W7" i="10"/>
  <c r="M9" i="10"/>
  <c r="BA4" i="10"/>
  <c r="AO6" i="10"/>
  <c r="AU7" i="10"/>
  <c r="BA8" i="10"/>
  <c r="AO10" i="10"/>
  <c r="AU11" i="10"/>
  <c r="BA12" i="10"/>
  <c r="AO14" i="10"/>
  <c r="AE12" i="10"/>
  <c r="AE4" i="10"/>
  <c r="V7" i="10"/>
  <c r="N9" i="10"/>
  <c r="N11" i="10"/>
  <c r="BD7" i="10"/>
  <c r="V12" i="10"/>
  <c r="BC4" i="10"/>
  <c r="AQ6" i="10"/>
  <c r="AW7" i="10"/>
  <c r="BC8" i="10"/>
  <c r="AQ10" i="10"/>
  <c r="AW11" i="10"/>
  <c r="BC12" i="10"/>
  <c r="AQ14" i="10"/>
  <c r="AF11" i="10"/>
  <c r="W14" i="10"/>
  <c r="W6" i="10"/>
  <c r="M10" i="10"/>
  <c r="V14" i="10"/>
  <c r="N10" i="10"/>
  <c r="W5" i="10"/>
  <c r="BD4" i="10"/>
  <c r="AR6" i="10"/>
  <c r="AX7" i="10"/>
  <c r="BD8" i="10"/>
  <c r="AR10" i="10"/>
  <c r="AX11" i="10"/>
  <c r="BD12" i="10"/>
  <c r="AR14" i="10"/>
  <c r="AE11" i="10"/>
  <c r="V6" i="10"/>
  <c r="M11" i="10"/>
  <c r="AX6" i="10"/>
  <c r="AX14" i="10"/>
  <c r="AN5" i="10"/>
  <c r="AT6" i="10"/>
  <c r="AZ7" i="10"/>
  <c r="AN9" i="10"/>
  <c r="AT10" i="10"/>
  <c r="AZ11" i="10"/>
  <c r="AN13" i="10"/>
  <c r="AT14" i="10"/>
  <c r="AF10" i="10"/>
  <c r="W13" i="10"/>
  <c r="AO5" i="10"/>
  <c r="AU6" i="10"/>
  <c r="BA7" i="10"/>
  <c r="AO9" i="10"/>
  <c r="AU10" i="10"/>
  <c r="BA11" i="10"/>
  <c r="AO13" i="10"/>
  <c r="AU14" i="10"/>
  <c r="AE10" i="10"/>
  <c r="V13" i="10"/>
  <c r="V5" i="10"/>
  <c r="AR9" i="10"/>
  <c r="AE9" i="10"/>
  <c r="AQ5" i="10"/>
  <c r="AW6" i="10"/>
  <c r="BC7" i="10"/>
  <c r="AQ9" i="10"/>
  <c r="AW10" i="10"/>
  <c r="AQ13" i="10"/>
  <c r="AW14" i="10"/>
  <c r="AF9" i="10"/>
  <c r="W12" i="10"/>
  <c r="W4" i="10"/>
  <c r="M12" i="10"/>
  <c r="AR5" i="10"/>
  <c r="AX10" i="10"/>
  <c r="AR13" i="10"/>
  <c r="V4" i="10"/>
  <c r="AI7" i="10"/>
  <c r="AL12" i="10"/>
  <c r="AH4" i="10"/>
  <c r="Z12" i="10"/>
  <c r="T10" i="10"/>
  <c r="Q7" i="10"/>
  <c r="P4" i="10"/>
  <c r="H8" i="10"/>
  <c r="G13" i="10"/>
  <c r="C12" i="10"/>
  <c r="AK7" i="10"/>
  <c r="AH10" i="10"/>
  <c r="Y7" i="10"/>
  <c r="AB12" i="10"/>
  <c r="Z4" i="10"/>
  <c r="P8" i="10"/>
  <c r="K4" i="10"/>
  <c r="H9" i="10"/>
  <c r="G14" i="10"/>
  <c r="C11" i="10"/>
  <c r="B33" i="10"/>
  <c r="AL7" i="10"/>
  <c r="AI10" i="10"/>
  <c r="Z7" i="10"/>
  <c r="Y4" i="10"/>
  <c r="T11" i="10"/>
  <c r="Q8" i="10"/>
  <c r="J5" i="10"/>
  <c r="H10" i="10"/>
  <c r="C10" i="10"/>
  <c r="B32" i="10"/>
  <c r="AH5" i="10"/>
  <c r="AK10" i="10"/>
  <c r="AH13" i="10"/>
  <c r="Y10" i="10"/>
  <c r="S12" i="10"/>
  <c r="P9" i="10"/>
  <c r="J6" i="10"/>
  <c r="H11" i="10"/>
  <c r="D14" i="10"/>
  <c r="C9" i="10"/>
  <c r="B31" i="10"/>
  <c r="AI5" i="10"/>
  <c r="AL10" i="10"/>
  <c r="AI13" i="10"/>
  <c r="AC7" i="10"/>
  <c r="Z10" i="10"/>
  <c r="T12" i="10"/>
  <c r="Q9" i="10"/>
  <c r="H12" i="10"/>
  <c r="D13" i="10"/>
  <c r="C8" i="10"/>
  <c r="B30" i="10"/>
  <c r="AK5" i="10"/>
  <c r="AH8" i="10"/>
  <c r="AK13" i="10"/>
  <c r="Y5" i="10"/>
  <c r="Y13" i="10"/>
  <c r="S5" i="10"/>
  <c r="S13" i="10"/>
  <c r="P10" i="10"/>
  <c r="H13" i="10"/>
  <c r="D12" i="10"/>
  <c r="C7" i="10"/>
  <c r="B29" i="10"/>
  <c r="AL5" i="10"/>
  <c r="AI8" i="10"/>
  <c r="AL13" i="10"/>
  <c r="Z5" i="10"/>
  <c r="AC10" i="10"/>
  <c r="Z13" i="10"/>
  <c r="T5" i="10"/>
  <c r="T13" i="10"/>
  <c r="Q10" i="10"/>
  <c r="J9" i="10"/>
  <c r="H14" i="10"/>
  <c r="D11" i="10"/>
  <c r="C6" i="10"/>
  <c r="B28" i="10"/>
  <c r="AK8" i="10"/>
  <c r="AH11" i="10"/>
  <c r="AB5" i="10"/>
  <c r="Y8" i="10"/>
  <c r="AB13" i="10"/>
  <c r="S6" i="10"/>
  <c r="S14" i="10"/>
  <c r="P11" i="10"/>
  <c r="K5" i="10"/>
  <c r="H4" i="10"/>
  <c r="I4" i="10" s="1"/>
  <c r="D10" i="10"/>
  <c r="C5" i="10"/>
  <c r="P7" i="10"/>
  <c r="B27" i="10"/>
  <c r="AL8" i="10"/>
  <c r="AI11" i="10"/>
  <c r="AC5" i="10"/>
  <c r="Z8" i="10"/>
  <c r="T6" i="10"/>
  <c r="T14" i="10"/>
  <c r="Q11" i="10"/>
  <c r="K6" i="10"/>
  <c r="G5" i="10"/>
  <c r="D9" i="10"/>
  <c r="C4" i="10"/>
  <c r="S10" i="10"/>
  <c r="B26" i="10"/>
  <c r="AH6" i="10"/>
  <c r="AK11" i="10"/>
  <c r="AH14" i="10"/>
  <c r="AB8" i="10"/>
  <c r="Y11" i="10"/>
  <c r="T4" i="10"/>
  <c r="P12" i="10"/>
  <c r="K7" i="10"/>
  <c r="J12" i="10"/>
  <c r="G6" i="10"/>
  <c r="D8" i="10"/>
  <c r="Q4" i="10"/>
  <c r="B25" i="10"/>
  <c r="AI6" i="10"/>
  <c r="AL11" i="10"/>
  <c r="AI14" i="10"/>
  <c r="Z11" i="10"/>
  <c r="T7" i="10"/>
  <c r="S4" i="10"/>
  <c r="Q12" i="10"/>
  <c r="K8" i="10"/>
  <c r="J13" i="10"/>
  <c r="G7" i="10"/>
  <c r="D7" i="10"/>
  <c r="B24" i="10"/>
  <c r="AK6" i="10"/>
  <c r="AH9" i="10"/>
  <c r="AK14" i="10"/>
  <c r="Y6" i="10"/>
  <c r="AB11" i="10"/>
  <c r="Y14" i="10"/>
  <c r="S8" i="10"/>
  <c r="P5" i="10"/>
  <c r="P13" i="10"/>
  <c r="J14" i="10"/>
  <c r="G8" i="10"/>
  <c r="D6" i="10"/>
  <c r="AB9" i="10"/>
  <c r="C13" i="10"/>
  <c r="B23" i="10"/>
  <c r="AL6" i="10"/>
  <c r="AI9" i="10"/>
  <c r="AL14" i="10"/>
  <c r="Z6" i="10"/>
  <c r="Z14" i="10"/>
  <c r="T8" i="10"/>
  <c r="Q5" i="10"/>
  <c r="Q13" i="10"/>
  <c r="K10" i="10"/>
  <c r="G9" i="10"/>
  <c r="D5" i="10"/>
  <c r="AK9" i="10"/>
  <c r="AH12" i="10"/>
  <c r="AL4" i="10"/>
  <c r="AB6" i="10"/>
  <c r="Y9" i="10"/>
  <c r="AB14" i="10"/>
  <c r="S9" i="10"/>
  <c r="P6" i="10"/>
  <c r="P14" i="10"/>
  <c r="H5" i="10"/>
  <c r="G10" i="10"/>
  <c r="D4" i="10"/>
  <c r="AH7" i="10"/>
  <c r="AK12" i="10"/>
  <c r="AM12" i="10" s="1"/>
  <c r="AC4" i="10"/>
  <c r="G12" i="10"/>
  <c r="AL9" i="10"/>
  <c r="AI12" i="10"/>
  <c r="AK4" i="10"/>
  <c r="AC6" i="10"/>
  <c r="Z9" i="10"/>
  <c r="AC14" i="10"/>
  <c r="T9" i="10"/>
  <c r="Q6" i="10"/>
  <c r="Q14" i="10"/>
  <c r="H6" i="10"/>
  <c r="G11" i="10"/>
  <c r="C14" i="10"/>
  <c r="AI4" i="10"/>
  <c r="Y12" i="10"/>
  <c r="H7" i="10"/>
  <c r="B5" i="10"/>
  <c r="B6" i="10"/>
  <c r="B7" i="10"/>
  <c r="B8" i="10"/>
  <c r="B9" i="10"/>
  <c r="B10" i="10"/>
  <c r="B11" i="10"/>
  <c r="B12" i="10"/>
  <c r="B13" i="10"/>
  <c r="B14" i="10"/>
  <c r="B4" i="10"/>
  <c r="R225" i="10"/>
  <c r="AG226" i="10"/>
  <c r="BB226" i="10"/>
  <c r="O225" i="10"/>
  <c r="BB227" i="10"/>
  <c r="AG225" i="10"/>
  <c r="AP227" i="10"/>
  <c r="X224" i="10"/>
  <c r="E225" i="10"/>
  <c r="AJ225" i="10"/>
  <c r="AP226" i="10"/>
  <c r="AS227" i="10"/>
  <c r="I225" i="10"/>
  <c r="O224" i="10"/>
  <c r="X225" i="10"/>
  <c r="E227" i="10"/>
  <c r="BB224" i="10"/>
  <c r="AJ226" i="10"/>
  <c r="I227" i="10"/>
  <c r="AA224" i="10"/>
  <c r="AG224" i="10"/>
  <c r="AJ224" i="10"/>
  <c r="AP224" i="10"/>
  <c r="X226" i="10"/>
  <c r="AS224" i="10"/>
  <c r="AA226" i="10"/>
  <c r="K9" i="10"/>
  <c r="R224" i="10"/>
  <c r="AY217" i="10"/>
  <c r="AS226" i="10"/>
  <c r="O227" i="10"/>
  <c r="X227" i="10"/>
  <c r="AG227" i="10"/>
  <c r="AA227" i="10"/>
  <c r="R227" i="10"/>
  <c r="AJ227" i="10"/>
  <c r="AC13" i="10"/>
  <c r="K13" i="10"/>
  <c r="AC224" i="10"/>
  <c r="AD224" i="10" s="1"/>
  <c r="K11" i="10"/>
  <c r="AC11" i="10"/>
  <c r="BC224" i="10"/>
  <c r="J226" i="10"/>
  <c r="AC222" i="10"/>
  <c r="J7" i="10"/>
  <c r="S7" i="10"/>
  <c r="AB10" i="10"/>
  <c r="AD10" i="10" s="1"/>
  <c r="AB223" i="10"/>
  <c r="J223" i="10"/>
  <c r="J11" i="10"/>
  <c r="BC11" i="10"/>
  <c r="S224" i="10"/>
  <c r="U224" i="10" s="1"/>
  <c r="S11" i="10"/>
  <c r="D103" i="4"/>
  <c r="C104" i="4"/>
  <c r="D110" i="4"/>
  <c r="D107" i="4"/>
  <c r="D109" i="4"/>
  <c r="O202" i="10"/>
  <c r="BD11" i="10"/>
  <c r="BE11" i="10" s="1"/>
  <c r="AC9" i="10"/>
  <c r="K14" i="10"/>
  <c r="L14" i="10" s="1"/>
  <c r="AC227" i="10"/>
  <c r="M198" i="10"/>
  <c r="N198" i="10"/>
  <c r="AG221" i="10"/>
  <c r="O223" i="10"/>
  <c r="AP223" i="10"/>
  <c r="AB4" i="10"/>
  <c r="AG222" i="10"/>
  <c r="I224" i="10"/>
  <c r="N161" i="10"/>
  <c r="K161" i="10"/>
  <c r="L161" i="10"/>
  <c r="AJ222" i="10"/>
  <c r="M161" i="10"/>
  <c r="E223" i="10"/>
  <c r="G207" i="10"/>
  <c r="O209" i="10"/>
  <c r="O163" i="10"/>
  <c r="K198" i="10"/>
  <c r="G209" i="10"/>
  <c r="AP222" i="10"/>
  <c r="AS223" i="10"/>
  <c r="L198" i="10"/>
  <c r="AP221" i="10"/>
  <c r="R222" i="10"/>
  <c r="O200" i="10"/>
  <c r="O221" i="10"/>
  <c r="X223" i="10"/>
  <c r="BB223" i="10"/>
  <c r="AP220" i="10"/>
  <c r="AA223" i="10"/>
  <c r="N169" i="10"/>
  <c r="O219" i="10"/>
  <c r="AG223" i="10"/>
  <c r="E224" i="10"/>
  <c r="X221" i="10"/>
  <c r="AJ223" i="10"/>
  <c r="O218" i="10"/>
  <c r="E222" i="10"/>
  <c r="I223" i="10"/>
  <c r="AV222" i="10"/>
  <c r="AM227" i="10"/>
  <c r="BE221" i="10"/>
  <c r="C206" i="10"/>
  <c r="F206" i="10"/>
  <c r="O199" i="10"/>
  <c r="J198" i="10"/>
  <c r="J161" i="10"/>
  <c r="O162" i="10"/>
  <c r="E8" i="16"/>
  <c r="H8" i="16" s="1"/>
  <c r="E5" i="16"/>
  <c r="H5" i="16" s="1"/>
  <c r="E7" i="16"/>
  <c r="H7" i="16" s="1"/>
  <c r="AG220" i="10"/>
  <c r="D228" i="10"/>
  <c r="E220" i="10"/>
  <c r="D206" i="10"/>
  <c r="J173" i="10"/>
  <c r="K169" i="10"/>
  <c r="V228" i="10"/>
  <c r="E206" i="10"/>
  <c r="W228" i="10"/>
  <c r="K173" i="10"/>
  <c r="AG219" i="10"/>
  <c r="F173" i="10"/>
  <c r="G20" i="16"/>
  <c r="AV224" i="10"/>
  <c r="N165" i="10"/>
  <c r="O222" i="10"/>
  <c r="X218" i="10"/>
  <c r="L165" i="10"/>
  <c r="G174" i="10"/>
  <c r="AS222" i="10"/>
  <c r="BB222" i="10"/>
  <c r="R223" i="10"/>
  <c r="AA225" i="10"/>
  <c r="AV226" i="10"/>
  <c r="AJ218" i="10"/>
  <c r="AV227" i="10"/>
  <c r="AE228" i="10"/>
  <c r="G23" i="16"/>
  <c r="X217" i="10"/>
  <c r="U227" i="10"/>
  <c r="AP217" i="10"/>
  <c r="AG217" i="10"/>
  <c r="E218" i="10"/>
  <c r="M169" i="10"/>
  <c r="U218" i="10"/>
  <c r="E219" i="10"/>
  <c r="AP218" i="10"/>
  <c r="X220" i="10"/>
  <c r="X219" i="10"/>
  <c r="O220" i="10"/>
  <c r="N228" i="10"/>
  <c r="O171" i="10"/>
  <c r="N173" i="10"/>
  <c r="O217" i="10"/>
  <c r="F169" i="10"/>
  <c r="O208" i="10"/>
  <c r="C165" i="10"/>
  <c r="AG218" i="10"/>
  <c r="X222" i="10"/>
  <c r="AY227" i="10"/>
  <c r="AP219" i="10"/>
  <c r="E221" i="10"/>
  <c r="AY218" i="10"/>
  <c r="L206" i="10"/>
  <c r="O174" i="10"/>
  <c r="K206" i="10"/>
  <c r="G170" i="10"/>
  <c r="O167" i="10"/>
  <c r="B206" i="10"/>
  <c r="O5" i="10"/>
  <c r="H47" i="4"/>
  <c r="E47" i="4"/>
  <c r="M228" i="10"/>
  <c r="AO228" i="10"/>
  <c r="C173" i="10"/>
  <c r="AY219" i="10"/>
  <c r="Q55" i="4"/>
  <c r="G22" i="16"/>
  <c r="K47" i="4"/>
  <c r="M47" i="4"/>
  <c r="Q40" i="4"/>
  <c r="Q41" i="4"/>
  <c r="J47" i="4"/>
  <c r="Q62" i="4"/>
  <c r="Q43" i="4"/>
  <c r="O47" i="4"/>
  <c r="Q37" i="4"/>
  <c r="Q46" i="4"/>
  <c r="N47" i="4"/>
  <c r="Q72" i="4"/>
  <c r="Q36" i="4"/>
  <c r="Q76" i="4"/>
  <c r="Q78" i="4"/>
  <c r="Q75" i="4"/>
  <c r="Q77" i="4"/>
  <c r="AV223" i="10"/>
  <c r="Q45" i="4"/>
  <c r="Q39" i="4"/>
  <c r="Q60" i="4"/>
  <c r="Q56" i="4"/>
  <c r="D169" i="10"/>
  <c r="AM223" i="10"/>
  <c r="Q57" i="4"/>
  <c r="P47" i="4"/>
  <c r="F47" i="4"/>
  <c r="G47" i="4"/>
  <c r="Q44" i="4"/>
  <c r="Q38" i="4"/>
  <c r="Q59" i="4"/>
  <c r="I47" i="4"/>
  <c r="AY220" i="10"/>
  <c r="AY223" i="10"/>
  <c r="G15" i="16"/>
  <c r="AY224" i="10"/>
  <c r="G228" i="10"/>
  <c r="AY226" i="10"/>
  <c r="AY222" i="10"/>
  <c r="AY221" i="10"/>
  <c r="AY225" i="10"/>
  <c r="AX228" i="10"/>
  <c r="AW228" i="10"/>
  <c r="G18" i="16"/>
  <c r="G16" i="16"/>
  <c r="G17" i="16"/>
  <c r="G19" i="16"/>
  <c r="G6" i="16"/>
  <c r="AN228" i="10"/>
  <c r="G14" i="16"/>
  <c r="AF228" i="10"/>
  <c r="G5" i="16"/>
  <c r="G21" i="16"/>
  <c r="I20" i="16"/>
  <c r="AA218" i="10"/>
  <c r="I21" i="16"/>
  <c r="I14" i="16"/>
  <c r="I22" i="16"/>
  <c r="E23" i="16"/>
  <c r="H23" i="16" s="1"/>
  <c r="G3" i="16"/>
  <c r="I19" i="16"/>
  <c r="I16" i="16"/>
  <c r="I17" i="16"/>
  <c r="I18" i="16"/>
  <c r="I15" i="16"/>
  <c r="E169" i="10"/>
  <c r="AS217" i="10"/>
  <c r="R218" i="10"/>
  <c r="L169" i="10"/>
  <c r="I8" i="16"/>
  <c r="I9" i="16"/>
  <c r="Y228" i="10"/>
  <c r="E9" i="16"/>
  <c r="H9" i="16" s="1"/>
  <c r="BB218" i="10"/>
  <c r="BB221" i="10"/>
  <c r="BE219" i="10"/>
  <c r="BE222" i="10"/>
  <c r="I217" i="10"/>
  <c r="AQ228" i="10"/>
  <c r="R219" i="10"/>
  <c r="R220" i="10"/>
  <c r="AS220" i="10"/>
  <c r="R221" i="10"/>
  <c r="AA222" i="10"/>
  <c r="BB219" i="10"/>
  <c r="BB220" i="10"/>
  <c r="AA221" i="10"/>
  <c r="BE223" i="10"/>
  <c r="C169" i="10"/>
  <c r="I221" i="10"/>
  <c r="AS221" i="10"/>
  <c r="AA220" i="10"/>
  <c r="AZ228" i="10"/>
  <c r="B198" i="10"/>
  <c r="F198" i="10"/>
  <c r="AR228" i="10"/>
  <c r="G200" i="10"/>
  <c r="AA219" i="10"/>
  <c r="Q228" i="10"/>
  <c r="AJ220" i="10"/>
  <c r="AS219" i="10"/>
  <c r="AS218" i="10"/>
  <c r="AI228" i="10"/>
  <c r="H228" i="10"/>
  <c r="I3" i="16"/>
  <c r="C228" i="10"/>
  <c r="M165" i="10"/>
  <c r="E165" i="10"/>
  <c r="BA228" i="10"/>
  <c r="BE226" i="10"/>
  <c r="Q22" i="4"/>
  <c r="B169" i="10"/>
  <c r="I220" i="10"/>
  <c r="Q42" i="4"/>
  <c r="L47" i="4"/>
  <c r="AV219" i="10"/>
  <c r="AV220" i="10"/>
  <c r="U221" i="10"/>
  <c r="F154" i="10"/>
  <c r="D161" i="10"/>
  <c r="M173" i="10"/>
  <c r="D173" i="10"/>
  <c r="D154" i="10"/>
  <c r="B165" i="10"/>
  <c r="AA217" i="10"/>
  <c r="C161" i="10"/>
  <c r="G155" i="10"/>
  <c r="BK228" i="10"/>
  <c r="AM220" i="10"/>
  <c r="E217" i="10"/>
  <c r="AV218" i="10"/>
  <c r="U225" i="10"/>
  <c r="U223" i="10"/>
  <c r="AV221" i="10"/>
  <c r="U222" i="10"/>
  <c r="K185" i="10"/>
  <c r="U226" i="10"/>
  <c r="U217" i="10"/>
  <c r="AD219" i="10"/>
  <c r="AM219" i="10"/>
  <c r="K223" i="10"/>
  <c r="BR225" i="10"/>
  <c r="I7" i="16"/>
  <c r="BD225" i="10"/>
  <c r="BE225" i="10" s="1"/>
  <c r="AC225" i="10"/>
  <c r="E79" i="10"/>
  <c r="AL222" i="10"/>
  <c r="AM222" i="10" s="1"/>
  <c r="J220" i="10"/>
  <c r="L220" i="10" s="1"/>
  <c r="AL217" i="10"/>
  <c r="J221" i="10"/>
  <c r="J224" i="10"/>
  <c r="BG228" i="10"/>
  <c r="E149" i="10"/>
  <c r="C79" i="10"/>
  <c r="F149" i="10"/>
  <c r="AC218" i="10"/>
  <c r="AD218" i="10" s="1"/>
  <c r="AC217" i="10"/>
  <c r="J227" i="10"/>
  <c r="K217" i="10"/>
  <c r="J225" i="10"/>
  <c r="C154" i="10"/>
  <c r="J217" i="10"/>
  <c r="C119" i="10"/>
  <c r="AC221" i="10"/>
  <c r="D79" i="10"/>
  <c r="BR217" i="10"/>
  <c r="BR221" i="10"/>
  <c r="BL228" i="10"/>
  <c r="G80" i="10"/>
  <c r="E154" i="10"/>
  <c r="BM228" i="10"/>
  <c r="BN228" i="10"/>
  <c r="E114" i="10"/>
  <c r="AK218" i="10"/>
  <c r="F79" i="10"/>
  <c r="D109" i="10"/>
  <c r="K222" i="10"/>
  <c r="K225" i="10"/>
  <c r="I23" i="16"/>
  <c r="K219" i="10"/>
  <c r="L219" i="10" s="1"/>
  <c r="BQ228" i="10"/>
  <c r="BO228" i="10"/>
  <c r="BR224" i="10"/>
  <c r="BR226" i="10"/>
  <c r="BR227" i="10"/>
  <c r="K226" i="10"/>
  <c r="D114" i="10"/>
  <c r="F119" i="10"/>
  <c r="E119" i="10"/>
  <c r="AB217" i="10"/>
  <c r="AD217" i="10" s="1"/>
  <c r="AU217" i="10"/>
  <c r="AU228" i="10" s="1"/>
  <c r="G117" i="10"/>
  <c r="I6" i="16"/>
  <c r="AB220" i="10"/>
  <c r="AD220" i="10" s="1"/>
  <c r="AB221" i="10"/>
  <c r="G157" i="10"/>
  <c r="D165" i="10"/>
  <c r="BR220" i="10"/>
  <c r="G116" i="10"/>
  <c r="G122" i="10"/>
  <c r="U220" i="10"/>
  <c r="B119" i="10"/>
  <c r="AK221" i="10"/>
  <c r="AM221" i="10" s="1"/>
  <c r="T219" i="10"/>
  <c r="U219" i="10" s="1"/>
  <c r="AB222" i="10"/>
  <c r="J222" i="10"/>
  <c r="B114" i="10"/>
  <c r="K224" i="10"/>
  <c r="AL224" i="10"/>
  <c r="BJ228" i="10"/>
  <c r="AB225" i="10"/>
  <c r="AD225" i="10" s="1"/>
  <c r="BC227" i="10"/>
  <c r="BE227" i="10" s="1"/>
  <c r="K218" i="10"/>
  <c r="BC218" i="10"/>
  <c r="B154" i="10"/>
  <c r="I5" i="16"/>
  <c r="J218" i="10"/>
  <c r="AK224" i="10"/>
  <c r="G156" i="10"/>
  <c r="AL218" i="10"/>
  <c r="AC226" i="10"/>
  <c r="AB226" i="10"/>
  <c r="AD226" i="10" s="1"/>
  <c r="Q73" i="4"/>
  <c r="Q20" i="4"/>
  <c r="Q80" i="4"/>
  <c r="G9" i="16"/>
  <c r="G8" i="16"/>
  <c r="Q91" i="4"/>
  <c r="Q88" i="4"/>
  <c r="Q87" i="4"/>
  <c r="M15" i="15"/>
  <c r="P38" i="15"/>
  <c r="X19" i="15"/>
  <c r="D104" i="4"/>
  <c r="N14" i="4"/>
  <c r="E226" i="10"/>
  <c r="P14" i="15"/>
  <c r="AF25" i="15"/>
  <c r="AF30" i="15" s="1"/>
  <c r="AE8" i="15"/>
  <c r="P30" i="15"/>
  <c r="K107" i="10"/>
  <c r="O30" i="4"/>
  <c r="O175" i="10"/>
  <c r="P7" i="15"/>
  <c r="AZ15" i="15"/>
  <c r="N122" i="10"/>
  <c r="J97" i="10"/>
  <c r="P12" i="15"/>
  <c r="N137" i="10"/>
  <c r="M105" i="10"/>
  <c r="N86" i="10"/>
  <c r="J137" i="10"/>
  <c r="L137" i="10"/>
  <c r="AB15" i="15"/>
  <c r="AE14" i="15"/>
  <c r="X8" i="10"/>
  <c r="L173" i="10"/>
  <c r="P5" i="15"/>
  <c r="P13" i="15"/>
  <c r="M116" i="10"/>
  <c r="N140" i="10"/>
  <c r="J122" i="10"/>
  <c r="L136" i="10"/>
  <c r="M97" i="10"/>
  <c r="AV13" i="10"/>
  <c r="D101" i="4"/>
  <c r="H47" i="10"/>
  <c r="G162" i="10"/>
  <c r="G167" i="10"/>
  <c r="G171" i="10"/>
  <c r="O170" i="10"/>
  <c r="M24" i="4"/>
  <c r="B31" i="4"/>
  <c r="B47" i="4"/>
  <c r="D81" i="4"/>
  <c r="D100" i="4"/>
  <c r="D106" i="4"/>
  <c r="H48" i="10"/>
  <c r="B79" i="10"/>
  <c r="C109" i="10"/>
  <c r="G163" i="10"/>
  <c r="B173" i="10"/>
  <c r="J169" i="10"/>
  <c r="G208" i="10"/>
  <c r="N206" i="10"/>
  <c r="X10" i="10"/>
  <c r="D105" i="4"/>
  <c r="D64" i="4"/>
  <c r="B81" i="4"/>
  <c r="F161" i="10"/>
  <c r="G202" i="10"/>
  <c r="G175" i="10"/>
  <c r="J165" i="10"/>
  <c r="O207" i="10"/>
  <c r="BP228" i="10"/>
  <c r="BR219" i="10"/>
  <c r="BR222" i="10"/>
  <c r="AP225" i="10"/>
  <c r="K221" i="10"/>
  <c r="H44" i="10"/>
  <c r="G82" i="10"/>
  <c r="F165" i="10"/>
  <c r="E173" i="10"/>
  <c r="K165" i="10"/>
  <c r="J206" i="10"/>
  <c r="BI228" i="10"/>
  <c r="B228" i="10"/>
  <c r="BR223" i="10"/>
  <c r="G81" i="10"/>
  <c r="BR218" i="10"/>
  <c r="B161" i="10"/>
  <c r="L24" i="4"/>
  <c r="K102" i="4"/>
  <c r="M132" i="10"/>
  <c r="L111" i="10"/>
  <c r="N100" i="10"/>
  <c r="D68" i="10"/>
  <c r="O166" i="10"/>
  <c r="M206" i="10"/>
  <c r="J15" i="15"/>
  <c r="G103" i="4"/>
  <c r="D96" i="4"/>
  <c r="BF228" i="10"/>
  <c r="M106" i="4"/>
  <c r="L126" i="10"/>
  <c r="M110" i="10"/>
  <c r="M91" i="10"/>
  <c r="K12" i="10"/>
  <c r="H24" i="4"/>
  <c r="E161" i="10"/>
  <c r="E24" i="4"/>
  <c r="K97" i="10"/>
  <c r="BH228" i="10"/>
  <c r="F24" i="4"/>
  <c r="L15" i="15"/>
  <c r="M87" i="10"/>
  <c r="N126" i="10"/>
  <c r="B68" i="10"/>
  <c r="G166" i="10"/>
  <c r="E27" i="4"/>
  <c r="P24" i="4"/>
  <c r="J107" i="10"/>
  <c r="J104" i="10" s="1"/>
  <c r="N142" i="10"/>
  <c r="K132" i="10"/>
  <c r="M121" i="10"/>
  <c r="J111" i="10"/>
  <c r="B66" i="10"/>
  <c r="O24" i="4"/>
  <c r="L141" i="10"/>
  <c r="K27" i="4"/>
  <c r="N117" i="10"/>
  <c r="B67" i="10"/>
  <c r="K127" i="10"/>
  <c r="C66" i="10"/>
  <c r="AJ6" i="15"/>
  <c r="O6" i="10"/>
  <c r="X11" i="10"/>
  <c r="AE7" i="15"/>
  <c r="AE4" i="15"/>
  <c r="I226" i="10"/>
  <c r="AE9" i="15"/>
  <c r="N97" i="10"/>
  <c r="G21" i="4"/>
  <c r="N30" i="4"/>
  <c r="M29" i="4"/>
  <c r="K29" i="4"/>
  <c r="AP8" i="10"/>
  <c r="I29" i="4"/>
  <c r="E29" i="4"/>
  <c r="AJ11" i="15"/>
  <c r="G150" i="10"/>
  <c r="C102" i="4"/>
  <c r="AI15" i="15"/>
  <c r="AJ5" i="15"/>
  <c r="C64" i="4"/>
  <c r="AL15" i="15"/>
  <c r="C105" i="4"/>
  <c r="D149" i="10"/>
  <c r="AC15" i="15"/>
  <c r="G106" i="4"/>
  <c r="X24" i="15"/>
  <c r="AE5" i="15"/>
  <c r="X23" i="15"/>
  <c r="X29" i="15"/>
  <c r="N154" i="10"/>
  <c r="X27" i="15"/>
  <c r="O155" i="10"/>
  <c r="X26" i="15"/>
  <c r="T30" i="15"/>
  <c r="S30" i="15"/>
  <c r="Z15" i="15"/>
  <c r="AE11" i="15"/>
  <c r="AD15" i="15"/>
  <c r="AP49" i="15"/>
  <c r="AT49" i="15" s="1"/>
  <c r="AP47" i="15"/>
  <c r="AT47" i="15" s="1"/>
  <c r="AR4" i="15"/>
  <c r="P30" i="4"/>
  <c r="G28" i="4"/>
  <c r="AT20" i="15"/>
  <c r="F28" i="4"/>
  <c r="AG7" i="10"/>
  <c r="J28" i="4"/>
  <c r="L30" i="4"/>
  <c r="G24" i="4"/>
  <c r="O28" i="4"/>
  <c r="P28" i="4"/>
  <c r="I28" i="4"/>
  <c r="H28" i="4"/>
  <c r="AL52" i="15"/>
  <c r="AL51" i="15"/>
  <c r="AL50" i="15"/>
  <c r="AP45" i="15"/>
  <c r="AT45" i="15" s="1"/>
  <c r="AL49" i="15"/>
  <c r="AL48" i="15"/>
  <c r="AL47" i="15"/>
  <c r="AL44" i="15"/>
  <c r="AL43" i="15"/>
  <c r="N28" i="4"/>
  <c r="I30" i="4"/>
  <c r="E28" i="4"/>
  <c r="Z54" i="15"/>
  <c r="AT22" i="15"/>
  <c r="AT19" i="15"/>
  <c r="H30" i="4"/>
  <c r="G30" i="4"/>
  <c r="F30" i="4"/>
  <c r="M30" i="4"/>
  <c r="K30" i="4"/>
  <c r="E30" i="4"/>
  <c r="J30" i="4"/>
  <c r="AJ13" i="15"/>
  <c r="C110" i="4"/>
  <c r="C106" i="4"/>
  <c r="AY12" i="10"/>
  <c r="C108" i="4"/>
  <c r="AF44" i="15"/>
  <c r="AG44" i="15" s="1"/>
  <c r="AT24" i="15"/>
  <c r="AY5" i="10"/>
  <c r="AN30" i="15"/>
  <c r="AJ9" i="15"/>
  <c r="X21" i="15"/>
  <c r="AR13" i="15"/>
  <c r="L29" i="4"/>
  <c r="C103" i="4"/>
  <c r="H29" i="4"/>
  <c r="AJ14" i="15"/>
  <c r="C107" i="4"/>
  <c r="K154" i="10"/>
  <c r="AH15" i="15"/>
  <c r="C31" i="4"/>
  <c r="O156" i="10"/>
  <c r="AJ4" i="15"/>
  <c r="C47" i="4"/>
  <c r="C81" i="4"/>
  <c r="C100" i="4"/>
  <c r="C101" i="4"/>
  <c r="C109" i="4"/>
  <c r="AJ12" i="15"/>
  <c r="I103" i="4"/>
  <c r="AJ10" i="15"/>
  <c r="L154" i="10"/>
  <c r="X38" i="15"/>
  <c r="C149" i="10"/>
  <c r="M154" i="10"/>
  <c r="B149" i="10"/>
  <c r="AY38" i="15"/>
  <c r="G152" i="10"/>
  <c r="AK30" i="15"/>
  <c r="H46" i="10"/>
  <c r="AJ7" i="15"/>
  <c r="G151" i="10"/>
  <c r="C96" i="4"/>
  <c r="O12" i="10"/>
  <c r="Y54" i="15"/>
  <c r="X54" i="15"/>
  <c r="AF50" i="15"/>
  <c r="L103" i="4"/>
  <c r="L194" i="10"/>
  <c r="AS30" i="15"/>
  <c r="L28" i="4"/>
  <c r="O103" i="4"/>
  <c r="K21" i="4"/>
  <c r="AS8" i="10"/>
  <c r="I21" i="4"/>
  <c r="O10" i="10"/>
  <c r="D26" i="10"/>
  <c r="F21" i="4"/>
  <c r="E21" i="4"/>
  <c r="P21" i="4"/>
  <c r="M28" i="4"/>
  <c r="M108" i="4" s="1"/>
  <c r="O21" i="4"/>
  <c r="M21" i="4"/>
  <c r="K28" i="4"/>
  <c r="L21" i="4"/>
  <c r="G115" i="10"/>
  <c r="AG4" i="10"/>
  <c r="BE10" i="10"/>
  <c r="BR11" i="10"/>
  <c r="AR30" i="15"/>
  <c r="AM30" i="15"/>
  <c r="AQ30" i="15"/>
  <c r="AO30" i="15"/>
  <c r="J103" i="4"/>
  <c r="K103" i="4"/>
  <c r="AT27" i="15"/>
  <c r="H103" i="4"/>
  <c r="AT29" i="15"/>
  <c r="AP30" i="15"/>
  <c r="E109" i="10"/>
  <c r="F114" i="10"/>
  <c r="AH30" i="15"/>
  <c r="C99" i="10"/>
  <c r="AT28" i="15"/>
  <c r="Q26" i="4"/>
  <c r="J102" i="4"/>
  <c r="AT38" i="15"/>
  <c r="G121" i="10"/>
  <c r="C114" i="10"/>
  <c r="AY30" i="15"/>
  <c r="AV5" i="10"/>
  <c r="E94" i="10"/>
  <c r="C94" i="10"/>
  <c r="G111" i="10"/>
  <c r="D119" i="10"/>
  <c r="B89" i="10"/>
  <c r="B99" i="10"/>
  <c r="E104" i="10"/>
  <c r="N103" i="4"/>
  <c r="E103" i="4"/>
  <c r="E84" i="10"/>
  <c r="D89" i="10"/>
  <c r="D99" i="10"/>
  <c r="F104" i="10"/>
  <c r="O157" i="10"/>
  <c r="C84" i="10"/>
  <c r="G107" i="10"/>
  <c r="AF38" i="15"/>
  <c r="G106" i="10"/>
  <c r="P103" i="4"/>
  <c r="Q6" i="4"/>
  <c r="G91" i="10"/>
  <c r="G86" i="10"/>
  <c r="G97" i="10"/>
  <c r="F99" i="10"/>
  <c r="D104" i="10"/>
  <c r="G112" i="10"/>
  <c r="G120" i="10"/>
  <c r="F89" i="10"/>
  <c r="F84" i="10"/>
  <c r="E89" i="10"/>
  <c r="E99" i="10"/>
  <c r="C104" i="10"/>
  <c r="M103" i="4"/>
  <c r="D84" i="10"/>
  <c r="G92" i="10"/>
  <c r="C89" i="10"/>
  <c r="G95" i="10"/>
  <c r="G90" i="10"/>
  <c r="G100" i="10"/>
  <c r="F109" i="10"/>
  <c r="B109" i="10"/>
  <c r="G102" i="4"/>
  <c r="G105" i="10"/>
  <c r="R30" i="15"/>
  <c r="J154" i="10"/>
  <c r="J4" i="10"/>
  <c r="L4" i="10" s="1"/>
  <c r="I95" i="4"/>
  <c r="C27" i="10"/>
  <c r="C139" i="10"/>
  <c r="O79" i="4"/>
  <c r="L89" i="4"/>
  <c r="L94" i="4"/>
  <c r="F139" i="10"/>
  <c r="E129" i="10"/>
  <c r="B139" i="10"/>
  <c r="B64" i="4"/>
  <c r="D102" i="4"/>
  <c r="AY9" i="10"/>
  <c r="AG8" i="10"/>
  <c r="AG14" i="10"/>
  <c r="K79" i="10"/>
  <c r="E144" i="10"/>
  <c r="F54" i="4"/>
  <c r="F71" i="4"/>
  <c r="M15" i="10"/>
  <c r="G147" i="10"/>
  <c r="I86" i="4"/>
  <c r="H58" i="4"/>
  <c r="O94" i="4"/>
  <c r="N94" i="4"/>
  <c r="F92" i="4"/>
  <c r="P70" i="4"/>
  <c r="F94" i="4"/>
  <c r="E139" i="10"/>
  <c r="G137" i="10"/>
  <c r="B144" i="10"/>
  <c r="J86" i="4"/>
  <c r="P71" i="4"/>
  <c r="O95" i="4"/>
  <c r="G146" i="10"/>
  <c r="G127" i="10"/>
  <c r="N79" i="4"/>
  <c r="J94" i="4"/>
  <c r="H71" i="4"/>
  <c r="J53" i="4"/>
  <c r="G90" i="4"/>
  <c r="M79" i="4"/>
  <c r="I94" i="4"/>
  <c r="I53" i="4"/>
  <c r="B124" i="10"/>
  <c r="P94" i="4"/>
  <c r="G94" i="4"/>
  <c r="O53" i="4"/>
  <c r="J70" i="4"/>
  <c r="P93" i="4"/>
  <c r="G126" i="10"/>
  <c r="E134" i="10"/>
  <c r="K53" i="4"/>
  <c r="M79" i="10"/>
  <c r="G136" i="10"/>
  <c r="F144" i="10"/>
  <c r="I79" i="4"/>
  <c r="J71" i="4"/>
  <c r="I54" i="4"/>
  <c r="O92" i="4"/>
  <c r="H79" i="4"/>
  <c r="I92" i="4"/>
  <c r="E74" i="4"/>
  <c r="D139" i="10"/>
  <c r="N149" i="10"/>
  <c r="N79" i="10"/>
  <c r="G130" i="10"/>
  <c r="D129" i="10"/>
  <c r="E89" i="4"/>
  <c r="J95" i="4"/>
  <c r="F74" i="4"/>
  <c r="E92" i="4"/>
  <c r="P92" i="4"/>
  <c r="J58" i="4"/>
  <c r="G86" i="4"/>
  <c r="F86" i="4"/>
  <c r="P86" i="4"/>
  <c r="O71" i="4"/>
  <c r="G135" i="10"/>
  <c r="AP5" i="10"/>
  <c r="C134" i="10"/>
  <c r="K149" i="10"/>
  <c r="L149" i="10"/>
  <c r="O82" i="10"/>
  <c r="L79" i="10"/>
  <c r="F129" i="10"/>
  <c r="G141" i="10"/>
  <c r="G89" i="4"/>
  <c r="J89" i="4"/>
  <c r="L79" i="4"/>
  <c r="J79" i="4"/>
  <c r="M94" i="4"/>
  <c r="G79" i="4"/>
  <c r="E79" i="4"/>
  <c r="E94" i="4"/>
  <c r="M71" i="4"/>
  <c r="G71" i="4"/>
  <c r="L54" i="4"/>
  <c r="M53" i="4"/>
  <c r="F53" i="4"/>
  <c r="N95" i="4"/>
  <c r="H92" i="4"/>
  <c r="J92" i="4"/>
  <c r="O85" i="4"/>
  <c r="O100" i="4" s="1"/>
  <c r="G70" i="4"/>
  <c r="K58" i="4"/>
  <c r="F95" i="4"/>
  <c r="J93" i="4"/>
  <c r="G142" i="10"/>
  <c r="J149" i="10"/>
  <c r="B134" i="10"/>
  <c r="L71" i="4"/>
  <c r="P95" i="4"/>
  <c r="P110" i="4" s="1"/>
  <c r="L92" i="4"/>
  <c r="O70" i="4"/>
  <c r="B129" i="10"/>
  <c r="N90" i="4"/>
  <c r="M70" i="4"/>
  <c r="E124" i="10"/>
  <c r="F134" i="10"/>
  <c r="F89" i="4"/>
  <c r="K94" i="4"/>
  <c r="N71" i="4"/>
  <c r="N54" i="4"/>
  <c r="H95" i="4"/>
  <c r="M90" i="4"/>
  <c r="M105" i="4" s="1"/>
  <c r="E70" i="4"/>
  <c r="O89" i="4"/>
  <c r="F79" i="4"/>
  <c r="E71" i="4"/>
  <c r="J54" i="4"/>
  <c r="K95" i="4"/>
  <c r="P90" i="4"/>
  <c r="H94" i="4"/>
  <c r="AY13" i="10"/>
  <c r="N74" i="4"/>
  <c r="E90" i="4"/>
  <c r="L85" i="4"/>
  <c r="L100" i="4" s="1"/>
  <c r="G131" i="10"/>
  <c r="L74" i="4"/>
  <c r="P58" i="4"/>
  <c r="G93" i="4"/>
  <c r="AY10" i="10"/>
  <c r="K54" i="4"/>
  <c r="G74" i="4"/>
  <c r="L58" i="4"/>
  <c r="E86" i="4"/>
  <c r="C124" i="10"/>
  <c r="D134" i="10"/>
  <c r="C144" i="10"/>
  <c r="I58" i="4"/>
  <c r="F124" i="10"/>
  <c r="M149" i="10"/>
  <c r="O80" i="10"/>
  <c r="O7" i="10"/>
  <c r="K85" i="4"/>
  <c r="K100" i="4" s="1"/>
  <c r="M93" i="4"/>
  <c r="N93" i="4"/>
  <c r="N108" i="4" s="1"/>
  <c r="D124" i="10"/>
  <c r="O150" i="10"/>
  <c r="C129" i="10"/>
  <c r="D144" i="10"/>
  <c r="G85" i="4"/>
  <c r="G100" i="4" s="1"/>
  <c r="H93" i="4"/>
  <c r="M86" i="4"/>
  <c r="M101" i="4" s="1"/>
  <c r="G140" i="10"/>
  <c r="F85" i="4"/>
  <c r="F100" i="4" s="1"/>
  <c r="F93" i="4"/>
  <c r="O152" i="10"/>
  <c r="J79" i="10"/>
  <c r="G132" i="10"/>
  <c r="G145" i="10"/>
  <c r="O93" i="4"/>
  <c r="X4" i="10"/>
  <c r="K71" i="4"/>
  <c r="H54" i="4"/>
  <c r="L53" i="4"/>
  <c r="L95" i="4"/>
  <c r="K92" i="4"/>
  <c r="K107" i="4" s="1"/>
  <c r="J90" i="4"/>
  <c r="G58" i="4"/>
  <c r="N70" i="4"/>
  <c r="L86" i="4"/>
  <c r="L101" i="4" s="1"/>
  <c r="E93" i="4"/>
  <c r="O81" i="10"/>
  <c r="F90" i="4"/>
  <c r="F58" i="4"/>
  <c r="O86" i="4"/>
  <c r="BB5" i="10"/>
  <c r="I89" i="4"/>
  <c r="K79" i="4"/>
  <c r="G54" i="4"/>
  <c r="H53" i="4"/>
  <c r="P74" i="4"/>
  <c r="N92" i="4"/>
  <c r="L90" i="4"/>
  <c r="H85" i="4"/>
  <c r="H100" i="4" s="1"/>
  <c r="L70" i="4"/>
  <c r="H86" i="4"/>
  <c r="C32" i="10"/>
  <c r="C31" i="10"/>
  <c r="G125" i="10"/>
  <c r="H89" i="4"/>
  <c r="M54" i="4"/>
  <c r="E53" i="4"/>
  <c r="O74" i="4"/>
  <c r="G92" i="4"/>
  <c r="I90" i="4"/>
  <c r="E85" i="4"/>
  <c r="E100" i="4" s="1"/>
  <c r="K70" i="4"/>
  <c r="N86" i="4"/>
  <c r="V15" i="10"/>
  <c r="C28" i="10"/>
  <c r="G53" i="4"/>
  <c r="M74" i="4"/>
  <c r="O90" i="4"/>
  <c r="N85" i="4"/>
  <c r="N100" i="4" s="1"/>
  <c r="K86" i="4"/>
  <c r="P89" i="4"/>
  <c r="O54" i="4"/>
  <c r="G95" i="4"/>
  <c r="K74" i="4"/>
  <c r="O58" i="4"/>
  <c r="M85" i="4"/>
  <c r="M100" i="4" s="1"/>
  <c r="H70" i="4"/>
  <c r="L93" i="4"/>
  <c r="L108" i="4" s="1"/>
  <c r="J74" i="4"/>
  <c r="N58" i="4"/>
  <c r="J85" i="4"/>
  <c r="J100" i="4" s="1"/>
  <c r="K93" i="4"/>
  <c r="K108" i="4" s="1"/>
  <c r="O151" i="10"/>
  <c r="N89" i="4"/>
  <c r="E54" i="4"/>
  <c r="E95" i="4"/>
  <c r="I74" i="4"/>
  <c r="M58" i="4"/>
  <c r="P85" i="4"/>
  <c r="P100" i="4" s="1"/>
  <c r="F70" i="4"/>
  <c r="M89" i="4"/>
  <c r="I71" i="4"/>
  <c r="N53" i="4"/>
  <c r="M95" i="4"/>
  <c r="M110" i="4" s="1"/>
  <c r="H74" i="4"/>
  <c r="H90" i="4"/>
  <c r="E58" i="4"/>
  <c r="I85" i="4"/>
  <c r="I100" i="4" s="1"/>
  <c r="I93" i="4"/>
  <c r="I108" i="4" s="1"/>
  <c r="D33" i="10"/>
  <c r="K89" i="4"/>
  <c r="K90" i="4"/>
  <c r="AV4" i="10"/>
  <c r="D25" i="10"/>
  <c r="E5" i="10"/>
  <c r="U12" i="10"/>
  <c r="AP53" i="15"/>
  <c r="H106" i="4"/>
  <c r="E8" i="10"/>
  <c r="X5" i="10"/>
  <c r="N120" i="10"/>
  <c r="BB225" i="10"/>
  <c r="X12" i="10"/>
  <c r="X7" i="10"/>
  <c r="BB12" i="10"/>
  <c r="AS12" i="10"/>
  <c r="AV11" i="10"/>
  <c r="AP6" i="10"/>
  <c r="R226" i="10"/>
  <c r="O15" i="15"/>
  <c r="O27" i="4"/>
  <c r="O107" i="4" s="1"/>
  <c r="R10" i="10"/>
  <c r="AM7" i="10"/>
  <c r="O9" i="10"/>
  <c r="X9" i="10"/>
  <c r="AP4" i="10"/>
  <c r="E7" i="10"/>
  <c r="R7" i="10"/>
  <c r="H14" i="15"/>
  <c r="H15" i="15" s="1"/>
  <c r="AV225" i="10"/>
  <c r="BE13" i="10"/>
  <c r="AP48" i="15"/>
  <c r="AT48" i="15" s="1"/>
  <c r="X14" i="15"/>
  <c r="X10" i="15"/>
  <c r="V15" i="15"/>
  <c r="AP13" i="10"/>
  <c r="C24" i="10"/>
  <c r="D108" i="4"/>
  <c r="N115" i="10"/>
  <c r="L140" i="10"/>
  <c r="N111" i="10"/>
  <c r="J132" i="10"/>
  <c r="AW15" i="10"/>
  <c r="K141" i="10"/>
  <c r="M90" i="10"/>
  <c r="N112" i="10"/>
  <c r="L122" i="10"/>
  <c r="P9" i="15"/>
  <c r="AJ10" i="10"/>
  <c r="D29" i="10"/>
  <c r="D24" i="10"/>
  <c r="D47" i="4"/>
  <c r="B96" i="4"/>
  <c r="D27" i="10"/>
  <c r="M141" i="10"/>
  <c r="N85" i="10"/>
  <c r="M122" i="10"/>
  <c r="P4" i="15"/>
  <c r="J29" i="4"/>
  <c r="F106" i="4"/>
  <c r="L102" i="4"/>
  <c r="J115" i="10"/>
  <c r="W15" i="15"/>
  <c r="N106" i="10"/>
  <c r="AF15" i="10"/>
  <c r="D31" i="4"/>
  <c r="N90" i="10"/>
  <c r="N105" i="10"/>
  <c r="AN15" i="10"/>
  <c r="N29" i="4"/>
  <c r="K86" i="10"/>
  <c r="J85" i="10"/>
  <c r="K136" i="10"/>
  <c r="J120" i="10"/>
  <c r="K101" i="10"/>
  <c r="J142" i="10"/>
  <c r="J139" i="10" s="1"/>
  <c r="N125" i="10"/>
  <c r="O8" i="10"/>
  <c r="K121" i="10"/>
  <c r="C69" i="10"/>
  <c r="M107" i="10"/>
  <c r="M112" i="10"/>
  <c r="L106" i="4"/>
  <c r="J110" i="10"/>
  <c r="D69" i="10"/>
  <c r="N95" i="10"/>
  <c r="J135" i="10"/>
  <c r="J134" i="10" s="1"/>
  <c r="J95" i="10"/>
  <c r="F228" i="10"/>
  <c r="F15" i="10"/>
  <c r="AP11" i="10"/>
  <c r="Z228" i="10"/>
  <c r="AA228" i="10" s="1"/>
  <c r="P228" i="10"/>
  <c r="R228" i="10" s="1"/>
  <c r="O4" i="10"/>
  <c r="O29" i="4"/>
  <c r="O109" i="4" s="1"/>
  <c r="AP51" i="15"/>
  <c r="AT51" i="15" s="1"/>
  <c r="BE9" i="10"/>
  <c r="AV7" i="10"/>
  <c r="AY6" i="10"/>
  <c r="C15" i="10"/>
  <c r="BE6" i="10"/>
  <c r="AO15" i="10"/>
  <c r="B34" i="10"/>
  <c r="N15" i="10"/>
  <c r="O15" i="10" s="1"/>
  <c r="AS5" i="10"/>
  <c r="I9" i="10"/>
  <c r="AA12" i="10"/>
  <c r="AP44" i="15"/>
  <c r="AT44" i="15" s="1"/>
  <c r="AJ5" i="10"/>
  <c r="AJ13" i="10"/>
  <c r="I219" i="10"/>
  <c r="AL53" i="15"/>
  <c r="AA7" i="10"/>
  <c r="AS4" i="10"/>
  <c r="AA4" i="10"/>
  <c r="H67" i="10"/>
  <c r="AJ219" i="10"/>
  <c r="I218" i="10"/>
  <c r="I13" i="10"/>
  <c r="C198" i="10"/>
  <c r="R9" i="10"/>
  <c r="I26" i="10"/>
  <c r="AJ221" i="10"/>
  <c r="I222" i="10"/>
  <c r="AS9" i="10"/>
  <c r="BB9" i="10"/>
  <c r="R217" i="10"/>
  <c r="AS10" i="10"/>
  <c r="AA11" i="10"/>
  <c r="AJ217" i="10"/>
  <c r="AS53" i="15"/>
  <c r="BB13" i="10"/>
  <c r="AS14" i="10"/>
  <c r="AZ15" i="10"/>
  <c r="AJ12" i="10"/>
  <c r="H33" i="10"/>
  <c r="E198" i="10"/>
  <c r="AP43" i="15"/>
  <c r="AS43" i="15"/>
  <c r="AJ11" i="10"/>
  <c r="AR15" i="10"/>
  <c r="G199" i="10"/>
  <c r="D198" i="10"/>
  <c r="I14" i="10"/>
  <c r="AJ4" i="10"/>
  <c r="BB217" i="10"/>
  <c r="AP46" i="15"/>
  <c r="AT46" i="15" s="1"/>
  <c r="BB14" i="10"/>
  <c r="AH228" i="10"/>
  <c r="AJ228" i="10" s="1"/>
  <c r="AQ15" i="10"/>
  <c r="AA5" i="10"/>
  <c r="B54" i="15"/>
  <c r="X7" i="15"/>
  <c r="W54" i="15"/>
  <c r="AN54" i="15"/>
  <c r="AK54" i="15"/>
  <c r="R54" i="15"/>
  <c r="K54" i="15"/>
  <c r="AJ54" i="15"/>
  <c r="AR54" i="15"/>
  <c r="AO54" i="15"/>
  <c r="AS50" i="15"/>
  <c r="AP50" i="15"/>
  <c r="AQ54" i="15"/>
  <c r="D15" i="15"/>
  <c r="AG50" i="15"/>
  <c r="E15" i="15"/>
  <c r="BE217" i="10"/>
  <c r="AD223" i="10"/>
  <c r="BB46" i="15"/>
  <c r="E9" i="10"/>
  <c r="I28" i="10"/>
  <c r="AP10" i="10"/>
  <c r="AP12" i="10"/>
  <c r="AA9" i="10"/>
  <c r="M106" i="10"/>
  <c r="N131" i="10"/>
  <c r="P102" i="4"/>
  <c r="E12" i="10"/>
  <c r="N25" i="4"/>
  <c r="H28" i="10"/>
  <c r="P44" i="15"/>
  <c r="X6" i="10"/>
  <c r="AG11" i="10"/>
  <c r="AT228" i="10"/>
  <c r="BE220" i="10"/>
  <c r="U14" i="10"/>
  <c r="P46" i="15"/>
  <c r="AF45" i="15"/>
  <c r="AG45" i="15" s="1"/>
  <c r="X13" i="10"/>
  <c r="K131" i="10"/>
  <c r="B15" i="15"/>
  <c r="C15" i="15"/>
  <c r="G15" i="15"/>
  <c r="R15" i="15"/>
  <c r="X12" i="15"/>
  <c r="X9" i="15"/>
  <c r="S15" i="15"/>
  <c r="L6" i="10"/>
  <c r="N136" i="10"/>
  <c r="N134" i="10" s="1"/>
  <c r="AA8" i="10"/>
  <c r="AV8" i="10"/>
  <c r="AE6" i="15"/>
  <c r="H30" i="15"/>
  <c r="R12" i="10"/>
  <c r="H38" i="15"/>
  <c r="L29" i="10"/>
  <c r="M135" i="10"/>
  <c r="J87" i="10"/>
  <c r="R8" i="10"/>
  <c r="BB11" i="10"/>
  <c r="AY7" i="10"/>
  <c r="AS6" i="10"/>
  <c r="AG13" i="10"/>
  <c r="BB10" i="10"/>
  <c r="BB6" i="10"/>
  <c r="L91" i="10"/>
  <c r="K122" i="10"/>
  <c r="L100" i="10"/>
  <c r="M131" i="10"/>
  <c r="M142" i="10"/>
  <c r="P8" i="15"/>
  <c r="C68" i="10"/>
  <c r="P11" i="15"/>
  <c r="K14" i="4"/>
  <c r="I23" i="10"/>
  <c r="H23" i="10"/>
  <c r="BA15" i="10"/>
  <c r="AP14" i="10"/>
  <c r="D31" i="10"/>
  <c r="AG6" i="10"/>
  <c r="AV12" i="10"/>
  <c r="O13" i="10"/>
  <c r="AC8" i="10"/>
  <c r="N15" i="15"/>
  <c r="K90" i="10"/>
  <c r="L92" i="10"/>
  <c r="N132" i="10"/>
  <c r="F15" i="15"/>
  <c r="AH15" i="10"/>
  <c r="AA10" i="10"/>
  <c r="BB4" i="10"/>
  <c r="O226" i="10"/>
  <c r="H26" i="10"/>
  <c r="BB7" i="10"/>
  <c r="AS11" i="10"/>
  <c r="C26" i="10"/>
  <c r="AY228" i="10"/>
  <c r="H24" i="10"/>
  <c r="I30" i="10"/>
  <c r="R11" i="10"/>
  <c r="H32" i="10"/>
  <c r="AS13" i="10"/>
  <c r="H27" i="10"/>
  <c r="E69" i="10"/>
  <c r="B69" i="10"/>
  <c r="L101" i="10"/>
  <c r="M126" i="10"/>
  <c r="O126" i="10" s="1"/>
  <c r="M120" i="10"/>
  <c r="E102" i="4"/>
  <c r="E67" i="10"/>
  <c r="N91" i="10"/>
  <c r="K96" i="10"/>
  <c r="K116" i="10"/>
  <c r="K110" i="10"/>
  <c r="D30" i="10"/>
  <c r="AJ9" i="10"/>
  <c r="E13" i="10"/>
  <c r="P106" i="4"/>
  <c r="I102" i="4"/>
  <c r="L125" i="10"/>
  <c r="L135" i="10"/>
  <c r="L134" i="10" s="1"/>
  <c r="I66" i="10"/>
  <c r="G66" i="10"/>
  <c r="L95" i="10"/>
  <c r="K100" i="10"/>
  <c r="J102" i="10"/>
  <c r="O106" i="4"/>
  <c r="K120" i="10"/>
  <c r="K130" i="10"/>
  <c r="J92" i="10"/>
  <c r="K135" i="10"/>
  <c r="Q15" i="10"/>
  <c r="H29" i="10"/>
  <c r="N27" i="4"/>
  <c r="L90" i="10"/>
  <c r="M127" i="10"/>
  <c r="N116" i="10"/>
  <c r="K137" i="10"/>
  <c r="K85" i="10"/>
  <c r="N96" i="10"/>
  <c r="P27" i="4"/>
  <c r="G67" i="10"/>
  <c r="L107" i="10"/>
  <c r="K117" i="10"/>
  <c r="K111" i="10"/>
  <c r="C67" i="10"/>
  <c r="R5" i="10"/>
  <c r="F27" i="4"/>
  <c r="F107" i="4" s="1"/>
  <c r="K102" i="10"/>
  <c r="J112" i="10"/>
  <c r="H68" i="10"/>
  <c r="U15" i="15"/>
  <c r="H27" i="4"/>
  <c r="K115" i="10"/>
  <c r="D67" i="10"/>
  <c r="J68" i="10"/>
  <c r="M92" i="10"/>
  <c r="E68" i="10"/>
  <c r="K105" i="10"/>
  <c r="K104" i="10" s="1"/>
  <c r="C25" i="10"/>
  <c r="I27" i="4"/>
  <c r="L130" i="10"/>
  <c r="J66" i="10"/>
  <c r="N87" i="10"/>
  <c r="E66" i="10"/>
  <c r="J69" i="10"/>
  <c r="L27" i="4"/>
  <c r="H69" i="10"/>
  <c r="K125" i="10"/>
  <c r="K124" i="10" s="1"/>
  <c r="K140" i="10"/>
  <c r="K92" i="10"/>
  <c r="K95" i="10"/>
  <c r="J67" i="10"/>
  <c r="M27" i="4"/>
  <c r="J127" i="10"/>
  <c r="J124" i="10" s="1"/>
  <c r="BB47" i="15"/>
  <c r="I12" i="10"/>
  <c r="AF46" i="15"/>
  <c r="AG46" i="15" s="1"/>
  <c r="BE4" i="10"/>
  <c r="AV6" i="10"/>
  <c r="BE12" i="10"/>
  <c r="L32" i="10"/>
  <c r="L26" i="10"/>
  <c r="H21" i="4"/>
  <c r="D23" i="10"/>
  <c r="D32" i="10"/>
  <c r="J194" i="10"/>
  <c r="F194" i="10"/>
  <c r="I7" i="10"/>
  <c r="E194" i="10"/>
  <c r="J27" i="4"/>
  <c r="AJ8" i="10"/>
  <c r="AA15" i="15"/>
  <c r="G195" i="10"/>
  <c r="J24" i="4"/>
  <c r="O165" i="10"/>
  <c r="AP228" i="10"/>
  <c r="O11" i="10"/>
  <c r="AG12" i="10"/>
  <c r="O196" i="10"/>
  <c r="N21" i="4"/>
  <c r="G196" i="10"/>
  <c r="E25" i="4"/>
  <c r="E31" i="4" s="1"/>
  <c r="K24" i="4"/>
  <c r="G25" i="4"/>
  <c r="O25" i="4"/>
  <c r="M194" i="10"/>
  <c r="D194" i="10"/>
  <c r="N194" i="10"/>
  <c r="U54" i="15"/>
  <c r="C194" i="10"/>
  <c r="E14" i="10"/>
  <c r="AY8" i="10"/>
  <c r="K194" i="10"/>
  <c r="B194" i="10"/>
  <c r="O195" i="10"/>
  <c r="P14" i="4"/>
  <c r="D66" i="10"/>
  <c r="AY11" i="10"/>
  <c r="R13" i="10"/>
  <c r="D28" i="10"/>
  <c r="L24" i="10"/>
  <c r="AY14" i="10"/>
  <c r="I24" i="4"/>
  <c r="I104" i="4" s="1"/>
  <c r="AI15" i="10"/>
  <c r="H31" i="10"/>
  <c r="AE13" i="15"/>
  <c r="AE10" i="15"/>
  <c r="AS225" i="10"/>
  <c r="I24" i="10"/>
  <c r="AJ14" i="10"/>
  <c r="I29" i="10"/>
  <c r="AE12" i="15"/>
  <c r="I14" i="4"/>
  <c r="P15" i="10"/>
  <c r="C29" i="10"/>
  <c r="AX15" i="10"/>
  <c r="P10" i="15"/>
  <c r="N141" i="10"/>
  <c r="N139" i="10" s="1"/>
  <c r="L116" i="10"/>
  <c r="U6" i="10"/>
  <c r="AG10" i="10"/>
  <c r="BB8" i="10"/>
  <c r="AP7" i="10"/>
  <c r="O14" i="10"/>
  <c r="N102" i="10"/>
  <c r="J117" i="10"/>
  <c r="M96" i="10"/>
  <c r="M100" i="10"/>
  <c r="M102" i="10"/>
  <c r="L86" i="10"/>
  <c r="L127" i="10"/>
  <c r="M5" i="4"/>
  <c r="AE15" i="10"/>
  <c r="AP9" i="10"/>
  <c r="K15" i="15"/>
  <c r="M86" i="10"/>
  <c r="BB228" i="10"/>
  <c r="D15" i="10"/>
  <c r="I27" i="10"/>
  <c r="X14" i="10"/>
  <c r="C23" i="10"/>
  <c r="M136" i="10"/>
  <c r="N110" i="10"/>
  <c r="L115" i="10"/>
  <c r="M117" i="10"/>
  <c r="L25" i="4"/>
  <c r="L105" i="4" s="1"/>
  <c r="K25" i="4"/>
  <c r="J25" i="4"/>
  <c r="J105" i="4" s="1"/>
  <c r="I25" i="4"/>
  <c r="O5" i="4"/>
  <c r="O102" i="4" s="1"/>
  <c r="C33" i="10"/>
  <c r="C30" i="10"/>
  <c r="AJ7" i="10"/>
  <c r="H25" i="4"/>
  <c r="N101" i="10"/>
  <c r="I31" i="10"/>
  <c r="AG5" i="10"/>
  <c r="I10" i="10"/>
  <c r="F25" i="4"/>
  <c r="M85" i="10"/>
  <c r="L102" i="10"/>
  <c r="M101" i="10"/>
  <c r="M137" i="10"/>
  <c r="F5" i="4"/>
  <c r="F14" i="4" s="1"/>
  <c r="P25" i="4"/>
  <c r="N127" i="10"/>
  <c r="L96" i="10"/>
  <c r="L132" i="10"/>
  <c r="L112" i="10"/>
  <c r="N107" i="10"/>
  <c r="L117" i="10"/>
  <c r="M111" i="10"/>
  <c r="N92" i="10"/>
  <c r="L121" i="10"/>
  <c r="M115" i="10"/>
  <c r="M125" i="10"/>
  <c r="L106" i="10"/>
  <c r="J90" i="10"/>
  <c r="L110" i="10"/>
  <c r="H30" i="10"/>
  <c r="L97" i="10"/>
  <c r="O97" i="10" s="1"/>
  <c r="M140" i="10"/>
  <c r="L87" i="10"/>
  <c r="L142" i="10"/>
  <c r="AY4" i="10"/>
  <c r="J100" i="10"/>
  <c r="J130" i="10"/>
  <c r="H5" i="4"/>
  <c r="K29" i="10"/>
  <c r="I6" i="10"/>
  <c r="E10" i="10"/>
  <c r="I11" i="10"/>
  <c r="G104" i="10"/>
  <c r="Y15" i="10"/>
  <c r="G104" i="4"/>
  <c r="Q47" i="4"/>
  <c r="AA13" i="10"/>
  <c r="I228" i="10"/>
  <c r="I32" i="10"/>
  <c r="I8" i="10"/>
  <c r="AG9" i="10"/>
  <c r="P104" i="4"/>
  <c r="Q106" i="4"/>
  <c r="AM5" i="10"/>
  <c r="BE5" i="10"/>
  <c r="I33" i="10"/>
  <c r="AA6" i="10"/>
  <c r="AM14" i="10"/>
  <c r="AD5" i="10"/>
  <c r="L5" i="10"/>
  <c r="AM10" i="10"/>
  <c r="AV10" i="10"/>
  <c r="AS7" i="10"/>
  <c r="E4" i="10"/>
  <c r="H110" i="4"/>
  <c r="I25" i="10"/>
  <c r="H108" i="4"/>
  <c r="AD13" i="10"/>
  <c r="F108" i="4"/>
  <c r="BB43" i="15"/>
  <c r="U10" i="10"/>
  <c r="AM9" i="10"/>
  <c r="U11" i="10"/>
  <c r="W15" i="10"/>
  <c r="X15" i="10" s="1"/>
  <c r="H15" i="10"/>
  <c r="H25" i="10"/>
  <c r="G15" i="10"/>
  <c r="K110" i="4"/>
  <c r="G165" i="10"/>
  <c r="B15" i="10"/>
  <c r="AD11" i="10"/>
  <c r="I5" i="10"/>
  <c r="J21" i="4"/>
  <c r="P29" i="4"/>
  <c r="P109" i="4" s="1"/>
  <c r="G29" i="4"/>
  <c r="O228" i="10"/>
  <c r="D54" i="15"/>
  <c r="L226" i="10"/>
  <c r="J190" i="10"/>
  <c r="AA14" i="10"/>
  <c r="AL15" i="10"/>
  <c r="AV14" i="10"/>
  <c r="K30" i="10"/>
  <c r="AD221" i="10"/>
  <c r="AG228" i="10"/>
  <c r="N190" i="10"/>
  <c r="AU15" i="10"/>
  <c r="AV9" i="10"/>
  <c r="M185" i="10"/>
  <c r="M190" i="10"/>
  <c r="K190" i="10"/>
  <c r="L190" i="10"/>
  <c r="L223" i="10"/>
  <c r="AM218" i="10"/>
  <c r="AD6" i="10"/>
  <c r="L185" i="10"/>
  <c r="P49" i="15"/>
  <c r="P43" i="15"/>
  <c r="P48" i="15"/>
  <c r="P47" i="15"/>
  <c r="P45" i="15"/>
  <c r="L54" i="15"/>
  <c r="L9" i="10"/>
  <c r="O191" i="10"/>
  <c r="L218" i="10"/>
  <c r="AC228" i="10"/>
  <c r="P53" i="15"/>
  <c r="BE7" i="10"/>
  <c r="L25" i="10"/>
  <c r="L13" i="10"/>
  <c r="U13" i="10"/>
  <c r="N54" i="15"/>
  <c r="K27" i="10"/>
  <c r="F185" i="10"/>
  <c r="B185" i="10"/>
  <c r="AD4" i="10"/>
  <c r="U8" i="10"/>
  <c r="L11" i="10"/>
  <c r="E190" i="10"/>
  <c r="AS228" i="10"/>
  <c r="F101" i="4"/>
  <c r="O161" i="10"/>
  <c r="D190" i="10"/>
  <c r="B190" i="10"/>
  <c r="J185" i="10"/>
  <c r="E104" i="4"/>
  <c r="T228" i="10"/>
  <c r="F190" i="10"/>
  <c r="P51" i="15"/>
  <c r="O54" i="15"/>
  <c r="C190" i="10"/>
  <c r="G187" i="10"/>
  <c r="O192" i="10"/>
  <c r="E185" i="10"/>
  <c r="D185" i="10"/>
  <c r="C185" i="10"/>
  <c r="I101" i="4"/>
  <c r="O187" i="10"/>
  <c r="M54" i="15"/>
  <c r="M109" i="4"/>
  <c r="G192" i="10"/>
  <c r="N185" i="10"/>
  <c r="G191" i="10"/>
  <c r="O186" i="10"/>
  <c r="G186" i="10"/>
  <c r="P50" i="15"/>
  <c r="P52" i="15"/>
  <c r="F104" i="4"/>
  <c r="O108" i="4"/>
  <c r="G79" i="10"/>
  <c r="X228" i="10"/>
  <c r="O104" i="4"/>
  <c r="Q63" i="4"/>
  <c r="H104" i="4"/>
  <c r="J108" i="4"/>
  <c r="K101" i="4"/>
  <c r="O101" i="4"/>
  <c r="F110" i="4"/>
  <c r="L104" i="4"/>
  <c r="E11" i="10"/>
  <c r="AM4" i="10"/>
  <c r="AJ6" i="10"/>
  <c r="N24" i="4"/>
  <c r="N110" i="4"/>
  <c r="P101" i="4"/>
  <c r="I64" i="4"/>
  <c r="L221" i="10"/>
  <c r="E228" i="10"/>
  <c r="I110" i="4"/>
  <c r="O81" i="4"/>
  <c r="K109" i="4"/>
  <c r="I109" i="4"/>
  <c r="Q61" i="4"/>
  <c r="E109" i="4"/>
  <c r="K64" i="4"/>
  <c r="E101" i="4"/>
  <c r="AJ8" i="15"/>
  <c r="AJ15" i="15" s="1"/>
  <c r="J64" i="4"/>
  <c r="M64" i="4"/>
  <c r="O79" i="10"/>
  <c r="Q30" i="4"/>
  <c r="L109" i="4"/>
  <c r="F29" i="4"/>
  <c r="F109" i="4" s="1"/>
  <c r="F54" i="15"/>
  <c r="E54" i="15"/>
  <c r="AD12" i="10"/>
  <c r="L31" i="10"/>
  <c r="E14" i="4"/>
  <c r="G101" i="4"/>
  <c r="O110" i="4"/>
  <c r="J110" i="4"/>
  <c r="C111" i="4"/>
  <c r="O64" i="4"/>
  <c r="F64" i="4"/>
  <c r="G161" i="10"/>
  <c r="Q28" i="4"/>
  <c r="AR15" i="15"/>
  <c r="P6" i="15"/>
  <c r="E107" i="4"/>
  <c r="P64" i="4"/>
  <c r="Q86" i="4"/>
  <c r="BE8" i="10"/>
  <c r="AM217" i="10"/>
  <c r="AK228" i="10"/>
  <c r="K33" i="10"/>
  <c r="BC15" i="10"/>
  <c r="E108" i="4"/>
  <c r="BB52" i="15" l="1"/>
  <c r="AY47" i="15"/>
  <c r="Z15" i="10"/>
  <c r="AY45" i="15"/>
  <c r="N109" i="4"/>
  <c r="P105" i="4"/>
  <c r="D111" i="4"/>
  <c r="BB50" i="15"/>
  <c r="BC50" i="15" s="1"/>
  <c r="L222" i="10"/>
  <c r="AM8" i="10"/>
  <c r="L217" i="10"/>
  <c r="K24" i="10"/>
  <c r="AL228" i="10"/>
  <c r="D94" i="10"/>
  <c r="L12" i="10"/>
  <c r="L224" i="10"/>
  <c r="AD9" i="10"/>
  <c r="L7" i="10"/>
  <c r="K32" i="10"/>
  <c r="AM13" i="10"/>
  <c r="AM224" i="10"/>
  <c r="L225" i="10"/>
  <c r="AM11" i="10"/>
  <c r="AT15" i="10"/>
  <c r="BD15" i="10"/>
  <c r="AD7" i="10"/>
  <c r="K15" i="10"/>
  <c r="AD222" i="10"/>
  <c r="L30" i="10"/>
  <c r="AW54" i="15"/>
  <c r="AY51" i="15"/>
  <c r="BC51" i="15" s="1"/>
  <c r="J228" i="10"/>
  <c r="AY50" i="15"/>
  <c r="BC49" i="15"/>
  <c r="L28" i="10"/>
  <c r="U9" i="10"/>
  <c r="K25" i="10"/>
  <c r="K31" i="10"/>
  <c r="AY48" i="15"/>
  <c r="BC48" i="15" s="1"/>
  <c r="BC228" i="10"/>
  <c r="L33" i="10"/>
  <c r="AD14" i="10"/>
  <c r="BA54" i="15"/>
  <c r="AY46" i="15"/>
  <c r="BC46" i="15" s="1"/>
  <c r="BC45" i="15"/>
  <c r="G108" i="4"/>
  <c r="L23" i="10"/>
  <c r="BC44" i="15"/>
  <c r="AX54" i="15"/>
  <c r="AY43" i="15"/>
  <c r="BC43" i="15" s="1"/>
  <c r="AB15" i="10"/>
  <c r="K26" i="10"/>
  <c r="T15" i="10"/>
  <c r="AK15" i="10"/>
  <c r="AV217" i="10"/>
  <c r="AM6" i="10"/>
  <c r="K28" i="10"/>
  <c r="U5" i="10"/>
  <c r="S228" i="10"/>
  <c r="K23" i="10"/>
  <c r="U7" i="10"/>
  <c r="U4" i="10"/>
  <c r="AV228" i="10"/>
  <c r="S15" i="10"/>
  <c r="G102" i="10"/>
  <c r="B94" i="10"/>
  <c r="G101" i="10"/>
  <c r="B104" i="10"/>
  <c r="AA15" i="10"/>
  <c r="G96" i="10"/>
  <c r="G110" i="10"/>
  <c r="G109" i="10" s="1"/>
  <c r="J109" i="10"/>
  <c r="E181" i="10"/>
  <c r="D181" i="10"/>
  <c r="C181" i="10"/>
  <c r="B181" i="10"/>
  <c r="L181" i="10"/>
  <c r="K181" i="10"/>
  <c r="AF51" i="15"/>
  <c r="AG51" i="15" s="1"/>
  <c r="AF53" i="15"/>
  <c r="AG53" i="15" s="1"/>
  <c r="AE54" i="15"/>
  <c r="AF49" i="15"/>
  <c r="AG49" i="15" s="1"/>
  <c r="AF48" i="15"/>
  <c r="AG48" i="15" s="1"/>
  <c r="AD54" i="15"/>
  <c r="F181" i="10"/>
  <c r="G183" i="10"/>
  <c r="G182" i="10"/>
  <c r="AC54" i="15"/>
  <c r="J181" i="10"/>
  <c r="AF47" i="15"/>
  <c r="AG47" i="15" s="1"/>
  <c r="F177" i="10"/>
  <c r="AY15" i="10"/>
  <c r="E110" i="4"/>
  <c r="G178" i="10"/>
  <c r="M177" i="10"/>
  <c r="O179" i="10"/>
  <c r="G179" i="10"/>
  <c r="O178" i="10"/>
  <c r="N177" i="10"/>
  <c r="L177" i="10"/>
  <c r="K177" i="10"/>
  <c r="E177" i="10"/>
  <c r="D177" i="10"/>
  <c r="C177" i="10"/>
  <c r="B177" i="10"/>
  <c r="J177" i="10"/>
  <c r="K142" i="10"/>
  <c r="K139" i="10" s="1"/>
  <c r="O105" i="4"/>
  <c r="O111" i="4" s="1"/>
  <c r="S54" i="15"/>
  <c r="N89" i="10"/>
  <c r="H109" i="4"/>
  <c r="N104" i="4"/>
  <c r="T54" i="15"/>
  <c r="E81" i="4"/>
  <c r="P108" i="4"/>
  <c r="G64" i="4"/>
  <c r="Q92" i="4"/>
  <c r="L105" i="10"/>
  <c r="O105" i="10" s="1"/>
  <c r="K112" i="10"/>
  <c r="O112" i="10" s="1"/>
  <c r="R14" i="10"/>
  <c r="L119" i="10"/>
  <c r="O96" i="4"/>
  <c r="M95" i="10"/>
  <c r="O95" i="10" s="1"/>
  <c r="N121" i="10"/>
  <c r="N119" i="10" s="1"/>
  <c r="M81" i="4"/>
  <c r="L131" i="10"/>
  <c r="O131" i="10" s="1"/>
  <c r="AL54" i="15"/>
  <c r="E6" i="10"/>
  <c r="H64" i="4"/>
  <c r="G81" i="4"/>
  <c r="Q79" i="4"/>
  <c r="Q71" i="4"/>
  <c r="Q94" i="4"/>
  <c r="K81" i="4"/>
  <c r="F81" i="4"/>
  <c r="H96" i="4"/>
  <c r="AC15" i="10"/>
  <c r="K87" i="10"/>
  <c r="J10" i="4"/>
  <c r="J14" i="4" s="1"/>
  <c r="P107" i="4"/>
  <c r="P111" i="4" s="1"/>
  <c r="J99" i="10"/>
  <c r="N104" i="10"/>
  <c r="G149" i="10"/>
  <c r="G119" i="10"/>
  <c r="BH15" i="10"/>
  <c r="G89" i="10"/>
  <c r="BR8" i="10"/>
  <c r="G10" i="4"/>
  <c r="G107" i="4" s="1"/>
  <c r="L10" i="4"/>
  <c r="L14" i="4" s="1"/>
  <c r="L139" i="10"/>
  <c r="J104" i="4"/>
  <c r="I105" i="4"/>
  <c r="J119" i="10"/>
  <c r="G129" i="10"/>
  <c r="M130" i="10"/>
  <c r="O130" i="10" s="1"/>
  <c r="H10" i="4"/>
  <c r="H14" i="4" s="1"/>
  <c r="M10" i="4"/>
  <c r="M14" i="4" s="1"/>
  <c r="G87" i="10"/>
  <c r="K129" i="10"/>
  <c r="K119" i="10"/>
  <c r="BB15" i="10"/>
  <c r="K89" i="10"/>
  <c r="B84" i="10"/>
  <c r="G94" i="10"/>
  <c r="E64" i="4"/>
  <c r="N84" i="10"/>
  <c r="N129" i="10"/>
  <c r="J84" i="10"/>
  <c r="G85" i="10"/>
  <c r="G84" i="10" s="1"/>
  <c r="L89" i="10"/>
  <c r="AT50" i="15"/>
  <c r="M96" i="4"/>
  <c r="O106" i="10"/>
  <c r="H101" i="4"/>
  <c r="K66" i="10"/>
  <c r="AD8" i="10"/>
  <c r="M109" i="10"/>
  <c r="O132" i="10"/>
  <c r="O120" i="10"/>
  <c r="L27" i="10"/>
  <c r="L34" i="10" s="1"/>
  <c r="M114" i="10"/>
  <c r="O117" i="10"/>
  <c r="M147" i="10"/>
  <c r="R15" i="10"/>
  <c r="K114" i="10"/>
  <c r="K134" i="10"/>
  <c r="K146" i="10"/>
  <c r="F69" i="10"/>
  <c r="O91" i="10"/>
  <c r="X15" i="15"/>
  <c r="AS15" i="10"/>
  <c r="AT43" i="15"/>
  <c r="AP15" i="10"/>
  <c r="Q54" i="4"/>
  <c r="Q95" i="4"/>
  <c r="Q110" i="4" s="1"/>
  <c r="L81" i="4"/>
  <c r="P81" i="4"/>
  <c r="N81" i="4"/>
  <c r="L110" i="4"/>
  <c r="L64" i="4"/>
  <c r="O141" i="10"/>
  <c r="K105" i="4"/>
  <c r="L99" i="10"/>
  <c r="M139" i="10"/>
  <c r="O90" i="10"/>
  <c r="N124" i="10"/>
  <c r="P15" i="15"/>
  <c r="K94" i="10"/>
  <c r="J147" i="10"/>
  <c r="N145" i="10"/>
  <c r="M119" i="10"/>
  <c r="O111" i="10"/>
  <c r="Q53" i="4"/>
  <c r="Q90" i="4"/>
  <c r="O110" i="10"/>
  <c r="O137" i="10"/>
  <c r="N105" i="4"/>
  <c r="O107" i="10"/>
  <c r="K145" i="10"/>
  <c r="O14" i="4"/>
  <c r="F96" i="4"/>
  <c r="G96" i="4"/>
  <c r="G110" i="4"/>
  <c r="I107" i="4"/>
  <c r="J109" i="4"/>
  <c r="AG43" i="15"/>
  <c r="L96" i="4"/>
  <c r="N96" i="4"/>
  <c r="Q58" i="4"/>
  <c r="F105" i="4"/>
  <c r="O92" i="10"/>
  <c r="N109" i="10"/>
  <c r="M89" i="10"/>
  <c r="O122" i="10"/>
  <c r="O125" i="10"/>
  <c r="O85" i="10"/>
  <c r="O136" i="10"/>
  <c r="E15" i="10"/>
  <c r="L124" i="10"/>
  <c r="O116" i="10"/>
  <c r="J81" i="4"/>
  <c r="O135" i="10"/>
  <c r="AS54" i="15"/>
  <c r="O102" i="10"/>
  <c r="AG15" i="10"/>
  <c r="K104" i="4"/>
  <c r="M134" i="10"/>
  <c r="N147" i="10"/>
  <c r="L109" i="10"/>
  <c r="Q70" i="4"/>
  <c r="E96" i="4"/>
  <c r="M124" i="10"/>
  <c r="K96" i="4"/>
  <c r="I15" i="10"/>
  <c r="BE218" i="10"/>
  <c r="AM228" i="10"/>
  <c r="L147" i="10"/>
  <c r="N99" i="10"/>
  <c r="AE15" i="15"/>
  <c r="AP52" i="15"/>
  <c r="AP54" i="15" s="1"/>
  <c r="O206" i="10"/>
  <c r="BC53" i="15"/>
  <c r="M104" i="10"/>
  <c r="Q74" i="4"/>
  <c r="P96" i="4"/>
  <c r="AM15" i="10"/>
  <c r="BE15" i="10"/>
  <c r="Q21" i="4"/>
  <c r="Q101" i="4" s="1"/>
  <c r="Q85" i="4"/>
  <c r="I96" i="4"/>
  <c r="L10" i="10"/>
  <c r="L227" i="10"/>
  <c r="K228" i="10"/>
  <c r="L228" i="10" s="1"/>
  <c r="J146" i="10"/>
  <c r="J15" i="10"/>
  <c r="L15" i="10" s="1"/>
  <c r="L8" i="10"/>
  <c r="Q89" i="4"/>
  <c r="I81" i="4"/>
  <c r="M84" i="10"/>
  <c r="U228" i="10"/>
  <c r="O140" i="10"/>
  <c r="O127" i="10"/>
  <c r="BC47" i="15"/>
  <c r="F66" i="10"/>
  <c r="BR4" i="10"/>
  <c r="BI15" i="10"/>
  <c r="J101" i="4"/>
  <c r="D34" i="10"/>
  <c r="K99" i="10"/>
  <c r="H34" i="10"/>
  <c r="AJ15" i="10"/>
  <c r="N101" i="4"/>
  <c r="I31" i="4"/>
  <c r="H81" i="4"/>
  <c r="M104" i="4"/>
  <c r="Q93" i="4"/>
  <c r="Q108" i="4" s="1"/>
  <c r="M102" i="4"/>
  <c r="K31" i="4"/>
  <c r="H31" i="4"/>
  <c r="G134" i="10"/>
  <c r="AB228" i="10"/>
  <c r="AD228" i="10" s="1"/>
  <c r="AD227" i="10"/>
  <c r="Q23" i="4"/>
  <c r="Q103" i="4" s="1"/>
  <c r="F103" i="4"/>
  <c r="BD228" i="10"/>
  <c r="BE224" i="10"/>
  <c r="J145" i="10"/>
  <c r="O96" i="10"/>
  <c r="F102" i="4"/>
  <c r="M146" i="10"/>
  <c r="Q27" i="4"/>
  <c r="E105" i="4"/>
  <c r="E111" i="4" s="1"/>
  <c r="O115" i="10"/>
  <c r="L84" i="10"/>
  <c r="I34" i="10"/>
  <c r="G31" i="4"/>
  <c r="N94" i="10"/>
  <c r="J114" i="10"/>
  <c r="X20" i="15"/>
  <c r="X30" i="15" s="1"/>
  <c r="J129" i="10"/>
  <c r="O100" i="10"/>
  <c r="J31" i="4"/>
  <c r="M99" i="10"/>
  <c r="L31" i="4"/>
  <c r="M31" i="4"/>
  <c r="AV15" i="10"/>
  <c r="BC52" i="15"/>
  <c r="N64" i="4"/>
  <c r="J96" i="4"/>
  <c r="G173" i="10"/>
  <c r="G154" i="10"/>
  <c r="G169" i="10"/>
  <c r="O169" i="10"/>
  <c r="BP15" i="10"/>
  <c r="BR10" i="10"/>
  <c r="BR14" i="10"/>
  <c r="BL15" i="10"/>
  <c r="C34" i="10"/>
  <c r="N114" i="10"/>
  <c r="R6" i="10"/>
  <c r="R4" i="10"/>
  <c r="F31" i="4"/>
  <c r="H105" i="4"/>
  <c r="N102" i="4"/>
  <c r="Q24" i="4"/>
  <c r="O31" i="4"/>
  <c r="Q29" i="4"/>
  <c r="Q25" i="4"/>
  <c r="N31" i="4"/>
  <c r="G124" i="10"/>
  <c r="AT30" i="15"/>
  <c r="G114" i="10"/>
  <c r="BR6" i="10"/>
  <c r="BR12" i="10"/>
  <c r="BQ15" i="10"/>
  <c r="BR5" i="10"/>
  <c r="K67" i="10"/>
  <c r="K68" i="10"/>
  <c r="G198" i="10"/>
  <c r="U30" i="15"/>
  <c r="G206" i="10"/>
  <c r="O149" i="10"/>
  <c r="P54" i="15"/>
  <c r="G139" i="10"/>
  <c r="G144" i="10"/>
  <c r="BM15" i="10"/>
  <c r="O194" i="10"/>
  <c r="O154" i="10"/>
  <c r="O173" i="10"/>
  <c r="BN15" i="10"/>
  <c r="G190" i="10"/>
  <c r="G99" i="10"/>
  <c r="F67" i="10"/>
  <c r="BR228" i="10"/>
  <c r="O198" i="10"/>
  <c r="BF15" i="10"/>
  <c r="BO15" i="10"/>
  <c r="BG15" i="10"/>
  <c r="BR7" i="10"/>
  <c r="F68" i="10"/>
  <c r="BJ15" i="10"/>
  <c r="BR13" i="10"/>
  <c r="BK15" i="10"/>
  <c r="BR9" i="10"/>
  <c r="F58" i="10"/>
  <c r="B59" i="10"/>
  <c r="G59" i="10"/>
  <c r="C58" i="10"/>
  <c r="B58" i="10"/>
  <c r="F59" i="10"/>
  <c r="E59" i="10"/>
  <c r="G58" i="10"/>
  <c r="L59" i="10"/>
  <c r="N58" i="10"/>
  <c r="O58" i="10"/>
  <c r="N59" i="10"/>
  <c r="K58" i="10"/>
  <c r="M59" i="10"/>
  <c r="L58" i="10"/>
  <c r="J59" i="10"/>
  <c r="K59" i="10"/>
  <c r="G185" i="10"/>
  <c r="O185" i="10"/>
  <c r="O190" i="10"/>
  <c r="G181" i="10"/>
  <c r="G194" i="10"/>
  <c r="K69" i="10"/>
  <c r="P31" i="4"/>
  <c r="BB54" i="15"/>
  <c r="O101" i="10"/>
  <c r="H102" i="4"/>
  <c r="Q5" i="4"/>
  <c r="L114" i="10"/>
  <c r="O86" i="10"/>
  <c r="G109" i="4"/>
  <c r="C59" i="10"/>
  <c r="AY54" i="15"/>
  <c r="L94" i="10"/>
  <c r="G105" i="4"/>
  <c r="N107" i="4"/>
  <c r="J94" i="10"/>
  <c r="AT53" i="15"/>
  <c r="J89" i="10"/>
  <c r="J58" i="10"/>
  <c r="D59" i="10"/>
  <c r="E58" i="10"/>
  <c r="M58" i="10"/>
  <c r="O59" i="10"/>
  <c r="D58" i="10"/>
  <c r="BE228" i="10" l="1"/>
  <c r="AD15" i="10"/>
  <c r="U15" i="10"/>
  <c r="K34" i="10"/>
  <c r="AF54" i="15"/>
  <c r="O181" i="10"/>
  <c r="AG54" i="15"/>
  <c r="Q109" i="4"/>
  <c r="O177" i="10"/>
  <c r="G177" i="10"/>
  <c r="O142" i="10"/>
  <c r="O139" i="10" s="1"/>
  <c r="M94" i="10"/>
  <c r="I111" i="4"/>
  <c r="L146" i="10"/>
  <c r="O94" i="10"/>
  <c r="L104" i="10"/>
  <c r="L69" i="10"/>
  <c r="L145" i="10"/>
  <c r="J144" i="10"/>
  <c r="N146" i="10"/>
  <c r="L129" i="10"/>
  <c r="K109" i="10"/>
  <c r="Q31" i="4"/>
  <c r="O121" i="10"/>
  <c r="O119" i="10" s="1"/>
  <c r="K147" i="10"/>
  <c r="K144" i="10" s="1"/>
  <c r="L107" i="4"/>
  <c r="L111" i="4" s="1"/>
  <c r="M129" i="10"/>
  <c r="K84" i="10"/>
  <c r="O124" i="10"/>
  <c r="AT52" i="15"/>
  <c r="AT54" i="15" s="1"/>
  <c r="M145" i="10"/>
  <c r="H107" i="4"/>
  <c r="H111" i="4" s="1"/>
  <c r="O87" i="10"/>
  <c r="O84" i="10" s="1"/>
  <c r="M107" i="4"/>
  <c r="M111" i="4" s="1"/>
  <c r="G14" i="4"/>
  <c r="Q10" i="4"/>
  <c r="Q107" i="4" s="1"/>
  <c r="J107" i="4"/>
  <c r="J111" i="4" s="1"/>
  <c r="O99" i="10"/>
  <c r="Q105" i="4"/>
  <c r="L68" i="10"/>
  <c r="Q104" i="4"/>
  <c r="O104" i="10"/>
  <c r="K111" i="4"/>
  <c r="BC54" i="15"/>
  <c r="L66" i="10"/>
  <c r="N111" i="4"/>
  <c r="O89" i="10"/>
  <c r="L67" i="10"/>
  <c r="O109" i="10"/>
  <c r="Q64" i="4"/>
  <c r="O114" i="10"/>
  <c r="O129" i="10"/>
  <c r="Q81" i="4"/>
  <c r="O134" i="10"/>
  <c r="F111" i="4"/>
  <c r="Q59" i="10"/>
  <c r="Q96" i="4"/>
  <c r="Q100" i="4"/>
  <c r="I58" i="10"/>
  <c r="G111" i="4"/>
  <c r="BR15" i="10"/>
  <c r="I59" i="10"/>
  <c r="Q58" i="10"/>
  <c r="Q102" i="4"/>
  <c r="L144" i="10" l="1"/>
  <c r="O146" i="10"/>
  <c r="N144" i="10"/>
  <c r="O147" i="10"/>
  <c r="O145" i="10"/>
  <c r="O144" i="10" s="1"/>
  <c r="M144" i="10"/>
  <c r="Q14" i="4"/>
  <c r="Q111" i="4"/>
  <c r="R59" i="10"/>
  <c r="R58" i="10"/>
</calcChain>
</file>

<file path=xl/sharedStrings.xml><?xml version="1.0" encoding="utf-8"?>
<sst xmlns="http://schemas.openxmlformats.org/spreadsheetml/2006/main" count="13316" uniqueCount="1533">
  <si>
    <t>Basis Information</t>
  </si>
  <si>
    <t>Information Shared with MSO</t>
  </si>
  <si>
    <t>To be Filled By DO</t>
  </si>
  <si>
    <t>To be Filled by FO</t>
  </si>
  <si>
    <t>To be Filled by Engineers- for A sites SM(Engg) and for B sites by Area Engineer</t>
  </si>
  <si>
    <t>by DO</t>
  </si>
  <si>
    <t>SN</t>
  </si>
  <si>
    <t>Name of Location</t>
  </si>
  <si>
    <t>Loi Holder Name</t>
  </si>
  <si>
    <t>Retail Sales Area</t>
  </si>
  <si>
    <t>SN of Location</t>
  </si>
  <si>
    <t>LOI Holder contact details</t>
  </si>
  <si>
    <t>Market Class</t>
  </si>
  <si>
    <t>Type</t>
  </si>
  <si>
    <t>RO/KSK</t>
  </si>
  <si>
    <t>TYPE OF SITE</t>
  </si>
  <si>
    <t>Letter of Intent Number</t>
  </si>
  <si>
    <t>Marketing Plan</t>
  </si>
  <si>
    <t>LOI Date</t>
  </si>
  <si>
    <t>LOI Age</t>
  </si>
  <si>
    <t>LOI Age Analysis</t>
  </si>
  <si>
    <t>District</t>
  </si>
  <si>
    <t>Description</t>
  </si>
  <si>
    <t>Land Offer</t>
  </si>
  <si>
    <t>Motor Spirit Potential</t>
  </si>
  <si>
    <t>HSD Potential</t>
  </si>
  <si>
    <t>Total Potential</t>
  </si>
  <si>
    <t>Strategic</t>
  </si>
  <si>
    <t>Commissionable</t>
  </si>
  <si>
    <t>Comm. Plan in FY26-27</t>
  </si>
  <si>
    <t>IO Available/If not available target month (MMM-YY format)</t>
  </si>
  <si>
    <t xml:space="preserve">Advanced Tender Approval Status </t>
  </si>
  <si>
    <t>NA Available (Y/N)</t>
  </si>
  <si>
    <t>PESO CA Available (Y/N)</t>
  </si>
  <si>
    <t>NOC Available (Y/N)</t>
  </si>
  <si>
    <t>NOC Month</t>
  </si>
  <si>
    <t>Comm. Month</t>
  </si>
  <si>
    <t xml:space="preserve">Commissionable </t>
  </si>
  <si>
    <t>Case of Non-Commissionable</t>
  </si>
  <si>
    <t>LOI cancellation</t>
  </si>
  <si>
    <t>Valuation if applicable</t>
  </si>
  <si>
    <t>Negotiations if applicable</t>
  </si>
  <si>
    <t>NOC Available</t>
  </si>
  <si>
    <t>Expected Month of NOC</t>
  </si>
  <si>
    <t>Concept Note</t>
  </si>
  <si>
    <t>Estimate</t>
  </si>
  <si>
    <t>Note Draft</t>
  </si>
  <si>
    <t>IO Available</t>
  </si>
  <si>
    <t>IO NO</t>
  </si>
  <si>
    <t>IO Reamrk</t>
  </si>
  <si>
    <t>Expected Month of commissioning-Actual</t>
  </si>
  <si>
    <t>LOI Collected (Yes/No)</t>
  </si>
  <si>
    <t>LOI Commissionable (Yes/Yes but in next FY/No)</t>
  </si>
  <si>
    <t>Reason for Non Commissionable and Commissionable in Next FY</t>
  </si>
  <si>
    <t>If Non Commissionabl, whether recommended for Cancellation (Yes/No)</t>
  </si>
  <si>
    <t>NOC Applied</t>
  </si>
  <si>
    <t>Mojnai (Yet to Apply/Applied/Received/NA)</t>
  </si>
  <si>
    <t>Building Plan Approval and NA (Yet to Apply/Applied/Received/NA)</t>
  </si>
  <si>
    <t>Police (Yet to Apply/Applied/Received/NA)</t>
  </si>
  <si>
    <t>NH/PWD (Yet to Apply/Applied/Received/NA)</t>
  </si>
  <si>
    <t>MSEB (Yet to Apply/Applied/Received/NA)</t>
  </si>
  <si>
    <t>Dy Dir Industrial safety (Yet to Apply/Applied/Received/NA)</t>
  </si>
  <si>
    <t>Wild Life (Yet to Apply/Applied/Received/NA)</t>
  </si>
  <si>
    <t>Forest (Yet to Apply/Applied/Received/NA)</t>
  </si>
  <si>
    <t>LSR only (Yet to Assign/In Process/Received)</t>
  </si>
  <si>
    <t>Site Readiness (Yes/No/WIP)</t>
  </si>
  <si>
    <t>Expected Month of NOC (MMM-YY)</t>
  </si>
  <si>
    <t>Expected Month of Commg (MMM-YY)</t>
  </si>
  <si>
    <t>Layout Drawing
(Yes/No/Moujani Awaited)</t>
  </si>
  <si>
    <t>PESO Prior (Yet to Apply/Applied/Received)</t>
  </si>
  <si>
    <t>BOQ Sent for Approved Cases (Yes/No/NA)</t>
  </si>
  <si>
    <t>Advance Tender Status(Yet to Publish/Published/Awarded/NA/Approval Awaited)</t>
  </si>
  <si>
    <t>Tender Publication by RCC Date</t>
  </si>
  <si>
    <t>WO Number (NOC/IO Awaited)</t>
  </si>
  <si>
    <t>WO Date</t>
  </si>
  <si>
    <t>Name of Contractor</t>
  </si>
  <si>
    <t>WO Completion Target Date Date</t>
  </si>
  <si>
    <t>Date of Site Handing Over</t>
  </si>
  <si>
    <t>Expected Date of Commissioning</t>
  </si>
  <si>
    <t>PESO Final License Status (Applied/Received/Yet to Apply)</t>
  </si>
  <si>
    <t>Final Commissioning Status</t>
  </si>
  <si>
    <t>SAP Code</t>
  </si>
  <si>
    <t>RO Name</t>
  </si>
  <si>
    <t>LSR assigned to</t>
  </si>
  <si>
    <t>Valuation assigned to</t>
  </si>
  <si>
    <t>SRMP</t>
  </si>
  <si>
    <t>LOI as on 01.04.2026</t>
  </si>
  <si>
    <t>MOU Target</t>
  </si>
  <si>
    <t>LOA No</t>
  </si>
  <si>
    <t>Name of RO</t>
  </si>
  <si>
    <t>WIP</t>
  </si>
  <si>
    <t>LOI Month</t>
  </si>
  <si>
    <t>Category</t>
  </si>
  <si>
    <t>MOU</t>
  </si>
  <si>
    <t>Committed to SO</t>
  </si>
  <si>
    <t>Admin Approval reference NO</t>
  </si>
  <si>
    <t>Pending With</t>
  </si>
  <si>
    <t>Village Yelse on MDR (Pawna lake to Kamshet Road)</t>
  </si>
  <si>
    <t>DIKSHA SACHIN SONAWANE</t>
  </si>
  <si>
    <t>Pune Tathawade RSA</t>
  </si>
  <si>
    <t>E</t>
  </si>
  <si>
    <t>A</t>
  </si>
  <si>
    <t>KSK</t>
  </si>
  <si>
    <t>KSK-A  w/o Reco</t>
  </si>
  <si>
    <t>R/2023/IN003356/MAH/000373/3203/00114</t>
  </si>
  <si>
    <t>2023-24</t>
  </si>
  <si>
    <t>PUNE</t>
  </si>
  <si>
    <t>SC</t>
  </si>
  <si>
    <t>Group 1: Owned land</t>
  </si>
  <si>
    <t>Yes</t>
  </si>
  <si>
    <t>Approved</t>
  </si>
  <si>
    <t>NA</t>
  </si>
  <si>
    <t>Available</t>
  </si>
  <si>
    <t>LOI holder asking for recon at LOI stage, LSR has come dtd 24.07.24</t>
  </si>
  <si>
    <t>Received</t>
  </si>
  <si>
    <t>Not Required</t>
  </si>
  <si>
    <t>Commissioned</t>
  </si>
  <si>
    <t>Sai Veenit Petroleum</t>
  </si>
  <si>
    <t>SRMP 2023-24</t>
  </si>
  <si>
    <t>From Kalas to Rui Village on MDR via Gosaviwadi</t>
  </si>
  <si>
    <t>VIJAY BABAN KALE</t>
  </si>
  <si>
    <t>Pune Saswad RSA</t>
  </si>
  <si>
    <t>B</t>
  </si>
  <si>
    <t>KSK-B  w/o Reco</t>
  </si>
  <si>
    <t>R/2023/IN000625/MAH/000058/3203/00018</t>
  </si>
  <si>
    <t>OPEN</t>
  </si>
  <si>
    <t>18.05.2026</t>
  </si>
  <si>
    <t>PC ENGINEERING CONTRACTORS</t>
  </si>
  <si>
    <t>29.06.2026</t>
  </si>
  <si>
    <t>19.05.2026</t>
  </si>
  <si>
    <t>Applied</t>
  </si>
  <si>
    <t>Vijayraj Petroleum</t>
  </si>
  <si>
    <t>Open</t>
  </si>
  <si>
    <t>From KM stone 33 to 35 on LHS of Khandala Lonand Road</t>
  </si>
  <si>
    <t>SHEKHAR HANAMANT YADAV</t>
  </si>
  <si>
    <t>Satara East RSA</t>
  </si>
  <si>
    <t>R/2023/IN001265/MAH/000090/3203/00031</t>
  </si>
  <si>
    <t>SATARA</t>
  </si>
  <si>
    <t>Bhairavnath Petroleum</t>
  </si>
  <si>
    <t>WITHIN 5 KM FROM DHEBEWADI PHATA KARAD TOWARDS SATARA ON LHS OF KARAD TO SATARA ROAD</t>
  </si>
  <si>
    <t>CHINMAY ARVIND GHATE</t>
  </si>
  <si>
    <t>Satara West RSA</t>
  </si>
  <si>
    <t>D1</t>
  </si>
  <si>
    <t>RO</t>
  </si>
  <si>
    <t>RO B Site</t>
  </si>
  <si>
    <t>R/2023/IN001436/MAH/000103/3203/00039</t>
  </si>
  <si>
    <t>YES</t>
  </si>
  <si>
    <t>Krishna Petroleum and Energy Hub</t>
  </si>
  <si>
    <t>From Jadhavwadi to Laxmi Chowk on DP Road</t>
  </si>
  <si>
    <t>MAYUR SUNIL BORATE</t>
  </si>
  <si>
    <t>Pimpri Chinchwad RSA</t>
  </si>
  <si>
    <t>RO A Site</t>
  </si>
  <si>
    <t>R/2023/IN003596/MAH/000399/3203/00122</t>
  </si>
  <si>
    <t>S N Borate Petroleum</t>
  </si>
  <si>
    <t>Within 6 Km from Atmaram Baba Mandir,Mandali towards Solapur on Ahmednagar-Solapur NH</t>
  </si>
  <si>
    <t>RAMAN PANDHARINATH KHULE</t>
  </si>
  <si>
    <t>Ahmednagar West RSA</t>
  </si>
  <si>
    <t>R/2024/IN002364/MAH/000194/3203/00029</t>
  </si>
  <si>
    <t>AHMADNAGAR</t>
  </si>
  <si>
    <t>Gangagiri Petroleum</t>
  </si>
  <si>
    <t>From Bhigwan Circle to Dalaj Phata on RHS of Pune- Solapur Highway</t>
  </si>
  <si>
    <t>KUNDALIK UTTAM KAMBLE</t>
  </si>
  <si>
    <t>RO A Site-Corpu</t>
  </si>
  <si>
    <t>R/2024/IN002520/MAH/000255/3203/00078</t>
  </si>
  <si>
    <t>Group 2: Firm Offer</t>
  </si>
  <si>
    <t>Mauli Petroleum</t>
  </si>
  <si>
    <t>R/2026/IN000139/3203/00004</t>
  </si>
  <si>
    <t>At Village Karhavagaj on Jejuri-Morgaon-Baramati Road</t>
  </si>
  <si>
    <t>BALASAHEB LIMBAJI AGAWANE</t>
  </si>
  <si>
    <t>D2</t>
  </si>
  <si>
    <t>R/2024/IN003547/MAH/000391/3203/00107</t>
  </si>
  <si>
    <t>No</t>
  </si>
  <si>
    <t>DM NOC received on 08.05.2026</t>
  </si>
  <si>
    <t xml:space="preserve">Received </t>
  </si>
  <si>
    <t>Ahilya Petroleum</t>
  </si>
  <si>
    <t>R/2026/IN000141/3203/00005</t>
  </si>
  <si>
    <t>AT VADAPURI ON LHS OF INDAPUR-AKLUJ ROAD ,</t>
  </si>
  <si>
    <t>VISHRAM MORE</t>
  </si>
  <si>
    <t>M/2022/IN001731/MAH/000117/3203/00043</t>
  </si>
  <si>
    <t>2018-19</t>
  </si>
  <si>
    <t>ST</t>
  </si>
  <si>
    <t xml:space="preserve"> </t>
  </si>
  <si>
    <t>Sent</t>
  </si>
  <si>
    <t>LSR dtd 11.05.2023. Supple LSR dtd 29.07.24 has come- IO to be taken</t>
  </si>
  <si>
    <t>Pending</t>
  </si>
  <si>
    <t>SRMP 2018-19</t>
  </si>
  <si>
    <t>st</t>
  </si>
  <si>
    <t>Administrative Approval/3203/SL01/2025-2026/138315</t>
  </si>
  <si>
    <t xml:space="preserve">Within 3 KM from Akshata Mangal Karyalaya towards Taklibhan on Shrirampur Nevasa SH </t>
  </si>
  <si>
    <t>PRASAD BALASAHEB CHAUDHARI</t>
  </si>
  <si>
    <t>Ahmednagar East RSA</t>
  </si>
  <si>
    <t>R/2023/IN000927/MAH/000071/3203/00022</t>
  </si>
  <si>
    <t>OBC</t>
  </si>
  <si>
    <t xml:space="preserve">From Kasar-Dumala to Chikhali on Sangamner Akole SH </t>
  </si>
  <si>
    <t>MADHURI RAVINDRA SHENKAR</t>
  </si>
  <si>
    <t>Shirdi RSA</t>
  </si>
  <si>
    <t>R/2023/IN001869/MAH/000198/3203/00074</t>
  </si>
  <si>
    <t xml:space="preserve">Yes </t>
  </si>
  <si>
    <t>Recieved</t>
  </si>
  <si>
    <t>Recived</t>
  </si>
  <si>
    <t>On RHS of Pune-Solapur NH, From Vangali to intersection of Indapur Bypass &amp; Baramati Highway</t>
  </si>
  <si>
    <t>OMKAR GIRISH SHAH</t>
  </si>
  <si>
    <t>R/2023/IN002958/MAH/000314/3203/00093</t>
  </si>
  <si>
    <t>All NOCs are send for revalidation and awaited</t>
  </si>
  <si>
    <t>FROM SHITPUR PHATA TO NIMBODI PHATA ON SHRIGONDA - JAMKHED ROAD</t>
  </si>
  <si>
    <t>PRASHANT BAPURAO GAIKWADE</t>
  </si>
  <si>
    <t>R/2023/IN004897/MAH/000498/3203/00150</t>
  </si>
  <si>
    <t>NHAI Access Pending</t>
  </si>
  <si>
    <t>PVT. LTD.</t>
  </si>
  <si>
    <t>From Navnagapur to Shendi on Shendi Bypass</t>
  </si>
  <si>
    <t>AKSHAY PRAKASH CHAVAN</t>
  </si>
  <si>
    <t>R/2023/IN004910/MAH/000499/3203/00151</t>
  </si>
  <si>
    <t>Administrative Approval/3203/SL01/2025-2026/141407</t>
  </si>
  <si>
    <t>Within 2 Km from DBM English Medium School on either side on Parner to Pune Highway (SH)</t>
  </si>
  <si>
    <t>SANDIP BHASKAR NIKAM</t>
  </si>
  <si>
    <t>R/2023/IN005327/MAH/000515/3203/00154</t>
  </si>
  <si>
    <t>PHP ( ST )</t>
  </si>
  <si>
    <t>Administrative Approval/3203/SL01/2025-2026/130023</t>
  </si>
  <si>
    <t>From Bahul to Sablewadi on LHS on NH (Chakan-Shikrapur Road)</t>
  </si>
  <si>
    <t>PRAKASH SHANKAR LIMBHORE</t>
  </si>
  <si>
    <t>Pune Wagholi RSA</t>
  </si>
  <si>
    <t>R/2024/IN002040/MAH/000089/3203/00004</t>
  </si>
  <si>
    <t>Yes(P)</t>
  </si>
  <si>
    <t>yes</t>
  </si>
  <si>
    <t>From Km Stone 8 to Km Stone 12 on Ahmednagar-Daund NH</t>
  </si>
  <si>
    <t>AMRUTA VISHAL LOTAKE</t>
  </si>
  <si>
    <t>R/2024/IN002247/MAH/000179/3203/00014</t>
  </si>
  <si>
    <t xml:space="preserve">From Pingali Budruk To Gondawale Budruk on RHS on Satara Pandharpur Road </t>
  </si>
  <si>
    <t>AKSHAYKUMAR RAOSAHEB BABAR</t>
  </si>
  <si>
    <t>R/2024/IN002500/MAH/000244/3203/00072</t>
  </si>
  <si>
    <t>Within 3km From Jawakhede Khalsa Primary Health Sub Centre Towards Miri on Miri-Tisgaon Road (MDR)</t>
  </si>
  <si>
    <t>CHARUDATTA UDDHAVRAO WAGH</t>
  </si>
  <si>
    <t>R/2024/IN004699/MAH/000470/3203/00129</t>
  </si>
  <si>
    <t>LSR received</t>
  </si>
  <si>
    <t>In Process</t>
  </si>
  <si>
    <t>Administrative Approval/3203/SL01/2026-2027/18664</t>
  </si>
  <si>
    <t>From Talegaon Damdhere to Dhanore within 2km on SH (Talegaon Dhamdere - Pimpri Sandas Road)</t>
  </si>
  <si>
    <t>MANOHAR VISHNU DHAMDHERE</t>
  </si>
  <si>
    <t>R/2025/IN000578/MAH/000077/3203/00018</t>
  </si>
  <si>
    <t>Pune</t>
  </si>
  <si>
    <t>no</t>
  </si>
  <si>
    <t>On RHS From Lohare to Talegaon Dighe on Talegaon Dighe-Loni NH</t>
  </si>
  <si>
    <t>BHAGWAN RAMESH MUTADAK</t>
  </si>
  <si>
    <t>R/2023/IN003357/MAH/000374/3203/00115</t>
  </si>
  <si>
    <t>To be applied</t>
  </si>
  <si>
    <t xml:space="preserve">Dehu Phata to Moshi Chowk on RHS on Dehu - Alandi Road </t>
  </si>
  <si>
    <t>VINOD MARUTI PARANDE</t>
  </si>
  <si>
    <t>R/2024/IN002478/MAH/000232/3203/00061</t>
  </si>
  <si>
    <t xml:space="preserve">There is complaint related to Land, Mojani has been cancelled. Matter is subjudiced. Court orders are in our favor. PCMC commissioner has suspended the NOC temporarily.Meeting planned in  We expect ervoke of suspension and remojani by Feb'26. </t>
  </si>
  <si>
    <t>There is court case Going on at Site, hence Commissioning will get delayted. NOC and Mojani has been canc elled by administration based on complaint received for the locaiton</t>
  </si>
  <si>
    <t>Within 4km from Within 4 km from M.M.Nirhali College, Pathardi towards baramat on Baramati-Amrapur SH</t>
  </si>
  <si>
    <t>VAISHALI RAMESH BARDE</t>
  </si>
  <si>
    <t>R/2024/IN002781/MAH/000309/3203/00093</t>
  </si>
  <si>
    <t>Yet to apply</t>
  </si>
  <si>
    <t>ON NH-4 BETWEEN KM STONE 760 TO 755 LHS OF PUNE TO SATARA ROAD</t>
  </si>
  <si>
    <t>Yashodhan Shinde</t>
  </si>
  <si>
    <t>2018-129</t>
  </si>
  <si>
    <t>M/2018/IN002023/MAH/000207/3203/00064</t>
  </si>
  <si>
    <t>LSR Awaited</t>
  </si>
  <si>
    <t>In process</t>
  </si>
  <si>
    <t>Moujani Awaited</t>
  </si>
  <si>
    <t>Yet to Apply</t>
  </si>
  <si>
    <t>Within 2 km from Chapadgaon Junction towards koregaon on Chapadgaon-Koregaon Road MDR Tal- Karjat</t>
  </si>
  <si>
    <t>DNYANESHWAR RAMDAS SHINDE</t>
  </si>
  <si>
    <t>R/2023/IN001195/MAH/000083/3203/00024</t>
  </si>
  <si>
    <t>To be Initiated</t>
  </si>
  <si>
    <t>LSR Awaited, land change case</t>
  </si>
  <si>
    <t>Within 3 KM from Varunji Phata Karad Towards Chiplun On Karad Chiplun Road</t>
  </si>
  <si>
    <t>NITIN DINKAR PATIL</t>
  </si>
  <si>
    <t>R/2024/IN002258/MAH/000183/3203/00018</t>
  </si>
  <si>
    <t>BS</t>
  </si>
  <si>
    <t xml:space="preserve">Within 5 Km from Tasawde Toll plaza towards Karad On RHS of Pune to Satara NH </t>
  </si>
  <si>
    <t>SWATI VIKRAM SHIVDAS</t>
  </si>
  <si>
    <t>R/2024/IN002508/MAH/000251/3203/00075</t>
  </si>
  <si>
    <t>Yet to Initiate</t>
  </si>
  <si>
    <t>From Sawarchol to Nimgoan bk. on Sangamer-Kotul SH</t>
  </si>
  <si>
    <t>HOUSHIRAM MARUTI MECHKAR</t>
  </si>
  <si>
    <t>R/2025/IN000872/MAH/000099/3203/00030</t>
  </si>
  <si>
    <t>LOI given in March 26 and need to see candidate progress for some time to conclude.</t>
  </si>
  <si>
    <t>AG on 14.05.2026</t>
  </si>
  <si>
    <t>Ellen and Gosavi on 180526</t>
  </si>
  <si>
    <t>WITH IN 5 KM FROM MORGAON ON LHS OF MORGAON -BARAMATI ROAD ,</t>
  </si>
  <si>
    <t>PURUSHOTTAM KADAM</t>
  </si>
  <si>
    <t>M/2023/IN000132/MAH/000015/3203/00009</t>
  </si>
  <si>
    <t xml:space="preserve">PWD NOC pending </t>
  </si>
  <si>
    <t xml:space="preserve">Applied </t>
  </si>
  <si>
    <t>Administrative Approval/3203/SL01/2025-2026/172925</t>
  </si>
  <si>
    <t>Within 3 Km from Ghodegaon Sonai Chowk towards Ahmednagar on Pune-Aurangabad NH</t>
  </si>
  <si>
    <t>PRITI ATMARAM PAWAR</t>
  </si>
  <si>
    <t>R/2023/IN001620/MAH/000160/3203/00058</t>
  </si>
  <si>
    <t>Administrative Approval/3203/SL01/2026-2027/18041</t>
  </si>
  <si>
    <t>From Village Walwane to Village Raytale on Supe Sarolakasar Road SH</t>
  </si>
  <si>
    <t>AKASH SHANTILAL PATHARE</t>
  </si>
  <si>
    <t>R/2023/IN001673/MAH/000169/3203/00062</t>
  </si>
  <si>
    <t xml:space="preserve">From Village Pargaon Shingave to Village Manjarwadi on RHS on SH </t>
  </si>
  <si>
    <t>RAMKRUSHNA RAMCHANDRA JANBHOR</t>
  </si>
  <si>
    <t>R/2023/IN003093/MAH/000338/3203/00098</t>
  </si>
  <si>
    <t>PWD junction issue. Land comes within 300 Mt of junction. PWQD file sent for relaxation approval</t>
  </si>
  <si>
    <t>Yes but in next FY</t>
  </si>
  <si>
    <t>Applies</t>
  </si>
  <si>
    <t xml:space="preserve">Moshi Chowk on Pune Nashik Road to Talwade Chowk on LHS on Dehu Alandi Road (within PCMC Limits) </t>
  </si>
  <si>
    <t>SACHIN PANDURANG BORATE</t>
  </si>
  <si>
    <t>R/2023/IN003662/MAH/000405/3203/00125</t>
  </si>
  <si>
    <t>Administrative Approval/3203/SL01/2026-2027/19224</t>
  </si>
  <si>
    <t>From Kapurhol to Kikvi on RHS on NH (Pune-Bangalore Highway)</t>
  </si>
  <si>
    <t>SWAPNIL RAMDAS CHARWAD</t>
  </si>
  <si>
    <t>R/2024/IN002366/MAH/000196/3203/00030</t>
  </si>
  <si>
    <t xml:space="preserve">Provisional NH NOC pending and SP NOC pending </t>
  </si>
  <si>
    <t xml:space="preserve">Bhose to Shelpimpalgaon on LHS on Chakan Shikrapur Road </t>
  </si>
  <si>
    <t>RAJABHAU MOTIRAM BANSODE</t>
  </si>
  <si>
    <t>R/2024/IN004518/MAH/000463/3203/00124</t>
  </si>
  <si>
    <t xml:space="preserve">NA </t>
  </si>
  <si>
    <t>Administrative Approval/3203/SL01/2025-2026/130494</t>
  </si>
  <si>
    <t>Within 3 Km From Dr Ambedkar Chowk (Kakadi) towards Korhale on RHS of Airport-Shirdi Road (MDR)</t>
  </si>
  <si>
    <t>YASRAJ HARISHCHANDRA BHUSHARI</t>
  </si>
  <si>
    <t>R/2023/IN002952/MAH/000313/3203/00092</t>
  </si>
  <si>
    <t>frontage is 30 M against PWD requirement of 35 Mt.</t>
  </si>
  <si>
    <t>AT JEUR ON AHMEDNAGAR-AURANGABAD ROAD</t>
  </si>
  <si>
    <t>RANJANA RAJIV SALVE</t>
  </si>
  <si>
    <t>2018-766</t>
  </si>
  <si>
    <t>M/2023/IN003549/MAH/000389/3203/00121</t>
  </si>
  <si>
    <t>Negotiation Pending</t>
  </si>
  <si>
    <t>Within 2 KM from Medha Bus Stand towards Satara on Mahabaleshwar Satara Road</t>
  </si>
  <si>
    <t>RUPALI KISAN SABLE</t>
  </si>
  <si>
    <t>R/2023/IN004334/MAH/000466/3203/00142</t>
  </si>
  <si>
    <t>LSR Awaited, Financially week</t>
  </si>
  <si>
    <t>From km stone 56 to 58 on RHS on SH (Belhe -Jejuri road)</t>
  </si>
  <si>
    <t>CHETAN NAMDEV DESHMUKH</t>
  </si>
  <si>
    <t>R/2024/IN002109/MAH/000114/3203/00005</t>
  </si>
  <si>
    <t>On LHS From Lohare to Talegaon Dighe on Talegaon Dighe-Loni NH</t>
  </si>
  <si>
    <t>GAURAV GORAKSHA SANAP</t>
  </si>
  <si>
    <t>R/2024/IN002007/MAH/000078/3203/00001</t>
  </si>
  <si>
    <t>Yet to Assign</t>
  </si>
  <si>
    <t>Applied but not received</t>
  </si>
  <si>
    <t>Village Koradgaon Taluka Pathardi</t>
  </si>
  <si>
    <t>NILESH PANDURANG GHULE</t>
  </si>
  <si>
    <t>R/2024/IN002245/MAH/000177/3203/00012</t>
  </si>
  <si>
    <t>From Vadapuri to Vakilwasti on LHS of Indapur-Akluj NH</t>
  </si>
  <si>
    <t>VIJAYSINH DATTATRAYA SHIRKE</t>
  </si>
  <si>
    <t>R/2024/IN002360/MAH/000190/3203/00025</t>
  </si>
  <si>
    <t>TSR is not clear</t>
  </si>
  <si>
    <t>From ALAGUDEWADI To SOMANTHALI ON PHALTAN BARAMATI ROAD</t>
  </si>
  <si>
    <t>ROHIT MAHADEV POKALE</t>
  </si>
  <si>
    <t>R/2023/IN001291/MAH/000094/3203/00035</t>
  </si>
  <si>
    <t>On RHS From Venavadi to Ambeghar on National Highway (Bhor-Shirwal Road)</t>
  </si>
  <si>
    <t>VISHWAJIT VIKRAM CHAVAN</t>
  </si>
  <si>
    <t>R/2024/IN002552/MAH/000261/3203/00081</t>
  </si>
  <si>
    <t xml:space="preserve">TP plan to be applied online and Provisional NH NOC pending, LSR pending , candidate to complete lease with the Land owner </t>
  </si>
  <si>
    <t xml:space="preserve">Yet to apply </t>
  </si>
  <si>
    <t>within 2 km on Either side of Zilla parishad Primary school, Sakat on Jamkhed-Patoda Road NH</t>
  </si>
  <si>
    <t>RUSHIKESH MOHAN LAHANE</t>
  </si>
  <si>
    <t>R/2024/IN003519/MAH/000387/3203/00105</t>
  </si>
  <si>
    <t>Very Slow Candidate</t>
  </si>
  <si>
    <t>Yet to assign</t>
  </si>
  <si>
    <t xml:space="preserve">From Jejuri MIDC to Nira on LHS on Pune - Pandharpur Road (NH) </t>
  </si>
  <si>
    <t>PRANJAL PANKAJ GHONE</t>
  </si>
  <si>
    <t>R/2025/IN000092/MAH/000013/3203/00005</t>
  </si>
  <si>
    <t>AN on 02.04.2026</t>
  </si>
  <si>
    <t>VILLAGE KAPADGAON ON NH-965 LONAND PHALTAN ROAD</t>
  </si>
  <si>
    <t>GANESH GALINDE</t>
  </si>
  <si>
    <t>M/2018/IN002081/MAH/000216/3203/00066</t>
  </si>
  <si>
    <t>NOC is available for the site. However there are 4 landowners in undivided land in 7/12 extract out of which 2 sisters are not giving consent for lease deed execution. 2 tanks lowered. Lease pending, moreover traffic will be shifted from the location to lonand bypass</t>
  </si>
  <si>
    <t>Court case pending on land and because of that land lease is pending</t>
  </si>
  <si>
    <t>Gharkul Chowk to Jadhav Sarkar Chowk on Spine Road</t>
  </si>
  <si>
    <t>GOVARDHAN SOMNATH KHANDAGALE</t>
  </si>
  <si>
    <t>R/2023/IN002975/MAH/000315/3203/00094</t>
  </si>
  <si>
    <t xml:space="preserve">From Nhavare to Nirvi on NH (Nhavare-Shrigonda Road) </t>
  </si>
  <si>
    <t>ANIL BALASAHEB WABLE</t>
  </si>
  <si>
    <t>R/2023/IN003314/MAH/000366/3203/00112</t>
  </si>
  <si>
    <t>SLOW CANDIDATE</t>
  </si>
  <si>
    <t>Na</t>
  </si>
  <si>
    <t>na</t>
  </si>
  <si>
    <t xml:space="preserve">From Dahigaon Ne. to Khamgaon on Dahigaon-Khamgaon Road </t>
  </si>
  <si>
    <t>DNYANESHWAR NAMDEV KALE</t>
  </si>
  <si>
    <t>R/2024/IN002143/MAH/000133/3203/00007</t>
  </si>
  <si>
    <t>From Sus-Pashan Bridge to Bavdhan on RHS on NH (Pune-Bangalore Highway)</t>
  </si>
  <si>
    <t>YOGESH SRIKANT MOKATE</t>
  </si>
  <si>
    <t>R/2024/IN003851/MAH/000424/3203/00115</t>
  </si>
  <si>
    <t>LSR, Negotiaiton Pending</t>
  </si>
  <si>
    <t>LSR pending , Negotiation to be done for the location, File pending at MOD ( Lohegaon with inward number-  302624), Final PMC NOC after receiving the MOD</t>
  </si>
  <si>
    <t>BS assigned by FO</t>
  </si>
  <si>
    <t>On RHS from Chandni Chowk to Bhugaon Gram Panchayat on National Highway</t>
  </si>
  <si>
    <t>ANAND SHANKAR MOKATE</t>
  </si>
  <si>
    <t>Pune City RSA</t>
  </si>
  <si>
    <t>R/2024/IN004282/MAH/000437/3203/00121</t>
  </si>
  <si>
    <t>Within 2km from Shivaji Maharaj Square to Narayangaon on SH</t>
  </si>
  <si>
    <t>ROHIDAS PUNAJI BULE</t>
  </si>
  <si>
    <t>R/2025/IN000817/MAH/000091/3203/00023</t>
  </si>
  <si>
    <t>Yet to applied</t>
  </si>
  <si>
    <t xml:space="preserve">Yet to applied </t>
  </si>
  <si>
    <t>AN on 08.04.2026</t>
  </si>
  <si>
    <t>Vilage Modhave on National Highway (Nira Supe Road)</t>
  </si>
  <si>
    <t>SHRI SHIVLING DNYANDEO JAGTAP</t>
  </si>
  <si>
    <t>R/2025/IN000821/MAH/000094/3203/00026</t>
  </si>
  <si>
    <t>Non-Commissionable</t>
  </si>
  <si>
    <t xml:space="preserve">The LOI is recommended for cancellation , as the lease deed was cancelled by the candidate and the candidate does not have hold of the land </t>
  </si>
  <si>
    <t>WATLUJ</t>
  </si>
  <si>
    <t>MANOJ KISAN LONDHE</t>
  </si>
  <si>
    <t>Pune Hadapsar RSA</t>
  </si>
  <si>
    <t>N/2015/IN001130/MAH/000146/3203/00031</t>
  </si>
  <si>
    <t>KSK 2014-15</t>
  </si>
  <si>
    <t>Gosavi and VAC on 25.05.2026</t>
  </si>
  <si>
    <t>Pre 2018/Govt</t>
  </si>
  <si>
    <t xml:space="preserve">On LHS, From Najik Babhulgaon to Rakshi On Shevgaon Georai SH </t>
  </si>
  <si>
    <t>SHUBHAM BHAGNATH KATE</t>
  </si>
  <si>
    <t>R/2024/IN002256/MAH/000181/3203/00016</t>
  </si>
  <si>
    <t>Alternate land offered. Candidate is arranging NOC</t>
  </si>
  <si>
    <t>Candidate requested alternater land due to rejection by PWD. Alternate ladn offer is in Progress</t>
  </si>
  <si>
    <t>From Kanheri-Katewadi to Junction on RHS on Baramati-Indapur NH</t>
  </si>
  <si>
    <t>SIDDHANT GANESH RASKAR</t>
  </si>
  <si>
    <t>R/2024/IN002441/MAH/000220/3203/00049</t>
  </si>
  <si>
    <t xml:space="preserve">Slow Candidate, Family land dispute. </t>
  </si>
  <si>
    <t>From Chanda to Fattepur on Ghodegaon-Kukana SH</t>
  </si>
  <si>
    <t>NILKANTH MARUTRAO KHARADE</t>
  </si>
  <si>
    <t>R/2024/IN002462/MAH/000228/3203/00057</t>
  </si>
  <si>
    <t>From Kasari to Kodhapuri on RHS on NH (Pune-Ahmednagar Road)</t>
  </si>
  <si>
    <t>SACHIN VITHALRAO MANTAWAR</t>
  </si>
  <si>
    <t>R/2024/IN002491/MAH/000239/3203/00068</t>
  </si>
  <si>
    <t>Alternate land case</t>
  </si>
  <si>
    <t>NO</t>
  </si>
  <si>
    <t>Within 5 Km from Hotel Smile Stone towards Pune on Pune -Ahmednagar NH</t>
  </si>
  <si>
    <t>AKSHATA RAJENDRA ROKADE</t>
  </si>
  <si>
    <t>R/2024/IN002780/MAH/000308/3203/00092</t>
  </si>
  <si>
    <t>Land title is not clear. Will take some time to get TSR cleared</t>
  </si>
  <si>
    <t>From Theur Phata to Urlikanchan Police Station on LHS on NH (Pune-Solapur Road)</t>
  </si>
  <si>
    <t>VIKRANT VIJAY SADAKALE</t>
  </si>
  <si>
    <t>R/2024/IN003782/MAH/000410/3203/00111</t>
  </si>
  <si>
    <t>LSR Awaited, negoatiation pending</t>
  </si>
  <si>
    <t>Within 3 KM from Lonand Bus Stand Towards Satara on Satara Lonand Road</t>
  </si>
  <si>
    <t>VIJAY MALHARI SHELKE</t>
  </si>
  <si>
    <t>R/2024/IN003803/MAH/000416/3203/00114</t>
  </si>
  <si>
    <t>CC-1 DEFENCE</t>
  </si>
  <si>
    <t>Slow condidate,NA applied but yet to be done</t>
  </si>
  <si>
    <t>Village Hivere zare, On Ahmednagar Daund Road (NH)</t>
  </si>
  <si>
    <t>SATISH BHAGWANT HARAL</t>
  </si>
  <si>
    <t>R/2025/IN000254/MAH/000033/3203/00009</t>
  </si>
  <si>
    <t>ON NASIK-PUNE BYPASS ROAD</t>
  </si>
  <si>
    <t>SONALI SUNIL RUPAWATE</t>
  </si>
  <si>
    <t>N/2022/IN001409/MAH/000092/3203/00033</t>
  </si>
  <si>
    <t>SRMP 2014-15</t>
  </si>
  <si>
    <t>There is charge on landwhich needs to be cleard. LSR has huge charge on land</t>
  </si>
  <si>
    <t>LSR due with CHarge on land</t>
  </si>
  <si>
    <t>Within 4 kms from Warje Bridge towards Takalwadi in Shivane , Pune</t>
  </si>
  <si>
    <t>CHAITRALI RAOSAHEB DANGAT</t>
  </si>
  <si>
    <t>R/2023/IN000870/MAH/000067/3203/00020</t>
  </si>
  <si>
    <t>Site requiresd MOD Approval, which is main reason for delay</t>
  </si>
  <si>
    <t>From Ghusalkhamb Naka to Muleshwar temple on Lonavala Ambey Valley Road</t>
  </si>
  <si>
    <t>SWAPNIL PRAKASH PAWAR</t>
  </si>
  <si>
    <t>R/2023/IN001556/MAH/000128/3203/00052</t>
  </si>
  <si>
    <t xml:space="preserve">PMRDA permission pending and LOI holder is often not responsive, The location is in the monopoly market of OMC not recommended for cancellation </t>
  </si>
  <si>
    <t>From Kanheri-Katewadi to Junction on LHS on Baramti-Indapur NH</t>
  </si>
  <si>
    <t>ABABSAHEB BAPURAO NIMBALKAR</t>
  </si>
  <si>
    <t>R/2023/IN003273/MAH/000358/3203/00106</t>
  </si>
  <si>
    <t>From Undri Chowk to Mantarwadi Chowk towards Pune Saswad Road,Urlidevachi on NH</t>
  </si>
  <si>
    <t>ANNASAHEB VINAYAK BAJARE</t>
  </si>
  <si>
    <t>R/2023/IN004128/MAH/000442/3203/00129</t>
  </si>
  <si>
    <t>IO received, Advance tender done, Site is ready, NOC awaited. Planned Comm in Mar'26</t>
  </si>
  <si>
    <t>Village Barhanpur, on RHS towards Patas on NH (Baramati Patas Road)</t>
  </si>
  <si>
    <t>SWAPNIL SHIVAJI THORAT</t>
  </si>
  <si>
    <t>R/2024/IN002033/MAH/000087/3203/00003</t>
  </si>
  <si>
    <t xml:space="preserve">Tentative NA pending , Provisional MH NOC pending </t>
  </si>
  <si>
    <t>Within 5 km from Sub-registrar Office, Paud on Mulshi- Chandni Chowk Highway towards Pirangut</t>
  </si>
  <si>
    <t>SOMNATH BABURAO BEDARE</t>
  </si>
  <si>
    <t>R/2025/IN000329/MAH/000048/3203/00011</t>
  </si>
  <si>
    <t>TALEGAON TOLL PLAZA TO KUSHGAON ON PUNE MUMBAI EXPRESSWAY ON LHS ,</t>
  </si>
  <si>
    <t>SATYAN BHIMSEN GAIKWAD</t>
  </si>
  <si>
    <t>M/2022/IN001225/MAH/000074/3203/00023</t>
  </si>
  <si>
    <t>MSRDC NOC awaited, Site can be commissioned after MSIDC NOC. LSR assigned to AN</t>
  </si>
  <si>
    <t xml:space="preserve">Expressway location , Applied for MSRDC , Revised PESO construction approval pending </t>
  </si>
  <si>
    <t>Village Murti (Taluka Baramati) on National Highway 965D</t>
  </si>
  <si>
    <t>VIKRAMSINHA BABANRAO JAGADALE</t>
  </si>
  <si>
    <t>R/2024/IN002458/MAH/000227/3203/00056</t>
  </si>
  <si>
    <t xml:space="preserve">TP applied, Tentative NA pending , NH NOC pending, LSR submitted, Valuation Done, Negotiation pending  </t>
  </si>
  <si>
    <t>From Garade to Khed Shivapur on Khed-Shivapur-Saswad Link Road</t>
  </si>
  <si>
    <t>VAIBHAV NARENDRA LODHA</t>
  </si>
  <si>
    <t>R/2025/IN000076/MAH/000008/3203/00001</t>
  </si>
  <si>
    <t>Nashik Phata to Moshi Toll on Pune Nashik Road LHS</t>
  </si>
  <si>
    <t>SACHIN BITAKUL BHOSALE</t>
  </si>
  <si>
    <t>R/2025/IN000445/MAH/000061/3203/00016</t>
  </si>
  <si>
    <t>LSR asigned to AN</t>
  </si>
  <si>
    <t>Firodia and Phadtade on 080426</t>
  </si>
  <si>
    <t>From Talegaon Dabhade Phata to Vadgaon on NH(Pune-Bangalore Highway)</t>
  </si>
  <si>
    <t>SUPRIYA PRAVIN CHAVAN</t>
  </si>
  <si>
    <t>R/2025/IN000656/MAH/000084/3203/00019</t>
  </si>
  <si>
    <t>TP applied, Tentative NA pending , NH NOC pending</t>
  </si>
  <si>
    <t>From Pabal to Kanhur Mesai on SH (Shirur-Pabal Road)</t>
  </si>
  <si>
    <t>KISHOREKUMAR SHRIRAM MANDALE</t>
  </si>
  <si>
    <t>R/2025/IN000820/MAH/000093/3203/00025</t>
  </si>
  <si>
    <t>New LOI</t>
  </si>
  <si>
    <t xml:space="preserve">NO </t>
  </si>
  <si>
    <t>Between KM Stone 8 to 10 on RHS while going from Patas to Baramati on NH965G</t>
  </si>
  <si>
    <t>SANTOSH MADHUKAR DORGE</t>
  </si>
  <si>
    <t>R/2024/IN002484/MAH/000234/3203/00063</t>
  </si>
  <si>
    <t>Yes But not in 26-27</t>
  </si>
  <si>
    <t>Assigned to IAS and MA</t>
  </si>
  <si>
    <t>very Slow Candidate</t>
  </si>
  <si>
    <t>PESO Prior Change required</t>
  </si>
  <si>
    <t>From Pimpale to Nannaj Dumala on Talegaon Dighe Nandur Shingote NH</t>
  </si>
  <si>
    <t>VIJAY MARUTI MOKAL</t>
  </si>
  <si>
    <t>R/2024/IN002490/MAH/000238/3203/00067</t>
  </si>
  <si>
    <t>To be Provided</t>
  </si>
  <si>
    <t>Estimate shall be provided after receiving approved concept note</t>
  </si>
  <si>
    <t>Slow Candidate</t>
  </si>
  <si>
    <t>On RHS From Kamshet to Karla on NH (Pune-Bangalore Highway)</t>
  </si>
  <si>
    <t>PRAVIN GAJANAN CHAUGULE</t>
  </si>
  <si>
    <t>R/2025/IN000816/MAH/000090/3203/00022</t>
  </si>
  <si>
    <t xml:space="preserve">Greenbelt issue in the old Pune Mumbai Highway , Revised  Mojini Applied </t>
  </si>
  <si>
    <t>AN on 26.05.2026</t>
  </si>
  <si>
    <t>From Sahajpur Phata to Khamgaon Phata on RHS of PUNE SOLAPUR NH</t>
  </si>
  <si>
    <t>SHRI SANTUJI NIVRUTTI KAMBLE</t>
  </si>
  <si>
    <t>R/2025/IN000822/MAH/000095/3203/00027</t>
  </si>
  <si>
    <t>CC-1 PMP/GOVT.EMPL</t>
  </si>
  <si>
    <t>ON SH 45 BETWEEN KM STONE NO. 3 &amp; 8</t>
  </si>
  <si>
    <t>MAHESH ADHAV</t>
  </si>
  <si>
    <t>M/2020/IN000066/MAH/000007/3203/00006</t>
  </si>
  <si>
    <t>Land Not Available due to RLY DPR issue</t>
  </si>
  <si>
    <t>Land Issue due to Railway acquisition</t>
  </si>
  <si>
    <t>DPR of railway awaited as the land may go in railway construction area.</t>
  </si>
  <si>
    <t>Yet to apply.</t>
  </si>
  <si>
    <t>VILLAGE SHENOLI ON KARAD TASGAON ROAD ON NH266 ,</t>
  </si>
  <si>
    <t>ASHOK BHAGWAN LOKHANDE</t>
  </si>
  <si>
    <t>M/2022/IN001167/MAH/000067/3203/00019</t>
  </si>
  <si>
    <t>Slow candidate, No such sufficient progress in any other NOC except Health and MSEB</t>
  </si>
  <si>
    <t>In process. Lawyer has given list of document</t>
  </si>
  <si>
    <t xml:space="preserve">From Pokhari to Rajpur on SH on RHS on Manchar Bhimshankar road </t>
  </si>
  <si>
    <t xml:space="preserve"> GANESH RAMCHANDRA TITKARE.</t>
  </si>
  <si>
    <t>R/2023/IN006223/MAH/000582/3203/00171</t>
  </si>
  <si>
    <t>Very slow Candidate</t>
  </si>
  <si>
    <t>Issue in mauzni ,New Mauzni awited</t>
  </si>
  <si>
    <t>From Ravet to Malavli on Pune Mumbai Expressway</t>
  </si>
  <si>
    <t>SARITA RAHUL BADOLE</t>
  </si>
  <si>
    <t>R/2024/IN002488/MAH/000236/3203/00065</t>
  </si>
  <si>
    <t xml:space="preserve">Expressway location , Applied for MSRDC </t>
  </si>
  <si>
    <t xml:space="preserve">Yet to Assign </t>
  </si>
  <si>
    <t>From Bhanashiware to Soundala on Nevasa-Shevgaon SH</t>
  </si>
  <si>
    <t>SANJAY TUKARAM PAWARA</t>
  </si>
  <si>
    <t>R/2024/IN002783/MAH/000311/3203/00094</t>
  </si>
  <si>
    <t>Yet To assign</t>
  </si>
  <si>
    <t>ON NH-4 RHS FROM PUNE TO SATARA BETWEEN KM STONE 760 TO 755</t>
  </si>
  <si>
    <t>SHUBHANGI PRAKASH GAIKWAD</t>
  </si>
  <si>
    <t>M/2024/IN004281/MAH/000436/3203/00120</t>
  </si>
  <si>
    <t>Layout prepared recently, NA process yet to be initiated</t>
  </si>
  <si>
    <t>From Mayani To Katarkhatav on Mayani Dahiwadi Road</t>
  </si>
  <si>
    <t>YOGITA ARUN AHIRE</t>
  </si>
  <si>
    <t>R/2024/IN004519/MAH/000464/3203/00125</t>
  </si>
  <si>
    <t>No Progress in NOC</t>
  </si>
  <si>
    <t>Slow condidate,NA applied but yet to be done,Condidate not responding on phone calls</t>
  </si>
  <si>
    <t>VAC and Gosavi on 25.05.2026</t>
  </si>
  <si>
    <t xml:space="preserve"> From KM stone 749 to 747 On RHS of Pune To Satara NH</t>
  </si>
  <si>
    <t>VISHAL SHIVAJI SONVANE</t>
  </si>
  <si>
    <t>R/2024/IN004865/MAH/000491/3203/00132</t>
  </si>
  <si>
    <t>very slow candidate</t>
  </si>
  <si>
    <t>No much porgess as of now in NA which is a major requisite, LSR etc</t>
  </si>
  <si>
    <t>From KM stone 75 to KM stone 85 on Pune Solapur Highway</t>
  </si>
  <si>
    <t>SAGAR ASHOK SALVE</t>
  </si>
  <si>
    <t>R/2025/IN000253/MAH/000032/3203/00008</t>
  </si>
  <si>
    <t>Financially Stressed Candidate</t>
  </si>
  <si>
    <t xml:space="preserve">Yet to Apply </t>
  </si>
  <si>
    <t>From Antarwali Khurd she. to Kurudgaon on Bodhegaon Road</t>
  </si>
  <si>
    <t>SHARAD DEVIDAS GHODAKE</t>
  </si>
  <si>
    <t>R/2025/IN000330/MAH/000049/3203/00012</t>
  </si>
  <si>
    <t>From KM stone 52 to KM stone 56 ON LHS OF PUNE SOLAPUR NH</t>
  </si>
  <si>
    <t>VIJAY WAMAN MASURE</t>
  </si>
  <si>
    <t>R/2025/IN000573/MAH/000076/3203/00017</t>
  </si>
  <si>
    <t>Land is not available with Candidate</t>
  </si>
  <si>
    <t xml:space="preserve">No </t>
  </si>
  <si>
    <t>From Km stone 715 to 720 on LHS on Karad to Satara Road</t>
  </si>
  <si>
    <t>SURESH PANDURANG RANDIVE</t>
  </si>
  <si>
    <t>R/2025/IN000818/MAH/000092/3203/00024</t>
  </si>
  <si>
    <t>Freshly issued LOI, All procedure to be started</t>
  </si>
  <si>
    <t>Within 5 Km from Sai Anand Lawns towards Pune on Pune-Aurangabad NH</t>
  </si>
  <si>
    <t>GURUDAS VIJAY PAWARA</t>
  </si>
  <si>
    <t>R/2025/IN000871/MAH/000098/3203/00029</t>
  </si>
  <si>
    <t>SARADWADI TO SHIRUR ON PUNE-AHMEDNAGAR ROAD,</t>
  </si>
  <si>
    <t>GAURAV KALEWAR</t>
  </si>
  <si>
    <t>M/2020/IN000088/MAH/000010/3203/00009</t>
  </si>
  <si>
    <t>OlD loi , Financial issue ,Meeting with loi holder is cheduled on 18.05.2026</t>
  </si>
  <si>
    <t>KATI(TALUKA-INDAPUR)</t>
  </si>
  <si>
    <t>TUSHAR BABAN SHENDE</t>
  </si>
  <si>
    <t xml:space="preserve">   </t>
  </si>
  <si>
    <t>M/2021/IN000872/MAH/000049/3203/00015</t>
  </si>
  <si>
    <t>Disinterested LOI holder</t>
  </si>
  <si>
    <t>BORIPARDHI (TALUKA-DAUND)</t>
  </si>
  <si>
    <t>ABHIJIT NITIN TENGLE</t>
  </si>
  <si>
    <t>M/2023/IN000176/MAH/000021/3203/00010</t>
  </si>
  <si>
    <t>From Shiroli to Rajgurunagar on LHS on NH (Pune-Nashik Road)</t>
  </si>
  <si>
    <t>RANJENDRA RAMESH SANDBHOR</t>
  </si>
  <si>
    <t>Pune IV RSA</t>
  </si>
  <si>
    <t>R/2023/IN000993/MAH/000075/3203/00023</t>
  </si>
  <si>
    <t>NOC rejected by DM/NH/PWD</t>
  </si>
  <si>
    <t xml:space="preserve">There is a flyover sanctioned at nasik highway Due to that dealer has lost intrest. We are in talking with dealer as it is high potential location </t>
  </si>
  <si>
    <t>From Surwad to Bawada Police Station on RHS of Indapur-Akluj Road</t>
  </si>
  <si>
    <t>SWAPNAJA AMARDEEP JAKHALKAR</t>
  </si>
  <si>
    <t>R/2023/IN001438/MAH/000104/3203/00040</t>
  </si>
  <si>
    <t>Draft</t>
  </si>
  <si>
    <t>On LHS From Kamshet to Karla on NH (Pune-Bangalore Highway)</t>
  </si>
  <si>
    <t>SANGRAM SUBHASH JADHAV</t>
  </si>
  <si>
    <t>R/2023/IN001467/MAH/000112/3203/00045</t>
  </si>
  <si>
    <t>PMRD permission pending due to green zone of 45 meter from the ROW.</t>
  </si>
  <si>
    <t>Candidate not responding</t>
  </si>
  <si>
    <t xml:space="preserve">Within 5km of Chakan Chowk towards IOC Bottling Plant on LHS on Chakan - Shikrapur Road </t>
  </si>
  <si>
    <t>DHANASHREE NITIN PATIL</t>
  </si>
  <si>
    <t>R/2023/IN001865/MAH/000196/3203/00072</t>
  </si>
  <si>
    <t>From Kasari to Kondhapuri on NH (Pune-Ahmednagar Road)</t>
  </si>
  <si>
    <t>ASHISH MURLIDHAR GAIKWAD</t>
  </si>
  <si>
    <t>R/2023/IN002989/MAH/000317/3203/00096</t>
  </si>
  <si>
    <t>Land issue ,Meeting with dealer scheduled on 18.05.2026</t>
  </si>
  <si>
    <t>on RHS From Khadki to Bhigwan Circle on Pune-Solapur NH</t>
  </si>
  <si>
    <t>PRASAD AJIT KSHIRSAGAR</t>
  </si>
  <si>
    <t>R/2023/IN003534/MAH/000386/3203/00120</t>
  </si>
  <si>
    <t>From Village Waranghushi to village Waki on RHS on Bhandardara- Ghoti SH road</t>
  </si>
  <si>
    <t>SACHIN NATHURAM MUNDHE</t>
  </si>
  <si>
    <t>R/2023/IN004161/MAH/000451/3203/00131</t>
  </si>
  <si>
    <t>Alternate land has been offered. Candidate has to respond</t>
  </si>
  <si>
    <t>Adendum to LOI need to be given against the recived land after rejection of first NOC due to Eco Sensitive zone.</t>
  </si>
  <si>
    <t>At Nirmal Pimpri towards Ahmednagar on Nagar-Manmad Road</t>
  </si>
  <si>
    <t>AMRUT RAGHUNATH GAIKWAD</t>
  </si>
  <si>
    <t>R/2023/IN004348/MAH/000469/3203/00145</t>
  </si>
  <si>
    <t>Land Litigation is going on</t>
  </si>
  <si>
    <t>There was court case by the near by land owner and case result come in LOI holder favour on 20.04.2026.</t>
  </si>
  <si>
    <t>VILLAGE BHANGAON ON SHRIGONDA TO KOLGAON ROAD (TALUKA-SHRIGONDA)</t>
  </si>
  <si>
    <t>AJIT KAKADE</t>
  </si>
  <si>
    <t>M/2023/IN004349/MAH/000470/3203/00146</t>
  </si>
  <si>
    <t>Junction issue, Alternate land Offer is required</t>
  </si>
  <si>
    <t>Alternate land offer received, LOI yet to issue.</t>
  </si>
  <si>
    <t>From Intersection of Indapur Town Road and Indapur Bypass to Bhima River on RHS of Pune - Solapur NH</t>
  </si>
  <si>
    <t>RAM MANIK ASABE</t>
  </si>
  <si>
    <t>R/2023/IN004608/MAH/000476/3203/00149</t>
  </si>
  <si>
    <t>Forest land issue, conversion will take time. as of Now it is non commissionable. Huge amount of najrana to be paid</t>
  </si>
  <si>
    <t>Within 5 Km from Wadegavhan Bus Stand towards Ahmednagar on Pune-Aurangabad NH</t>
  </si>
  <si>
    <t>GANESH SHIVAJI JADHAV</t>
  </si>
  <si>
    <t>R/2023/IN006050/MAH/000569/3203/00164</t>
  </si>
  <si>
    <t>From Khandala to Ahire on Khandala Lonand Road</t>
  </si>
  <si>
    <t>SHANKAR KESHAV SHINDE</t>
  </si>
  <si>
    <t>C</t>
  </si>
  <si>
    <t>R/2024/IN002260/MAH/000185/3203/00020</t>
  </si>
  <si>
    <t>On RHS , Within 2 km from Pencil Chowk towards Bhigwan on Baramati Bhigwan Road</t>
  </si>
  <si>
    <t>PRAKASH NARAHARI CHOUDHAR</t>
  </si>
  <si>
    <t>R/2024/IN002259/MAH/000184/3203/00019</t>
  </si>
  <si>
    <t>Alternate land offer given to candidate due to NOC rejection. Alternate land offer from candidate is pending</t>
  </si>
  <si>
    <t xml:space="preserve">Candidate has submitted NOC application after the revised drawing submitted after the NOC Cancellation  from PWD </t>
  </si>
  <si>
    <t>From Varve Budruk to Harishchandri on NH (Pune-Bangalore Highway)</t>
  </si>
  <si>
    <t>SOHAM SANDEEP KULKARNI</t>
  </si>
  <si>
    <t>R/2024/IN002246/MAH/000178/3203/00013</t>
  </si>
  <si>
    <t>Land not available</t>
  </si>
  <si>
    <t xml:space="preserve">Candidate not responding, The Land is not available and under aquisition from NH </t>
  </si>
  <si>
    <t>Within 2 Km from Zilla Parishad School (Mirajgaon) towards Kada on Mirajgaon-Kada SH</t>
  </si>
  <si>
    <t>DIPALI  RAVINDRA VATARE</t>
  </si>
  <si>
    <t>R/2024/IN002368/MAH/000198/3203/00031</t>
  </si>
  <si>
    <t>PWD applied</t>
  </si>
  <si>
    <t>From Walwad to Chincholi Phata on Jamkhed-Shrigonda NH</t>
  </si>
  <si>
    <t>ASHWINI HARISHCHANDRA NANGARE</t>
  </si>
  <si>
    <t>R/2024/IN002400/MAH/000207/3203/00038</t>
  </si>
  <si>
    <t>MORTH issue, Earlier while LEC there is no any toll plaza but now toll plaza has been constructed but relexation needed.</t>
  </si>
  <si>
    <t>Within 3 Km from Bodhegaon Bus stand towards Georai on Shevgaon- Georai SH</t>
  </si>
  <si>
    <t>KRISHNA GANPAT PAYGHAN</t>
  </si>
  <si>
    <t>R/2024/IN002381/MAH/000204/3203/00035</t>
  </si>
  <si>
    <t xml:space="preserve">Very Slow Candidate. Loan updation pending on 7/12, Final NA, TP </t>
  </si>
  <si>
    <t>Amol Gandhi</t>
  </si>
  <si>
    <t>From Junction to Nimgaon Ketki on Baramati- Indapur NH</t>
  </si>
  <si>
    <t>ASMITA AADESH CHAVARE</t>
  </si>
  <si>
    <t>R/2024/IN002849/MAH/000325/3203/00097</t>
  </si>
  <si>
    <t>Financially weak, slow candidate</t>
  </si>
  <si>
    <t xml:space="preserve">From Karde to Nhavare Phata on RHS on SH (Shirur-Satara Road ) </t>
  </si>
  <si>
    <t>SHWETA SOMNATH LANGHE</t>
  </si>
  <si>
    <t>R/2025/IN000149/MAH/000019/3203/00007</t>
  </si>
  <si>
    <t xml:space="preserve">There is family dividation issue , candidate sought 15 days time till 30.05.2026 to resolve the issue otherwise LOI will be cancelled </t>
  </si>
  <si>
    <t>From Alephata to Pimpri Pendhar on LHS on NH (Ahmednagar- Kalyan Road)</t>
  </si>
  <si>
    <t>ASHWINI NIVRUTTI KALE</t>
  </si>
  <si>
    <t>R/2025/IN000148/MAH/000018/3203/00006</t>
  </si>
  <si>
    <t xml:space="preserve">Land Issue </t>
  </si>
  <si>
    <t>WITHIN 2 KMS FROM KARJAT</t>
  </si>
  <si>
    <t>VIJAY RAOSAHEB KARPE</t>
  </si>
  <si>
    <t>N/2025/IN000758/MAH/000087/3203/00021</t>
  </si>
  <si>
    <t>2014-15</t>
  </si>
  <si>
    <t>Recently issued LOI but the land owner not willing to offer lease as subsenstial time passed since advertisement.</t>
  </si>
  <si>
    <t>On Manmad Bypass, Within 5 km from intersection of Ahmednagar Kalyan Highway and Manmad Bypass towards Vilad</t>
  </si>
  <si>
    <t>VAIBHAV AJITRAO DEOKAR</t>
  </si>
  <si>
    <t>R/2025/IN000756/MAH/000086/3203/00020</t>
  </si>
  <si>
    <t>In process of changing the land</t>
  </si>
  <si>
    <t>From Rajuri to Alephata on RHS on NH (Ahmednagar- Kalyan Road)</t>
  </si>
  <si>
    <t>SAMPADA ANIL DIVEKAR</t>
  </si>
  <si>
    <t>R/2025/IN000873/MAH/000100/3203/00031</t>
  </si>
  <si>
    <t>new Loi</t>
  </si>
  <si>
    <t>FROM NARHE TO JAMBHULWADI,ON RHS OF NH (PUNE-BANGALORE HIGHWAY)</t>
  </si>
  <si>
    <t>YASHODHAN SADASHIV SHINDE</t>
  </si>
  <si>
    <t>R/2025/IN000883/MAH/000101/3203/00032</t>
  </si>
  <si>
    <t xml:space="preserve">The drawing preparation is still pending . The frontage of the RO land is short as per the Mojini Drawing submitted </t>
  </si>
  <si>
    <t>WITHIN 2KMS FRM GHODEGAON TOWARDS MANCHAR ON GHODEGAON MANCHAR ROAD</t>
  </si>
  <si>
    <t>SHRI SAMEER BHASKAR KALE</t>
  </si>
  <si>
    <t>2011/IN002092/MAH/000087/3203/00053</t>
  </si>
  <si>
    <t>SRMP 2009-11</t>
  </si>
  <si>
    <t>Subjuidice</t>
  </si>
  <si>
    <t>Land is under litigation</t>
  </si>
  <si>
    <t>2011 LOI having NOC in hand. Matter subjudice and awaiting court order in favour of our LOI holder</t>
  </si>
  <si>
    <t>Will be submitted by 25.05.2026</t>
  </si>
  <si>
    <t>ON LHS FROM CHANDANI CHOWK TO BAVDHAN KHURD</t>
  </si>
  <si>
    <t>SH RAJKUMAR EKNATH KARANJAKAR</t>
  </si>
  <si>
    <t>2013/IN000697/MAH/000134/3203/00033</t>
  </si>
  <si>
    <t>SRMP 2011-13</t>
  </si>
  <si>
    <t>Candidate not responding, legal issue</t>
  </si>
  <si>
    <t>SHIROLI ON NH-50 ON LHS from Pune to Nashik</t>
  </si>
  <si>
    <t>Puja Ravindra Karnawat</t>
  </si>
  <si>
    <t xml:space="preserve">  </t>
  </si>
  <si>
    <t>2014/IN000112/MAH/000026/3203/00020</t>
  </si>
  <si>
    <t>Candidate is not tracable ,Need to visit at residence by 25.05.26</t>
  </si>
  <si>
    <t>LONAND (KAPADGAON)</t>
  </si>
  <si>
    <t>MAHARASTRA STATE WAREHOUSING C</t>
  </si>
  <si>
    <t>2015/IN000020/MAH/000004/3203/00003</t>
  </si>
  <si>
    <t>Govt Agency</t>
  </si>
  <si>
    <t>Govt Site, Land is not available</t>
  </si>
  <si>
    <t>KARAD ON KARAD KARVE ROAD</t>
  </si>
  <si>
    <t>2015/IN000018/MAH/000002/3203/00001</t>
  </si>
  <si>
    <t>Land is not available</t>
  </si>
  <si>
    <t>These are Maharshtra State warehousing sites. APMC is not responding and not following up for NOCs</t>
  </si>
  <si>
    <t>PHALTAN PANDHARPUR ROAD (WITHIN 3 KMS FROM NANA PATIL CHOWK)</t>
  </si>
  <si>
    <t>SANJEEV VIJAYSINH N NIMBALKAR</t>
  </si>
  <si>
    <t>N/2015/IN000368/MAH/000027/3203/00003</t>
  </si>
  <si>
    <t>BHOKAR (BETWEEN TAKLIBHAN TO SHIRASGAON)</t>
  </si>
  <si>
    <t>SHRI RAJENDRA BHANUDAS PAWAR</t>
  </si>
  <si>
    <t>2015/IN000079/MAH/000018/3203/00011</t>
  </si>
  <si>
    <t>Land Not Available</t>
  </si>
  <si>
    <t>HPCL RO already commissioned on same land</t>
  </si>
  <si>
    <t>On the land, candidate constructed shopping complex and not interested. Last visit happened and candidate seeks time for land change and other related process in family and will come back. FO is trying to get final decission of the candidate and MOM for the same.</t>
  </si>
  <si>
    <t>ON RAHATA CHITALI ROAD UP TO 2 KMS FROM RAHATA CHOWK TOWARDS CHITALI</t>
  </si>
  <si>
    <t>Dyaneshwar Pandharinath Lute</t>
  </si>
  <si>
    <t>9049559466/9075010241</t>
  </si>
  <si>
    <t>N/2015/IN000961/MAH/000131/3203/00022</t>
  </si>
  <si>
    <t>LOI to be cancelled. Candidate has to submit written confirmation</t>
  </si>
  <si>
    <t>Meeting with candidate happened and found not interested as no action done since 11 year of the LOI.</t>
  </si>
  <si>
    <t>KHEDSHIVAPUR-KUSGAON ROAD</t>
  </si>
  <si>
    <t>Shri Suyash Sarjerao Gaikwad</t>
  </si>
  <si>
    <t>N/2016/IN000121/MAH/000019/3203/00005</t>
  </si>
  <si>
    <t xml:space="preserve">The LOI holder has been counselled and provided with the revised drawings. The candidate has requested additional time for NOC </t>
  </si>
  <si>
    <t>SHIRSHUFAL</t>
  </si>
  <si>
    <t>SMT DEEPA NILAMBAR KHARAT</t>
  </si>
  <si>
    <t>N/2016/IN000260/MAH/000044/3203/00018</t>
  </si>
  <si>
    <t>Land Not Available, Financial problem with LOI holder</t>
  </si>
  <si>
    <t xml:space="preserve">The RO land is on the planned township area of the Baramati . The approval is applied for NA permission from the ministry which is still pending for approval </t>
  </si>
  <si>
    <t>ON LHS FROM PUNE TO SATARA ON NH-04 IN BET KM STONE 770&amp;773 (PUNE BANG</t>
  </si>
  <si>
    <t>Miss Pooja Jijaba Pawar</t>
  </si>
  <si>
    <t>N/2016/IN000673/MAH/000098/3203/00036</t>
  </si>
  <si>
    <t>HPC RO is commissioned on same land. LOI may be cancelled after taking in writing</t>
  </si>
  <si>
    <t>HPC Commissioned on same site.Dealer has given surrender letter on 10.04.2026 which reached to FO on 11.05.2026 through speed post</t>
  </si>
  <si>
    <t>To be recommended by 14.05.2026</t>
  </si>
  <si>
    <t>BARAMATI, TAL - BARAMATI</t>
  </si>
  <si>
    <t>APMC, BARAMATI</t>
  </si>
  <si>
    <t>2018/IN000053/MAH/000004/3203/00002</t>
  </si>
  <si>
    <t xml:space="preserve">LOI holder is the govt party does not have the free hold of the proposed RO land , LOI to be cancelled </t>
  </si>
  <si>
    <t>Cancelled</t>
  </si>
  <si>
    <t>govt</t>
  </si>
  <si>
    <t>KHANDALA, A/P KHANDALA, TAL. KHANDALA</t>
  </si>
  <si>
    <t>APMC, LONAND</t>
  </si>
  <si>
    <t>KSK-A Recovery</t>
  </si>
  <si>
    <t>2018/IN000056/MAH/000006/3203/00004</t>
  </si>
  <si>
    <t>APMC, LONAND, A/P LONAND, TAL. KHANDALA</t>
  </si>
  <si>
    <t>APMC,LONAND</t>
  </si>
  <si>
    <t>2018/IN000055/MAH/000005/3203/00003</t>
  </si>
  <si>
    <t>SONGIRWADI, Taluka Wai, District Satara</t>
  </si>
  <si>
    <t>APMC, WAI</t>
  </si>
  <si>
    <t>2018/IN000094/MAH/000016/3203/00009</t>
  </si>
  <si>
    <t>2011-13</t>
  </si>
  <si>
    <t>These are APMC sites. APMC is not responding and not following up for NOCs</t>
  </si>
  <si>
    <t>To be recommended for cancellation by 23.05.2026 after meeting taluka wise chairman for APMC Site</t>
  </si>
  <si>
    <t>KUDAL, Taluka Jawali, District Satara</t>
  </si>
  <si>
    <t>APMC, JAWALI</t>
  </si>
  <si>
    <t>2018/IN000093/MAH/000015/3203/00008</t>
  </si>
  <si>
    <t>GONDAVALE, Taluka Man, District Satara</t>
  </si>
  <si>
    <t>APMC, MAN</t>
  </si>
  <si>
    <t>2018/IN000124/MAH/000018/3203/00010</t>
  </si>
  <si>
    <t>2016-17</t>
  </si>
  <si>
    <t/>
  </si>
  <si>
    <t>Govt Site, Not interested</t>
  </si>
  <si>
    <t>LEC not available</t>
  </si>
  <si>
    <t>SAIDAPUR ON MFR 36A TALUKA-SATARA</t>
  </si>
  <si>
    <t>SUDAM PHAJGE</t>
  </si>
  <si>
    <t>KSK A SiteCorpu</t>
  </si>
  <si>
    <t>M/2018/IN000926/MAH/000094/3203/00027</t>
  </si>
  <si>
    <t>Land Issue</t>
  </si>
  <si>
    <t>Land is not available with candidate</t>
  </si>
  <si>
    <t>Land negotiation with original landowner has been failed- NEGOTIATION REPORT UNSIGNED. Failed negotitation case. Applicant lives in Daund and not turning up for signing MOM at Satara</t>
  </si>
  <si>
    <t>To be recommended for cancellation by 23.03.2026</t>
  </si>
  <si>
    <t>ON MDR 38 FROM VILLAGE VADUJ TO VILLAGE AMBERI (TALUKA-KHATAV)</t>
  </si>
  <si>
    <t>VARSHA BHANUDAS MANE</t>
  </si>
  <si>
    <t>M/2018/IN000958/MAH/000104/3203/00031</t>
  </si>
  <si>
    <t>Land is not available with canidate due to divorce with Landowner Husband</t>
  </si>
  <si>
    <t>FROM THEUR TO NAIGAON ON THEUR-NAIGAON ROAD</t>
  </si>
  <si>
    <t>NANDKUMAR VASANTRAO YADAV</t>
  </si>
  <si>
    <t>M/2018/IN000881/MAH/000078/3203/00020</t>
  </si>
  <si>
    <t>Candidate not responding due to high land conversion charges</t>
  </si>
  <si>
    <t>SUSGAON</t>
  </si>
  <si>
    <t>Mahendra Sasar</t>
  </si>
  <si>
    <t>M/2018/IN001734/MAH/000179/3203/00059</t>
  </si>
  <si>
    <t>Candidate not interested - submitted original LOI with letter</t>
  </si>
  <si>
    <t>VILLAGE RAJURI ON AHMEDNAGAR-KALYAN ROAD(NH-61)</t>
  </si>
  <si>
    <t>MANISHA GHANGALE</t>
  </si>
  <si>
    <t>M/2018/IN002409/MAH/000260/3203/00079</t>
  </si>
  <si>
    <t>Fixed fee given, RO under construction, 1 crore mortgage on land, we can commission in later after complaint clearance</t>
  </si>
  <si>
    <t>by 25.05.2026</t>
  </si>
  <si>
    <t>FROM PATAS TOLL PLAZA TO KURKUMBH ON RHS OF PUNE SOLAPUR NH65</t>
  </si>
  <si>
    <t>SAMBHAJI SHIVAJI NEWALE</t>
  </si>
  <si>
    <t>M/2019/IN000808/MAH/000026/3203/00013</t>
  </si>
  <si>
    <t>VILLAGE MEHEKARI ON NH-61 ON LHS TOWARDS PATHARDI</t>
  </si>
  <si>
    <t>AMOL NAMDEO SHIRSATH</t>
  </si>
  <si>
    <t>M/2019/IN002068/MAH/000095/3203/00028</t>
  </si>
  <si>
    <t>Due to junction issue NH accress permmission cann't be obtained, LOI candidates has issued multiple letters.</t>
  </si>
  <si>
    <t>PRANJALI PATIL NAGAR, PUNE CITY,</t>
  </si>
  <si>
    <t>BHUSHAN BABULAL MUTHA</t>
  </si>
  <si>
    <t>M/2019/IN004073/MAH/000156/3203/00040</t>
  </si>
  <si>
    <t>Land is not available with LOI holder</t>
  </si>
  <si>
    <t>land in eco sensitive zone, NOC rejection</t>
  </si>
  <si>
    <t>SANSAR(TALUKA-INDAPUR)</t>
  </si>
  <si>
    <t>SUPRIYA NIMBALKAR</t>
  </si>
  <si>
    <t>M/2019/IN006056/MAH/000250/3203/00072</t>
  </si>
  <si>
    <t>LOI holder not interested- to be cancelled</t>
  </si>
  <si>
    <t>AT VAKILWASTI ON RHS OF INDAPUR-AKLUJ ROAD,</t>
  </si>
  <si>
    <t>SURESH BALBHIM MEHER</t>
  </si>
  <si>
    <t>M/2020/IN000558/MAH/000083/3203/00030</t>
  </si>
  <si>
    <t>NH overbridge going to come infront of plot, NH not giving permission</t>
  </si>
  <si>
    <t>PIMPALGAON SIDDHNATH ON JUNNAR - OTUR ROAD,</t>
  </si>
  <si>
    <t>BHAGYASHREE SAGAR GAIKWAD</t>
  </si>
  <si>
    <t>M/2020/IN000721/MAH/000089/3203/00034</t>
  </si>
  <si>
    <t>Land is not available. Matter subjudice due to fake appendix III affidavit</t>
  </si>
  <si>
    <t>NOC available. Complaint case against LOI holder for false document submission- under investigation. Lease done</t>
  </si>
  <si>
    <t>By 15.05.2026</t>
  </si>
  <si>
    <t>FROM KHOKAR PHATA TO BHOKAR PHATA ON SHRIRAMPUR NEWASA SH-44</t>
  </si>
  <si>
    <t>RADHIKA ASANE</t>
  </si>
  <si>
    <t>M/2020/IN000888/MAH/000099/3203/00038</t>
  </si>
  <si>
    <t>Candidate not responding and not picking calls and not replying to letters</t>
  </si>
  <si>
    <t>LOI holder not responsive after Jio BP RO started operation nearby- LOI to be cancelled</t>
  </si>
  <si>
    <t>WITHIN 5 KM FROM NARAYANA GAON BUS STAND TOWARDS NASHIK ON LHS OF PUNE TO NA</t>
  </si>
  <si>
    <t>SURESH NETAKE</t>
  </si>
  <si>
    <t>M/2020/IN001524/MAH/000149/3203/00050</t>
  </si>
  <si>
    <t>No Progress in NOC. Parner landowner withdrew</t>
  </si>
  <si>
    <t>LOI can be cancelled</t>
  </si>
  <si>
    <t>BY 25.05.2026</t>
  </si>
  <si>
    <t>ON KARJAT- SHRIGONDA ROAD VIA WALVAD(TALUKA-KARJAT) ,</t>
  </si>
  <si>
    <t>KRUSHNA KUNDALIK JAYBHAY</t>
  </si>
  <si>
    <t>M/2020/IN001776/MAH/000178/3203/00062</t>
  </si>
  <si>
    <t>Disinterested LOI candidate.</t>
  </si>
  <si>
    <t>AT WADKI ON HADAPSAR- PANDHARPUR NH ,</t>
  </si>
  <si>
    <t>JYOTI ARVIND KALOKHE</t>
  </si>
  <si>
    <t>M/2020/IN001767/MAH/000172/3203/00056</t>
  </si>
  <si>
    <t xml:space="preserve">Alternate land offer letter was provided to Candidate but Candidate failed to provide alternate land </t>
  </si>
  <si>
    <t>VILLAGE PATEGAON ON AHMEDNAGAR TO SOLAPUR NH-516A ,</t>
  </si>
  <si>
    <t>MUBARAK INAMDAR</t>
  </si>
  <si>
    <t>M/2020/IN001937/MAH/000199/3203/00067</t>
  </si>
  <si>
    <t>Due to junction issue.</t>
  </si>
  <si>
    <t>FROM YAVAT TO CHOUFULLA JUNCTION ON LHS OF PUNE SOLAPUR NH65 ,</t>
  </si>
  <si>
    <t>SAGAR SUBHASH NANAWARE</t>
  </si>
  <si>
    <t>M/2020/IN001947/MAH/000203/3203/00071</t>
  </si>
  <si>
    <t>Candidate Not Responding</t>
  </si>
  <si>
    <t>VILLAGE GOLESHWAR ON RHS OF KARAD TO TASGAON NH266 ,</t>
  </si>
  <si>
    <t>RANJEET KHASHABA JADHAV</t>
  </si>
  <si>
    <t>M/2020/IN002152/MAH/000215/3203/00075</t>
  </si>
  <si>
    <t>Frontage is not avaiable at land</t>
  </si>
  <si>
    <t>Sufficient frontage is not available with candidate</t>
  </si>
  <si>
    <t>To be recommended for cancellation after ascertaining actual site condition</t>
  </si>
  <si>
    <t>BHOSE TO SHELGAON ON NH-548D ,</t>
  </si>
  <si>
    <t>R. K. AWATE &amp; A. P. AWATE,</t>
  </si>
  <si>
    <t>(9604274393)(9890196145)</t>
  </si>
  <si>
    <t>M/2020/IN002179/MAH/000221/3203/00081</t>
  </si>
  <si>
    <t>Land has been rejected by NHAI</t>
  </si>
  <si>
    <t>Alternate land LEC done in nov23- approval for same to be checked</t>
  </si>
  <si>
    <t>ON RIGHT HAND SIDE OF PUNE AHMEDNAGAR ROAD (NH753F (OLD SH-60)) BETWEEN</t>
  </si>
  <si>
    <t>RUPALI VIRENDRA LANDGE</t>
  </si>
  <si>
    <t>M/2020/IN002944/MAH/000301/3203/00100</t>
  </si>
  <si>
    <t>Fund issue</t>
  </si>
  <si>
    <t>VILLAGE WALUNJ ON AHMEDNAGAR-SOLAPUR ROAD ON LHS</t>
  </si>
  <si>
    <t>Prashant Sabajirao Gaikwad</t>
  </si>
  <si>
    <t>M/2021/IN000866/MAH/000046/3203/00012</t>
  </si>
  <si>
    <t>LASURNE(TALUKA-INDIAPUR)</t>
  </si>
  <si>
    <t>AMOL LOKHANDE</t>
  </si>
  <si>
    <t>M/2021/IN001550/MAH/000107/3203/00030</t>
  </si>
  <si>
    <t xml:space="preserve">Land issue. </t>
  </si>
  <si>
    <t>FROM MASWAD TO MARDI ON</t>
  </si>
  <si>
    <t>RAVIRAJ RAJKUMAR SURYAWANSHI</t>
  </si>
  <si>
    <t>M/2022/IN000276/MAH/000012/3203/00005</t>
  </si>
  <si>
    <t>Candiadte is not responding</t>
  </si>
  <si>
    <t>VILLAGE NIMGAON DAKU ON TO SOLAPUR NH-516A ,</t>
  </si>
  <si>
    <t>ASHOKKUMAR PITAMBAR ANARASE</t>
  </si>
  <si>
    <t>M/2022/IN000277/MAH/000013/3203/00006</t>
  </si>
  <si>
    <t>VILLAGE SHEVGAON,</t>
  </si>
  <si>
    <t>PUSHPAK PURUSHOTTAM DHOOT</t>
  </si>
  <si>
    <t>Ahmednagar EASt RSA</t>
  </si>
  <si>
    <t>L/2022/IN000072/MAH/000010/3203/00003</t>
  </si>
  <si>
    <t>LOI issued to Landowner for COCO Shevgaon</t>
  </si>
  <si>
    <t>This is COCO LOI under landowner policy. Landowner is not interested</t>
  </si>
  <si>
    <t>LOI awarded to land owner, and he wants very high rent and not ready for long lease</t>
  </si>
  <si>
    <t>To be done</t>
  </si>
  <si>
    <t>SHIRVAL TO SHEDGEWADI ON SHIRVAL LONAND ROAD</t>
  </si>
  <si>
    <t>AISHWARYA SHIRISH TAMBE</t>
  </si>
  <si>
    <t>M/2022/IN000591/MAH/000031/3203/00008</t>
  </si>
  <si>
    <t>Charge on Land, LOI holder is not showing interest</t>
  </si>
  <si>
    <t>AT WAKHARI ON LHS OF PUNE TO SOLAPUR NH65 ,</t>
  </si>
  <si>
    <t>RAVIDAS GAVIT</t>
  </si>
  <si>
    <t>M/2022/IN000595/MAH/000033/3203/00010</t>
  </si>
  <si>
    <t>SASWAD-KAPURHOL-BHOR ROAD,DEVADI ,</t>
  </si>
  <si>
    <t>PRADEEP KHAIRE</t>
  </si>
  <si>
    <t>M/2022/IN001166/MAH/000066/3203/00018</t>
  </si>
  <si>
    <t xml:space="preserve">The candidate has applied in group 2 and there is dispute in the land and is proposed for cancellation </t>
  </si>
  <si>
    <t>ON INDAPUR BYPASS ON LHS OF PUNE TO SOLAPUR NH65 ,</t>
  </si>
  <si>
    <t>ANIL ABHIMAN MAKHARE</t>
  </si>
  <si>
    <t>M/2022/IN001224/MAH/000073/3203/00022</t>
  </si>
  <si>
    <t>Cancellation Approved</t>
  </si>
  <si>
    <t>There is financial constraint with dealer- LOI to be cancelled</t>
  </si>
  <si>
    <t>ON RIGHT HAND SIDE OF PUNE AHMEDNAGAR ROAD (NH753F) BETWEEN KONDHAPURI A</t>
  </si>
  <si>
    <t>ALKA GAIKWAD</t>
  </si>
  <si>
    <t>M/2022/IN001298/MAH/000087/3203/00029</t>
  </si>
  <si>
    <t>Land Not Available,Candidate not reacahable  , need to meet</t>
  </si>
  <si>
    <t>Applicant requested for addendum to LOI with new land in same stretch but title not clear of new land. LSR dtd 08.12.2023</t>
  </si>
  <si>
    <t>MSRTC SHRIRAMPUR TAL. SHRIRAMPUR, DISTRICT AHMEDNAGAR</t>
  </si>
  <si>
    <t>MSRTC SHRIRAMPUR</t>
  </si>
  <si>
    <t>2022/IN000234/MAH/000019/3203/00006</t>
  </si>
  <si>
    <t>GOVT AGENCY</t>
  </si>
  <si>
    <t>There is no land available</t>
  </si>
  <si>
    <t>MSRTC NASRAPUR AT CHELADI, VILLAGE NASRAPUR, DISTRICT PUNE</t>
  </si>
  <si>
    <t>MSRTC NASRAPUR</t>
  </si>
  <si>
    <t>2022/IN000233/MAH/000018/3203/00005</t>
  </si>
  <si>
    <t>Title of Land is not Clear</t>
  </si>
  <si>
    <t xml:space="preserve">MSRDC has not taken the drawing as on date. Also NOC application is pending </t>
  </si>
  <si>
    <t>MSRTC PARGAON KHANDALA TALUKA KHANDALA, DISTRICT SATARA</t>
  </si>
  <si>
    <t>MSRTC PARGAON KHANDALA</t>
  </si>
  <si>
    <t>2022/IN000237/MAH/000020/3203/00007</t>
  </si>
  <si>
    <t>MIDSANGAVI ON NH-61 ,</t>
  </si>
  <si>
    <t>SANJAY DONGARE</t>
  </si>
  <si>
    <t>M/2022/IN001662/MAH/000111/3203/00039</t>
  </si>
  <si>
    <t>Due to BPC NRO commissioned in same stratch and hence LOI candidate not interested for RO development and seeking alternate land in different stretch.</t>
  </si>
  <si>
    <t>SARAFWADI (TALUKA-INDAPUR) ,</t>
  </si>
  <si>
    <t>TUSHAR SHENDE</t>
  </si>
  <si>
    <t>M/2022/IN001717/MAH/000113/3203/00041</t>
  </si>
  <si>
    <t>Financial issue with LOI holder</t>
  </si>
  <si>
    <t>Slow and financially week candidate</t>
  </si>
  <si>
    <t>ON SH147 BETWEEN VILLAGE WATHAR NIMBALKAR TO VILLAGE TATHAVADA ,</t>
  </si>
  <si>
    <t>ARUNA BALASAHEB SHINDE</t>
  </si>
  <si>
    <t>M/2022/IN001733/MAH/000118/3203/00044</t>
  </si>
  <si>
    <t>Candidate not interested</t>
  </si>
  <si>
    <t>MURUM(TALUKA-BARAMATI) ,</t>
  </si>
  <si>
    <t>SHITAL GHODAKE</t>
  </si>
  <si>
    <t>M/2022/IN001742/MAH/000121/3203/00045</t>
  </si>
  <si>
    <t>PWD pending, larger land required as per PWD</t>
  </si>
  <si>
    <t xml:space="preserve">PWD pending, larger land required as per PWD, PWD NOC can not be given in the proposed land as the frontage does not meet the IRC rules </t>
  </si>
  <si>
    <t>WITHIN 5 KMS FROM SASWAD ON SASWAD-NARAYANPUR ROAD ,</t>
  </si>
  <si>
    <t>ULKA GAIKWAD</t>
  </si>
  <si>
    <t>M/2023/IN000025/MAH/000002/3203/00001</t>
  </si>
  <si>
    <t>Slow Candidate and land issue</t>
  </si>
  <si>
    <t>THEUR ON MDR (TAL-HAVELI)</t>
  </si>
  <si>
    <t>ANKUSH KAMBLE</t>
  </si>
  <si>
    <t>M/2023/IN000094/MAH/000009/3203/00005</t>
  </si>
  <si>
    <t>Land is going in PMRDA acquisition, Candidate has to arrange additional land to ensure depth of plot as per advertisement</t>
  </si>
  <si>
    <t>BARAMATI WML</t>
  </si>
  <si>
    <t>TEJASWINI  AKASH GALINDE</t>
  </si>
  <si>
    <t>M/2023/IN000541/MAH/000040/3203/00017</t>
  </si>
  <si>
    <t>LOI cancellation Proposaed</t>
  </si>
  <si>
    <t xml:space="preserve">The LOI is already cancelled and the selection of another candidate is done , Scrutiny pending </t>
  </si>
  <si>
    <t>From KM Stone 102 to 104 on RHS on NH (Nhavare - Shrigonda Road)</t>
  </si>
  <si>
    <t>AJINKYA DATTATRAY MOKASHI</t>
  </si>
  <si>
    <t>R/2023/IN001262/MAH/000089/3203/00030</t>
  </si>
  <si>
    <t>From Bharat Vidyalaya to Bodardi Phata on Mirajgaon-Shrigonda Road</t>
  </si>
  <si>
    <t>ONKAR SHIVAJI RAHINJ</t>
  </si>
  <si>
    <t>R/2023/IN001333/MAH/000095/3203/00036</t>
  </si>
  <si>
    <t>Within 2 km from Shri Ram Mandir ,Watephal towards Solapur on LHS on Ahmednagar- Solapur NH</t>
  </si>
  <si>
    <t>AJINKYA DATTATRAYA NARALE</t>
  </si>
  <si>
    <t>R/2023/IN001462/MAH/000110/3203/00044</t>
  </si>
  <si>
    <t>From KM STONE 789 TO 787 ON LHS of Pune to Satara Road</t>
  </si>
  <si>
    <t>SAGAR SIDHU DEVKATE</t>
  </si>
  <si>
    <t>R/2023/IN001442/MAH/000106/3203/00041</t>
  </si>
  <si>
    <t>BPC RO - Rudransh Petroleum commissioned.</t>
  </si>
  <si>
    <t>Recommended for cancellation</t>
  </si>
  <si>
    <t>From Shivri to Shivajiraje Chowk (Jejuri) on LHS of Saswad -Jejuri NH</t>
  </si>
  <si>
    <t>MAYURI ANIRUDDHA RATHI</t>
  </si>
  <si>
    <t>R/2023/IN001443/MAH/000107/3203/00042</t>
  </si>
  <si>
    <t>LOI not yet received by LOI holder</t>
  </si>
  <si>
    <t>From Shiroli to Rajgurunagar on RHS on NH (Pune Nashik Road)</t>
  </si>
  <si>
    <t>DATTATRAY BALKRUSHNA KOKANE</t>
  </si>
  <si>
    <t>R/2023/IN001517/MAH/000116/3203/00046</t>
  </si>
  <si>
    <t>No,Candidate is not reacahable , Residence visit is planned by 30.05.2026</t>
  </si>
  <si>
    <t>Within 3 KM from Lonand Bus Stand Towards Pune on Satara Lonand Road</t>
  </si>
  <si>
    <t>R/2023/IN001555/MAH/000127/3203/00051</t>
  </si>
  <si>
    <t>CANDIDATE IS HAVING TOO MANY LOIs, land yet to be transferred to LOI holder name. Single candidate. LOI can be retained</t>
  </si>
  <si>
    <t>From Shirur bus stand to Shirur NH Intersection on Shirur-Sangavi Road</t>
  </si>
  <si>
    <t>SUBHASH MANOHAR KEDAR</t>
  </si>
  <si>
    <t>R/2023/IN001560/MAH/000131/3203/00053</t>
  </si>
  <si>
    <t>land is not available</t>
  </si>
  <si>
    <t>Dropped</t>
  </si>
  <si>
    <t>Landowner is not interested in giving land now. LOI holder is seeking legal recourse for contunuing on the land.</t>
  </si>
  <si>
    <t>LSR on email from shalukar, direct lease from land owner, 100/80 by 3rd year, negotiation unsuccessful</t>
  </si>
  <si>
    <t xml:space="preserve">NOC available ,land owner is not agreeing for lease </t>
  </si>
  <si>
    <t>Village Warur Kh. on Shevgaon Akhegaon Road Tal Shevgaon</t>
  </si>
  <si>
    <t>MANISHA BALASAHEB MURDARE</t>
  </si>
  <si>
    <t>R/2023/IN001539/MAH/000122/3203/00047</t>
  </si>
  <si>
    <t>LOI holder not responding- not collected LOI - to be cancelled</t>
  </si>
  <si>
    <t>From Dahiwadi to Yelegaon on Dahiwadi Phaltan Road</t>
  </si>
  <si>
    <t>KUNAL DURYODHAN WAGHMARE</t>
  </si>
  <si>
    <t>Satara RSA</t>
  </si>
  <si>
    <t>R/2023/IN001670/MAH/000168/3203/00061</t>
  </si>
  <si>
    <t>Khalumbre to Sudanvadi on LHS on Talegaon Chakan Road</t>
  </si>
  <si>
    <t>ISHWAR TECHWANI</t>
  </si>
  <si>
    <t>R/2023/IN001676/MAH/000170/3203/00063</t>
  </si>
  <si>
    <t>Candidate has written mail for Cancelaltion</t>
  </si>
  <si>
    <t>Land dispute b/w land owner and LOI holder; High demand for doing NA</t>
  </si>
  <si>
    <t>At Jadhav Mala, Siddharth Nagar on 25m DP Road, within Ahmednagar Muncipal Limits</t>
  </si>
  <si>
    <t>JAYANT MACHINDRANATH JADHAV</t>
  </si>
  <si>
    <t>R/2023/IN001763/MAH/000180/3203/00065</t>
  </si>
  <si>
    <t>Land is not Available. School is proposed on the land</t>
  </si>
  <si>
    <t>LOI Holder has provided the land for school. LOI needs to be cancelled</t>
  </si>
  <si>
    <t>NOC pending from TP,  LSR pending</t>
  </si>
  <si>
    <t xml:space="preserve">Within 2 kms From Athithi Veg Restaurant, near Sinhagad Road towards Hinge khurd on Tukai Nagar Road under PMC Limits </t>
  </si>
  <si>
    <t>R/2023/IN001765/MAH/000181/3203/00066</t>
  </si>
  <si>
    <t>Candidate slow</t>
  </si>
  <si>
    <t>Within 2 kms From intersection of Katraj-Ambegaon BK Road and Dattanagar Road towards Narhe on Katraj Ambegaon BK Narhe Road</t>
  </si>
  <si>
    <t>R/2023/IN001868/MAH/000197/3203/00073</t>
  </si>
  <si>
    <t>Candidate is slow, having multiple LOIs. We have issued him a letter for expediting NOC Process.</t>
  </si>
  <si>
    <t xml:space="preserve">Change of Land due to BPCL RO already available adjacent to Land </t>
  </si>
  <si>
    <t>Within 3 KM from intersection of Pune Satara NH and Shirwal Lonand Road toward Lonand on Shirwal Lonand Road</t>
  </si>
  <si>
    <t>R/2023/IN001861/MAH/000193/3203/00069</t>
  </si>
  <si>
    <t>From Lonand to Taradgaon on Lonand Phaltan Road</t>
  </si>
  <si>
    <t>RAMDAS SAMPAT MAHANVAR</t>
  </si>
  <si>
    <t>R/2023/IN002096/MAH/000234/3203/00083</t>
  </si>
  <si>
    <t>Candidate is not interested on the land offered with LOI and wants land change outside advertisement area</t>
  </si>
  <si>
    <t>From KM stone 11 to 13 on RHS on SH (Shirur-Satara Road )</t>
  </si>
  <si>
    <t>PUJA LAHU ZENDE</t>
  </si>
  <si>
    <t>R/2023/IN002338/MAH/000274/3203/00089</t>
  </si>
  <si>
    <t>Candidate did not provide any alternate land, even after alternate land offer</t>
  </si>
  <si>
    <t xml:space="preserve">Alternate land paper didnt provided by candidate in 180 days </t>
  </si>
  <si>
    <t>Recommendation by 15.05.2026</t>
  </si>
  <si>
    <t xml:space="preserve">Within 4 km from Warje bridge towards Chandni Chowk on LHS of Pune Satara Highway </t>
  </si>
  <si>
    <t>RAVINDRA SAKHARAM TAGUNDE</t>
  </si>
  <si>
    <t>R/2023/IN002358/MAH/000275/3203/00090</t>
  </si>
  <si>
    <t>Land issue</t>
  </si>
  <si>
    <t>Site requiresd MOD Approval, which is main reason for delay. Land requires biodiversity approval</t>
  </si>
  <si>
    <t>Biodiversity park issue</t>
  </si>
  <si>
    <t>On LHS, From Bhagwatipur to Loni on Kolhar-Loni NH</t>
  </si>
  <si>
    <t>PRIYANKA RAJESH KATKAR</t>
  </si>
  <si>
    <t>R/2023/IN002943/MAH/000311/3203/00091</t>
  </si>
  <si>
    <t>LOI needs to be cancelled</t>
  </si>
  <si>
    <t>Non interested candidate.</t>
  </si>
  <si>
    <t>Within 2 Km from Mahatma Phule Signal chowk,Mundhwa on Manjari Road(WITHIN PUNE MUNCIPAL LIMITS)</t>
  </si>
  <si>
    <t>SWARAJ MILIND KODRE</t>
  </si>
  <si>
    <t>R/2023/IN002978/MAH/000316/3203/00095</t>
  </si>
  <si>
    <t>Candidate is not responding</t>
  </si>
  <si>
    <t xml:space="preserve">From Village Pargaon Shingave to Village Manjarwadi on LHS on SH </t>
  </si>
  <si>
    <t>YOGESH BALASAHEB WAGH</t>
  </si>
  <si>
    <t>R/2023/IN003096/MAH/000339/3203/00099</t>
  </si>
  <si>
    <t xml:space="preserve">Candidate not responding,Mauzni is not submitted by candidate till now </t>
  </si>
  <si>
    <t>Shahid Ashok Kamte Smart Park to Pimple Nilakh Water Tank</t>
  </si>
  <si>
    <t>SACHIN SURESHRAO TAKALE</t>
  </si>
  <si>
    <t>R/2023/IN003111/MAH/000341/3203/00100</t>
  </si>
  <si>
    <t>Land is not available due to dispute among owners</t>
  </si>
  <si>
    <t>There is land reservation on land by PCMC</t>
  </si>
  <si>
    <t>From Bhakti Shakti Flyover Chowk to Mukai Chowk RHS</t>
  </si>
  <si>
    <t>CHIRAG RAMAKANT PAWAR</t>
  </si>
  <si>
    <t>R/2023/IN003091/MAH/000337/3203/00097</t>
  </si>
  <si>
    <t>PCMC plan yet to be passed, land issue</t>
  </si>
  <si>
    <t>From KM stone 11 to 13 on LHS on SH (Shirur-Satara Road )</t>
  </si>
  <si>
    <t>ATUL TANAJI BENDRE</t>
  </si>
  <si>
    <t>R/2023/IN003149/MAH/000344/3203/00102</t>
  </si>
  <si>
    <t>Landowner is not agreeing now and Land may be cahnged after statutory rejection. PWD issue</t>
  </si>
  <si>
    <t>From Kondhapuri to Karegaon on RHS on NH (Pune-Ahmednagar road)</t>
  </si>
  <si>
    <t>SANJAY SHIVAJI SHELKE</t>
  </si>
  <si>
    <t>R/2023/IN003261/MAH/000356/3203/00104</t>
  </si>
  <si>
    <t>There is criminal case against candfidate hence he is unable to get Police NOC</t>
  </si>
  <si>
    <t>There is criminal case against candfidate hence he is unable to get Police NOC,residence visit required by 30.05.2026</t>
  </si>
  <si>
    <t>by 30.05.2026</t>
  </si>
  <si>
    <t>From Dalaj Phata to Loni Deokar on LHS of Pune- Solapur NH</t>
  </si>
  <si>
    <t>ARTI HEMANT BEDRE</t>
  </si>
  <si>
    <t>R/2023/IN003328/MAH/000370/3203/00113</t>
  </si>
  <si>
    <t>Land issue, on Paper and Physical land Mismatch in 7/12</t>
  </si>
  <si>
    <t>financially weak LOI holder. Land issue</t>
  </si>
  <si>
    <t>From Bhakti Shakti Flyover Chowk to Mukai Chowk LHS</t>
  </si>
  <si>
    <t>DEEPAK ATMARAM DERE</t>
  </si>
  <si>
    <t>R/2023/IN003305/MAH/000364/3203/00111</t>
  </si>
  <si>
    <t>land yet to be transferred in LOI holder name, all NOC pending- regtd lease deed to be done</t>
  </si>
  <si>
    <t>From Khadi Machine Chowk to Undri Chowk</t>
  </si>
  <si>
    <t>VISHAL ARUN KAD</t>
  </si>
  <si>
    <t>R/2023/IN003674/MAH/000406/3203/00126</t>
  </si>
  <si>
    <t>Land under litigation</t>
  </si>
  <si>
    <t>Control line issue, zoning pending</t>
  </si>
  <si>
    <t>From Datta Chowk Karad to Rajmachi on Karad Vita Road</t>
  </si>
  <si>
    <t>RAJU SAHEBKHAN TADAVI</t>
  </si>
  <si>
    <t>R/2023/IN004181/MAH/000459/3203/00138</t>
  </si>
  <si>
    <t>NH elevated road passing in front of RO, NOC not possible</t>
  </si>
  <si>
    <t>Site cannot get NH NOC due to bridge</t>
  </si>
  <si>
    <t>Candidate to produce NOC rejection letter so as to explore alternate site option</t>
  </si>
  <si>
    <t>Within 2 Km from Talathi Office,Wagholi on Baif Road towards Domkhel Wasti under PMC Limits</t>
  </si>
  <si>
    <t>PRANAV DEEPAK DHAVALE</t>
  </si>
  <si>
    <t>R/2023/IN004175/MAH/000457/3203/00136</t>
  </si>
  <si>
    <t>LOI not yet received by LOI holder, HPC LOI taken</t>
  </si>
  <si>
    <t>From Somatane Phata to Dehu Road police station on LHS of NH(Pune-Bangalore Highway)</t>
  </si>
  <si>
    <t>AKSHAY MACHHINDRA MURHE</t>
  </si>
  <si>
    <t>R/2023/IN004185/MAH/000460/3203/00139</t>
  </si>
  <si>
    <t>No Progress in NOC, Proposed land has Hotel</t>
  </si>
  <si>
    <t xml:space="preserve">The land is not available and Candidate is not interested </t>
  </si>
  <si>
    <t xml:space="preserve">From KM stone 133 to 131 on RHS of Surur-Wai Road </t>
  </si>
  <si>
    <t>MANGESH SADHU JAGTAP</t>
  </si>
  <si>
    <t>R/2023/IN004173/MAH/000456/3203/00135</t>
  </si>
  <si>
    <t>Cannot be ascertained as candidate is not traceable</t>
  </si>
  <si>
    <t>Unresponsive candidate not traceable. called on registered mobile number on 20.04.2026 but receiver told he does not know anyone named mangesh</t>
  </si>
  <si>
    <t>To be recommended for cancellation after physically reaching to the candidate</t>
  </si>
  <si>
    <t>Drawing available</t>
  </si>
  <si>
    <t xml:space="preserve">From Saswad to Yewalewadi on Yewelawadi-Bopdev- Saswad Road </t>
  </si>
  <si>
    <t>Bhushan Dattatray Shendkar</t>
  </si>
  <si>
    <t>R/2023/IN004350/MAH/000471/3203/00147</t>
  </si>
  <si>
    <t xml:space="preserve">From KM STONE 757 TO 755 ON RHS of Pune to Satara Road </t>
  </si>
  <si>
    <t>YASHORDHAN SADASHIV SHINDE</t>
  </si>
  <si>
    <t>R/2023/IN004340/MAH/000467/3203/00143</t>
  </si>
  <si>
    <t>Land is not available due to dispute from landowner</t>
  </si>
  <si>
    <t>CANDIDATE IS HAVING TOO MANY LOIs, land yet to be transferred to LOI holder name. Internat dispute of landowners</t>
  </si>
  <si>
    <t>MOM drawn and time given till 31.07.2026. To be recommended for cancellation afer July 2026.</t>
  </si>
  <si>
    <t>From Tehsildar Office Karad to Village Shere on Karad Tasgaon Road</t>
  </si>
  <si>
    <t>MANGESH RAJENDRA SHINDE</t>
  </si>
  <si>
    <t>R/2023/IN004346/MAH/000468/3203/00144</t>
  </si>
  <si>
    <t>Unresponsive candidate. mangesh is relative of contact person as per application. Mangesh not lifted on 12.02.2026 and 12.03.2026.Always another person on registered number lift who claims he is not mangesh. He has provided another number over which mangesh does not lift as on 20.04.2026</t>
  </si>
  <si>
    <t>From Lonikand to Koregaonbhima on LHS on NH (PUNE-AHMEDNAGAR ROAD)</t>
  </si>
  <si>
    <t>ATUL DNYANESHWAR KATKE</t>
  </si>
  <si>
    <t>R/2023/IN006244/MAH/000585/3203/00172</t>
  </si>
  <si>
    <t>Land revised Mojini is done due to road widening hence LSR is required again and Negotiation to be done.</t>
  </si>
  <si>
    <t>Land issue ,Meeting is scheduled on 24.05.2026</t>
  </si>
  <si>
    <t xml:space="preserve"> On RHS, From Bhagwatipur to Loni on Kolhar-Loni NH</t>
  </si>
  <si>
    <t>AMOL AMBADAS THETE</t>
  </si>
  <si>
    <t>R/2023/IN006026/MAH/000567/3203/00163</t>
  </si>
  <si>
    <t>From Hiwarwadi to Vadjal on Mayani Mhaswad Road</t>
  </si>
  <si>
    <t>VIJAYA SUNIL WAGH</t>
  </si>
  <si>
    <t>R/2023/IN006013/MAH/000564/3203/00161</t>
  </si>
  <si>
    <t>Candidate stopped responding</t>
  </si>
  <si>
    <t>Within 2 Km from Khed Bus Stand towards Rashin on Bhigwan-Rashin SH</t>
  </si>
  <si>
    <t>KAILAS ANKUSH MORE</t>
  </si>
  <si>
    <t>R/2023/IN006006/MAH/000562/3203/00160</t>
  </si>
  <si>
    <t>MORTH NOC issue, HPC RO on opposite side</t>
  </si>
  <si>
    <t>Due to issue as HPC RO on opposite site.</t>
  </si>
  <si>
    <t>Within 5 KM from Mahaveer Chowk Phaltan Towards Satara on Phaltan Satara Road</t>
  </si>
  <si>
    <t>AJAY ARUN BHOITE</t>
  </si>
  <si>
    <t>R/2023/IN006056/MAH/000570/3203/00165</t>
  </si>
  <si>
    <t>PWD Pending, complaint  registered for location and same is closed,Need further clearance form PWD, SDO, TP. Site is 30x30 and PDW is asking plot size 35x35. LOI can be cancelled. NOC is denied by Collector</t>
  </si>
  <si>
    <t>From Laxmi Chowk to the Main Gate of Kolte Patil Life Republic on Marunji - Kasarsai Road</t>
  </si>
  <si>
    <t>RUTUJA MILIND KAMBLE</t>
  </si>
  <si>
    <t>R/2023/IN006187/MAH/000575/3203/00167</t>
  </si>
  <si>
    <t>Land Not finalized</t>
  </si>
  <si>
    <t>From Pusegaon Bus Stand To Khatav on Pusegaon Vaduj Road</t>
  </si>
  <si>
    <t>MANOJ DILIP GHANVAT</t>
  </si>
  <si>
    <t>R/2023/IN005950/MAH/000553/3203/00155</t>
  </si>
  <si>
    <t>PHP ( OBC )</t>
  </si>
  <si>
    <t>Candidate has not collected LOI despite several reminders</t>
  </si>
  <si>
    <t>From Talegaon Dhamdere to Parodi on NH (Shikrapur-Nhavare Road)</t>
  </si>
  <si>
    <t>BHARAT VISHNU GHOLAP</t>
  </si>
  <si>
    <t>R/2023/IN006195/MAH/000577/3203/00168</t>
  </si>
  <si>
    <t>Land was changed however again NH is denying NOC on land</t>
  </si>
  <si>
    <t xml:space="preserve">Alternate land offer given by candidate ,LEC is pending </t>
  </si>
  <si>
    <t>From Baner Road Bridge on Pune Satara Highway to Mahalunge - Mann Hi Tech City Circle on Mahalunge - Nande Road within PMC Limits</t>
  </si>
  <si>
    <t>SHRUTI SHASHANK BAIS</t>
  </si>
  <si>
    <t>R/2023/IN006309/MAH/000591/3203/00173</t>
  </si>
  <si>
    <t>Land not finalised / leased</t>
  </si>
  <si>
    <t xml:space="preserve"> From KM stone 764 to 762 on LHS of Pune To Satara NH</t>
  </si>
  <si>
    <t>R/2023/IN006320/MAH/000592/3203/00174</t>
  </si>
  <si>
    <t>Unresponsive candidate having so many LOIs. Layout not yet prepared. Moujini not submitted</t>
  </si>
  <si>
    <t>Candidate has been given time till 31.05.2026 to apply all NOCs post which it shall be recommended for further action</t>
  </si>
  <si>
    <t>Within 2 Km from Karpadi Phata towards Rasin on Bhigwan-Amrapur SH</t>
  </si>
  <si>
    <t>JYOTI HAUSRAO WAGH</t>
  </si>
  <si>
    <t>R/2024/IN002149/MAH/000136/3203/00008</t>
  </si>
  <si>
    <t>candidate not responding</t>
  </si>
  <si>
    <t>Within 5 Km from Tasawde Toll plaza towards Karad On LHS of Pune to Satara NH</t>
  </si>
  <si>
    <t>NIRANJAN SATISH SALUNKHE</t>
  </si>
  <si>
    <t>R/2024/IN002137/MAH/000129/3203/00006</t>
  </si>
  <si>
    <t>OMC LOI in hand at nearby Plot. As per candidate, site has lost its viablity due to overbridge</t>
  </si>
  <si>
    <t>Canddiate has been approached multiple times to be present at satara meets but did not turn up. LOI to be recommended for cancellation post physically reaching the candidate by 31.05.2026</t>
  </si>
  <si>
    <t>From Village Kendur to Village Choufulla on MDR (Choufulla-Pabal road)</t>
  </si>
  <si>
    <t>VAISHALI TUKARAM TATHE</t>
  </si>
  <si>
    <t>R/2024/IN002250/MAH/000180/3203/00015</t>
  </si>
  <si>
    <t>Yes but in Next FY</t>
  </si>
  <si>
    <t>Mouzini not yet provided</t>
  </si>
  <si>
    <t>applied</t>
  </si>
  <si>
    <t xml:space="preserve"> From KM stone 770 to 768 on LHS of Pune To Satara NH</t>
  </si>
  <si>
    <t>PRAVIN BHAGWAN BULUNGE</t>
  </si>
  <si>
    <t>R/2024/IN002265/MAH/000188/3203/00023</t>
  </si>
  <si>
    <t>Unresponsive candidate having so many LOIs.LOI not yet collected Layout not yet prepared. Moujini not submitted</t>
  </si>
  <si>
    <t xml:space="preserve">Moshi Toll to Chakan Chowk on LHS of Pune Nashik Highway </t>
  </si>
  <si>
    <t>SHIVAJI S SONAWANE</t>
  </si>
  <si>
    <t>R/2024/IN002257/MAH/000182/3203/00017</t>
  </si>
  <si>
    <t>Land dispute</t>
  </si>
  <si>
    <t>Within 2 km from Nevasa Phata towards Ahmednagar on Pune-Aurangabad NH</t>
  </si>
  <si>
    <t>PRAMOD KAKASAHEB SHINDE</t>
  </si>
  <si>
    <t>R/2024/IN002262/MAH/000186/3203/00021</t>
  </si>
  <si>
    <t>Candidate denied due to large investment. Written confirmation to be collected by FO</t>
  </si>
  <si>
    <t>On LHS of Pune-Solapur NH, From Vangali to inter-section of Indapur Bypaas &amp; Akluj Highway</t>
  </si>
  <si>
    <t>GUNAVANT BALIRAM BANSODE</t>
  </si>
  <si>
    <t>R/2024/IN002391/MAH/000206/3203/00037</t>
  </si>
  <si>
    <t>From Shitpur Phata to Nimbodi Phata on Shrigonda-Jamkhed NH</t>
  </si>
  <si>
    <t>MOSIM DAUT SHAIKH</t>
  </si>
  <si>
    <t>R/2024/IN002363/MAH/000193/3203/00028</t>
  </si>
  <si>
    <t>Multiple LOI in same stretch, one LOI commissioned soon.</t>
  </si>
  <si>
    <t>From Bandalwadi to Kanheri on State highway (Indapur Road)</t>
  </si>
  <si>
    <t>BARAMATI AGRO LIMITED</t>
  </si>
  <si>
    <t>R/2024/IN002406/MAH/000210/3203/00041</t>
  </si>
  <si>
    <t>Heavy charge on Land, Site May not be commissioned</t>
  </si>
  <si>
    <t xml:space="preserve">There is charge of 200 cr on the land , the management of Barmati Agros is willing to commission the RO based if permission of self installed CBG is provided . The proposal received from the candidate is sent to HO for review. Only PWD NOC is pending </t>
  </si>
  <si>
    <t>Within 5 Kms from Wagholi towards lohegaon on Wagholi -Lohegaon Road</t>
  </si>
  <si>
    <t>PRATHAMESH VINAYAK JAWARE</t>
  </si>
  <si>
    <t>R/2024/IN002380/MAH/000203/3203/00034</t>
  </si>
  <si>
    <t>Not responding</t>
  </si>
  <si>
    <t>From Zilla Parishad School Waghmode Wadi towards Deulgaon Siddhi on Deulgaon Siddhi-Baburdi Bend road</t>
  </si>
  <si>
    <t>DNYANESHWAR KISAN FOLE</t>
  </si>
  <si>
    <t>R/2024/IN002383/MAH/000205/3203/00036</t>
  </si>
  <si>
    <t>Non-responding candidate.</t>
  </si>
  <si>
    <t>Land dispute for drawing preparation</t>
  </si>
  <si>
    <t>Within 2 km From Jawala Bus Stand towards Jamkhed on Jamkhed-Karmala Road</t>
  </si>
  <si>
    <t>RAVINDRA MAHADEV KOLHE</t>
  </si>
  <si>
    <t>R/2024/IN002369/MAH/000199/3203/00032</t>
  </si>
  <si>
    <t>Due to PWD accress permission issue.</t>
  </si>
  <si>
    <t xml:space="preserve">On LHS From Venavadi to Ambeghar on National Highway (Bhor-Shirwal Road) </t>
  </si>
  <si>
    <t>R/2024/IN002361/MAH/000191/3203/00026</t>
  </si>
  <si>
    <t>Candidate has been counselled again on 30.04.2026. He has requested for 1 month.</t>
  </si>
  <si>
    <t>From Miri to Maka on Vambori-Shevgaon SH</t>
  </si>
  <si>
    <t>SUBHASH EKNATH NAWALE</t>
  </si>
  <si>
    <t>R/2024/IN002434/MAH/000216/3203/00045</t>
  </si>
  <si>
    <t>No Progress by Candidate</t>
  </si>
  <si>
    <t>Candidate has been very slow in NOC process</t>
  </si>
  <si>
    <t xml:space="preserve">Final NA pending, TP </t>
  </si>
  <si>
    <t>Within 5 KMs from Arogyavardhani Kendra , Male on Mulshi Road towards Pirangut on National Highway</t>
  </si>
  <si>
    <t>YOGESH LAXMAN THOMBARE</t>
  </si>
  <si>
    <t>R/2024/IN002464/MAH/000229/3203/00058</t>
  </si>
  <si>
    <t>Slow candidate</t>
  </si>
  <si>
    <t>From Mhaswad To Dhuldev on Satara Pandharpur Road</t>
  </si>
  <si>
    <t>HANMANT GANPATI PAWAR</t>
  </si>
  <si>
    <t>R/2024/IN002437/MAH/000218/3203/00047</t>
  </si>
  <si>
    <t>From V-Trans (India) Limited to Narvir Tanaji Malusare Chowk, Village Vanjarvadi, Baramati</t>
  </si>
  <si>
    <t>SUNNY BABASAHEB GALINDE</t>
  </si>
  <si>
    <t>R/2024/IN002431/MAH/000213/3203/00042</t>
  </si>
  <si>
    <t>LOI not collected by the candidate yet</t>
  </si>
  <si>
    <t>Within 5 KM from Hotel Jakson Inn Nimbhore towards Phaltan on Lonand Phaltan Road</t>
  </si>
  <si>
    <t>LAKHAN SAVALARAM BARKADE</t>
  </si>
  <si>
    <t>R/2024/IN002452/MAH/000225/3203/00054</t>
  </si>
  <si>
    <t>From Village Atit To Kashil On RHS of Satara- Karad NH</t>
  </si>
  <si>
    <t>TUSHAR VISHWANATH BHISE</t>
  </si>
  <si>
    <t>R/2024/IN002451/MAH/000224/3203/00053</t>
  </si>
  <si>
    <t>Land not available. financially weak candidate</t>
  </si>
  <si>
    <t>Recommended for cancellation in Apr 2026</t>
  </si>
  <si>
    <t>From Mindewadi Chowk to Navlakh Umbre Chowk</t>
  </si>
  <si>
    <t>PRATAP BABUSHA JADHAV</t>
  </si>
  <si>
    <t>R/2024/IN002476/MAH/000231/3203/00060</t>
  </si>
  <si>
    <t xml:space="preserve">Land issue as conversion charges are very high and candidate not showing interested </t>
  </si>
  <si>
    <t>Slow candidate, non responsive</t>
  </si>
  <si>
    <t xml:space="preserve">Within 2 km From Navle Bridge Bus Stop towards Wadgaon bridge on LHS </t>
  </si>
  <si>
    <t>R/2024/IN002494/MAH/000240/3203/00069</t>
  </si>
  <si>
    <t xml:space="preserve">On LHS, From Junction to Bawada via Walchandnagar-Nimsakhar-Redani on SH </t>
  </si>
  <si>
    <t>ABHISHEK SURESH NIDBANE</t>
  </si>
  <si>
    <t>R/2024/IN002514/MAH/000252/3203/00076</t>
  </si>
  <si>
    <t>Alternate land offer is given, however the candidate is unable to arrange the land</t>
  </si>
  <si>
    <t>Dispute b/w land owner and LOI holder</t>
  </si>
  <si>
    <t>Triveni Hospital Chowk to Ravet Police Station ( Walhekarwadi Road)</t>
  </si>
  <si>
    <t>SANDESH PRALHAD SONAWANE</t>
  </si>
  <si>
    <t>R/2024/IN002519/MAH/000254/3203/00077</t>
  </si>
  <si>
    <t>LSR awaited, Negotiation pending. Land is showing less in 7/12. 7/12 needs updation.</t>
  </si>
  <si>
    <t>From Village Ravadewadi to Village Pargaon Shingave on LHS on LHS on SH</t>
  </si>
  <si>
    <t>BHARATA PARAJI DHOBALE</t>
  </si>
  <si>
    <t>R/2024/IN002550/MAH/000260/3203/00080</t>
  </si>
  <si>
    <t xml:space="preserve">Dispute b/w land owner and LOI </t>
  </si>
  <si>
    <t>From Puntamba Phata to Zagde Phata on Sangamner-Kopargaon NH</t>
  </si>
  <si>
    <t>MANISHA RAMNATH KANDALKAR</t>
  </si>
  <si>
    <t>R/2024/IN002778/MAH/000307/3203/00091</t>
  </si>
  <si>
    <t>There is NH intersection within 300 Mt.</t>
  </si>
  <si>
    <t>Slow Candidate and there is NH intersection issue.</t>
  </si>
  <si>
    <t>Within 4 Km from Krantisury Mahatma Phule Chowk (Rashin) towards Bhigwan on Bhigwan-Rashin SH</t>
  </si>
  <si>
    <t>MIRAJGAON MULTIPURPOSE CO OP S</t>
  </si>
  <si>
    <t>R/2024/IN002777/MAH/000306/3203/00090</t>
  </si>
  <si>
    <t>CC-2 PACS</t>
  </si>
  <si>
    <t>Land yet to decide by society as applied under Group 2 beside not responding.</t>
  </si>
  <si>
    <t>Within 2 km from Entry Junction of Village Ghugalwadgaon towards Mandavganon Shrigonda-Mandavgaon road</t>
  </si>
  <si>
    <t>VIKAS BARKU GONDHALI</t>
  </si>
  <si>
    <t>R/2024/IN002770/MAH/000299/3203/00086</t>
  </si>
  <si>
    <t>Alternate land requested and offered but not available in same stretch due to forest NOC issue.</t>
  </si>
  <si>
    <t>From Dalaj Phata to Junction on Dalaj -Walchandnagar SH</t>
  </si>
  <si>
    <t>DATTATRAY APPAJI KAMBLE</t>
  </si>
  <si>
    <t>R/2024/IN002844/MAH/000323/3203/00095</t>
  </si>
  <si>
    <t>Site visit done. Maujni Not available</t>
  </si>
  <si>
    <t>Within 10 Km from Nira on RHS of Shirur-Satara Road towards Morgaon</t>
  </si>
  <si>
    <t>ATUL KALYANRAO KAKADE</t>
  </si>
  <si>
    <t>R/2024/IN002846/MAH/000324/3203/00096</t>
  </si>
  <si>
    <t>Financial issue of dealer</t>
  </si>
  <si>
    <t>ON SHEVGAON TO GEORAI ROADWITHIN 5 KM FROM NITYA SEVA HOSPITAL TOWARDS GEORA</t>
  </si>
  <si>
    <t>DIPAK ASHOK KALE</t>
  </si>
  <si>
    <t>M/2024/IN003545/MAH/000390/3203/00106</t>
  </si>
  <si>
    <t>No Progress by Candidate. Mojani is pending</t>
  </si>
  <si>
    <t>Land change required</t>
  </si>
  <si>
    <t>AT JEJURI ON LHS OFJEJURI-NIRA NH</t>
  </si>
  <si>
    <t>Radhika Harish Sonawane</t>
  </si>
  <si>
    <t>M/2024/IN003774/MAH/000408/3203/00109</t>
  </si>
  <si>
    <t>Land issue, Candidate not responding</t>
  </si>
  <si>
    <t>From Aundh To Rahimatpur (On SH) on Satara Rahimatpur Road</t>
  </si>
  <si>
    <t>ASHOK GOVIND NIRGUDA</t>
  </si>
  <si>
    <t>9834714125/7039891038</t>
  </si>
  <si>
    <t>R/2024/IN003781/MAH/000409/3203/00110</t>
  </si>
  <si>
    <t>Ellen and Gosavi</t>
  </si>
  <si>
    <t>NOC rejected, Alternate land offer in Progress</t>
  </si>
  <si>
    <t>NOC rejected, Alternate land offer in Progress-LEC yet to be done</t>
  </si>
  <si>
    <t>From Wathar to Deur on Satara Lonand Road</t>
  </si>
  <si>
    <t>VISHAL DATTATRAYA TIRMAKE</t>
  </si>
  <si>
    <t>R/2024/IN003799/MAH/000414/3203/00113</t>
  </si>
  <si>
    <t>Land is not abutting the road</t>
  </si>
  <si>
    <t xml:space="preserve">From Village Shiwade To Village Varade On LHS of Satara to Karad Road </t>
  </si>
  <si>
    <t>SHASHIKANT RAMCHANDR DEVKAR</t>
  </si>
  <si>
    <t>R/2024/IN004204/MAH/000430/3203/00119</t>
  </si>
  <si>
    <t>MOM drawn for non availability of land. Will be recommended for cancellation by 15.05.2026</t>
  </si>
  <si>
    <t xml:space="preserve">Within 5km from IOCL Loni Terminal towards Solapur on Pune - Solapur NH </t>
  </si>
  <si>
    <t>DEEPAK BHAGAVANT GOTE</t>
  </si>
  <si>
    <t>R/2024/IN004517/MAH/000462/3203/00123</t>
  </si>
  <si>
    <t>Candidate has no sufficient frontage</t>
  </si>
  <si>
    <t>From Shivajiraje Chowk (Jejuri) to Jejuri MIDC on RHS of Saswad-Pandarpur Road towards Nira</t>
  </si>
  <si>
    <t>SAHIL DHNYNESHWAR PAWAR</t>
  </si>
  <si>
    <t>R/2024/IN004522/MAH/000466/3203/00127</t>
  </si>
  <si>
    <t>Land Issue, Candidate is not responding</t>
  </si>
  <si>
    <t xml:space="preserve">Thermax Chowk to Pune Nashik Road Junction on Nigdi Bhosari Road </t>
  </si>
  <si>
    <t>VISHAL DILWAR PAWARA</t>
  </si>
  <si>
    <t>R/2024/IN004769/MAH/000474/3203/00130</t>
  </si>
  <si>
    <t>Commercial conversion fee is very high. Not viable for LOI holder. LOI holder is not responding now</t>
  </si>
  <si>
    <t xml:space="preserve">Hefty amount required for NA from industrial to Commercial </t>
  </si>
  <si>
    <t>From Loni Deokar to Vangali on LHS of Pune-Solapur NH towards Solapur</t>
  </si>
  <si>
    <t>ONKAR SHIVAJI SHINDE</t>
  </si>
  <si>
    <t>R/2025/IN000079/MAH/000009/3203/00002</t>
  </si>
  <si>
    <t>Candidate is not reposonding</t>
  </si>
  <si>
    <t>From Shri Siddheshwar Vidhyalaya (Bhambora) to Mahdev Mandir on Rashin-Siddhitek SH</t>
  </si>
  <si>
    <t>OMKAR AMRUT KHARADE</t>
  </si>
  <si>
    <t>R/2025/IN000089/MAH/000010/3203/00003</t>
  </si>
  <si>
    <t>Yes LOI cancelled.</t>
  </si>
  <si>
    <t>Within 2 Km from Karjat Bus Stand towards Karmala on Karjat-Karmala SH</t>
  </si>
  <si>
    <t>SHITAL NITIN KADAM</t>
  </si>
  <si>
    <t>R/2025/IN000090/MAH/000011/3203/00004</t>
  </si>
  <si>
    <t>On LHS Within 5 km from Supa Toll Plaza towards Pune on Pune-Aurangabad NH</t>
  </si>
  <si>
    <t>SANDIP LAXMAN ITHAPE</t>
  </si>
  <si>
    <t>R/2025/IN000255/MAH/000034/3203/00010</t>
  </si>
  <si>
    <t>LOI cancelled from MSO</t>
  </si>
  <si>
    <t>Village Belwandi,Taluk Shrigonda on Shrigonda Shirur Road</t>
  </si>
  <si>
    <t>DHANANJAY SUDHAKAR LATE</t>
  </si>
  <si>
    <t>R/2025/IN000332/MAH/000050/3203/00013</t>
  </si>
  <si>
    <t>Land yet to decide by society as applied under Group 2</t>
  </si>
  <si>
    <t>From Vadi To Kalambi on Rahimatpur Pusesavali Road</t>
  </si>
  <si>
    <t>SUMIT SANJAY WAYADANDE</t>
  </si>
  <si>
    <t>R/2025/IN000387/MAH/000055/3203/00014</t>
  </si>
  <si>
    <t>Very Slow Candidate. No Progress in NOC</t>
  </si>
  <si>
    <t>From Diskal To Shendgewadi on Pusegaon Phaltan Road</t>
  </si>
  <si>
    <t>RANJANA BABU SABALE</t>
  </si>
  <si>
    <t>R/2025/IN000427/MAH/000059/3203/00015</t>
  </si>
  <si>
    <t>Within 3 KM from Mhaswad Bus Stand Towards Dahiwadi on Mhaswad Dahiwadi Road</t>
  </si>
  <si>
    <t>SHRI AMOL RUSTUMA TAPARE</t>
  </si>
  <si>
    <t>R/2025/IN000823/MAH/000096/3203/00028</t>
  </si>
  <si>
    <t>Total</t>
  </si>
  <si>
    <t>Already Commissioned</t>
  </si>
  <si>
    <t>Commissionable in this FY</t>
  </si>
  <si>
    <t>Drawing</t>
  </si>
  <si>
    <t>All COM</t>
  </si>
  <si>
    <t>RSA</t>
  </si>
  <si>
    <t>A+B</t>
  </si>
  <si>
    <t>otal</t>
  </si>
  <si>
    <t>Tally</t>
  </si>
  <si>
    <t>Pending LOI - Class of Market Wise-As of 01.10.25</t>
  </si>
  <si>
    <t>Divisional Office</t>
  </si>
  <si>
    <t>Pune DO</t>
  </si>
  <si>
    <t>Planned 2025-26</t>
  </si>
  <si>
    <t>Aready Commissioned</t>
  </si>
  <si>
    <t>- Age analysis as of 01.07.25</t>
  </si>
  <si>
    <t>DO</t>
  </si>
  <si>
    <t>0-6M</t>
  </si>
  <si>
    <t>6-12M</t>
  </si>
  <si>
    <t>1-2Y</t>
  </si>
  <si>
    <t>2-3Y</t>
  </si>
  <si>
    <t>3-4Y</t>
  </si>
  <si>
    <t>4-5Y</t>
  </si>
  <si>
    <t>&gt;5Y</t>
  </si>
  <si>
    <t>&gt; 5Y</t>
  </si>
  <si>
    <t>NOC Age Analysis – As of 01.07.25</t>
  </si>
  <si>
    <t>Grand Total</t>
  </si>
  <si>
    <t>0-3M</t>
  </si>
  <si>
    <t>3-6M</t>
  </si>
  <si>
    <t>Above 1Y</t>
  </si>
  <si>
    <t>commissionable Pending</t>
  </si>
  <si>
    <t>Commissioning</t>
  </si>
  <si>
    <t>LOI Generation</t>
  </si>
  <si>
    <t>LOIs as on 01.04.2026</t>
  </si>
  <si>
    <t>Commissioning in Apr'26</t>
  </si>
  <si>
    <t>LOI Issued in Apr'26</t>
  </si>
  <si>
    <t>Commissioning in May'26</t>
  </si>
  <si>
    <t>LOI Issued in May'26</t>
  </si>
  <si>
    <t>Commissioning in Jun'26</t>
  </si>
  <si>
    <t>LOI Issued in Jun'26</t>
  </si>
  <si>
    <t>Commissioning in Jul'26</t>
  </si>
  <si>
    <t>LOI Issued in Jul'26</t>
  </si>
  <si>
    <t>Commissioning in Aug'26</t>
  </si>
  <si>
    <t>LOI Issued in Aug'26</t>
  </si>
  <si>
    <t>Commissioning in Sep'26</t>
  </si>
  <si>
    <t>LOI Issued in Sep'26</t>
  </si>
  <si>
    <t>Commissioning in Oct'26</t>
  </si>
  <si>
    <t>LOI Issued in Oct'26</t>
  </si>
  <si>
    <t>Commissioning in Nov'26</t>
  </si>
  <si>
    <t>LOI Issued in Nov'26</t>
  </si>
  <si>
    <t>Commissioning in Dec'26</t>
  </si>
  <si>
    <t>LOI Issued in Dec'26</t>
  </si>
  <si>
    <t>Commissioning in Jan'27</t>
  </si>
  <si>
    <t>LOI Issued in Jan'27</t>
  </si>
  <si>
    <t>Commissioning in Feb'27</t>
  </si>
  <si>
    <t>LOI Issued in  Feb'27</t>
  </si>
  <si>
    <t>Commissioning in Mar'27</t>
  </si>
  <si>
    <t>LOI Issued in  Mar'27</t>
  </si>
  <si>
    <t>Total Commissioned</t>
  </si>
  <si>
    <t>Total LOI issued in FY 26-27</t>
  </si>
  <si>
    <t>Commissionable LOIs Total</t>
  </si>
  <si>
    <t>Commissionable LOIs in FY 2026-27</t>
  </si>
  <si>
    <t>LOI cancelled in FY 2026-27</t>
  </si>
  <si>
    <t>MoU Target 2025-26</t>
  </si>
  <si>
    <t>A Site</t>
  </si>
  <si>
    <t>B Site</t>
  </si>
  <si>
    <t>MoU Plan  2025-26</t>
  </si>
  <si>
    <t>Commissioned Apr'26-Mar'27</t>
  </si>
  <si>
    <t>Balance Commissioning</t>
  </si>
  <si>
    <t>Budgetary Estimate Approved</t>
  </si>
  <si>
    <t>Legal Search Completed</t>
  </si>
  <si>
    <t>IO Note under Approval</t>
  </si>
  <si>
    <t>Advance Tendering Approval</t>
  </si>
  <si>
    <t>DM+NH NOC Available</t>
  </si>
  <si>
    <t>Construction WIP at Site</t>
  </si>
  <si>
    <t>LOIs as on 01.02.2026</t>
  </si>
  <si>
    <t>LOIs as on 01.06.2026</t>
  </si>
  <si>
    <t>SALES AREA</t>
  </si>
  <si>
    <t>Pending LOI as on 01.04.2026 (As per Class of Market)</t>
  </si>
  <si>
    <t>Pending LOI as on 01.04.2026 (As per Type of Site)</t>
  </si>
  <si>
    <t>Commissionable LOI in FY 26-27 as on 01.04.2026 (As per Class of Market)</t>
  </si>
  <si>
    <t>Commissionable LOI as on 01.04.2026 (Type of Site)</t>
  </si>
  <si>
    <t>Current Commissionable &amp; Non-Commisisonable LOI</t>
  </si>
  <si>
    <t>Current Commissionable &amp; Non-Commisisonable LOI (As per Class of Market)</t>
  </si>
  <si>
    <t>Total Commissionable LOI as on 01.04.2026 (As per Class of Market)</t>
  </si>
  <si>
    <t>Govt</t>
  </si>
  <si>
    <t>PH</t>
  </si>
  <si>
    <t>Class of Marketwise Target-A Site</t>
  </si>
  <si>
    <t>Class of Marketwise Target- B Site</t>
  </si>
  <si>
    <t>Commissioning Status till Date- A Site</t>
  </si>
  <si>
    <t>Commissioning Status till Date- B Site</t>
  </si>
  <si>
    <t>MONTHWISE COMMISSIONING</t>
  </si>
  <si>
    <t>RO/KSK Commisisoning</t>
  </si>
  <si>
    <t xml:space="preserve">RO </t>
  </si>
  <si>
    <t>TOTAL</t>
  </si>
  <si>
    <t>Ahmadnagar</t>
  </si>
  <si>
    <t>Satara</t>
  </si>
  <si>
    <t>Rental Negotiation Status (For Commissionable Sites)</t>
  </si>
  <si>
    <t>IO Status (For Targeted Locations)</t>
  </si>
  <si>
    <t>Advance Tendering Status (For Targeted Locations)</t>
  </si>
  <si>
    <t>PESO Status (For Targeted Locations)</t>
  </si>
  <si>
    <t>LSR Status (For Targeted Locations)</t>
  </si>
  <si>
    <t>NOC Available Status (For Targeted Locations)</t>
  </si>
  <si>
    <t>IO Awaited</t>
  </si>
  <si>
    <t>Total No of A Sites (Commissionable)</t>
  </si>
  <si>
    <t>Rental Negotiation Done</t>
  </si>
  <si>
    <t>Valuation Received, Negotiation Pending</t>
  </si>
  <si>
    <t>Valuation Pending, Negotiation Pending</t>
  </si>
  <si>
    <t>Total No of Sites</t>
  </si>
  <si>
    <t>Site Commissioned</t>
  </si>
  <si>
    <t>Sites Pending</t>
  </si>
  <si>
    <t>IO in Process</t>
  </si>
  <si>
    <t>IO Note to be Initiated</t>
  </si>
  <si>
    <t>Adv Tendering approval Initiated and In Process</t>
  </si>
  <si>
    <t>Adv Tendering approval Not Yet Initiated</t>
  </si>
  <si>
    <t>Adv Tendering approval Obtained</t>
  </si>
  <si>
    <t>CA Applied but not Yet Received</t>
  </si>
  <si>
    <t>CA Received</t>
  </si>
  <si>
    <t>CA Not Applied</t>
  </si>
  <si>
    <t>LSR Received</t>
  </si>
  <si>
    <t>LSR In Process</t>
  </si>
  <si>
    <t>LSR Yet to be assigned</t>
  </si>
  <si>
    <t>Total LSR</t>
  </si>
  <si>
    <t>NOC in Process</t>
  </si>
  <si>
    <t>RO-A</t>
  </si>
  <si>
    <t>RO-B</t>
  </si>
  <si>
    <t>KSK-A</t>
  </si>
  <si>
    <t>KSK-B</t>
  </si>
  <si>
    <t>MONTHWISE LOI CANCELATION</t>
  </si>
  <si>
    <t>MONTHWISE LOI ISSUANCE</t>
  </si>
  <si>
    <t>RSA Name</t>
  </si>
  <si>
    <t>Total LOI Available for FY 2026-27</t>
  </si>
  <si>
    <t>Total Commissionable LOI</t>
  </si>
  <si>
    <t>Commissionable LOI in FY 2026-27</t>
  </si>
  <si>
    <t>Total LOI Available for FY 2025-26</t>
  </si>
  <si>
    <t>Commissionable LOI in FY 2025-26</t>
  </si>
  <si>
    <t>Other Than A and D1 COM</t>
  </si>
  <si>
    <t>IOCL</t>
  </si>
  <si>
    <t>BPCL</t>
  </si>
  <si>
    <t>HPCL</t>
  </si>
  <si>
    <t>PSU</t>
  </si>
  <si>
    <t>Gross Total</t>
  </si>
  <si>
    <t>2015-16</t>
  </si>
  <si>
    <t>2017-18</t>
  </si>
  <si>
    <t>2019-20</t>
  </si>
  <si>
    <t>2020-21</t>
  </si>
  <si>
    <t>2021-22</t>
  </si>
  <si>
    <t>2022-23</t>
  </si>
  <si>
    <t>2024-25</t>
  </si>
  <si>
    <t>2025-26</t>
  </si>
  <si>
    <t>Sl No</t>
  </si>
  <si>
    <t>COM</t>
  </si>
  <si>
    <t>Date of LOI</t>
  </si>
  <si>
    <t>NOC Status</t>
  </si>
  <si>
    <t>IO Status</t>
  </si>
  <si>
    <t>Tendering Status</t>
  </si>
  <si>
    <t>Planned month of NOC</t>
  </si>
  <si>
    <t>Planned month of IO</t>
  </si>
  <si>
    <t>Planned month of Commissioning</t>
  </si>
  <si>
    <t xml:space="preserve">Moshi Chowk on Pune Nashik Road to Talwade Chowk on LHS on Dehu Alandi Road (within PCMC Limits ) </t>
  </si>
  <si>
    <t xml:space="preserve">Location </t>
  </si>
  <si>
    <t>Reamrks</t>
  </si>
  <si>
    <t>Within 4 km from Manchar to Peth on LHS on NH (Pune-Nashik Road)</t>
  </si>
  <si>
    <t xml:space="preserve">From KM Stone 47 to 50 on LHS on NH (Pune-Nashik Road) </t>
  </si>
  <si>
    <t>Within 2 KM from Mundhwa Chowk towards Keshavnagar in Keshav Nagar Road</t>
  </si>
  <si>
    <t>Inside Nanded city, Pune</t>
  </si>
  <si>
    <t>SHANKARSHETH ROAD, PUNE CITY,</t>
  </si>
  <si>
    <t>Planned month of Final NOC</t>
  </si>
  <si>
    <t>From Dange Chowk to Sant Tukaram Maharaj Bridge under PCMC Limits</t>
  </si>
  <si>
    <t>Commissioned in Nov'25</t>
  </si>
  <si>
    <t>D1_1</t>
  </si>
  <si>
    <t>From Sardewadi Toll Plaza to intersection of Indapur Bypass &amp; Baramati Highway towards Pune</t>
  </si>
  <si>
    <t>From Koregaon Bhima to Sanaswadi on RHS on NH (PUNE-AHMEDNAGAR ROAD)</t>
  </si>
  <si>
    <t>Within 2 Km from Bhairavnath Temple (Agaskhand) towards Kharwadi on Kalyan-Nirmal NH</t>
  </si>
  <si>
    <t>From Darewadi MIRC to Bypass Road on Ahmednagar-Solapur NH</t>
  </si>
  <si>
    <t>From KM stone 44 to KM stone 52 on LHS OF PUNE SOLAPUR NH</t>
  </si>
  <si>
    <t>From Village Nade to Village Patan on Karad Chiplun Road</t>
  </si>
  <si>
    <t>INDURI TO DEHUGAON ROAD JUNCTION ON TALEGAON CHAKAN ROAD,</t>
  </si>
  <si>
    <t xml:space="preserve"> From Village Atit To Village Kashil On LHS of Satara To Karad NH</t>
  </si>
  <si>
    <t>From Supe to Morgaon on NH (Nira Supe Highway)</t>
  </si>
  <si>
    <t>From Wadala Bahiroba to Babhulwedhe towards Nevasa on Pune-Aurangabad NH</t>
  </si>
  <si>
    <t>D1_2</t>
  </si>
  <si>
    <t>Within 2km On either side of Army Cadet Public School on Ahmednagar-Solapur NH</t>
  </si>
  <si>
    <t>Within 3 Km from Pandit Jawaharlal Nehru School and Junior College of Science towards Jamkhed on Adhalgaon-Jamkhed NH</t>
  </si>
  <si>
    <t>From Kalamb to Narayangaon on RHS on NH (Pune-Nashik Road)</t>
  </si>
  <si>
    <t>From Rajuri to Alephata on LHS on NH (Ahmednagar- Kalyan Road)</t>
  </si>
  <si>
    <t>From Pusegaon to Nidhal on Satara Pandharpur Road</t>
  </si>
  <si>
    <t>D1_3</t>
  </si>
  <si>
    <t>ON SH-60(NH753F)LHS FROM PUNE TO AHMEDNAGAR BETWEEN KM STONE NO. 367 TO 372</t>
  </si>
  <si>
    <t xml:space="preserve">Shelpimpalgaon to Bahul on RHS on Chakan Shikrapur Road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</si>
</sst>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yy"/>
    <numFmt numFmtId="165" formatCode="[$-409]mmm\-yy;@"/>
  </numFmts>
  <fonts count="4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name val="Arial"/>
      <family val="2"/>
    </font>
    <font>
      <sz val="12"/>
      <color theme="1"/>
      <name val="Aptos Narrow"/>
      <family val="2"/>
      <scheme val="minor"/>
    </font>
    <font>
      <sz val="8"/>
      <name val="Aptos Narrow"/>
      <family val="2"/>
      <scheme val="minor"/>
    </font>
    <font>
      <b/>
      <sz val="12"/>
      <color rgb="FF000000"/>
      <name val="Aptos Narrow"/>
      <family val="2"/>
      <scheme val="minor"/>
    </font>
    <font>
      <sz val="14"/>
      <color theme="1"/>
      <name val="Aptos Narrow"/>
      <family val="2"/>
      <scheme val="minor"/>
    </font>
    <font>
      <b/>
      <sz val="14"/>
      <color rgb="FF000000"/>
      <name val="Arial"/>
      <family val="2"/>
    </font>
    <font>
      <sz val="14"/>
      <name val="Arial"/>
      <family val="2"/>
    </font>
    <font>
      <b/>
      <u/>
      <sz val="11"/>
      <color theme="1"/>
      <name val="Arial"/>
      <family val="2"/>
    </font>
    <font>
      <sz val="10"/>
      <color theme="1"/>
      <name val="Times New Roman"/>
      <family val="1"/>
    </font>
    <font>
      <b/>
      <sz val="11"/>
      <color theme="1"/>
      <name val="Arial"/>
      <family val="2"/>
    </font>
    <font>
      <sz val="11"/>
      <color theme="1"/>
      <name val="Arial"/>
      <family val="2"/>
    </font>
    <font>
      <sz val="12"/>
      <color theme="1"/>
      <name val="Arial"/>
      <family val="2"/>
    </font>
    <font>
      <b/>
      <sz val="13"/>
      <color rgb="FF000000"/>
      <name val="Aptos"/>
      <family val="2"/>
    </font>
    <font>
      <i/>
      <sz val="11"/>
      <color theme="1"/>
      <name val="Aptos Display"/>
      <family val="2"/>
      <scheme val="major"/>
    </font>
    <font>
      <b/>
      <sz val="12"/>
      <color theme="1"/>
      <name val="Aptos Narrow"/>
      <family val="2"/>
      <scheme val="minor"/>
    </font>
    <font>
      <b/>
      <sz val="12"/>
      <name val="Arial"/>
      <family val="2"/>
    </font>
    <font>
      <sz val="11"/>
      <color theme="1"/>
      <name val="Times"/>
      <family val="1"/>
    </font>
    <font>
      <b/>
      <sz val="10"/>
      <name val="Times"/>
      <family val="1"/>
    </font>
    <font>
      <b/>
      <sz val="9"/>
      <name val="Times"/>
      <family val="1"/>
    </font>
    <font>
      <sz val="10"/>
      <name val="Times"/>
      <family val="1"/>
    </font>
    <font>
      <b/>
      <sz val="9"/>
      <color theme="1"/>
      <name val="Times"/>
      <family val="1"/>
    </font>
    <font>
      <b/>
      <sz val="11"/>
      <color theme="1"/>
      <name val="Times"/>
      <family val="1"/>
    </font>
    <font>
      <b/>
      <sz val="10"/>
      <color rgb="FF000000"/>
      <name val="Arial"/>
      <family val="2"/>
    </font>
    <font>
      <sz val="11"/>
      <color rgb="FF000000"/>
      <name val="Aptos Narrow"/>
      <family val="2"/>
    </font>
  </fonts>
  <fills count="6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79998168889431442"/>
        <bgColor indexed="64"/>
      </patternFill>
    </fill>
    <fill>
      <patternFill patternType="solid">
        <fgColor theme="7" tint="0.79998168889431442"/>
        <bgColor indexed="64"/>
      </patternFill>
    </fill>
    <fill>
      <patternFill patternType="solid">
        <fgColor indexed="22"/>
        <bgColor indexed="64"/>
      </patternFill>
    </fill>
    <fill>
      <patternFill patternType="solid">
        <fgColor theme="8" tint="0.79998168889431442"/>
        <bgColor indexed="64"/>
      </patternFill>
    </fill>
    <fill>
      <patternFill patternType="solid">
        <fgColor rgb="FFDAF2D0"/>
        <bgColor rgb="FF000000"/>
      </patternFill>
    </fill>
    <fill>
      <patternFill patternType="solid">
        <fgColor rgb="FFFFFF00"/>
        <bgColor indexed="64"/>
      </patternFill>
    </fill>
    <fill>
      <patternFill patternType="solid">
        <fgColor rgb="FFFF7C80"/>
        <bgColor indexed="64"/>
      </patternFill>
    </fill>
    <fill>
      <patternFill patternType="solid">
        <fgColor theme="5"/>
        <bgColor indexed="64"/>
      </patternFill>
    </fill>
    <fill>
      <patternFill patternType="solid">
        <fgColor theme="3" tint="0.499984740745262"/>
        <bgColor indexed="64"/>
      </patternFill>
    </fill>
    <fill>
      <patternFill patternType="solid">
        <fgColor theme="5" tint="0.39997558519241921"/>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9" tint="-0.249977111117893"/>
        <bgColor indexed="64"/>
      </patternFill>
    </fill>
    <fill>
      <patternFill patternType="solid">
        <fgColor theme="9" tint="0.39997558519241921"/>
        <bgColor indexed="64"/>
      </patternFill>
    </fill>
    <fill>
      <patternFill patternType="solid">
        <fgColor theme="4" tint="0.59999389629810485"/>
        <bgColor indexed="64"/>
      </patternFill>
    </fill>
    <fill>
      <patternFill patternType="solid">
        <fgColor rgb="FFFFFF99"/>
        <bgColor indexed="64"/>
      </patternFill>
    </fill>
    <fill>
      <patternFill patternType="solid">
        <fgColor theme="4" tint="0.79998168889431442"/>
        <bgColor indexed="64"/>
      </patternFill>
    </fill>
    <fill>
      <patternFill patternType="solid">
        <fgColor theme="8" tint="0.59999389629810485"/>
        <bgColor indexed="64"/>
      </patternFill>
    </fill>
    <fill>
      <patternFill patternType="solid">
        <fgColor theme="6" tint="0.59999389629810485"/>
        <bgColor indexed="64"/>
      </patternFill>
    </fill>
    <fill>
      <patternFill patternType="solid">
        <fgColor theme="2" tint="-0.499984740745262"/>
        <bgColor indexed="64"/>
      </patternFill>
    </fill>
    <fill>
      <patternFill patternType="solid">
        <fgColor theme="2" tint="-9.9978637043366805E-2"/>
        <bgColor indexed="64"/>
      </patternFill>
    </fill>
    <fill>
      <patternFill patternType="solid">
        <fgColor rgb="FFA3DBFF"/>
        <bgColor indexed="64"/>
      </patternFill>
    </fill>
    <fill>
      <patternFill patternType="solid">
        <fgColor theme="7" tint="0.59999389629810485"/>
        <bgColor indexed="64"/>
      </patternFill>
    </fill>
    <fill>
      <patternFill patternType="solid">
        <fgColor theme="0"/>
        <bgColor indexed="64"/>
      </patternFill>
    </fill>
    <fill>
      <patternFill patternType="solid">
        <fgColor theme="3" tint="0.749992370372631"/>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rgb="FFFFC000"/>
        <bgColor indexed="64"/>
      </patternFill>
    </fill>
    <fill>
      <patternFill patternType="solid">
        <fgColor rgb="FFFFFFCC"/>
        <bgColor indexed="64"/>
      </patternFill>
    </fill>
    <fill>
      <patternFill patternType="solid">
        <fgColor theme="9" tint="0.79998168889431442"/>
        <bgColor indexed="64"/>
      </patternFill>
    </fill>
    <fill>
      <patternFill patternType="solid">
        <fgColor rgb="FF00B050"/>
        <bgColor indexed="64"/>
      </patternFill>
    </fill>
    <fill>
      <patternFill patternType="solid">
        <fgColor rgb="FFFF7C80"/>
        <bgColor rgb="FF000000"/>
      </patternFill>
    </fill>
  </fills>
  <borders count="7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bottom style="medium">
        <color indexed="64"/>
      </bottom>
      <diagonal/>
    </border>
    <border>
      <left style="thin">
        <color indexed="64"/>
      </left>
      <right style="medium">
        <color indexed="64"/>
      </right>
      <top style="thin">
        <color indexed="64"/>
      </top>
      <bottom style="medium">
        <color indexed="64"/>
      </bottom>
      <diagonal/>
    </border>
    <border>
      <left style="medium">
        <color rgb="FFFF0000"/>
      </left>
      <right style="medium">
        <color rgb="FFFF0000"/>
      </right>
      <top style="medium">
        <color rgb="FFFF0000"/>
      </top>
      <bottom/>
      <diagonal/>
    </border>
    <border>
      <left style="medium">
        <color rgb="FFFF0000"/>
      </left>
      <right style="medium">
        <color rgb="FFFF0000"/>
      </right>
      <top style="medium">
        <color rgb="FFFF0000"/>
      </top>
      <bottom style="medium">
        <color rgb="FFFF0000"/>
      </bottom>
      <diagonal/>
    </border>
    <border>
      <left style="medium">
        <color rgb="FF00B0F0"/>
      </left>
      <right style="medium">
        <color rgb="FF00B0F0"/>
      </right>
      <top style="medium">
        <color rgb="FF00B0F0"/>
      </top>
      <bottom style="medium">
        <color rgb="FF00B0F0"/>
      </bottom>
      <diagonal/>
    </border>
    <border>
      <left style="medium">
        <color theme="0" tint="-0.34998626667073579"/>
      </left>
      <right/>
      <top style="medium">
        <color theme="0" tint="-0.34998626667073579"/>
      </top>
      <bottom style="medium">
        <color theme="0" tint="-0.34998626667073579"/>
      </bottom>
      <diagonal/>
    </border>
    <border>
      <left/>
      <right/>
      <top style="medium">
        <color theme="0" tint="-0.34998626667073579"/>
      </top>
      <bottom style="medium">
        <color theme="0" tint="-0.34998626667073579"/>
      </bottom>
      <diagonal/>
    </border>
    <border>
      <left style="medium">
        <color rgb="FFFF0000"/>
      </left>
      <right style="medium">
        <color rgb="FFFF0000"/>
      </right>
      <top/>
      <bottom style="medium">
        <color rgb="FFFF0000"/>
      </bottom>
      <diagonal/>
    </border>
    <border>
      <left style="medium">
        <color rgb="FF00B050"/>
      </left>
      <right style="medium">
        <color rgb="FF00B050"/>
      </right>
      <top style="medium">
        <color rgb="FF00B050"/>
      </top>
      <bottom style="medium">
        <color rgb="FF00B050"/>
      </bottom>
      <diagonal/>
    </border>
    <border>
      <left style="medium">
        <color theme="0" tint="-0.34998626667073579"/>
      </left>
      <right style="medium">
        <color theme="0" tint="-0.34998626667073579"/>
      </right>
      <top style="medium">
        <color theme="0" tint="-0.34998626667073579"/>
      </top>
      <bottom style="medium">
        <color theme="0" tint="-0.34998626667073579"/>
      </bottom>
      <diagonal/>
    </border>
    <border>
      <left style="medium">
        <color theme="8" tint="0.39994506668294322"/>
      </left>
      <right style="medium">
        <color theme="8" tint="0.39994506668294322"/>
      </right>
      <top style="medium">
        <color theme="8" tint="0.39994506668294322"/>
      </top>
      <bottom/>
      <diagonal/>
    </border>
    <border>
      <left style="medium">
        <color theme="8" tint="0.39994506668294322"/>
      </left>
      <right style="medium">
        <color theme="8" tint="0.39994506668294322"/>
      </right>
      <top style="medium">
        <color theme="8" tint="0.39994506668294322"/>
      </top>
      <bottom style="medium">
        <color theme="8" tint="0.39994506668294322"/>
      </bottom>
      <diagonal/>
    </border>
    <border>
      <left style="medium">
        <color theme="5" tint="-0.24994659260841701"/>
      </left>
      <right/>
      <top style="medium">
        <color theme="5" tint="-0.24994659260841701"/>
      </top>
      <bottom style="medium">
        <color theme="5" tint="-0.24994659260841701"/>
      </bottom>
      <diagonal/>
    </border>
    <border>
      <left/>
      <right/>
      <top style="medium">
        <color theme="5" tint="-0.24994659260841701"/>
      </top>
      <bottom style="medium">
        <color theme="5" tint="-0.24994659260841701"/>
      </bottom>
      <diagonal/>
    </border>
    <border>
      <left/>
      <right style="medium">
        <color theme="5" tint="-0.24994659260841701"/>
      </right>
      <top style="medium">
        <color theme="5" tint="-0.24994659260841701"/>
      </top>
      <bottom style="medium">
        <color theme="5" tint="-0.24994659260841701"/>
      </bottom>
      <diagonal/>
    </border>
    <border>
      <left style="medium">
        <color theme="7" tint="0.39994506668294322"/>
      </left>
      <right/>
      <top style="medium">
        <color theme="7" tint="0.39994506668294322"/>
      </top>
      <bottom style="medium">
        <color theme="7" tint="0.39994506668294322"/>
      </bottom>
      <diagonal/>
    </border>
    <border>
      <left/>
      <right/>
      <top style="medium">
        <color theme="7" tint="0.39994506668294322"/>
      </top>
      <bottom style="medium">
        <color theme="7" tint="0.39994506668294322"/>
      </bottom>
      <diagonal/>
    </border>
    <border>
      <left/>
      <right style="medium">
        <color theme="7" tint="0.39994506668294322"/>
      </right>
      <top style="medium">
        <color theme="7" tint="0.39994506668294322"/>
      </top>
      <bottom style="medium">
        <color theme="7" tint="0.39994506668294322"/>
      </bottom>
      <diagonal/>
    </border>
    <border>
      <left style="medium">
        <color theme="0" tint="-0.34998626667073579"/>
      </left>
      <right/>
      <top/>
      <bottom style="medium">
        <color theme="0" tint="-0.34998626667073579"/>
      </bottom>
      <diagonal/>
    </border>
    <border>
      <left/>
      <right/>
      <top/>
      <bottom style="medium">
        <color theme="0" tint="-0.34998626667073579"/>
      </bottom>
      <diagonal/>
    </border>
    <border>
      <left style="medium">
        <color theme="8" tint="0.39994506668294322"/>
      </left>
      <right style="medium">
        <color theme="8" tint="0.39994506668294322"/>
      </right>
      <top/>
      <bottom style="medium">
        <color theme="8" tint="0.39994506668294322"/>
      </bottom>
      <diagonal/>
    </border>
    <border>
      <left style="medium">
        <color theme="5" tint="-0.24994659260841701"/>
      </left>
      <right style="medium">
        <color theme="5" tint="-0.24994659260841701"/>
      </right>
      <top style="medium">
        <color theme="5" tint="-0.24994659260841701"/>
      </top>
      <bottom style="medium">
        <color theme="5" tint="-0.24994659260841701"/>
      </bottom>
      <diagonal/>
    </border>
    <border>
      <left style="medium">
        <color theme="7" tint="0.39994506668294322"/>
      </left>
      <right style="medium">
        <color theme="7" tint="0.39994506668294322"/>
      </right>
      <top style="medium">
        <color theme="7" tint="0.39994506668294322"/>
      </top>
      <bottom style="medium">
        <color theme="7" tint="0.39994506668294322"/>
      </bottom>
      <diagonal/>
    </border>
    <border>
      <left style="medium">
        <color rgb="FFFFC000"/>
      </left>
      <right style="medium">
        <color rgb="FFFFC000"/>
      </right>
      <top style="medium">
        <color rgb="FFFFC000"/>
      </top>
      <bottom style="medium">
        <color rgb="FFFFC000"/>
      </bottom>
      <diagonal/>
    </border>
    <border>
      <left style="medium">
        <color theme="8" tint="0.39991454817346722"/>
      </left>
      <right style="medium">
        <color theme="8" tint="0.39991454817346722"/>
      </right>
      <top style="medium">
        <color theme="8" tint="0.39991454817346722"/>
      </top>
      <bottom/>
      <diagonal/>
    </border>
    <border>
      <left/>
      <right style="medium">
        <color rgb="FF00B050"/>
      </right>
      <top style="medium">
        <color rgb="FF00B050"/>
      </top>
      <bottom style="medium">
        <color rgb="FF00B050"/>
      </bottom>
      <diagonal/>
    </border>
    <border>
      <left style="medium">
        <color theme="8" tint="0.39991454817346722"/>
      </left>
      <right style="medium">
        <color theme="8" tint="0.39991454817346722"/>
      </right>
      <top/>
      <bottom style="medium">
        <color theme="8" tint="0.39991454817346722"/>
      </bottom>
      <diagonal/>
    </border>
    <border>
      <left style="medium">
        <color rgb="FFFF0000"/>
      </left>
      <right/>
      <top/>
      <bottom style="medium">
        <color rgb="FFFF0000"/>
      </bottom>
      <diagonal/>
    </border>
    <border>
      <left/>
      <right/>
      <top/>
      <bottom style="medium">
        <color rgb="FFFF0000"/>
      </bottom>
      <diagonal/>
    </border>
    <border>
      <left style="medium">
        <color rgb="FF00B0F0"/>
      </left>
      <right/>
      <top/>
      <bottom/>
      <diagonal/>
    </border>
    <border>
      <left style="medium">
        <color rgb="FF00B0F0"/>
      </left>
      <right/>
      <top/>
      <bottom style="medium">
        <color rgb="FF00B0F0"/>
      </bottom>
      <diagonal/>
    </border>
    <border>
      <left/>
      <right/>
      <top/>
      <bottom style="medium">
        <color rgb="FF00B0F0"/>
      </bottom>
      <diagonal/>
    </border>
    <border>
      <left style="medium">
        <color theme="8" tint="0.39991454817346722"/>
      </left>
      <right/>
      <top style="medium">
        <color rgb="FF00B050"/>
      </top>
      <bottom style="medium">
        <color rgb="FF00B050"/>
      </bottom>
      <diagonal/>
    </border>
    <border>
      <left/>
      <right/>
      <top style="medium">
        <color rgb="FF00B050"/>
      </top>
      <bottom style="medium">
        <color rgb="FF00B050"/>
      </bottom>
      <diagonal/>
    </border>
    <border>
      <left/>
      <right style="medium">
        <color theme="0" tint="-0.34998626667073579"/>
      </right>
      <top/>
      <bottom style="medium">
        <color theme="0" tint="-0.34998626667073579"/>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style="medium">
        <color rgb="FFFFC000"/>
      </left>
      <right/>
      <top/>
      <bottom/>
      <diagonal/>
    </border>
    <border>
      <left/>
      <right style="medium">
        <color theme="0" tint="-0.34998626667073579"/>
      </right>
      <top/>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xf numFmtId="9" fontId="1" fillId="0" borderId="0" applyFont="0" applyFill="0" applyBorder="0" applyAlignment="0" applyProtection="0"/>
  </cellStyleXfs>
  <cellXfs count="374">
    <xf numFmtId="0" fontId="0" fillId="0" borderId="0" xfId="0"/>
    <xf numFmtId="0" fontId="0" fillId="0" borderId="0" xfId="0" applyAlignment="1">
      <alignment vertical="top"/>
    </xf>
    <xf numFmtId="0" fontId="0" fillId="0" borderId="0" xfId="0" applyAlignment="1">
      <alignment wrapText="1"/>
    </xf>
    <xf numFmtId="0" fontId="0" fillId="39" borderId="10" xfId="0" applyFill="1" applyBorder="1" applyAlignment="1">
      <alignment vertical="top" wrapText="1"/>
    </xf>
    <xf numFmtId="0" fontId="0" fillId="39" borderId="0" xfId="0" applyFill="1"/>
    <xf numFmtId="0" fontId="0" fillId="38" borderId="10" xfId="0" applyFill="1" applyBorder="1" applyAlignment="1">
      <alignment vertical="top" wrapText="1"/>
    </xf>
    <xf numFmtId="0" fontId="0" fillId="38" borderId="0" xfId="0" applyFill="1"/>
    <xf numFmtId="17" fontId="0" fillId="38" borderId="10" xfId="0" applyNumberFormat="1" applyFill="1" applyBorder="1" applyAlignment="1">
      <alignment vertical="top" wrapText="1"/>
    </xf>
    <xf numFmtId="0" fontId="0" fillId="38" borderId="0" xfId="0" applyFill="1" applyAlignment="1">
      <alignment vertical="top"/>
    </xf>
    <xf numFmtId="0" fontId="0" fillId="38" borderId="10" xfId="0" applyFill="1" applyBorder="1"/>
    <xf numFmtId="0" fontId="0" fillId="0" borderId="0" xfId="0" applyAlignment="1">
      <alignment horizontal="center"/>
    </xf>
    <xf numFmtId="0" fontId="0" fillId="0" borderId="16" xfId="0" applyBorder="1" applyAlignment="1">
      <alignment horizontal="center"/>
    </xf>
    <xf numFmtId="0" fontId="16" fillId="0" borderId="0" xfId="0" applyFont="1"/>
    <xf numFmtId="0" fontId="0" fillId="46" borderId="10" xfId="0" applyFill="1" applyBorder="1" applyAlignment="1">
      <alignment horizontal="center"/>
    </xf>
    <xf numFmtId="0" fontId="16" fillId="46" borderId="10" xfId="0" applyFont="1" applyFill="1" applyBorder="1" applyAlignment="1">
      <alignment horizontal="center"/>
    </xf>
    <xf numFmtId="0" fontId="0" fillId="42" borderId="10" xfId="0" applyFill="1" applyBorder="1" applyAlignment="1">
      <alignment horizontal="center"/>
    </xf>
    <xf numFmtId="0" fontId="16" fillId="42" borderId="10" xfId="0" applyFont="1" applyFill="1" applyBorder="1" applyAlignment="1">
      <alignment horizontal="center"/>
    </xf>
    <xf numFmtId="0" fontId="0" fillId="47" borderId="10" xfId="0" applyFill="1" applyBorder="1" applyAlignment="1">
      <alignment horizontal="center"/>
    </xf>
    <xf numFmtId="0" fontId="16" fillId="47" borderId="10" xfId="0" applyFont="1" applyFill="1" applyBorder="1" applyAlignment="1">
      <alignment horizontal="center"/>
    </xf>
    <xf numFmtId="0" fontId="0" fillId="48" borderId="10" xfId="0" applyFill="1" applyBorder="1" applyAlignment="1">
      <alignment horizontal="center"/>
    </xf>
    <xf numFmtId="0" fontId="16" fillId="48" borderId="10" xfId="0" applyFont="1" applyFill="1" applyBorder="1" applyAlignment="1">
      <alignment horizontal="center"/>
    </xf>
    <xf numFmtId="0" fontId="0" fillId="49" borderId="10" xfId="0" applyFill="1" applyBorder="1" applyAlignment="1">
      <alignment horizontal="center"/>
    </xf>
    <xf numFmtId="0" fontId="16" fillId="49" borderId="10" xfId="0" applyFont="1" applyFill="1" applyBorder="1" applyAlignment="1">
      <alignment horizontal="center"/>
    </xf>
    <xf numFmtId="0" fontId="0" fillId="50" borderId="10" xfId="0" applyFill="1" applyBorder="1" applyAlignment="1">
      <alignment horizontal="center"/>
    </xf>
    <xf numFmtId="0" fontId="16" fillId="50" borderId="10" xfId="0" applyFont="1" applyFill="1" applyBorder="1" applyAlignment="1">
      <alignment horizontal="center"/>
    </xf>
    <xf numFmtId="0" fontId="0" fillId="51" borderId="10" xfId="0" applyFill="1" applyBorder="1"/>
    <xf numFmtId="0" fontId="0" fillId="51" borderId="10" xfId="0" applyFill="1" applyBorder="1" applyAlignment="1">
      <alignment horizontal="center"/>
    </xf>
    <xf numFmtId="0" fontId="0" fillId="51" borderId="10" xfId="0" applyFill="1" applyBorder="1" applyAlignment="1">
      <alignment vertical="top" wrapText="1"/>
    </xf>
    <xf numFmtId="0" fontId="0" fillId="51" borderId="14" xfId="0" applyFill="1" applyBorder="1" applyAlignment="1">
      <alignment horizontal="center"/>
    </xf>
    <xf numFmtId="0" fontId="0" fillId="40" borderId="10" xfId="0" applyFill="1" applyBorder="1" applyAlignment="1">
      <alignment horizontal="center"/>
    </xf>
    <xf numFmtId="0" fontId="0" fillId="41" borderId="10" xfId="0" applyFill="1" applyBorder="1" applyAlignment="1">
      <alignment horizontal="center"/>
    </xf>
    <xf numFmtId="0" fontId="0" fillId="38" borderId="10" xfId="0" applyFill="1" applyBorder="1" applyAlignment="1">
      <alignment horizontal="center"/>
    </xf>
    <xf numFmtId="0" fontId="0" fillId="43" borderId="10" xfId="0" applyFill="1" applyBorder="1" applyAlignment="1">
      <alignment horizontal="center"/>
    </xf>
    <xf numFmtId="0" fontId="0" fillId="44" borderId="10" xfId="0" applyFill="1" applyBorder="1" applyAlignment="1">
      <alignment horizontal="center"/>
    </xf>
    <xf numFmtId="0" fontId="0" fillId="53" borderId="10" xfId="0" applyFill="1" applyBorder="1" applyAlignment="1">
      <alignment horizontal="center" wrapText="1"/>
    </xf>
    <xf numFmtId="0" fontId="0" fillId="53" borderId="10" xfId="0" applyFill="1" applyBorder="1" applyAlignment="1">
      <alignment horizontal="center"/>
    </xf>
    <xf numFmtId="0" fontId="16" fillId="53" borderId="10" xfId="0" applyFont="1" applyFill="1" applyBorder="1" applyAlignment="1">
      <alignment horizontal="center"/>
    </xf>
    <xf numFmtId="0" fontId="23" fillId="54" borderId="13" xfId="0" applyFont="1" applyFill="1" applyBorder="1" applyAlignment="1">
      <alignment horizontal="center" vertical="top" wrapText="1" readingOrder="1"/>
    </xf>
    <xf numFmtId="0" fontId="24" fillId="0" borderId="12" xfId="0" applyFont="1" applyBorder="1" applyAlignment="1">
      <alignment horizontal="center" vertical="center" wrapText="1"/>
    </xf>
    <xf numFmtId="0" fontId="22" fillId="0" borderId="0" xfId="0" applyFont="1"/>
    <xf numFmtId="0" fontId="24" fillId="47" borderId="12" xfId="0" applyFont="1" applyFill="1" applyBorder="1" applyAlignment="1">
      <alignment horizontal="center" vertical="center" wrapText="1"/>
    </xf>
    <xf numFmtId="0" fontId="24" fillId="55" borderId="12" xfId="0" applyFont="1" applyFill="1" applyBorder="1" applyAlignment="1">
      <alignment horizontal="center" vertical="center" wrapText="1"/>
    </xf>
    <xf numFmtId="0" fontId="0" fillId="0" borderId="10" xfId="0" applyBorder="1" applyAlignment="1">
      <alignment wrapText="1"/>
    </xf>
    <xf numFmtId="0" fontId="0" fillId="0" borderId="10" xfId="0" applyBorder="1"/>
    <xf numFmtId="0" fontId="16" fillId="0" borderId="10" xfId="0" applyFont="1" applyBorder="1"/>
    <xf numFmtId="17" fontId="0" fillId="39" borderId="10" xfId="0" applyNumberFormat="1" applyFill="1" applyBorder="1" applyAlignment="1">
      <alignment vertical="top" wrapText="1"/>
    </xf>
    <xf numFmtId="0" fontId="0" fillId="51" borderId="10" xfId="0" applyFill="1" applyBorder="1" applyAlignment="1">
      <alignment horizontal="center" wrapText="1"/>
    </xf>
    <xf numFmtId="0" fontId="0" fillId="57" borderId="10" xfId="0" applyFill="1" applyBorder="1"/>
    <xf numFmtId="0" fontId="0" fillId="42" borderId="10" xfId="0" applyFill="1" applyBorder="1"/>
    <xf numFmtId="0" fontId="0" fillId="43" borderId="10" xfId="0" applyFill="1" applyBorder="1"/>
    <xf numFmtId="9" fontId="0" fillId="51" borderId="10" xfId="43" applyFont="1" applyFill="1" applyBorder="1"/>
    <xf numFmtId="0" fontId="0" fillId="50" borderId="10" xfId="0" applyFill="1" applyBorder="1"/>
    <xf numFmtId="9" fontId="0" fillId="42" borderId="10" xfId="43" applyFont="1" applyFill="1" applyBorder="1"/>
    <xf numFmtId="9" fontId="0" fillId="38" borderId="10" xfId="43" applyFont="1" applyFill="1" applyBorder="1"/>
    <xf numFmtId="9" fontId="0" fillId="43" borderId="10" xfId="43" applyFont="1" applyFill="1" applyBorder="1"/>
    <xf numFmtId="14" fontId="0" fillId="38" borderId="10" xfId="0" applyNumberFormat="1" applyFill="1" applyBorder="1" applyAlignment="1">
      <alignment horizontal="right" vertical="top" wrapText="1"/>
    </xf>
    <xf numFmtId="14" fontId="0" fillId="39" borderId="10" xfId="0" applyNumberFormat="1" applyFill="1" applyBorder="1" applyAlignment="1">
      <alignment horizontal="right" vertical="top" wrapText="1"/>
    </xf>
    <xf numFmtId="14" fontId="0" fillId="38" borderId="10" xfId="0" applyNumberFormat="1" applyFill="1" applyBorder="1" applyAlignment="1">
      <alignment vertical="top" wrapText="1"/>
    </xf>
    <xf numFmtId="0" fontId="0" fillId="38" borderId="10" xfId="0" applyFill="1" applyBorder="1" applyAlignment="1">
      <alignment horizontal="left" vertical="top" wrapText="1"/>
    </xf>
    <xf numFmtId="0" fontId="0" fillId="39" borderId="10" xfId="0" applyFill="1" applyBorder="1" applyAlignment="1">
      <alignment horizontal="left" vertical="top" wrapText="1"/>
    </xf>
    <xf numFmtId="164" fontId="0" fillId="39" borderId="10" xfId="0" applyNumberFormat="1" applyFill="1" applyBorder="1" applyAlignment="1">
      <alignment horizontal="center" vertical="top" wrapText="1"/>
    </xf>
    <xf numFmtId="0" fontId="27" fillId="0" borderId="18" xfId="0" applyFont="1" applyBorder="1" applyAlignment="1">
      <alignment vertical="center" wrapText="1"/>
    </xf>
    <xf numFmtId="0" fontId="28" fillId="0" borderId="20" xfId="0" applyFont="1" applyBorder="1" applyAlignment="1">
      <alignment vertical="center" wrapText="1"/>
    </xf>
    <xf numFmtId="0" fontId="28" fillId="0" borderId="21" xfId="0" applyFont="1" applyBorder="1" applyAlignment="1">
      <alignment vertical="center" wrapText="1"/>
    </xf>
    <xf numFmtId="0" fontId="26" fillId="0" borderId="20" xfId="0" applyFont="1" applyBorder="1" applyAlignment="1">
      <alignment vertical="center" wrapText="1"/>
    </xf>
    <xf numFmtId="0" fontId="27" fillId="0" borderId="21" xfId="0" applyFont="1" applyBorder="1" applyAlignment="1">
      <alignment vertical="center" wrapText="1"/>
    </xf>
    <xf numFmtId="0" fontId="26" fillId="0" borderId="18" xfId="0" applyFont="1" applyBorder="1" applyAlignment="1">
      <alignment vertical="center" wrapText="1"/>
    </xf>
    <xf numFmtId="0" fontId="27" fillId="0" borderId="20" xfId="0" applyFont="1" applyBorder="1" applyAlignment="1">
      <alignment vertical="center" wrapText="1"/>
    </xf>
    <xf numFmtId="2" fontId="0" fillId="38" borderId="10" xfId="0" applyNumberFormat="1" applyFill="1" applyBorder="1" applyAlignment="1">
      <alignment horizontal="right" vertical="top" wrapText="1"/>
    </xf>
    <xf numFmtId="2" fontId="0" fillId="39" borderId="10" xfId="0" applyNumberFormat="1" applyFill="1" applyBorder="1" applyAlignment="1">
      <alignment horizontal="right" vertical="top" wrapText="1"/>
    </xf>
    <xf numFmtId="0" fontId="0" fillId="46" borderId="14" xfId="0" applyFill="1" applyBorder="1" applyAlignment="1">
      <alignment horizontal="center" wrapText="1"/>
    </xf>
    <xf numFmtId="2" fontId="0" fillId="38" borderId="10" xfId="0" applyNumberFormat="1" applyFill="1" applyBorder="1" applyAlignment="1">
      <alignment horizontal="center" vertical="top" wrapText="1"/>
    </xf>
    <xf numFmtId="2" fontId="0" fillId="39" borderId="10" xfId="0" applyNumberFormat="1" applyFill="1" applyBorder="1" applyAlignment="1">
      <alignment horizontal="center" vertical="top" wrapText="1"/>
    </xf>
    <xf numFmtId="0" fontId="27" fillId="0" borderId="19" xfId="0" applyFont="1" applyBorder="1" applyAlignment="1">
      <alignment horizontal="center" vertical="center" wrapText="1"/>
    </xf>
    <xf numFmtId="0" fontId="28" fillId="0" borderId="21" xfId="0" applyFont="1" applyBorder="1" applyAlignment="1">
      <alignment horizontal="center" vertical="center" wrapText="1"/>
    </xf>
    <xf numFmtId="0" fontId="27" fillId="0" borderId="21" xfId="0" applyFont="1" applyBorder="1" applyAlignment="1">
      <alignment horizontal="center" vertical="center" wrapText="1"/>
    </xf>
    <xf numFmtId="0" fontId="28" fillId="56" borderId="10" xfId="0" applyFont="1" applyFill="1" applyBorder="1" applyAlignment="1">
      <alignment horizontal="left" vertical="center" wrapText="1"/>
    </xf>
    <xf numFmtId="0" fontId="28" fillId="0" borderId="10" xfId="0" applyFont="1" applyBorder="1" applyAlignment="1">
      <alignment horizontal="center" vertical="center" wrapText="1"/>
    </xf>
    <xf numFmtId="0" fontId="0" fillId="38" borderId="10" xfId="0" applyFill="1" applyBorder="1" applyAlignment="1">
      <alignment horizontal="justify" vertical="top" wrapText="1"/>
    </xf>
    <xf numFmtId="0" fontId="28" fillId="0" borderId="10" xfId="0" applyFont="1" applyBorder="1" applyAlignment="1">
      <alignment vertical="center" wrapText="1"/>
    </xf>
    <xf numFmtId="0" fontId="28" fillId="0" borderId="17" xfId="0" applyFont="1" applyBorder="1" applyAlignment="1">
      <alignment horizontal="center" vertical="center" wrapText="1"/>
    </xf>
    <xf numFmtId="0" fontId="0" fillId="0" borderId="10" xfId="0" applyBorder="1" applyAlignment="1">
      <alignment horizontal="justify" wrapText="1"/>
    </xf>
    <xf numFmtId="0" fontId="0" fillId="0" borderId="0" xfId="0" applyAlignment="1">
      <alignment horizontal="justify"/>
    </xf>
    <xf numFmtId="0" fontId="28" fillId="58" borderId="10" xfId="0" applyFont="1" applyFill="1" applyBorder="1" applyAlignment="1">
      <alignment horizontal="center" vertical="center" wrapText="1"/>
    </xf>
    <xf numFmtId="0" fontId="28" fillId="58" borderId="10" xfId="0" applyFont="1" applyFill="1" applyBorder="1" applyAlignment="1">
      <alignment horizontal="justify" vertical="center" wrapText="1"/>
    </xf>
    <xf numFmtId="0" fontId="0" fillId="52" borderId="10" xfId="0" applyFill="1" applyBorder="1" applyAlignment="1">
      <alignment horizontal="center" wrapText="1"/>
    </xf>
    <xf numFmtId="0" fontId="0" fillId="48" borderId="10" xfId="0" applyFill="1" applyBorder="1" applyAlignment="1">
      <alignment horizontal="center" wrapText="1"/>
    </xf>
    <xf numFmtId="0" fontId="16" fillId="48" borderId="10" xfId="0" applyFont="1" applyFill="1" applyBorder="1" applyAlignment="1">
      <alignment horizontal="center" wrapText="1"/>
    </xf>
    <xf numFmtId="0" fontId="0" fillId="51" borderId="10" xfId="0" applyFill="1" applyBorder="1" applyAlignment="1">
      <alignment wrapText="1"/>
    </xf>
    <xf numFmtId="0" fontId="25" fillId="0" borderId="0" xfId="0" applyFont="1" applyAlignment="1">
      <alignment vertical="center" wrapText="1"/>
    </xf>
    <xf numFmtId="0" fontId="30" fillId="54" borderId="25" xfId="0" applyFont="1" applyFill="1" applyBorder="1" applyAlignment="1">
      <alignment horizontal="center" vertical="top" wrapText="1" readingOrder="1"/>
    </xf>
    <xf numFmtId="0" fontId="30" fillId="54" borderId="26" xfId="0" applyFont="1" applyFill="1" applyBorder="1" applyAlignment="1">
      <alignment horizontal="center" vertical="top" wrapText="1" readingOrder="1"/>
    </xf>
    <xf numFmtId="17" fontId="30" fillId="54" borderId="26" xfId="0" applyNumberFormat="1" applyFont="1" applyFill="1" applyBorder="1" applyAlignment="1">
      <alignment horizontal="center" vertical="top" wrapText="1" readingOrder="1"/>
    </xf>
    <xf numFmtId="17" fontId="30" fillId="54" borderId="27" xfId="0" applyNumberFormat="1" applyFont="1" applyFill="1" applyBorder="1" applyAlignment="1">
      <alignment horizontal="center" vertical="top" wrapText="1" readingOrder="1"/>
    </xf>
    <xf numFmtId="17" fontId="0" fillId="0" borderId="0" xfId="0" applyNumberFormat="1" applyAlignment="1">
      <alignment horizontal="center"/>
    </xf>
    <xf numFmtId="0" fontId="30" fillId="54" borderId="18" xfId="0" applyFont="1" applyFill="1" applyBorder="1" applyAlignment="1">
      <alignment horizontal="center" vertical="top" wrapText="1" readingOrder="1"/>
    </xf>
    <xf numFmtId="17" fontId="30" fillId="54" borderId="18" xfId="0" applyNumberFormat="1" applyFont="1" applyFill="1" applyBorder="1" applyAlignment="1">
      <alignment horizontal="center" vertical="top" wrapText="1" readingOrder="1"/>
    </xf>
    <xf numFmtId="0" fontId="0" fillId="0" borderId="18" xfId="0" applyBorder="1" applyAlignment="1">
      <alignment horizontal="center"/>
    </xf>
    <xf numFmtId="0" fontId="28" fillId="56" borderId="18" xfId="0" applyFont="1" applyFill="1" applyBorder="1" applyAlignment="1">
      <alignment horizontal="left" vertical="center" wrapText="1"/>
    </xf>
    <xf numFmtId="14" fontId="0" fillId="0" borderId="18" xfId="0" applyNumberFormat="1" applyBorder="1" applyAlignment="1">
      <alignment horizontal="center"/>
    </xf>
    <xf numFmtId="17" fontId="0" fillId="0" borderId="18" xfId="0" applyNumberFormat="1" applyBorder="1" applyAlignment="1">
      <alignment horizontal="center"/>
    </xf>
    <xf numFmtId="0" fontId="0" fillId="0" borderId="18" xfId="0" applyBorder="1" applyAlignment="1">
      <alignment horizontal="center" vertical="center"/>
    </xf>
    <xf numFmtId="0" fontId="29" fillId="56" borderId="18" xfId="0" applyFont="1" applyFill="1" applyBorder="1" applyAlignment="1">
      <alignment horizontal="left" vertical="center" wrapText="1"/>
    </xf>
    <xf numFmtId="0" fontId="23" fillId="54" borderId="10" xfId="0" applyFont="1" applyFill="1" applyBorder="1" applyAlignment="1">
      <alignment horizontal="center" vertical="top" wrapText="1" readingOrder="1"/>
    </xf>
    <xf numFmtId="17" fontId="23" fillId="54" borderId="10" xfId="0" applyNumberFormat="1" applyFont="1" applyFill="1" applyBorder="1" applyAlignment="1">
      <alignment horizontal="center" vertical="top" wrapText="1" readingOrder="1"/>
    </xf>
    <xf numFmtId="0" fontId="24" fillId="0" borderId="10" xfId="0" applyFont="1" applyBorder="1" applyAlignment="1">
      <alignment horizontal="center" vertical="center" wrapText="1"/>
    </xf>
    <xf numFmtId="0" fontId="24" fillId="55" borderId="10" xfId="0" applyFont="1" applyFill="1" applyBorder="1" applyAlignment="1">
      <alignment horizontal="center" vertical="center" wrapText="1"/>
    </xf>
    <xf numFmtId="0" fontId="31" fillId="56" borderId="10" xfId="0" applyFont="1" applyFill="1" applyBorder="1" applyAlignment="1">
      <alignment horizontal="left"/>
    </xf>
    <xf numFmtId="0" fontId="24" fillId="47" borderId="10" xfId="0" applyFont="1" applyFill="1" applyBorder="1" applyAlignment="1">
      <alignment horizontal="center" vertical="center" wrapText="1"/>
    </xf>
    <xf numFmtId="0" fontId="0" fillId="39" borderId="10" xfId="0" applyFill="1" applyBorder="1" applyAlignment="1">
      <alignment horizontal="justify" vertical="top" wrapText="1"/>
    </xf>
    <xf numFmtId="0" fontId="32" fillId="33" borderId="10" xfId="0" applyFont="1" applyFill="1" applyBorder="1" applyAlignment="1">
      <alignment horizontal="justify" vertical="top" wrapText="1"/>
    </xf>
    <xf numFmtId="0" fontId="0" fillId="38" borderId="10" xfId="0" applyFill="1" applyBorder="1" applyAlignment="1">
      <alignment horizontal="center" vertical="top" wrapText="1"/>
    </xf>
    <xf numFmtId="0" fontId="0" fillId="39" borderId="10" xfId="0" applyFill="1" applyBorder="1" applyAlignment="1">
      <alignment vertical="top"/>
    </xf>
    <xf numFmtId="0" fontId="22" fillId="0" borderId="10" xfId="0" applyFont="1" applyBorder="1" applyAlignment="1">
      <alignment horizontal="center" wrapText="1"/>
    </xf>
    <xf numFmtId="0" fontId="22" fillId="0" borderId="10" xfId="0" applyFont="1" applyBorder="1" applyAlignment="1">
      <alignment horizontal="center"/>
    </xf>
    <xf numFmtId="0" fontId="22" fillId="0" borderId="0" xfId="0" applyFont="1" applyAlignment="1">
      <alignment horizontal="center"/>
    </xf>
    <xf numFmtId="0" fontId="22" fillId="0" borderId="10" xfId="0" applyFont="1" applyBorder="1" applyAlignment="1">
      <alignment wrapText="1"/>
    </xf>
    <xf numFmtId="0" fontId="22" fillId="0" borderId="0" xfId="0" applyFont="1" applyAlignment="1">
      <alignment wrapText="1"/>
    </xf>
    <xf numFmtId="0" fontId="22" fillId="0" borderId="10" xfId="0" applyFont="1" applyBorder="1" applyAlignment="1">
      <alignment horizontal="right" wrapText="1"/>
    </xf>
    <xf numFmtId="0" fontId="22" fillId="0" borderId="25" xfId="0" applyFont="1" applyBorder="1" applyAlignment="1">
      <alignment horizontal="center" wrapText="1"/>
    </xf>
    <xf numFmtId="0" fontId="22" fillId="0" borderId="26" xfId="0" applyFont="1" applyBorder="1" applyAlignment="1">
      <alignment horizontal="center"/>
    </xf>
    <xf numFmtId="0" fontId="22" fillId="0" borderId="28" xfId="0" applyFont="1" applyBorder="1" applyAlignment="1">
      <alignment horizontal="center"/>
    </xf>
    <xf numFmtId="0" fontId="22" fillId="0" borderId="29" xfId="0" applyFont="1" applyBorder="1" applyAlignment="1">
      <alignment wrapText="1"/>
    </xf>
    <xf numFmtId="0" fontId="22" fillId="0" borderId="31" xfId="0" applyFont="1" applyBorder="1" applyAlignment="1">
      <alignment wrapText="1"/>
    </xf>
    <xf numFmtId="0" fontId="22" fillId="0" borderId="33" xfId="0" applyFont="1" applyBorder="1" applyAlignment="1">
      <alignment horizontal="center"/>
    </xf>
    <xf numFmtId="0" fontId="19" fillId="38" borderId="10" xfId="0" applyFont="1" applyFill="1" applyBorder="1" applyAlignment="1">
      <alignment horizontal="justify" vertical="top" wrapText="1"/>
    </xf>
    <xf numFmtId="0" fontId="19" fillId="39" borderId="10" xfId="0" applyFont="1" applyFill="1" applyBorder="1" applyAlignment="1">
      <alignment horizontal="justify" vertical="top" wrapText="1"/>
    </xf>
    <xf numFmtId="0" fontId="32" fillId="42" borderId="10" xfId="0" applyFont="1" applyFill="1" applyBorder="1" applyAlignment="1">
      <alignment horizontal="justify" vertical="top" wrapText="1"/>
    </xf>
    <xf numFmtId="14" fontId="0" fillId="39" borderId="10" xfId="0" applyNumberFormat="1" applyFill="1" applyBorder="1" applyAlignment="1">
      <alignment vertical="top" wrapText="1"/>
    </xf>
    <xf numFmtId="0" fontId="0" fillId="39" borderId="10" xfId="0" applyFill="1" applyBorder="1" applyAlignment="1">
      <alignment horizontal="center" vertical="top" wrapText="1"/>
    </xf>
    <xf numFmtId="14" fontId="0" fillId="39" borderId="10" xfId="0" applyNumberFormat="1" applyFill="1" applyBorder="1" applyAlignment="1">
      <alignment horizontal="right" vertical="top"/>
    </xf>
    <xf numFmtId="164" fontId="0" fillId="38" borderId="10" xfId="0" applyNumberFormat="1" applyFill="1" applyBorder="1" applyAlignment="1">
      <alignment horizontal="center" vertical="top" wrapText="1"/>
    </xf>
    <xf numFmtId="14" fontId="0" fillId="38" borderId="10" xfId="0" applyNumberFormat="1" applyFill="1" applyBorder="1" applyAlignment="1">
      <alignment horizontal="left" vertical="top" wrapText="1"/>
    </xf>
    <xf numFmtId="0" fontId="0" fillId="39" borderId="14" xfId="0" applyFill="1" applyBorder="1" applyAlignment="1">
      <alignment vertical="top"/>
    </xf>
    <xf numFmtId="0" fontId="0" fillId="0" borderId="0" xfId="0" applyAlignment="1">
      <alignment vertical="top" wrapText="1"/>
    </xf>
    <xf numFmtId="0" fontId="0" fillId="0" borderId="0" xfId="0" applyAlignment="1">
      <alignment horizontal="justify" vertical="top" wrapText="1"/>
    </xf>
    <xf numFmtId="0" fontId="0" fillId="0" borderId="10" xfId="0" applyBorder="1" applyAlignment="1">
      <alignment horizontal="justify" vertical="top" wrapText="1"/>
    </xf>
    <xf numFmtId="0" fontId="34" fillId="0" borderId="0" xfId="0" applyFont="1" applyAlignment="1">
      <alignment horizontal="left"/>
    </xf>
    <xf numFmtId="0" fontId="34" fillId="0" borderId="0" xfId="0" applyFont="1"/>
    <xf numFmtId="0" fontId="35" fillId="0" borderId="0" xfId="0" applyFont="1" applyAlignment="1">
      <alignment horizontal="center" vertical="center" wrapText="1"/>
    </xf>
    <xf numFmtId="0" fontId="34" fillId="0" borderId="0" xfId="0" applyFont="1" applyAlignment="1">
      <alignment wrapText="1"/>
    </xf>
    <xf numFmtId="0" fontId="35" fillId="0" borderId="36" xfId="0" applyFont="1" applyBorder="1" applyAlignment="1">
      <alignment horizontal="center" vertical="top" wrapText="1"/>
    </xf>
    <xf numFmtId="0" fontId="35" fillId="56" borderId="0" xfId="0" applyFont="1" applyFill="1" applyAlignment="1">
      <alignment horizontal="center" vertical="top" wrapText="1"/>
    </xf>
    <xf numFmtId="0" fontId="35" fillId="0" borderId="37" xfId="0" applyFont="1" applyBorder="1" applyAlignment="1">
      <alignment horizontal="center" vertical="top" wrapText="1"/>
    </xf>
    <xf numFmtId="0" fontId="34" fillId="0" borderId="0" xfId="0" applyFont="1" applyAlignment="1">
      <alignment vertical="top" wrapText="1"/>
    </xf>
    <xf numFmtId="0" fontId="34" fillId="0" borderId="36" xfId="0" applyFont="1" applyBorder="1" applyAlignment="1">
      <alignment horizontal="left" vertical="center"/>
    </xf>
    <xf numFmtId="1" fontId="34" fillId="0" borderId="36" xfId="0" applyNumberFormat="1" applyFont="1" applyBorder="1" applyAlignment="1">
      <alignment horizontal="center" vertical="center"/>
    </xf>
    <xf numFmtId="1" fontId="35" fillId="0" borderId="36" xfId="0" applyNumberFormat="1" applyFont="1" applyBorder="1" applyAlignment="1">
      <alignment horizontal="center" vertical="center"/>
    </xf>
    <xf numFmtId="1" fontId="37" fillId="56" borderId="0" xfId="0" applyNumberFormat="1" applyFont="1" applyFill="1" applyAlignment="1">
      <alignment horizontal="center" vertical="center"/>
    </xf>
    <xf numFmtId="1" fontId="34" fillId="0" borderId="37" xfId="0" applyNumberFormat="1" applyFont="1" applyBorder="1" applyAlignment="1">
      <alignment horizontal="center" vertical="center"/>
    </xf>
    <xf numFmtId="1" fontId="35" fillId="0" borderId="37" xfId="0" applyNumberFormat="1" applyFont="1" applyBorder="1" applyAlignment="1">
      <alignment horizontal="center" vertical="center"/>
    </xf>
    <xf numFmtId="1" fontId="37" fillId="0" borderId="0" xfId="0" applyNumberFormat="1" applyFont="1" applyAlignment="1">
      <alignment horizontal="center" vertical="center"/>
    </xf>
    <xf numFmtId="0" fontId="35" fillId="0" borderId="36" xfId="0" applyFont="1" applyBorder="1" applyAlignment="1">
      <alignment horizontal="left" vertical="center"/>
    </xf>
    <xf numFmtId="0" fontId="35" fillId="0" borderId="0" xfId="0" applyFont="1" applyAlignment="1">
      <alignment horizontal="center" vertical="center"/>
    </xf>
    <xf numFmtId="0" fontId="35" fillId="33" borderId="0" xfId="0" applyFont="1" applyFill="1" applyAlignment="1">
      <alignment horizontal="center" vertical="center"/>
    </xf>
    <xf numFmtId="0" fontId="35" fillId="0" borderId="0" xfId="0" applyFont="1" applyAlignment="1">
      <alignment horizontal="center" vertical="top" wrapText="1"/>
    </xf>
    <xf numFmtId="165" fontId="35" fillId="0" borderId="41" xfId="0" applyNumberFormat="1" applyFont="1" applyBorder="1" applyAlignment="1">
      <alignment horizontal="center" vertical="top" wrapText="1"/>
    </xf>
    <xf numFmtId="0" fontId="35" fillId="0" borderId="42" xfId="0" applyFont="1" applyBorder="1" applyAlignment="1">
      <alignment horizontal="center" vertical="top" wrapText="1"/>
    </xf>
    <xf numFmtId="1" fontId="35" fillId="0" borderId="0" xfId="0" applyNumberFormat="1" applyFont="1" applyAlignment="1">
      <alignment horizontal="center" vertical="center"/>
    </xf>
    <xf numFmtId="1" fontId="37" fillId="0" borderId="41" xfId="0" applyNumberFormat="1" applyFont="1" applyBorder="1" applyAlignment="1">
      <alignment horizontal="center" vertical="center"/>
    </xf>
    <xf numFmtId="1" fontId="35" fillId="0" borderId="41" xfId="0" applyNumberFormat="1" applyFont="1" applyBorder="1" applyAlignment="1">
      <alignment horizontal="center" vertical="center"/>
    </xf>
    <xf numFmtId="1" fontId="37" fillId="0" borderId="42" xfId="0" applyNumberFormat="1" applyFont="1" applyBorder="1" applyAlignment="1">
      <alignment horizontal="center" vertical="center"/>
    </xf>
    <xf numFmtId="1" fontId="35" fillId="0" borderId="42" xfId="0" applyNumberFormat="1" applyFont="1" applyBorder="1" applyAlignment="1">
      <alignment horizontal="center" vertical="center"/>
    </xf>
    <xf numFmtId="0" fontId="38" fillId="0" borderId="0" xfId="0" applyFont="1" applyAlignment="1">
      <alignment wrapText="1"/>
    </xf>
    <xf numFmtId="0" fontId="35" fillId="0" borderId="44" xfId="0" applyFont="1" applyBorder="1" applyAlignment="1">
      <alignment horizontal="center" vertical="top" wrapText="1"/>
    </xf>
    <xf numFmtId="0" fontId="35" fillId="0" borderId="54" xfId="0" applyFont="1" applyBorder="1" applyAlignment="1">
      <alignment horizontal="center" vertical="top" wrapText="1"/>
    </xf>
    <xf numFmtId="0" fontId="35" fillId="0" borderId="55" xfId="0" applyFont="1" applyBorder="1" applyAlignment="1">
      <alignment horizontal="center" vertical="top" wrapText="1"/>
    </xf>
    <xf numFmtId="0" fontId="35" fillId="0" borderId="56" xfId="0" applyFont="1" applyBorder="1" applyAlignment="1">
      <alignment horizontal="center" vertical="top" wrapText="1"/>
    </xf>
    <xf numFmtId="0" fontId="35" fillId="61" borderId="42" xfId="0" applyFont="1" applyFill="1" applyBorder="1" applyAlignment="1">
      <alignment horizontal="center" vertical="top" wrapText="1"/>
    </xf>
    <xf numFmtId="0" fontId="35" fillId="62" borderId="42" xfId="0" applyFont="1" applyFill="1" applyBorder="1" applyAlignment="1">
      <alignment horizontal="center" vertical="top" wrapText="1"/>
    </xf>
    <xf numFmtId="1" fontId="34" fillId="0" borderId="44" xfId="0" applyNumberFormat="1" applyFont="1" applyBorder="1" applyAlignment="1">
      <alignment horizontal="center" vertical="center"/>
    </xf>
    <xf numFmtId="1" fontId="35" fillId="0" borderId="54" xfId="0" applyNumberFormat="1" applyFont="1" applyBorder="1" applyAlignment="1">
      <alignment horizontal="center" vertical="center"/>
    </xf>
    <xf numFmtId="1" fontId="37" fillId="61" borderId="42" xfId="0" applyNumberFormat="1" applyFont="1" applyFill="1" applyBorder="1" applyAlignment="1">
      <alignment horizontal="center" vertical="center"/>
    </xf>
    <xf numFmtId="1" fontId="37" fillId="62" borderId="42" xfId="0" applyNumberFormat="1" applyFont="1" applyFill="1" applyBorder="1" applyAlignment="1">
      <alignment horizontal="center" vertical="center"/>
    </xf>
    <xf numFmtId="0" fontId="39" fillId="0" borderId="0" xfId="0" applyFont="1"/>
    <xf numFmtId="1" fontId="35" fillId="0" borderId="55" xfId="0" applyNumberFormat="1" applyFont="1" applyBorder="1" applyAlignment="1">
      <alignment horizontal="center" vertical="center"/>
    </xf>
    <xf numFmtId="1" fontId="35" fillId="61" borderId="42" xfId="0" applyNumberFormat="1" applyFont="1" applyFill="1" applyBorder="1" applyAlignment="1">
      <alignment horizontal="center" vertical="center"/>
    </xf>
    <xf numFmtId="1" fontId="35" fillId="62" borderId="42" xfId="0" applyNumberFormat="1" applyFont="1" applyFill="1" applyBorder="1" applyAlignment="1">
      <alignment horizontal="center" vertical="center"/>
    </xf>
    <xf numFmtId="0" fontId="36" fillId="59" borderId="38" xfId="0" quotePrefix="1" applyFont="1" applyFill="1" applyBorder="1" applyAlignment="1">
      <alignment vertical="center" wrapText="1"/>
    </xf>
    <xf numFmtId="0" fontId="0" fillId="38" borderId="10" xfId="0" applyFill="1" applyBorder="1" applyAlignment="1">
      <alignment vertical="top"/>
    </xf>
    <xf numFmtId="0" fontId="24" fillId="55" borderId="0" xfId="0" applyFont="1" applyFill="1" applyAlignment="1">
      <alignment horizontal="center" vertical="center" wrapText="1"/>
    </xf>
    <xf numFmtId="0" fontId="19" fillId="0" borderId="10" xfId="0" applyFont="1" applyBorder="1" applyAlignment="1">
      <alignment horizontal="justify" vertical="top" wrapText="1"/>
    </xf>
    <xf numFmtId="0" fontId="40" fillId="0" borderId="10" xfId="0" applyFont="1" applyBorder="1" applyAlignment="1">
      <alignment horizontal="center" vertical="top" wrapText="1" readingOrder="1"/>
    </xf>
    <xf numFmtId="0" fontId="0" fillId="0" borderId="10" xfId="0" applyBorder="1" applyAlignment="1">
      <alignment horizontal="center" vertical="top"/>
    </xf>
    <xf numFmtId="0" fontId="0" fillId="0" borderId="0" xfId="0" applyAlignment="1">
      <alignment horizontal="center" vertical="top"/>
    </xf>
    <xf numFmtId="0" fontId="0" fillId="0" borderId="10" xfId="0" applyBorder="1" applyAlignment="1">
      <alignment horizontal="center" vertical="top" wrapText="1"/>
    </xf>
    <xf numFmtId="14" fontId="0" fillId="0" borderId="10" xfId="0" applyNumberFormat="1" applyBorder="1" applyAlignment="1">
      <alignment horizontal="center" vertical="top" wrapText="1"/>
    </xf>
    <xf numFmtId="17" fontId="0" fillId="0" borderId="10" xfId="0" applyNumberFormat="1" applyBorder="1" applyAlignment="1">
      <alignment horizontal="center" vertical="top" wrapText="1"/>
    </xf>
    <xf numFmtId="17" fontId="0" fillId="0" borderId="10" xfId="0" applyNumberFormat="1" applyBorder="1" applyAlignment="1">
      <alignment horizontal="center" vertical="top"/>
    </xf>
    <xf numFmtId="0" fontId="40" fillId="0" borderId="10" xfId="0" applyFont="1" applyBorder="1" applyAlignment="1">
      <alignment horizontal="justify" vertical="top" wrapText="1" readingOrder="1"/>
    </xf>
    <xf numFmtId="0" fontId="0" fillId="0" borderId="10" xfId="0" applyBorder="1" applyAlignment="1">
      <alignment horizontal="justify" vertical="top"/>
    </xf>
    <xf numFmtId="0" fontId="0" fillId="0" borderId="0" xfId="0" applyAlignment="1">
      <alignment horizontal="justify" vertical="top"/>
    </xf>
    <xf numFmtId="0" fontId="0" fillId="39" borderId="0" xfId="0" applyFill="1" applyAlignment="1">
      <alignment vertical="top"/>
    </xf>
    <xf numFmtId="0" fontId="16" fillId="39" borderId="10" xfId="0" applyFont="1" applyFill="1" applyBorder="1" applyAlignment="1">
      <alignment vertical="top" wrapText="1"/>
    </xf>
    <xf numFmtId="0" fontId="32" fillId="39" borderId="10" xfId="0" applyFont="1" applyFill="1" applyBorder="1" applyAlignment="1">
      <alignment horizontal="justify" vertical="top" wrapText="1"/>
    </xf>
    <xf numFmtId="14" fontId="16" fillId="39" borderId="10" xfId="0" applyNumberFormat="1" applyFont="1" applyFill="1" applyBorder="1" applyAlignment="1">
      <alignment horizontal="right" vertical="top" wrapText="1"/>
    </xf>
    <xf numFmtId="0" fontId="16" fillId="39" borderId="10" xfId="0" applyFont="1" applyFill="1" applyBorder="1" applyAlignment="1">
      <alignment horizontal="justify" vertical="top" wrapText="1"/>
    </xf>
    <xf numFmtId="0" fontId="16" fillId="39" borderId="0" xfId="0" applyFont="1" applyFill="1"/>
    <xf numFmtId="14" fontId="0" fillId="39" borderId="10" xfId="0" applyNumberFormat="1" applyFill="1" applyBorder="1" applyAlignment="1">
      <alignment horizontal="left" vertical="top" wrapText="1"/>
    </xf>
    <xf numFmtId="0" fontId="0" fillId="38" borderId="14" xfId="0" applyFill="1" applyBorder="1" applyAlignment="1">
      <alignment vertical="top"/>
    </xf>
    <xf numFmtId="0" fontId="0" fillId="38" borderId="68" xfId="0" applyFill="1" applyBorder="1" applyAlignment="1">
      <alignment vertical="top"/>
    </xf>
    <xf numFmtId="0" fontId="0" fillId="38" borderId="69" xfId="0" applyFill="1" applyBorder="1" applyAlignment="1">
      <alignment vertical="top"/>
    </xf>
    <xf numFmtId="0" fontId="16" fillId="39" borderId="10" xfId="0" applyFont="1" applyFill="1" applyBorder="1" applyAlignment="1">
      <alignment vertical="top"/>
    </xf>
    <xf numFmtId="0" fontId="16" fillId="39" borderId="14" xfId="0" applyFont="1" applyFill="1" applyBorder="1" applyAlignment="1">
      <alignment vertical="top"/>
    </xf>
    <xf numFmtId="0" fontId="16" fillId="39" borderId="0" xfId="0" applyFont="1" applyFill="1" applyAlignment="1">
      <alignment vertical="top"/>
    </xf>
    <xf numFmtId="0" fontId="32" fillId="33" borderId="10" xfId="0" applyFont="1" applyFill="1" applyBorder="1" applyAlignment="1">
      <alignment horizontal="justify" vertical="top"/>
    </xf>
    <xf numFmtId="0" fontId="19" fillId="39" borderId="10" xfId="0" applyFont="1" applyFill="1" applyBorder="1" applyAlignment="1">
      <alignment horizontal="justify" vertical="top"/>
    </xf>
    <xf numFmtId="0" fontId="19" fillId="38" borderId="10" xfId="0" applyFont="1" applyFill="1" applyBorder="1" applyAlignment="1">
      <alignment horizontal="justify" vertical="top"/>
    </xf>
    <xf numFmtId="0" fontId="0" fillId="38" borderId="10" xfId="0" applyFill="1" applyBorder="1" applyAlignment="1">
      <alignment horizontal="justify" vertical="top"/>
    </xf>
    <xf numFmtId="0" fontId="19" fillId="0" borderId="0" xfId="0" applyFont="1" applyAlignment="1">
      <alignment horizontal="justify" vertical="top"/>
    </xf>
    <xf numFmtId="0" fontId="0" fillId="39" borderId="10" xfId="0" applyFill="1" applyBorder="1" applyAlignment="1">
      <alignment horizontal="justify" vertical="top"/>
    </xf>
    <xf numFmtId="0" fontId="0" fillId="63" borderId="10" xfId="0" applyFill="1" applyBorder="1" applyAlignment="1">
      <alignment vertical="top" wrapText="1"/>
    </xf>
    <xf numFmtId="0" fontId="19" fillId="63" borderId="10" xfId="0" applyFont="1" applyFill="1" applyBorder="1" applyAlignment="1">
      <alignment horizontal="justify" vertical="top" wrapText="1"/>
    </xf>
    <xf numFmtId="0" fontId="0" fillId="63" borderId="10" xfId="0" applyFill="1" applyBorder="1" applyAlignment="1">
      <alignment horizontal="justify" vertical="top" wrapText="1"/>
    </xf>
    <xf numFmtId="0" fontId="0" fillId="63" borderId="10" xfId="0" applyFill="1" applyBorder="1" applyAlignment="1">
      <alignment horizontal="left" vertical="top" wrapText="1"/>
    </xf>
    <xf numFmtId="14" fontId="0" fillId="63" borderId="10" xfId="0" applyNumberFormat="1" applyFill="1" applyBorder="1" applyAlignment="1">
      <alignment horizontal="right" vertical="top" wrapText="1"/>
    </xf>
    <xf numFmtId="2" fontId="0" fillId="63" borderId="10" xfId="0" applyNumberFormat="1" applyFill="1" applyBorder="1" applyAlignment="1">
      <alignment horizontal="right" vertical="top" wrapText="1"/>
    </xf>
    <xf numFmtId="2" fontId="0" fillId="63" borderId="10" xfId="0" applyNumberFormat="1" applyFill="1" applyBorder="1" applyAlignment="1">
      <alignment horizontal="center" vertical="top" wrapText="1"/>
    </xf>
    <xf numFmtId="164" fontId="0" fillId="63" borderId="10" xfId="0" applyNumberFormat="1" applyFill="1" applyBorder="1" applyAlignment="1">
      <alignment horizontal="center" vertical="top" wrapText="1"/>
    </xf>
    <xf numFmtId="17" fontId="0" fillId="63" borderId="10" xfId="0" applyNumberFormat="1" applyFill="1" applyBorder="1" applyAlignment="1">
      <alignment vertical="top" wrapText="1"/>
    </xf>
    <xf numFmtId="14" fontId="0" fillId="63" borderId="10" xfId="0" applyNumberFormat="1" applyFill="1" applyBorder="1" applyAlignment="1">
      <alignment horizontal="left" vertical="top" wrapText="1"/>
    </xf>
    <xf numFmtId="0" fontId="0" fillId="63" borderId="10" xfId="0" applyFill="1" applyBorder="1" applyAlignment="1">
      <alignment vertical="top"/>
    </xf>
    <xf numFmtId="0" fontId="0" fillId="63" borderId="14" xfId="0" applyFill="1" applyBorder="1" applyAlignment="1">
      <alignment vertical="top"/>
    </xf>
    <xf numFmtId="0" fontId="0" fillId="63" borderId="0" xfId="0" applyFill="1"/>
    <xf numFmtId="0" fontId="21" fillId="37" borderId="10" xfId="0" applyFont="1" applyFill="1" applyBorder="1" applyAlignment="1">
      <alignment horizontal="justify" vertical="top" wrapText="1"/>
    </xf>
    <xf numFmtId="0" fontId="32" fillId="34" borderId="10" xfId="0" applyFont="1" applyFill="1" applyBorder="1" applyAlignment="1">
      <alignment horizontal="justify" vertical="top" wrapText="1"/>
    </xf>
    <xf numFmtId="14" fontId="32" fillId="34" borderId="10" xfId="0" applyNumberFormat="1" applyFont="1" applyFill="1" applyBorder="1" applyAlignment="1">
      <alignment horizontal="justify" vertical="top" wrapText="1"/>
    </xf>
    <xf numFmtId="0" fontId="33" fillId="35" borderId="10" xfId="42" applyFont="1" applyFill="1" applyBorder="1" applyAlignment="1">
      <alignment horizontal="justify" vertical="top" wrapText="1"/>
    </xf>
    <xf numFmtId="0" fontId="32" fillId="36" borderId="10" xfId="0" applyFont="1" applyFill="1" applyBorder="1" applyAlignment="1">
      <alignment horizontal="justify" vertical="top" wrapText="1"/>
    </xf>
    <xf numFmtId="0" fontId="32" fillId="0" borderId="10" xfId="0" applyFont="1" applyBorder="1" applyAlignment="1">
      <alignment horizontal="justify" vertical="top" wrapText="1"/>
    </xf>
    <xf numFmtId="0" fontId="32" fillId="0" borderId="14" xfId="0" applyFont="1" applyBorder="1" applyAlignment="1">
      <alignment horizontal="justify" vertical="top" wrapText="1"/>
    </xf>
    <xf numFmtId="0" fontId="32" fillId="0" borderId="11" xfId="0" applyFont="1" applyBorder="1" applyAlignment="1">
      <alignment horizontal="justify" vertical="top" wrapText="1"/>
    </xf>
    <xf numFmtId="14" fontId="0" fillId="38" borderId="10" xfId="0" applyNumberFormat="1" applyFill="1" applyBorder="1" applyAlignment="1">
      <alignment horizontal="justify" vertical="top" wrapText="1"/>
    </xf>
    <xf numFmtId="2" fontId="0" fillId="38" borderId="10" xfId="0" applyNumberFormat="1" applyFill="1" applyBorder="1" applyAlignment="1">
      <alignment horizontal="justify" vertical="top" wrapText="1"/>
    </xf>
    <xf numFmtId="164" fontId="0" fillId="38" borderId="10" xfId="0" applyNumberFormat="1" applyFill="1" applyBorder="1" applyAlignment="1">
      <alignment horizontal="justify" vertical="top" wrapText="1"/>
    </xf>
    <xf numFmtId="17" fontId="0" fillId="38" borderId="10" xfId="0" applyNumberFormat="1" applyFill="1" applyBorder="1" applyAlignment="1">
      <alignment horizontal="justify" vertical="top" wrapText="1"/>
    </xf>
    <xf numFmtId="14" fontId="0" fillId="39" borderId="10" xfId="0" applyNumberFormat="1" applyFill="1" applyBorder="1" applyAlignment="1">
      <alignment horizontal="justify" vertical="top" wrapText="1"/>
    </xf>
    <xf numFmtId="2" fontId="0" fillId="39" borderId="10" xfId="0" applyNumberFormat="1" applyFill="1" applyBorder="1" applyAlignment="1">
      <alignment horizontal="justify" vertical="top" wrapText="1"/>
    </xf>
    <xf numFmtId="164" fontId="0" fillId="39" borderId="10" xfId="0" applyNumberFormat="1" applyFill="1" applyBorder="1" applyAlignment="1">
      <alignment horizontal="justify" vertical="top" wrapText="1"/>
    </xf>
    <xf numFmtId="17" fontId="0" fillId="39" borderId="10" xfId="0" applyNumberFormat="1" applyFill="1" applyBorder="1" applyAlignment="1">
      <alignment horizontal="justify" vertical="top" wrapText="1"/>
    </xf>
    <xf numFmtId="16" fontId="0" fillId="38" borderId="10" xfId="0" applyNumberFormat="1" applyFill="1" applyBorder="1" applyAlignment="1">
      <alignment vertical="top" wrapText="1"/>
    </xf>
    <xf numFmtId="0" fontId="41" fillId="64" borderId="10" xfId="0" applyFont="1" applyFill="1" applyBorder="1" applyAlignment="1">
      <alignment wrapText="1"/>
    </xf>
    <xf numFmtId="17" fontId="0" fillId="38" borderId="10" xfId="0" applyNumberFormat="1" applyFill="1" applyBorder="1" applyAlignment="1">
      <alignment horizontal="left" vertical="top" wrapText="1"/>
    </xf>
    <xf numFmtId="17" fontId="0" fillId="39" borderId="10" xfId="0" applyNumberFormat="1" applyFill="1" applyBorder="1" applyAlignment="1">
      <alignment horizontal="left" vertical="top" wrapText="1"/>
    </xf>
    <xf numFmtId="0" fontId="0" fillId="0" borderId="0" xfId="0" applyAlignment="1">
      <alignment horizontal="left" vertical="top" wrapText="1"/>
    </xf>
    <xf numFmtId="14" fontId="0" fillId="0" borderId="0" xfId="0" applyNumberFormat="1" applyAlignment="1">
      <alignment horizontal="left" vertical="top" wrapText="1"/>
    </xf>
    <xf numFmtId="16" fontId="0" fillId="39" borderId="10" xfId="0" applyNumberFormat="1" applyFill="1" applyBorder="1" applyAlignment="1">
      <alignment vertical="top" wrapText="1"/>
    </xf>
    <xf numFmtId="0" fontId="0" fillId="63" borderId="0" xfId="0" applyFill="1" applyAlignment="1">
      <alignment vertical="top"/>
    </xf>
    <xf numFmtId="17" fontId="0" fillId="38" borderId="10" xfId="0" applyNumberFormat="1" applyFill="1" applyBorder="1" applyAlignment="1">
      <alignment horizontal="center" vertical="top" wrapText="1"/>
    </xf>
    <xf numFmtId="17" fontId="0" fillId="39" borderId="10" xfId="0" applyNumberFormat="1" applyFill="1" applyBorder="1" applyAlignment="1">
      <alignment horizontal="center" vertical="top" wrapText="1"/>
    </xf>
    <xf numFmtId="0" fontId="0" fillId="0" borderId="0" xfId="0" applyAlignment="1">
      <alignment horizontal="center" vertical="top" wrapText="1"/>
    </xf>
    <xf numFmtId="17" fontId="0" fillId="63" borderId="10" xfId="0" applyNumberFormat="1" applyFill="1" applyBorder="1" applyAlignment="1">
      <alignment horizontal="center" vertical="top" wrapText="1"/>
    </xf>
    <xf numFmtId="14" fontId="0" fillId="38" borderId="10" xfId="0" applyNumberFormat="1" applyFill="1" applyBorder="1" applyAlignment="1">
      <alignment horizontal="center" vertical="top" wrapText="1"/>
    </xf>
    <xf numFmtId="17" fontId="16" fillId="39" borderId="10" xfId="0" applyNumberFormat="1" applyFont="1" applyFill="1" applyBorder="1" applyAlignment="1">
      <alignment horizontal="center" vertical="top" wrapText="1"/>
    </xf>
    <xf numFmtId="17" fontId="16" fillId="38" borderId="10" xfId="0" applyNumberFormat="1" applyFont="1" applyFill="1" applyBorder="1" applyAlignment="1">
      <alignment horizontal="center" vertical="top" wrapText="1"/>
    </xf>
    <xf numFmtId="0" fontId="0" fillId="39" borderId="68" xfId="0" applyFill="1" applyBorder="1" applyAlignment="1">
      <alignment vertical="top"/>
    </xf>
    <xf numFmtId="0" fontId="0" fillId="39" borderId="69" xfId="0" applyFill="1" applyBorder="1" applyAlignment="1">
      <alignment vertical="top"/>
    </xf>
    <xf numFmtId="0" fontId="0" fillId="39" borderId="17" xfId="0" applyFill="1" applyBorder="1" applyAlignment="1">
      <alignment vertical="top"/>
    </xf>
    <xf numFmtId="0" fontId="32" fillId="33" borderId="10" xfId="0" applyFont="1" applyFill="1" applyBorder="1" applyAlignment="1">
      <alignment horizontal="center" vertical="top" wrapText="1"/>
    </xf>
    <xf numFmtId="0" fontId="0" fillId="63" borderId="10" xfId="0" applyFill="1" applyBorder="1" applyAlignment="1">
      <alignment horizontal="center" vertical="top" wrapText="1"/>
    </xf>
    <xf numFmtId="4" fontId="0" fillId="38" borderId="10" xfId="0" applyNumberFormat="1" applyFill="1" applyBorder="1" applyAlignment="1">
      <alignment horizontal="center" vertical="top" wrapText="1"/>
    </xf>
    <xf numFmtId="4" fontId="0" fillId="39" borderId="10" xfId="0" applyNumberFormat="1" applyFill="1" applyBorder="1" applyAlignment="1">
      <alignment horizontal="center" vertical="top" wrapText="1"/>
    </xf>
    <xf numFmtId="0" fontId="0" fillId="38" borderId="14" xfId="0" applyFill="1" applyBorder="1" applyAlignment="1">
      <alignment vertical="top" wrapText="1"/>
    </xf>
    <xf numFmtId="0" fontId="16" fillId="39" borderId="69" xfId="0" applyFont="1" applyFill="1" applyBorder="1" applyAlignment="1">
      <alignment vertical="top"/>
    </xf>
    <xf numFmtId="0" fontId="32" fillId="33" borderId="10" xfId="0" applyFont="1" applyFill="1" applyBorder="1" applyAlignment="1">
      <alignment horizontal="right" vertical="top" wrapText="1"/>
    </xf>
    <xf numFmtId="0" fontId="0" fillId="38" borderId="10" xfId="0" applyFill="1" applyBorder="1" applyAlignment="1">
      <alignment horizontal="right" vertical="top" wrapText="1"/>
    </xf>
    <xf numFmtId="0" fontId="0" fillId="0" borderId="0" xfId="0" applyAlignment="1">
      <alignment horizontal="right" vertical="top" wrapText="1"/>
    </xf>
    <xf numFmtId="0" fontId="0" fillId="46" borderId="10" xfId="0" applyFill="1" applyBorder="1" applyAlignment="1">
      <alignment horizontal="center" wrapText="1"/>
    </xf>
    <xf numFmtId="0" fontId="0" fillId="0" borderId="0" xfId="0" applyAlignment="1">
      <alignment horizontal="center" wrapText="1"/>
    </xf>
    <xf numFmtId="0" fontId="22" fillId="0" borderId="26" xfId="0" applyFont="1" applyBorder="1" applyAlignment="1">
      <alignment wrapText="1"/>
    </xf>
    <xf numFmtId="0" fontId="22" fillId="0" borderId="32" xfId="0" applyFont="1" applyBorder="1" applyAlignment="1">
      <alignment wrapText="1"/>
    </xf>
    <xf numFmtId="0" fontId="22" fillId="0" borderId="0" xfId="0" applyFont="1" applyAlignment="1">
      <alignment horizontal="center" wrapText="1"/>
    </xf>
    <xf numFmtId="0" fontId="22" fillId="0" borderId="27" xfId="0" applyFont="1" applyBorder="1" applyAlignment="1">
      <alignment horizontal="center"/>
    </xf>
    <xf numFmtId="0" fontId="22" fillId="0" borderId="30" xfId="0" applyFont="1" applyBorder="1" applyAlignment="1">
      <alignment horizontal="center"/>
    </xf>
    <xf numFmtId="0" fontId="22" fillId="0" borderId="32" xfId="0" applyFont="1" applyBorder="1" applyAlignment="1">
      <alignment horizontal="center"/>
    </xf>
    <xf numFmtId="0" fontId="22" fillId="0" borderId="34" xfId="0" applyFont="1" applyBorder="1" applyAlignment="1">
      <alignment horizontal="center"/>
    </xf>
    <xf numFmtId="0" fontId="32" fillId="33" borderId="14" xfId="0" applyFont="1" applyFill="1" applyBorder="1" applyAlignment="1">
      <alignment horizontal="justify" vertical="top" wrapText="1"/>
    </xf>
    <xf numFmtId="0" fontId="32" fillId="33" borderId="15" xfId="0" applyFont="1" applyFill="1" applyBorder="1" applyAlignment="1">
      <alignment horizontal="justify" vertical="top" wrapText="1"/>
    </xf>
    <xf numFmtId="0" fontId="32" fillId="33" borderId="15" xfId="0" applyFont="1" applyFill="1" applyBorder="1" applyAlignment="1">
      <alignment horizontal="right" vertical="top" wrapText="1"/>
    </xf>
    <xf numFmtId="0" fontId="32" fillId="33" borderId="11" xfId="0" applyFont="1" applyFill="1" applyBorder="1" applyAlignment="1">
      <alignment horizontal="justify" vertical="top" wrapText="1"/>
    </xf>
    <xf numFmtId="0" fontId="21" fillId="37" borderId="14" xfId="0" applyFont="1" applyFill="1" applyBorder="1" applyAlignment="1">
      <alignment horizontal="justify" vertical="top" wrapText="1"/>
    </xf>
    <xf numFmtId="0" fontId="21" fillId="37" borderId="15" xfId="0" applyFont="1" applyFill="1" applyBorder="1" applyAlignment="1">
      <alignment horizontal="justify" vertical="top" wrapText="1"/>
    </xf>
    <xf numFmtId="0" fontId="21" fillId="37" borderId="15" xfId="0" applyFont="1" applyFill="1" applyBorder="1" applyAlignment="1">
      <alignment horizontal="center" vertical="top" wrapText="1"/>
    </xf>
    <xf numFmtId="0" fontId="21" fillId="37" borderId="11" xfId="0" applyFont="1" applyFill="1" applyBorder="1" applyAlignment="1">
      <alignment horizontal="justify" vertical="top" wrapText="1"/>
    </xf>
    <xf numFmtId="0" fontId="32" fillId="42" borderId="71" xfId="0" applyFont="1" applyFill="1" applyBorder="1" applyAlignment="1">
      <alignment horizontal="center" vertical="top" wrapText="1"/>
    </xf>
    <xf numFmtId="0" fontId="32" fillId="42" borderId="70" xfId="0" applyFont="1" applyFill="1" applyBorder="1" applyAlignment="1">
      <alignment horizontal="center" vertical="top" wrapText="1"/>
    </xf>
    <xf numFmtId="0" fontId="32" fillId="42" borderId="70" xfId="0" applyFont="1" applyFill="1" applyBorder="1" applyAlignment="1">
      <alignment horizontal="left" vertical="top" wrapText="1"/>
    </xf>
    <xf numFmtId="0" fontId="32" fillId="34" borderId="71" xfId="0" applyFont="1" applyFill="1" applyBorder="1" applyAlignment="1">
      <alignment horizontal="center" vertical="top" wrapText="1"/>
    </xf>
    <xf numFmtId="0" fontId="32" fillId="34" borderId="70" xfId="0" applyFont="1" applyFill="1" applyBorder="1" applyAlignment="1">
      <alignment horizontal="center" vertical="top" wrapText="1"/>
    </xf>
    <xf numFmtId="0" fontId="32" fillId="34" borderId="70" xfId="0" applyFont="1" applyFill="1" applyBorder="1" applyAlignment="1">
      <alignment horizontal="justify" vertical="top" wrapText="1"/>
    </xf>
    <xf numFmtId="0" fontId="33" fillId="35" borderId="14" xfId="42" applyFont="1" applyFill="1" applyBorder="1" applyAlignment="1">
      <alignment horizontal="center" vertical="top" wrapText="1"/>
    </xf>
    <xf numFmtId="0" fontId="33" fillId="35" borderId="15" xfId="42" applyFont="1" applyFill="1" applyBorder="1" applyAlignment="1">
      <alignment horizontal="center" vertical="top" wrapText="1"/>
    </xf>
    <xf numFmtId="0" fontId="33" fillId="35" borderId="11" xfId="42" applyFont="1" applyFill="1" applyBorder="1" applyAlignment="1">
      <alignment horizontal="center" vertical="top" wrapText="1"/>
    </xf>
    <xf numFmtId="0" fontId="0" fillId="52" borderId="14" xfId="0" applyFill="1" applyBorder="1" applyAlignment="1">
      <alignment horizontal="center" wrapText="1"/>
    </xf>
    <xf numFmtId="0" fontId="0" fillId="52" borderId="15" xfId="0" applyFill="1" applyBorder="1" applyAlignment="1">
      <alignment horizontal="center" wrapText="1"/>
    </xf>
    <xf numFmtId="0" fontId="0" fillId="52" borderId="11" xfId="0" applyFill="1" applyBorder="1" applyAlignment="1">
      <alignment horizontal="center" wrapText="1"/>
    </xf>
    <xf numFmtId="0" fontId="0" fillId="45" borderId="14" xfId="0" applyFill="1" applyBorder="1" applyAlignment="1">
      <alignment horizontal="center"/>
    </xf>
    <xf numFmtId="0" fontId="0" fillId="45" borderId="15" xfId="0" applyFill="1" applyBorder="1" applyAlignment="1">
      <alignment horizontal="center"/>
    </xf>
    <xf numFmtId="0" fontId="0" fillId="45" borderId="11" xfId="0" applyFill="1" applyBorder="1" applyAlignment="1">
      <alignment horizontal="center"/>
    </xf>
    <xf numFmtId="0" fontId="0" fillId="38" borderId="14" xfId="0" applyFill="1" applyBorder="1" applyAlignment="1">
      <alignment horizontal="center"/>
    </xf>
    <xf numFmtId="0" fontId="0" fillId="38" borderId="11" xfId="0" applyFill="1" applyBorder="1" applyAlignment="1">
      <alignment horizontal="center"/>
    </xf>
    <xf numFmtId="0" fontId="0" fillId="48" borderId="10" xfId="0" applyFill="1" applyBorder="1" applyAlignment="1">
      <alignment horizontal="center" wrapText="1"/>
    </xf>
    <xf numFmtId="0" fontId="0" fillId="42" borderId="14" xfId="0" applyFill="1" applyBorder="1" applyAlignment="1">
      <alignment horizontal="center" wrapText="1"/>
    </xf>
    <xf numFmtId="0" fontId="0" fillId="42" borderId="15" xfId="0" applyFill="1" applyBorder="1" applyAlignment="1">
      <alignment horizontal="center" wrapText="1"/>
    </xf>
    <xf numFmtId="0" fontId="0" fillId="42" borderId="11" xfId="0" applyFill="1" applyBorder="1" applyAlignment="1">
      <alignment horizontal="center" wrapText="1"/>
    </xf>
    <xf numFmtId="0" fontId="0" fillId="49" borderId="14" xfId="0" applyFill="1" applyBorder="1" applyAlignment="1">
      <alignment horizontal="center" wrapText="1"/>
    </xf>
    <xf numFmtId="0" fontId="0" fillId="49" borderId="15" xfId="0" applyFill="1" applyBorder="1" applyAlignment="1">
      <alignment horizontal="center" wrapText="1"/>
    </xf>
    <xf numFmtId="0" fontId="0" fillId="49" borderId="11" xfId="0" applyFill="1" applyBorder="1" applyAlignment="1">
      <alignment horizontal="center" wrapText="1"/>
    </xf>
    <xf numFmtId="0" fontId="0" fillId="50" borderId="14" xfId="0" applyFill="1" applyBorder="1" applyAlignment="1">
      <alignment horizontal="center" wrapText="1"/>
    </xf>
    <xf numFmtId="0" fontId="0" fillId="50" borderId="15" xfId="0" applyFill="1" applyBorder="1" applyAlignment="1">
      <alignment horizontal="center" wrapText="1"/>
    </xf>
    <xf numFmtId="0" fontId="0" fillId="50" borderId="11" xfId="0" applyFill="1" applyBorder="1" applyAlignment="1">
      <alignment horizontal="center" wrapText="1"/>
    </xf>
    <xf numFmtId="0" fontId="0" fillId="48" borderId="14" xfId="0" applyFill="1" applyBorder="1" applyAlignment="1">
      <alignment horizontal="center" wrapText="1"/>
    </xf>
    <xf numFmtId="0" fontId="0" fillId="48" borderId="15" xfId="0" applyFill="1" applyBorder="1" applyAlignment="1">
      <alignment horizontal="center" wrapText="1"/>
    </xf>
    <xf numFmtId="0" fontId="0" fillId="48" borderId="11" xfId="0" applyFill="1" applyBorder="1" applyAlignment="1">
      <alignment horizontal="center" wrapText="1"/>
    </xf>
    <xf numFmtId="0" fontId="0" fillId="47" borderId="14" xfId="0" applyFill="1" applyBorder="1" applyAlignment="1">
      <alignment horizontal="center" wrapText="1"/>
    </xf>
    <xf numFmtId="0" fontId="0" fillId="47" borderId="15" xfId="0" applyFill="1" applyBorder="1" applyAlignment="1">
      <alignment horizontal="center" wrapText="1"/>
    </xf>
    <xf numFmtId="0" fontId="0" fillId="47" borderId="11" xfId="0" applyFill="1" applyBorder="1" applyAlignment="1">
      <alignment horizontal="center" wrapText="1"/>
    </xf>
    <xf numFmtId="0" fontId="27" fillId="0" borderId="23" xfId="0" applyFont="1" applyBorder="1" applyAlignment="1">
      <alignment horizontal="center" vertical="center" wrapText="1"/>
    </xf>
    <xf numFmtId="0" fontId="27" fillId="0" borderId="22" xfId="0" applyFont="1" applyBorder="1" applyAlignment="1">
      <alignment horizontal="center" vertical="center" wrapText="1"/>
    </xf>
    <xf numFmtId="0" fontId="27" fillId="0" borderId="19" xfId="0" applyFont="1" applyBorder="1" applyAlignment="1">
      <alignment horizontal="center" vertical="center" wrapText="1"/>
    </xf>
    <xf numFmtId="0" fontId="27" fillId="0" borderId="23" xfId="0" applyFont="1" applyBorder="1" applyAlignment="1">
      <alignment vertical="center" wrapText="1"/>
    </xf>
    <xf numFmtId="0" fontId="27" fillId="0" borderId="22" xfId="0" applyFont="1" applyBorder="1" applyAlignment="1">
      <alignment vertical="center" wrapText="1"/>
    </xf>
    <xf numFmtId="0" fontId="27" fillId="0" borderId="19" xfId="0" applyFont="1" applyBorder="1" applyAlignment="1">
      <alignment vertical="center" wrapText="1"/>
    </xf>
    <xf numFmtId="0" fontId="27" fillId="0" borderId="24" xfId="0" applyFont="1" applyBorder="1" applyAlignment="1">
      <alignment vertical="center" wrapText="1"/>
    </xf>
    <xf numFmtId="0" fontId="27" fillId="0" borderId="20" xfId="0" applyFont="1" applyBorder="1" applyAlignment="1">
      <alignment vertical="center" wrapText="1"/>
    </xf>
    <xf numFmtId="0" fontId="0" fillId="51" borderId="10" xfId="0" applyFill="1" applyBorder="1" applyAlignment="1">
      <alignment horizontal="center" wrapText="1"/>
    </xf>
    <xf numFmtId="0" fontId="0" fillId="46" borderId="14" xfId="0" applyFill="1" applyBorder="1" applyAlignment="1">
      <alignment horizontal="center" wrapText="1"/>
    </xf>
    <xf numFmtId="0" fontId="0" fillId="46" borderId="15" xfId="0" applyFill="1" applyBorder="1" applyAlignment="1">
      <alignment horizontal="center" wrapText="1"/>
    </xf>
    <xf numFmtId="0" fontId="0" fillId="46" borderId="11" xfId="0" applyFill="1" applyBorder="1" applyAlignment="1">
      <alignment horizontal="center" wrapText="1"/>
    </xf>
    <xf numFmtId="0" fontId="27" fillId="0" borderId="24" xfId="0" applyFont="1" applyBorder="1" applyAlignment="1">
      <alignment horizontal="center" vertical="center" wrapText="1"/>
    </xf>
    <xf numFmtId="0" fontId="27" fillId="0" borderId="20" xfId="0" applyFont="1" applyBorder="1" applyAlignment="1">
      <alignment horizontal="center" vertical="center" wrapText="1"/>
    </xf>
    <xf numFmtId="0" fontId="34" fillId="38" borderId="57" xfId="0" applyFont="1" applyFill="1" applyBorder="1" applyAlignment="1">
      <alignment horizontal="left" vertical="top"/>
    </xf>
    <xf numFmtId="0" fontId="34" fillId="38" borderId="59" xfId="0" applyFont="1" applyFill="1" applyBorder="1" applyAlignment="1">
      <alignment horizontal="left" vertical="top"/>
    </xf>
    <xf numFmtId="0" fontId="36" fillId="0" borderId="43" xfId="0" applyFont="1" applyBorder="1" applyAlignment="1">
      <alignment horizontal="left" vertical="top" wrapText="1"/>
    </xf>
    <xf numFmtId="0" fontId="0" fillId="0" borderId="53" xfId="0" applyBorder="1" applyAlignment="1">
      <alignment horizontal="left" vertical="top" wrapText="1"/>
    </xf>
    <xf numFmtId="0" fontId="36" fillId="38" borderId="44" xfId="0" quotePrefix="1" applyFont="1" applyFill="1" applyBorder="1" applyAlignment="1">
      <alignment horizontal="center" vertical="center" wrapText="1"/>
    </xf>
    <xf numFmtId="0" fontId="36" fillId="38" borderId="44" xfId="0" applyFont="1" applyFill="1" applyBorder="1" applyAlignment="1">
      <alignment horizontal="center" vertical="center" wrapText="1"/>
    </xf>
    <xf numFmtId="0" fontId="36" fillId="33" borderId="45" xfId="0" quotePrefix="1" applyFont="1" applyFill="1" applyBorder="1" applyAlignment="1">
      <alignment horizontal="center" vertical="center" wrapText="1"/>
    </xf>
    <xf numFmtId="0" fontId="36" fillId="33" borderId="46" xfId="0" applyFont="1" applyFill="1" applyBorder="1" applyAlignment="1">
      <alignment horizontal="center" vertical="center" wrapText="1"/>
    </xf>
    <xf numFmtId="0" fontId="36" fillId="33" borderId="47" xfId="0" applyFont="1" applyFill="1" applyBorder="1" applyAlignment="1">
      <alignment horizontal="center" vertical="center" wrapText="1"/>
    </xf>
    <xf numFmtId="0" fontId="35" fillId="0" borderId="35" xfId="0" applyFont="1" applyBorder="1" applyAlignment="1">
      <alignment horizontal="left" vertical="top" wrapText="1"/>
    </xf>
    <xf numFmtId="0" fontId="0" fillId="0" borderId="40" xfId="0" applyBorder="1" applyAlignment="1">
      <alignment horizontal="left" vertical="top" wrapText="1"/>
    </xf>
    <xf numFmtId="0" fontId="35" fillId="38" borderId="36" xfId="0" quotePrefix="1" applyFont="1" applyFill="1" applyBorder="1" applyAlignment="1">
      <alignment horizontal="center" vertical="center"/>
    </xf>
    <xf numFmtId="0" fontId="35" fillId="38" borderId="36" xfId="0" applyFont="1" applyFill="1" applyBorder="1" applyAlignment="1">
      <alignment horizontal="center" vertical="center"/>
    </xf>
    <xf numFmtId="0" fontId="35" fillId="33" borderId="37" xfId="0" quotePrefix="1" applyFont="1" applyFill="1" applyBorder="1" applyAlignment="1">
      <alignment horizontal="center" vertical="center"/>
    </xf>
    <xf numFmtId="0" fontId="35" fillId="33" borderId="37" xfId="0" applyFont="1" applyFill="1" applyBorder="1" applyAlignment="1">
      <alignment horizontal="center" vertical="center"/>
    </xf>
    <xf numFmtId="0" fontId="35" fillId="34" borderId="41" xfId="0" quotePrefix="1" applyFont="1" applyFill="1" applyBorder="1" applyAlignment="1">
      <alignment horizontal="center" vertical="center"/>
    </xf>
    <xf numFmtId="0" fontId="35" fillId="34" borderId="41" xfId="0" applyFont="1" applyFill="1" applyBorder="1" applyAlignment="1">
      <alignment horizontal="center" vertical="center"/>
    </xf>
    <xf numFmtId="0" fontId="35" fillId="56" borderId="35" xfId="0" applyFont="1" applyFill="1" applyBorder="1" applyAlignment="1">
      <alignment horizontal="left" vertical="top" wrapText="1"/>
    </xf>
    <xf numFmtId="0" fontId="35" fillId="56" borderId="40" xfId="0" applyFont="1" applyFill="1" applyBorder="1" applyAlignment="1">
      <alignment horizontal="left" vertical="top" wrapText="1"/>
    </xf>
    <xf numFmtId="0" fontId="35" fillId="38" borderId="36" xfId="0" quotePrefix="1" applyFont="1" applyFill="1" applyBorder="1" applyAlignment="1">
      <alignment horizontal="center" vertical="center" wrapText="1"/>
    </xf>
    <xf numFmtId="0" fontId="35" fillId="38" borderId="36" xfId="0" applyFont="1" applyFill="1" applyBorder="1" applyAlignment="1">
      <alignment horizontal="center" vertical="center" wrapText="1"/>
    </xf>
    <xf numFmtId="0" fontId="35" fillId="33" borderId="37" xfId="0" quotePrefix="1" applyFont="1" applyFill="1" applyBorder="1" applyAlignment="1">
      <alignment horizontal="center" vertical="center" wrapText="1"/>
    </xf>
    <xf numFmtId="0" fontId="35" fillId="33" borderId="37" xfId="0" applyFont="1" applyFill="1" applyBorder="1" applyAlignment="1">
      <alignment horizontal="center" vertical="center" wrapText="1"/>
    </xf>
    <xf numFmtId="0" fontId="35" fillId="33" borderId="62" xfId="0" quotePrefix="1" applyFont="1" applyFill="1" applyBorder="1" applyAlignment="1">
      <alignment horizontal="center" vertical="center"/>
    </xf>
    <xf numFmtId="0" fontId="35" fillId="33" borderId="0" xfId="0" quotePrefix="1" applyFont="1" applyFill="1" applyAlignment="1">
      <alignment horizontal="center" vertical="center"/>
    </xf>
    <xf numFmtId="0" fontId="35" fillId="33" borderId="63" xfId="0" quotePrefix="1" applyFont="1" applyFill="1" applyBorder="1" applyAlignment="1">
      <alignment horizontal="center" vertical="center"/>
    </xf>
    <xf numFmtId="0" fontId="35" fillId="33" borderId="64" xfId="0" quotePrefix="1" applyFont="1" applyFill="1" applyBorder="1" applyAlignment="1">
      <alignment horizontal="center" vertical="center"/>
    </xf>
    <xf numFmtId="0" fontId="35" fillId="34" borderId="65" xfId="0" quotePrefix="1" applyFont="1" applyFill="1" applyBorder="1" applyAlignment="1">
      <alignment horizontal="center" vertical="center"/>
    </xf>
    <xf numFmtId="0" fontId="35" fillId="34" borderId="66" xfId="0" quotePrefix="1" applyFont="1" applyFill="1" applyBorder="1" applyAlignment="1">
      <alignment horizontal="center" vertical="center"/>
    </xf>
    <xf numFmtId="0" fontId="35" fillId="34" borderId="58" xfId="0" quotePrefix="1" applyFont="1" applyFill="1" applyBorder="1" applyAlignment="1">
      <alignment horizontal="center" vertical="center"/>
    </xf>
    <xf numFmtId="0" fontId="36" fillId="59" borderId="51" xfId="0" quotePrefix="1" applyFont="1" applyFill="1" applyBorder="1" applyAlignment="1">
      <alignment horizontal="center" vertical="center" wrapText="1"/>
    </xf>
    <xf numFmtId="0" fontId="36" fillId="59" borderId="52" xfId="0" quotePrefix="1" applyFont="1" applyFill="1" applyBorder="1" applyAlignment="1">
      <alignment horizontal="center" vertical="center" wrapText="1"/>
    </xf>
    <xf numFmtId="0" fontId="36" fillId="59" borderId="67" xfId="0" quotePrefix="1" applyFont="1" applyFill="1" applyBorder="1" applyAlignment="1">
      <alignment horizontal="center" vertical="center" wrapText="1"/>
    </xf>
    <xf numFmtId="0" fontId="35" fillId="38" borderId="60" xfId="0" quotePrefix="1" applyFont="1" applyFill="1" applyBorder="1" applyAlignment="1">
      <alignment horizontal="center" vertical="center" wrapText="1"/>
    </xf>
    <xf numFmtId="0" fontId="35" fillId="38" borderId="61" xfId="0" quotePrefix="1" applyFont="1" applyFill="1" applyBorder="1" applyAlignment="1">
      <alignment horizontal="center" vertical="center" wrapText="1"/>
    </xf>
    <xf numFmtId="0" fontId="36" fillId="59" borderId="38" xfId="0" quotePrefix="1" applyFont="1" applyFill="1" applyBorder="1" applyAlignment="1">
      <alignment horizontal="center" vertical="center" wrapText="1"/>
    </xf>
    <xf numFmtId="0" fontId="36" fillId="59" borderId="39" xfId="0" applyFont="1" applyFill="1" applyBorder="1" applyAlignment="1">
      <alignment horizontal="center" vertical="center" wrapText="1"/>
    </xf>
    <xf numFmtId="0" fontId="36" fillId="55" borderId="48" xfId="0" quotePrefix="1" applyFont="1" applyFill="1" applyBorder="1" applyAlignment="1">
      <alignment horizontal="center" vertical="center" wrapText="1"/>
    </xf>
    <xf numFmtId="0" fontId="36" fillId="55" borderId="49" xfId="0" applyFont="1" applyFill="1" applyBorder="1" applyAlignment="1">
      <alignment horizontal="center" vertical="center" wrapText="1"/>
    </xf>
    <xf numFmtId="0" fontId="36" fillId="55" borderId="50" xfId="0" applyFont="1" applyFill="1" applyBorder="1" applyAlignment="1">
      <alignment horizontal="center" vertical="center" wrapText="1"/>
    </xf>
    <xf numFmtId="0" fontId="36" fillId="60" borderId="72" xfId="0" quotePrefix="1" applyFont="1" applyFill="1" applyBorder="1" applyAlignment="1">
      <alignment horizontal="center" vertical="center" wrapText="1"/>
    </xf>
    <xf numFmtId="0" fontId="36" fillId="60" borderId="0" xfId="0" quotePrefix="1" applyFont="1" applyFill="1" applyAlignment="1">
      <alignment horizontal="center" vertical="center" wrapText="1"/>
    </xf>
    <xf numFmtId="0" fontId="36" fillId="60" borderId="73" xfId="0" quotePrefix="1" applyFont="1" applyFill="1" applyBorder="1" applyAlignment="1">
      <alignment horizontal="center" vertical="center" wrapText="1"/>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2" xfId="42" xr:uid="{61D0CAC3-F03B-4D14-823F-A2D1E5290583}"/>
    <cellStyle name="Note" xfId="15" builtinId="10" customBuiltin="1"/>
    <cellStyle name="Output" xfId="10" builtinId="21" customBuiltin="1"/>
    <cellStyle name="Percent" xfId="43" builtinId="5"/>
    <cellStyle name="Title" xfId="1" builtinId="15" customBuiltin="1"/>
    <cellStyle name="Total" xfId="17" builtinId="25" customBuiltin="1"/>
    <cellStyle name="Warning Text" xfId="14" builtinId="11" customBuiltin="1"/>
  </cellStyles>
  <dxfs count="11">
    <dxf>
      <font>
        <b/>
        <i val="0"/>
      </font>
    </dxf>
    <dxf>
      <font>
        <b/>
        <i val="0"/>
      </font>
    </dxf>
    <dxf>
      <font>
        <b/>
        <i/>
        <u val="none"/>
      </font>
    </dxf>
    <dxf>
      <font>
        <b/>
        <i/>
        <u val="none"/>
      </font>
    </dxf>
    <dxf>
      <font>
        <b/>
        <i/>
        <u val="none"/>
      </font>
    </dxf>
    <dxf>
      <font>
        <b/>
        <i/>
        <u val="none"/>
      </font>
    </dxf>
    <dxf>
      <font>
        <b/>
        <i/>
        <u val="none"/>
      </font>
    </dxf>
    <dxf>
      <font>
        <b/>
        <i/>
        <u val="none"/>
      </font>
    </dxf>
    <dxf>
      <font>
        <b/>
        <i/>
        <u val="none"/>
      </font>
    </dxf>
    <dxf>
      <font>
        <b/>
        <i/>
        <u val="none"/>
      </font>
    </dxf>
    <dxf>
      <font>
        <b/>
        <i/>
        <u val="none"/>
      </font>
    </dxf>
  </dxfs>
  <tableStyles count="0" defaultTableStyle="TableStyleMedium2" defaultPivotStyle="PivotStyleLight16"/>
  <colors>
    <mruColors>
      <color rgb="FFFF7C80"/>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4CC5F-344F-4BB2-8881-13C5A92ACC36}">
  <sheetPr>
    <pageSetUpPr fitToPage="1"/>
  </sheetPr>
  <dimension ref="A1:CN270"/>
  <sheetViews>
    <sheetView tabSelected="1" zoomScale="106" zoomScaleNormal="106" workbookViewId="0">
      <pane xSplit="5" ySplit="2" topLeftCell="AH13" activePane="bottomRight" state="frozen"/>
      <selection pane="topRight" activeCell="F1" sqref="F1"/>
      <selection pane="bottomLeft" activeCell="A3" sqref="A3"/>
      <selection pane="bottomRight" activeCell="AQ17" sqref="AQ17"/>
    </sheetView>
  </sheetViews>
  <sheetFormatPr defaultColWidth="9.140625" defaultRowHeight="15.75" customHeight="1" x14ac:dyDescent="0.25"/>
  <cols>
    <col min="1" max="1" width="10.140625" style="135" customWidth="1"/>
    <col min="2" max="2" width="36.28515625" style="209" customWidth="1"/>
    <col min="3" max="3" width="16.42578125" style="135" customWidth="1"/>
    <col min="4" max="4" width="14.42578125" style="135" customWidth="1"/>
    <col min="5" max="5" width="10.140625" style="135" customWidth="1"/>
    <col min="6" max="6" width="13.28515625" style="266" customWidth="1"/>
    <col min="7" max="7" width="8.7109375" style="135" customWidth="1"/>
    <col min="8" max="8" width="9.140625" style="135" customWidth="1"/>
    <col min="9" max="9" width="5.85546875" style="135" customWidth="1"/>
    <col min="10" max="10" width="10.140625" style="135" customWidth="1"/>
    <col min="11" max="11" width="17.5703125" style="135" customWidth="1"/>
    <col min="12" max="12" width="10.140625" style="135" customWidth="1"/>
    <col min="13" max="13" width="10.85546875" style="135" customWidth="1"/>
    <col min="14" max="15" width="10.140625" style="135" customWidth="1"/>
    <col min="16" max="16" width="15.85546875" style="244" customWidth="1"/>
    <col min="17" max="17" width="10.140625" style="135" customWidth="1"/>
    <col min="18" max="18" width="9.140625" style="135" customWidth="1"/>
    <col min="19" max="20" width="11.85546875" style="250" customWidth="1"/>
    <col min="21" max="21" width="10.140625" style="250" customWidth="1"/>
    <col min="22" max="22" width="10.140625" style="135" customWidth="1"/>
    <col min="23" max="23" width="6.42578125" style="135" customWidth="1"/>
    <col min="24" max="24" width="12.85546875" style="135" customWidth="1"/>
    <col min="25" max="29" width="10.140625" style="135" customWidth="1"/>
    <col min="30" max="30" width="10.85546875" style="250" customWidth="1"/>
    <col min="31" max="31" width="8.42578125" style="250" customWidth="1"/>
    <col min="32" max="32" width="17.5703125" style="135" customWidth="1"/>
    <col min="33" max="33" width="15.140625" style="135" customWidth="1"/>
    <col min="34" max="34" width="15" style="135" customWidth="1"/>
    <col min="35" max="36" width="9.140625" style="135" customWidth="1"/>
    <col min="37" max="37" width="15" style="135" customWidth="1"/>
    <col min="38" max="38" width="10.140625" style="250" customWidth="1"/>
    <col min="39" max="40" width="10.140625" style="135" customWidth="1"/>
    <col min="41" max="41" width="15.42578125" style="135" customWidth="1"/>
    <col min="42" max="42" width="10.140625" style="135" customWidth="1"/>
    <col min="43" max="43" width="8.7109375" style="135" customWidth="1"/>
    <col min="44" max="44" width="19.5703125" style="136" customWidth="1"/>
    <col min="45" max="45" width="10.140625" style="250" customWidth="1"/>
    <col min="46" max="46" width="17" style="244" customWidth="1"/>
    <col min="47" max="47" width="15.5703125" style="244" customWidth="1"/>
    <col min="48" max="48" width="16.85546875" style="135" customWidth="1"/>
    <col min="49" max="49" width="16.28515625" style="244" customWidth="1"/>
    <col min="50" max="51" width="13.140625" style="244" customWidth="1"/>
    <col min="52" max="52" width="13.5703125" style="244" customWidth="1"/>
    <col min="53" max="53" width="11.85546875" style="244" customWidth="1"/>
    <col min="54" max="58" width="10.85546875" style="244" customWidth="1"/>
    <col min="59" max="59" width="9.140625" style="245" customWidth="1"/>
    <col min="60" max="60" width="10.28515625" style="245" customWidth="1"/>
    <col min="61" max="62" width="10.140625" style="250" customWidth="1"/>
    <col min="63" max="64" width="10.140625" style="135" customWidth="1"/>
    <col min="65" max="65" width="12.42578125" style="135" customWidth="1"/>
    <col min="66" max="66" width="14" style="135" customWidth="1"/>
    <col min="67" max="77" width="10.140625" style="135" customWidth="1"/>
    <col min="78" max="78" width="12.28515625" style="135" customWidth="1"/>
    <col min="79" max="79" width="10.140625" style="135" customWidth="1"/>
    <col min="80" max="80" width="24" style="1" customWidth="1"/>
    <col min="81" max="81" width="9.140625" style="1" customWidth="1"/>
    <col min="82" max="83" width="10.140625" style="134" customWidth="1"/>
    <col min="84" max="84" width="9.140625" style="1" customWidth="1"/>
    <col min="85" max="85" width="33" style="1" customWidth="1"/>
    <col min="86" max="91" width="9.140625" style="1"/>
  </cols>
  <sheetData>
    <row r="1" spans="1:92" ht="15.75" customHeight="1" x14ac:dyDescent="0.25">
      <c r="A1" s="276" t="s">
        <v>0</v>
      </c>
      <c r="B1" s="277"/>
      <c r="C1" s="277"/>
      <c r="D1" s="277"/>
      <c r="E1" s="277"/>
      <c r="F1" s="278"/>
      <c r="G1" s="277"/>
      <c r="H1" s="277"/>
      <c r="I1" s="277"/>
      <c r="J1" s="277"/>
      <c r="K1" s="277"/>
      <c r="L1" s="277"/>
      <c r="M1" s="277"/>
      <c r="N1" s="277"/>
      <c r="O1" s="277"/>
      <c r="P1" s="277"/>
      <c r="Q1" s="277"/>
      <c r="R1" s="277"/>
      <c r="S1" s="277"/>
      <c r="T1" s="277"/>
      <c r="U1" s="277"/>
      <c r="V1" s="279"/>
      <c r="W1" s="280" t="s">
        <v>1</v>
      </c>
      <c r="X1" s="281"/>
      <c r="Y1" s="281"/>
      <c r="Z1" s="281"/>
      <c r="AA1" s="281"/>
      <c r="AB1" s="281"/>
      <c r="AC1" s="281"/>
      <c r="AD1" s="282"/>
      <c r="AE1" s="283"/>
      <c r="AF1" s="284" t="s">
        <v>2</v>
      </c>
      <c r="AG1" s="285"/>
      <c r="AH1" s="285"/>
      <c r="AI1" s="285"/>
      <c r="AJ1" s="285"/>
      <c r="AK1" s="285"/>
      <c r="AL1" s="285"/>
      <c r="AM1" s="285"/>
      <c r="AN1" s="285"/>
      <c r="AO1" s="285"/>
      <c r="AP1" s="285"/>
      <c r="AQ1" s="285"/>
      <c r="AR1" s="285"/>
      <c r="AS1" s="286"/>
      <c r="AT1" s="287" t="s">
        <v>3</v>
      </c>
      <c r="AU1" s="288"/>
      <c r="AV1" s="289"/>
      <c r="AW1" s="288"/>
      <c r="AX1" s="288"/>
      <c r="AY1" s="288"/>
      <c r="AZ1" s="288"/>
      <c r="BA1" s="288"/>
      <c r="BB1" s="288"/>
      <c r="BC1" s="288"/>
      <c r="BD1" s="288"/>
      <c r="BE1" s="288"/>
      <c r="BF1" s="288"/>
      <c r="BG1" s="288"/>
      <c r="BH1" s="288"/>
      <c r="BI1" s="288"/>
      <c r="BJ1" s="288"/>
      <c r="BK1" s="290" t="s">
        <v>4</v>
      </c>
      <c r="BL1" s="291"/>
      <c r="BM1" s="291"/>
      <c r="BN1" s="291"/>
      <c r="BO1" s="291"/>
      <c r="BP1" s="291"/>
      <c r="BQ1" s="291"/>
      <c r="BR1" s="291"/>
      <c r="BS1" s="291"/>
      <c r="BT1" s="291"/>
      <c r="BU1" s="291"/>
      <c r="BV1" s="292"/>
      <c r="BW1" s="228" t="s">
        <v>5</v>
      </c>
      <c r="BX1" s="228"/>
      <c r="BY1" s="228"/>
      <c r="BZ1" s="229"/>
      <c r="CA1" s="229"/>
    </row>
    <row r="2" spans="1:92" s="229" customFormat="1" ht="93.75" customHeight="1" x14ac:dyDescent="0.25">
      <c r="A2" s="110" t="s">
        <v>6</v>
      </c>
      <c r="B2" s="205" t="s">
        <v>7</v>
      </c>
      <c r="C2" s="110" t="s">
        <v>8</v>
      </c>
      <c r="D2" s="110" t="s">
        <v>9</v>
      </c>
      <c r="E2" s="110" t="s">
        <v>10</v>
      </c>
      <c r="F2" s="264" t="s">
        <v>11</v>
      </c>
      <c r="G2" s="110" t="s">
        <v>12</v>
      </c>
      <c r="H2" s="110" t="s">
        <v>13</v>
      </c>
      <c r="I2" s="110" t="s">
        <v>14</v>
      </c>
      <c r="J2" s="110" t="s">
        <v>15</v>
      </c>
      <c r="K2" s="110" t="s">
        <v>16</v>
      </c>
      <c r="L2" s="110" t="s">
        <v>17</v>
      </c>
      <c r="M2" s="110" t="s">
        <v>18</v>
      </c>
      <c r="N2" s="110" t="s">
        <v>19</v>
      </c>
      <c r="O2" s="110" t="s">
        <v>20</v>
      </c>
      <c r="P2" s="110" t="s">
        <v>21</v>
      </c>
      <c r="Q2" s="110" t="s">
        <v>22</v>
      </c>
      <c r="R2" s="110" t="s">
        <v>23</v>
      </c>
      <c r="S2" s="258" t="s">
        <v>24</v>
      </c>
      <c r="T2" s="258" t="s">
        <v>25</v>
      </c>
      <c r="U2" s="258" t="s">
        <v>26</v>
      </c>
      <c r="V2" s="110" t="s">
        <v>27</v>
      </c>
      <c r="W2" s="224" t="s">
        <v>28</v>
      </c>
      <c r="X2" s="224" t="s">
        <v>29</v>
      </c>
      <c r="Y2" s="224" t="s">
        <v>30</v>
      </c>
      <c r="Z2" s="224" t="s">
        <v>31</v>
      </c>
      <c r="AA2" s="224" t="s">
        <v>32</v>
      </c>
      <c r="AB2" s="224" t="s">
        <v>33</v>
      </c>
      <c r="AC2" s="224" t="s">
        <v>34</v>
      </c>
      <c r="AD2" s="224" t="s">
        <v>35</v>
      </c>
      <c r="AE2" s="224" t="s">
        <v>36</v>
      </c>
      <c r="AF2" s="127" t="s">
        <v>37</v>
      </c>
      <c r="AG2" s="127" t="s">
        <v>38</v>
      </c>
      <c r="AH2" s="127" t="s">
        <v>39</v>
      </c>
      <c r="AI2" s="127" t="s">
        <v>40</v>
      </c>
      <c r="AJ2" s="127" t="s">
        <v>41</v>
      </c>
      <c r="AK2" s="127" t="s">
        <v>42</v>
      </c>
      <c r="AL2" s="127" t="s">
        <v>43</v>
      </c>
      <c r="AM2" s="127" t="s">
        <v>44</v>
      </c>
      <c r="AN2" s="127" t="s">
        <v>45</v>
      </c>
      <c r="AO2" s="127" t="s">
        <v>46</v>
      </c>
      <c r="AP2" s="127" t="s">
        <v>47</v>
      </c>
      <c r="AQ2" s="127" t="s">
        <v>48</v>
      </c>
      <c r="AR2" s="127" t="s">
        <v>49</v>
      </c>
      <c r="AS2" s="127" t="s">
        <v>50</v>
      </c>
      <c r="AT2" s="225" t="s">
        <v>51</v>
      </c>
      <c r="AU2" s="225" t="s">
        <v>52</v>
      </c>
      <c r="AV2" s="225" t="s">
        <v>53</v>
      </c>
      <c r="AW2" s="225" t="s">
        <v>54</v>
      </c>
      <c r="AX2" s="225" t="s">
        <v>55</v>
      </c>
      <c r="AY2" s="225" t="s">
        <v>56</v>
      </c>
      <c r="AZ2" s="225" t="s">
        <v>57</v>
      </c>
      <c r="BA2" s="225" t="s">
        <v>58</v>
      </c>
      <c r="BB2" s="225" t="s">
        <v>59</v>
      </c>
      <c r="BC2" s="225" t="s">
        <v>60</v>
      </c>
      <c r="BD2" s="225" t="s">
        <v>61</v>
      </c>
      <c r="BE2" s="225" t="s">
        <v>62</v>
      </c>
      <c r="BF2" s="225" t="s">
        <v>63</v>
      </c>
      <c r="BG2" s="226" t="s">
        <v>64</v>
      </c>
      <c r="BH2" s="226" t="s">
        <v>65</v>
      </c>
      <c r="BI2" s="225" t="s">
        <v>66</v>
      </c>
      <c r="BJ2" s="225" t="s">
        <v>67</v>
      </c>
      <c r="BK2" s="227" t="s">
        <v>68</v>
      </c>
      <c r="BL2" s="227" t="s">
        <v>69</v>
      </c>
      <c r="BM2" s="227" t="s">
        <v>70</v>
      </c>
      <c r="BN2" s="227" t="s">
        <v>71</v>
      </c>
      <c r="BO2" s="227" t="s">
        <v>72</v>
      </c>
      <c r="BP2" s="227" t="s">
        <v>73</v>
      </c>
      <c r="BQ2" s="227" t="s">
        <v>74</v>
      </c>
      <c r="BR2" s="227" t="s">
        <v>75</v>
      </c>
      <c r="BS2" s="227" t="s">
        <v>76</v>
      </c>
      <c r="BT2" s="227" t="s">
        <v>77</v>
      </c>
      <c r="BU2" s="227" t="s">
        <v>78</v>
      </c>
      <c r="BV2" s="227" t="s">
        <v>79</v>
      </c>
      <c r="BW2" s="228" t="s">
        <v>80</v>
      </c>
      <c r="BX2" s="228" t="s">
        <v>81</v>
      </c>
      <c r="BY2" s="228" t="s">
        <v>82</v>
      </c>
      <c r="BZ2" s="229" t="s">
        <v>83</v>
      </c>
      <c r="CA2" s="229" t="s">
        <v>84</v>
      </c>
      <c r="CB2" s="229" t="s">
        <v>85</v>
      </c>
      <c r="CC2" s="229" t="s">
        <v>86</v>
      </c>
      <c r="CD2" s="224" t="s">
        <v>87</v>
      </c>
      <c r="CE2" s="224" t="s">
        <v>88</v>
      </c>
      <c r="CF2" s="229" t="s">
        <v>81</v>
      </c>
      <c r="CG2" s="229" t="s">
        <v>89</v>
      </c>
      <c r="CH2" s="230" t="s">
        <v>90</v>
      </c>
      <c r="CI2" s="229" t="s">
        <v>91</v>
      </c>
      <c r="CJ2" s="229" t="s">
        <v>92</v>
      </c>
      <c r="CK2" s="229" t="s">
        <v>93</v>
      </c>
      <c r="CL2" s="231" t="s">
        <v>94</v>
      </c>
      <c r="CM2" s="229" t="s">
        <v>95</v>
      </c>
      <c r="CN2" s="229" t="s">
        <v>96</v>
      </c>
    </row>
    <row r="3" spans="1:92" s="223" customFormat="1" ht="63.75" customHeight="1" x14ac:dyDescent="0.25">
      <c r="A3" s="211">
        <v>119</v>
      </c>
      <c r="B3" s="212" t="s">
        <v>97</v>
      </c>
      <c r="C3" s="213" t="s">
        <v>98</v>
      </c>
      <c r="D3" s="211" t="s">
        <v>99</v>
      </c>
      <c r="E3" s="214">
        <v>2112</v>
      </c>
      <c r="F3" s="211">
        <v>9767902929</v>
      </c>
      <c r="G3" s="211" t="s">
        <v>100</v>
      </c>
      <c r="H3" s="211" t="s">
        <v>101</v>
      </c>
      <c r="I3" s="211" t="s">
        <v>102</v>
      </c>
      <c r="J3" s="211" t="s">
        <v>103</v>
      </c>
      <c r="K3" s="211" t="s">
        <v>104</v>
      </c>
      <c r="L3" s="211" t="s">
        <v>105</v>
      </c>
      <c r="M3" s="215">
        <v>45315</v>
      </c>
      <c r="N3" s="216">
        <f t="shared" ref="N3:N66" ca="1" si="0">+TODAY()-M3</f>
        <v>862</v>
      </c>
      <c r="O3" s="217" t="str">
        <f t="shared" ref="O3:O66" ca="1" si="1">+IF(N3&lt;180,"0-6M",IF(N3&lt;365,"6-12M",IF(N3&lt;730,"1-2Y",IF(N3&lt;1095,"2-3Y",IF(N3&lt;1460,"3-4Y",IF(N3&lt;1825,"4-5Y",IF(N3&gt;1825,"&gt;5Y")))))))</f>
        <v>2-3Y</v>
      </c>
      <c r="P3" s="220" t="s">
        <v>106</v>
      </c>
      <c r="Q3" s="211" t="s">
        <v>107</v>
      </c>
      <c r="R3" s="211" t="s">
        <v>108</v>
      </c>
      <c r="S3" s="259">
        <v>30</v>
      </c>
      <c r="T3" s="259">
        <v>90</v>
      </c>
      <c r="U3" s="259">
        <f t="shared" ref="U3:U66" si="2">+S3+T3</f>
        <v>120</v>
      </c>
      <c r="V3" s="211"/>
      <c r="W3" s="211" t="s">
        <v>109</v>
      </c>
      <c r="X3" s="211" t="s">
        <v>109</v>
      </c>
      <c r="Y3" s="218" t="str">
        <f>+AP3</f>
        <v>Yes</v>
      </c>
      <c r="Z3" s="211" t="s">
        <v>110</v>
      </c>
      <c r="AA3" s="211"/>
      <c r="AB3" s="211"/>
      <c r="AC3" s="211" t="s">
        <v>109</v>
      </c>
      <c r="AD3" s="251">
        <f>+AL3</f>
        <v>46082</v>
      </c>
      <c r="AE3" s="251">
        <f>+AS3</f>
        <v>46113</v>
      </c>
      <c r="AF3" s="211" t="s">
        <v>109</v>
      </c>
      <c r="AG3" s="211" t="s">
        <v>111</v>
      </c>
      <c r="AH3" s="211" t="s">
        <v>111</v>
      </c>
      <c r="AI3" s="211" t="s">
        <v>109</v>
      </c>
      <c r="AJ3" s="211" t="s">
        <v>109</v>
      </c>
      <c r="AK3" s="211" t="s">
        <v>112</v>
      </c>
      <c r="AL3" s="219">
        <v>46082</v>
      </c>
      <c r="AM3" s="211" t="s">
        <v>109</v>
      </c>
      <c r="AN3" s="211" t="s">
        <v>109</v>
      </c>
      <c r="AO3" s="211" t="s">
        <v>110</v>
      </c>
      <c r="AP3" s="211" t="s">
        <v>109</v>
      </c>
      <c r="AQ3" s="211">
        <v>4337839</v>
      </c>
      <c r="AR3" s="213"/>
      <c r="AS3" s="251">
        <v>46113</v>
      </c>
      <c r="AT3" s="211" t="s">
        <v>109</v>
      </c>
      <c r="AU3" s="211" t="s">
        <v>109</v>
      </c>
      <c r="AV3" s="213" t="s">
        <v>113</v>
      </c>
      <c r="AW3" s="211" t="s">
        <v>111</v>
      </c>
      <c r="AX3" s="211" t="s">
        <v>109</v>
      </c>
      <c r="AY3" s="211" t="s">
        <v>109</v>
      </c>
      <c r="AZ3" s="211" t="s">
        <v>109</v>
      </c>
      <c r="BA3" s="211" t="s">
        <v>114</v>
      </c>
      <c r="BB3" s="211" t="s">
        <v>115</v>
      </c>
      <c r="BC3" s="211" t="s">
        <v>114</v>
      </c>
      <c r="BD3" s="211" t="s">
        <v>114</v>
      </c>
      <c r="BE3" s="211" t="s">
        <v>111</v>
      </c>
      <c r="BF3" s="211" t="s">
        <v>111</v>
      </c>
      <c r="BG3" s="220" t="s">
        <v>114</v>
      </c>
      <c r="BH3" s="220" t="s">
        <v>109</v>
      </c>
      <c r="BI3" s="251">
        <v>46113</v>
      </c>
      <c r="BJ3" s="251">
        <v>46113</v>
      </c>
      <c r="BK3" s="211" t="s">
        <v>109</v>
      </c>
      <c r="BL3" s="211" t="s">
        <v>114</v>
      </c>
      <c r="BM3" s="211"/>
      <c r="BN3" s="211" t="s">
        <v>109</v>
      </c>
      <c r="BO3" s="211"/>
      <c r="BP3" s="211"/>
      <c r="BQ3" s="211"/>
      <c r="BR3" s="211"/>
      <c r="BS3" s="211"/>
      <c r="BT3" s="211"/>
      <c r="BU3" s="211"/>
      <c r="BV3" s="211"/>
      <c r="BW3" s="211" t="s">
        <v>116</v>
      </c>
      <c r="BX3" s="211">
        <v>391546</v>
      </c>
      <c r="BY3" s="211" t="s">
        <v>117</v>
      </c>
      <c r="BZ3" s="211"/>
      <c r="CA3" s="211"/>
      <c r="CB3" s="221" t="s">
        <v>118</v>
      </c>
      <c r="CC3" s="221" t="s">
        <v>109</v>
      </c>
      <c r="CD3" s="211" t="s">
        <v>109</v>
      </c>
      <c r="CE3" s="211"/>
      <c r="CF3" s="221">
        <v>391546</v>
      </c>
      <c r="CG3" s="221" t="s">
        <v>117</v>
      </c>
      <c r="CH3" s="222" t="s">
        <v>109</v>
      </c>
      <c r="CI3" s="221" t="str">
        <f t="shared" ref="CI3:CI66" si="3">TEXT(M3,"MMM'YY")</f>
        <v>Jan'24</v>
      </c>
      <c r="CJ3" s="221" t="s">
        <v>107</v>
      </c>
      <c r="CK3" s="221" t="s">
        <v>109</v>
      </c>
      <c r="CL3" s="221" t="s">
        <v>109</v>
      </c>
    </row>
    <row r="4" spans="1:92" s="247" customFormat="1" ht="70.5" customHeight="1" x14ac:dyDescent="0.25">
      <c r="A4" s="211">
        <v>70</v>
      </c>
      <c r="B4" s="212" t="s">
        <v>119</v>
      </c>
      <c r="C4" s="213" t="s">
        <v>120</v>
      </c>
      <c r="D4" s="211" t="s">
        <v>121</v>
      </c>
      <c r="E4" s="214">
        <v>2110</v>
      </c>
      <c r="F4" s="211">
        <v>7499292270</v>
      </c>
      <c r="G4" s="211" t="s">
        <v>100</v>
      </c>
      <c r="H4" s="211" t="s">
        <v>122</v>
      </c>
      <c r="I4" s="211" t="s">
        <v>102</v>
      </c>
      <c r="J4" s="211" t="s">
        <v>123</v>
      </c>
      <c r="K4" s="211" t="s">
        <v>124</v>
      </c>
      <c r="L4" s="211" t="s">
        <v>105</v>
      </c>
      <c r="M4" s="215">
        <v>45249</v>
      </c>
      <c r="N4" s="216">
        <f t="shared" ca="1" si="0"/>
        <v>928</v>
      </c>
      <c r="O4" s="217" t="str">
        <f t="shared" ca="1" si="1"/>
        <v>2-3Y</v>
      </c>
      <c r="P4" s="220" t="s">
        <v>106</v>
      </c>
      <c r="Q4" s="211" t="s">
        <v>125</v>
      </c>
      <c r="R4" s="211" t="s">
        <v>108</v>
      </c>
      <c r="S4" s="259">
        <v>30</v>
      </c>
      <c r="T4" s="259">
        <v>51</v>
      </c>
      <c r="U4" s="259">
        <f t="shared" si="2"/>
        <v>81</v>
      </c>
      <c r="V4" s="211"/>
      <c r="W4" s="211" t="s">
        <v>109</v>
      </c>
      <c r="X4" s="211" t="s">
        <v>109</v>
      </c>
      <c r="Y4" s="218" t="str">
        <f>+AP4</f>
        <v>Yes</v>
      </c>
      <c r="Z4" s="211" t="s">
        <v>111</v>
      </c>
      <c r="AA4" s="211"/>
      <c r="AB4" s="211"/>
      <c r="AC4" s="211" t="s">
        <v>109</v>
      </c>
      <c r="AD4" s="251">
        <f>+AL4</f>
        <v>46143</v>
      </c>
      <c r="AE4" s="251">
        <f>+AS4</f>
        <v>46143</v>
      </c>
      <c r="AF4" s="211" t="s">
        <v>109</v>
      </c>
      <c r="AG4" s="211" t="s">
        <v>111</v>
      </c>
      <c r="AH4" s="211" t="s">
        <v>111</v>
      </c>
      <c r="AI4" s="211" t="s">
        <v>115</v>
      </c>
      <c r="AJ4" s="211" t="s">
        <v>115</v>
      </c>
      <c r="AK4" s="211" t="s">
        <v>112</v>
      </c>
      <c r="AL4" s="219">
        <v>46143</v>
      </c>
      <c r="AM4" s="211" t="s">
        <v>109</v>
      </c>
      <c r="AN4" s="211" t="s">
        <v>109</v>
      </c>
      <c r="AO4" s="211" t="s">
        <v>110</v>
      </c>
      <c r="AP4" s="211" t="s">
        <v>109</v>
      </c>
      <c r="AQ4" s="211">
        <v>4337720</v>
      </c>
      <c r="AR4" s="213"/>
      <c r="AS4" s="251">
        <v>46143</v>
      </c>
      <c r="AT4" s="211" t="s">
        <v>109</v>
      </c>
      <c r="AU4" s="211" t="s">
        <v>109</v>
      </c>
      <c r="AV4" s="211"/>
      <c r="AW4" s="211" t="s">
        <v>111</v>
      </c>
      <c r="AX4" s="211" t="s">
        <v>109</v>
      </c>
      <c r="AY4" s="211" t="s">
        <v>109</v>
      </c>
      <c r="AZ4" s="211" t="s">
        <v>114</v>
      </c>
      <c r="BA4" s="211" t="s">
        <v>114</v>
      </c>
      <c r="BB4" s="211" t="s">
        <v>114</v>
      </c>
      <c r="BC4" s="211" t="s">
        <v>114</v>
      </c>
      <c r="BD4" s="211" t="s">
        <v>114</v>
      </c>
      <c r="BE4" s="211" t="s">
        <v>111</v>
      </c>
      <c r="BF4" s="211" t="s">
        <v>111</v>
      </c>
      <c r="BG4" s="220" t="s">
        <v>114</v>
      </c>
      <c r="BH4" s="220" t="s">
        <v>109</v>
      </c>
      <c r="BI4" s="251">
        <v>46168</v>
      </c>
      <c r="BJ4" s="251">
        <v>46168</v>
      </c>
      <c r="BK4" s="211" t="s">
        <v>109</v>
      </c>
      <c r="BL4" s="211" t="s">
        <v>114</v>
      </c>
      <c r="BM4" s="211" t="s">
        <v>111</v>
      </c>
      <c r="BN4" s="211" t="s">
        <v>111</v>
      </c>
      <c r="BO4" s="211" t="s">
        <v>115</v>
      </c>
      <c r="BP4" s="211">
        <v>72293969</v>
      </c>
      <c r="BQ4" s="211" t="s">
        <v>126</v>
      </c>
      <c r="BR4" s="211" t="s">
        <v>127</v>
      </c>
      <c r="BS4" s="211" t="s">
        <v>128</v>
      </c>
      <c r="BT4" s="211" t="s">
        <v>129</v>
      </c>
      <c r="BU4" s="211"/>
      <c r="BV4" s="211" t="s">
        <v>130</v>
      </c>
      <c r="BW4" s="211" t="s">
        <v>116</v>
      </c>
      <c r="BX4" s="211">
        <v>393129</v>
      </c>
      <c r="BY4" s="211" t="s">
        <v>131</v>
      </c>
      <c r="BZ4" s="211"/>
      <c r="CA4" s="211"/>
      <c r="CB4" s="221" t="s">
        <v>118</v>
      </c>
      <c r="CC4" s="221" t="s">
        <v>109</v>
      </c>
      <c r="CD4" s="211" t="s">
        <v>109</v>
      </c>
      <c r="CE4" s="211"/>
      <c r="CF4" s="221"/>
      <c r="CG4" s="221"/>
      <c r="CH4" s="222"/>
      <c r="CI4" s="221" t="str">
        <f t="shared" si="3"/>
        <v>Nov'23</v>
      </c>
      <c r="CJ4" s="221" t="s">
        <v>132</v>
      </c>
      <c r="CK4" s="221" t="s">
        <v>109</v>
      </c>
      <c r="CL4" s="221" t="s">
        <v>109</v>
      </c>
      <c r="CM4" s="223"/>
      <c r="CN4" s="223"/>
    </row>
    <row r="5" spans="1:92" s="6" customFormat="1" ht="66" customHeight="1" x14ac:dyDescent="0.25">
      <c r="A5" s="211">
        <v>75</v>
      </c>
      <c r="B5" s="212" t="s">
        <v>133</v>
      </c>
      <c r="C5" s="213" t="s">
        <v>134</v>
      </c>
      <c r="D5" s="211" t="s">
        <v>135</v>
      </c>
      <c r="E5" s="214">
        <v>2109</v>
      </c>
      <c r="F5" s="211">
        <v>7387890252</v>
      </c>
      <c r="G5" s="211" t="s">
        <v>100</v>
      </c>
      <c r="H5" s="211" t="s">
        <v>122</v>
      </c>
      <c r="I5" s="211" t="s">
        <v>102</v>
      </c>
      <c r="J5" s="211" t="s">
        <v>123</v>
      </c>
      <c r="K5" s="211" t="s">
        <v>136</v>
      </c>
      <c r="L5" s="211" t="s">
        <v>105</v>
      </c>
      <c r="M5" s="215">
        <v>45264</v>
      </c>
      <c r="N5" s="216">
        <f t="shared" ca="1" si="0"/>
        <v>913</v>
      </c>
      <c r="O5" s="217" t="str">
        <f t="shared" ca="1" si="1"/>
        <v>2-3Y</v>
      </c>
      <c r="P5" s="220" t="s">
        <v>137</v>
      </c>
      <c r="Q5" s="211" t="s">
        <v>125</v>
      </c>
      <c r="R5" s="211" t="s">
        <v>108</v>
      </c>
      <c r="S5" s="259">
        <v>20</v>
      </c>
      <c r="T5" s="259">
        <v>80</v>
      </c>
      <c r="U5" s="259">
        <f t="shared" si="2"/>
        <v>100</v>
      </c>
      <c r="V5" s="211"/>
      <c r="W5" s="211" t="s">
        <v>109</v>
      </c>
      <c r="X5" s="211" t="s">
        <v>109</v>
      </c>
      <c r="Y5" s="218"/>
      <c r="Z5" s="211" t="s">
        <v>111</v>
      </c>
      <c r="AA5" s="211"/>
      <c r="AB5" s="211"/>
      <c r="AC5" s="211" t="s">
        <v>109</v>
      </c>
      <c r="AD5" s="251">
        <v>46143</v>
      </c>
      <c r="AE5" s="251">
        <v>46143</v>
      </c>
      <c r="AF5" s="211" t="s">
        <v>109</v>
      </c>
      <c r="AG5" s="211" t="s">
        <v>111</v>
      </c>
      <c r="AH5" s="211" t="s">
        <v>111</v>
      </c>
      <c r="AI5" s="211" t="s">
        <v>115</v>
      </c>
      <c r="AJ5" s="211" t="s">
        <v>115</v>
      </c>
      <c r="AK5" s="211" t="s">
        <v>112</v>
      </c>
      <c r="AL5" s="219">
        <v>46143</v>
      </c>
      <c r="AM5" s="211" t="s">
        <v>109</v>
      </c>
      <c r="AN5" s="211" t="s">
        <v>109</v>
      </c>
      <c r="AO5" s="211" t="s">
        <v>110</v>
      </c>
      <c r="AP5" s="211" t="s">
        <v>109</v>
      </c>
      <c r="AQ5" s="211">
        <v>4338576</v>
      </c>
      <c r="AR5" s="213"/>
      <c r="AS5" s="251">
        <v>46143</v>
      </c>
      <c r="AT5" s="211" t="s">
        <v>109</v>
      </c>
      <c r="AU5" s="211" t="s">
        <v>109</v>
      </c>
      <c r="AV5" s="213" t="s">
        <v>111</v>
      </c>
      <c r="AW5" s="211" t="s">
        <v>111</v>
      </c>
      <c r="AX5" s="211" t="s">
        <v>109</v>
      </c>
      <c r="AY5" s="211" t="s">
        <v>114</v>
      </c>
      <c r="AZ5" s="211" t="s">
        <v>114</v>
      </c>
      <c r="BA5" s="211" t="s">
        <v>114</v>
      </c>
      <c r="BB5" s="211" t="s">
        <v>114</v>
      </c>
      <c r="BC5" s="211" t="s">
        <v>114</v>
      </c>
      <c r="BD5" s="211" t="s">
        <v>111</v>
      </c>
      <c r="BE5" s="211" t="s">
        <v>111</v>
      </c>
      <c r="BF5" s="211" t="s">
        <v>111</v>
      </c>
      <c r="BG5" s="220" t="s">
        <v>114</v>
      </c>
      <c r="BH5" s="220" t="s">
        <v>90</v>
      </c>
      <c r="BI5" s="251">
        <v>46148</v>
      </c>
      <c r="BJ5" s="251">
        <v>46143</v>
      </c>
      <c r="BK5" s="211" t="s">
        <v>109</v>
      </c>
      <c r="BL5" s="211" t="s">
        <v>114</v>
      </c>
      <c r="BM5" s="211" t="s">
        <v>111</v>
      </c>
      <c r="BN5" s="211" t="s">
        <v>111</v>
      </c>
      <c r="BO5" s="211" t="s">
        <v>115</v>
      </c>
      <c r="BP5" s="211"/>
      <c r="BQ5" s="211"/>
      <c r="BR5" s="211"/>
      <c r="BS5" s="211"/>
      <c r="BT5" s="211"/>
      <c r="BU5" s="211"/>
      <c r="BV5" s="211"/>
      <c r="BW5" s="211" t="s">
        <v>116</v>
      </c>
      <c r="BX5" s="211">
        <v>392992</v>
      </c>
      <c r="BY5" s="211" t="s">
        <v>138</v>
      </c>
      <c r="BZ5" s="211"/>
      <c r="CA5" s="211"/>
      <c r="CB5" s="221" t="s">
        <v>118</v>
      </c>
      <c r="CC5" s="221" t="s">
        <v>109</v>
      </c>
      <c r="CD5" s="211" t="s">
        <v>109</v>
      </c>
      <c r="CE5" s="211"/>
      <c r="CF5" s="221"/>
      <c r="CG5" s="221"/>
      <c r="CH5" s="222"/>
      <c r="CI5" s="221" t="str">
        <f t="shared" si="3"/>
        <v>Dec'23</v>
      </c>
      <c r="CJ5" s="221" t="s">
        <v>132</v>
      </c>
      <c r="CK5" s="221" t="s">
        <v>109</v>
      </c>
      <c r="CL5" s="221" t="s">
        <v>109</v>
      </c>
      <c r="CM5" s="223"/>
      <c r="CN5" s="223"/>
    </row>
    <row r="6" spans="1:92" s="6" customFormat="1" ht="69.75" customHeight="1" x14ac:dyDescent="0.25">
      <c r="A6" s="211">
        <v>79</v>
      </c>
      <c r="B6" s="212" t="s">
        <v>139</v>
      </c>
      <c r="C6" s="213" t="s">
        <v>140</v>
      </c>
      <c r="D6" s="211" t="s">
        <v>141</v>
      </c>
      <c r="E6" s="214">
        <v>1925</v>
      </c>
      <c r="F6" s="211">
        <v>9604101182</v>
      </c>
      <c r="G6" s="211" t="s">
        <v>142</v>
      </c>
      <c r="H6" s="211" t="s">
        <v>122</v>
      </c>
      <c r="I6" s="211" t="s">
        <v>143</v>
      </c>
      <c r="J6" s="211" t="s">
        <v>144</v>
      </c>
      <c r="K6" s="211" t="s">
        <v>145</v>
      </c>
      <c r="L6" s="211" t="s">
        <v>105</v>
      </c>
      <c r="M6" s="215">
        <v>45271</v>
      </c>
      <c r="N6" s="216">
        <f t="shared" ca="1" si="0"/>
        <v>906</v>
      </c>
      <c r="O6" s="217" t="str">
        <f t="shared" ca="1" si="1"/>
        <v>2-3Y</v>
      </c>
      <c r="P6" s="220" t="s">
        <v>137</v>
      </c>
      <c r="Q6" s="211" t="s">
        <v>125</v>
      </c>
      <c r="R6" s="211" t="s">
        <v>108</v>
      </c>
      <c r="S6" s="259">
        <v>30</v>
      </c>
      <c r="T6" s="259">
        <v>120</v>
      </c>
      <c r="U6" s="259">
        <f t="shared" si="2"/>
        <v>150</v>
      </c>
      <c r="V6" s="211"/>
      <c r="W6" s="211" t="s">
        <v>109</v>
      </c>
      <c r="X6" s="211" t="s">
        <v>109</v>
      </c>
      <c r="Y6" s="218" t="str">
        <f>+AP6</f>
        <v>Yes</v>
      </c>
      <c r="Z6" s="211" t="s">
        <v>111</v>
      </c>
      <c r="AA6" s="211"/>
      <c r="AB6" s="211"/>
      <c r="AC6" s="211" t="s">
        <v>109</v>
      </c>
      <c r="AD6" s="251">
        <f t="shared" ref="AD6:AD15" si="4">+AL6</f>
        <v>46143</v>
      </c>
      <c r="AE6" s="251">
        <f t="shared" ref="AE6:AE11" si="5">+AS6</f>
        <v>46143</v>
      </c>
      <c r="AF6" s="211" t="s">
        <v>109</v>
      </c>
      <c r="AG6" s="211" t="s">
        <v>111</v>
      </c>
      <c r="AH6" s="211" t="s">
        <v>111</v>
      </c>
      <c r="AI6" s="211" t="s">
        <v>115</v>
      </c>
      <c r="AJ6" s="211" t="s">
        <v>115</v>
      </c>
      <c r="AK6" s="211" t="s">
        <v>112</v>
      </c>
      <c r="AL6" s="219">
        <v>46143</v>
      </c>
      <c r="AM6" s="211" t="s">
        <v>109</v>
      </c>
      <c r="AN6" s="211" t="s">
        <v>109</v>
      </c>
      <c r="AO6" s="211" t="s">
        <v>110</v>
      </c>
      <c r="AP6" s="211" t="s">
        <v>109</v>
      </c>
      <c r="AQ6" s="211">
        <v>4337806</v>
      </c>
      <c r="AR6" s="213"/>
      <c r="AS6" s="251">
        <v>46143</v>
      </c>
      <c r="AT6" s="211" t="s">
        <v>146</v>
      </c>
      <c r="AU6" s="211" t="s">
        <v>146</v>
      </c>
      <c r="AV6" s="213" t="s">
        <v>111</v>
      </c>
      <c r="AW6" s="213" t="s">
        <v>111</v>
      </c>
      <c r="AX6" s="211" t="s">
        <v>146</v>
      </c>
      <c r="AY6" s="211" t="s">
        <v>114</v>
      </c>
      <c r="AZ6" s="211" t="s">
        <v>114</v>
      </c>
      <c r="BA6" s="211" t="s">
        <v>114</v>
      </c>
      <c r="BB6" s="211" t="s">
        <v>130</v>
      </c>
      <c r="BC6" s="211" t="s">
        <v>114</v>
      </c>
      <c r="BD6" s="211" t="s">
        <v>111</v>
      </c>
      <c r="BE6" s="211" t="s">
        <v>111</v>
      </c>
      <c r="BF6" s="211" t="s">
        <v>111</v>
      </c>
      <c r="BG6" s="220" t="s">
        <v>114</v>
      </c>
      <c r="BH6" s="220" t="s">
        <v>90</v>
      </c>
      <c r="BI6" s="251">
        <v>46168</v>
      </c>
      <c r="BJ6" s="251">
        <v>46199</v>
      </c>
      <c r="BK6" s="211" t="s">
        <v>109</v>
      </c>
      <c r="BL6" s="211" t="s">
        <v>114</v>
      </c>
      <c r="BM6" s="211" t="s">
        <v>111</v>
      </c>
      <c r="BN6" s="211" t="s">
        <v>111</v>
      </c>
      <c r="BO6" s="211" t="s">
        <v>115</v>
      </c>
      <c r="BP6" s="211"/>
      <c r="BQ6" s="211"/>
      <c r="BR6" s="211"/>
      <c r="BS6" s="211"/>
      <c r="BT6" s="211"/>
      <c r="BU6" s="211"/>
      <c r="BV6" s="211"/>
      <c r="BW6" s="211" t="s">
        <v>116</v>
      </c>
      <c r="BX6" s="211">
        <v>393128</v>
      </c>
      <c r="BY6" s="211" t="s">
        <v>147</v>
      </c>
      <c r="BZ6" s="211"/>
      <c r="CA6" s="211"/>
      <c r="CB6" s="221" t="s">
        <v>118</v>
      </c>
      <c r="CC6" s="221" t="s">
        <v>109</v>
      </c>
      <c r="CD6" s="211" t="s">
        <v>109</v>
      </c>
      <c r="CE6" s="211"/>
      <c r="CF6" s="221"/>
      <c r="CG6" s="221"/>
      <c r="CH6" s="222"/>
      <c r="CI6" s="221" t="str">
        <f t="shared" si="3"/>
        <v>Dec'23</v>
      </c>
      <c r="CJ6" s="221" t="s">
        <v>132</v>
      </c>
      <c r="CK6" s="221" t="s">
        <v>109</v>
      </c>
      <c r="CL6" s="221" t="s">
        <v>109</v>
      </c>
      <c r="CM6" s="247"/>
      <c r="CN6" s="247"/>
    </row>
    <row r="7" spans="1:92" s="247" customFormat="1" ht="51" customHeight="1" x14ac:dyDescent="0.25">
      <c r="A7" s="211">
        <v>123</v>
      </c>
      <c r="B7" s="212" t="s">
        <v>148</v>
      </c>
      <c r="C7" s="213" t="s">
        <v>149</v>
      </c>
      <c r="D7" s="211" t="s">
        <v>150</v>
      </c>
      <c r="E7" s="214">
        <v>1801</v>
      </c>
      <c r="F7" s="211">
        <v>7720000414</v>
      </c>
      <c r="G7" s="211" t="s">
        <v>101</v>
      </c>
      <c r="H7" s="211" t="s">
        <v>101</v>
      </c>
      <c r="I7" s="211" t="s">
        <v>143</v>
      </c>
      <c r="J7" s="211" t="s">
        <v>151</v>
      </c>
      <c r="K7" s="211" t="s">
        <v>152</v>
      </c>
      <c r="L7" s="211" t="s">
        <v>105</v>
      </c>
      <c r="M7" s="215">
        <v>45322</v>
      </c>
      <c r="N7" s="216">
        <f t="shared" ca="1" si="0"/>
        <v>855</v>
      </c>
      <c r="O7" s="217" t="str">
        <f t="shared" ca="1" si="1"/>
        <v>2-3Y</v>
      </c>
      <c r="P7" s="220" t="s">
        <v>106</v>
      </c>
      <c r="Q7" s="211" t="s">
        <v>125</v>
      </c>
      <c r="R7" s="211" t="s">
        <v>108</v>
      </c>
      <c r="S7" s="259">
        <v>150</v>
      </c>
      <c r="T7" s="259">
        <v>50</v>
      </c>
      <c r="U7" s="259">
        <f t="shared" si="2"/>
        <v>200</v>
      </c>
      <c r="V7" s="211"/>
      <c r="W7" s="211" t="s">
        <v>109</v>
      </c>
      <c r="X7" s="211" t="s">
        <v>109</v>
      </c>
      <c r="Y7" s="218" t="str">
        <f>+AP7</f>
        <v>Yes</v>
      </c>
      <c r="Z7" s="211" t="s">
        <v>110</v>
      </c>
      <c r="AA7" s="211" t="s">
        <v>109</v>
      </c>
      <c r="AB7" s="211" t="s">
        <v>109</v>
      </c>
      <c r="AC7" s="211" t="s">
        <v>109</v>
      </c>
      <c r="AD7" s="251">
        <f t="shared" si="4"/>
        <v>46113</v>
      </c>
      <c r="AE7" s="251">
        <f t="shared" si="5"/>
        <v>46143</v>
      </c>
      <c r="AF7" s="211" t="s">
        <v>109</v>
      </c>
      <c r="AG7" s="211" t="s">
        <v>111</v>
      </c>
      <c r="AH7" s="211" t="s">
        <v>111</v>
      </c>
      <c r="AI7" s="211" t="s">
        <v>109</v>
      </c>
      <c r="AJ7" s="211" t="s">
        <v>109</v>
      </c>
      <c r="AK7" s="211" t="s">
        <v>112</v>
      </c>
      <c r="AL7" s="219">
        <v>46113</v>
      </c>
      <c r="AM7" s="211" t="s">
        <v>109</v>
      </c>
      <c r="AN7" s="211" t="s">
        <v>109</v>
      </c>
      <c r="AO7" s="211" t="s">
        <v>110</v>
      </c>
      <c r="AP7" s="211" t="s">
        <v>109</v>
      </c>
      <c r="AQ7" s="211">
        <v>4337869</v>
      </c>
      <c r="AR7" s="213"/>
      <c r="AS7" s="251">
        <v>46143</v>
      </c>
      <c r="AT7" s="211" t="s">
        <v>109</v>
      </c>
      <c r="AU7" s="211" t="s">
        <v>109</v>
      </c>
      <c r="AV7" s="211" t="s">
        <v>111</v>
      </c>
      <c r="AW7" s="211" t="s">
        <v>111</v>
      </c>
      <c r="AX7" s="211" t="s">
        <v>109</v>
      </c>
      <c r="AY7" s="211" t="s">
        <v>114</v>
      </c>
      <c r="AZ7" s="211" t="s">
        <v>114</v>
      </c>
      <c r="BA7" s="211" t="s">
        <v>114</v>
      </c>
      <c r="BB7" s="211" t="s">
        <v>115</v>
      </c>
      <c r="BC7" s="211" t="s">
        <v>114</v>
      </c>
      <c r="BD7" s="211" t="s">
        <v>114</v>
      </c>
      <c r="BE7" s="211" t="s">
        <v>111</v>
      </c>
      <c r="BF7" s="211" t="s">
        <v>111</v>
      </c>
      <c r="BG7" s="220" t="s">
        <v>114</v>
      </c>
      <c r="BH7" s="220" t="s">
        <v>109</v>
      </c>
      <c r="BI7" s="219">
        <v>46113</v>
      </c>
      <c r="BJ7" s="219">
        <v>46143</v>
      </c>
      <c r="BK7" s="211" t="s">
        <v>109</v>
      </c>
      <c r="BL7" s="211" t="s">
        <v>114</v>
      </c>
      <c r="BM7" s="211"/>
      <c r="BN7" s="211" t="s">
        <v>109</v>
      </c>
      <c r="BO7" s="211"/>
      <c r="BP7" s="211"/>
      <c r="BQ7" s="211"/>
      <c r="BR7" s="211"/>
      <c r="BS7" s="211"/>
      <c r="BT7" s="211"/>
      <c r="BU7" s="211"/>
      <c r="BV7" s="211"/>
      <c r="BW7" s="211" t="s">
        <v>116</v>
      </c>
      <c r="BX7" s="211">
        <v>392301</v>
      </c>
      <c r="BY7" s="211" t="s">
        <v>153</v>
      </c>
      <c r="BZ7" s="211"/>
      <c r="CA7" s="211"/>
      <c r="CB7" s="221" t="s">
        <v>118</v>
      </c>
      <c r="CC7" s="221" t="s">
        <v>109</v>
      </c>
      <c r="CD7" s="211" t="s">
        <v>109</v>
      </c>
      <c r="CE7" s="211"/>
      <c r="CF7" s="221"/>
      <c r="CG7" s="221"/>
      <c r="CH7" s="222" t="s">
        <v>109</v>
      </c>
      <c r="CI7" s="221" t="str">
        <f t="shared" si="3"/>
        <v>Jan'24</v>
      </c>
      <c r="CJ7" s="221" t="s">
        <v>132</v>
      </c>
      <c r="CK7" s="221" t="s">
        <v>109</v>
      </c>
      <c r="CL7" s="221" t="s">
        <v>109</v>
      </c>
    </row>
    <row r="8" spans="1:92" s="223" customFormat="1" ht="48.75" customHeight="1" x14ac:dyDescent="0.25">
      <c r="A8" s="211">
        <v>172</v>
      </c>
      <c r="B8" s="212" t="s">
        <v>154</v>
      </c>
      <c r="C8" s="213" t="s">
        <v>155</v>
      </c>
      <c r="D8" s="211" t="s">
        <v>156</v>
      </c>
      <c r="E8" s="214">
        <v>1721</v>
      </c>
      <c r="F8" s="211">
        <v>8329858727</v>
      </c>
      <c r="G8" s="211" t="s">
        <v>142</v>
      </c>
      <c r="H8" s="211" t="s">
        <v>122</v>
      </c>
      <c r="I8" s="211" t="s">
        <v>143</v>
      </c>
      <c r="J8" s="211" t="s">
        <v>144</v>
      </c>
      <c r="K8" s="211" t="s">
        <v>157</v>
      </c>
      <c r="L8" s="211" t="s">
        <v>105</v>
      </c>
      <c r="M8" s="215">
        <v>45460</v>
      </c>
      <c r="N8" s="216">
        <f t="shared" ca="1" si="0"/>
        <v>717</v>
      </c>
      <c r="O8" s="217" t="str">
        <f t="shared" ca="1" si="1"/>
        <v>1-2Y</v>
      </c>
      <c r="P8" s="220" t="s">
        <v>158</v>
      </c>
      <c r="Q8" s="211" t="s">
        <v>125</v>
      </c>
      <c r="R8" s="211" t="s">
        <v>108</v>
      </c>
      <c r="S8" s="259">
        <v>30</v>
      </c>
      <c r="T8" s="259">
        <v>123</v>
      </c>
      <c r="U8" s="259">
        <f t="shared" si="2"/>
        <v>153</v>
      </c>
      <c r="V8" s="211"/>
      <c r="W8" s="211" t="s">
        <v>109</v>
      </c>
      <c r="X8" s="211" t="s">
        <v>109</v>
      </c>
      <c r="Y8" s="218" t="str">
        <f>+AP8</f>
        <v>Yes</v>
      </c>
      <c r="Z8" s="211" t="s">
        <v>111</v>
      </c>
      <c r="AA8" s="211"/>
      <c r="AB8" s="211"/>
      <c r="AC8" s="211"/>
      <c r="AD8" s="251">
        <f t="shared" si="4"/>
        <v>46143</v>
      </c>
      <c r="AE8" s="251">
        <f t="shared" si="5"/>
        <v>46143</v>
      </c>
      <c r="AF8" s="211" t="s">
        <v>109</v>
      </c>
      <c r="AG8" s="211" t="s">
        <v>111</v>
      </c>
      <c r="AH8" s="211" t="s">
        <v>111</v>
      </c>
      <c r="AI8" s="211" t="s">
        <v>115</v>
      </c>
      <c r="AJ8" s="211" t="s">
        <v>115</v>
      </c>
      <c r="AK8" s="211" t="s">
        <v>112</v>
      </c>
      <c r="AL8" s="219">
        <v>46143</v>
      </c>
      <c r="AM8" s="211" t="s">
        <v>109</v>
      </c>
      <c r="AN8" s="211" t="s">
        <v>109</v>
      </c>
      <c r="AO8" s="211" t="s">
        <v>110</v>
      </c>
      <c r="AP8" s="211" t="s">
        <v>109</v>
      </c>
      <c r="AQ8" s="211">
        <v>4338116</v>
      </c>
      <c r="AR8" s="213"/>
      <c r="AS8" s="251">
        <v>46143</v>
      </c>
      <c r="AT8" s="211" t="s">
        <v>109</v>
      </c>
      <c r="AU8" s="211" t="s">
        <v>109</v>
      </c>
      <c r="AV8" s="211" t="s">
        <v>111</v>
      </c>
      <c r="AW8" s="211" t="s">
        <v>111</v>
      </c>
      <c r="AX8" s="211" t="s">
        <v>109</v>
      </c>
      <c r="AY8" s="211" t="s">
        <v>114</v>
      </c>
      <c r="AZ8" s="211" t="s">
        <v>114</v>
      </c>
      <c r="BA8" s="211" t="s">
        <v>114</v>
      </c>
      <c r="BB8" s="211" t="s">
        <v>114</v>
      </c>
      <c r="BC8" s="211" t="s">
        <v>111</v>
      </c>
      <c r="BD8" s="211" t="s">
        <v>111</v>
      </c>
      <c r="BE8" s="211" t="s">
        <v>114</v>
      </c>
      <c r="BF8" s="211" t="s">
        <v>114</v>
      </c>
      <c r="BG8" s="220" t="s">
        <v>114</v>
      </c>
      <c r="BH8" s="220" t="s">
        <v>109</v>
      </c>
      <c r="BI8" s="251">
        <v>46082</v>
      </c>
      <c r="BJ8" s="251">
        <v>46143</v>
      </c>
      <c r="BK8" s="211" t="s">
        <v>109</v>
      </c>
      <c r="BL8" s="211" t="s">
        <v>114</v>
      </c>
      <c r="BM8" s="211" t="s">
        <v>111</v>
      </c>
      <c r="BN8" s="211" t="s">
        <v>111</v>
      </c>
      <c r="BO8" s="211" t="s">
        <v>115</v>
      </c>
      <c r="BP8" s="211"/>
      <c r="BQ8" s="211"/>
      <c r="BR8" s="211"/>
      <c r="BS8" s="211"/>
      <c r="BT8" s="211"/>
      <c r="BU8" s="211"/>
      <c r="BV8" s="211"/>
      <c r="BW8" s="211" t="s">
        <v>116</v>
      </c>
      <c r="BX8" s="211">
        <v>392938</v>
      </c>
      <c r="BY8" s="211" t="s">
        <v>159</v>
      </c>
      <c r="BZ8" s="211"/>
      <c r="CA8" s="211"/>
      <c r="CB8" s="221" t="s">
        <v>118</v>
      </c>
      <c r="CC8" s="221" t="s">
        <v>109</v>
      </c>
      <c r="CD8" s="211" t="s">
        <v>109</v>
      </c>
      <c r="CE8" s="211"/>
      <c r="CF8" s="221"/>
      <c r="CG8" s="221"/>
      <c r="CH8" s="222" t="s">
        <v>109</v>
      </c>
      <c r="CI8" s="221" t="str">
        <f t="shared" si="3"/>
        <v>Jun'24</v>
      </c>
      <c r="CJ8" s="221" t="s">
        <v>132</v>
      </c>
      <c r="CK8" s="221" t="s">
        <v>109</v>
      </c>
      <c r="CL8" s="221" t="s">
        <v>109</v>
      </c>
    </row>
    <row r="9" spans="1:92" s="223" customFormat="1" ht="45" x14ac:dyDescent="0.25">
      <c r="A9" s="211">
        <v>203</v>
      </c>
      <c r="B9" s="212" t="s">
        <v>160</v>
      </c>
      <c r="C9" s="213" t="s">
        <v>161</v>
      </c>
      <c r="D9" s="211" t="s">
        <v>121</v>
      </c>
      <c r="E9" s="214">
        <v>1665</v>
      </c>
      <c r="F9" s="211">
        <v>9960252231</v>
      </c>
      <c r="G9" s="211" t="s">
        <v>142</v>
      </c>
      <c r="H9" s="211" t="s">
        <v>101</v>
      </c>
      <c r="I9" s="211" t="s">
        <v>143</v>
      </c>
      <c r="J9" s="211" t="s">
        <v>162</v>
      </c>
      <c r="K9" s="211" t="s">
        <v>163</v>
      </c>
      <c r="L9" s="211" t="s">
        <v>105</v>
      </c>
      <c r="M9" s="215">
        <v>45463</v>
      </c>
      <c r="N9" s="216">
        <f t="shared" ca="1" si="0"/>
        <v>714</v>
      </c>
      <c r="O9" s="217" t="str">
        <f t="shared" ca="1" si="1"/>
        <v>1-2Y</v>
      </c>
      <c r="P9" s="220" t="s">
        <v>106</v>
      </c>
      <c r="Q9" s="211" t="s">
        <v>107</v>
      </c>
      <c r="R9" s="211" t="s">
        <v>164</v>
      </c>
      <c r="S9" s="259">
        <v>30</v>
      </c>
      <c r="T9" s="259">
        <v>130</v>
      </c>
      <c r="U9" s="259">
        <f t="shared" si="2"/>
        <v>160</v>
      </c>
      <c r="V9" s="211"/>
      <c r="W9" s="211" t="s">
        <v>109</v>
      </c>
      <c r="X9" s="211" t="s">
        <v>109</v>
      </c>
      <c r="Y9" s="218" t="str">
        <f>+AP9</f>
        <v>Yes</v>
      </c>
      <c r="Z9" s="211" t="s">
        <v>110</v>
      </c>
      <c r="AA9" s="211"/>
      <c r="AB9" s="211"/>
      <c r="AC9" s="211" t="s">
        <v>109</v>
      </c>
      <c r="AD9" s="251">
        <f t="shared" si="4"/>
        <v>46113</v>
      </c>
      <c r="AE9" s="251">
        <f t="shared" si="5"/>
        <v>46143</v>
      </c>
      <c r="AF9" s="211" t="s">
        <v>109</v>
      </c>
      <c r="AG9" s="211" t="s">
        <v>111</v>
      </c>
      <c r="AH9" s="211" t="s">
        <v>111</v>
      </c>
      <c r="AI9" s="211" t="s">
        <v>109</v>
      </c>
      <c r="AJ9" s="211" t="s">
        <v>109</v>
      </c>
      <c r="AK9" s="211" t="s">
        <v>112</v>
      </c>
      <c r="AL9" s="219">
        <v>46113</v>
      </c>
      <c r="AM9" s="211" t="s">
        <v>109</v>
      </c>
      <c r="AN9" s="211" t="s">
        <v>109</v>
      </c>
      <c r="AO9" s="211" t="s">
        <v>110</v>
      </c>
      <c r="AP9" s="211" t="s">
        <v>109</v>
      </c>
      <c r="AQ9" s="211">
        <v>4338194</v>
      </c>
      <c r="AR9" s="213"/>
      <c r="AS9" s="251">
        <v>46143</v>
      </c>
      <c r="AT9" s="211" t="s">
        <v>109</v>
      </c>
      <c r="AU9" s="211" t="s">
        <v>109</v>
      </c>
      <c r="AV9" s="211" t="s">
        <v>111</v>
      </c>
      <c r="AW9" s="211" t="s">
        <v>111</v>
      </c>
      <c r="AX9" s="211" t="s">
        <v>109</v>
      </c>
      <c r="AY9" s="211" t="s">
        <v>109</v>
      </c>
      <c r="AZ9" s="211" t="s">
        <v>114</v>
      </c>
      <c r="BA9" s="211" t="s">
        <v>114</v>
      </c>
      <c r="BB9" s="211" t="s">
        <v>114</v>
      </c>
      <c r="BC9" s="211" t="s">
        <v>114</v>
      </c>
      <c r="BD9" s="211" t="s">
        <v>114</v>
      </c>
      <c r="BE9" s="211" t="s">
        <v>111</v>
      </c>
      <c r="BF9" s="211" t="s">
        <v>111</v>
      </c>
      <c r="BG9" s="220" t="s">
        <v>114</v>
      </c>
      <c r="BH9" s="220" t="s">
        <v>109</v>
      </c>
      <c r="BI9" s="251">
        <v>46107</v>
      </c>
      <c r="BJ9" s="251">
        <v>46168</v>
      </c>
      <c r="BK9" s="211" t="s">
        <v>109</v>
      </c>
      <c r="BL9" s="211" t="s">
        <v>114</v>
      </c>
      <c r="BM9" s="211"/>
      <c r="BN9" s="211" t="s">
        <v>109</v>
      </c>
      <c r="BO9" s="211"/>
      <c r="BP9" s="211"/>
      <c r="BQ9" s="211"/>
      <c r="BR9" s="211"/>
      <c r="BS9" s="211"/>
      <c r="BT9" s="211"/>
      <c r="BU9" s="211"/>
      <c r="BV9" s="211"/>
      <c r="BW9" s="211" t="s">
        <v>116</v>
      </c>
      <c r="BX9" s="211">
        <v>392994</v>
      </c>
      <c r="BY9" s="211" t="s">
        <v>165</v>
      </c>
      <c r="BZ9" s="211"/>
      <c r="CA9" s="211"/>
      <c r="CB9" s="221" t="s">
        <v>118</v>
      </c>
      <c r="CC9" s="221" t="s">
        <v>109</v>
      </c>
      <c r="CD9" s="211" t="s">
        <v>109</v>
      </c>
      <c r="CE9" s="211" t="s">
        <v>166</v>
      </c>
      <c r="CF9" s="221"/>
      <c r="CG9" s="221"/>
      <c r="CH9" s="222"/>
      <c r="CI9" s="221" t="str">
        <f t="shared" si="3"/>
        <v>Jun'24</v>
      </c>
      <c r="CJ9" s="221" t="s">
        <v>107</v>
      </c>
      <c r="CK9" s="221" t="s">
        <v>109</v>
      </c>
      <c r="CL9" s="221" t="s">
        <v>109</v>
      </c>
    </row>
    <row r="10" spans="1:92" s="223" customFormat="1" ht="45" customHeight="1" x14ac:dyDescent="0.25">
      <c r="A10" s="211">
        <v>218</v>
      </c>
      <c r="B10" s="212" t="s">
        <v>167</v>
      </c>
      <c r="C10" s="213" t="s">
        <v>168</v>
      </c>
      <c r="D10" s="211" t="s">
        <v>99</v>
      </c>
      <c r="E10" s="214">
        <v>1736</v>
      </c>
      <c r="F10" s="211">
        <v>9922414802</v>
      </c>
      <c r="G10" s="211" t="s">
        <v>169</v>
      </c>
      <c r="H10" s="211" t="s">
        <v>101</v>
      </c>
      <c r="I10" s="211" t="s">
        <v>143</v>
      </c>
      <c r="J10" s="211" t="s">
        <v>162</v>
      </c>
      <c r="K10" s="211" t="s">
        <v>170</v>
      </c>
      <c r="L10" s="211" t="s">
        <v>105</v>
      </c>
      <c r="M10" s="215">
        <v>45547</v>
      </c>
      <c r="N10" s="216">
        <f t="shared" ca="1" si="0"/>
        <v>630</v>
      </c>
      <c r="O10" s="217" t="str">
        <f t="shared" ca="1" si="1"/>
        <v>1-2Y</v>
      </c>
      <c r="P10" s="220" t="s">
        <v>106</v>
      </c>
      <c r="Q10" s="211" t="s">
        <v>107</v>
      </c>
      <c r="R10" s="211" t="s">
        <v>108</v>
      </c>
      <c r="S10" s="259">
        <v>30</v>
      </c>
      <c r="T10" s="259">
        <v>80</v>
      </c>
      <c r="U10" s="259">
        <f t="shared" si="2"/>
        <v>110</v>
      </c>
      <c r="V10" s="211"/>
      <c r="W10" s="211" t="s">
        <v>109</v>
      </c>
      <c r="X10" s="211" t="s">
        <v>109</v>
      </c>
      <c r="Y10" s="218" t="str">
        <f>+IF(AO10="Approved","Yes",AS10)</f>
        <v>Yes</v>
      </c>
      <c r="Z10" s="211" t="s">
        <v>110</v>
      </c>
      <c r="AA10" s="211" t="s">
        <v>109</v>
      </c>
      <c r="AB10" s="211" t="s">
        <v>171</v>
      </c>
      <c r="AC10" s="211" t="s">
        <v>109</v>
      </c>
      <c r="AD10" s="251">
        <f t="shared" si="4"/>
        <v>46143</v>
      </c>
      <c r="AE10" s="251">
        <f t="shared" si="5"/>
        <v>46143</v>
      </c>
      <c r="AF10" s="211" t="s">
        <v>109</v>
      </c>
      <c r="AG10" s="211" t="s">
        <v>111</v>
      </c>
      <c r="AH10" s="211" t="s">
        <v>111</v>
      </c>
      <c r="AI10" s="211" t="s">
        <v>109</v>
      </c>
      <c r="AJ10" s="211" t="s">
        <v>109</v>
      </c>
      <c r="AK10" s="211" t="s">
        <v>112</v>
      </c>
      <c r="AL10" s="219">
        <v>46143</v>
      </c>
      <c r="AM10" s="211" t="s">
        <v>109</v>
      </c>
      <c r="AN10" s="211" t="s">
        <v>109</v>
      </c>
      <c r="AO10" s="211" t="s">
        <v>110</v>
      </c>
      <c r="AP10" s="211" t="s">
        <v>109</v>
      </c>
      <c r="AQ10" s="211">
        <v>4338515</v>
      </c>
      <c r="AR10" s="213"/>
      <c r="AS10" s="251">
        <v>46143</v>
      </c>
      <c r="AT10" s="211" t="s">
        <v>109</v>
      </c>
      <c r="AU10" s="211" t="s">
        <v>109</v>
      </c>
      <c r="AV10" s="213" t="s">
        <v>172</v>
      </c>
      <c r="AW10" s="211" t="s">
        <v>111</v>
      </c>
      <c r="AX10" s="211" t="s">
        <v>109</v>
      </c>
      <c r="AY10" s="211" t="s">
        <v>109</v>
      </c>
      <c r="AZ10" s="211" t="s">
        <v>109</v>
      </c>
      <c r="BA10" s="211" t="s">
        <v>114</v>
      </c>
      <c r="BB10" s="211" t="s">
        <v>173</v>
      </c>
      <c r="BC10" s="211" t="s">
        <v>173</v>
      </c>
      <c r="BD10" s="211" t="s">
        <v>173</v>
      </c>
      <c r="BE10" s="211" t="s">
        <v>111</v>
      </c>
      <c r="BF10" s="211" t="s">
        <v>111</v>
      </c>
      <c r="BG10" s="220" t="s">
        <v>114</v>
      </c>
      <c r="BH10" s="220" t="s">
        <v>90</v>
      </c>
      <c r="BI10" s="251">
        <v>46054</v>
      </c>
      <c r="BJ10" s="251">
        <v>46327</v>
      </c>
      <c r="BK10" s="211" t="s">
        <v>109</v>
      </c>
      <c r="BL10" s="211" t="s">
        <v>114</v>
      </c>
      <c r="BM10" s="211"/>
      <c r="BN10" s="211" t="s">
        <v>109</v>
      </c>
      <c r="BO10" s="211"/>
      <c r="BP10" s="211"/>
      <c r="BQ10" s="211"/>
      <c r="BR10" s="211"/>
      <c r="BS10" s="211"/>
      <c r="BT10" s="211"/>
      <c r="BU10" s="211"/>
      <c r="BV10" s="211"/>
      <c r="BW10" s="211" t="s">
        <v>116</v>
      </c>
      <c r="BX10" s="211">
        <v>393015</v>
      </c>
      <c r="BY10" s="211" t="s">
        <v>174</v>
      </c>
      <c r="BZ10" s="211"/>
      <c r="CA10" s="211"/>
      <c r="CB10" s="221" t="s">
        <v>118</v>
      </c>
      <c r="CC10" s="221" t="s">
        <v>109</v>
      </c>
      <c r="CD10" s="211" t="s">
        <v>109</v>
      </c>
      <c r="CE10" s="211" t="s">
        <v>175</v>
      </c>
      <c r="CF10" s="221"/>
      <c r="CG10" s="221"/>
      <c r="CH10" s="222"/>
      <c r="CI10" s="221" t="str">
        <f t="shared" si="3"/>
        <v>Sep'24</v>
      </c>
      <c r="CJ10" s="221" t="s">
        <v>107</v>
      </c>
      <c r="CK10" s="221" t="s">
        <v>109</v>
      </c>
      <c r="CL10" s="221" t="s">
        <v>109</v>
      </c>
      <c r="CM10" s="247"/>
      <c r="CN10" s="247"/>
    </row>
    <row r="11" spans="1:92" s="6" customFormat="1" ht="38.25" customHeight="1" x14ac:dyDescent="0.25">
      <c r="A11" s="5">
        <v>62</v>
      </c>
      <c r="B11" s="125" t="s">
        <v>176</v>
      </c>
      <c r="C11" s="78" t="s">
        <v>177</v>
      </c>
      <c r="D11" s="5" t="s">
        <v>121</v>
      </c>
      <c r="E11" s="58"/>
      <c r="F11" s="5">
        <v>9850601522</v>
      </c>
      <c r="G11" s="5" t="s">
        <v>142</v>
      </c>
      <c r="H11" s="5" t="s">
        <v>101</v>
      </c>
      <c r="I11" s="5" t="s">
        <v>143</v>
      </c>
      <c r="J11" s="5" t="s">
        <v>162</v>
      </c>
      <c r="K11" s="5" t="s">
        <v>178</v>
      </c>
      <c r="L11" s="5" t="s">
        <v>179</v>
      </c>
      <c r="M11" s="55">
        <v>45012</v>
      </c>
      <c r="N11" s="68">
        <f t="shared" ca="1" si="0"/>
        <v>1165</v>
      </c>
      <c r="O11" s="71" t="str">
        <f t="shared" ca="1" si="1"/>
        <v>3-4Y</v>
      </c>
      <c r="P11" s="132" t="s">
        <v>106</v>
      </c>
      <c r="Q11" s="5" t="s">
        <v>180</v>
      </c>
      <c r="R11" s="5" t="s">
        <v>164</v>
      </c>
      <c r="S11" s="111">
        <v>40</v>
      </c>
      <c r="T11" s="111">
        <v>110</v>
      </c>
      <c r="U11" s="111">
        <f t="shared" si="2"/>
        <v>150</v>
      </c>
      <c r="V11" s="5"/>
      <c r="W11" s="5" t="s">
        <v>109</v>
      </c>
      <c r="X11" s="5" t="s">
        <v>109</v>
      </c>
      <c r="Y11" s="131">
        <f>+IF(AO11="Approved","Yes",AS11)</f>
        <v>46174</v>
      </c>
      <c r="Z11" s="5" t="s">
        <v>110</v>
      </c>
      <c r="AA11" s="5"/>
      <c r="AB11" s="5"/>
      <c r="AC11" s="5"/>
      <c r="AD11" s="248">
        <f t="shared" si="4"/>
        <v>46174</v>
      </c>
      <c r="AE11" s="248">
        <f t="shared" si="5"/>
        <v>46174</v>
      </c>
      <c r="AF11" s="5" t="s">
        <v>109</v>
      </c>
      <c r="AG11" s="5" t="s">
        <v>111</v>
      </c>
      <c r="AH11" s="5" t="s">
        <v>111</v>
      </c>
      <c r="AI11" s="5" t="s">
        <v>109</v>
      </c>
      <c r="AJ11" s="5" t="s">
        <v>109</v>
      </c>
      <c r="AK11" s="5" t="s">
        <v>181</v>
      </c>
      <c r="AL11" s="7">
        <v>46174</v>
      </c>
      <c r="AM11" s="5" t="s">
        <v>109</v>
      </c>
      <c r="AN11" s="5" t="s">
        <v>109</v>
      </c>
      <c r="AO11" s="5" t="s">
        <v>182</v>
      </c>
      <c r="AP11" s="5" t="s">
        <v>171</v>
      </c>
      <c r="AQ11" s="5"/>
      <c r="AR11" s="78"/>
      <c r="AS11" s="248">
        <v>46174</v>
      </c>
      <c r="AT11" s="5" t="s">
        <v>109</v>
      </c>
      <c r="AU11" s="5" t="s">
        <v>109</v>
      </c>
      <c r="AV11" s="5" t="s">
        <v>183</v>
      </c>
      <c r="AW11" s="5" t="s">
        <v>111</v>
      </c>
      <c r="AX11" s="5" t="s">
        <v>109</v>
      </c>
      <c r="AY11" s="5" t="s">
        <v>109</v>
      </c>
      <c r="AZ11" s="5" t="s">
        <v>114</v>
      </c>
      <c r="BA11" s="5" t="s">
        <v>114</v>
      </c>
      <c r="BB11" s="5" t="s">
        <v>130</v>
      </c>
      <c r="BC11" s="5" t="s">
        <v>114</v>
      </c>
      <c r="BD11" s="5" t="s">
        <v>114</v>
      </c>
      <c r="BE11" s="5" t="s">
        <v>111</v>
      </c>
      <c r="BF11" s="5" t="s">
        <v>111</v>
      </c>
      <c r="BG11" s="132" t="s">
        <v>114</v>
      </c>
      <c r="BH11" s="132" t="s">
        <v>109</v>
      </c>
      <c r="BI11" s="7">
        <v>46199</v>
      </c>
      <c r="BJ11" s="7">
        <v>46199</v>
      </c>
      <c r="BK11" s="5" t="s">
        <v>109</v>
      </c>
      <c r="BL11" s="5" t="s">
        <v>114</v>
      </c>
      <c r="BM11" s="5"/>
      <c r="BN11" s="5" t="s">
        <v>184</v>
      </c>
      <c r="BO11" s="5"/>
      <c r="BP11" s="5"/>
      <c r="BQ11" s="5"/>
      <c r="BR11" s="5"/>
      <c r="BS11" s="5"/>
      <c r="BT11" s="5"/>
      <c r="BU11" s="5"/>
      <c r="BV11" s="5"/>
      <c r="BW11" s="5" t="s">
        <v>184</v>
      </c>
      <c r="BX11" s="5"/>
      <c r="BY11" s="5"/>
      <c r="BZ11" s="5"/>
      <c r="CA11" s="5"/>
      <c r="CB11" s="179" t="s">
        <v>185</v>
      </c>
      <c r="CC11" s="179" t="s">
        <v>109</v>
      </c>
      <c r="CD11" s="5" t="s">
        <v>109</v>
      </c>
      <c r="CE11" s="5"/>
      <c r="CF11" s="179"/>
      <c r="CG11" s="179"/>
      <c r="CH11" s="199"/>
      <c r="CI11" s="179" t="str">
        <f t="shared" si="3"/>
        <v>Mar'23</v>
      </c>
      <c r="CJ11" s="179" t="s">
        <v>186</v>
      </c>
      <c r="CK11" s="179" t="s">
        <v>109</v>
      </c>
      <c r="CL11" s="179" t="s">
        <v>109</v>
      </c>
      <c r="CM11" s="8" t="s">
        <v>187</v>
      </c>
      <c r="CN11" s="8"/>
    </row>
    <row r="12" spans="1:92" s="6" customFormat="1" ht="68.650000000000006" customHeight="1" x14ac:dyDescent="0.25">
      <c r="A12" s="78">
        <v>72</v>
      </c>
      <c r="B12" s="125" t="s">
        <v>188</v>
      </c>
      <c r="C12" s="78" t="s">
        <v>189</v>
      </c>
      <c r="D12" s="78" t="s">
        <v>190</v>
      </c>
      <c r="E12" s="78">
        <v>1818</v>
      </c>
      <c r="F12" s="78">
        <v>9822603682</v>
      </c>
      <c r="G12" s="78" t="s">
        <v>169</v>
      </c>
      <c r="H12" s="78" t="s">
        <v>122</v>
      </c>
      <c r="I12" s="78" t="s">
        <v>143</v>
      </c>
      <c r="J12" s="78" t="s">
        <v>144</v>
      </c>
      <c r="K12" s="78" t="s">
        <v>191</v>
      </c>
      <c r="L12" s="78" t="s">
        <v>105</v>
      </c>
      <c r="M12" s="232">
        <v>45257</v>
      </c>
      <c r="N12" s="233">
        <f t="shared" ca="1" si="0"/>
        <v>920</v>
      </c>
      <c r="O12" s="233" t="str">
        <f t="shared" ca="1" si="1"/>
        <v>2-3Y</v>
      </c>
      <c r="P12" s="132" t="s">
        <v>158</v>
      </c>
      <c r="Q12" s="78" t="s">
        <v>192</v>
      </c>
      <c r="R12" s="78" t="s">
        <v>108</v>
      </c>
      <c r="S12" s="111">
        <v>30</v>
      </c>
      <c r="T12" s="111">
        <v>85</v>
      </c>
      <c r="U12" s="111">
        <f t="shared" si="2"/>
        <v>115</v>
      </c>
      <c r="V12" s="78"/>
      <c r="W12" s="78" t="s">
        <v>109</v>
      </c>
      <c r="X12" s="78" t="s">
        <v>109</v>
      </c>
      <c r="Y12" s="234" t="str">
        <f>+AP12</f>
        <v>Yes</v>
      </c>
      <c r="Z12" s="78" t="s">
        <v>111</v>
      </c>
      <c r="AA12" s="78"/>
      <c r="AB12" s="78"/>
      <c r="AC12" s="78"/>
      <c r="AD12" s="248">
        <f t="shared" si="4"/>
        <v>46143</v>
      </c>
      <c r="AE12" s="248">
        <v>46174</v>
      </c>
      <c r="AF12" s="78" t="s">
        <v>109</v>
      </c>
      <c r="AG12" s="78" t="s">
        <v>111</v>
      </c>
      <c r="AH12" s="78" t="s">
        <v>111</v>
      </c>
      <c r="AI12" s="78" t="s">
        <v>115</v>
      </c>
      <c r="AJ12" s="78" t="s">
        <v>115</v>
      </c>
      <c r="AK12" s="78" t="s">
        <v>181</v>
      </c>
      <c r="AL12" s="235">
        <v>46143</v>
      </c>
      <c r="AM12" s="78" t="s">
        <v>109</v>
      </c>
      <c r="AN12" s="78" t="s">
        <v>109</v>
      </c>
      <c r="AO12" s="78" t="s">
        <v>110</v>
      </c>
      <c r="AP12" s="78" t="s">
        <v>109</v>
      </c>
      <c r="AQ12" s="78">
        <v>4337692</v>
      </c>
      <c r="AR12" s="78"/>
      <c r="AS12" s="248">
        <v>46174</v>
      </c>
      <c r="AT12" s="78" t="s">
        <v>109</v>
      </c>
      <c r="AU12" s="78" t="s">
        <v>109</v>
      </c>
      <c r="AV12" s="78" t="s">
        <v>111</v>
      </c>
      <c r="AW12" s="78" t="s">
        <v>111</v>
      </c>
      <c r="AX12" s="78" t="s">
        <v>109</v>
      </c>
      <c r="AY12" s="78" t="s">
        <v>114</v>
      </c>
      <c r="AZ12" s="78" t="s">
        <v>130</v>
      </c>
      <c r="BA12" s="78" t="s">
        <v>114</v>
      </c>
      <c r="BB12" s="78" t="s">
        <v>114</v>
      </c>
      <c r="BC12" s="78" t="s">
        <v>114</v>
      </c>
      <c r="BD12" s="78" t="s">
        <v>111</v>
      </c>
      <c r="BE12" s="78" t="s">
        <v>114</v>
      </c>
      <c r="BF12" s="78" t="s">
        <v>114</v>
      </c>
      <c r="BG12" s="132" t="s">
        <v>114</v>
      </c>
      <c r="BH12" s="232" t="s">
        <v>109</v>
      </c>
      <c r="BI12" s="235">
        <v>46174</v>
      </c>
      <c r="BJ12" s="235">
        <v>46174</v>
      </c>
      <c r="BK12" s="78" t="s">
        <v>109</v>
      </c>
      <c r="BL12" s="78" t="s">
        <v>114</v>
      </c>
      <c r="BM12" s="78" t="s">
        <v>111</v>
      </c>
      <c r="BN12" s="78" t="s">
        <v>111</v>
      </c>
      <c r="BO12" s="78" t="s">
        <v>115</v>
      </c>
      <c r="BP12" s="78"/>
      <c r="BQ12" s="78"/>
      <c r="BR12" s="78"/>
      <c r="BS12" s="78"/>
      <c r="BT12" s="78"/>
      <c r="BU12" s="78"/>
      <c r="BV12" s="78"/>
      <c r="BW12" s="78" t="s">
        <v>184</v>
      </c>
      <c r="BX12" s="78"/>
      <c r="BY12" s="78"/>
      <c r="BZ12" s="78"/>
      <c r="CA12" s="78"/>
      <c r="CB12" s="179" t="s">
        <v>118</v>
      </c>
      <c r="CC12" s="179" t="s">
        <v>109</v>
      </c>
      <c r="CD12" s="5" t="s">
        <v>109</v>
      </c>
      <c r="CE12" s="5"/>
      <c r="CF12" s="179"/>
      <c r="CG12" s="179"/>
      <c r="CH12" s="199"/>
      <c r="CI12" s="179" t="str">
        <f t="shared" si="3"/>
        <v>Nov'23</v>
      </c>
      <c r="CJ12" s="179" t="s">
        <v>192</v>
      </c>
      <c r="CK12" s="179" t="s">
        <v>109</v>
      </c>
      <c r="CL12" s="179" t="s">
        <v>109</v>
      </c>
    </row>
    <row r="13" spans="1:92" s="6" customFormat="1" ht="49.5" customHeight="1" x14ac:dyDescent="0.25">
      <c r="A13" s="5">
        <v>96</v>
      </c>
      <c r="B13" s="125" t="s">
        <v>193</v>
      </c>
      <c r="C13" s="78" t="s">
        <v>194</v>
      </c>
      <c r="D13" s="5" t="s">
        <v>195</v>
      </c>
      <c r="E13" s="58">
        <v>1954</v>
      </c>
      <c r="F13" s="5">
        <v>9156559088</v>
      </c>
      <c r="G13" s="5" t="s">
        <v>169</v>
      </c>
      <c r="H13" s="5" t="s">
        <v>101</v>
      </c>
      <c r="I13" s="5" t="s">
        <v>143</v>
      </c>
      <c r="J13" s="5" t="s">
        <v>162</v>
      </c>
      <c r="K13" s="5" t="s">
        <v>196</v>
      </c>
      <c r="L13" s="5" t="s">
        <v>105</v>
      </c>
      <c r="M13" s="55">
        <v>45279</v>
      </c>
      <c r="N13" s="68">
        <f t="shared" ca="1" si="0"/>
        <v>898</v>
      </c>
      <c r="O13" s="71" t="str">
        <f t="shared" ca="1" si="1"/>
        <v>2-3Y</v>
      </c>
      <c r="P13" s="132" t="s">
        <v>158</v>
      </c>
      <c r="Q13" s="5" t="s">
        <v>180</v>
      </c>
      <c r="R13" s="5" t="s">
        <v>108</v>
      </c>
      <c r="S13" s="111">
        <v>30</v>
      </c>
      <c r="T13" s="111">
        <v>85</v>
      </c>
      <c r="U13" s="111">
        <f t="shared" si="2"/>
        <v>115</v>
      </c>
      <c r="V13" s="5"/>
      <c r="W13" s="5" t="s">
        <v>109</v>
      </c>
      <c r="X13" s="5" t="s">
        <v>109</v>
      </c>
      <c r="Y13" s="131" t="str">
        <f>+AP13</f>
        <v>Yes</v>
      </c>
      <c r="Z13" s="5" t="s">
        <v>110</v>
      </c>
      <c r="AA13" s="5"/>
      <c r="AB13" s="5"/>
      <c r="AC13" s="5"/>
      <c r="AD13" s="248">
        <f t="shared" si="4"/>
        <v>46143</v>
      </c>
      <c r="AE13" s="248">
        <f>+AS13</f>
        <v>46174</v>
      </c>
      <c r="AF13" s="5" t="s">
        <v>109</v>
      </c>
      <c r="AG13" s="5" t="s">
        <v>111</v>
      </c>
      <c r="AH13" s="5" t="s">
        <v>111</v>
      </c>
      <c r="AI13" s="5" t="s">
        <v>197</v>
      </c>
      <c r="AJ13" s="5" t="s">
        <v>109</v>
      </c>
      <c r="AK13" s="5" t="s">
        <v>181</v>
      </c>
      <c r="AL13" s="7">
        <v>46143</v>
      </c>
      <c r="AM13" s="5" t="s">
        <v>109</v>
      </c>
      <c r="AN13" s="5" t="s">
        <v>109</v>
      </c>
      <c r="AO13" s="5" t="s">
        <v>110</v>
      </c>
      <c r="AP13" s="5" t="s">
        <v>109</v>
      </c>
      <c r="AQ13" s="5">
        <v>4338093</v>
      </c>
      <c r="AR13" s="78"/>
      <c r="AS13" s="248">
        <v>46174</v>
      </c>
      <c r="AT13" s="5" t="s">
        <v>109</v>
      </c>
      <c r="AU13" s="5" t="s">
        <v>109</v>
      </c>
      <c r="AV13" s="78" t="s">
        <v>111</v>
      </c>
      <c r="AW13" s="5" t="s">
        <v>111</v>
      </c>
      <c r="AX13" s="5" t="s">
        <v>109</v>
      </c>
      <c r="AY13" s="5" t="s">
        <v>198</v>
      </c>
      <c r="AZ13" s="5" t="s">
        <v>130</v>
      </c>
      <c r="BA13" s="5" t="s">
        <v>198</v>
      </c>
      <c r="BB13" s="5" t="s">
        <v>198</v>
      </c>
      <c r="BC13" s="5" t="s">
        <v>199</v>
      </c>
      <c r="BD13" s="5" t="s">
        <v>111</v>
      </c>
      <c r="BE13" s="5" t="s">
        <v>199</v>
      </c>
      <c r="BF13" s="5" t="s">
        <v>199</v>
      </c>
      <c r="BG13" s="132" t="s">
        <v>114</v>
      </c>
      <c r="BH13" s="132" t="s">
        <v>90</v>
      </c>
      <c r="BI13" s="7">
        <v>46193</v>
      </c>
      <c r="BJ13" s="7">
        <v>46265</v>
      </c>
      <c r="BK13" s="5" t="s">
        <v>109</v>
      </c>
      <c r="BL13" s="5" t="s">
        <v>114</v>
      </c>
      <c r="BM13" s="5"/>
      <c r="BN13" s="5" t="s">
        <v>184</v>
      </c>
      <c r="BO13" s="5"/>
      <c r="BP13" s="5"/>
      <c r="BQ13" s="5"/>
      <c r="BR13" s="5"/>
      <c r="BS13" s="5"/>
      <c r="BT13" s="5"/>
      <c r="BU13" s="5"/>
      <c r="BV13" s="5"/>
      <c r="BW13" s="5" t="s">
        <v>184</v>
      </c>
      <c r="BX13" s="5"/>
      <c r="BY13" s="5"/>
      <c r="BZ13" s="5"/>
      <c r="CA13" s="5"/>
      <c r="CB13" s="179" t="s">
        <v>118</v>
      </c>
      <c r="CC13" s="179" t="s">
        <v>109</v>
      </c>
      <c r="CD13" s="5" t="s">
        <v>109</v>
      </c>
      <c r="CE13" s="5"/>
      <c r="CF13" s="179"/>
      <c r="CG13" s="179"/>
      <c r="CH13" s="199"/>
      <c r="CI13" s="179" t="str">
        <f t="shared" si="3"/>
        <v>Dec'23</v>
      </c>
      <c r="CJ13" s="179" t="s">
        <v>186</v>
      </c>
      <c r="CK13" s="179" t="s">
        <v>109</v>
      </c>
      <c r="CL13" s="179" t="s">
        <v>109</v>
      </c>
    </row>
    <row r="14" spans="1:92" s="6" customFormat="1" ht="61.5" customHeight="1" x14ac:dyDescent="0.25">
      <c r="A14" s="5">
        <v>103</v>
      </c>
      <c r="B14" s="125" t="s">
        <v>200</v>
      </c>
      <c r="C14" s="78" t="s">
        <v>201</v>
      </c>
      <c r="D14" s="5" t="s">
        <v>121</v>
      </c>
      <c r="E14" s="58">
        <v>1897</v>
      </c>
      <c r="F14" s="265">
        <v>9730606767</v>
      </c>
      <c r="G14" s="5" t="s">
        <v>142</v>
      </c>
      <c r="H14" s="5" t="s">
        <v>101</v>
      </c>
      <c r="I14" s="5" t="s">
        <v>143</v>
      </c>
      <c r="J14" s="5" t="s">
        <v>151</v>
      </c>
      <c r="K14" s="5" t="s">
        <v>202</v>
      </c>
      <c r="L14" s="5" t="s">
        <v>105</v>
      </c>
      <c r="M14" s="55">
        <v>45307</v>
      </c>
      <c r="N14" s="68">
        <f t="shared" ca="1" si="0"/>
        <v>870</v>
      </c>
      <c r="O14" s="71" t="str">
        <f t="shared" ca="1" si="1"/>
        <v>2-3Y</v>
      </c>
      <c r="P14" s="132" t="s">
        <v>106</v>
      </c>
      <c r="Q14" s="5" t="s">
        <v>125</v>
      </c>
      <c r="R14" s="5" t="s">
        <v>108</v>
      </c>
      <c r="S14" s="111">
        <v>30</v>
      </c>
      <c r="T14" s="111">
        <v>120</v>
      </c>
      <c r="U14" s="111">
        <f t="shared" si="2"/>
        <v>150</v>
      </c>
      <c r="V14" s="5"/>
      <c r="W14" s="5" t="s">
        <v>109</v>
      </c>
      <c r="X14" s="5" t="s">
        <v>109</v>
      </c>
      <c r="Y14" s="131" t="str">
        <f>+AP14</f>
        <v>Yes</v>
      </c>
      <c r="Z14" s="5" t="s">
        <v>110</v>
      </c>
      <c r="AA14" s="5"/>
      <c r="AB14" s="5"/>
      <c r="AC14" s="5"/>
      <c r="AD14" s="248">
        <f t="shared" si="4"/>
        <v>46143</v>
      </c>
      <c r="AE14" s="248">
        <f>+AS14</f>
        <v>46174</v>
      </c>
      <c r="AF14" s="5" t="s">
        <v>109</v>
      </c>
      <c r="AG14" s="5" t="s">
        <v>111</v>
      </c>
      <c r="AH14" s="5" t="s">
        <v>111</v>
      </c>
      <c r="AI14" s="5" t="s">
        <v>109</v>
      </c>
      <c r="AJ14" s="5" t="s">
        <v>109</v>
      </c>
      <c r="AK14" s="5"/>
      <c r="AL14" s="7">
        <v>46143</v>
      </c>
      <c r="AM14" s="5" t="s">
        <v>109</v>
      </c>
      <c r="AN14" s="5" t="s">
        <v>109</v>
      </c>
      <c r="AO14" s="5" t="s">
        <v>110</v>
      </c>
      <c r="AP14" s="5" t="s">
        <v>109</v>
      </c>
      <c r="AQ14" s="5">
        <v>4337433</v>
      </c>
      <c r="AR14" s="78"/>
      <c r="AS14" s="248">
        <v>46174</v>
      </c>
      <c r="AT14" s="5" t="s">
        <v>109</v>
      </c>
      <c r="AU14" s="5" t="s">
        <v>109</v>
      </c>
      <c r="AV14" s="5" t="s">
        <v>203</v>
      </c>
      <c r="AW14" s="5" t="s">
        <v>111</v>
      </c>
      <c r="AX14" s="5" t="s">
        <v>109</v>
      </c>
      <c r="AY14" s="5" t="s">
        <v>109</v>
      </c>
      <c r="AZ14" s="5" t="s">
        <v>114</v>
      </c>
      <c r="BA14" s="5" t="s">
        <v>114</v>
      </c>
      <c r="BB14" s="5" t="s">
        <v>114</v>
      </c>
      <c r="BC14" s="5" t="s">
        <v>114</v>
      </c>
      <c r="BD14" s="5" t="s">
        <v>114</v>
      </c>
      <c r="BE14" s="5" t="s">
        <v>111</v>
      </c>
      <c r="BF14" s="5" t="s">
        <v>111</v>
      </c>
      <c r="BG14" s="132" t="s">
        <v>114</v>
      </c>
      <c r="BH14" s="132" t="s">
        <v>109</v>
      </c>
      <c r="BI14" s="235">
        <v>46174</v>
      </c>
      <c r="BJ14" s="248">
        <v>46199</v>
      </c>
      <c r="BK14" s="5" t="s">
        <v>109</v>
      </c>
      <c r="BL14" s="5" t="s">
        <v>114</v>
      </c>
      <c r="BM14" s="5"/>
      <c r="BN14" s="5" t="s">
        <v>109</v>
      </c>
      <c r="BO14" s="5"/>
      <c r="BP14" s="5"/>
      <c r="BQ14" s="5"/>
      <c r="BR14" s="5"/>
      <c r="BS14" s="5"/>
      <c r="BT14" s="5"/>
      <c r="BU14" s="5"/>
      <c r="BV14" s="5"/>
      <c r="BW14" s="5" t="s">
        <v>184</v>
      </c>
      <c r="BX14" s="5"/>
      <c r="BY14" s="5"/>
      <c r="BZ14" s="5"/>
      <c r="CA14" s="5"/>
      <c r="CB14" s="179" t="s">
        <v>118</v>
      </c>
      <c r="CC14" s="179" t="s">
        <v>109</v>
      </c>
      <c r="CD14" s="5" t="s">
        <v>109</v>
      </c>
      <c r="CE14" s="5"/>
      <c r="CF14" s="179"/>
      <c r="CG14" s="179"/>
      <c r="CH14" s="199"/>
      <c r="CI14" s="179" t="str">
        <f t="shared" si="3"/>
        <v>Jan'24</v>
      </c>
      <c r="CJ14" s="179" t="s">
        <v>132</v>
      </c>
      <c r="CK14" s="179" t="s">
        <v>109</v>
      </c>
      <c r="CL14" s="179" t="s">
        <v>109</v>
      </c>
    </row>
    <row r="15" spans="1:92" s="223" customFormat="1" ht="73.5" customHeight="1" x14ac:dyDescent="0.25">
      <c r="A15" s="5">
        <v>140</v>
      </c>
      <c r="B15" s="125" t="s">
        <v>204</v>
      </c>
      <c r="C15" s="78" t="s">
        <v>205</v>
      </c>
      <c r="D15" s="5" t="s">
        <v>156</v>
      </c>
      <c r="E15" s="58">
        <v>1738</v>
      </c>
      <c r="F15" s="5">
        <v>9960968999</v>
      </c>
      <c r="G15" s="5" t="s">
        <v>142</v>
      </c>
      <c r="H15" s="5" t="s">
        <v>122</v>
      </c>
      <c r="I15" s="5" t="s">
        <v>143</v>
      </c>
      <c r="J15" s="5" t="s">
        <v>144</v>
      </c>
      <c r="K15" s="5" t="s">
        <v>206</v>
      </c>
      <c r="L15" s="5" t="s">
        <v>105</v>
      </c>
      <c r="M15" s="55">
        <v>45349</v>
      </c>
      <c r="N15" s="68">
        <f t="shared" ca="1" si="0"/>
        <v>828</v>
      </c>
      <c r="O15" s="71" t="str">
        <f t="shared" ca="1" si="1"/>
        <v>2-3Y</v>
      </c>
      <c r="P15" s="132" t="s">
        <v>158</v>
      </c>
      <c r="Q15" s="5" t="s">
        <v>125</v>
      </c>
      <c r="R15" s="5" t="s">
        <v>108</v>
      </c>
      <c r="S15" s="111">
        <v>30</v>
      </c>
      <c r="T15" s="111">
        <v>120</v>
      </c>
      <c r="U15" s="111">
        <f t="shared" si="2"/>
        <v>150</v>
      </c>
      <c r="V15" s="5"/>
      <c r="W15" s="5" t="s">
        <v>109</v>
      </c>
      <c r="X15" s="5" t="s">
        <v>109</v>
      </c>
      <c r="Y15" s="131" t="str">
        <f>+AP15</f>
        <v>Yes</v>
      </c>
      <c r="Z15" s="5" t="s">
        <v>111</v>
      </c>
      <c r="AA15" s="5"/>
      <c r="AB15" s="5"/>
      <c r="AC15" s="5"/>
      <c r="AD15" s="248">
        <f t="shared" si="4"/>
        <v>46143</v>
      </c>
      <c r="AE15" s="248">
        <f>+AS15</f>
        <v>46174</v>
      </c>
      <c r="AF15" s="5" t="s">
        <v>109</v>
      </c>
      <c r="AG15" s="5" t="s">
        <v>111</v>
      </c>
      <c r="AH15" s="5" t="s">
        <v>111</v>
      </c>
      <c r="AI15" s="5" t="s">
        <v>115</v>
      </c>
      <c r="AJ15" s="5" t="s">
        <v>115</v>
      </c>
      <c r="AK15" s="5" t="s">
        <v>112</v>
      </c>
      <c r="AL15" s="7">
        <v>46143</v>
      </c>
      <c r="AM15" s="5" t="s">
        <v>109</v>
      </c>
      <c r="AN15" s="5" t="s">
        <v>109</v>
      </c>
      <c r="AO15" s="5" t="s">
        <v>110</v>
      </c>
      <c r="AP15" s="5" t="s">
        <v>109</v>
      </c>
      <c r="AQ15" s="5">
        <v>4338435</v>
      </c>
      <c r="AR15" s="78" t="s">
        <v>207</v>
      </c>
      <c r="AS15" s="248">
        <v>46174</v>
      </c>
      <c r="AT15" s="5" t="s">
        <v>109</v>
      </c>
      <c r="AU15" s="5" t="s">
        <v>109</v>
      </c>
      <c r="AV15" s="5" t="s">
        <v>111</v>
      </c>
      <c r="AW15" s="5" t="s">
        <v>111</v>
      </c>
      <c r="AX15" s="5" t="s">
        <v>109</v>
      </c>
      <c r="AY15" s="5" t="s">
        <v>114</v>
      </c>
      <c r="AZ15" s="5" t="s">
        <v>114</v>
      </c>
      <c r="BA15" s="5" t="s">
        <v>114</v>
      </c>
      <c r="BB15" s="5" t="s">
        <v>130</v>
      </c>
      <c r="BC15" s="5" t="s">
        <v>111</v>
      </c>
      <c r="BD15" s="5" t="s">
        <v>111</v>
      </c>
      <c r="BE15" s="5" t="s">
        <v>114</v>
      </c>
      <c r="BF15" s="5" t="s">
        <v>114</v>
      </c>
      <c r="BG15" s="132" t="s">
        <v>114</v>
      </c>
      <c r="BH15" s="132" t="s">
        <v>109</v>
      </c>
      <c r="BI15" s="248">
        <v>46143</v>
      </c>
      <c r="BJ15" s="248">
        <v>46143</v>
      </c>
      <c r="BK15" s="5" t="s">
        <v>109</v>
      </c>
      <c r="BL15" s="5" t="s">
        <v>114</v>
      </c>
      <c r="BM15" s="5" t="s">
        <v>111</v>
      </c>
      <c r="BN15" s="5" t="s">
        <v>111</v>
      </c>
      <c r="BO15" s="5" t="s">
        <v>115</v>
      </c>
      <c r="BP15" s="5"/>
      <c r="BQ15" s="5"/>
      <c r="BR15" s="5" t="s">
        <v>208</v>
      </c>
      <c r="BS15" s="5"/>
      <c r="BT15" s="5"/>
      <c r="BU15" s="5"/>
      <c r="BV15" s="5"/>
      <c r="BW15" s="5" t="s">
        <v>184</v>
      </c>
      <c r="BX15" s="5"/>
      <c r="BY15" s="5"/>
      <c r="BZ15" s="5"/>
      <c r="CA15" s="5"/>
      <c r="CB15" s="179" t="s">
        <v>118</v>
      </c>
      <c r="CC15" s="179" t="s">
        <v>109</v>
      </c>
      <c r="CD15" s="5" t="s">
        <v>109</v>
      </c>
      <c r="CE15" s="5"/>
      <c r="CF15" s="179"/>
      <c r="CG15" s="179"/>
      <c r="CH15" s="199"/>
      <c r="CI15" s="179" t="str">
        <f t="shared" si="3"/>
        <v>Feb'24</v>
      </c>
      <c r="CJ15" s="179" t="s">
        <v>132</v>
      </c>
      <c r="CK15" s="179" t="s">
        <v>109</v>
      </c>
      <c r="CL15" s="179" t="s">
        <v>109</v>
      </c>
      <c r="CM15" s="6"/>
      <c r="CN15" s="6"/>
    </row>
    <row r="16" spans="1:92" s="8" customFormat="1" ht="45" x14ac:dyDescent="0.25">
      <c r="A16" s="78">
        <v>139</v>
      </c>
      <c r="B16" s="125" t="s">
        <v>209</v>
      </c>
      <c r="C16" s="78" t="s">
        <v>210</v>
      </c>
      <c r="D16" s="78" t="s">
        <v>190</v>
      </c>
      <c r="E16" s="78">
        <v>1754</v>
      </c>
      <c r="F16" s="265">
        <v>9923563624</v>
      </c>
      <c r="G16" s="78" t="s">
        <v>169</v>
      </c>
      <c r="H16" s="78" t="s">
        <v>101</v>
      </c>
      <c r="I16" s="78" t="s">
        <v>143</v>
      </c>
      <c r="J16" s="78" t="s">
        <v>162</v>
      </c>
      <c r="K16" s="78" t="s">
        <v>211</v>
      </c>
      <c r="L16" s="78" t="s">
        <v>105</v>
      </c>
      <c r="M16" s="232">
        <v>45349</v>
      </c>
      <c r="N16" s="233">
        <f t="shared" ca="1" si="0"/>
        <v>828</v>
      </c>
      <c r="O16" s="233" t="str">
        <f t="shared" ca="1" si="1"/>
        <v>2-3Y</v>
      </c>
      <c r="P16" s="132" t="s">
        <v>158</v>
      </c>
      <c r="Q16" s="78" t="s">
        <v>180</v>
      </c>
      <c r="R16" s="78" t="s">
        <v>108</v>
      </c>
      <c r="S16" s="111">
        <v>30</v>
      </c>
      <c r="T16" s="111">
        <v>100</v>
      </c>
      <c r="U16" s="111">
        <f t="shared" si="2"/>
        <v>130</v>
      </c>
      <c r="V16" s="78"/>
      <c r="W16" s="78" t="s">
        <v>109</v>
      </c>
      <c r="X16" s="78" t="s">
        <v>109</v>
      </c>
      <c r="Y16" s="234"/>
      <c r="Z16" s="5" t="s">
        <v>110</v>
      </c>
      <c r="AA16" s="78"/>
      <c r="AB16" s="78"/>
      <c r="AC16" s="78" t="s">
        <v>109</v>
      </c>
      <c r="AD16" s="248">
        <v>46143</v>
      </c>
      <c r="AE16" s="248">
        <v>46174</v>
      </c>
      <c r="AF16" s="78" t="s">
        <v>109</v>
      </c>
      <c r="AG16" s="78" t="s">
        <v>111</v>
      </c>
      <c r="AH16" s="78" t="s">
        <v>111</v>
      </c>
      <c r="AI16" s="78" t="s">
        <v>197</v>
      </c>
      <c r="AJ16" s="78" t="s">
        <v>109</v>
      </c>
      <c r="AK16" s="78" t="s">
        <v>112</v>
      </c>
      <c r="AL16" s="235">
        <v>46143</v>
      </c>
      <c r="AM16" s="78" t="s">
        <v>109</v>
      </c>
      <c r="AN16" s="78" t="s">
        <v>109</v>
      </c>
      <c r="AO16" s="78" t="s">
        <v>182</v>
      </c>
      <c r="AP16" s="78" t="s">
        <v>109</v>
      </c>
      <c r="AQ16" s="78">
        <v>4338635</v>
      </c>
      <c r="AR16" s="78"/>
      <c r="AS16" s="248">
        <v>46174</v>
      </c>
      <c r="AT16" s="78" t="s">
        <v>109</v>
      </c>
      <c r="AU16" s="78" t="s">
        <v>109</v>
      </c>
      <c r="AV16" s="78" t="s">
        <v>111</v>
      </c>
      <c r="AW16" s="78" t="s">
        <v>111</v>
      </c>
      <c r="AX16" s="78" t="s">
        <v>109</v>
      </c>
      <c r="AY16" s="78" t="s">
        <v>114</v>
      </c>
      <c r="AZ16" s="78" t="s">
        <v>198</v>
      </c>
      <c r="BA16" s="78" t="s">
        <v>114</v>
      </c>
      <c r="BB16" s="78" t="s">
        <v>114</v>
      </c>
      <c r="BC16" s="78" t="s">
        <v>114</v>
      </c>
      <c r="BD16" s="78" t="s">
        <v>111</v>
      </c>
      <c r="BE16" s="78" t="s">
        <v>114</v>
      </c>
      <c r="BF16" s="78" t="s">
        <v>114</v>
      </c>
      <c r="BG16" s="132" t="s">
        <v>114</v>
      </c>
      <c r="BH16" s="232" t="s">
        <v>109</v>
      </c>
      <c r="BI16" s="248">
        <v>46143</v>
      </c>
      <c r="BJ16" s="248">
        <v>46174</v>
      </c>
      <c r="BK16" s="78" t="s">
        <v>109</v>
      </c>
      <c r="BL16" s="78" t="s">
        <v>114</v>
      </c>
      <c r="BM16" s="78"/>
      <c r="BN16" s="78" t="s">
        <v>109</v>
      </c>
      <c r="BO16" s="78"/>
      <c r="BP16" s="78"/>
      <c r="BQ16" s="78"/>
      <c r="BR16" s="78"/>
      <c r="BS16" s="78"/>
      <c r="BT16" s="78"/>
      <c r="BU16" s="78"/>
      <c r="BV16" s="78"/>
      <c r="BW16" s="78" t="s">
        <v>184</v>
      </c>
      <c r="BX16" s="78"/>
      <c r="BY16" s="78"/>
      <c r="BZ16" s="78"/>
      <c r="CA16" s="78"/>
      <c r="CB16" s="179" t="s">
        <v>118</v>
      </c>
      <c r="CC16" s="179" t="s">
        <v>109</v>
      </c>
      <c r="CD16" s="5" t="s">
        <v>109</v>
      </c>
      <c r="CE16" s="5"/>
      <c r="CF16" s="179"/>
      <c r="CG16" s="179"/>
      <c r="CH16" s="199"/>
      <c r="CI16" s="179" t="str">
        <f t="shared" si="3"/>
        <v>Feb'24</v>
      </c>
      <c r="CJ16" s="179" t="s">
        <v>186</v>
      </c>
      <c r="CK16" s="179" t="s">
        <v>109</v>
      </c>
      <c r="CL16" s="179" t="s">
        <v>109</v>
      </c>
      <c r="CM16" s="8" t="s">
        <v>212</v>
      </c>
      <c r="CN16" s="6"/>
    </row>
    <row r="17" spans="1:92" s="6" customFormat="1" ht="47.25" customHeight="1" x14ac:dyDescent="0.25">
      <c r="A17" s="5">
        <v>141</v>
      </c>
      <c r="B17" s="125" t="s">
        <v>213</v>
      </c>
      <c r="C17" s="78" t="s">
        <v>214</v>
      </c>
      <c r="D17" s="5" t="s">
        <v>156</v>
      </c>
      <c r="E17" s="58">
        <v>1976</v>
      </c>
      <c r="F17" s="5">
        <v>7875162400</v>
      </c>
      <c r="G17" s="5" t="s">
        <v>169</v>
      </c>
      <c r="H17" s="5" t="s">
        <v>101</v>
      </c>
      <c r="I17" s="5" t="s">
        <v>143</v>
      </c>
      <c r="J17" s="5" t="s">
        <v>162</v>
      </c>
      <c r="K17" s="5" t="s">
        <v>215</v>
      </c>
      <c r="L17" s="5" t="s">
        <v>105</v>
      </c>
      <c r="M17" s="55">
        <v>45357</v>
      </c>
      <c r="N17" s="68">
        <f t="shared" ca="1" si="0"/>
        <v>820</v>
      </c>
      <c r="O17" s="71" t="str">
        <f t="shared" ca="1" si="1"/>
        <v>2-3Y</v>
      </c>
      <c r="P17" s="132" t="s">
        <v>158</v>
      </c>
      <c r="Q17" s="5" t="s">
        <v>216</v>
      </c>
      <c r="R17" s="5" t="s">
        <v>108</v>
      </c>
      <c r="S17" s="111">
        <v>20</v>
      </c>
      <c r="T17" s="111">
        <v>80</v>
      </c>
      <c r="U17" s="111">
        <f t="shared" si="2"/>
        <v>100</v>
      </c>
      <c r="V17" s="5"/>
      <c r="W17" s="5" t="s">
        <v>109</v>
      </c>
      <c r="X17" s="5" t="s">
        <v>109</v>
      </c>
      <c r="Y17" s="131"/>
      <c r="Z17" s="5" t="s">
        <v>110</v>
      </c>
      <c r="AA17" s="5"/>
      <c r="AB17" s="5"/>
      <c r="AC17" s="5" t="s">
        <v>109</v>
      </c>
      <c r="AD17" s="248">
        <f t="shared" ref="AD17:AD23" si="6">+AL17</f>
        <v>46113</v>
      </c>
      <c r="AE17" s="248">
        <f t="shared" ref="AE17:AE23" si="7">+AS17</f>
        <v>46174</v>
      </c>
      <c r="AF17" s="5" t="s">
        <v>109</v>
      </c>
      <c r="AG17" s="5" t="s">
        <v>111</v>
      </c>
      <c r="AH17" s="5" t="s">
        <v>111</v>
      </c>
      <c r="AI17" s="5" t="s">
        <v>109</v>
      </c>
      <c r="AJ17" s="5" t="s">
        <v>109</v>
      </c>
      <c r="AK17" s="5" t="s">
        <v>112</v>
      </c>
      <c r="AL17" s="7">
        <v>46113</v>
      </c>
      <c r="AM17" s="5" t="s">
        <v>109</v>
      </c>
      <c r="AN17" s="5" t="s">
        <v>109</v>
      </c>
      <c r="AO17" s="5" t="s">
        <v>182</v>
      </c>
      <c r="AP17" s="5" t="s">
        <v>171</v>
      </c>
      <c r="AQ17" s="5"/>
      <c r="AR17" s="78"/>
      <c r="AS17" s="248">
        <v>46174</v>
      </c>
      <c r="AT17" s="5" t="s">
        <v>109</v>
      </c>
      <c r="AU17" s="5" t="s">
        <v>109</v>
      </c>
      <c r="AV17" s="5" t="s">
        <v>111</v>
      </c>
      <c r="AW17" s="5" t="s">
        <v>111</v>
      </c>
      <c r="AX17" s="5" t="s">
        <v>109</v>
      </c>
      <c r="AY17" s="5" t="s">
        <v>114</v>
      </c>
      <c r="AZ17" s="5" t="s">
        <v>114</v>
      </c>
      <c r="BA17" s="5" t="s">
        <v>114</v>
      </c>
      <c r="BB17" s="57" t="s">
        <v>114</v>
      </c>
      <c r="BC17" s="57" t="s">
        <v>111</v>
      </c>
      <c r="BD17" s="57" t="s">
        <v>111</v>
      </c>
      <c r="BE17" s="57" t="s">
        <v>114</v>
      </c>
      <c r="BF17" s="57" t="s">
        <v>114</v>
      </c>
      <c r="BG17" s="132" t="s">
        <v>114</v>
      </c>
      <c r="BH17" s="132" t="s">
        <v>109</v>
      </c>
      <c r="BI17" s="248">
        <v>46113</v>
      </c>
      <c r="BJ17" s="248">
        <v>46174</v>
      </c>
      <c r="BK17" s="5" t="s">
        <v>109</v>
      </c>
      <c r="BL17" s="5" t="s">
        <v>114</v>
      </c>
      <c r="BM17" s="5"/>
      <c r="BN17" s="5"/>
      <c r="BO17" s="5"/>
      <c r="BP17" s="5"/>
      <c r="BQ17" s="5"/>
      <c r="BR17" s="5"/>
      <c r="BS17" s="5"/>
      <c r="BT17" s="5"/>
      <c r="BU17" s="5"/>
      <c r="BV17" s="5"/>
      <c r="BW17" s="5" t="s">
        <v>184</v>
      </c>
      <c r="BX17" s="5"/>
      <c r="BY17" s="5"/>
      <c r="BZ17" s="5"/>
      <c r="CA17" s="5"/>
      <c r="CB17" s="179" t="s">
        <v>118</v>
      </c>
      <c r="CC17" s="179" t="s">
        <v>109</v>
      </c>
      <c r="CD17" s="5" t="s">
        <v>109</v>
      </c>
      <c r="CE17" s="5"/>
      <c r="CF17" s="179"/>
      <c r="CG17" s="179"/>
      <c r="CH17" s="199"/>
      <c r="CI17" s="179" t="str">
        <f t="shared" si="3"/>
        <v>Mar'24</v>
      </c>
      <c r="CJ17" s="179" t="s">
        <v>186</v>
      </c>
      <c r="CK17" s="179" t="s">
        <v>109</v>
      </c>
      <c r="CL17" s="179" t="s">
        <v>109</v>
      </c>
      <c r="CM17" s="8" t="s">
        <v>217</v>
      </c>
    </row>
    <row r="18" spans="1:92" s="6" customFormat="1" ht="45" customHeight="1" x14ac:dyDescent="0.25">
      <c r="A18" s="5">
        <v>157</v>
      </c>
      <c r="B18" s="125" t="s">
        <v>218</v>
      </c>
      <c r="C18" s="78" t="s">
        <v>219</v>
      </c>
      <c r="D18" s="5" t="s">
        <v>220</v>
      </c>
      <c r="E18" s="58">
        <v>1842</v>
      </c>
      <c r="F18" s="5">
        <v>8668477069</v>
      </c>
      <c r="G18" s="5" t="s">
        <v>142</v>
      </c>
      <c r="H18" s="5" t="s">
        <v>122</v>
      </c>
      <c r="I18" s="5" t="s">
        <v>143</v>
      </c>
      <c r="J18" s="5" t="s">
        <v>144</v>
      </c>
      <c r="K18" s="5" t="s">
        <v>221</v>
      </c>
      <c r="L18" s="5" t="s">
        <v>105</v>
      </c>
      <c r="M18" s="55">
        <v>45456</v>
      </c>
      <c r="N18" s="68">
        <f t="shared" ca="1" si="0"/>
        <v>721</v>
      </c>
      <c r="O18" s="71" t="str">
        <f t="shared" ca="1" si="1"/>
        <v>1-2Y</v>
      </c>
      <c r="P18" s="132" t="s">
        <v>106</v>
      </c>
      <c r="Q18" s="5" t="s">
        <v>125</v>
      </c>
      <c r="R18" s="5" t="s">
        <v>108</v>
      </c>
      <c r="S18" s="111">
        <v>40</v>
      </c>
      <c r="T18" s="111">
        <v>181</v>
      </c>
      <c r="U18" s="111">
        <f t="shared" si="2"/>
        <v>221</v>
      </c>
      <c r="V18" s="5"/>
      <c r="W18" s="5" t="s">
        <v>109</v>
      </c>
      <c r="X18" s="5" t="s">
        <v>109</v>
      </c>
      <c r="Y18" s="131" t="str">
        <f>+AP18</f>
        <v>Yes</v>
      </c>
      <c r="Z18" s="5" t="s">
        <v>111</v>
      </c>
      <c r="AA18" s="5"/>
      <c r="AB18" s="5"/>
      <c r="AC18" s="5"/>
      <c r="AD18" s="248">
        <f t="shared" si="6"/>
        <v>46023</v>
      </c>
      <c r="AE18" s="248">
        <f t="shared" si="7"/>
        <v>46174</v>
      </c>
      <c r="AF18" s="5" t="s">
        <v>109</v>
      </c>
      <c r="AG18" s="5" t="s">
        <v>111</v>
      </c>
      <c r="AH18" s="5" t="s">
        <v>111</v>
      </c>
      <c r="AI18" s="5" t="s">
        <v>115</v>
      </c>
      <c r="AJ18" s="5" t="s">
        <v>115</v>
      </c>
      <c r="AK18" s="5" t="s">
        <v>222</v>
      </c>
      <c r="AL18" s="7">
        <v>46023</v>
      </c>
      <c r="AM18" s="5" t="s">
        <v>109</v>
      </c>
      <c r="AN18" s="5" t="s">
        <v>109</v>
      </c>
      <c r="AO18" s="5" t="s">
        <v>110</v>
      </c>
      <c r="AP18" s="5" t="s">
        <v>109</v>
      </c>
      <c r="AQ18" s="5">
        <v>4337666</v>
      </c>
      <c r="AR18" s="78"/>
      <c r="AS18" s="248">
        <v>46174</v>
      </c>
      <c r="AT18" s="5" t="s">
        <v>109</v>
      </c>
      <c r="AU18" s="5" t="s">
        <v>109</v>
      </c>
      <c r="AV18" s="5" t="s">
        <v>111</v>
      </c>
      <c r="AW18" s="5" t="s">
        <v>171</v>
      </c>
      <c r="AX18" s="5" t="s">
        <v>109</v>
      </c>
      <c r="AY18" s="5" t="s">
        <v>223</v>
      </c>
      <c r="AZ18" s="5" t="s">
        <v>109</v>
      </c>
      <c r="BA18" s="5" t="s">
        <v>109</v>
      </c>
      <c r="BB18" s="5" t="s">
        <v>109</v>
      </c>
      <c r="BC18" s="5" t="s">
        <v>109</v>
      </c>
      <c r="BD18" s="5" t="s">
        <v>109</v>
      </c>
      <c r="BE18" s="5" t="s">
        <v>111</v>
      </c>
      <c r="BF18" s="5" t="s">
        <v>111</v>
      </c>
      <c r="BG18" s="132" t="s">
        <v>114</v>
      </c>
      <c r="BH18" s="132" t="s">
        <v>109</v>
      </c>
      <c r="BI18" s="7">
        <v>46174</v>
      </c>
      <c r="BJ18" s="7">
        <v>46174</v>
      </c>
      <c r="BK18" s="5" t="s">
        <v>109</v>
      </c>
      <c r="BL18" s="5" t="s">
        <v>114</v>
      </c>
      <c r="BM18" s="5" t="s">
        <v>111</v>
      </c>
      <c r="BN18" s="5" t="s">
        <v>111</v>
      </c>
      <c r="BO18" s="5" t="s">
        <v>115</v>
      </c>
      <c r="BP18" s="5"/>
      <c r="BQ18" s="5"/>
      <c r="BR18" s="5"/>
      <c r="BS18" s="5"/>
      <c r="BT18" s="5"/>
      <c r="BU18" s="5"/>
      <c r="BV18" s="5"/>
      <c r="BW18" s="5" t="s">
        <v>184</v>
      </c>
      <c r="BX18" s="5"/>
      <c r="BY18" s="5"/>
      <c r="BZ18" s="5"/>
      <c r="CA18" s="5"/>
      <c r="CB18" s="179" t="s">
        <v>118</v>
      </c>
      <c r="CC18" s="179" t="s">
        <v>109</v>
      </c>
      <c r="CD18" s="5" t="s">
        <v>109</v>
      </c>
      <c r="CE18" s="5"/>
      <c r="CF18" s="179"/>
      <c r="CG18" s="179"/>
      <c r="CH18" s="199" t="s">
        <v>109</v>
      </c>
      <c r="CI18" s="179" t="str">
        <f t="shared" si="3"/>
        <v>Jun'24</v>
      </c>
      <c r="CJ18" s="179" t="s">
        <v>132</v>
      </c>
      <c r="CK18" s="179" t="s">
        <v>109</v>
      </c>
      <c r="CL18" s="179" t="s">
        <v>109</v>
      </c>
    </row>
    <row r="19" spans="1:92" s="8" customFormat="1" ht="76.5" customHeight="1" x14ac:dyDescent="0.25">
      <c r="A19" s="5">
        <v>161</v>
      </c>
      <c r="B19" s="125" t="s">
        <v>224</v>
      </c>
      <c r="C19" s="78" t="s">
        <v>225</v>
      </c>
      <c r="D19" s="5" t="s">
        <v>156</v>
      </c>
      <c r="E19" s="58">
        <v>1716</v>
      </c>
      <c r="F19" s="5">
        <v>9273739191</v>
      </c>
      <c r="G19" s="5" t="s">
        <v>142</v>
      </c>
      <c r="H19" s="5" t="s">
        <v>122</v>
      </c>
      <c r="I19" s="5" t="s">
        <v>143</v>
      </c>
      <c r="J19" s="5" t="s">
        <v>144</v>
      </c>
      <c r="K19" s="5" t="s">
        <v>226</v>
      </c>
      <c r="L19" s="5" t="s">
        <v>105</v>
      </c>
      <c r="M19" s="55">
        <v>45458</v>
      </c>
      <c r="N19" s="68">
        <f t="shared" ca="1" si="0"/>
        <v>719</v>
      </c>
      <c r="O19" s="71" t="str">
        <f t="shared" ca="1" si="1"/>
        <v>1-2Y</v>
      </c>
      <c r="P19" s="132" t="s">
        <v>158</v>
      </c>
      <c r="Q19" s="5" t="s">
        <v>125</v>
      </c>
      <c r="R19" s="5" t="s">
        <v>108</v>
      </c>
      <c r="S19" s="111">
        <v>35</v>
      </c>
      <c r="T19" s="111">
        <v>120</v>
      </c>
      <c r="U19" s="111">
        <f t="shared" si="2"/>
        <v>155</v>
      </c>
      <c r="V19" s="5"/>
      <c r="W19" s="5" t="s">
        <v>109</v>
      </c>
      <c r="X19" s="5" t="s">
        <v>109</v>
      </c>
      <c r="Y19" s="131" t="str">
        <f>+AP19</f>
        <v>Yes</v>
      </c>
      <c r="Z19" s="5" t="s">
        <v>111</v>
      </c>
      <c r="AA19" s="5"/>
      <c r="AB19" s="5"/>
      <c r="AC19" s="5"/>
      <c r="AD19" s="248">
        <f t="shared" si="6"/>
        <v>46143</v>
      </c>
      <c r="AE19" s="248">
        <f t="shared" si="7"/>
        <v>46174</v>
      </c>
      <c r="AF19" s="5" t="s">
        <v>109</v>
      </c>
      <c r="AG19" s="5" t="s">
        <v>111</v>
      </c>
      <c r="AH19" s="5" t="s">
        <v>111</v>
      </c>
      <c r="AI19" s="5" t="s">
        <v>115</v>
      </c>
      <c r="AJ19" s="5" t="s">
        <v>115</v>
      </c>
      <c r="AK19" s="5" t="s">
        <v>181</v>
      </c>
      <c r="AL19" s="7">
        <v>46143</v>
      </c>
      <c r="AM19" s="5" t="s">
        <v>109</v>
      </c>
      <c r="AN19" s="5" t="s">
        <v>109</v>
      </c>
      <c r="AO19" s="5" t="s">
        <v>110</v>
      </c>
      <c r="AP19" s="5" t="s">
        <v>109</v>
      </c>
      <c r="AQ19" s="5">
        <v>4337973</v>
      </c>
      <c r="AR19" s="78"/>
      <c r="AS19" s="248">
        <v>46174</v>
      </c>
      <c r="AT19" s="5" t="s">
        <v>109</v>
      </c>
      <c r="AU19" s="5" t="s">
        <v>109</v>
      </c>
      <c r="AV19" s="5" t="s">
        <v>111</v>
      </c>
      <c r="AW19" s="5" t="s">
        <v>111</v>
      </c>
      <c r="AX19" s="5" t="s">
        <v>109</v>
      </c>
      <c r="AY19" s="5" t="s">
        <v>114</v>
      </c>
      <c r="AZ19" s="5" t="s">
        <v>109</v>
      </c>
      <c r="BA19" s="5" t="s">
        <v>114</v>
      </c>
      <c r="BB19" s="5" t="s">
        <v>114</v>
      </c>
      <c r="BC19" s="5" t="s">
        <v>111</v>
      </c>
      <c r="BD19" s="5" t="s">
        <v>111</v>
      </c>
      <c r="BE19" s="5" t="s">
        <v>114</v>
      </c>
      <c r="BF19" s="5" t="s">
        <v>114</v>
      </c>
      <c r="BG19" s="132" t="s">
        <v>114</v>
      </c>
      <c r="BH19" s="132" t="s">
        <v>109</v>
      </c>
      <c r="BI19" s="235">
        <v>46174</v>
      </c>
      <c r="BJ19" s="248">
        <v>46199</v>
      </c>
      <c r="BK19" s="5" t="s">
        <v>109</v>
      </c>
      <c r="BL19" s="5" t="s">
        <v>114</v>
      </c>
      <c r="BM19" s="5" t="s">
        <v>111</v>
      </c>
      <c r="BN19" s="5" t="s">
        <v>111</v>
      </c>
      <c r="BO19" s="5" t="s">
        <v>115</v>
      </c>
      <c r="BP19" s="5"/>
      <c r="BQ19" s="5"/>
      <c r="BR19" s="5"/>
      <c r="BS19" s="5"/>
      <c r="BT19" s="5"/>
      <c r="BU19" s="5"/>
      <c r="BV19" s="5"/>
      <c r="BW19" s="5" t="s">
        <v>184</v>
      </c>
      <c r="BX19" s="5"/>
      <c r="BY19" s="5"/>
      <c r="BZ19" s="5"/>
      <c r="CA19" s="5"/>
      <c r="CB19" s="179" t="s">
        <v>118</v>
      </c>
      <c r="CC19" s="179" t="s">
        <v>109</v>
      </c>
      <c r="CD19" s="5" t="s">
        <v>109</v>
      </c>
      <c r="CE19" s="5"/>
      <c r="CF19" s="179"/>
      <c r="CG19" s="179"/>
      <c r="CH19" s="199"/>
      <c r="CI19" s="179" t="str">
        <f t="shared" si="3"/>
        <v>Jun'24</v>
      </c>
      <c r="CJ19" s="179" t="s">
        <v>132</v>
      </c>
      <c r="CK19" s="179" t="s">
        <v>109</v>
      </c>
      <c r="CL19" s="179" t="s">
        <v>109</v>
      </c>
      <c r="CM19" s="6"/>
      <c r="CN19" s="6"/>
    </row>
    <row r="20" spans="1:92" s="6" customFormat="1" ht="56.25" customHeight="1" x14ac:dyDescent="0.25">
      <c r="A20" s="5">
        <v>200</v>
      </c>
      <c r="B20" s="207" t="s">
        <v>227</v>
      </c>
      <c r="C20" s="78" t="s">
        <v>228</v>
      </c>
      <c r="D20" s="5" t="s">
        <v>135</v>
      </c>
      <c r="E20" s="58">
        <v>1988</v>
      </c>
      <c r="F20" s="5">
        <v>9765191946</v>
      </c>
      <c r="G20" s="5" t="s">
        <v>142</v>
      </c>
      <c r="H20" s="5" t="s">
        <v>122</v>
      </c>
      <c r="I20" s="5" t="s">
        <v>143</v>
      </c>
      <c r="J20" s="5" t="s">
        <v>144</v>
      </c>
      <c r="K20" s="5" t="s">
        <v>229</v>
      </c>
      <c r="L20" s="5" t="s">
        <v>105</v>
      </c>
      <c r="M20" s="55">
        <v>45462</v>
      </c>
      <c r="N20" s="68">
        <f t="shared" ca="1" si="0"/>
        <v>715</v>
      </c>
      <c r="O20" s="71" t="str">
        <f t="shared" ca="1" si="1"/>
        <v>1-2Y</v>
      </c>
      <c r="P20" s="132" t="s">
        <v>137</v>
      </c>
      <c r="Q20" s="5" t="s">
        <v>125</v>
      </c>
      <c r="R20" s="5" t="s">
        <v>108</v>
      </c>
      <c r="S20" s="111">
        <v>40</v>
      </c>
      <c r="T20" s="111">
        <v>110</v>
      </c>
      <c r="U20" s="111">
        <f t="shared" si="2"/>
        <v>150</v>
      </c>
      <c r="V20" s="5"/>
      <c r="W20" s="5" t="s">
        <v>109</v>
      </c>
      <c r="X20" s="5" t="s">
        <v>109</v>
      </c>
      <c r="Y20" s="131" t="str">
        <f>+IF(AO20="Approved","Yes",AS20)</f>
        <v>Yes</v>
      </c>
      <c r="Z20" s="5" t="s">
        <v>111</v>
      </c>
      <c r="AA20" s="5"/>
      <c r="AB20" s="5"/>
      <c r="AC20" s="5"/>
      <c r="AD20" s="248">
        <f t="shared" si="6"/>
        <v>46204</v>
      </c>
      <c r="AE20" s="248">
        <f t="shared" si="7"/>
        <v>46174</v>
      </c>
      <c r="AF20" s="5" t="s">
        <v>109</v>
      </c>
      <c r="AG20" s="5"/>
      <c r="AH20" s="5"/>
      <c r="AI20" s="5" t="s">
        <v>115</v>
      </c>
      <c r="AJ20" s="5" t="s">
        <v>115</v>
      </c>
      <c r="AK20" s="5" t="s">
        <v>112</v>
      </c>
      <c r="AL20" s="7">
        <v>46204</v>
      </c>
      <c r="AM20" s="5">
        <v>46478</v>
      </c>
      <c r="AN20" s="5" t="s">
        <v>109</v>
      </c>
      <c r="AO20" s="5" t="s">
        <v>110</v>
      </c>
      <c r="AP20" s="5" t="s">
        <v>109</v>
      </c>
      <c r="AQ20" s="5">
        <v>4338611</v>
      </c>
      <c r="AR20" s="78" t="s">
        <v>207</v>
      </c>
      <c r="AS20" s="248">
        <v>46174</v>
      </c>
      <c r="AT20" s="5" t="s">
        <v>109</v>
      </c>
      <c r="AU20" s="5" t="s">
        <v>109</v>
      </c>
      <c r="AV20" s="78" t="s">
        <v>111</v>
      </c>
      <c r="AW20" s="5" t="s">
        <v>111</v>
      </c>
      <c r="AX20" s="5" t="s">
        <v>109</v>
      </c>
      <c r="AY20" s="5" t="s">
        <v>114</v>
      </c>
      <c r="AZ20" s="5" t="s">
        <v>114</v>
      </c>
      <c r="BA20" s="5" t="s">
        <v>114</v>
      </c>
      <c r="BB20" s="5" t="s">
        <v>130</v>
      </c>
      <c r="BC20" s="5" t="s">
        <v>114</v>
      </c>
      <c r="BD20" s="5" t="s">
        <v>111</v>
      </c>
      <c r="BE20" s="5" t="s">
        <v>111</v>
      </c>
      <c r="BF20" s="5" t="s">
        <v>111</v>
      </c>
      <c r="BG20" s="132" t="s">
        <v>114</v>
      </c>
      <c r="BH20" s="5" t="s">
        <v>109</v>
      </c>
      <c r="BI20" s="7">
        <v>46143</v>
      </c>
      <c r="BJ20" s="7">
        <v>46174</v>
      </c>
      <c r="BK20" s="5" t="s">
        <v>109</v>
      </c>
      <c r="BL20" s="5" t="s">
        <v>114</v>
      </c>
      <c r="BM20" s="5" t="s">
        <v>111</v>
      </c>
      <c r="BN20" s="5" t="s">
        <v>111</v>
      </c>
      <c r="BO20" s="5" t="s">
        <v>115</v>
      </c>
      <c r="BP20" s="5"/>
      <c r="BQ20" s="5"/>
      <c r="BR20" s="5"/>
      <c r="BS20" s="5"/>
      <c r="BT20" s="5"/>
      <c r="BU20" s="5"/>
      <c r="BV20" s="5"/>
      <c r="BW20" s="5" t="s">
        <v>184</v>
      </c>
      <c r="BX20" s="5"/>
      <c r="BY20" s="5"/>
      <c r="BZ20" s="5"/>
      <c r="CA20" s="5"/>
      <c r="CB20" s="179" t="s">
        <v>118</v>
      </c>
      <c r="CC20" s="179" t="s">
        <v>109</v>
      </c>
      <c r="CD20" s="5"/>
      <c r="CE20" s="5"/>
      <c r="CF20" s="179"/>
      <c r="CG20" s="179"/>
      <c r="CH20" s="199"/>
      <c r="CI20" s="179" t="str">
        <f t="shared" si="3"/>
        <v>Jun'24</v>
      </c>
      <c r="CJ20" s="179" t="s">
        <v>132</v>
      </c>
      <c r="CK20" s="179"/>
      <c r="CL20" s="179"/>
    </row>
    <row r="21" spans="1:92" s="6" customFormat="1" ht="70.5" customHeight="1" x14ac:dyDescent="0.25">
      <c r="A21" s="5">
        <v>233</v>
      </c>
      <c r="B21" s="125" t="s">
        <v>230</v>
      </c>
      <c r="C21" s="78" t="s">
        <v>231</v>
      </c>
      <c r="D21" s="5" t="s">
        <v>156</v>
      </c>
      <c r="E21" s="58">
        <v>2106</v>
      </c>
      <c r="F21" s="5">
        <v>9881916750</v>
      </c>
      <c r="G21" s="5" t="s">
        <v>100</v>
      </c>
      <c r="H21" s="5" t="s">
        <v>122</v>
      </c>
      <c r="I21" s="5" t="s">
        <v>102</v>
      </c>
      <c r="J21" s="5" t="s">
        <v>123</v>
      </c>
      <c r="K21" s="5" t="s">
        <v>232</v>
      </c>
      <c r="L21" s="5" t="s">
        <v>105</v>
      </c>
      <c r="M21" s="55">
        <v>45699</v>
      </c>
      <c r="N21" s="68">
        <f t="shared" ca="1" si="0"/>
        <v>478</v>
      </c>
      <c r="O21" s="71" t="str">
        <f t="shared" ca="1" si="1"/>
        <v>1-2Y</v>
      </c>
      <c r="P21" s="132" t="s">
        <v>158</v>
      </c>
      <c r="Q21" s="5" t="s">
        <v>125</v>
      </c>
      <c r="R21" s="5" t="s">
        <v>108</v>
      </c>
      <c r="S21" s="111">
        <v>28</v>
      </c>
      <c r="T21" s="111">
        <v>80</v>
      </c>
      <c r="U21" s="111">
        <f t="shared" si="2"/>
        <v>108</v>
      </c>
      <c r="V21" s="5"/>
      <c r="W21" s="5" t="s">
        <v>109</v>
      </c>
      <c r="X21" s="5" t="s">
        <v>109</v>
      </c>
      <c r="Y21" s="131"/>
      <c r="Z21" s="5" t="s">
        <v>111</v>
      </c>
      <c r="AA21" s="5"/>
      <c r="AB21" s="5"/>
      <c r="AC21" s="5"/>
      <c r="AD21" s="248">
        <f t="shared" si="6"/>
        <v>46143</v>
      </c>
      <c r="AE21" s="248">
        <f t="shared" si="7"/>
        <v>46174</v>
      </c>
      <c r="AF21" s="5" t="s">
        <v>109</v>
      </c>
      <c r="AG21" s="5" t="s">
        <v>111</v>
      </c>
      <c r="AH21" s="5" t="s">
        <v>111</v>
      </c>
      <c r="AI21" s="5" t="s">
        <v>115</v>
      </c>
      <c r="AJ21" s="5" t="s">
        <v>115</v>
      </c>
      <c r="AK21" s="5" t="s">
        <v>181</v>
      </c>
      <c r="AL21" s="7">
        <v>46143</v>
      </c>
      <c r="AM21" s="5" t="s">
        <v>109</v>
      </c>
      <c r="AN21" s="5" t="s">
        <v>109</v>
      </c>
      <c r="AO21" s="5" t="s">
        <v>182</v>
      </c>
      <c r="AP21" s="5" t="s">
        <v>171</v>
      </c>
      <c r="AQ21" s="5"/>
      <c r="AR21" s="78" t="s">
        <v>233</v>
      </c>
      <c r="AS21" s="248">
        <v>46174</v>
      </c>
      <c r="AT21" s="5" t="s">
        <v>109</v>
      </c>
      <c r="AU21" s="5" t="s">
        <v>109</v>
      </c>
      <c r="AV21" s="5" t="s">
        <v>111</v>
      </c>
      <c r="AW21" s="5" t="s">
        <v>111</v>
      </c>
      <c r="AX21" s="5" t="s">
        <v>109</v>
      </c>
      <c r="AY21" s="5" t="s">
        <v>114</v>
      </c>
      <c r="AZ21" s="5" t="s">
        <v>130</v>
      </c>
      <c r="BA21" s="5" t="s">
        <v>114</v>
      </c>
      <c r="BB21" s="5" t="s">
        <v>130</v>
      </c>
      <c r="BC21" s="5" t="s">
        <v>111</v>
      </c>
      <c r="BD21" s="5" t="s">
        <v>111</v>
      </c>
      <c r="BE21" s="5" t="s">
        <v>114</v>
      </c>
      <c r="BF21" s="5" t="s">
        <v>114</v>
      </c>
      <c r="BG21" s="132" t="s">
        <v>234</v>
      </c>
      <c r="BH21" s="132" t="s">
        <v>109</v>
      </c>
      <c r="BI21" s="235">
        <v>46174</v>
      </c>
      <c r="BJ21" s="248">
        <v>46174</v>
      </c>
      <c r="BK21" s="5" t="s">
        <v>109</v>
      </c>
      <c r="BL21" s="5" t="s">
        <v>114</v>
      </c>
      <c r="BM21" s="5" t="s">
        <v>111</v>
      </c>
      <c r="BN21" s="5" t="s">
        <v>111</v>
      </c>
      <c r="BO21" s="5" t="s">
        <v>115</v>
      </c>
      <c r="BP21" s="5"/>
      <c r="BQ21" s="5"/>
      <c r="BR21" s="5"/>
      <c r="BS21" s="5"/>
      <c r="BT21" s="5"/>
      <c r="BU21" s="5"/>
      <c r="BV21" s="5"/>
      <c r="BW21" s="5" t="s">
        <v>184</v>
      </c>
      <c r="BX21" s="5"/>
      <c r="BY21" s="5"/>
      <c r="BZ21" s="5"/>
      <c r="CA21" s="5"/>
      <c r="CB21" s="179" t="s">
        <v>118</v>
      </c>
      <c r="CC21" s="179" t="s">
        <v>109</v>
      </c>
      <c r="CD21" s="5" t="s">
        <v>109</v>
      </c>
      <c r="CE21" s="5"/>
      <c r="CF21" s="179"/>
      <c r="CG21" s="179"/>
      <c r="CH21" s="199"/>
      <c r="CI21" s="179" t="str">
        <f t="shared" si="3"/>
        <v>Feb'25</v>
      </c>
      <c r="CJ21" s="179" t="s">
        <v>132</v>
      </c>
      <c r="CK21" s="179" t="s">
        <v>109</v>
      </c>
      <c r="CL21" s="179" t="s">
        <v>109</v>
      </c>
      <c r="CM21" s="8" t="s">
        <v>235</v>
      </c>
    </row>
    <row r="22" spans="1:92" s="6" customFormat="1" ht="58.5" customHeight="1" x14ac:dyDescent="0.25">
      <c r="A22" s="5">
        <v>253</v>
      </c>
      <c r="B22" s="125" t="s">
        <v>236</v>
      </c>
      <c r="C22" s="78" t="s">
        <v>237</v>
      </c>
      <c r="D22" s="5" t="s">
        <v>220</v>
      </c>
      <c r="E22" s="58">
        <v>1783</v>
      </c>
      <c r="F22" s="5">
        <v>9921224142</v>
      </c>
      <c r="G22" s="5" t="s">
        <v>169</v>
      </c>
      <c r="H22" s="5" t="s">
        <v>122</v>
      </c>
      <c r="I22" s="5" t="s">
        <v>143</v>
      </c>
      <c r="J22" s="5" t="s">
        <v>144</v>
      </c>
      <c r="K22" s="5" t="s">
        <v>238</v>
      </c>
      <c r="L22" s="5" t="s">
        <v>105</v>
      </c>
      <c r="M22" s="55">
        <v>45964</v>
      </c>
      <c r="N22" s="68">
        <f t="shared" ca="1" si="0"/>
        <v>213</v>
      </c>
      <c r="O22" s="71" t="str">
        <f t="shared" ca="1" si="1"/>
        <v>6-12M</v>
      </c>
      <c r="P22" s="132" t="s">
        <v>239</v>
      </c>
      <c r="Q22" s="5" t="s">
        <v>125</v>
      </c>
      <c r="R22" s="5" t="s">
        <v>108</v>
      </c>
      <c r="S22" s="111">
        <v>30</v>
      </c>
      <c r="T22" s="111">
        <v>77</v>
      </c>
      <c r="U22" s="111">
        <f t="shared" si="2"/>
        <v>107</v>
      </c>
      <c r="V22" s="5"/>
      <c r="W22" s="5" t="s">
        <v>109</v>
      </c>
      <c r="X22" s="5" t="s">
        <v>109</v>
      </c>
      <c r="Y22" s="131"/>
      <c r="Z22" s="5" t="s">
        <v>111</v>
      </c>
      <c r="AA22" s="5"/>
      <c r="AB22" s="5"/>
      <c r="AC22" s="5" t="s">
        <v>109</v>
      </c>
      <c r="AD22" s="248">
        <f t="shared" si="6"/>
        <v>46143</v>
      </c>
      <c r="AE22" s="248">
        <f t="shared" si="7"/>
        <v>46174</v>
      </c>
      <c r="AF22" s="5" t="s">
        <v>109</v>
      </c>
      <c r="AG22" s="5" t="s">
        <v>111</v>
      </c>
      <c r="AH22" s="5" t="s">
        <v>111</v>
      </c>
      <c r="AI22" s="5" t="s">
        <v>115</v>
      </c>
      <c r="AJ22" s="5" t="s">
        <v>115</v>
      </c>
      <c r="AK22" s="5" t="s">
        <v>112</v>
      </c>
      <c r="AL22" s="7">
        <v>46143</v>
      </c>
      <c r="AM22" s="5" t="s">
        <v>109</v>
      </c>
      <c r="AN22" s="5" t="s">
        <v>109</v>
      </c>
      <c r="AO22" s="5" t="s">
        <v>110</v>
      </c>
      <c r="AP22" s="5" t="s">
        <v>109</v>
      </c>
      <c r="AQ22" s="5">
        <v>4338612</v>
      </c>
      <c r="AR22" s="78"/>
      <c r="AS22" s="248">
        <v>46174</v>
      </c>
      <c r="AT22" s="5" t="s">
        <v>109</v>
      </c>
      <c r="AU22" s="5" t="s">
        <v>223</v>
      </c>
      <c r="AV22" s="5" t="s">
        <v>111</v>
      </c>
      <c r="AW22" s="5" t="s">
        <v>240</v>
      </c>
      <c r="AX22" s="5" t="s">
        <v>109</v>
      </c>
      <c r="AY22" s="5" t="s">
        <v>109</v>
      </c>
      <c r="AZ22" s="5" t="s">
        <v>223</v>
      </c>
      <c r="BA22" s="5" t="s">
        <v>223</v>
      </c>
      <c r="BB22" s="5" t="s">
        <v>173</v>
      </c>
      <c r="BC22" s="5" t="s">
        <v>109</v>
      </c>
      <c r="BD22" s="5" t="s">
        <v>109</v>
      </c>
      <c r="BE22" s="5" t="s">
        <v>111</v>
      </c>
      <c r="BF22" s="5" t="s">
        <v>111</v>
      </c>
      <c r="BG22" s="132" t="s">
        <v>114</v>
      </c>
      <c r="BH22" s="132" t="s">
        <v>90</v>
      </c>
      <c r="BI22" s="248">
        <v>46167</v>
      </c>
      <c r="BJ22" s="248">
        <v>46199</v>
      </c>
      <c r="BK22" s="5" t="s">
        <v>109</v>
      </c>
      <c r="BL22" s="5" t="s">
        <v>114</v>
      </c>
      <c r="BM22" s="5"/>
      <c r="BN22" s="5" t="s">
        <v>181</v>
      </c>
      <c r="BO22" s="5"/>
      <c r="BP22" s="5"/>
      <c r="BQ22" s="5"/>
      <c r="BR22" s="5"/>
      <c r="BS22" s="5"/>
      <c r="BT22" s="5"/>
      <c r="BU22" s="5"/>
      <c r="BV22" s="5"/>
      <c r="BW22" s="5" t="s">
        <v>184</v>
      </c>
      <c r="BX22" s="5"/>
      <c r="BY22" s="5"/>
      <c r="BZ22" s="5"/>
      <c r="CA22" s="5"/>
      <c r="CB22" s="179" t="s">
        <v>118</v>
      </c>
      <c r="CC22" s="179" t="s">
        <v>109</v>
      </c>
      <c r="CD22" s="5" t="s">
        <v>109</v>
      </c>
      <c r="CE22" s="5"/>
      <c r="CF22" s="179"/>
      <c r="CG22" s="179"/>
      <c r="CH22" s="199"/>
      <c r="CI22" s="179" t="str">
        <f t="shared" si="3"/>
        <v>Nov'25</v>
      </c>
      <c r="CJ22" s="179" t="s">
        <v>132</v>
      </c>
      <c r="CK22" s="179" t="s">
        <v>109</v>
      </c>
      <c r="CL22" s="179" t="s">
        <v>109</v>
      </c>
    </row>
    <row r="23" spans="1:92" s="6" customFormat="1" ht="46.5" customHeight="1" x14ac:dyDescent="0.25">
      <c r="A23" s="5">
        <v>120</v>
      </c>
      <c r="B23" s="125" t="s">
        <v>241</v>
      </c>
      <c r="C23" s="78" t="s">
        <v>242</v>
      </c>
      <c r="D23" s="5" t="s">
        <v>195</v>
      </c>
      <c r="E23" s="58">
        <v>1881</v>
      </c>
      <c r="F23" s="5">
        <v>9260271806</v>
      </c>
      <c r="G23" s="5" t="s">
        <v>142</v>
      </c>
      <c r="H23" s="5" t="s">
        <v>122</v>
      </c>
      <c r="I23" s="5" t="s">
        <v>143</v>
      </c>
      <c r="J23" s="5" t="s">
        <v>144</v>
      </c>
      <c r="K23" s="5" t="s">
        <v>243</v>
      </c>
      <c r="L23" s="5" t="s">
        <v>105</v>
      </c>
      <c r="M23" s="55">
        <v>45315</v>
      </c>
      <c r="N23" s="68">
        <f t="shared" ca="1" si="0"/>
        <v>862</v>
      </c>
      <c r="O23" s="71" t="str">
        <f t="shared" ca="1" si="1"/>
        <v>2-3Y</v>
      </c>
      <c r="P23" s="132" t="s">
        <v>158</v>
      </c>
      <c r="Q23" s="5" t="s">
        <v>192</v>
      </c>
      <c r="R23" s="5" t="s">
        <v>108</v>
      </c>
      <c r="S23" s="111">
        <v>40</v>
      </c>
      <c r="T23" s="111">
        <v>120</v>
      </c>
      <c r="U23" s="111">
        <f t="shared" si="2"/>
        <v>160</v>
      </c>
      <c r="V23" s="5"/>
      <c r="W23" s="5" t="s">
        <v>109</v>
      </c>
      <c r="X23" s="5" t="s">
        <v>109</v>
      </c>
      <c r="Y23" s="131" t="str">
        <f>+AP23</f>
        <v>Yes</v>
      </c>
      <c r="Z23" s="5" t="s">
        <v>111</v>
      </c>
      <c r="AA23" s="5"/>
      <c r="AB23" s="5"/>
      <c r="AC23" s="5"/>
      <c r="AD23" s="248">
        <f t="shared" si="6"/>
        <v>46174</v>
      </c>
      <c r="AE23" s="248">
        <f t="shared" si="7"/>
        <v>46204</v>
      </c>
      <c r="AF23" s="5" t="s">
        <v>109</v>
      </c>
      <c r="AG23" s="5" t="s">
        <v>111</v>
      </c>
      <c r="AH23" s="5" t="s">
        <v>111</v>
      </c>
      <c r="AI23" s="5" t="s">
        <v>115</v>
      </c>
      <c r="AJ23" s="5" t="s">
        <v>115</v>
      </c>
      <c r="AK23" s="5" t="s">
        <v>181</v>
      </c>
      <c r="AL23" s="7">
        <v>46174</v>
      </c>
      <c r="AM23" s="5"/>
      <c r="AN23" s="5" t="s">
        <v>109</v>
      </c>
      <c r="AO23" s="5" t="s">
        <v>110</v>
      </c>
      <c r="AP23" s="5" t="s">
        <v>109</v>
      </c>
      <c r="AQ23" s="5">
        <v>4337686</v>
      </c>
      <c r="AR23" s="78"/>
      <c r="AS23" s="248">
        <v>46204</v>
      </c>
      <c r="AT23" s="5" t="s">
        <v>109</v>
      </c>
      <c r="AU23" s="5" t="s">
        <v>109</v>
      </c>
      <c r="AV23" s="78" t="s">
        <v>111</v>
      </c>
      <c r="AW23" s="5" t="s">
        <v>111</v>
      </c>
      <c r="AX23" s="5" t="s">
        <v>109</v>
      </c>
      <c r="AY23" s="5" t="s">
        <v>198</v>
      </c>
      <c r="AZ23" s="5" t="s">
        <v>130</v>
      </c>
      <c r="BA23" s="5" t="s">
        <v>198</v>
      </c>
      <c r="BB23" s="5" t="s">
        <v>130</v>
      </c>
      <c r="BC23" s="5" t="s">
        <v>199</v>
      </c>
      <c r="BD23" s="5" t="s">
        <v>111</v>
      </c>
      <c r="BE23" s="5" t="s">
        <v>199</v>
      </c>
      <c r="BF23" s="5" t="s">
        <v>199</v>
      </c>
      <c r="BG23" s="132" t="s">
        <v>114</v>
      </c>
      <c r="BH23" s="132" t="s">
        <v>90</v>
      </c>
      <c r="BI23" s="7">
        <v>46234</v>
      </c>
      <c r="BJ23" s="7">
        <v>46265</v>
      </c>
      <c r="BK23" s="5" t="s">
        <v>109</v>
      </c>
      <c r="BL23" s="5" t="s">
        <v>244</v>
      </c>
      <c r="BM23" s="5" t="s">
        <v>111</v>
      </c>
      <c r="BN23" s="5" t="s">
        <v>111</v>
      </c>
      <c r="BO23" s="5" t="s">
        <v>115</v>
      </c>
      <c r="BP23" s="5"/>
      <c r="BQ23" s="5"/>
      <c r="BR23" s="5"/>
      <c r="BS23" s="5"/>
      <c r="BT23" s="5"/>
      <c r="BU23" s="5"/>
      <c r="BV23" s="5"/>
      <c r="BW23" s="5" t="s">
        <v>184</v>
      </c>
      <c r="BX23" s="5"/>
      <c r="BY23" s="5"/>
      <c r="BZ23" s="5"/>
      <c r="CA23" s="5"/>
      <c r="CB23" s="179" t="s">
        <v>118</v>
      </c>
      <c r="CC23" s="179" t="s">
        <v>109</v>
      </c>
      <c r="CD23" s="5" t="s">
        <v>109</v>
      </c>
      <c r="CE23" s="5"/>
      <c r="CF23" s="179"/>
      <c r="CG23" s="179"/>
      <c r="CH23" s="199"/>
      <c r="CI23" s="179" t="str">
        <f t="shared" si="3"/>
        <v>Jan'24</v>
      </c>
      <c r="CJ23" s="179" t="s">
        <v>192</v>
      </c>
      <c r="CK23" s="179" t="s">
        <v>109</v>
      </c>
      <c r="CL23" s="179" t="s">
        <v>109</v>
      </c>
    </row>
    <row r="24" spans="1:92" s="6" customFormat="1" ht="76.5" customHeight="1" x14ac:dyDescent="0.25">
      <c r="A24" s="5">
        <v>195</v>
      </c>
      <c r="B24" s="207" t="s">
        <v>245</v>
      </c>
      <c r="C24" s="78" t="s">
        <v>246</v>
      </c>
      <c r="D24" s="5" t="s">
        <v>150</v>
      </c>
      <c r="E24" s="58">
        <v>1949</v>
      </c>
      <c r="F24" s="5">
        <v>9881999678</v>
      </c>
      <c r="G24" s="5" t="s">
        <v>101</v>
      </c>
      <c r="H24" s="5" t="s">
        <v>122</v>
      </c>
      <c r="I24" s="5" t="s">
        <v>143</v>
      </c>
      <c r="J24" s="5" t="s">
        <v>144</v>
      </c>
      <c r="K24" s="5" t="s">
        <v>247</v>
      </c>
      <c r="L24" s="5" t="s">
        <v>105</v>
      </c>
      <c r="M24" s="55">
        <v>45462</v>
      </c>
      <c r="N24" s="68">
        <f t="shared" ca="1" si="0"/>
        <v>715</v>
      </c>
      <c r="O24" s="71" t="str">
        <f t="shared" ca="1" si="1"/>
        <v>1-2Y</v>
      </c>
      <c r="P24" s="132" t="s">
        <v>106</v>
      </c>
      <c r="Q24" s="5" t="s">
        <v>125</v>
      </c>
      <c r="R24" s="5" t="s">
        <v>164</v>
      </c>
      <c r="S24" s="111">
        <v>150</v>
      </c>
      <c r="T24" s="111">
        <v>50</v>
      </c>
      <c r="U24" s="111">
        <f t="shared" si="2"/>
        <v>200</v>
      </c>
      <c r="V24" s="5"/>
      <c r="W24" s="5" t="s">
        <v>109</v>
      </c>
      <c r="X24" s="5" t="s">
        <v>109</v>
      </c>
      <c r="Y24" s="131" t="str">
        <f>+AP24</f>
        <v>Yes</v>
      </c>
      <c r="Z24" s="5" t="s">
        <v>111</v>
      </c>
      <c r="AA24" s="5" t="s">
        <v>109</v>
      </c>
      <c r="AB24" s="5" t="s">
        <v>109</v>
      </c>
      <c r="AC24" s="5"/>
      <c r="AD24" s="248">
        <v>46204</v>
      </c>
      <c r="AE24" s="248">
        <v>46204</v>
      </c>
      <c r="AF24" s="5" t="s">
        <v>109</v>
      </c>
      <c r="AG24" s="5"/>
      <c r="AH24" s="5"/>
      <c r="AI24" s="5" t="s">
        <v>115</v>
      </c>
      <c r="AJ24" s="5" t="s">
        <v>115</v>
      </c>
      <c r="AK24" s="5" t="s">
        <v>222</v>
      </c>
      <c r="AL24" s="7">
        <v>46539</v>
      </c>
      <c r="AM24" s="5"/>
      <c r="AN24" s="5" t="s">
        <v>109</v>
      </c>
      <c r="AO24" s="5" t="s">
        <v>110</v>
      </c>
      <c r="AP24" s="5" t="s">
        <v>109</v>
      </c>
      <c r="AQ24" s="5">
        <v>4337491</v>
      </c>
      <c r="AR24" s="78" t="s">
        <v>248</v>
      </c>
      <c r="AS24" s="248">
        <f>+AL24+31</f>
        <v>46570</v>
      </c>
      <c r="AT24" s="5" t="s">
        <v>109</v>
      </c>
      <c r="AU24" s="5" t="s">
        <v>109</v>
      </c>
      <c r="AV24" s="78" t="s">
        <v>249</v>
      </c>
      <c r="AW24" s="5" t="s">
        <v>111</v>
      </c>
      <c r="AX24" s="5" t="s">
        <v>109</v>
      </c>
      <c r="AY24" s="5" t="s">
        <v>114</v>
      </c>
      <c r="AZ24" s="5" t="s">
        <v>114</v>
      </c>
      <c r="BA24" s="5" t="s">
        <v>114</v>
      </c>
      <c r="BB24" s="5" t="s">
        <v>115</v>
      </c>
      <c r="BC24" s="5" t="s">
        <v>114</v>
      </c>
      <c r="BD24" s="5" t="s">
        <v>114</v>
      </c>
      <c r="BE24" s="5" t="s">
        <v>111</v>
      </c>
      <c r="BF24" s="5" t="s">
        <v>111</v>
      </c>
      <c r="BG24" s="132" t="s">
        <v>114</v>
      </c>
      <c r="BH24" s="58" t="s">
        <v>109</v>
      </c>
      <c r="BI24" s="7">
        <v>46266</v>
      </c>
      <c r="BJ24" s="7">
        <v>46266</v>
      </c>
      <c r="BK24" s="5" t="s">
        <v>109</v>
      </c>
      <c r="BL24" s="5" t="s">
        <v>114</v>
      </c>
      <c r="BM24" s="5" t="s">
        <v>111</v>
      </c>
      <c r="BN24" s="5" t="s">
        <v>111</v>
      </c>
      <c r="BO24" s="5" t="s">
        <v>115</v>
      </c>
      <c r="BP24" s="5"/>
      <c r="BQ24" s="5"/>
      <c r="BR24" s="5"/>
      <c r="BS24" s="5"/>
      <c r="BT24" s="5"/>
      <c r="BU24" s="5"/>
      <c r="BV24" s="5"/>
      <c r="BW24" s="5" t="s">
        <v>184</v>
      </c>
      <c r="BX24" s="5"/>
      <c r="BY24" s="5"/>
      <c r="BZ24" s="5"/>
      <c r="CA24" s="5"/>
      <c r="CB24" s="179" t="s">
        <v>118</v>
      </c>
      <c r="CC24" s="179" t="s">
        <v>109</v>
      </c>
      <c r="CD24" s="5"/>
      <c r="CE24" s="5"/>
      <c r="CF24" s="179"/>
      <c r="CG24" s="179"/>
      <c r="CH24" s="199"/>
      <c r="CI24" s="179" t="str">
        <f t="shared" si="3"/>
        <v>Jun'24</v>
      </c>
      <c r="CJ24" s="179" t="s">
        <v>132</v>
      </c>
      <c r="CK24" s="179"/>
      <c r="CL24" s="179" t="s">
        <v>109</v>
      </c>
      <c r="CM24" s="192"/>
      <c r="CN24" s="192"/>
    </row>
    <row r="25" spans="1:92" s="6" customFormat="1" ht="68.25" customHeight="1" x14ac:dyDescent="0.25">
      <c r="A25" s="5">
        <v>208</v>
      </c>
      <c r="B25" s="125" t="s">
        <v>250</v>
      </c>
      <c r="C25" s="78" t="s">
        <v>251</v>
      </c>
      <c r="D25" s="5" t="s">
        <v>156</v>
      </c>
      <c r="E25" s="58">
        <v>1837</v>
      </c>
      <c r="F25" s="5">
        <v>9763122772</v>
      </c>
      <c r="G25" s="5" t="s">
        <v>169</v>
      </c>
      <c r="H25" s="5" t="s">
        <v>122</v>
      </c>
      <c r="I25" s="5" t="s">
        <v>143</v>
      </c>
      <c r="J25" s="5" t="s">
        <v>144</v>
      </c>
      <c r="K25" s="5" t="s">
        <v>252</v>
      </c>
      <c r="L25" s="5" t="s">
        <v>105</v>
      </c>
      <c r="M25" s="55">
        <v>45479</v>
      </c>
      <c r="N25" s="68">
        <f t="shared" ca="1" si="0"/>
        <v>698</v>
      </c>
      <c r="O25" s="71" t="str">
        <f t="shared" ca="1" si="1"/>
        <v>1-2Y</v>
      </c>
      <c r="P25" s="132" t="s">
        <v>158</v>
      </c>
      <c r="Q25" s="5" t="s">
        <v>192</v>
      </c>
      <c r="R25" s="5" t="s">
        <v>108</v>
      </c>
      <c r="S25" s="111">
        <v>30</v>
      </c>
      <c r="T25" s="111">
        <v>70</v>
      </c>
      <c r="U25" s="111">
        <f t="shared" si="2"/>
        <v>100</v>
      </c>
      <c r="V25" s="5"/>
      <c r="W25" s="5" t="s">
        <v>109</v>
      </c>
      <c r="X25" s="5" t="s">
        <v>109</v>
      </c>
      <c r="Y25" s="131" t="str">
        <f>+AP25</f>
        <v>Yes</v>
      </c>
      <c r="Z25" s="5" t="s">
        <v>111</v>
      </c>
      <c r="AA25" s="5"/>
      <c r="AB25" s="5"/>
      <c r="AC25" s="5"/>
      <c r="AD25" s="248">
        <f>+AL25</f>
        <v>46174</v>
      </c>
      <c r="AE25" s="248">
        <f>+AS25</f>
        <v>46204</v>
      </c>
      <c r="AF25" s="5" t="s">
        <v>109</v>
      </c>
      <c r="AG25" s="5" t="s">
        <v>111</v>
      </c>
      <c r="AH25" s="5" t="s">
        <v>111</v>
      </c>
      <c r="AI25" s="5" t="s">
        <v>115</v>
      </c>
      <c r="AJ25" s="5" t="s">
        <v>115</v>
      </c>
      <c r="AK25" s="5" t="s">
        <v>181</v>
      </c>
      <c r="AL25" s="7">
        <v>46174</v>
      </c>
      <c r="AM25" s="5" t="s">
        <v>109</v>
      </c>
      <c r="AN25" s="5" t="s">
        <v>109</v>
      </c>
      <c r="AO25" s="5" t="s">
        <v>110</v>
      </c>
      <c r="AP25" s="5" t="s">
        <v>109</v>
      </c>
      <c r="AQ25" s="5">
        <v>4337805</v>
      </c>
      <c r="AR25" s="78"/>
      <c r="AS25" s="248">
        <v>46204</v>
      </c>
      <c r="AT25" s="5" t="s">
        <v>109</v>
      </c>
      <c r="AU25" s="5" t="s">
        <v>109</v>
      </c>
      <c r="AV25" s="5" t="s">
        <v>111</v>
      </c>
      <c r="AW25" s="5" t="s">
        <v>111</v>
      </c>
      <c r="AX25" s="5" t="s">
        <v>109</v>
      </c>
      <c r="AY25" s="5" t="s">
        <v>114</v>
      </c>
      <c r="AZ25" s="5" t="s">
        <v>109</v>
      </c>
      <c r="BA25" s="5" t="s">
        <v>114</v>
      </c>
      <c r="BB25" s="5" t="s">
        <v>253</v>
      </c>
      <c r="BC25" s="5" t="s">
        <v>111</v>
      </c>
      <c r="BD25" s="5" t="s">
        <v>111</v>
      </c>
      <c r="BE25" s="5" t="s">
        <v>114</v>
      </c>
      <c r="BF25" s="5" t="s">
        <v>114</v>
      </c>
      <c r="BG25" s="132" t="s">
        <v>114</v>
      </c>
      <c r="BH25" s="132" t="s">
        <v>171</v>
      </c>
      <c r="BI25" s="7">
        <v>46291</v>
      </c>
      <c r="BJ25" s="7">
        <v>46321</v>
      </c>
      <c r="BK25" s="5" t="s">
        <v>109</v>
      </c>
      <c r="BL25" s="5" t="s">
        <v>114</v>
      </c>
      <c r="BM25" s="5" t="s">
        <v>111</v>
      </c>
      <c r="BN25" s="5" t="s">
        <v>111</v>
      </c>
      <c r="BO25" s="5" t="s">
        <v>115</v>
      </c>
      <c r="BP25" s="5"/>
      <c r="BQ25" s="5"/>
      <c r="BR25" s="5"/>
      <c r="BS25" s="5"/>
      <c r="BT25" s="5"/>
      <c r="BU25" s="5"/>
      <c r="BV25" s="5"/>
      <c r="BW25" s="5" t="s">
        <v>184</v>
      </c>
      <c r="BX25" s="5"/>
      <c r="BY25" s="5"/>
      <c r="BZ25" s="5"/>
      <c r="CA25" s="5"/>
      <c r="CB25" s="179" t="s">
        <v>118</v>
      </c>
      <c r="CC25" s="179" t="s">
        <v>109</v>
      </c>
      <c r="CD25" s="5" t="s">
        <v>109</v>
      </c>
      <c r="CE25" s="5"/>
      <c r="CF25" s="179"/>
      <c r="CG25" s="179"/>
      <c r="CH25" s="199"/>
      <c r="CI25" s="179" t="str">
        <f t="shared" si="3"/>
        <v>Jul'24</v>
      </c>
      <c r="CJ25" s="179" t="s">
        <v>192</v>
      </c>
      <c r="CK25" s="179" t="s">
        <v>109</v>
      </c>
      <c r="CL25" s="179" t="s">
        <v>109</v>
      </c>
    </row>
    <row r="26" spans="1:92" s="6" customFormat="1" ht="71.25" customHeight="1" x14ac:dyDescent="0.25">
      <c r="A26" s="5">
        <v>22</v>
      </c>
      <c r="B26" s="125" t="s">
        <v>254</v>
      </c>
      <c r="C26" s="78" t="s">
        <v>255</v>
      </c>
      <c r="D26" s="5" t="s">
        <v>141</v>
      </c>
      <c r="E26" s="58" t="s">
        <v>256</v>
      </c>
      <c r="F26" s="5">
        <v>9881321999</v>
      </c>
      <c r="G26" s="5" t="s">
        <v>142</v>
      </c>
      <c r="H26" s="5" t="s">
        <v>122</v>
      </c>
      <c r="I26" s="5" t="s">
        <v>143</v>
      </c>
      <c r="J26" s="5" t="s">
        <v>144</v>
      </c>
      <c r="K26" s="5" t="s">
        <v>257</v>
      </c>
      <c r="L26" s="5" t="s">
        <v>179</v>
      </c>
      <c r="M26" s="55">
        <v>43536</v>
      </c>
      <c r="N26" s="68">
        <f t="shared" ca="1" si="0"/>
        <v>2641</v>
      </c>
      <c r="O26" s="71" t="str">
        <f t="shared" ca="1" si="1"/>
        <v>&gt;5Y</v>
      </c>
      <c r="P26" s="132" t="s">
        <v>137</v>
      </c>
      <c r="Q26" s="5" t="s">
        <v>125</v>
      </c>
      <c r="R26" s="5" t="s">
        <v>164</v>
      </c>
      <c r="S26" s="111">
        <v>40</v>
      </c>
      <c r="T26" s="111">
        <v>110</v>
      </c>
      <c r="U26" s="111">
        <f t="shared" si="2"/>
        <v>150</v>
      </c>
      <c r="V26" s="5"/>
      <c r="W26" s="5" t="s">
        <v>109</v>
      </c>
      <c r="X26" s="5" t="s">
        <v>109</v>
      </c>
      <c r="Y26" s="131" t="str">
        <f>+AP26</f>
        <v>Yes</v>
      </c>
      <c r="Z26" s="5" t="s">
        <v>111</v>
      </c>
      <c r="AA26" s="5"/>
      <c r="AB26" s="5"/>
      <c r="AC26" s="5"/>
      <c r="AD26" s="248">
        <f>+AL26</f>
        <v>46204</v>
      </c>
      <c r="AE26" s="248">
        <f>+AS26</f>
        <v>46235</v>
      </c>
      <c r="AF26" s="5" t="s">
        <v>109</v>
      </c>
      <c r="AG26" s="5" t="s">
        <v>111</v>
      </c>
      <c r="AH26" s="5" t="s">
        <v>111</v>
      </c>
      <c r="AI26" s="5" t="s">
        <v>115</v>
      </c>
      <c r="AJ26" s="5" t="s">
        <v>115</v>
      </c>
      <c r="AK26" s="5" t="s">
        <v>181</v>
      </c>
      <c r="AL26" s="7">
        <v>46204</v>
      </c>
      <c r="AM26" s="5" t="s">
        <v>109</v>
      </c>
      <c r="AN26" s="5" t="s">
        <v>109</v>
      </c>
      <c r="AO26" s="5" t="s">
        <v>110</v>
      </c>
      <c r="AP26" s="5" t="s">
        <v>109</v>
      </c>
      <c r="AQ26" s="5"/>
      <c r="AR26" s="78" t="s">
        <v>258</v>
      </c>
      <c r="AS26" s="248">
        <v>46235</v>
      </c>
      <c r="AT26" s="5" t="s">
        <v>146</v>
      </c>
      <c r="AU26" s="5" t="s">
        <v>146</v>
      </c>
      <c r="AV26" s="78" t="s">
        <v>111</v>
      </c>
      <c r="AW26" s="78" t="s">
        <v>111</v>
      </c>
      <c r="AX26" s="5" t="s">
        <v>146</v>
      </c>
      <c r="AY26" s="5" t="s">
        <v>114</v>
      </c>
      <c r="AZ26" s="5" t="s">
        <v>114</v>
      </c>
      <c r="BA26" s="5" t="s">
        <v>130</v>
      </c>
      <c r="BB26" s="5" t="s">
        <v>130</v>
      </c>
      <c r="BC26" s="5" t="s">
        <v>114</v>
      </c>
      <c r="BD26" s="5" t="s">
        <v>111</v>
      </c>
      <c r="BE26" s="5" t="s">
        <v>111</v>
      </c>
      <c r="BF26" s="5" t="s">
        <v>111</v>
      </c>
      <c r="BG26" s="132" t="s">
        <v>259</v>
      </c>
      <c r="BH26" s="132" t="s">
        <v>90</v>
      </c>
      <c r="BI26" s="7">
        <v>46229</v>
      </c>
      <c r="BJ26" s="7">
        <v>46260</v>
      </c>
      <c r="BK26" s="5" t="s">
        <v>260</v>
      </c>
      <c r="BL26" s="5" t="s">
        <v>261</v>
      </c>
      <c r="BM26" s="5" t="s">
        <v>111</v>
      </c>
      <c r="BN26" s="5" t="s">
        <v>111</v>
      </c>
      <c r="BO26" s="5" t="s">
        <v>115</v>
      </c>
      <c r="BP26" s="5"/>
      <c r="BQ26" s="5"/>
      <c r="BR26" s="5"/>
      <c r="BS26" s="5"/>
      <c r="BT26" s="5"/>
      <c r="BU26" s="5"/>
      <c r="BV26" s="5"/>
      <c r="BW26" s="5" t="s">
        <v>184</v>
      </c>
      <c r="BX26" s="5"/>
      <c r="BY26" s="5"/>
      <c r="BZ26" s="5"/>
      <c r="CA26" s="5"/>
      <c r="CB26" s="179" t="s">
        <v>185</v>
      </c>
      <c r="CC26" s="179" t="s">
        <v>109</v>
      </c>
      <c r="CD26" s="5" t="s">
        <v>109</v>
      </c>
      <c r="CE26" s="5"/>
      <c r="CF26" s="179"/>
      <c r="CG26" s="179"/>
      <c r="CH26" s="199"/>
      <c r="CI26" s="179" t="str">
        <f t="shared" si="3"/>
        <v>Mar'19</v>
      </c>
      <c r="CJ26" s="179" t="s">
        <v>132</v>
      </c>
      <c r="CK26" s="179" t="s">
        <v>109</v>
      </c>
      <c r="CL26" s="179" t="s">
        <v>109</v>
      </c>
    </row>
    <row r="27" spans="1:92" s="6" customFormat="1" ht="60.95" customHeight="1" x14ac:dyDescent="0.25">
      <c r="A27" s="5">
        <v>74</v>
      </c>
      <c r="B27" s="125" t="s">
        <v>262</v>
      </c>
      <c r="C27" s="78" t="s">
        <v>263</v>
      </c>
      <c r="D27" s="5" t="s">
        <v>156</v>
      </c>
      <c r="E27" s="58">
        <v>2095</v>
      </c>
      <c r="F27" s="5">
        <v>9960927710</v>
      </c>
      <c r="G27" s="5" t="s">
        <v>100</v>
      </c>
      <c r="H27" s="5" t="s">
        <v>122</v>
      </c>
      <c r="I27" s="5" t="s">
        <v>102</v>
      </c>
      <c r="J27" s="5" t="s">
        <v>123</v>
      </c>
      <c r="K27" s="5" t="s">
        <v>264</v>
      </c>
      <c r="L27" s="5" t="s">
        <v>105</v>
      </c>
      <c r="M27" s="55">
        <v>45261</v>
      </c>
      <c r="N27" s="68">
        <f t="shared" ca="1" si="0"/>
        <v>916</v>
      </c>
      <c r="O27" s="71" t="str">
        <f t="shared" ca="1" si="1"/>
        <v>2-3Y</v>
      </c>
      <c r="P27" s="132" t="s">
        <v>158</v>
      </c>
      <c r="Q27" s="5" t="s">
        <v>125</v>
      </c>
      <c r="R27" s="5" t="s">
        <v>108</v>
      </c>
      <c r="S27" s="111">
        <v>38</v>
      </c>
      <c r="T27" s="111">
        <v>70</v>
      </c>
      <c r="U27" s="111">
        <f t="shared" si="2"/>
        <v>108</v>
      </c>
      <c r="V27" s="5"/>
      <c r="W27" s="5" t="s">
        <v>109</v>
      </c>
      <c r="X27" s="5" t="s">
        <v>109</v>
      </c>
      <c r="Y27" s="131"/>
      <c r="Z27" s="5" t="s">
        <v>111</v>
      </c>
      <c r="AA27" s="5"/>
      <c r="AB27" s="5"/>
      <c r="AC27" s="5"/>
      <c r="AD27" s="248">
        <f>+AL27</f>
        <v>46204</v>
      </c>
      <c r="AE27" s="248">
        <f>+AS27</f>
        <v>46235</v>
      </c>
      <c r="AF27" s="5" t="s">
        <v>109</v>
      </c>
      <c r="AG27" s="5" t="s">
        <v>111</v>
      </c>
      <c r="AH27" s="5" t="s">
        <v>111</v>
      </c>
      <c r="AI27" s="5" t="s">
        <v>115</v>
      </c>
      <c r="AJ27" s="5" t="s">
        <v>115</v>
      </c>
      <c r="AK27" s="5" t="s">
        <v>181</v>
      </c>
      <c r="AL27" s="7">
        <v>46204</v>
      </c>
      <c r="AM27" s="5" t="s">
        <v>109</v>
      </c>
      <c r="AN27" s="5" t="s">
        <v>109</v>
      </c>
      <c r="AO27" s="5" t="s">
        <v>265</v>
      </c>
      <c r="AP27" s="5" t="s">
        <v>171</v>
      </c>
      <c r="AQ27" s="5"/>
      <c r="AR27" s="78" t="s">
        <v>266</v>
      </c>
      <c r="AS27" s="248">
        <v>46235</v>
      </c>
      <c r="AT27" s="5" t="s">
        <v>109</v>
      </c>
      <c r="AU27" s="5" t="s">
        <v>109</v>
      </c>
      <c r="AV27" s="5" t="s">
        <v>111</v>
      </c>
      <c r="AW27" s="5" t="s">
        <v>111</v>
      </c>
      <c r="AX27" s="5" t="s">
        <v>109</v>
      </c>
      <c r="AY27" s="5" t="s">
        <v>114</v>
      </c>
      <c r="AZ27" s="5" t="s">
        <v>130</v>
      </c>
      <c r="BA27" s="5" t="s">
        <v>130</v>
      </c>
      <c r="BB27" s="5" t="s">
        <v>115</v>
      </c>
      <c r="BC27" s="5" t="s">
        <v>111</v>
      </c>
      <c r="BD27" s="5" t="s">
        <v>111</v>
      </c>
      <c r="BE27" s="5" t="s">
        <v>130</v>
      </c>
      <c r="BF27" s="5" t="s">
        <v>130</v>
      </c>
      <c r="BG27" s="132" t="s">
        <v>259</v>
      </c>
      <c r="BH27" s="132" t="s">
        <v>171</v>
      </c>
      <c r="BI27" s="7">
        <v>46291</v>
      </c>
      <c r="BJ27" s="7">
        <v>46321</v>
      </c>
      <c r="BK27" s="5" t="s">
        <v>109</v>
      </c>
      <c r="BL27" s="5" t="s">
        <v>244</v>
      </c>
      <c r="BM27" s="5" t="s">
        <v>111</v>
      </c>
      <c r="BN27" s="5" t="s">
        <v>111</v>
      </c>
      <c r="BO27" s="5" t="s">
        <v>115</v>
      </c>
      <c r="BP27" s="5"/>
      <c r="BQ27" s="5"/>
      <c r="BR27" s="5"/>
      <c r="BS27" s="5"/>
      <c r="BT27" s="5"/>
      <c r="BU27" s="5"/>
      <c r="BV27" s="5"/>
      <c r="BW27" s="5" t="s">
        <v>184</v>
      </c>
      <c r="BX27" s="5"/>
      <c r="BY27" s="5"/>
      <c r="BZ27" s="5"/>
      <c r="CA27" s="5"/>
      <c r="CB27" s="179" t="s">
        <v>118</v>
      </c>
      <c r="CC27" s="179" t="s">
        <v>109</v>
      </c>
      <c r="CD27" s="5" t="s">
        <v>109</v>
      </c>
      <c r="CE27" s="5"/>
      <c r="CF27" s="179"/>
      <c r="CG27" s="179"/>
      <c r="CH27" s="199"/>
      <c r="CI27" s="179" t="str">
        <f t="shared" si="3"/>
        <v>Dec'23</v>
      </c>
      <c r="CJ27" s="179" t="s">
        <v>132</v>
      </c>
      <c r="CK27" s="179" t="s">
        <v>109</v>
      </c>
      <c r="CL27" s="179" t="s">
        <v>109</v>
      </c>
    </row>
    <row r="28" spans="1:92" s="6" customFormat="1" ht="54.6" customHeight="1" x14ac:dyDescent="0.25">
      <c r="A28" s="5">
        <v>162</v>
      </c>
      <c r="B28" s="125" t="s">
        <v>267</v>
      </c>
      <c r="C28" s="78" t="s">
        <v>268</v>
      </c>
      <c r="D28" s="5" t="s">
        <v>141</v>
      </c>
      <c r="E28" s="58">
        <v>1608</v>
      </c>
      <c r="F28" s="5">
        <v>8805000393</v>
      </c>
      <c r="G28" s="5" t="s">
        <v>142</v>
      </c>
      <c r="H28" s="5" t="s">
        <v>122</v>
      </c>
      <c r="I28" s="5" t="s">
        <v>143</v>
      </c>
      <c r="J28" s="5" t="s">
        <v>144</v>
      </c>
      <c r="K28" s="5" t="s">
        <v>269</v>
      </c>
      <c r="L28" s="5" t="s">
        <v>105</v>
      </c>
      <c r="M28" s="55">
        <v>45458</v>
      </c>
      <c r="N28" s="68">
        <f t="shared" ca="1" si="0"/>
        <v>719</v>
      </c>
      <c r="O28" s="71" t="str">
        <f t="shared" ca="1" si="1"/>
        <v>1-2Y</v>
      </c>
      <c r="P28" s="132" t="s">
        <v>137</v>
      </c>
      <c r="Q28" s="5" t="s">
        <v>125</v>
      </c>
      <c r="R28" s="5" t="s">
        <v>108</v>
      </c>
      <c r="S28" s="111">
        <v>80</v>
      </c>
      <c r="T28" s="111">
        <v>90</v>
      </c>
      <c r="U28" s="111">
        <f t="shared" si="2"/>
        <v>170</v>
      </c>
      <c r="V28" s="5"/>
      <c r="W28" s="5" t="s">
        <v>109</v>
      </c>
      <c r="X28" s="5" t="s">
        <v>109</v>
      </c>
      <c r="Y28" s="131">
        <f>+IF(AO28="Approved","Yes",AS28)</f>
        <v>46235</v>
      </c>
      <c r="Z28" s="5" t="s">
        <v>111</v>
      </c>
      <c r="AA28" s="5"/>
      <c r="AB28" s="5"/>
      <c r="AC28" s="5"/>
      <c r="AD28" s="248">
        <f>+AL28</f>
        <v>46204</v>
      </c>
      <c r="AE28" s="248">
        <f>+AS28</f>
        <v>46235</v>
      </c>
      <c r="AF28" s="5" t="s">
        <v>109</v>
      </c>
      <c r="AG28" s="5" t="s">
        <v>111</v>
      </c>
      <c r="AH28" s="5" t="s">
        <v>111</v>
      </c>
      <c r="AI28" s="5" t="s">
        <v>115</v>
      </c>
      <c r="AJ28" s="5" t="s">
        <v>115</v>
      </c>
      <c r="AK28" s="5" t="s">
        <v>181</v>
      </c>
      <c r="AL28" s="7">
        <v>46204</v>
      </c>
      <c r="AM28" s="5" t="s">
        <v>109</v>
      </c>
      <c r="AN28" s="5" t="s">
        <v>109</v>
      </c>
      <c r="AO28" s="5" t="s">
        <v>265</v>
      </c>
      <c r="AP28" s="5" t="s">
        <v>171</v>
      </c>
      <c r="AQ28" s="5"/>
      <c r="AR28" s="78" t="s">
        <v>258</v>
      </c>
      <c r="AS28" s="248">
        <v>46235</v>
      </c>
      <c r="AT28" s="5" t="s">
        <v>146</v>
      </c>
      <c r="AU28" s="5" t="s">
        <v>146</v>
      </c>
      <c r="AV28" s="78" t="s">
        <v>111</v>
      </c>
      <c r="AW28" s="78" t="s">
        <v>111</v>
      </c>
      <c r="AX28" s="5" t="s">
        <v>146</v>
      </c>
      <c r="AY28" s="5" t="s">
        <v>114</v>
      </c>
      <c r="AZ28" s="5" t="s">
        <v>130</v>
      </c>
      <c r="BA28" s="5" t="s">
        <v>114</v>
      </c>
      <c r="BB28" s="5" t="s">
        <v>130</v>
      </c>
      <c r="BC28" s="5" t="s">
        <v>114</v>
      </c>
      <c r="BD28" s="5" t="s">
        <v>111</v>
      </c>
      <c r="BE28" s="5" t="s">
        <v>111</v>
      </c>
      <c r="BF28" s="5" t="s">
        <v>111</v>
      </c>
      <c r="BG28" s="132" t="s">
        <v>234</v>
      </c>
      <c r="BH28" s="132" t="s">
        <v>90</v>
      </c>
      <c r="BI28" s="7">
        <v>46229</v>
      </c>
      <c r="BJ28" s="7">
        <v>46260</v>
      </c>
      <c r="BK28" s="5" t="s">
        <v>109</v>
      </c>
      <c r="BL28" s="5" t="s">
        <v>114</v>
      </c>
      <c r="BM28" s="5" t="s">
        <v>111</v>
      </c>
      <c r="BN28" s="5" t="s">
        <v>111</v>
      </c>
      <c r="BO28" s="5" t="s">
        <v>115</v>
      </c>
      <c r="BP28" s="5"/>
      <c r="BQ28" s="5"/>
      <c r="BR28" s="5"/>
      <c r="BS28" s="5"/>
      <c r="BT28" s="5"/>
      <c r="BU28" s="5"/>
      <c r="BV28" s="5"/>
      <c r="BW28" s="5" t="s">
        <v>184</v>
      </c>
      <c r="BX28" s="5"/>
      <c r="BY28" s="5"/>
      <c r="BZ28" s="5" t="s">
        <v>270</v>
      </c>
      <c r="CA28" s="5"/>
      <c r="CB28" s="179" t="s">
        <v>118</v>
      </c>
      <c r="CC28" s="179" t="s">
        <v>109</v>
      </c>
      <c r="CD28" s="5" t="s">
        <v>109</v>
      </c>
      <c r="CE28" s="5"/>
      <c r="CF28" s="179"/>
      <c r="CG28" s="179"/>
      <c r="CH28" s="199"/>
      <c r="CI28" s="179" t="str">
        <f t="shared" si="3"/>
        <v>Jun'24</v>
      </c>
      <c r="CJ28" s="179" t="s">
        <v>132</v>
      </c>
      <c r="CK28" s="179" t="s">
        <v>109</v>
      </c>
      <c r="CL28" s="179" t="s">
        <v>109</v>
      </c>
    </row>
    <row r="29" spans="1:92" s="6" customFormat="1" ht="72" customHeight="1" x14ac:dyDescent="0.25">
      <c r="A29" s="5">
        <v>201</v>
      </c>
      <c r="B29" s="125" t="s">
        <v>271</v>
      </c>
      <c r="C29" s="78" t="s">
        <v>272</v>
      </c>
      <c r="D29" s="5" t="s">
        <v>141</v>
      </c>
      <c r="E29" s="58">
        <v>1581</v>
      </c>
      <c r="F29" s="5">
        <v>9822303957</v>
      </c>
      <c r="G29" s="5" t="s">
        <v>142</v>
      </c>
      <c r="H29" s="5" t="s">
        <v>101</v>
      </c>
      <c r="I29" s="5" t="s">
        <v>143</v>
      </c>
      <c r="J29" s="5" t="s">
        <v>162</v>
      </c>
      <c r="K29" s="5" t="s">
        <v>273</v>
      </c>
      <c r="L29" s="5" t="s">
        <v>105</v>
      </c>
      <c r="M29" s="55">
        <v>45462</v>
      </c>
      <c r="N29" s="68">
        <f t="shared" ca="1" si="0"/>
        <v>715</v>
      </c>
      <c r="O29" s="71" t="str">
        <f t="shared" ca="1" si="1"/>
        <v>1-2Y</v>
      </c>
      <c r="P29" s="132" t="s">
        <v>137</v>
      </c>
      <c r="Q29" s="5" t="s">
        <v>107</v>
      </c>
      <c r="R29" s="5" t="s">
        <v>108</v>
      </c>
      <c r="S29" s="111">
        <v>40</v>
      </c>
      <c r="T29" s="111">
        <v>110</v>
      </c>
      <c r="U29" s="111">
        <f t="shared" si="2"/>
        <v>150</v>
      </c>
      <c r="V29" s="5"/>
      <c r="W29" s="5" t="s">
        <v>109</v>
      </c>
      <c r="X29" s="5" t="s">
        <v>109</v>
      </c>
      <c r="Y29" s="131"/>
      <c r="Z29" s="5" t="s">
        <v>274</v>
      </c>
      <c r="AA29" s="5"/>
      <c r="AB29" s="5"/>
      <c r="AC29" s="5"/>
      <c r="AD29" s="248">
        <f>+AL29</f>
        <v>46204</v>
      </c>
      <c r="AE29" s="248">
        <f>+AS29</f>
        <v>46235</v>
      </c>
      <c r="AF29" s="5" t="s">
        <v>109</v>
      </c>
      <c r="AG29" s="5" t="s">
        <v>111</v>
      </c>
      <c r="AH29" s="5" t="s">
        <v>111</v>
      </c>
      <c r="AI29" s="5" t="s">
        <v>109</v>
      </c>
      <c r="AJ29" s="5" t="s">
        <v>184</v>
      </c>
      <c r="AK29" s="5" t="s">
        <v>181</v>
      </c>
      <c r="AL29" s="7">
        <v>46204</v>
      </c>
      <c r="AM29" s="78" t="s">
        <v>109</v>
      </c>
      <c r="AN29" s="5" t="s">
        <v>184</v>
      </c>
      <c r="AO29" s="5" t="s">
        <v>265</v>
      </c>
      <c r="AP29" s="5" t="s">
        <v>171</v>
      </c>
      <c r="AQ29" s="5"/>
      <c r="AR29" s="78" t="s">
        <v>258</v>
      </c>
      <c r="AS29" s="248">
        <v>46235</v>
      </c>
      <c r="AT29" s="5" t="s">
        <v>146</v>
      </c>
      <c r="AU29" s="5" t="s">
        <v>146</v>
      </c>
      <c r="AV29" s="78" t="s">
        <v>111</v>
      </c>
      <c r="AW29" s="78" t="s">
        <v>111</v>
      </c>
      <c r="AX29" s="5" t="s">
        <v>146</v>
      </c>
      <c r="AY29" s="5" t="s">
        <v>114</v>
      </c>
      <c r="AZ29" s="5" t="s">
        <v>130</v>
      </c>
      <c r="BA29" s="5" t="s">
        <v>114</v>
      </c>
      <c r="BB29" s="5" t="s">
        <v>130</v>
      </c>
      <c r="BC29" s="5" t="s">
        <v>114</v>
      </c>
      <c r="BD29" s="5" t="s">
        <v>111</v>
      </c>
      <c r="BE29" s="5" t="s">
        <v>111</v>
      </c>
      <c r="BF29" s="5" t="s">
        <v>111</v>
      </c>
      <c r="BG29" s="179" t="s">
        <v>234</v>
      </c>
      <c r="BH29" s="179" t="s">
        <v>171</v>
      </c>
      <c r="BI29" s="7">
        <v>46229</v>
      </c>
      <c r="BJ29" s="7">
        <v>46291</v>
      </c>
      <c r="BK29" s="5" t="s">
        <v>109</v>
      </c>
      <c r="BL29" s="5" t="s">
        <v>114</v>
      </c>
      <c r="BM29" s="5"/>
      <c r="BN29" s="5" t="s">
        <v>184</v>
      </c>
      <c r="BO29" s="5"/>
      <c r="BP29" s="5"/>
      <c r="BQ29" s="5"/>
      <c r="BR29" s="5"/>
      <c r="BS29" s="5"/>
      <c r="BT29" s="5"/>
      <c r="BU29" s="5"/>
      <c r="BV29" s="5"/>
      <c r="BW29" s="5" t="s">
        <v>184</v>
      </c>
      <c r="BX29" s="5"/>
      <c r="BY29" s="5"/>
      <c r="BZ29" s="5" t="s">
        <v>270</v>
      </c>
      <c r="CA29" s="5" t="s">
        <v>114</v>
      </c>
      <c r="CB29" s="179" t="s">
        <v>118</v>
      </c>
      <c r="CC29" s="179" t="s">
        <v>109</v>
      </c>
      <c r="CD29" s="5" t="s">
        <v>109</v>
      </c>
      <c r="CE29" s="5"/>
      <c r="CF29" s="179"/>
      <c r="CG29" s="179"/>
      <c r="CH29" s="199"/>
      <c r="CI29" s="179" t="str">
        <f t="shared" si="3"/>
        <v>Jun'24</v>
      </c>
      <c r="CJ29" s="179" t="s">
        <v>107</v>
      </c>
      <c r="CK29" s="179" t="s">
        <v>109</v>
      </c>
      <c r="CL29" s="179" t="s">
        <v>109</v>
      </c>
    </row>
    <row r="30" spans="1:92" s="6" customFormat="1" ht="94.5" customHeight="1" x14ac:dyDescent="0.25">
      <c r="A30" s="5">
        <v>265</v>
      </c>
      <c r="B30" s="179" t="s">
        <v>275</v>
      </c>
      <c r="C30" s="78" t="s">
        <v>276</v>
      </c>
      <c r="D30" s="78" t="s">
        <v>195</v>
      </c>
      <c r="E30" s="58">
        <v>104</v>
      </c>
      <c r="F30" s="5">
        <v>8805752023</v>
      </c>
      <c r="G30" s="5" t="s">
        <v>169</v>
      </c>
      <c r="H30" s="5" t="s">
        <v>101</v>
      </c>
      <c r="I30" s="5" t="s">
        <v>143</v>
      </c>
      <c r="J30" s="5" t="s">
        <v>162</v>
      </c>
      <c r="K30" s="5" t="s">
        <v>277</v>
      </c>
      <c r="L30" s="5" t="s">
        <v>105</v>
      </c>
      <c r="M30" s="57">
        <v>46099</v>
      </c>
      <c r="N30" s="5">
        <f t="shared" ca="1" si="0"/>
        <v>78</v>
      </c>
      <c r="O30" s="111" t="str">
        <f t="shared" ca="1" si="1"/>
        <v>0-6M</v>
      </c>
      <c r="P30" s="58" t="s">
        <v>158</v>
      </c>
      <c r="Q30" s="78" t="s">
        <v>180</v>
      </c>
      <c r="R30" s="78" t="s">
        <v>108</v>
      </c>
      <c r="S30" s="260">
        <v>25</v>
      </c>
      <c r="T30" s="260">
        <v>75</v>
      </c>
      <c r="U30" s="111">
        <f t="shared" si="2"/>
        <v>100</v>
      </c>
      <c r="V30" s="5"/>
      <c r="W30" s="5" t="s">
        <v>109</v>
      </c>
      <c r="X30" s="5" t="s">
        <v>109</v>
      </c>
      <c r="Y30" s="111"/>
      <c r="Z30" s="5" t="s">
        <v>274</v>
      </c>
      <c r="AA30" s="5"/>
      <c r="AB30" s="5"/>
      <c r="AC30" s="5"/>
      <c r="AD30" s="248">
        <v>46204</v>
      </c>
      <c r="AE30" s="248">
        <v>46235</v>
      </c>
      <c r="AF30" s="5" t="s">
        <v>109</v>
      </c>
      <c r="AG30" s="78"/>
      <c r="AH30" s="5"/>
      <c r="AI30" s="5" t="s">
        <v>234</v>
      </c>
      <c r="AJ30" s="5" t="s">
        <v>184</v>
      </c>
      <c r="AK30" s="5"/>
      <c r="AL30" s="7">
        <v>46204</v>
      </c>
      <c r="AM30" s="5" t="s">
        <v>184</v>
      </c>
      <c r="AN30" s="5" t="s">
        <v>184</v>
      </c>
      <c r="AO30" s="5" t="s">
        <v>265</v>
      </c>
      <c r="AP30" s="5"/>
      <c r="AQ30" s="5"/>
      <c r="AR30" s="78" t="s">
        <v>258</v>
      </c>
      <c r="AS30" s="254">
        <v>46235</v>
      </c>
      <c r="AT30" s="5" t="s">
        <v>109</v>
      </c>
      <c r="AU30" s="5" t="s">
        <v>109</v>
      </c>
      <c r="AV30" s="78" t="s">
        <v>278</v>
      </c>
      <c r="AW30" s="5" t="s">
        <v>111</v>
      </c>
      <c r="AX30" s="5" t="s">
        <v>109</v>
      </c>
      <c r="AY30" s="5" t="s">
        <v>198</v>
      </c>
      <c r="AZ30" s="5" t="s">
        <v>261</v>
      </c>
      <c r="BA30" s="5" t="s">
        <v>261</v>
      </c>
      <c r="BB30" s="5" t="s">
        <v>261</v>
      </c>
      <c r="BC30" s="5" t="s">
        <v>261</v>
      </c>
      <c r="BD30" s="5" t="s">
        <v>111</v>
      </c>
      <c r="BE30" s="5" t="s">
        <v>261</v>
      </c>
      <c r="BF30" s="5" t="s">
        <v>261</v>
      </c>
      <c r="BG30" s="5" t="s">
        <v>234</v>
      </c>
      <c r="BH30" s="58" t="s">
        <v>171</v>
      </c>
      <c r="BI30" s="240">
        <v>46387</v>
      </c>
      <c r="BJ30" s="240">
        <v>46476</v>
      </c>
      <c r="BK30" s="5" t="s">
        <v>260</v>
      </c>
      <c r="BL30" s="5" t="s">
        <v>261</v>
      </c>
      <c r="BM30" s="5"/>
      <c r="BN30" s="5"/>
      <c r="BO30" s="5"/>
      <c r="BP30" s="5"/>
      <c r="BQ30" s="5"/>
      <c r="BR30" s="5"/>
      <c r="BS30" s="5"/>
      <c r="BT30" s="5"/>
      <c r="BU30" s="5"/>
      <c r="BV30" s="5"/>
      <c r="BW30" s="5" t="s">
        <v>184</v>
      </c>
      <c r="BX30" s="5"/>
      <c r="BY30" s="5"/>
      <c r="BZ30" s="5" t="s">
        <v>279</v>
      </c>
      <c r="CA30" s="5" t="s">
        <v>280</v>
      </c>
      <c r="CB30" s="179" t="s">
        <v>118</v>
      </c>
      <c r="CC30" s="179" t="s">
        <v>109</v>
      </c>
      <c r="CD30" s="5"/>
      <c r="CE30" s="5"/>
      <c r="CF30" s="179"/>
      <c r="CG30" s="179"/>
      <c r="CH30" s="199"/>
      <c r="CI30" s="179" t="str">
        <f t="shared" si="3"/>
        <v>Mar'26</v>
      </c>
      <c r="CJ30" s="179" t="s">
        <v>186</v>
      </c>
      <c r="CK30" s="179"/>
      <c r="CL30" s="179"/>
    </row>
    <row r="31" spans="1:92" s="6" customFormat="1" ht="68.099999999999994" customHeight="1" x14ac:dyDescent="0.25">
      <c r="A31" s="5">
        <v>66</v>
      </c>
      <c r="B31" s="125" t="s">
        <v>281</v>
      </c>
      <c r="C31" s="78" t="s">
        <v>282</v>
      </c>
      <c r="D31" s="5" t="s">
        <v>99</v>
      </c>
      <c r="E31" s="58">
        <v>54</v>
      </c>
      <c r="F31" s="5">
        <v>9665080752</v>
      </c>
      <c r="G31" s="5" t="s">
        <v>169</v>
      </c>
      <c r="H31" s="5" t="s">
        <v>101</v>
      </c>
      <c r="I31" s="5" t="s">
        <v>143</v>
      </c>
      <c r="J31" s="5" t="s">
        <v>162</v>
      </c>
      <c r="K31" s="5" t="s">
        <v>283</v>
      </c>
      <c r="L31" s="5" t="s">
        <v>179</v>
      </c>
      <c r="M31" s="55">
        <v>45047</v>
      </c>
      <c r="N31" s="68">
        <f t="shared" ca="1" si="0"/>
        <v>1130</v>
      </c>
      <c r="O31" s="71" t="str">
        <f t="shared" ca="1" si="1"/>
        <v>3-4Y</v>
      </c>
      <c r="P31" s="132" t="s">
        <v>106</v>
      </c>
      <c r="Q31" s="5" t="s">
        <v>107</v>
      </c>
      <c r="R31" s="5" t="s">
        <v>108</v>
      </c>
      <c r="S31" s="111">
        <v>30</v>
      </c>
      <c r="T31" s="111">
        <v>90</v>
      </c>
      <c r="U31" s="111">
        <f t="shared" si="2"/>
        <v>120</v>
      </c>
      <c r="V31" s="5"/>
      <c r="W31" s="5" t="s">
        <v>109</v>
      </c>
      <c r="X31" s="5" t="s">
        <v>109</v>
      </c>
      <c r="Y31" s="131">
        <f>+IF(AO31="Approved","Yes",AS31)</f>
        <v>46266</v>
      </c>
      <c r="Z31" s="5" t="s">
        <v>110</v>
      </c>
      <c r="AA31" s="5"/>
      <c r="AB31" s="5"/>
      <c r="AC31" s="5"/>
      <c r="AD31" s="248">
        <f>+AL31</f>
        <v>46204</v>
      </c>
      <c r="AE31" s="248">
        <f>+AS31</f>
        <v>46266</v>
      </c>
      <c r="AF31" s="5" t="s">
        <v>109</v>
      </c>
      <c r="AG31" s="5" t="s">
        <v>111</v>
      </c>
      <c r="AH31" s="5" t="s">
        <v>111</v>
      </c>
      <c r="AI31" s="5" t="s">
        <v>109</v>
      </c>
      <c r="AJ31" s="5" t="s">
        <v>109</v>
      </c>
      <c r="AK31" s="5" t="s">
        <v>181</v>
      </c>
      <c r="AL31" s="7">
        <v>46204</v>
      </c>
      <c r="AM31" s="5" t="s">
        <v>109</v>
      </c>
      <c r="AN31" s="5"/>
      <c r="AO31" s="5" t="s">
        <v>182</v>
      </c>
      <c r="AP31" s="5" t="s">
        <v>171</v>
      </c>
      <c r="AQ31" s="5"/>
      <c r="AR31" s="78"/>
      <c r="AS31" s="248">
        <v>46266</v>
      </c>
      <c r="AT31" s="5" t="s">
        <v>109</v>
      </c>
      <c r="AU31" s="5" t="s">
        <v>109</v>
      </c>
      <c r="AV31" s="78" t="s">
        <v>284</v>
      </c>
      <c r="AW31" s="5" t="s">
        <v>111</v>
      </c>
      <c r="AX31" s="5" t="s">
        <v>109</v>
      </c>
      <c r="AY31" s="5" t="s">
        <v>109</v>
      </c>
      <c r="AZ31" s="5" t="s">
        <v>109</v>
      </c>
      <c r="BA31" s="5" t="s">
        <v>114</v>
      </c>
      <c r="BB31" s="5" t="s">
        <v>285</v>
      </c>
      <c r="BC31" s="5" t="s">
        <v>173</v>
      </c>
      <c r="BD31" s="5" t="s">
        <v>173</v>
      </c>
      <c r="BE31" s="5" t="s">
        <v>111</v>
      </c>
      <c r="BF31" s="5" t="s">
        <v>111</v>
      </c>
      <c r="BG31" s="132" t="s">
        <v>114</v>
      </c>
      <c r="BH31" s="132" t="s">
        <v>90</v>
      </c>
      <c r="BI31" s="7">
        <v>46204</v>
      </c>
      <c r="BJ31" s="7">
        <v>46327</v>
      </c>
      <c r="BK31" s="5" t="s">
        <v>109</v>
      </c>
      <c r="BL31" s="5" t="s">
        <v>114</v>
      </c>
      <c r="BM31" s="5"/>
      <c r="BN31" s="5" t="s">
        <v>184</v>
      </c>
      <c r="BO31" s="5"/>
      <c r="BP31" s="5"/>
      <c r="BQ31" s="5"/>
      <c r="BR31" s="5"/>
      <c r="BS31" s="5"/>
      <c r="BT31" s="5"/>
      <c r="BU31" s="5"/>
      <c r="BV31" s="5"/>
      <c r="BW31" s="5" t="s">
        <v>184</v>
      </c>
      <c r="BX31" s="5"/>
      <c r="BY31" s="5"/>
      <c r="BZ31" s="5"/>
      <c r="CA31" s="5"/>
      <c r="CB31" s="179" t="s">
        <v>185</v>
      </c>
      <c r="CC31" s="179" t="s">
        <v>109</v>
      </c>
      <c r="CD31" s="5" t="s">
        <v>109</v>
      </c>
      <c r="CE31" s="5"/>
      <c r="CF31" s="179"/>
      <c r="CG31" s="179"/>
      <c r="CH31" s="199"/>
      <c r="CI31" s="179" t="str">
        <f t="shared" si="3"/>
        <v>May'23</v>
      </c>
      <c r="CJ31" s="179" t="s">
        <v>107</v>
      </c>
      <c r="CK31" s="179" t="s">
        <v>109</v>
      </c>
      <c r="CL31" s="179" t="s">
        <v>109</v>
      </c>
      <c r="CM31" s="8" t="s">
        <v>286</v>
      </c>
    </row>
    <row r="32" spans="1:92" s="6" customFormat="1" ht="72" customHeight="1" x14ac:dyDescent="0.25">
      <c r="A32" s="78">
        <v>90</v>
      </c>
      <c r="B32" s="125" t="s">
        <v>287</v>
      </c>
      <c r="C32" s="78" t="s">
        <v>288</v>
      </c>
      <c r="D32" s="78" t="s">
        <v>190</v>
      </c>
      <c r="E32" s="78">
        <v>96</v>
      </c>
      <c r="F32" s="78">
        <v>8668904185</v>
      </c>
      <c r="G32" s="78" t="s">
        <v>142</v>
      </c>
      <c r="H32" s="78" t="s">
        <v>101</v>
      </c>
      <c r="I32" s="78" t="s">
        <v>143</v>
      </c>
      <c r="J32" s="78" t="s">
        <v>162</v>
      </c>
      <c r="K32" s="78" t="s">
        <v>289</v>
      </c>
      <c r="L32" s="78" t="s">
        <v>105</v>
      </c>
      <c r="M32" s="232">
        <v>45274</v>
      </c>
      <c r="N32" s="233">
        <f t="shared" ca="1" si="0"/>
        <v>903</v>
      </c>
      <c r="O32" s="233" t="str">
        <f t="shared" ca="1" si="1"/>
        <v>2-3Y</v>
      </c>
      <c r="P32" s="132" t="s">
        <v>158</v>
      </c>
      <c r="Q32" s="78" t="s">
        <v>180</v>
      </c>
      <c r="R32" s="78" t="s">
        <v>108</v>
      </c>
      <c r="S32" s="111">
        <v>40</v>
      </c>
      <c r="T32" s="111">
        <v>135</v>
      </c>
      <c r="U32" s="111">
        <f t="shared" si="2"/>
        <v>175</v>
      </c>
      <c r="V32" s="78"/>
      <c r="W32" s="78" t="s">
        <v>109</v>
      </c>
      <c r="X32" s="78" t="s">
        <v>109</v>
      </c>
      <c r="Y32" s="234">
        <f>+IF(AO32="Approved","Yes",AS32)</f>
        <v>46266</v>
      </c>
      <c r="Z32" s="78" t="s">
        <v>274</v>
      </c>
      <c r="AA32" s="78"/>
      <c r="AB32" s="78"/>
      <c r="AC32" s="78"/>
      <c r="AD32" s="248">
        <f>+AL32</f>
        <v>46204</v>
      </c>
      <c r="AE32" s="248">
        <f>+AS32</f>
        <v>46266</v>
      </c>
      <c r="AF32" s="78" t="s">
        <v>109</v>
      </c>
      <c r="AG32" s="78" t="s">
        <v>111</v>
      </c>
      <c r="AH32" s="78" t="s">
        <v>111</v>
      </c>
      <c r="AI32" s="78" t="s">
        <v>197</v>
      </c>
      <c r="AJ32" s="78" t="s">
        <v>109</v>
      </c>
      <c r="AK32" s="78" t="s">
        <v>181</v>
      </c>
      <c r="AL32" s="235">
        <v>46204</v>
      </c>
      <c r="AM32" s="78" t="s">
        <v>109</v>
      </c>
      <c r="AN32" s="78" t="s">
        <v>184</v>
      </c>
      <c r="AO32" s="78" t="s">
        <v>182</v>
      </c>
      <c r="AP32" s="78" t="s">
        <v>171</v>
      </c>
      <c r="AQ32" s="78"/>
      <c r="AR32" s="78"/>
      <c r="AS32" s="248">
        <v>46266</v>
      </c>
      <c r="AT32" s="78" t="s">
        <v>109</v>
      </c>
      <c r="AU32" s="78" t="s">
        <v>109</v>
      </c>
      <c r="AV32" s="78" t="s">
        <v>111</v>
      </c>
      <c r="AW32" s="78" t="s">
        <v>111</v>
      </c>
      <c r="AX32" s="78" t="s">
        <v>109</v>
      </c>
      <c r="AY32" s="78" t="s">
        <v>114</v>
      </c>
      <c r="AZ32" s="78" t="s">
        <v>130</v>
      </c>
      <c r="BA32" s="78" t="s">
        <v>114</v>
      </c>
      <c r="BB32" s="78" t="s">
        <v>130</v>
      </c>
      <c r="BC32" s="78" t="s">
        <v>114</v>
      </c>
      <c r="BD32" s="78" t="s">
        <v>111</v>
      </c>
      <c r="BE32" s="78" t="s">
        <v>114</v>
      </c>
      <c r="BF32" s="78" t="s">
        <v>114</v>
      </c>
      <c r="BG32" s="132" t="s">
        <v>114</v>
      </c>
      <c r="BH32" s="232" t="s">
        <v>90</v>
      </c>
      <c r="BI32" s="235">
        <v>46204</v>
      </c>
      <c r="BJ32" s="235">
        <v>46266</v>
      </c>
      <c r="BK32" s="78" t="s">
        <v>109</v>
      </c>
      <c r="BL32" s="78" t="s">
        <v>114</v>
      </c>
      <c r="BM32" s="78"/>
      <c r="BN32" s="78" t="s">
        <v>184</v>
      </c>
      <c r="BO32" s="78"/>
      <c r="BP32" s="78"/>
      <c r="BQ32" s="78"/>
      <c r="BR32" s="78"/>
      <c r="BS32" s="78"/>
      <c r="BT32" s="78"/>
      <c r="BU32" s="78"/>
      <c r="BV32" s="78"/>
      <c r="BW32" s="78" t="s">
        <v>184</v>
      </c>
      <c r="BX32" s="78"/>
      <c r="BY32" s="78"/>
      <c r="BZ32" s="78"/>
      <c r="CA32" s="78"/>
      <c r="CB32" s="179" t="s">
        <v>118</v>
      </c>
      <c r="CC32" s="179" t="s">
        <v>109</v>
      </c>
      <c r="CD32" s="5" t="s">
        <v>109</v>
      </c>
      <c r="CE32" s="5"/>
      <c r="CF32" s="179"/>
      <c r="CG32" s="179"/>
      <c r="CH32" s="199"/>
      <c r="CI32" s="179" t="str">
        <f t="shared" si="3"/>
        <v>Dec'23</v>
      </c>
      <c r="CJ32" s="179" t="s">
        <v>186</v>
      </c>
      <c r="CK32" s="179" t="s">
        <v>109</v>
      </c>
      <c r="CL32" s="179" t="s">
        <v>109</v>
      </c>
      <c r="CM32" s="8" t="s">
        <v>290</v>
      </c>
    </row>
    <row r="33" spans="1:91" s="6" customFormat="1" ht="70.5" customHeight="1" x14ac:dyDescent="0.25">
      <c r="A33" s="5">
        <v>93</v>
      </c>
      <c r="B33" s="125" t="s">
        <v>291</v>
      </c>
      <c r="C33" s="78" t="s">
        <v>292</v>
      </c>
      <c r="D33" s="5" t="s">
        <v>156</v>
      </c>
      <c r="E33" s="58">
        <v>1592</v>
      </c>
      <c r="F33" s="5">
        <v>8530744612</v>
      </c>
      <c r="G33" s="5" t="s">
        <v>169</v>
      </c>
      <c r="H33" s="5" t="s">
        <v>122</v>
      </c>
      <c r="I33" s="5" t="s">
        <v>143</v>
      </c>
      <c r="J33" s="5" t="s">
        <v>144</v>
      </c>
      <c r="K33" s="5" t="s">
        <v>293</v>
      </c>
      <c r="L33" s="5" t="s">
        <v>105</v>
      </c>
      <c r="M33" s="55">
        <v>45275</v>
      </c>
      <c r="N33" s="68">
        <f t="shared" ca="1" si="0"/>
        <v>902</v>
      </c>
      <c r="O33" s="71" t="str">
        <f t="shared" ca="1" si="1"/>
        <v>2-3Y</v>
      </c>
      <c r="P33" s="132" t="s">
        <v>158</v>
      </c>
      <c r="Q33" s="5" t="s">
        <v>192</v>
      </c>
      <c r="R33" s="5" t="s">
        <v>108</v>
      </c>
      <c r="S33" s="111">
        <v>25</v>
      </c>
      <c r="T33" s="111">
        <v>80</v>
      </c>
      <c r="U33" s="111">
        <f t="shared" si="2"/>
        <v>105</v>
      </c>
      <c r="V33" s="5"/>
      <c r="W33" s="5" t="s">
        <v>109</v>
      </c>
      <c r="X33" s="5" t="s">
        <v>109</v>
      </c>
      <c r="Y33" s="131"/>
      <c r="Z33" s="5" t="s">
        <v>111</v>
      </c>
      <c r="AA33" s="5"/>
      <c r="AB33" s="5"/>
      <c r="AC33" s="5"/>
      <c r="AD33" s="248">
        <v>46235</v>
      </c>
      <c r="AE33" s="248">
        <v>46266</v>
      </c>
      <c r="AF33" s="5" t="s">
        <v>109</v>
      </c>
      <c r="AG33" s="5" t="s">
        <v>111</v>
      </c>
      <c r="AH33" s="5" t="s">
        <v>111</v>
      </c>
      <c r="AI33" s="5" t="s">
        <v>115</v>
      </c>
      <c r="AJ33" s="5" t="s">
        <v>115</v>
      </c>
      <c r="AK33" s="5" t="s">
        <v>181</v>
      </c>
      <c r="AL33" s="7">
        <v>46266</v>
      </c>
      <c r="AM33" s="5" t="s">
        <v>109</v>
      </c>
      <c r="AN33" s="5" t="s">
        <v>109</v>
      </c>
      <c r="AO33" s="5" t="s">
        <v>265</v>
      </c>
      <c r="AP33" s="5" t="s">
        <v>171</v>
      </c>
      <c r="AQ33" s="5"/>
      <c r="AR33" s="78" t="s">
        <v>258</v>
      </c>
      <c r="AS33" s="248">
        <v>46296</v>
      </c>
      <c r="AT33" s="5" t="s">
        <v>109</v>
      </c>
      <c r="AU33" s="5" t="s">
        <v>109</v>
      </c>
      <c r="AV33" s="5" t="s">
        <v>111</v>
      </c>
      <c r="AW33" s="5" t="s">
        <v>111</v>
      </c>
      <c r="AX33" s="5" t="s">
        <v>109</v>
      </c>
      <c r="AY33" s="5" t="s">
        <v>114</v>
      </c>
      <c r="AZ33" s="5" t="s">
        <v>130</v>
      </c>
      <c r="BA33" s="5" t="s">
        <v>130</v>
      </c>
      <c r="BB33" s="5" t="s">
        <v>261</v>
      </c>
      <c r="BC33" s="5" t="s">
        <v>111</v>
      </c>
      <c r="BD33" s="5" t="s">
        <v>111</v>
      </c>
      <c r="BE33" s="5" t="s">
        <v>130</v>
      </c>
      <c r="BF33" s="5" t="s">
        <v>130</v>
      </c>
      <c r="BG33" s="132" t="s">
        <v>259</v>
      </c>
      <c r="BH33" s="132" t="s">
        <v>171</v>
      </c>
      <c r="BI33" s="7">
        <v>46291</v>
      </c>
      <c r="BJ33" s="7">
        <v>46321</v>
      </c>
      <c r="BK33" s="5" t="s">
        <v>109</v>
      </c>
      <c r="BL33" s="5" t="s">
        <v>244</v>
      </c>
      <c r="BM33" s="5" t="s">
        <v>111</v>
      </c>
      <c r="BN33" s="5" t="s">
        <v>111</v>
      </c>
      <c r="BO33" s="5" t="s">
        <v>115</v>
      </c>
      <c r="BP33" s="5"/>
      <c r="BQ33" s="5"/>
      <c r="BR33" s="5"/>
      <c r="BS33" s="5"/>
      <c r="BT33" s="5"/>
      <c r="BU33" s="5"/>
      <c r="BV33" s="5"/>
      <c r="BW33" s="5" t="s">
        <v>184</v>
      </c>
      <c r="BX33" s="5"/>
      <c r="BY33" s="5"/>
      <c r="BZ33" s="5"/>
      <c r="CA33" s="5"/>
      <c r="CB33" s="179" t="s">
        <v>118</v>
      </c>
      <c r="CC33" s="179" t="s">
        <v>109</v>
      </c>
      <c r="CD33" s="5" t="s">
        <v>109</v>
      </c>
      <c r="CE33" s="5"/>
      <c r="CF33" s="179"/>
      <c r="CG33" s="179"/>
      <c r="CH33" s="199"/>
      <c r="CI33" s="179" t="str">
        <f t="shared" si="3"/>
        <v>Dec'23</v>
      </c>
      <c r="CJ33" s="179" t="s">
        <v>192</v>
      </c>
      <c r="CK33" s="179" t="s">
        <v>109</v>
      </c>
      <c r="CL33" s="179" t="s">
        <v>109</v>
      </c>
    </row>
    <row r="34" spans="1:91" s="6" customFormat="1" ht="63.75" customHeight="1" x14ac:dyDescent="0.25">
      <c r="A34" s="5">
        <v>109</v>
      </c>
      <c r="B34" s="125" t="s">
        <v>294</v>
      </c>
      <c r="C34" s="78" t="s">
        <v>295</v>
      </c>
      <c r="D34" s="5" t="s">
        <v>220</v>
      </c>
      <c r="E34" s="58">
        <v>2076</v>
      </c>
      <c r="F34" s="5">
        <v>9860520267</v>
      </c>
      <c r="G34" s="5" t="s">
        <v>169</v>
      </c>
      <c r="H34" s="5" t="s">
        <v>122</v>
      </c>
      <c r="I34" s="5" t="s">
        <v>143</v>
      </c>
      <c r="J34" s="5" t="s">
        <v>144</v>
      </c>
      <c r="K34" s="5" t="s">
        <v>296</v>
      </c>
      <c r="L34" s="5" t="s">
        <v>105</v>
      </c>
      <c r="M34" s="55">
        <v>45309</v>
      </c>
      <c r="N34" s="68">
        <f t="shared" ca="1" si="0"/>
        <v>868</v>
      </c>
      <c r="O34" s="71" t="str">
        <f t="shared" ca="1" si="1"/>
        <v>2-3Y</v>
      </c>
      <c r="P34" s="132" t="s">
        <v>106</v>
      </c>
      <c r="Q34" s="5" t="s">
        <v>125</v>
      </c>
      <c r="R34" s="5" t="s">
        <v>108</v>
      </c>
      <c r="S34" s="111">
        <v>40</v>
      </c>
      <c r="T34" s="111">
        <v>80</v>
      </c>
      <c r="U34" s="111">
        <f t="shared" si="2"/>
        <v>120</v>
      </c>
      <c r="V34" s="5"/>
      <c r="W34" s="5" t="s">
        <v>109</v>
      </c>
      <c r="X34" s="5" t="s">
        <v>109</v>
      </c>
      <c r="Y34" s="131" t="str">
        <f>+IF(AO34="Approved","Yes",AS34)</f>
        <v>Yes</v>
      </c>
      <c r="Z34" s="5" t="s">
        <v>111</v>
      </c>
      <c r="AA34" s="5"/>
      <c r="AB34" s="5"/>
      <c r="AC34" s="5"/>
      <c r="AD34" s="248">
        <v>46235</v>
      </c>
      <c r="AE34" s="248">
        <v>46266</v>
      </c>
      <c r="AF34" s="5" t="s">
        <v>109</v>
      </c>
      <c r="AG34" s="5" t="s">
        <v>111</v>
      </c>
      <c r="AH34" s="5" t="s">
        <v>111</v>
      </c>
      <c r="AI34" s="5" t="s">
        <v>115</v>
      </c>
      <c r="AJ34" s="5" t="s">
        <v>115</v>
      </c>
      <c r="AK34" s="5" t="s">
        <v>181</v>
      </c>
      <c r="AL34" s="7">
        <v>46266</v>
      </c>
      <c r="AM34" s="5" t="s">
        <v>109</v>
      </c>
      <c r="AN34" s="5" t="s">
        <v>109</v>
      </c>
      <c r="AO34" s="5" t="s">
        <v>110</v>
      </c>
      <c r="AP34" s="5" t="s">
        <v>109</v>
      </c>
      <c r="AQ34" s="5">
        <v>4338613</v>
      </c>
      <c r="AR34" s="78" t="s">
        <v>297</v>
      </c>
      <c r="AS34" s="248">
        <v>46296</v>
      </c>
      <c r="AT34" s="5" t="s">
        <v>109</v>
      </c>
      <c r="AU34" s="5" t="s">
        <v>298</v>
      </c>
      <c r="AV34" s="5" t="s">
        <v>297</v>
      </c>
      <c r="AW34" s="5" t="s">
        <v>171</v>
      </c>
      <c r="AX34" s="5" t="s">
        <v>109</v>
      </c>
      <c r="AY34" s="5" t="s">
        <v>109</v>
      </c>
      <c r="AZ34" s="5" t="s">
        <v>109</v>
      </c>
      <c r="BA34" s="5" t="s">
        <v>109</v>
      </c>
      <c r="BB34" s="5" t="s">
        <v>299</v>
      </c>
      <c r="BC34" s="5" t="s">
        <v>109</v>
      </c>
      <c r="BD34" s="5" t="s">
        <v>223</v>
      </c>
      <c r="BE34" s="5" t="s">
        <v>111</v>
      </c>
      <c r="BF34" s="5" t="s">
        <v>111</v>
      </c>
      <c r="BG34" s="132" t="s">
        <v>114</v>
      </c>
      <c r="BH34" s="132" t="s">
        <v>171</v>
      </c>
      <c r="BI34" s="7">
        <v>46143</v>
      </c>
      <c r="BJ34" s="7">
        <v>46174</v>
      </c>
      <c r="BK34" s="5" t="s">
        <v>109</v>
      </c>
      <c r="BL34" s="5" t="s">
        <v>114</v>
      </c>
      <c r="BM34" s="5" t="s">
        <v>111</v>
      </c>
      <c r="BN34" s="5" t="s">
        <v>111</v>
      </c>
      <c r="BO34" s="5" t="s">
        <v>115</v>
      </c>
      <c r="BP34" s="5"/>
      <c r="BQ34" s="5"/>
      <c r="BR34" s="5"/>
      <c r="BS34" s="5"/>
      <c r="BT34" s="5"/>
      <c r="BU34" s="5"/>
      <c r="BV34" s="5"/>
      <c r="BW34" s="5" t="s">
        <v>184</v>
      </c>
      <c r="BX34" s="5"/>
      <c r="BY34" s="5"/>
      <c r="BZ34" s="5"/>
      <c r="CA34" s="5"/>
      <c r="CB34" s="179" t="s">
        <v>118</v>
      </c>
      <c r="CC34" s="179" t="s">
        <v>109</v>
      </c>
      <c r="CD34" s="5" t="s">
        <v>109</v>
      </c>
      <c r="CE34" s="5"/>
      <c r="CF34" s="179"/>
      <c r="CG34" s="179"/>
      <c r="CH34" s="199"/>
      <c r="CI34" s="179" t="str">
        <f t="shared" si="3"/>
        <v>Jan'24</v>
      </c>
      <c r="CJ34" s="179" t="s">
        <v>132</v>
      </c>
      <c r="CK34" s="179" t="s">
        <v>109</v>
      </c>
      <c r="CL34" s="179" t="s">
        <v>109</v>
      </c>
    </row>
    <row r="35" spans="1:91" s="6" customFormat="1" ht="68.45" customHeight="1" x14ac:dyDescent="0.25">
      <c r="A35" s="5">
        <v>124</v>
      </c>
      <c r="B35" s="125" t="s">
        <v>300</v>
      </c>
      <c r="C35" s="78" t="s">
        <v>301</v>
      </c>
      <c r="D35" s="5" t="s">
        <v>150</v>
      </c>
      <c r="E35" s="58">
        <v>1672</v>
      </c>
      <c r="F35" s="265">
        <v>9356705562</v>
      </c>
      <c r="G35" s="5" t="s">
        <v>101</v>
      </c>
      <c r="H35" s="5" t="s">
        <v>101</v>
      </c>
      <c r="I35" s="5" t="s">
        <v>143</v>
      </c>
      <c r="J35" s="5" t="s">
        <v>151</v>
      </c>
      <c r="K35" s="5" t="s">
        <v>302</v>
      </c>
      <c r="L35" s="5" t="s">
        <v>105</v>
      </c>
      <c r="M35" s="55">
        <v>45323</v>
      </c>
      <c r="N35" s="68">
        <f t="shared" ca="1" si="0"/>
        <v>854</v>
      </c>
      <c r="O35" s="71" t="str">
        <f t="shared" ca="1" si="1"/>
        <v>2-3Y</v>
      </c>
      <c r="P35" s="132" t="s">
        <v>106</v>
      </c>
      <c r="Q35" s="5" t="s">
        <v>125</v>
      </c>
      <c r="R35" s="5" t="s">
        <v>108</v>
      </c>
      <c r="S35" s="111">
        <v>150</v>
      </c>
      <c r="T35" s="111">
        <v>50</v>
      </c>
      <c r="U35" s="111">
        <f t="shared" si="2"/>
        <v>200</v>
      </c>
      <c r="V35" s="5"/>
      <c r="W35" s="5" t="s">
        <v>109</v>
      </c>
      <c r="X35" s="5" t="s">
        <v>109</v>
      </c>
      <c r="Y35" s="131" t="str">
        <f>+AP35</f>
        <v>No</v>
      </c>
      <c r="Z35" s="5" t="s">
        <v>110</v>
      </c>
      <c r="AA35" s="5"/>
      <c r="AB35" s="5"/>
      <c r="AC35" s="5"/>
      <c r="AD35" s="248">
        <v>46235</v>
      </c>
      <c r="AE35" s="248">
        <v>46266</v>
      </c>
      <c r="AF35" s="5" t="s">
        <v>109</v>
      </c>
      <c r="AG35" s="5" t="s">
        <v>111</v>
      </c>
      <c r="AH35" s="5" t="s">
        <v>111</v>
      </c>
      <c r="AI35" s="5" t="s">
        <v>109</v>
      </c>
      <c r="AJ35" s="5" t="s">
        <v>109</v>
      </c>
      <c r="AK35" s="5" t="s">
        <v>222</v>
      </c>
      <c r="AL35" s="7">
        <v>46357</v>
      </c>
      <c r="AM35" s="5" t="s">
        <v>109</v>
      </c>
      <c r="AN35" s="5" t="s">
        <v>109</v>
      </c>
      <c r="AO35" s="5" t="s">
        <v>182</v>
      </c>
      <c r="AP35" s="5" t="s">
        <v>171</v>
      </c>
      <c r="AQ35" s="5"/>
      <c r="AR35" s="78"/>
      <c r="AS35" s="248">
        <v>46296</v>
      </c>
      <c r="AT35" s="5" t="s">
        <v>109</v>
      </c>
      <c r="AU35" s="5" t="s">
        <v>109</v>
      </c>
      <c r="AV35" s="5" t="s">
        <v>111</v>
      </c>
      <c r="AW35" s="5" t="s">
        <v>111</v>
      </c>
      <c r="AX35" s="5" t="s">
        <v>109</v>
      </c>
      <c r="AY35" s="5" t="s">
        <v>114</v>
      </c>
      <c r="AZ35" s="5" t="s">
        <v>114</v>
      </c>
      <c r="BA35" s="5" t="s">
        <v>114</v>
      </c>
      <c r="BB35" s="5" t="s">
        <v>115</v>
      </c>
      <c r="BC35" s="5" t="s">
        <v>114</v>
      </c>
      <c r="BD35" s="5" t="s">
        <v>114</v>
      </c>
      <c r="BE35" s="5" t="s">
        <v>111</v>
      </c>
      <c r="BF35" s="5" t="s">
        <v>111</v>
      </c>
      <c r="BG35" s="132" t="s">
        <v>114</v>
      </c>
      <c r="BH35" s="132" t="s">
        <v>90</v>
      </c>
      <c r="BI35" s="7">
        <v>46296</v>
      </c>
      <c r="BJ35" s="7">
        <v>46327</v>
      </c>
      <c r="BK35" s="5" t="s">
        <v>109</v>
      </c>
      <c r="BL35" s="5" t="s">
        <v>114</v>
      </c>
      <c r="BM35" s="5"/>
      <c r="BN35" s="5" t="s">
        <v>109</v>
      </c>
      <c r="BO35" s="5"/>
      <c r="BP35" s="5"/>
      <c r="BQ35" s="5"/>
      <c r="BR35" s="5"/>
      <c r="BS35" s="5"/>
      <c r="BT35" s="5"/>
      <c r="BU35" s="5"/>
      <c r="BV35" s="5"/>
      <c r="BW35" s="5" t="s">
        <v>184</v>
      </c>
      <c r="BX35" s="5"/>
      <c r="BY35" s="5"/>
      <c r="BZ35" s="5"/>
      <c r="CA35" s="5"/>
      <c r="CB35" s="179" t="s">
        <v>118</v>
      </c>
      <c r="CC35" s="179" t="s">
        <v>109</v>
      </c>
      <c r="CD35" s="5" t="s">
        <v>109</v>
      </c>
      <c r="CE35" s="5"/>
      <c r="CF35" s="179"/>
      <c r="CG35" s="179"/>
      <c r="CH35" s="199"/>
      <c r="CI35" s="179" t="str">
        <f t="shared" si="3"/>
        <v>Feb'24</v>
      </c>
      <c r="CJ35" s="179" t="s">
        <v>132</v>
      </c>
      <c r="CK35" s="179" t="s">
        <v>109</v>
      </c>
      <c r="CL35" s="179" t="s">
        <v>109</v>
      </c>
      <c r="CM35" s="8" t="s">
        <v>303</v>
      </c>
    </row>
    <row r="36" spans="1:91" s="6" customFormat="1" ht="94.5" customHeight="1" x14ac:dyDescent="0.25">
      <c r="A36" s="5">
        <v>173</v>
      </c>
      <c r="B36" s="125" t="s">
        <v>304</v>
      </c>
      <c r="C36" s="78" t="s">
        <v>305</v>
      </c>
      <c r="D36" s="5" t="s">
        <v>99</v>
      </c>
      <c r="E36" s="58">
        <v>1712</v>
      </c>
      <c r="F36" s="5">
        <v>9766110001</v>
      </c>
      <c r="G36" s="5" t="s">
        <v>142</v>
      </c>
      <c r="H36" s="5" t="s">
        <v>122</v>
      </c>
      <c r="I36" s="5" t="s">
        <v>143</v>
      </c>
      <c r="J36" s="5" t="s">
        <v>144</v>
      </c>
      <c r="K36" s="5" t="s">
        <v>306</v>
      </c>
      <c r="L36" s="5" t="s">
        <v>105</v>
      </c>
      <c r="M36" s="55">
        <v>45460</v>
      </c>
      <c r="N36" s="68">
        <f t="shared" ca="1" si="0"/>
        <v>717</v>
      </c>
      <c r="O36" s="71" t="str">
        <f t="shared" ca="1" si="1"/>
        <v>1-2Y</v>
      </c>
      <c r="P36" s="132" t="s">
        <v>106</v>
      </c>
      <c r="Q36" s="5" t="s">
        <v>125</v>
      </c>
      <c r="R36" s="5" t="s">
        <v>108</v>
      </c>
      <c r="S36" s="111">
        <v>40</v>
      </c>
      <c r="T36" s="111">
        <v>120</v>
      </c>
      <c r="U36" s="111">
        <f t="shared" si="2"/>
        <v>160</v>
      </c>
      <c r="V36" s="5"/>
      <c r="W36" s="5" t="s">
        <v>109</v>
      </c>
      <c r="X36" s="5" t="s">
        <v>109</v>
      </c>
      <c r="Y36" s="131" t="str">
        <f>+AP36</f>
        <v>Yes</v>
      </c>
      <c r="Z36" s="5" t="s">
        <v>111</v>
      </c>
      <c r="AA36" s="5"/>
      <c r="AB36" s="5"/>
      <c r="AC36" s="5"/>
      <c r="AD36" s="248">
        <f>+AL36</f>
        <v>46204</v>
      </c>
      <c r="AE36" s="248">
        <f>+AS36</f>
        <v>46266</v>
      </c>
      <c r="AF36" s="5" t="s">
        <v>109</v>
      </c>
      <c r="AG36" s="5" t="s">
        <v>111</v>
      </c>
      <c r="AH36" s="5" t="s">
        <v>111</v>
      </c>
      <c r="AI36" s="5" t="s">
        <v>115</v>
      </c>
      <c r="AJ36" s="5" t="s">
        <v>115</v>
      </c>
      <c r="AK36" s="5" t="s">
        <v>181</v>
      </c>
      <c r="AL36" s="7">
        <v>46204</v>
      </c>
      <c r="AM36" s="5" t="s">
        <v>109</v>
      </c>
      <c r="AN36" s="5" t="s">
        <v>109</v>
      </c>
      <c r="AO36" s="5" t="s">
        <v>110</v>
      </c>
      <c r="AP36" s="5" t="s">
        <v>109</v>
      </c>
      <c r="AQ36" s="5">
        <v>4338053</v>
      </c>
      <c r="AR36" s="78"/>
      <c r="AS36" s="248">
        <v>46266</v>
      </c>
      <c r="AT36" s="5" t="s">
        <v>109</v>
      </c>
      <c r="AU36" s="5" t="s">
        <v>109</v>
      </c>
      <c r="AV36" s="78" t="s">
        <v>307</v>
      </c>
      <c r="AW36" s="5" t="s">
        <v>111</v>
      </c>
      <c r="AX36" s="5" t="s">
        <v>109</v>
      </c>
      <c r="AY36" s="5" t="s">
        <v>109</v>
      </c>
      <c r="AZ36" s="5" t="s">
        <v>109</v>
      </c>
      <c r="BA36" s="5" t="s">
        <v>130</v>
      </c>
      <c r="BB36" s="5" t="s">
        <v>285</v>
      </c>
      <c r="BC36" s="5" t="s">
        <v>173</v>
      </c>
      <c r="BD36" s="5" t="s">
        <v>173</v>
      </c>
      <c r="BE36" s="5" t="s">
        <v>111</v>
      </c>
      <c r="BF36" s="5" t="s">
        <v>111</v>
      </c>
      <c r="BG36" s="132" t="s">
        <v>114</v>
      </c>
      <c r="BH36" s="132" t="s">
        <v>90</v>
      </c>
      <c r="BI36" s="7">
        <v>46204</v>
      </c>
      <c r="BJ36" s="7">
        <v>46327</v>
      </c>
      <c r="BK36" s="5" t="s">
        <v>109</v>
      </c>
      <c r="BL36" s="5" t="s">
        <v>114</v>
      </c>
      <c r="BM36" s="5" t="s">
        <v>111</v>
      </c>
      <c r="BN36" s="5" t="s">
        <v>111</v>
      </c>
      <c r="BO36" s="5" t="s">
        <v>115</v>
      </c>
      <c r="BP36" s="5"/>
      <c r="BQ36" s="5"/>
      <c r="BR36" s="5"/>
      <c r="BS36" s="5"/>
      <c r="BT36" s="5"/>
      <c r="BU36" s="5"/>
      <c r="BV36" s="5"/>
      <c r="BW36" s="5" t="s">
        <v>184</v>
      </c>
      <c r="BX36" s="5"/>
      <c r="BY36" s="5"/>
      <c r="BZ36" s="5"/>
      <c r="CA36" s="5"/>
      <c r="CB36" s="179" t="s">
        <v>118</v>
      </c>
      <c r="CC36" s="179" t="s">
        <v>109</v>
      </c>
      <c r="CD36" s="5" t="s">
        <v>109</v>
      </c>
      <c r="CE36" s="5"/>
      <c r="CF36" s="179"/>
      <c r="CG36" s="179"/>
      <c r="CH36" s="199"/>
      <c r="CI36" s="179" t="str">
        <f t="shared" si="3"/>
        <v>Jun'24</v>
      </c>
      <c r="CJ36" s="179" t="s">
        <v>132</v>
      </c>
      <c r="CK36" s="179" t="s">
        <v>109</v>
      </c>
      <c r="CL36" s="179" t="s">
        <v>109</v>
      </c>
    </row>
    <row r="37" spans="1:91" s="6" customFormat="1" ht="57.75" customHeight="1" x14ac:dyDescent="0.25">
      <c r="A37" s="5">
        <v>229</v>
      </c>
      <c r="B37" s="125" t="s">
        <v>308</v>
      </c>
      <c r="C37" s="78" t="s">
        <v>309</v>
      </c>
      <c r="D37" s="5" t="s">
        <v>150</v>
      </c>
      <c r="E37" s="58">
        <v>2030</v>
      </c>
      <c r="F37" s="265">
        <v>7030954444</v>
      </c>
      <c r="G37" s="5" t="s">
        <v>142</v>
      </c>
      <c r="H37" s="5" t="s">
        <v>101</v>
      </c>
      <c r="I37" s="5" t="s">
        <v>143</v>
      </c>
      <c r="J37" s="5" t="s">
        <v>162</v>
      </c>
      <c r="K37" s="5" t="s">
        <v>310</v>
      </c>
      <c r="L37" s="5" t="s">
        <v>105</v>
      </c>
      <c r="M37" s="55">
        <v>45659</v>
      </c>
      <c r="N37" s="68">
        <f t="shared" ca="1" si="0"/>
        <v>518</v>
      </c>
      <c r="O37" s="71" t="str">
        <f t="shared" ca="1" si="1"/>
        <v>1-2Y</v>
      </c>
      <c r="P37" s="132" t="s">
        <v>106</v>
      </c>
      <c r="Q37" s="5" t="s">
        <v>107</v>
      </c>
      <c r="R37" s="5" t="s">
        <v>108</v>
      </c>
      <c r="S37" s="111">
        <v>30</v>
      </c>
      <c r="T37" s="111">
        <v>120</v>
      </c>
      <c r="U37" s="111">
        <f t="shared" si="2"/>
        <v>150</v>
      </c>
      <c r="V37" s="5"/>
      <c r="W37" s="5" t="s">
        <v>109</v>
      </c>
      <c r="X37" s="5" t="s">
        <v>109</v>
      </c>
      <c r="Y37" s="131" t="str">
        <f>+IF(AO37="Approved","Yes",AS37)</f>
        <v>Yes</v>
      </c>
      <c r="Z37" s="5" t="s">
        <v>110</v>
      </c>
      <c r="AA37" s="5" t="s">
        <v>311</v>
      </c>
      <c r="AB37" s="5"/>
      <c r="AC37" s="5"/>
      <c r="AD37" s="248">
        <f>+AL37</f>
        <v>46023</v>
      </c>
      <c r="AE37" s="248">
        <f>+AS37</f>
        <v>46266</v>
      </c>
      <c r="AF37" s="5" t="s">
        <v>109</v>
      </c>
      <c r="AG37" s="5" t="s">
        <v>111</v>
      </c>
      <c r="AH37" s="5" t="s">
        <v>111</v>
      </c>
      <c r="AI37" s="5" t="s">
        <v>109</v>
      </c>
      <c r="AJ37" s="5" t="s">
        <v>109</v>
      </c>
      <c r="AK37" s="5" t="s">
        <v>222</v>
      </c>
      <c r="AL37" s="7">
        <v>46023</v>
      </c>
      <c r="AM37" s="5" t="s">
        <v>109</v>
      </c>
      <c r="AN37" s="5" t="s">
        <v>109</v>
      </c>
      <c r="AO37" s="5" t="s">
        <v>110</v>
      </c>
      <c r="AP37" s="5" t="s">
        <v>109</v>
      </c>
      <c r="AQ37" s="5"/>
      <c r="AR37" s="78"/>
      <c r="AS37" s="248">
        <v>46266</v>
      </c>
      <c r="AT37" s="5" t="s">
        <v>109</v>
      </c>
      <c r="AU37" s="5" t="s">
        <v>109</v>
      </c>
      <c r="AV37" s="5" t="s">
        <v>111</v>
      </c>
      <c r="AW37" s="5" t="s">
        <v>111</v>
      </c>
      <c r="AX37" s="5" t="s">
        <v>109</v>
      </c>
      <c r="AY37" s="5" t="s">
        <v>114</v>
      </c>
      <c r="AZ37" s="5" t="s">
        <v>114</v>
      </c>
      <c r="BA37" s="5" t="s">
        <v>114</v>
      </c>
      <c r="BB37" s="5" t="s">
        <v>114</v>
      </c>
      <c r="BC37" s="5" t="s">
        <v>114</v>
      </c>
      <c r="BD37" s="5" t="s">
        <v>114</v>
      </c>
      <c r="BE37" s="5" t="s">
        <v>111</v>
      </c>
      <c r="BF37" s="5" t="s">
        <v>111</v>
      </c>
      <c r="BG37" s="132" t="s">
        <v>114</v>
      </c>
      <c r="BH37" s="132" t="s">
        <v>109</v>
      </c>
      <c r="BI37" s="7">
        <v>46266</v>
      </c>
      <c r="BJ37" s="7">
        <v>46296</v>
      </c>
      <c r="BK37" s="5" t="s">
        <v>109</v>
      </c>
      <c r="BL37" s="5" t="s">
        <v>114</v>
      </c>
      <c r="BM37" s="5"/>
      <c r="BN37" s="5" t="s">
        <v>109</v>
      </c>
      <c r="BO37" s="5"/>
      <c r="BP37" s="5"/>
      <c r="BQ37" s="5"/>
      <c r="BR37" s="5"/>
      <c r="BS37" s="5"/>
      <c r="BT37" s="5"/>
      <c r="BU37" s="5"/>
      <c r="BV37" s="5"/>
      <c r="BW37" s="5" t="s">
        <v>184</v>
      </c>
      <c r="BX37" s="5"/>
      <c r="BY37" s="5"/>
      <c r="BZ37" s="5"/>
      <c r="CA37" s="5"/>
      <c r="CB37" s="179" t="s">
        <v>118</v>
      </c>
      <c r="CC37" s="179" t="s">
        <v>109</v>
      </c>
      <c r="CD37" s="5" t="s">
        <v>109</v>
      </c>
      <c r="CE37" s="5"/>
      <c r="CF37" s="179"/>
      <c r="CG37" s="179"/>
      <c r="CH37" s="199"/>
      <c r="CI37" s="179" t="str">
        <f t="shared" si="3"/>
        <v>Jan'25</v>
      </c>
      <c r="CJ37" s="179" t="s">
        <v>107</v>
      </c>
      <c r="CK37" s="179" t="s">
        <v>109</v>
      </c>
      <c r="CL37" s="179" t="s">
        <v>109</v>
      </c>
      <c r="CM37" s="8" t="s">
        <v>312</v>
      </c>
    </row>
    <row r="38" spans="1:91" s="6" customFormat="1" ht="94.5" customHeight="1" x14ac:dyDescent="0.25">
      <c r="A38" s="5">
        <v>104</v>
      </c>
      <c r="B38" s="207" t="s">
        <v>313</v>
      </c>
      <c r="C38" s="78" t="s">
        <v>314</v>
      </c>
      <c r="D38" s="5" t="s">
        <v>195</v>
      </c>
      <c r="E38" s="58">
        <v>2111</v>
      </c>
      <c r="F38" s="5">
        <v>9112735899</v>
      </c>
      <c r="G38" s="5" t="s">
        <v>100</v>
      </c>
      <c r="H38" s="5" t="s">
        <v>101</v>
      </c>
      <c r="I38" s="5" t="s">
        <v>102</v>
      </c>
      <c r="J38" s="5" t="s">
        <v>103</v>
      </c>
      <c r="K38" s="5" t="s">
        <v>315</v>
      </c>
      <c r="L38" s="5" t="s">
        <v>105</v>
      </c>
      <c r="M38" s="55">
        <v>45307</v>
      </c>
      <c r="N38" s="68">
        <f t="shared" ca="1" si="0"/>
        <v>870</v>
      </c>
      <c r="O38" s="71" t="str">
        <f t="shared" ca="1" si="1"/>
        <v>2-3Y</v>
      </c>
      <c r="P38" s="132" t="s">
        <v>158</v>
      </c>
      <c r="Q38" s="5" t="s">
        <v>192</v>
      </c>
      <c r="R38" s="5" t="s">
        <v>108</v>
      </c>
      <c r="S38" s="111">
        <v>30</v>
      </c>
      <c r="T38" s="111">
        <v>120</v>
      </c>
      <c r="U38" s="111">
        <f t="shared" si="2"/>
        <v>150</v>
      </c>
      <c r="V38" s="5"/>
      <c r="W38" s="5" t="s">
        <v>109</v>
      </c>
      <c r="X38" s="5" t="s">
        <v>109</v>
      </c>
      <c r="Y38" s="131" t="str">
        <f>+IF(AO38="Approved","Yes",AS38)</f>
        <v>Yes</v>
      </c>
      <c r="Z38" s="5" t="s">
        <v>110</v>
      </c>
      <c r="AA38" s="5"/>
      <c r="AB38" s="5"/>
      <c r="AC38" s="5"/>
      <c r="AD38" s="248">
        <v>46266</v>
      </c>
      <c r="AE38" s="248">
        <v>46296</v>
      </c>
      <c r="AF38" s="5" t="s">
        <v>109</v>
      </c>
      <c r="AG38" s="78"/>
      <c r="AH38" s="5"/>
      <c r="AI38" s="5" t="s">
        <v>109</v>
      </c>
      <c r="AJ38" s="5" t="s">
        <v>109</v>
      </c>
      <c r="AK38" s="5" t="s">
        <v>181</v>
      </c>
      <c r="AL38" s="7">
        <v>46266</v>
      </c>
      <c r="AM38" s="5" t="s">
        <v>184</v>
      </c>
      <c r="AN38" s="5" t="s">
        <v>109</v>
      </c>
      <c r="AO38" s="5" t="s">
        <v>110</v>
      </c>
      <c r="AP38" s="5" t="s">
        <v>109</v>
      </c>
      <c r="AQ38" s="5">
        <v>4338490</v>
      </c>
      <c r="AR38" s="78" t="s">
        <v>316</v>
      </c>
      <c r="AS38" s="254">
        <v>46296</v>
      </c>
      <c r="AT38" s="5" t="s">
        <v>109</v>
      </c>
      <c r="AU38" s="5" t="s">
        <v>109</v>
      </c>
      <c r="AV38" s="78" t="s">
        <v>111</v>
      </c>
      <c r="AW38" s="5" t="s">
        <v>111</v>
      </c>
      <c r="AX38" s="5" t="s">
        <v>109</v>
      </c>
      <c r="AY38" s="5" t="s">
        <v>198</v>
      </c>
      <c r="AZ38" s="5" t="s">
        <v>130</v>
      </c>
      <c r="BA38" s="5" t="s">
        <v>198</v>
      </c>
      <c r="BB38" s="5" t="s">
        <v>130</v>
      </c>
      <c r="BC38" s="5" t="s">
        <v>199</v>
      </c>
      <c r="BD38" s="5" t="s">
        <v>111</v>
      </c>
      <c r="BE38" s="5" t="s">
        <v>199</v>
      </c>
      <c r="BF38" s="5" t="s">
        <v>199</v>
      </c>
      <c r="BG38" s="132" t="s">
        <v>114</v>
      </c>
      <c r="BH38" s="132" t="s">
        <v>171</v>
      </c>
      <c r="BI38" s="7">
        <v>46265</v>
      </c>
      <c r="BJ38" s="7">
        <v>46387</v>
      </c>
      <c r="BK38" s="5" t="s">
        <v>109</v>
      </c>
      <c r="BL38" s="5" t="s">
        <v>114</v>
      </c>
      <c r="BM38" s="5"/>
      <c r="BN38" s="5" t="s">
        <v>184</v>
      </c>
      <c r="BO38" s="5"/>
      <c r="BP38" s="5"/>
      <c r="BQ38" s="5"/>
      <c r="BR38" s="5"/>
      <c r="BS38" s="5"/>
      <c r="BT38" s="5"/>
      <c r="BU38" s="5"/>
      <c r="BV38" s="5"/>
      <c r="BW38" s="5" t="s">
        <v>184</v>
      </c>
      <c r="BX38" s="5"/>
      <c r="BY38" s="5"/>
      <c r="BZ38" s="5"/>
      <c r="CA38" s="5"/>
      <c r="CB38" s="179" t="s">
        <v>118</v>
      </c>
      <c r="CC38" s="179" t="s">
        <v>109</v>
      </c>
      <c r="CD38" s="5"/>
      <c r="CE38" s="5"/>
      <c r="CF38" s="179"/>
      <c r="CG38" s="179"/>
      <c r="CH38" s="199"/>
      <c r="CI38" s="179" t="str">
        <f t="shared" si="3"/>
        <v>Jan'24</v>
      </c>
      <c r="CJ38" s="179" t="s">
        <v>192</v>
      </c>
      <c r="CK38" s="179"/>
      <c r="CL38" s="179"/>
    </row>
    <row r="39" spans="1:91" s="6" customFormat="1" ht="64.5" customHeight="1" x14ac:dyDescent="0.25">
      <c r="A39" s="78">
        <v>122</v>
      </c>
      <c r="B39" s="207" t="s">
        <v>317</v>
      </c>
      <c r="C39" s="78" t="s">
        <v>318</v>
      </c>
      <c r="D39" s="78" t="s">
        <v>190</v>
      </c>
      <c r="E39" s="78" t="s">
        <v>319</v>
      </c>
      <c r="F39" s="78">
        <v>9309939919</v>
      </c>
      <c r="G39" s="78" t="s">
        <v>142</v>
      </c>
      <c r="H39" s="78" t="s">
        <v>101</v>
      </c>
      <c r="I39" s="78" t="s">
        <v>143</v>
      </c>
      <c r="J39" s="78" t="s">
        <v>162</v>
      </c>
      <c r="K39" s="78" t="s">
        <v>320</v>
      </c>
      <c r="L39" s="78" t="s">
        <v>179</v>
      </c>
      <c r="M39" s="232">
        <v>45321</v>
      </c>
      <c r="N39" s="233">
        <f t="shared" ca="1" si="0"/>
        <v>856</v>
      </c>
      <c r="O39" s="233" t="str">
        <f t="shared" ca="1" si="1"/>
        <v>2-3Y</v>
      </c>
      <c r="P39" s="132" t="s">
        <v>158</v>
      </c>
      <c r="Q39" s="78" t="s">
        <v>107</v>
      </c>
      <c r="R39" s="78" t="s">
        <v>108</v>
      </c>
      <c r="S39" s="111">
        <v>30</v>
      </c>
      <c r="T39" s="111">
        <v>120</v>
      </c>
      <c r="U39" s="111">
        <f t="shared" si="2"/>
        <v>150</v>
      </c>
      <c r="V39" s="78"/>
      <c r="W39" s="78" t="s">
        <v>109</v>
      </c>
      <c r="X39" s="78" t="s">
        <v>109</v>
      </c>
      <c r="Y39" s="234"/>
      <c r="Z39" s="78" t="s">
        <v>274</v>
      </c>
      <c r="AA39" s="78"/>
      <c r="AB39" s="78"/>
      <c r="AC39" s="78"/>
      <c r="AD39" s="248">
        <v>46266</v>
      </c>
      <c r="AE39" s="248">
        <v>46296</v>
      </c>
      <c r="AF39" s="78" t="s">
        <v>109</v>
      </c>
      <c r="AG39" s="78" t="s">
        <v>111</v>
      </c>
      <c r="AH39" s="78" t="s">
        <v>111</v>
      </c>
      <c r="AI39" s="78" t="s">
        <v>109</v>
      </c>
      <c r="AJ39" s="78" t="s">
        <v>184</v>
      </c>
      <c r="AK39" s="78" t="s">
        <v>181</v>
      </c>
      <c r="AL39" s="248">
        <v>46266</v>
      </c>
      <c r="AM39" s="78" t="s">
        <v>109</v>
      </c>
      <c r="AN39" s="78" t="s">
        <v>184</v>
      </c>
      <c r="AO39" s="78" t="s">
        <v>265</v>
      </c>
      <c r="AP39" s="78" t="s">
        <v>171</v>
      </c>
      <c r="AQ39" s="78"/>
      <c r="AR39" s="78" t="s">
        <v>321</v>
      </c>
      <c r="AS39" s="254">
        <v>46296</v>
      </c>
      <c r="AT39" s="232" t="s">
        <v>109</v>
      </c>
      <c r="AU39" s="78" t="s">
        <v>109</v>
      </c>
      <c r="AV39" s="78" t="s">
        <v>111</v>
      </c>
      <c r="AW39" s="78" t="s">
        <v>111</v>
      </c>
      <c r="AX39" s="78" t="s">
        <v>109</v>
      </c>
      <c r="AY39" s="78" t="s">
        <v>114</v>
      </c>
      <c r="AZ39" s="78" t="s">
        <v>261</v>
      </c>
      <c r="BA39" s="78" t="s">
        <v>114</v>
      </c>
      <c r="BB39" s="78" t="s">
        <v>130</v>
      </c>
      <c r="BC39" s="78" t="s">
        <v>114</v>
      </c>
      <c r="BD39" s="78" t="s">
        <v>111</v>
      </c>
      <c r="BE39" s="78" t="s">
        <v>114</v>
      </c>
      <c r="BF39" s="78" t="s">
        <v>114</v>
      </c>
      <c r="BG39" s="132" t="s">
        <v>114</v>
      </c>
      <c r="BH39" s="78" t="s">
        <v>171</v>
      </c>
      <c r="BI39" s="248">
        <v>46388</v>
      </c>
      <c r="BJ39" s="248">
        <v>46419</v>
      </c>
      <c r="BK39" s="78" t="s">
        <v>109</v>
      </c>
      <c r="BL39" s="78"/>
      <c r="BM39" s="78"/>
      <c r="BN39" s="78"/>
      <c r="BO39" s="78"/>
      <c r="BP39" s="78"/>
      <c r="BQ39" s="78"/>
      <c r="BR39" s="78"/>
      <c r="BS39" s="78"/>
      <c r="BT39" s="78"/>
      <c r="BU39" s="78"/>
      <c r="BV39" s="78"/>
      <c r="BW39" s="78" t="s">
        <v>184</v>
      </c>
      <c r="BX39" s="78"/>
      <c r="BY39" s="78"/>
      <c r="BZ39" s="78" t="s">
        <v>114</v>
      </c>
      <c r="CA39" s="5" t="s">
        <v>114</v>
      </c>
      <c r="CB39" s="179" t="s">
        <v>185</v>
      </c>
      <c r="CC39" s="179" t="s">
        <v>109</v>
      </c>
      <c r="CD39" s="5"/>
      <c r="CE39" s="5"/>
      <c r="CF39" s="179"/>
      <c r="CG39" s="179"/>
      <c r="CH39" s="199"/>
      <c r="CI39" s="179" t="str">
        <f t="shared" si="3"/>
        <v>Jan'24</v>
      </c>
      <c r="CJ39" s="179" t="s">
        <v>107</v>
      </c>
      <c r="CK39" s="179"/>
      <c r="CL39" s="179"/>
    </row>
    <row r="40" spans="1:91" s="6" customFormat="1" ht="61.5" customHeight="1" x14ac:dyDescent="0.25">
      <c r="A40" s="5">
        <v>132</v>
      </c>
      <c r="B40" s="125" t="s">
        <v>322</v>
      </c>
      <c r="C40" s="78" t="s">
        <v>323</v>
      </c>
      <c r="D40" s="5" t="s">
        <v>141</v>
      </c>
      <c r="E40" s="58">
        <v>97</v>
      </c>
      <c r="F40" s="5">
        <v>8788144518</v>
      </c>
      <c r="G40" s="5" t="s">
        <v>169</v>
      </c>
      <c r="H40" s="5" t="s">
        <v>101</v>
      </c>
      <c r="I40" s="5" t="s">
        <v>143</v>
      </c>
      <c r="J40" s="5" t="s">
        <v>162</v>
      </c>
      <c r="K40" s="5" t="s">
        <v>324</v>
      </c>
      <c r="L40" s="5" t="s">
        <v>105</v>
      </c>
      <c r="M40" s="55">
        <v>45338</v>
      </c>
      <c r="N40" s="68">
        <f t="shared" ca="1" si="0"/>
        <v>839</v>
      </c>
      <c r="O40" s="71" t="str">
        <f t="shared" ca="1" si="1"/>
        <v>2-3Y</v>
      </c>
      <c r="P40" s="132" t="s">
        <v>137</v>
      </c>
      <c r="Q40" s="5" t="s">
        <v>180</v>
      </c>
      <c r="R40" s="5" t="s">
        <v>108</v>
      </c>
      <c r="S40" s="111">
        <v>22</v>
      </c>
      <c r="T40" s="111">
        <v>90</v>
      </c>
      <c r="U40" s="111">
        <f t="shared" si="2"/>
        <v>112</v>
      </c>
      <c r="V40" s="5"/>
      <c r="W40" s="5" t="s">
        <v>109</v>
      </c>
      <c r="X40" s="5" t="s">
        <v>109</v>
      </c>
      <c r="Y40" s="131">
        <f>+IF(AO40="Approved","Yes",AS40)</f>
        <v>46296</v>
      </c>
      <c r="Z40" s="5" t="s">
        <v>274</v>
      </c>
      <c r="AA40" s="5"/>
      <c r="AB40" s="5"/>
      <c r="AC40" s="5"/>
      <c r="AD40" s="248">
        <f t="shared" ref="AD40:AD46" si="8">+AL40</f>
        <v>46266</v>
      </c>
      <c r="AE40" s="248">
        <f t="shared" ref="AE40:AE46" si="9">+AS40</f>
        <v>46296</v>
      </c>
      <c r="AF40" s="5" t="s">
        <v>109</v>
      </c>
      <c r="AG40" s="5" t="s">
        <v>111</v>
      </c>
      <c r="AH40" s="5" t="s">
        <v>111</v>
      </c>
      <c r="AI40" s="5" t="s">
        <v>109</v>
      </c>
      <c r="AJ40" s="5" t="s">
        <v>184</v>
      </c>
      <c r="AK40" s="5" t="s">
        <v>181</v>
      </c>
      <c r="AL40" s="7">
        <v>46266</v>
      </c>
      <c r="AM40" s="5" t="s">
        <v>184</v>
      </c>
      <c r="AN40" s="5" t="s">
        <v>184</v>
      </c>
      <c r="AO40" s="5" t="s">
        <v>265</v>
      </c>
      <c r="AP40" s="5" t="s">
        <v>171</v>
      </c>
      <c r="AQ40" s="5"/>
      <c r="AR40" s="78" t="s">
        <v>325</v>
      </c>
      <c r="AS40" s="248">
        <v>46296</v>
      </c>
      <c r="AT40" s="5" t="s">
        <v>146</v>
      </c>
      <c r="AU40" s="5" t="s">
        <v>146</v>
      </c>
      <c r="AV40" s="78" t="s">
        <v>111</v>
      </c>
      <c r="AW40" s="78" t="s">
        <v>111</v>
      </c>
      <c r="AX40" s="5" t="s">
        <v>146</v>
      </c>
      <c r="AY40" s="5" t="s">
        <v>114</v>
      </c>
      <c r="AZ40" s="5" t="s">
        <v>130</v>
      </c>
      <c r="BA40" s="5" t="s">
        <v>130</v>
      </c>
      <c r="BB40" s="5" t="s">
        <v>111</v>
      </c>
      <c r="BC40" s="5" t="s">
        <v>114</v>
      </c>
      <c r="BD40" s="5" t="s">
        <v>111</v>
      </c>
      <c r="BE40" s="5" t="s">
        <v>111</v>
      </c>
      <c r="BF40" s="5" t="s">
        <v>111</v>
      </c>
      <c r="BG40" s="179" t="s">
        <v>234</v>
      </c>
      <c r="BH40" s="179"/>
      <c r="BI40" s="7">
        <v>46291</v>
      </c>
      <c r="BJ40" s="7">
        <v>46352</v>
      </c>
      <c r="BK40" s="5" t="s">
        <v>109</v>
      </c>
      <c r="BL40" s="5" t="s">
        <v>114</v>
      </c>
      <c r="BM40" s="5"/>
      <c r="BN40" s="5" t="s">
        <v>184</v>
      </c>
      <c r="BO40" s="5"/>
      <c r="BP40" s="5"/>
      <c r="BQ40" s="5"/>
      <c r="BR40" s="5"/>
      <c r="BS40" s="5"/>
      <c r="BT40" s="5"/>
      <c r="BU40" s="5"/>
      <c r="BV40" s="5"/>
      <c r="BW40" s="5" t="s">
        <v>184</v>
      </c>
      <c r="BX40" s="5"/>
      <c r="BY40" s="5"/>
      <c r="BZ40" s="5" t="s">
        <v>270</v>
      </c>
      <c r="CA40" s="5" t="s">
        <v>114</v>
      </c>
      <c r="CB40" s="179" t="s">
        <v>118</v>
      </c>
      <c r="CC40" s="179" t="s">
        <v>109</v>
      </c>
      <c r="CD40" s="5" t="s">
        <v>109</v>
      </c>
      <c r="CE40" s="5"/>
      <c r="CF40" s="179"/>
      <c r="CG40" s="179"/>
      <c r="CH40" s="199"/>
      <c r="CI40" s="179" t="str">
        <f t="shared" si="3"/>
        <v>Feb'24</v>
      </c>
      <c r="CJ40" s="179" t="s">
        <v>186</v>
      </c>
      <c r="CK40" s="179" t="s">
        <v>109</v>
      </c>
      <c r="CL40" s="179" t="s">
        <v>109</v>
      </c>
    </row>
    <row r="41" spans="1:91" s="6" customFormat="1" ht="94.5" customHeight="1" x14ac:dyDescent="0.25">
      <c r="A41" s="5">
        <v>156</v>
      </c>
      <c r="B41" s="125" t="s">
        <v>326</v>
      </c>
      <c r="C41" s="78" t="s">
        <v>327</v>
      </c>
      <c r="D41" s="5" t="s">
        <v>220</v>
      </c>
      <c r="E41" s="58">
        <v>1805</v>
      </c>
      <c r="F41" s="5">
        <v>8956677327</v>
      </c>
      <c r="G41" s="5" t="s">
        <v>169</v>
      </c>
      <c r="H41" s="5" t="s">
        <v>122</v>
      </c>
      <c r="I41" s="5" t="s">
        <v>143</v>
      </c>
      <c r="J41" s="5" t="s">
        <v>144</v>
      </c>
      <c r="K41" s="5" t="s">
        <v>328</v>
      </c>
      <c r="L41" s="5" t="s">
        <v>105</v>
      </c>
      <c r="M41" s="55">
        <v>45456</v>
      </c>
      <c r="N41" s="68">
        <f t="shared" ca="1" si="0"/>
        <v>721</v>
      </c>
      <c r="O41" s="71" t="str">
        <f t="shared" ca="1" si="1"/>
        <v>1-2Y</v>
      </c>
      <c r="P41" s="132" t="s">
        <v>106</v>
      </c>
      <c r="Q41" s="5" t="s">
        <v>125</v>
      </c>
      <c r="R41" s="5" t="s">
        <v>108</v>
      </c>
      <c r="S41" s="111">
        <v>20</v>
      </c>
      <c r="T41" s="111">
        <v>84</v>
      </c>
      <c r="U41" s="111">
        <f t="shared" si="2"/>
        <v>104</v>
      </c>
      <c r="V41" s="5"/>
      <c r="W41" s="5" t="s">
        <v>109</v>
      </c>
      <c r="X41" s="5" t="s">
        <v>109</v>
      </c>
      <c r="Y41" s="131">
        <f>+IF(AO41="Approved","Yes",AS41)</f>
        <v>46296</v>
      </c>
      <c r="Z41" s="5" t="s">
        <v>111</v>
      </c>
      <c r="AA41" s="5"/>
      <c r="AB41" s="5"/>
      <c r="AC41" s="5"/>
      <c r="AD41" s="248">
        <f t="shared" si="8"/>
        <v>46266</v>
      </c>
      <c r="AE41" s="248">
        <f t="shared" si="9"/>
        <v>46296</v>
      </c>
      <c r="AF41" s="5" t="s">
        <v>109</v>
      </c>
      <c r="AG41" s="5" t="s">
        <v>111</v>
      </c>
      <c r="AH41" s="5" t="s">
        <v>111</v>
      </c>
      <c r="AI41" s="5" t="s">
        <v>115</v>
      </c>
      <c r="AJ41" s="5" t="s">
        <v>115</v>
      </c>
      <c r="AK41" s="5" t="s">
        <v>181</v>
      </c>
      <c r="AL41" s="7">
        <v>46266</v>
      </c>
      <c r="AM41" s="5" t="s">
        <v>109</v>
      </c>
      <c r="AN41" s="5" t="s">
        <v>109</v>
      </c>
      <c r="AO41" s="5" t="s">
        <v>265</v>
      </c>
      <c r="AP41" s="5" t="s">
        <v>171</v>
      </c>
      <c r="AQ41" s="5"/>
      <c r="AR41" s="78" t="s">
        <v>258</v>
      </c>
      <c r="AS41" s="248">
        <v>46296</v>
      </c>
      <c r="AT41" s="5" t="s">
        <v>109</v>
      </c>
      <c r="AU41" s="5" t="s">
        <v>109</v>
      </c>
      <c r="AV41" s="5" t="s">
        <v>28</v>
      </c>
      <c r="AW41" s="5" t="s">
        <v>171</v>
      </c>
      <c r="AX41" s="5" t="s">
        <v>109</v>
      </c>
      <c r="AY41" s="5" t="s">
        <v>109</v>
      </c>
      <c r="AZ41" s="5" t="s">
        <v>171</v>
      </c>
      <c r="BA41" s="5" t="s">
        <v>109</v>
      </c>
      <c r="BB41" s="5" t="s">
        <v>261</v>
      </c>
      <c r="BC41" s="5" t="s">
        <v>130</v>
      </c>
      <c r="BD41" s="5" t="s">
        <v>109</v>
      </c>
      <c r="BE41" s="5" t="s">
        <v>111</v>
      </c>
      <c r="BF41" s="5" t="s">
        <v>111</v>
      </c>
      <c r="BG41" s="132" t="s">
        <v>114</v>
      </c>
      <c r="BH41" s="132" t="s">
        <v>90</v>
      </c>
      <c r="BI41" s="7">
        <v>46229</v>
      </c>
      <c r="BJ41" s="7">
        <v>46229</v>
      </c>
      <c r="BK41" s="5" t="s">
        <v>109</v>
      </c>
      <c r="BL41" s="5" t="s">
        <v>114</v>
      </c>
      <c r="BM41" s="5" t="s">
        <v>111</v>
      </c>
      <c r="BN41" s="5" t="s">
        <v>111</v>
      </c>
      <c r="BO41" s="5" t="s">
        <v>115</v>
      </c>
      <c r="BP41" s="5"/>
      <c r="BQ41" s="5"/>
      <c r="BR41" s="5"/>
      <c r="BS41" s="5"/>
      <c r="BT41" s="5"/>
      <c r="BU41" s="5"/>
      <c r="BV41" s="5"/>
      <c r="BW41" s="5" t="s">
        <v>184</v>
      </c>
      <c r="BX41" s="5"/>
      <c r="BY41" s="5"/>
      <c r="BZ41" s="5"/>
      <c r="CA41" s="5"/>
      <c r="CB41" s="179" t="s">
        <v>118</v>
      </c>
      <c r="CC41" s="179" t="s">
        <v>109</v>
      </c>
      <c r="CD41" s="5" t="s">
        <v>109</v>
      </c>
      <c r="CE41" s="5"/>
      <c r="CF41" s="179"/>
      <c r="CG41" s="179"/>
      <c r="CH41" s="199"/>
      <c r="CI41" s="179" t="str">
        <f t="shared" si="3"/>
        <v>Jun'24</v>
      </c>
      <c r="CJ41" s="179" t="s">
        <v>132</v>
      </c>
      <c r="CK41" s="179" t="s">
        <v>109</v>
      </c>
      <c r="CL41" s="179" t="s">
        <v>109</v>
      </c>
    </row>
    <row r="42" spans="1:91" s="6" customFormat="1" ht="94.5" customHeight="1" x14ac:dyDescent="0.25">
      <c r="A42" s="5">
        <v>155</v>
      </c>
      <c r="B42" s="125" t="s">
        <v>329</v>
      </c>
      <c r="C42" s="78" t="s">
        <v>330</v>
      </c>
      <c r="D42" s="5" t="s">
        <v>195</v>
      </c>
      <c r="E42" s="58">
        <v>1618</v>
      </c>
      <c r="F42" s="5">
        <v>8693000910</v>
      </c>
      <c r="G42" s="5" t="s">
        <v>142</v>
      </c>
      <c r="H42" s="5" t="s">
        <v>122</v>
      </c>
      <c r="I42" s="5" t="s">
        <v>143</v>
      </c>
      <c r="J42" s="5" t="s">
        <v>144</v>
      </c>
      <c r="K42" s="5" t="s">
        <v>331</v>
      </c>
      <c r="L42" s="5" t="s">
        <v>105</v>
      </c>
      <c r="M42" s="55">
        <v>45456</v>
      </c>
      <c r="N42" s="68">
        <f t="shared" ca="1" si="0"/>
        <v>721</v>
      </c>
      <c r="O42" s="71" t="str">
        <f t="shared" ca="1" si="1"/>
        <v>1-2Y</v>
      </c>
      <c r="P42" s="132" t="s">
        <v>158</v>
      </c>
      <c r="Q42" s="5" t="s">
        <v>192</v>
      </c>
      <c r="R42" s="5" t="s">
        <v>108</v>
      </c>
      <c r="S42" s="111">
        <v>40</v>
      </c>
      <c r="T42" s="111">
        <v>120</v>
      </c>
      <c r="U42" s="111">
        <f t="shared" si="2"/>
        <v>160</v>
      </c>
      <c r="V42" s="5"/>
      <c r="W42" s="5" t="s">
        <v>109</v>
      </c>
      <c r="X42" s="5" t="s">
        <v>109</v>
      </c>
      <c r="Y42" s="131">
        <f>+IF(AO42="Approved","Yes",AS42)</f>
        <v>46296</v>
      </c>
      <c r="Z42" s="5" t="s">
        <v>111</v>
      </c>
      <c r="AA42" s="5"/>
      <c r="AB42" s="5"/>
      <c r="AC42" s="5"/>
      <c r="AD42" s="248">
        <f t="shared" si="8"/>
        <v>46266</v>
      </c>
      <c r="AE42" s="248">
        <f t="shared" si="9"/>
        <v>46296</v>
      </c>
      <c r="AF42" s="5" t="s">
        <v>109</v>
      </c>
      <c r="AG42" s="5" t="s">
        <v>111</v>
      </c>
      <c r="AH42" s="5" t="s">
        <v>111</v>
      </c>
      <c r="AI42" s="5" t="s">
        <v>115</v>
      </c>
      <c r="AJ42" s="5" t="s">
        <v>115</v>
      </c>
      <c r="AK42" s="5" t="s">
        <v>181</v>
      </c>
      <c r="AL42" s="7">
        <v>46266</v>
      </c>
      <c r="AM42" s="5" t="s">
        <v>109</v>
      </c>
      <c r="AN42" s="5" t="s">
        <v>109</v>
      </c>
      <c r="AO42" s="5" t="s">
        <v>265</v>
      </c>
      <c r="AP42" s="5" t="s">
        <v>171</v>
      </c>
      <c r="AQ42" s="5"/>
      <c r="AR42" s="78"/>
      <c r="AS42" s="248">
        <v>46296</v>
      </c>
      <c r="AT42" s="5" t="s">
        <v>109</v>
      </c>
      <c r="AU42" s="5" t="s">
        <v>109</v>
      </c>
      <c r="AV42" s="78" t="s">
        <v>111</v>
      </c>
      <c r="AW42" s="5" t="s">
        <v>111</v>
      </c>
      <c r="AX42" s="5" t="s">
        <v>109</v>
      </c>
      <c r="AY42" s="5" t="s">
        <v>198</v>
      </c>
      <c r="AZ42" s="5" t="s">
        <v>130</v>
      </c>
      <c r="BA42" s="5" t="s">
        <v>198</v>
      </c>
      <c r="BB42" s="5" t="s">
        <v>130</v>
      </c>
      <c r="BC42" s="5" t="s">
        <v>199</v>
      </c>
      <c r="BD42" s="5" t="s">
        <v>111</v>
      </c>
      <c r="BE42" s="5" t="s">
        <v>199</v>
      </c>
      <c r="BF42" s="5" t="s">
        <v>199</v>
      </c>
      <c r="BG42" s="5" t="s">
        <v>332</v>
      </c>
      <c r="BH42" s="132" t="s">
        <v>171</v>
      </c>
      <c r="BI42" s="7">
        <v>46295</v>
      </c>
      <c r="BJ42" s="7">
        <v>46326</v>
      </c>
      <c r="BK42" s="5" t="s">
        <v>109</v>
      </c>
      <c r="BL42" s="5" t="s">
        <v>333</v>
      </c>
      <c r="BM42" s="5" t="s">
        <v>111</v>
      </c>
      <c r="BN42" s="5" t="s">
        <v>111</v>
      </c>
      <c r="BO42" s="5" t="s">
        <v>115</v>
      </c>
      <c r="BP42" s="5"/>
      <c r="BQ42" s="5"/>
      <c r="BR42" s="5"/>
      <c r="BS42" s="5"/>
      <c r="BT42" s="5"/>
      <c r="BU42" s="5"/>
      <c r="BV42" s="5"/>
      <c r="BW42" s="5" t="s">
        <v>184</v>
      </c>
      <c r="BX42" s="5"/>
      <c r="BY42" s="5"/>
      <c r="BZ42" s="5"/>
      <c r="CA42" s="5"/>
      <c r="CB42" s="179" t="s">
        <v>118</v>
      </c>
      <c r="CC42" s="179" t="s">
        <v>109</v>
      </c>
      <c r="CD42" s="5" t="s">
        <v>109</v>
      </c>
      <c r="CE42" s="5"/>
      <c r="CF42" s="179"/>
      <c r="CG42" s="179"/>
      <c r="CH42" s="199"/>
      <c r="CI42" s="179" t="str">
        <f t="shared" si="3"/>
        <v>Jun'24</v>
      </c>
      <c r="CJ42" s="179" t="s">
        <v>192</v>
      </c>
      <c r="CK42" s="179" t="s">
        <v>109</v>
      </c>
      <c r="CL42" s="179" t="s">
        <v>109</v>
      </c>
    </row>
    <row r="43" spans="1:91" s="6" customFormat="1" ht="55.5" customHeight="1" x14ac:dyDescent="0.25">
      <c r="A43" s="5">
        <v>165</v>
      </c>
      <c r="B43" s="125" t="s">
        <v>334</v>
      </c>
      <c r="C43" s="78" t="s">
        <v>335</v>
      </c>
      <c r="D43" s="5" t="s">
        <v>156</v>
      </c>
      <c r="E43" s="58">
        <v>2104</v>
      </c>
      <c r="F43" s="5">
        <v>9011668400</v>
      </c>
      <c r="G43" s="5" t="s">
        <v>100</v>
      </c>
      <c r="H43" s="5" t="s">
        <v>122</v>
      </c>
      <c r="I43" s="5" t="s">
        <v>102</v>
      </c>
      <c r="J43" s="5" t="s">
        <v>123</v>
      </c>
      <c r="K43" s="5" t="s">
        <v>336</v>
      </c>
      <c r="L43" s="5" t="s">
        <v>105</v>
      </c>
      <c r="M43" s="55">
        <v>45458</v>
      </c>
      <c r="N43" s="68">
        <f t="shared" ca="1" si="0"/>
        <v>719</v>
      </c>
      <c r="O43" s="71" t="str">
        <f t="shared" ca="1" si="1"/>
        <v>1-2Y</v>
      </c>
      <c r="P43" s="132" t="s">
        <v>158</v>
      </c>
      <c r="Q43" s="5" t="s">
        <v>192</v>
      </c>
      <c r="R43" s="5" t="s">
        <v>108</v>
      </c>
      <c r="S43" s="111">
        <v>20</v>
      </c>
      <c r="T43" s="111">
        <v>40</v>
      </c>
      <c r="U43" s="111">
        <f t="shared" si="2"/>
        <v>60</v>
      </c>
      <c r="V43" s="5"/>
      <c r="W43" s="5" t="s">
        <v>109</v>
      </c>
      <c r="X43" s="5" t="s">
        <v>109</v>
      </c>
      <c r="Y43" s="131" t="str">
        <f>+AP43</f>
        <v>No</v>
      </c>
      <c r="Z43" s="5" t="s">
        <v>111</v>
      </c>
      <c r="AA43" s="5"/>
      <c r="AB43" s="5"/>
      <c r="AC43" s="5"/>
      <c r="AD43" s="248">
        <f t="shared" si="8"/>
        <v>46266</v>
      </c>
      <c r="AE43" s="248">
        <f t="shared" si="9"/>
        <v>46296</v>
      </c>
      <c r="AF43" s="5" t="s">
        <v>109</v>
      </c>
      <c r="AG43" s="5" t="s">
        <v>111</v>
      </c>
      <c r="AH43" s="5" t="s">
        <v>111</v>
      </c>
      <c r="AI43" s="5" t="s">
        <v>115</v>
      </c>
      <c r="AJ43" s="5" t="s">
        <v>115</v>
      </c>
      <c r="AK43" s="5" t="s">
        <v>181</v>
      </c>
      <c r="AL43" s="7">
        <v>46266</v>
      </c>
      <c r="AM43" s="5" t="s">
        <v>109</v>
      </c>
      <c r="AN43" s="5" t="s">
        <v>109</v>
      </c>
      <c r="AO43" s="5" t="s">
        <v>265</v>
      </c>
      <c r="AP43" s="5" t="s">
        <v>171</v>
      </c>
      <c r="AQ43" s="5"/>
      <c r="AR43" s="78" t="s">
        <v>258</v>
      </c>
      <c r="AS43" s="248">
        <v>46296</v>
      </c>
      <c r="AT43" s="5" t="s">
        <v>109</v>
      </c>
      <c r="AU43" s="5" t="s">
        <v>109</v>
      </c>
      <c r="AV43" s="5" t="s">
        <v>111</v>
      </c>
      <c r="AW43" s="5" t="s">
        <v>111</v>
      </c>
      <c r="AX43" s="5" t="s">
        <v>109</v>
      </c>
      <c r="AY43" s="5" t="s">
        <v>114</v>
      </c>
      <c r="AZ43" s="5" t="s">
        <v>109</v>
      </c>
      <c r="BA43" s="5" t="s">
        <v>130</v>
      </c>
      <c r="BB43" s="5" t="s">
        <v>115</v>
      </c>
      <c r="BC43" s="5" t="s">
        <v>111</v>
      </c>
      <c r="BD43" s="5" t="s">
        <v>111</v>
      </c>
      <c r="BE43" s="5" t="s">
        <v>130</v>
      </c>
      <c r="BF43" s="5" t="s">
        <v>130</v>
      </c>
      <c r="BG43" s="132" t="s">
        <v>259</v>
      </c>
      <c r="BH43" s="132" t="s">
        <v>171</v>
      </c>
      <c r="BI43" s="7">
        <v>46291</v>
      </c>
      <c r="BJ43" s="7">
        <v>46321</v>
      </c>
      <c r="BK43" s="5" t="s">
        <v>109</v>
      </c>
      <c r="BL43" s="5" t="s">
        <v>244</v>
      </c>
      <c r="BM43" s="5" t="s">
        <v>111</v>
      </c>
      <c r="BN43" s="5" t="s">
        <v>111</v>
      </c>
      <c r="BO43" s="5" t="s">
        <v>115</v>
      </c>
      <c r="BP43" s="5"/>
      <c r="BQ43" s="5"/>
      <c r="BR43" s="5"/>
      <c r="BS43" s="5"/>
      <c r="BT43" s="5"/>
      <c r="BU43" s="5"/>
      <c r="BV43" s="5"/>
      <c r="BW43" s="5" t="s">
        <v>184</v>
      </c>
      <c r="BX43" s="5"/>
      <c r="BY43" s="5"/>
      <c r="BZ43" s="5"/>
      <c r="CA43" s="5"/>
      <c r="CB43" s="179" t="s">
        <v>118</v>
      </c>
      <c r="CC43" s="179" t="s">
        <v>109</v>
      </c>
      <c r="CD43" s="5" t="s">
        <v>109</v>
      </c>
      <c r="CE43" s="5"/>
      <c r="CF43" s="179"/>
      <c r="CG43" s="179"/>
      <c r="CH43" s="199"/>
      <c r="CI43" s="179" t="str">
        <f t="shared" si="3"/>
        <v>Jun'24</v>
      </c>
      <c r="CJ43" s="179" t="s">
        <v>192</v>
      </c>
      <c r="CK43" s="179" t="s">
        <v>109</v>
      </c>
      <c r="CL43" s="200" t="s">
        <v>109</v>
      </c>
    </row>
    <row r="44" spans="1:91" s="6" customFormat="1" ht="64.5" customHeight="1" x14ac:dyDescent="0.25">
      <c r="A44" s="5">
        <v>174</v>
      </c>
      <c r="B44" s="125" t="s">
        <v>337</v>
      </c>
      <c r="C44" s="78" t="s">
        <v>338</v>
      </c>
      <c r="D44" s="5" t="s">
        <v>121</v>
      </c>
      <c r="E44" s="58">
        <v>1686</v>
      </c>
      <c r="F44" s="5">
        <v>7709553333</v>
      </c>
      <c r="G44" s="5" t="s">
        <v>142</v>
      </c>
      <c r="H44" s="5" t="s">
        <v>122</v>
      </c>
      <c r="I44" s="5" t="s">
        <v>143</v>
      </c>
      <c r="J44" s="5" t="s">
        <v>144</v>
      </c>
      <c r="K44" s="5" t="s">
        <v>339</v>
      </c>
      <c r="L44" s="5" t="s">
        <v>105</v>
      </c>
      <c r="M44" s="55">
        <v>45460</v>
      </c>
      <c r="N44" s="68">
        <f t="shared" ca="1" si="0"/>
        <v>717</v>
      </c>
      <c r="O44" s="71" t="str">
        <f t="shared" ca="1" si="1"/>
        <v>1-2Y</v>
      </c>
      <c r="P44" s="132" t="s">
        <v>106</v>
      </c>
      <c r="Q44" s="5" t="s">
        <v>125</v>
      </c>
      <c r="R44" s="5" t="s">
        <v>164</v>
      </c>
      <c r="S44" s="111">
        <v>40</v>
      </c>
      <c r="T44" s="111">
        <v>130</v>
      </c>
      <c r="U44" s="111">
        <f t="shared" si="2"/>
        <v>170</v>
      </c>
      <c r="V44" s="5"/>
      <c r="W44" s="5" t="s">
        <v>109</v>
      </c>
      <c r="X44" s="5" t="s">
        <v>109</v>
      </c>
      <c r="Y44" s="131">
        <f>+IF(AO44="Approved","Yes",AS44)</f>
        <v>46296</v>
      </c>
      <c r="Z44" s="5" t="s">
        <v>111</v>
      </c>
      <c r="AA44" s="5"/>
      <c r="AB44" s="5"/>
      <c r="AC44" s="5"/>
      <c r="AD44" s="248">
        <f t="shared" si="8"/>
        <v>46266</v>
      </c>
      <c r="AE44" s="248">
        <f t="shared" si="9"/>
        <v>46296</v>
      </c>
      <c r="AF44" s="5" t="s">
        <v>109</v>
      </c>
      <c r="AG44" s="5" t="s">
        <v>111</v>
      </c>
      <c r="AH44" s="5" t="s">
        <v>111</v>
      </c>
      <c r="AI44" s="5" t="s">
        <v>115</v>
      </c>
      <c r="AJ44" s="5" t="s">
        <v>115</v>
      </c>
      <c r="AK44" s="5" t="s">
        <v>181</v>
      </c>
      <c r="AL44" s="248">
        <v>46266</v>
      </c>
      <c r="AM44" s="5" t="s">
        <v>109</v>
      </c>
      <c r="AN44" s="5" t="s">
        <v>109</v>
      </c>
      <c r="AO44" s="5" t="s">
        <v>265</v>
      </c>
      <c r="AP44" s="5" t="s">
        <v>171</v>
      </c>
      <c r="AQ44" s="5"/>
      <c r="AR44" s="78" t="s">
        <v>340</v>
      </c>
      <c r="AS44" s="248">
        <v>46296</v>
      </c>
      <c r="AT44" s="5" t="s">
        <v>109</v>
      </c>
      <c r="AU44" s="5" t="s">
        <v>109</v>
      </c>
      <c r="AV44" s="5"/>
      <c r="AW44" s="5" t="s">
        <v>111</v>
      </c>
      <c r="AX44" s="5" t="s">
        <v>109</v>
      </c>
      <c r="AY44" s="5" t="s">
        <v>109</v>
      </c>
      <c r="AZ44" s="5" t="s">
        <v>130</v>
      </c>
      <c r="BA44" s="5" t="s">
        <v>130</v>
      </c>
      <c r="BB44" s="262" t="s">
        <v>130</v>
      </c>
      <c r="BC44" s="5" t="s">
        <v>114</v>
      </c>
      <c r="BD44" s="5" t="s">
        <v>114</v>
      </c>
      <c r="BE44" s="5" t="s">
        <v>111</v>
      </c>
      <c r="BF44" s="5" t="s">
        <v>111</v>
      </c>
      <c r="BG44" s="132" t="s">
        <v>259</v>
      </c>
      <c r="BH44" s="132" t="s">
        <v>171</v>
      </c>
      <c r="BI44" s="7">
        <v>46291</v>
      </c>
      <c r="BJ44" s="7">
        <v>46321</v>
      </c>
      <c r="BK44" s="5" t="s">
        <v>109</v>
      </c>
      <c r="BL44" s="5" t="s">
        <v>114</v>
      </c>
      <c r="BM44" s="5" t="s">
        <v>111</v>
      </c>
      <c r="BN44" s="5" t="s">
        <v>111</v>
      </c>
      <c r="BO44" s="5" t="s">
        <v>115</v>
      </c>
      <c r="BP44" s="5"/>
      <c r="BQ44" s="5"/>
      <c r="BR44" s="5"/>
      <c r="BS44" s="5"/>
      <c r="BT44" s="5"/>
      <c r="BU44" s="5"/>
      <c r="BV44" s="5"/>
      <c r="BW44" s="5" t="s">
        <v>184</v>
      </c>
      <c r="BX44" s="5"/>
      <c r="BY44" s="5"/>
      <c r="BZ44" s="5"/>
      <c r="CA44" s="5"/>
      <c r="CB44" s="179" t="s">
        <v>118</v>
      </c>
      <c r="CC44" s="179" t="s">
        <v>109</v>
      </c>
      <c r="CD44" s="5" t="s">
        <v>109</v>
      </c>
      <c r="CE44" s="5"/>
      <c r="CF44" s="179"/>
      <c r="CG44" s="179"/>
      <c r="CH44" s="199"/>
      <c r="CI44" s="179" t="str">
        <f t="shared" si="3"/>
        <v>Jun'24</v>
      </c>
      <c r="CJ44" s="179" t="s">
        <v>132</v>
      </c>
      <c r="CK44" s="179" t="s">
        <v>109</v>
      </c>
      <c r="CL44" s="179" t="s">
        <v>109</v>
      </c>
    </row>
    <row r="45" spans="1:91" s="6" customFormat="1" ht="94.5" customHeight="1" x14ac:dyDescent="0.25">
      <c r="A45" s="5">
        <v>77</v>
      </c>
      <c r="B45" s="125" t="s">
        <v>341</v>
      </c>
      <c r="C45" s="78" t="s">
        <v>342</v>
      </c>
      <c r="D45" s="5" t="s">
        <v>135</v>
      </c>
      <c r="E45" s="58">
        <v>1961</v>
      </c>
      <c r="F45" s="5">
        <v>9975251537</v>
      </c>
      <c r="G45" s="5" t="s">
        <v>142</v>
      </c>
      <c r="H45" s="5" t="s">
        <v>122</v>
      </c>
      <c r="I45" s="5" t="s">
        <v>143</v>
      </c>
      <c r="J45" s="5" t="s">
        <v>144</v>
      </c>
      <c r="K45" s="5" t="s">
        <v>343</v>
      </c>
      <c r="L45" s="5" t="s">
        <v>105</v>
      </c>
      <c r="M45" s="55">
        <v>45265</v>
      </c>
      <c r="N45" s="68">
        <f t="shared" ca="1" si="0"/>
        <v>912</v>
      </c>
      <c r="O45" s="71" t="str">
        <f t="shared" ca="1" si="1"/>
        <v>2-3Y</v>
      </c>
      <c r="P45" s="132" t="s">
        <v>137</v>
      </c>
      <c r="Q45" s="5" t="s">
        <v>125</v>
      </c>
      <c r="R45" s="5" t="s">
        <v>108</v>
      </c>
      <c r="S45" s="111">
        <v>30</v>
      </c>
      <c r="T45" s="111">
        <v>120</v>
      </c>
      <c r="U45" s="111">
        <f t="shared" si="2"/>
        <v>150</v>
      </c>
      <c r="V45" s="5"/>
      <c r="W45" s="5" t="s">
        <v>109</v>
      </c>
      <c r="X45" s="5" t="s">
        <v>109</v>
      </c>
      <c r="Y45" s="131" t="str">
        <f>+AP45</f>
        <v>Yes</v>
      </c>
      <c r="Z45" s="5" t="s">
        <v>111</v>
      </c>
      <c r="AA45" s="5"/>
      <c r="AB45" s="5"/>
      <c r="AC45" s="5"/>
      <c r="AD45" s="248">
        <f t="shared" si="8"/>
        <v>46296</v>
      </c>
      <c r="AE45" s="248">
        <f t="shared" si="9"/>
        <v>46327</v>
      </c>
      <c r="AF45" s="5" t="s">
        <v>109</v>
      </c>
      <c r="AG45" s="5" t="s">
        <v>111</v>
      </c>
      <c r="AH45" s="5" t="s">
        <v>111</v>
      </c>
      <c r="AI45" s="5" t="s">
        <v>115</v>
      </c>
      <c r="AJ45" s="5" t="s">
        <v>115</v>
      </c>
      <c r="AK45" s="5" t="s">
        <v>181</v>
      </c>
      <c r="AL45" s="7">
        <v>46296</v>
      </c>
      <c r="AM45" s="5" t="s">
        <v>109</v>
      </c>
      <c r="AN45" s="5" t="s">
        <v>109</v>
      </c>
      <c r="AO45" s="5" t="s">
        <v>110</v>
      </c>
      <c r="AP45" s="5" t="s">
        <v>109</v>
      </c>
      <c r="AQ45" s="5">
        <v>4337974</v>
      </c>
      <c r="AR45" s="78"/>
      <c r="AS45" s="248">
        <v>46327</v>
      </c>
      <c r="AT45" s="5" t="s">
        <v>109</v>
      </c>
      <c r="AU45" s="5" t="s">
        <v>109</v>
      </c>
      <c r="AV45" s="78" t="s">
        <v>111</v>
      </c>
      <c r="AW45" s="5" t="s">
        <v>111</v>
      </c>
      <c r="AX45" s="5" t="s">
        <v>109</v>
      </c>
      <c r="AY45" s="5" t="s">
        <v>114</v>
      </c>
      <c r="AZ45" s="5" t="s">
        <v>130</v>
      </c>
      <c r="BA45" s="5" t="s">
        <v>114</v>
      </c>
      <c r="BB45" s="5" t="s">
        <v>130</v>
      </c>
      <c r="BC45" s="5" t="s">
        <v>114</v>
      </c>
      <c r="BD45" s="5" t="s">
        <v>111</v>
      </c>
      <c r="BE45" s="5" t="s">
        <v>111</v>
      </c>
      <c r="BF45" s="5" t="s">
        <v>111</v>
      </c>
      <c r="BG45" s="132" t="s">
        <v>114</v>
      </c>
      <c r="BH45" s="132" t="s">
        <v>90</v>
      </c>
      <c r="BI45" s="7">
        <v>46325</v>
      </c>
      <c r="BJ45" s="7">
        <v>46356</v>
      </c>
      <c r="BK45" s="5" t="s">
        <v>109</v>
      </c>
      <c r="BL45" s="5" t="s">
        <v>114</v>
      </c>
      <c r="BM45" s="5" t="s">
        <v>111</v>
      </c>
      <c r="BN45" s="5" t="s">
        <v>111</v>
      </c>
      <c r="BO45" s="5" t="s">
        <v>115</v>
      </c>
      <c r="BP45" s="5"/>
      <c r="BQ45" s="5"/>
      <c r="BR45" s="5"/>
      <c r="BS45" s="5"/>
      <c r="BT45" s="5"/>
      <c r="BU45" s="5"/>
      <c r="BV45" s="5"/>
      <c r="BW45" s="5" t="s">
        <v>184</v>
      </c>
      <c r="BX45" s="5"/>
      <c r="BY45" s="5"/>
      <c r="BZ45" s="5"/>
      <c r="CA45" s="5"/>
      <c r="CB45" s="179" t="s">
        <v>118</v>
      </c>
      <c r="CC45" s="179" t="s">
        <v>109</v>
      </c>
      <c r="CD45" s="5" t="s">
        <v>109</v>
      </c>
      <c r="CE45" s="5"/>
      <c r="CF45" s="179"/>
      <c r="CG45" s="179"/>
      <c r="CH45" s="199"/>
      <c r="CI45" s="179" t="str">
        <f t="shared" si="3"/>
        <v>Dec'23</v>
      </c>
      <c r="CJ45" s="179" t="s">
        <v>132</v>
      </c>
      <c r="CK45" s="179" t="s">
        <v>109</v>
      </c>
      <c r="CL45" s="201" t="s">
        <v>109</v>
      </c>
    </row>
    <row r="46" spans="1:91" s="6" customFormat="1" ht="47.45" customHeight="1" x14ac:dyDescent="0.25">
      <c r="A46" s="5">
        <v>206</v>
      </c>
      <c r="B46" s="125" t="s">
        <v>344</v>
      </c>
      <c r="C46" s="78" t="s">
        <v>345</v>
      </c>
      <c r="D46" s="5" t="s">
        <v>99</v>
      </c>
      <c r="E46" s="58">
        <v>1873</v>
      </c>
      <c r="F46" s="5">
        <v>9130821872</v>
      </c>
      <c r="G46" s="5" t="s">
        <v>142</v>
      </c>
      <c r="H46" s="5" t="s">
        <v>122</v>
      </c>
      <c r="I46" s="5" t="s">
        <v>143</v>
      </c>
      <c r="J46" s="5" t="s">
        <v>144</v>
      </c>
      <c r="K46" s="5" t="s">
        <v>346</v>
      </c>
      <c r="L46" s="5" t="s">
        <v>105</v>
      </c>
      <c r="M46" s="55">
        <v>45464</v>
      </c>
      <c r="N46" s="68">
        <f t="shared" ca="1" si="0"/>
        <v>713</v>
      </c>
      <c r="O46" s="71" t="str">
        <f t="shared" ca="1" si="1"/>
        <v>1-2Y</v>
      </c>
      <c r="P46" s="132" t="s">
        <v>106</v>
      </c>
      <c r="Q46" s="5" t="s">
        <v>192</v>
      </c>
      <c r="R46" s="5" t="s">
        <v>108</v>
      </c>
      <c r="S46" s="111">
        <v>50</v>
      </c>
      <c r="T46" s="111">
        <v>110</v>
      </c>
      <c r="U46" s="111">
        <f t="shared" si="2"/>
        <v>160</v>
      </c>
      <c r="V46" s="5"/>
      <c r="W46" s="5" t="s">
        <v>109</v>
      </c>
      <c r="X46" s="5" t="s">
        <v>109</v>
      </c>
      <c r="Y46" s="131"/>
      <c r="Z46" s="5" t="s">
        <v>111</v>
      </c>
      <c r="AA46" s="5"/>
      <c r="AB46" s="5"/>
      <c r="AC46" s="5"/>
      <c r="AD46" s="248">
        <f t="shared" si="8"/>
        <v>46296</v>
      </c>
      <c r="AE46" s="248">
        <f t="shared" si="9"/>
        <v>46327</v>
      </c>
      <c r="AF46" s="5" t="s">
        <v>109</v>
      </c>
      <c r="AG46" s="5" t="s">
        <v>111</v>
      </c>
      <c r="AH46" s="5" t="s">
        <v>111</v>
      </c>
      <c r="AI46" s="5" t="s">
        <v>115</v>
      </c>
      <c r="AJ46" s="5" t="s">
        <v>115</v>
      </c>
      <c r="AK46" s="5" t="s">
        <v>181</v>
      </c>
      <c r="AL46" s="7">
        <v>46296</v>
      </c>
      <c r="AM46" s="5" t="s">
        <v>109</v>
      </c>
      <c r="AN46" s="5" t="s">
        <v>109</v>
      </c>
      <c r="AO46" s="5" t="s">
        <v>265</v>
      </c>
      <c r="AP46" s="5" t="s">
        <v>171</v>
      </c>
      <c r="AQ46" s="5"/>
      <c r="AR46" s="78" t="s">
        <v>258</v>
      </c>
      <c r="AS46" s="248">
        <v>46327</v>
      </c>
      <c r="AT46" s="5" t="s">
        <v>109</v>
      </c>
      <c r="AU46" s="5" t="s">
        <v>109</v>
      </c>
      <c r="AV46" s="78" t="s">
        <v>347</v>
      </c>
      <c r="AW46" s="5" t="s">
        <v>111</v>
      </c>
      <c r="AX46" s="5" t="s">
        <v>109</v>
      </c>
      <c r="AY46" s="5" t="s">
        <v>109</v>
      </c>
      <c r="AZ46" s="5" t="s">
        <v>348</v>
      </c>
      <c r="BA46" s="5" t="s">
        <v>130</v>
      </c>
      <c r="BB46" s="5" t="s">
        <v>285</v>
      </c>
      <c r="BC46" s="5" t="s">
        <v>173</v>
      </c>
      <c r="BD46" s="5" t="s">
        <v>173</v>
      </c>
      <c r="BE46" s="5" t="s">
        <v>111</v>
      </c>
      <c r="BF46" s="5" t="s">
        <v>111</v>
      </c>
      <c r="BG46" s="132" t="s">
        <v>234</v>
      </c>
      <c r="BH46" s="132" t="s">
        <v>171</v>
      </c>
      <c r="BI46" s="7">
        <v>46296</v>
      </c>
      <c r="BJ46" s="7">
        <v>46327</v>
      </c>
      <c r="BK46" s="5" t="s">
        <v>109</v>
      </c>
      <c r="BL46" s="5" t="s">
        <v>114</v>
      </c>
      <c r="BM46" s="5" t="s">
        <v>111</v>
      </c>
      <c r="BN46" s="5" t="s">
        <v>111</v>
      </c>
      <c r="BO46" s="5" t="s">
        <v>115</v>
      </c>
      <c r="BP46" s="5"/>
      <c r="BQ46" s="5"/>
      <c r="BR46" s="5"/>
      <c r="BS46" s="5"/>
      <c r="BT46" s="5"/>
      <c r="BU46" s="5"/>
      <c r="BV46" s="5"/>
      <c r="BW46" s="5" t="s">
        <v>184</v>
      </c>
      <c r="BX46" s="5"/>
      <c r="BY46" s="5"/>
      <c r="BZ46" s="5"/>
      <c r="CA46" s="5"/>
      <c r="CB46" s="179" t="s">
        <v>118</v>
      </c>
      <c r="CC46" s="179" t="s">
        <v>109</v>
      </c>
      <c r="CD46" s="5" t="s">
        <v>109</v>
      </c>
      <c r="CE46" s="5"/>
      <c r="CF46" s="179"/>
      <c r="CG46" s="179"/>
      <c r="CH46" s="199"/>
      <c r="CI46" s="179" t="str">
        <f t="shared" si="3"/>
        <v>Jun'24</v>
      </c>
      <c r="CJ46" s="179" t="s">
        <v>192</v>
      </c>
      <c r="CK46" s="179" t="s">
        <v>109</v>
      </c>
      <c r="CL46" s="179" t="s">
        <v>109</v>
      </c>
    </row>
    <row r="47" spans="1:91" s="6" customFormat="1" ht="60.95" customHeight="1" x14ac:dyDescent="0.25">
      <c r="A47" s="5">
        <v>217</v>
      </c>
      <c r="B47" s="207" t="s">
        <v>349</v>
      </c>
      <c r="C47" s="78" t="s">
        <v>350</v>
      </c>
      <c r="D47" s="5" t="s">
        <v>156</v>
      </c>
      <c r="E47" s="58">
        <v>1819</v>
      </c>
      <c r="F47" s="5">
        <v>7272909666</v>
      </c>
      <c r="G47" s="5" t="s">
        <v>142</v>
      </c>
      <c r="H47" s="5" t="s">
        <v>122</v>
      </c>
      <c r="I47" s="5" t="s">
        <v>143</v>
      </c>
      <c r="J47" s="5" t="s">
        <v>144</v>
      </c>
      <c r="K47" s="5" t="s">
        <v>351</v>
      </c>
      <c r="L47" s="5" t="s">
        <v>105</v>
      </c>
      <c r="M47" s="55">
        <v>45541</v>
      </c>
      <c r="N47" s="68">
        <f t="shared" ca="1" si="0"/>
        <v>636</v>
      </c>
      <c r="O47" s="71" t="str">
        <f t="shared" ca="1" si="1"/>
        <v>1-2Y</v>
      </c>
      <c r="P47" s="132" t="s">
        <v>158</v>
      </c>
      <c r="Q47" s="5" t="s">
        <v>125</v>
      </c>
      <c r="R47" s="5" t="s">
        <v>108</v>
      </c>
      <c r="S47" s="111">
        <v>30</v>
      </c>
      <c r="T47" s="111">
        <v>120</v>
      </c>
      <c r="U47" s="111">
        <f t="shared" si="2"/>
        <v>150</v>
      </c>
      <c r="V47" s="5"/>
      <c r="W47" s="5" t="s">
        <v>109</v>
      </c>
      <c r="X47" s="5" t="s">
        <v>109</v>
      </c>
      <c r="Y47" s="131">
        <f>+IF(AO47="Approved","Yes",AS47)</f>
        <v>46327</v>
      </c>
      <c r="Z47" s="5" t="s">
        <v>111</v>
      </c>
      <c r="AA47" s="5"/>
      <c r="AB47" s="5"/>
      <c r="AC47" s="5"/>
      <c r="AD47" s="248">
        <v>46296</v>
      </c>
      <c r="AE47" s="248">
        <v>46327</v>
      </c>
      <c r="AF47" s="5" t="s">
        <v>109</v>
      </c>
      <c r="AG47" s="5"/>
      <c r="AH47" s="5"/>
      <c r="AI47" s="5" t="s">
        <v>115</v>
      </c>
      <c r="AJ47" s="5" t="s">
        <v>115</v>
      </c>
      <c r="AK47" s="5" t="s">
        <v>181</v>
      </c>
      <c r="AL47" s="7">
        <v>46296</v>
      </c>
      <c r="AM47" s="5" t="s">
        <v>109</v>
      </c>
      <c r="AN47" s="5" t="s">
        <v>109</v>
      </c>
      <c r="AO47" s="5" t="s">
        <v>265</v>
      </c>
      <c r="AP47" s="5"/>
      <c r="AQ47" s="5"/>
      <c r="AR47" s="78" t="s">
        <v>352</v>
      </c>
      <c r="AS47" s="248">
        <f>+AL47+31</f>
        <v>46327</v>
      </c>
      <c r="AT47" s="5" t="s">
        <v>109</v>
      </c>
      <c r="AU47" s="5" t="s">
        <v>109</v>
      </c>
      <c r="AV47" s="5" t="s">
        <v>111</v>
      </c>
      <c r="AW47" s="5" t="s">
        <v>111</v>
      </c>
      <c r="AX47" s="5" t="s">
        <v>109</v>
      </c>
      <c r="AY47" s="5" t="s">
        <v>114</v>
      </c>
      <c r="AZ47" s="5" t="s">
        <v>259</v>
      </c>
      <c r="BA47" s="5" t="s">
        <v>253</v>
      </c>
      <c r="BB47" s="5" t="s">
        <v>261</v>
      </c>
      <c r="BC47" s="5" t="s">
        <v>111</v>
      </c>
      <c r="BD47" s="5" t="s">
        <v>111</v>
      </c>
      <c r="BE47" s="5" t="s">
        <v>253</v>
      </c>
      <c r="BF47" s="5" t="s">
        <v>253</v>
      </c>
      <c r="BG47" s="58" t="s">
        <v>353</v>
      </c>
      <c r="BH47" s="58" t="s">
        <v>171</v>
      </c>
      <c r="BI47" s="7">
        <v>46296</v>
      </c>
      <c r="BJ47" s="7">
        <v>46327</v>
      </c>
      <c r="BK47" s="5" t="s">
        <v>109</v>
      </c>
      <c r="BL47" s="5"/>
      <c r="BM47" s="5" t="s">
        <v>111</v>
      </c>
      <c r="BN47" s="5" t="s">
        <v>111</v>
      </c>
      <c r="BO47" s="5" t="s">
        <v>115</v>
      </c>
      <c r="BP47" s="5"/>
      <c r="BQ47" s="5"/>
      <c r="BR47" s="5"/>
      <c r="BS47" s="5"/>
      <c r="BT47" s="5"/>
      <c r="BU47" s="5"/>
      <c r="BV47" s="5"/>
      <c r="BW47" s="5" t="s">
        <v>184</v>
      </c>
      <c r="BX47" s="5"/>
      <c r="BY47" s="5"/>
      <c r="BZ47" s="5"/>
      <c r="CA47" s="5"/>
      <c r="CB47" s="179" t="s">
        <v>118</v>
      </c>
      <c r="CC47" s="179" t="s">
        <v>109</v>
      </c>
      <c r="CD47" s="5"/>
      <c r="CE47" s="5"/>
      <c r="CF47" s="179"/>
      <c r="CG47" s="179"/>
      <c r="CH47" s="199"/>
      <c r="CI47" s="179" t="str">
        <f t="shared" si="3"/>
        <v>Sep'24</v>
      </c>
      <c r="CJ47" s="179" t="s">
        <v>132</v>
      </c>
      <c r="CK47" s="179"/>
      <c r="CL47" s="179"/>
    </row>
    <row r="48" spans="1:91" s="6" customFormat="1" ht="67.5" customHeight="1" x14ac:dyDescent="0.25">
      <c r="A48" s="5">
        <v>240</v>
      </c>
      <c r="B48" s="125" t="s">
        <v>354</v>
      </c>
      <c r="C48" s="78" t="s">
        <v>355</v>
      </c>
      <c r="D48" s="5" t="s">
        <v>121</v>
      </c>
      <c r="E48" s="58">
        <v>102</v>
      </c>
      <c r="F48" s="5">
        <v>8237342043</v>
      </c>
      <c r="G48" s="5" t="s">
        <v>142</v>
      </c>
      <c r="H48" s="5" t="s">
        <v>101</v>
      </c>
      <c r="I48" s="5" t="s">
        <v>143</v>
      </c>
      <c r="J48" s="5" t="s">
        <v>162</v>
      </c>
      <c r="K48" s="5" t="s">
        <v>356</v>
      </c>
      <c r="L48" s="5" t="s">
        <v>105</v>
      </c>
      <c r="M48" s="55">
        <v>45783</v>
      </c>
      <c r="N48" s="68">
        <f t="shared" ca="1" si="0"/>
        <v>394</v>
      </c>
      <c r="O48" s="71" t="str">
        <f t="shared" ca="1" si="1"/>
        <v>1-2Y</v>
      </c>
      <c r="P48" s="132" t="s">
        <v>106</v>
      </c>
      <c r="Q48" s="5" t="s">
        <v>107</v>
      </c>
      <c r="R48" s="5" t="s">
        <v>108</v>
      </c>
      <c r="S48" s="111">
        <v>30</v>
      </c>
      <c r="T48" s="111">
        <v>120</v>
      </c>
      <c r="U48" s="111">
        <f t="shared" si="2"/>
        <v>150</v>
      </c>
      <c r="V48" s="5"/>
      <c r="W48" s="5" t="s">
        <v>109</v>
      </c>
      <c r="X48" s="5" t="s">
        <v>109</v>
      </c>
      <c r="Y48" s="131"/>
      <c r="Z48" s="5" t="s">
        <v>274</v>
      </c>
      <c r="AA48" s="5"/>
      <c r="AB48" s="5"/>
      <c r="AC48" s="5"/>
      <c r="AD48" s="248">
        <f>+AL48</f>
        <v>46266</v>
      </c>
      <c r="AE48" s="248">
        <f>+AS48</f>
        <v>46327</v>
      </c>
      <c r="AF48" s="5" t="s">
        <v>109</v>
      </c>
      <c r="AG48" s="5" t="s">
        <v>111</v>
      </c>
      <c r="AH48" s="5" t="s">
        <v>111</v>
      </c>
      <c r="AI48" s="5" t="s">
        <v>109</v>
      </c>
      <c r="AJ48" s="5" t="s">
        <v>184</v>
      </c>
      <c r="AK48" s="5"/>
      <c r="AL48" s="7">
        <v>46266</v>
      </c>
      <c r="AM48" s="5" t="s">
        <v>184</v>
      </c>
      <c r="AN48" s="5" t="s">
        <v>184</v>
      </c>
      <c r="AO48" s="5" t="s">
        <v>265</v>
      </c>
      <c r="AP48" s="5" t="s">
        <v>171</v>
      </c>
      <c r="AQ48" s="5"/>
      <c r="AR48" s="78" t="s">
        <v>258</v>
      </c>
      <c r="AS48" s="248">
        <v>46327</v>
      </c>
      <c r="AT48" s="5" t="s">
        <v>109</v>
      </c>
      <c r="AU48" s="5" t="s">
        <v>109</v>
      </c>
      <c r="AV48" s="5"/>
      <c r="AW48" s="5" t="s">
        <v>111</v>
      </c>
      <c r="AX48" s="5" t="s">
        <v>109</v>
      </c>
      <c r="AY48" s="5" t="s">
        <v>109</v>
      </c>
      <c r="AZ48" s="5" t="s">
        <v>114</v>
      </c>
      <c r="BA48" s="5" t="s">
        <v>130</v>
      </c>
      <c r="BB48" s="5" t="s">
        <v>130</v>
      </c>
      <c r="BC48" s="5" t="s">
        <v>114</v>
      </c>
      <c r="BD48" s="5" t="s">
        <v>114</v>
      </c>
      <c r="BE48" s="5" t="s">
        <v>111</v>
      </c>
      <c r="BF48" s="5" t="s">
        <v>111</v>
      </c>
      <c r="BG48" s="132" t="s">
        <v>234</v>
      </c>
      <c r="BH48" s="132" t="s">
        <v>90</v>
      </c>
      <c r="BI48" s="7">
        <v>46291</v>
      </c>
      <c r="BJ48" s="7">
        <v>46321</v>
      </c>
      <c r="BK48" s="5" t="s">
        <v>109</v>
      </c>
      <c r="BL48" s="5" t="s">
        <v>114</v>
      </c>
      <c r="BM48" s="5"/>
      <c r="BN48" s="5" t="s">
        <v>184</v>
      </c>
      <c r="BO48" s="5"/>
      <c r="BP48" s="5"/>
      <c r="BQ48" s="5"/>
      <c r="BR48" s="5"/>
      <c r="BS48" s="5"/>
      <c r="BT48" s="5"/>
      <c r="BU48" s="5"/>
      <c r="BV48" s="5"/>
      <c r="BW48" s="5" t="s">
        <v>184</v>
      </c>
      <c r="BX48" s="5"/>
      <c r="BY48" s="5"/>
      <c r="BZ48" s="5" t="s">
        <v>357</v>
      </c>
      <c r="CA48" s="5" t="s">
        <v>114</v>
      </c>
      <c r="CB48" s="179" t="s">
        <v>118</v>
      </c>
      <c r="CC48" s="179" t="s">
        <v>109</v>
      </c>
      <c r="CD48" s="5" t="s">
        <v>109</v>
      </c>
      <c r="CE48" s="5"/>
      <c r="CF48" s="179"/>
      <c r="CG48" s="179"/>
      <c r="CH48" s="199"/>
      <c r="CI48" s="179" t="str">
        <f t="shared" si="3"/>
        <v>May'25</v>
      </c>
      <c r="CJ48" s="179" t="s">
        <v>107</v>
      </c>
      <c r="CK48" s="179" t="s">
        <v>109</v>
      </c>
      <c r="CL48" s="200" t="s">
        <v>109</v>
      </c>
    </row>
    <row r="49" spans="1:92" s="6" customFormat="1" ht="59.25" customHeight="1" x14ac:dyDescent="0.25">
      <c r="A49" s="5">
        <v>24</v>
      </c>
      <c r="B49" s="125" t="s">
        <v>358</v>
      </c>
      <c r="C49" s="78" t="s">
        <v>359</v>
      </c>
      <c r="D49" s="5" t="s">
        <v>135</v>
      </c>
      <c r="E49" s="58"/>
      <c r="F49" s="265" t="s">
        <v>181</v>
      </c>
      <c r="G49" s="5" t="s">
        <v>142</v>
      </c>
      <c r="H49" s="5" t="s">
        <v>101</v>
      </c>
      <c r="I49" s="5" t="s">
        <v>143</v>
      </c>
      <c r="J49" s="5" t="s">
        <v>162</v>
      </c>
      <c r="K49" s="5" t="s">
        <v>360</v>
      </c>
      <c r="L49" s="5" t="s">
        <v>179</v>
      </c>
      <c r="M49" s="55">
        <v>43547</v>
      </c>
      <c r="N49" s="68">
        <f t="shared" ca="1" si="0"/>
        <v>2630</v>
      </c>
      <c r="O49" s="71" t="str">
        <f t="shared" ca="1" si="1"/>
        <v>&gt;5Y</v>
      </c>
      <c r="P49" s="132" t="s">
        <v>137</v>
      </c>
      <c r="Q49" s="5" t="s">
        <v>107</v>
      </c>
      <c r="R49" s="5" t="s">
        <v>108</v>
      </c>
      <c r="S49" s="111">
        <v>25</v>
      </c>
      <c r="T49" s="111">
        <v>135</v>
      </c>
      <c r="U49" s="111">
        <f t="shared" si="2"/>
        <v>160</v>
      </c>
      <c r="V49" s="5"/>
      <c r="W49" s="5" t="s">
        <v>109</v>
      </c>
      <c r="X49" s="5" t="s">
        <v>109</v>
      </c>
      <c r="Y49" s="131" t="str">
        <f>+AP49</f>
        <v>Yes</v>
      </c>
      <c r="Z49" s="5" t="s">
        <v>110</v>
      </c>
      <c r="AA49" s="5" t="s">
        <v>109</v>
      </c>
      <c r="AB49" s="5" t="s">
        <v>109</v>
      </c>
      <c r="AC49" s="5" t="s">
        <v>109</v>
      </c>
      <c r="AD49" s="248">
        <f>+AL49</f>
        <v>45809</v>
      </c>
      <c r="AE49" s="248">
        <f>+AS49</f>
        <v>46357</v>
      </c>
      <c r="AF49" s="5" t="s">
        <v>109</v>
      </c>
      <c r="AG49" s="5" t="s">
        <v>111</v>
      </c>
      <c r="AH49" s="5" t="s">
        <v>111</v>
      </c>
      <c r="AI49" s="5" t="s">
        <v>109</v>
      </c>
      <c r="AJ49" s="5" t="s">
        <v>109</v>
      </c>
      <c r="AK49" s="5" t="s">
        <v>112</v>
      </c>
      <c r="AL49" s="7">
        <v>45809</v>
      </c>
      <c r="AM49" s="5" t="s">
        <v>109</v>
      </c>
      <c r="AN49" s="5" t="s">
        <v>109</v>
      </c>
      <c r="AO49" s="5" t="s">
        <v>110</v>
      </c>
      <c r="AP49" s="5" t="s">
        <v>109</v>
      </c>
      <c r="AQ49" s="5">
        <v>4327589</v>
      </c>
      <c r="AR49" s="78" t="s">
        <v>361</v>
      </c>
      <c r="AS49" s="248">
        <v>46357</v>
      </c>
      <c r="AT49" s="5" t="s">
        <v>109</v>
      </c>
      <c r="AU49" s="5" t="s">
        <v>109</v>
      </c>
      <c r="AV49" s="78" t="s">
        <v>362</v>
      </c>
      <c r="AW49" s="5" t="s">
        <v>111</v>
      </c>
      <c r="AX49" s="5" t="s">
        <v>109</v>
      </c>
      <c r="AY49" s="5" t="s">
        <v>114</v>
      </c>
      <c r="AZ49" s="5" t="s">
        <v>114</v>
      </c>
      <c r="BA49" s="5" t="s">
        <v>114</v>
      </c>
      <c r="BB49" s="5" t="s">
        <v>114</v>
      </c>
      <c r="BC49" s="5" t="s">
        <v>114</v>
      </c>
      <c r="BD49" s="5" t="s">
        <v>111</v>
      </c>
      <c r="BE49" s="5" t="s">
        <v>111</v>
      </c>
      <c r="BF49" s="5" t="s">
        <v>111</v>
      </c>
      <c r="BG49" s="132" t="s">
        <v>114</v>
      </c>
      <c r="BH49" s="132" t="s">
        <v>109</v>
      </c>
      <c r="BI49" s="7">
        <v>45838</v>
      </c>
      <c r="BJ49" s="7">
        <v>46538</v>
      </c>
      <c r="BK49" s="5" t="s">
        <v>109</v>
      </c>
      <c r="BL49" s="5" t="s">
        <v>114</v>
      </c>
      <c r="BM49" s="5"/>
      <c r="BN49" s="5" t="s">
        <v>109</v>
      </c>
      <c r="BO49" s="5"/>
      <c r="BP49" s="5"/>
      <c r="BQ49" s="5"/>
      <c r="BR49" s="5"/>
      <c r="BS49" s="5"/>
      <c r="BT49" s="5"/>
      <c r="BU49" s="5"/>
      <c r="BV49" s="5"/>
      <c r="BW49" s="5" t="s">
        <v>184</v>
      </c>
      <c r="BX49" s="5"/>
      <c r="BY49" s="5"/>
      <c r="BZ49" s="5"/>
      <c r="CA49" s="5"/>
      <c r="CB49" s="179" t="s">
        <v>185</v>
      </c>
      <c r="CC49" s="179" t="s">
        <v>109</v>
      </c>
      <c r="CD49" s="5" t="s">
        <v>109</v>
      </c>
      <c r="CE49" s="5"/>
      <c r="CF49" s="179"/>
      <c r="CG49" s="179"/>
      <c r="CH49" s="199"/>
      <c r="CI49" s="179" t="str">
        <f t="shared" si="3"/>
        <v>Mar'19</v>
      </c>
      <c r="CJ49" s="179" t="s">
        <v>107</v>
      </c>
      <c r="CK49" s="179"/>
      <c r="CL49" s="179" t="s">
        <v>109</v>
      </c>
    </row>
    <row r="50" spans="1:92" s="6" customFormat="1" ht="94.5" customHeight="1" x14ac:dyDescent="0.25">
      <c r="A50" s="5">
        <v>107</v>
      </c>
      <c r="B50" s="125" t="s">
        <v>363</v>
      </c>
      <c r="C50" s="78" t="s">
        <v>364</v>
      </c>
      <c r="D50" s="5" t="s">
        <v>150</v>
      </c>
      <c r="E50" s="58">
        <v>1667</v>
      </c>
      <c r="F50" s="5">
        <v>7776079495</v>
      </c>
      <c r="G50" s="5" t="s">
        <v>101</v>
      </c>
      <c r="H50" s="5" t="s">
        <v>101</v>
      </c>
      <c r="I50" s="5" t="s">
        <v>143</v>
      </c>
      <c r="J50" s="5" t="s">
        <v>151</v>
      </c>
      <c r="K50" s="5" t="s">
        <v>365</v>
      </c>
      <c r="L50" s="5" t="s">
        <v>105</v>
      </c>
      <c r="M50" s="55">
        <v>45307</v>
      </c>
      <c r="N50" s="68">
        <f t="shared" ca="1" si="0"/>
        <v>870</v>
      </c>
      <c r="O50" s="71" t="str">
        <f t="shared" ca="1" si="1"/>
        <v>2-3Y</v>
      </c>
      <c r="P50" s="132" t="s">
        <v>106</v>
      </c>
      <c r="Q50" s="5" t="s">
        <v>125</v>
      </c>
      <c r="R50" s="5" t="s">
        <v>164</v>
      </c>
      <c r="S50" s="111">
        <v>120</v>
      </c>
      <c r="T50" s="111">
        <v>80</v>
      </c>
      <c r="U50" s="111">
        <f t="shared" si="2"/>
        <v>200</v>
      </c>
      <c r="V50" s="5"/>
      <c r="W50" s="5" t="s">
        <v>109</v>
      </c>
      <c r="X50" s="5" t="s">
        <v>109</v>
      </c>
      <c r="Y50" s="131"/>
      <c r="Z50" s="5" t="s">
        <v>274</v>
      </c>
      <c r="AA50" s="5"/>
      <c r="AB50" s="5"/>
      <c r="AC50" s="5"/>
      <c r="AD50" s="248">
        <f>+AL50</f>
        <v>46357</v>
      </c>
      <c r="AE50" s="248">
        <v>46357</v>
      </c>
      <c r="AF50" s="5" t="s">
        <v>109</v>
      </c>
      <c r="AG50" s="5" t="s">
        <v>111</v>
      </c>
      <c r="AH50" s="5" t="s">
        <v>111</v>
      </c>
      <c r="AI50" s="5" t="s">
        <v>109</v>
      </c>
      <c r="AJ50" s="5" t="s">
        <v>184</v>
      </c>
      <c r="AK50" s="5"/>
      <c r="AL50" s="248">
        <v>46357</v>
      </c>
      <c r="AM50" s="5" t="s">
        <v>109</v>
      </c>
      <c r="AN50" s="5" t="s">
        <v>184</v>
      </c>
      <c r="AO50" s="5" t="s">
        <v>265</v>
      </c>
      <c r="AP50" s="5" t="s">
        <v>171</v>
      </c>
      <c r="AQ50" s="5"/>
      <c r="AR50" s="78" t="s">
        <v>321</v>
      </c>
      <c r="AS50" s="248">
        <v>46447</v>
      </c>
      <c r="AT50" s="5" t="s">
        <v>109</v>
      </c>
      <c r="AU50" s="5" t="s">
        <v>109</v>
      </c>
      <c r="AV50" s="5" t="s">
        <v>111</v>
      </c>
      <c r="AW50" s="5" t="s">
        <v>111</v>
      </c>
      <c r="AX50" s="5" t="s">
        <v>109</v>
      </c>
      <c r="AY50" s="5" t="s">
        <v>109</v>
      </c>
      <c r="AZ50" s="5" t="s">
        <v>130</v>
      </c>
      <c r="BA50" s="5" t="s">
        <v>130</v>
      </c>
      <c r="BB50" s="5" t="s">
        <v>115</v>
      </c>
      <c r="BC50" s="5" t="s">
        <v>130</v>
      </c>
      <c r="BD50" s="5" t="s">
        <v>109</v>
      </c>
      <c r="BE50" s="5" t="s">
        <v>111</v>
      </c>
      <c r="BF50" s="5" t="s">
        <v>111</v>
      </c>
      <c r="BG50" s="132" t="s">
        <v>114</v>
      </c>
      <c r="BH50" s="132" t="s">
        <v>109</v>
      </c>
      <c r="BI50" s="7">
        <v>46174</v>
      </c>
      <c r="BJ50" s="7">
        <v>46327</v>
      </c>
      <c r="BK50" s="5" t="s">
        <v>109</v>
      </c>
      <c r="BL50" s="5" t="s">
        <v>114</v>
      </c>
      <c r="BM50" s="5"/>
      <c r="BN50" s="5" t="s">
        <v>184</v>
      </c>
      <c r="BO50" s="5"/>
      <c r="BP50" s="5"/>
      <c r="BQ50" s="5"/>
      <c r="BR50" s="5"/>
      <c r="BS50" s="5"/>
      <c r="BT50" s="5"/>
      <c r="BU50" s="5"/>
      <c r="BV50" s="5"/>
      <c r="BW50" s="5" t="s">
        <v>184</v>
      </c>
      <c r="BX50" s="5"/>
      <c r="BY50" s="5"/>
      <c r="BZ50" s="5" t="s">
        <v>114</v>
      </c>
      <c r="CA50" s="5" t="s">
        <v>114</v>
      </c>
      <c r="CB50" s="179" t="s">
        <v>118</v>
      </c>
      <c r="CC50" s="179" t="s">
        <v>109</v>
      </c>
      <c r="CD50" s="5" t="s">
        <v>109</v>
      </c>
      <c r="CE50" s="5"/>
      <c r="CF50" s="179"/>
      <c r="CG50" s="179"/>
      <c r="CH50" s="199"/>
      <c r="CI50" s="179" t="str">
        <f t="shared" si="3"/>
        <v>Jan'24</v>
      </c>
      <c r="CJ50" s="179" t="s">
        <v>132</v>
      </c>
      <c r="CK50" s="179" t="s">
        <v>109</v>
      </c>
      <c r="CL50" s="201" t="s">
        <v>109</v>
      </c>
    </row>
    <row r="51" spans="1:92" s="6" customFormat="1" ht="72" customHeight="1" x14ac:dyDescent="0.25">
      <c r="A51" s="5">
        <v>115</v>
      </c>
      <c r="B51" s="125" t="s">
        <v>366</v>
      </c>
      <c r="C51" s="78" t="s">
        <v>367</v>
      </c>
      <c r="D51" s="5" t="s">
        <v>220</v>
      </c>
      <c r="E51" s="58">
        <v>1575</v>
      </c>
      <c r="F51" s="5">
        <v>9890034141</v>
      </c>
      <c r="G51" s="5" t="s">
        <v>142</v>
      </c>
      <c r="H51" s="5" t="s">
        <v>122</v>
      </c>
      <c r="I51" s="5" t="s">
        <v>143</v>
      </c>
      <c r="J51" s="5" t="s">
        <v>144</v>
      </c>
      <c r="K51" s="5" t="s">
        <v>368</v>
      </c>
      <c r="L51" s="5" t="s">
        <v>105</v>
      </c>
      <c r="M51" s="55">
        <v>45314</v>
      </c>
      <c r="N51" s="68">
        <f t="shared" ca="1" si="0"/>
        <v>863</v>
      </c>
      <c r="O51" s="71" t="str">
        <f t="shared" ca="1" si="1"/>
        <v>2-3Y</v>
      </c>
      <c r="P51" s="132" t="s">
        <v>106</v>
      </c>
      <c r="Q51" s="5" t="s">
        <v>125</v>
      </c>
      <c r="R51" s="5" t="s">
        <v>108</v>
      </c>
      <c r="S51" s="111">
        <v>40</v>
      </c>
      <c r="T51" s="111">
        <v>153</v>
      </c>
      <c r="U51" s="111">
        <f t="shared" si="2"/>
        <v>193</v>
      </c>
      <c r="V51" s="5"/>
      <c r="W51" s="5" t="s">
        <v>109</v>
      </c>
      <c r="X51" s="5" t="s">
        <v>109</v>
      </c>
      <c r="Y51" s="131">
        <f>+IF(AO51="Approved","Yes",AS51)</f>
        <v>46357</v>
      </c>
      <c r="Z51" s="5" t="s">
        <v>111</v>
      </c>
      <c r="AA51" s="5"/>
      <c r="AB51" s="5"/>
      <c r="AC51" s="5"/>
      <c r="AD51" s="248">
        <f>+AL51</f>
        <v>46327</v>
      </c>
      <c r="AE51" s="248">
        <f t="shared" ref="AE51:AE56" si="10">+AS51</f>
        <v>46357</v>
      </c>
      <c r="AF51" s="5" t="s">
        <v>109</v>
      </c>
      <c r="AG51" s="5" t="s">
        <v>111</v>
      </c>
      <c r="AH51" s="5" t="s">
        <v>111</v>
      </c>
      <c r="AI51" s="5" t="s">
        <v>115</v>
      </c>
      <c r="AJ51" s="5" t="s">
        <v>115</v>
      </c>
      <c r="AK51" s="5" t="s">
        <v>181</v>
      </c>
      <c r="AL51" s="7">
        <v>46327</v>
      </c>
      <c r="AM51" s="5" t="s">
        <v>109</v>
      </c>
      <c r="AN51" s="5" t="s">
        <v>109</v>
      </c>
      <c r="AO51" s="5" t="s">
        <v>265</v>
      </c>
      <c r="AP51" s="5" t="s">
        <v>171</v>
      </c>
      <c r="AQ51" s="5"/>
      <c r="AR51" s="78" t="s">
        <v>352</v>
      </c>
      <c r="AS51" s="248">
        <v>46357</v>
      </c>
      <c r="AT51" s="5" t="s">
        <v>109</v>
      </c>
      <c r="AU51" s="5" t="s">
        <v>298</v>
      </c>
      <c r="AV51" s="5" t="s">
        <v>369</v>
      </c>
      <c r="AW51" s="5"/>
      <c r="AX51" s="5" t="s">
        <v>109</v>
      </c>
      <c r="AY51" s="5" t="s">
        <v>109</v>
      </c>
      <c r="AZ51" s="5" t="s">
        <v>171</v>
      </c>
      <c r="BA51" s="5" t="s">
        <v>171</v>
      </c>
      <c r="BB51" s="5" t="s">
        <v>261</v>
      </c>
      <c r="BC51" s="5" t="s">
        <v>171</v>
      </c>
      <c r="BD51" s="5" t="s">
        <v>370</v>
      </c>
      <c r="BE51" s="5" t="s">
        <v>371</v>
      </c>
      <c r="BF51" s="5" t="s">
        <v>111</v>
      </c>
      <c r="BG51" s="132" t="s">
        <v>332</v>
      </c>
      <c r="BH51" s="132" t="s">
        <v>171</v>
      </c>
      <c r="BI51" s="248">
        <v>46388</v>
      </c>
      <c r="BJ51" s="248">
        <v>45992</v>
      </c>
      <c r="BK51" s="5" t="s">
        <v>109</v>
      </c>
      <c r="BL51" s="5" t="s">
        <v>114</v>
      </c>
      <c r="BM51" s="5" t="s">
        <v>111</v>
      </c>
      <c r="BN51" s="5" t="s">
        <v>111</v>
      </c>
      <c r="BO51" s="5" t="s">
        <v>115</v>
      </c>
      <c r="BP51" s="5"/>
      <c r="BQ51" s="5"/>
      <c r="BR51" s="5"/>
      <c r="BS51" s="5"/>
      <c r="BT51" s="5"/>
      <c r="BU51" s="5"/>
      <c r="BV51" s="5"/>
      <c r="BW51" s="5" t="s">
        <v>184</v>
      </c>
      <c r="BX51" s="5"/>
      <c r="BY51" s="5"/>
      <c r="BZ51" s="5"/>
      <c r="CA51" s="5"/>
      <c r="CB51" s="179" t="s">
        <v>118</v>
      </c>
      <c r="CC51" s="179" t="s">
        <v>109</v>
      </c>
      <c r="CD51" s="5" t="s">
        <v>109</v>
      </c>
      <c r="CE51" s="5"/>
      <c r="CF51" s="179"/>
      <c r="CG51" s="179"/>
      <c r="CH51" s="199"/>
      <c r="CI51" s="179" t="str">
        <f t="shared" si="3"/>
        <v>Jan'24</v>
      </c>
      <c r="CJ51" s="179" t="s">
        <v>132</v>
      </c>
      <c r="CK51" s="179" t="s">
        <v>109</v>
      </c>
      <c r="CL51" s="179" t="s">
        <v>109</v>
      </c>
    </row>
    <row r="52" spans="1:92" s="6" customFormat="1" ht="36" customHeight="1" x14ac:dyDescent="0.25">
      <c r="A52" s="78">
        <v>158</v>
      </c>
      <c r="B52" s="125" t="s">
        <v>372</v>
      </c>
      <c r="C52" s="78" t="s">
        <v>373</v>
      </c>
      <c r="D52" s="78" t="s">
        <v>190</v>
      </c>
      <c r="E52" s="78">
        <v>2107</v>
      </c>
      <c r="F52" s="78">
        <v>9011604232</v>
      </c>
      <c r="G52" s="78" t="s">
        <v>100</v>
      </c>
      <c r="H52" s="78" t="s">
        <v>122</v>
      </c>
      <c r="I52" s="78" t="s">
        <v>102</v>
      </c>
      <c r="J52" s="78" t="s">
        <v>123</v>
      </c>
      <c r="K52" s="78" t="s">
        <v>374</v>
      </c>
      <c r="L52" s="78" t="s">
        <v>105</v>
      </c>
      <c r="M52" s="232">
        <v>45456</v>
      </c>
      <c r="N52" s="233">
        <f t="shared" ca="1" si="0"/>
        <v>721</v>
      </c>
      <c r="O52" s="233" t="str">
        <f t="shared" ca="1" si="1"/>
        <v>1-2Y</v>
      </c>
      <c r="P52" s="132" t="s">
        <v>158</v>
      </c>
      <c r="Q52" s="78" t="s">
        <v>192</v>
      </c>
      <c r="R52" s="78" t="s">
        <v>108</v>
      </c>
      <c r="S52" s="111">
        <v>20</v>
      </c>
      <c r="T52" s="111">
        <v>40</v>
      </c>
      <c r="U52" s="111">
        <f t="shared" si="2"/>
        <v>60</v>
      </c>
      <c r="V52" s="78"/>
      <c r="W52" s="78" t="s">
        <v>109</v>
      </c>
      <c r="X52" s="78" t="s">
        <v>109</v>
      </c>
      <c r="Y52" s="234"/>
      <c r="Z52" s="5" t="s">
        <v>111</v>
      </c>
      <c r="AA52" s="78"/>
      <c r="AB52" s="78"/>
      <c r="AC52" s="78"/>
      <c r="AD52" s="248">
        <f>+AL52</f>
        <v>46327</v>
      </c>
      <c r="AE52" s="248">
        <f t="shared" si="10"/>
        <v>46357</v>
      </c>
      <c r="AF52" s="78" t="s">
        <v>109</v>
      </c>
      <c r="AG52" s="78" t="s">
        <v>111</v>
      </c>
      <c r="AH52" s="78" t="s">
        <v>111</v>
      </c>
      <c r="AI52" s="78" t="s">
        <v>115</v>
      </c>
      <c r="AJ52" s="78" t="s">
        <v>115</v>
      </c>
      <c r="AK52" s="78" t="s">
        <v>181</v>
      </c>
      <c r="AL52" s="248">
        <v>46327</v>
      </c>
      <c r="AM52" s="78" t="s">
        <v>109</v>
      </c>
      <c r="AN52" s="78" t="s">
        <v>109</v>
      </c>
      <c r="AO52" s="78" t="s">
        <v>110</v>
      </c>
      <c r="AP52" s="78" t="s">
        <v>109</v>
      </c>
      <c r="AQ52" s="78">
        <v>4338619</v>
      </c>
      <c r="AR52" s="78"/>
      <c r="AS52" s="248">
        <v>46357</v>
      </c>
      <c r="AT52" s="78" t="s">
        <v>109</v>
      </c>
      <c r="AU52" s="78" t="s">
        <v>109</v>
      </c>
      <c r="AV52" s="78" t="s">
        <v>111</v>
      </c>
      <c r="AW52" s="78" t="s">
        <v>111</v>
      </c>
      <c r="AX52" s="78" t="s">
        <v>109</v>
      </c>
      <c r="AY52" s="78" t="s">
        <v>114</v>
      </c>
      <c r="AZ52" s="78" t="s">
        <v>261</v>
      </c>
      <c r="BA52" s="78" t="s">
        <v>130</v>
      </c>
      <c r="BB52" s="78" t="s">
        <v>130</v>
      </c>
      <c r="BC52" s="78" t="s">
        <v>130</v>
      </c>
      <c r="BD52" s="78" t="s">
        <v>111</v>
      </c>
      <c r="BE52" s="78" t="s">
        <v>130</v>
      </c>
      <c r="BF52" s="78" t="s">
        <v>130</v>
      </c>
      <c r="BG52" s="132" t="s">
        <v>114</v>
      </c>
      <c r="BH52" s="232" t="s">
        <v>171</v>
      </c>
      <c r="BI52" s="235">
        <v>46327</v>
      </c>
      <c r="BJ52" s="235">
        <v>46357</v>
      </c>
      <c r="BK52" s="5" t="s">
        <v>260</v>
      </c>
      <c r="BL52" s="5" t="s">
        <v>261</v>
      </c>
      <c r="BM52" s="78" t="s">
        <v>111</v>
      </c>
      <c r="BN52" s="78" t="s">
        <v>111</v>
      </c>
      <c r="BO52" s="78" t="s">
        <v>115</v>
      </c>
      <c r="BP52" s="78"/>
      <c r="BQ52" s="78"/>
      <c r="BR52" s="78"/>
      <c r="BS52" s="78"/>
      <c r="BT52" s="78"/>
      <c r="BU52" s="78"/>
      <c r="BV52" s="78"/>
      <c r="BW52" s="78" t="s">
        <v>184</v>
      </c>
      <c r="BX52" s="78"/>
      <c r="BY52" s="78"/>
      <c r="BZ52" s="78"/>
      <c r="CA52" s="78"/>
      <c r="CB52" s="179" t="s">
        <v>118</v>
      </c>
      <c r="CC52" s="179" t="s">
        <v>109</v>
      </c>
      <c r="CD52" s="5" t="s">
        <v>109</v>
      </c>
      <c r="CE52" s="5"/>
      <c r="CF52" s="179"/>
      <c r="CG52" s="179"/>
      <c r="CH52" s="199"/>
      <c r="CI52" s="179" t="str">
        <f t="shared" si="3"/>
        <v>Jun'24</v>
      </c>
      <c r="CJ52" s="179" t="s">
        <v>192</v>
      </c>
      <c r="CK52" s="179" t="s">
        <v>109</v>
      </c>
      <c r="CL52" s="179" t="s">
        <v>109</v>
      </c>
      <c r="CM52" s="8"/>
    </row>
    <row r="53" spans="1:92" s="4" customFormat="1" ht="27" customHeight="1" x14ac:dyDescent="0.25">
      <c r="A53" s="5">
        <v>225</v>
      </c>
      <c r="B53" s="125" t="s">
        <v>375</v>
      </c>
      <c r="C53" s="78" t="s">
        <v>376</v>
      </c>
      <c r="D53" s="5" t="s">
        <v>99</v>
      </c>
      <c r="E53" s="58">
        <v>1605</v>
      </c>
      <c r="F53" s="5">
        <v>9850837586</v>
      </c>
      <c r="G53" s="5" t="s">
        <v>101</v>
      </c>
      <c r="H53" s="5" t="s">
        <v>101</v>
      </c>
      <c r="I53" s="5" t="s">
        <v>143</v>
      </c>
      <c r="J53" s="5" t="s">
        <v>151</v>
      </c>
      <c r="K53" s="5" t="s">
        <v>377</v>
      </c>
      <c r="L53" s="5" t="s">
        <v>105</v>
      </c>
      <c r="M53" s="55">
        <v>45580</v>
      </c>
      <c r="N53" s="68">
        <f t="shared" ca="1" si="0"/>
        <v>597</v>
      </c>
      <c r="O53" s="71" t="str">
        <f t="shared" ca="1" si="1"/>
        <v>1-2Y</v>
      </c>
      <c r="P53" s="132" t="s">
        <v>106</v>
      </c>
      <c r="Q53" s="5" t="s">
        <v>125</v>
      </c>
      <c r="R53" s="5" t="s">
        <v>108</v>
      </c>
      <c r="S53" s="111">
        <v>250</v>
      </c>
      <c r="T53" s="111">
        <v>100</v>
      </c>
      <c r="U53" s="111">
        <f t="shared" si="2"/>
        <v>350</v>
      </c>
      <c r="V53" s="5"/>
      <c r="W53" s="5" t="s">
        <v>109</v>
      </c>
      <c r="X53" s="5" t="s">
        <v>109</v>
      </c>
      <c r="Y53" s="131">
        <f>+IF(AO53="Approved","Yes",AS53-90)</f>
        <v>46267</v>
      </c>
      <c r="Z53" s="5" t="s">
        <v>274</v>
      </c>
      <c r="AA53" s="5" t="s">
        <v>171</v>
      </c>
      <c r="AB53" s="5" t="s">
        <v>109</v>
      </c>
      <c r="AC53" s="5"/>
      <c r="AD53" s="248">
        <v>46266</v>
      </c>
      <c r="AE53" s="248">
        <f t="shared" si="10"/>
        <v>46357</v>
      </c>
      <c r="AF53" s="5" t="s">
        <v>109</v>
      </c>
      <c r="AG53" s="5"/>
      <c r="AH53" s="5"/>
      <c r="AI53" s="5" t="s">
        <v>109</v>
      </c>
      <c r="AJ53" s="5" t="s">
        <v>184</v>
      </c>
      <c r="AK53" s="5" t="s">
        <v>181</v>
      </c>
      <c r="AL53" s="7">
        <v>46266</v>
      </c>
      <c r="AM53" s="5" t="s">
        <v>109</v>
      </c>
      <c r="AN53" s="5" t="s">
        <v>184</v>
      </c>
      <c r="AO53" s="5" t="s">
        <v>265</v>
      </c>
      <c r="AP53" s="5" t="s">
        <v>171</v>
      </c>
      <c r="AQ53" s="5"/>
      <c r="AR53" s="78" t="s">
        <v>378</v>
      </c>
      <c r="AS53" s="248">
        <v>46357</v>
      </c>
      <c r="AT53" s="5" t="s">
        <v>109</v>
      </c>
      <c r="AU53" s="5" t="s">
        <v>109</v>
      </c>
      <c r="AV53" s="78" t="s">
        <v>379</v>
      </c>
      <c r="AW53" s="5" t="s">
        <v>111</v>
      </c>
      <c r="AX53" s="5" t="s">
        <v>109</v>
      </c>
      <c r="AY53" s="5" t="s">
        <v>109</v>
      </c>
      <c r="AZ53" s="5" t="s">
        <v>130</v>
      </c>
      <c r="BA53" s="5" t="s">
        <v>130</v>
      </c>
      <c r="BB53" s="5" t="s">
        <v>130</v>
      </c>
      <c r="BC53" s="5" t="s">
        <v>173</v>
      </c>
      <c r="BD53" s="5" t="s">
        <v>173</v>
      </c>
      <c r="BE53" s="5" t="s">
        <v>111</v>
      </c>
      <c r="BF53" s="5" t="s">
        <v>111</v>
      </c>
      <c r="BG53" s="132" t="s">
        <v>234</v>
      </c>
      <c r="BH53" s="132" t="s">
        <v>90</v>
      </c>
      <c r="BI53" s="7">
        <v>46419</v>
      </c>
      <c r="BJ53" s="7">
        <v>46447</v>
      </c>
      <c r="BK53" s="5" t="s">
        <v>109</v>
      </c>
      <c r="BL53" s="5" t="s">
        <v>114</v>
      </c>
      <c r="BM53" s="5"/>
      <c r="BN53" s="5" t="s">
        <v>184</v>
      </c>
      <c r="BO53" s="5"/>
      <c r="BP53" s="5"/>
      <c r="BQ53" s="5"/>
      <c r="BR53" s="5"/>
      <c r="BS53" s="5"/>
      <c r="BT53" s="5"/>
      <c r="BU53" s="5"/>
      <c r="BV53" s="5"/>
      <c r="BW53" s="5" t="s">
        <v>184</v>
      </c>
      <c r="BX53" s="5"/>
      <c r="BY53" s="5"/>
      <c r="BZ53" s="5" t="s">
        <v>380</v>
      </c>
      <c r="CA53" s="5" t="s">
        <v>114</v>
      </c>
      <c r="CB53" s="179" t="s">
        <v>118</v>
      </c>
      <c r="CC53" s="179" t="s">
        <v>109</v>
      </c>
      <c r="CD53" s="5" t="s">
        <v>109</v>
      </c>
      <c r="CE53" s="5"/>
      <c r="CF53" s="179"/>
      <c r="CG53" s="179"/>
      <c r="CH53" s="199"/>
      <c r="CI53" s="179" t="str">
        <f t="shared" si="3"/>
        <v>Oct'24</v>
      </c>
      <c r="CJ53" s="179" t="s">
        <v>132</v>
      </c>
      <c r="CK53" s="179" t="s">
        <v>109</v>
      </c>
      <c r="CL53" s="179" t="s">
        <v>109</v>
      </c>
      <c r="CM53" s="6"/>
      <c r="CN53" s="6"/>
    </row>
    <row r="54" spans="1:92" s="6" customFormat="1" ht="16.5" customHeight="1" x14ac:dyDescent="0.25">
      <c r="A54" s="5">
        <v>227</v>
      </c>
      <c r="B54" s="125" t="s">
        <v>381</v>
      </c>
      <c r="C54" s="78" t="s">
        <v>382</v>
      </c>
      <c r="D54" s="5" t="s">
        <v>383</v>
      </c>
      <c r="E54" s="58">
        <v>1838</v>
      </c>
      <c r="F54" s="265">
        <v>9850958511</v>
      </c>
      <c r="G54" s="5" t="s">
        <v>101</v>
      </c>
      <c r="H54" s="5" t="s">
        <v>101</v>
      </c>
      <c r="I54" s="5" t="s">
        <v>143</v>
      </c>
      <c r="J54" s="5" t="s">
        <v>151</v>
      </c>
      <c r="K54" s="5" t="s">
        <v>384</v>
      </c>
      <c r="L54" s="5" t="s">
        <v>105</v>
      </c>
      <c r="M54" s="55">
        <v>45632</v>
      </c>
      <c r="N54" s="68">
        <f t="shared" ca="1" si="0"/>
        <v>545</v>
      </c>
      <c r="O54" s="71" t="str">
        <f t="shared" ca="1" si="1"/>
        <v>1-2Y</v>
      </c>
      <c r="P54" s="132" t="s">
        <v>106</v>
      </c>
      <c r="Q54" s="5" t="s">
        <v>125</v>
      </c>
      <c r="R54" s="5" t="s">
        <v>108</v>
      </c>
      <c r="S54" s="111">
        <v>125</v>
      </c>
      <c r="T54" s="111">
        <v>150</v>
      </c>
      <c r="U54" s="111">
        <f t="shared" si="2"/>
        <v>275</v>
      </c>
      <c r="V54" s="5"/>
      <c r="W54" s="5" t="s">
        <v>109</v>
      </c>
      <c r="X54" s="5" t="s">
        <v>109</v>
      </c>
      <c r="Y54" s="131" t="str">
        <f>+AP54</f>
        <v>Yes</v>
      </c>
      <c r="Z54" s="5" t="s">
        <v>110</v>
      </c>
      <c r="AA54" s="5" t="s">
        <v>109</v>
      </c>
      <c r="AB54" s="5" t="s">
        <v>109</v>
      </c>
      <c r="AC54" s="5"/>
      <c r="AD54" s="248">
        <f>+AL54</f>
        <v>46266</v>
      </c>
      <c r="AE54" s="248">
        <f t="shared" si="10"/>
        <v>46357</v>
      </c>
      <c r="AF54" s="5" t="s">
        <v>109</v>
      </c>
      <c r="AG54" s="5" t="s">
        <v>111</v>
      </c>
      <c r="AH54" s="5" t="s">
        <v>111</v>
      </c>
      <c r="AI54" s="5" t="s">
        <v>109</v>
      </c>
      <c r="AJ54" s="5" t="s">
        <v>109</v>
      </c>
      <c r="AK54" s="5" t="s">
        <v>184</v>
      </c>
      <c r="AL54" s="7">
        <v>46266</v>
      </c>
      <c r="AM54" s="5" t="s">
        <v>109</v>
      </c>
      <c r="AN54" s="5" t="s">
        <v>109</v>
      </c>
      <c r="AO54" s="5" t="s">
        <v>110</v>
      </c>
      <c r="AP54" s="5" t="s">
        <v>109</v>
      </c>
      <c r="AQ54" s="5">
        <v>4338222</v>
      </c>
      <c r="AR54" s="78"/>
      <c r="AS54" s="248">
        <v>46357</v>
      </c>
      <c r="AT54" s="5" t="s">
        <v>146</v>
      </c>
      <c r="AU54" s="5" t="s">
        <v>146</v>
      </c>
      <c r="AV54" s="78" t="s">
        <v>111</v>
      </c>
      <c r="AW54" s="5" t="s">
        <v>111</v>
      </c>
      <c r="AX54" s="5" t="s">
        <v>146</v>
      </c>
      <c r="AY54" s="5" t="s">
        <v>114</v>
      </c>
      <c r="AZ54" s="5" t="s">
        <v>130</v>
      </c>
      <c r="BA54" s="5" t="s">
        <v>114</v>
      </c>
      <c r="BB54" s="5" t="s">
        <v>115</v>
      </c>
      <c r="BC54" s="5" t="s">
        <v>114</v>
      </c>
      <c r="BD54" s="5" t="s">
        <v>111</v>
      </c>
      <c r="BE54" s="5" t="s">
        <v>111</v>
      </c>
      <c r="BF54" s="5" t="s">
        <v>111</v>
      </c>
      <c r="BG54" s="132" t="s">
        <v>114</v>
      </c>
      <c r="BH54" s="132" t="s">
        <v>109</v>
      </c>
      <c r="BI54" s="248">
        <v>46419</v>
      </c>
      <c r="BJ54" s="248">
        <v>46447</v>
      </c>
      <c r="BK54" s="5" t="s">
        <v>109</v>
      </c>
      <c r="BL54" s="5" t="s">
        <v>114</v>
      </c>
      <c r="BM54" s="5"/>
      <c r="BN54" s="5" t="s">
        <v>109</v>
      </c>
      <c r="BO54" s="5"/>
      <c r="BP54" s="5"/>
      <c r="BQ54" s="5"/>
      <c r="BR54" s="5"/>
      <c r="BS54" s="5"/>
      <c r="BT54" s="5"/>
      <c r="BU54" s="5"/>
      <c r="BV54" s="5"/>
      <c r="BW54" s="5" t="s">
        <v>184</v>
      </c>
      <c r="BX54" s="5"/>
      <c r="BY54" s="5"/>
      <c r="BZ54" s="5"/>
      <c r="CA54" s="5"/>
      <c r="CB54" s="179" t="s">
        <v>118</v>
      </c>
      <c r="CC54" s="179" t="s">
        <v>109</v>
      </c>
      <c r="CD54" s="5" t="s">
        <v>109</v>
      </c>
      <c r="CE54" s="5"/>
      <c r="CF54" s="179"/>
      <c r="CG54" s="179"/>
      <c r="CH54" s="199"/>
      <c r="CI54" s="179" t="str">
        <f t="shared" si="3"/>
        <v>Dec'24</v>
      </c>
      <c r="CJ54" s="179" t="s">
        <v>132</v>
      </c>
      <c r="CK54" s="179" t="s">
        <v>109</v>
      </c>
      <c r="CL54" s="179" t="s">
        <v>109</v>
      </c>
    </row>
    <row r="55" spans="1:92" s="6" customFormat="1" ht="48.95" customHeight="1" x14ac:dyDescent="0.25">
      <c r="A55" s="5">
        <v>258</v>
      </c>
      <c r="B55" s="125" t="s">
        <v>385</v>
      </c>
      <c r="C55" s="78" t="s">
        <v>386</v>
      </c>
      <c r="D55" s="5" t="s">
        <v>220</v>
      </c>
      <c r="E55" s="58">
        <v>1634</v>
      </c>
      <c r="F55" s="5">
        <v>9881643987</v>
      </c>
      <c r="G55" s="5" t="s">
        <v>169</v>
      </c>
      <c r="H55" s="5" t="s">
        <v>101</v>
      </c>
      <c r="I55" s="5" t="s">
        <v>143</v>
      </c>
      <c r="J55" s="5" t="s">
        <v>162</v>
      </c>
      <c r="K55" s="5" t="s">
        <v>387</v>
      </c>
      <c r="L55" s="5" t="s">
        <v>105</v>
      </c>
      <c r="M55" s="55">
        <v>46070</v>
      </c>
      <c r="N55" s="68">
        <f t="shared" ca="1" si="0"/>
        <v>107</v>
      </c>
      <c r="O55" s="71" t="str">
        <f t="shared" ca="1" si="1"/>
        <v>0-6M</v>
      </c>
      <c r="P55" s="132" t="s">
        <v>106</v>
      </c>
      <c r="Q55" s="5" t="s">
        <v>180</v>
      </c>
      <c r="R55" s="5" t="s">
        <v>164</v>
      </c>
      <c r="S55" s="111">
        <v>25</v>
      </c>
      <c r="T55" s="111">
        <v>110</v>
      </c>
      <c r="U55" s="111">
        <f t="shared" si="2"/>
        <v>135</v>
      </c>
      <c r="V55" s="5"/>
      <c r="W55" s="5" t="s">
        <v>109</v>
      </c>
      <c r="X55" s="5" t="s">
        <v>109</v>
      </c>
      <c r="Y55" s="131"/>
      <c r="Z55" s="78" t="s">
        <v>274</v>
      </c>
      <c r="AA55" s="5"/>
      <c r="AB55" s="5"/>
      <c r="AC55" s="5"/>
      <c r="AD55" s="248">
        <f>+AL55</f>
        <v>46296</v>
      </c>
      <c r="AE55" s="248">
        <f t="shared" si="10"/>
        <v>46357</v>
      </c>
      <c r="AF55" s="5" t="s">
        <v>109</v>
      </c>
      <c r="AG55" s="5" t="s">
        <v>111</v>
      </c>
      <c r="AH55" s="5" t="s">
        <v>111</v>
      </c>
      <c r="AI55" s="5" t="s">
        <v>109</v>
      </c>
      <c r="AJ55" s="5" t="s">
        <v>184</v>
      </c>
      <c r="AK55" s="5"/>
      <c r="AL55" s="7">
        <v>46296</v>
      </c>
      <c r="AM55" s="78" t="s">
        <v>109</v>
      </c>
      <c r="AN55" s="5" t="s">
        <v>184</v>
      </c>
      <c r="AO55" s="5" t="s">
        <v>265</v>
      </c>
      <c r="AP55" s="5" t="s">
        <v>171</v>
      </c>
      <c r="AQ55" s="5"/>
      <c r="AR55" s="78" t="s">
        <v>378</v>
      </c>
      <c r="AS55" s="248">
        <v>46357</v>
      </c>
      <c r="AT55" s="5" t="s">
        <v>109</v>
      </c>
      <c r="AU55" s="5" t="s">
        <v>109</v>
      </c>
      <c r="AV55" s="5"/>
      <c r="AW55" s="5"/>
      <c r="AX55" s="5" t="s">
        <v>171</v>
      </c>
      <c r="AY55" s="5" t="s">
        <v>130</v>
      </c>
      <c r="AZ55" s="5" t="s">
        <v>388</v>
      </c>
      <c r="BA55" s="5" t="s">
        <v>389</v>
      </c>
      <c r="BB55" s="5" t="s">
        <v>389</v>
      </c>
      <c r="BC55" s="5" t="s">
        <v>389</v>
      </c>
      <c r="BD55" s="5" t="s">
        <v>389</v>
      </c>
      <c r="BE55" s="5" t="s">
        <v>111</v>
      </c>
      <c r="BF55" s="5" t="s">
        <v>111</v>
      </c>
      <c r="BG55" s="132" t="s">
        <v>234</v>
      </c>
      <c r="BH55" s="132" t="s">
        <v>171</v>
      </c>
      <c r="BI55" s="7">
        <v>46381</v>
      </c>
      <c r="BJ55" s="7">
        <v>46447</v>
      </c>
      <c r="BK55" s="5" t="s">
        <v>260</v>
      </c>
      <c r="BL55" s="5" t="s">
        <v>261</v>
      </c>
      <c r="BM55" s="5"/>
      <c r="BN55" s="5" t="s">
        <v>184</v>
      </c>
      <c r="BO55" s="5"/>
      <c r="BP55" s="5"/>
      <c r="BQ55" s="5"/>
      <c r="BR55" s="5"/>
      <c r="BS55" s="5"/>
      <c r="BT55" s="5"/>
      <c r="BU55" s="5"/>
      <c r="BV55" s="5"/>
      <c r="BW55" s="5" t="s">
        <v>184</v>
      </c>
      <c r="BX55" s="5"/>
      <c r="BY55" s="5"/>
      <c r="BZ55" s="5" t="s">
        <v>390</v>
      </c>
      <c r="CA55" s="5" t="s">
        <v>114</v>
      </c>
      <c r="CB55" s="179" t="s">
        <v>118</v>
      </c>
      <c r="CC55" s="179" t="s">
        <v>109</v>
      </c>
      <c r="CD55" s="5" t="s">
        <v>109</v>
      </c>
      <c r="CE55" s="5"/>
      <c r="CF55" s="179"/>
      <c r="CG55" s="179"/>
      <c r="CH55" s="199"/>
      <c r="CI55" s="179" t="str">
        <f t="shared" si="3"/>
        <v>Feb'26</v>
      </c>
      <c r="CJ55" s="179" t="s">
        <v>186</v>
      </c>
      <c r="CK55" s="179" t="s">
        <v>109</v>
      </c>
      <c r="CL55" s="179" t="s">
        <v>109</v>
      </c>
    </row>
    <row r="56" spans="1:92" s="6" customFormat="1" ht="63" customHeight="1" x14ac:dyDescent="0.25">
      <c r="A56" s="3">
        <v>261</v>
      </c>
      <c r="B56" s="126" t="s">
        <v>391</v>
      </c>
      <c r="C56" s="109" t="s">
        <v>392</v>
      </c>
      <c r="D56" s="3" t="s">
        <v>99</v>
      </c>
      <c r="E56" s="59">
        <v>1967</v>
      </c>
      <c r="F56" s="3">
        <v>7499213190</v>
      </c>
      <c r="G56" s="3" t="s">
        <v>142</v>
      </c>
      <c r="H56" s="3" t="s">
        <v>101</v>
      </c>
      <c r="I56" s="3" t="s">
        <v>143</v>
      </c>
      <c r="J56" s="3" t="s">
        <v>162</v>
      </c>
      <c r="K56" s="3" t="s">
        <v>393</v>
      </c>
      <c r="L56" s="3" t="s">
        <v>105</v>
      </c>
      <c r="M56" s="56">
        <v>46071</v>
      </c>
      <c r="N56" s="69">
        <f t="shared" ca="1" si="0"/>
        <v>106</v>
      </c>
      <c r="O56" s="72" t="str">
        <f t="shared" ca="1" si="1"/>
        <v>0-6M</v>
      </c>
      <c r="P56" s="198" t="s">
        <v>106</v>
      </c>
      <c r="Q56" s="3" t="s">
        <v>107</v>
      </c>
      <c r="R56" s="3" t="s">
        <v>108</v>
      </c>
      <c r="S56" s="129">
        <v>50</v>
      </c>
      <c r="T56" s="129">
        <v>100</v>
      </c>
      <c r="U56" s="129">
        <f t="shared" si="2"/>
        <v>150</v>
      </c>
      <c r="V56" s="3"/>
      <c r="W56" s="3" t="s">
        <v>171</v>
      </c>
      <c r="X56" s="3" t="s">
        <v>394</v>
      </c>
      <c r="Y56" s="60"/>
      <c r="Z56" s="3" t="s">
        <v>274</v>
      </c>
      <c r="AA56" s="3"/>
      <c r="AB56" s="3"/>
      <c r="AC56" s="3"/>
      <c r="AD56" s="249">
        <f>+AL56</f>
        <v>46266</v>
      </c>
      <c r="AE56" s="249">
        <f t="shared" si="10"/>
        <v>46357</v>
      </c>
      <c r="AF56" s="3" t="s">
        <v>109</v>
      </c>
      <c r="AG56" s="3" t="s">
        <v>111</v>
      </c>
      <c r="AH56" s="3" t="s">
        <v>111</v>
      </c>
      <c r="AI56" s="3" t="s">
        <v>184</v>
      </c>
      <c r="AJ56" s="3" t="s">
        <v>184</v>
      </c>
      <c r="AK56" s="3"/>
      <c r="AL56" s="45">
        <v>46266</v>
      </c>
      <c r="AM56" s="3"/>
      <c r="AN56" s="3"/>
      <c r="AO56" s="3" t="s">
        <v>265</v>
      </c>
      <c r="AP56" s="3" t="s">
        <v>171</v>
      </c>
      <c r="AQ56" s="3"/>
      <c r="AR56" s="109"/>
      <c r="AS56" s="249">
        <v>46357</v>
      </c>
      <c r="AT56" s="3" t="s">
        <v>171</v>
      </c>
      <c r="AU56" s="3" t="s">
        <v>171</v>
      </c>
      <c r="AV56" s="109" t="s">
        <v>395</v>
      </c>
      <c r="AW56" s="3" t="s">
        <v>171</v>
      </c>
      <c r="AX56" s="3" t="s">
        <v>171</v>
      </c>
      <c r="AY56" s="3" t="s">
        <v>253</v>
      </c>
      <c r="AZ56" s="3" t="s">
        <v>253</v>
      </c>
      <c r="BA56" s="3" t="s">
        <v>253</v>
      </c>
      <c r="BB56" s="3" t="s">
        <v>253</v>
      </c>
      <c r="BC56" s="3" t="s">
        <v>253</v>
      </c>
      <c r="BD56" s="3" t="s">
        <v>253</v>
      </c>
      <c r="BE56" s="3" t="s">
        <v>111</v>
      </c>
      <c r="BF56" s="3" t="s">
        <v>111</v>
      </c>
      <c r="BG56" s="198"/>
      <c r="BH56" s="198" t="s">
        <v>171</v>
      </c>
      <c r="BI56" s="45" t="s">
        <v>111</v>
      </c>
      <c r="BJ56" s="45" t="s">
        <v>111</v>
      </c>
      <c r="BK56" s="3" t="s">
        <v>260</v>
      </c>
      <c r="BL56" s="3" t="s">
        <v>261</v>
      </c>
      <c r="BM56" s="3"/>
      <c r="BN56" s="3" t="s">
        <v>184</v>
      </c>
      <c r="BO56" s="3"/>
      <c r="BP56" s="3"/>
      <c r="BQ56" s="3"/>
      <c r="BR56" s="3"/>
      <c r="BS56" s="3"/>
      <c r="BT56" s="3"/>
      <c r="BU56" s="3"/>
      <c r="BV56" s="3"/>
      <c r="BW56" s="3" t="s">
        <v>184</v>
      </c>
      <c r="BX56" s="3"/>
      <c r="BY56" s="3"/>
      <c r="BZ56" s="3" t="s">
        <v>390</v>
      </c>
      <c r="CA56" s="3"/>
      <c r="CB56" s="112" t="s">
        <v>118</v>
      </c>
      <c r="CC56" s="112" t="s">
        <v>109</v>
      </c>
      <c r="CD56" s="3" t="s">
        <v>109</v>
      </c>
      <c r="CE56" s="3"/>
      <c r="CF56" s="112"/>
      <c r="CG56" s="112"/>
      <c r="CH56" s="133"/>
      <c r="CI56" s="112" t="str">
        <f t="shared" si="3"/>
        <v>Feb'26</v>
      </c>
      <c r="CJ56" s="112" t="s">
        <v>107</v>
      </c>
      <c r="CK56" s="112"/>
      <c r="CL56" s="112" t="s">
        <v>109</v>
      </c>
      <c r="CM56" s="4"/>
      <c r="CN56" s="4"/>
    </row>
    <row r="57" spans="1:92" s="6" customFormat="1" ht="63" customHeight="1" x14ac:dyDescent="0.25">
      <c r="A57" s="5">
        <v>9</v>
      </c>
      <c r="B57" s="208" t="s">
        <v>396</v>
      </c>
      <c r="C57" s="78" t="s">
        <v>397</v>
      </c>
      <c r="D57" s="5" t="s">
        <v>398</v>
      </c>
      <c r="E57" s="58"/>
      <c r="F57" s="5">
        <v>9860366892</v>
      </c>
      <c r="G57" s="5" t="s">
        <v>100</v>
      </c>
      <c r="H57" s="5" t="s">
        <v>101</v>
      </c>
      <c r="I57" s="5" t="s">
        <v>102</v>
      </c>
      <c r="J57" s="5" t="s">
        <v>103</v>
      </c>
      <c r="K57" s="5" t="s">
        <v>399</v>
      </c>
      <c r="L57" s="5" t="s">
        <v>400</v>
      </c>
      <c r="M57" s="55">
        <v>42441</v>
      </c>
      <c r="N57" s="68">
        <f t="shared" ca="1" si="0"/>
        <v>3736</v>
      </c>
      <c r="O57" s="68" t="str">
        <f t="shared" ca="1" si="1"/>
        <v>&gt;5Y</v>
      </c>
      <c r="P57" s="132" t="s">
        <v>106</v>
      </c>
      <c r="Q57" s="5" t="s">
        <v>107</v>
      </c>
      <c r="R57" s="5" t="s">
        <v>164</v>
      </c>
      <c r="S57" s="111">
        <v>10</v>
      </c>
      <c r="T57" s="111">
        <v>44</v>
      </c>
      <c r="U57" s="111">
        <f t="shared" si="2"/>
        <v>54</v>
      </c>
      <c r="V57" s="5"/>
      <c r="W57" s="5" t="s">
        <v>109</v>
      </c>
      <c r="X57" s="5" t="s">
        <v>109</v>
      </c>
      <c r="Y57" s="131"/>
      <c r="Z57" s="5" t="s">
        <v>274</v>
      </c>
      <c r="AA57" s="5"/>
      <c r="AB57" s="5"/>
      <c r="AC57" s="5"/>
      <c r="AD57" s="248">
        <v>46357</v>
      </c>
      <c r="AE57" s="248">
        <v>46388</v>
      </c>
      <c r="AF57" s="5" t="s">
        <v>109</v>
      </c>
      <c r="AG57" s="5"/>
      <c r="AH57" s="5"/>
      <c r="AI57" s="5" t="s">
        <v>234</v>
      </c>
      <c r="AJ57" s="5" t="s">
        <v>184</v>
      </c>
      <c r="AK57" s="5" t="s">
        <v>181</v>
      </c>
      <c r="AL57" s="7">
        <v>46357</v>
      </c>
      <c r="AM57" s="5" t="s">
        <v>184</v>
      </c>
      <c r="AN57" s="5" t="s">
        <v>184</v>
      </c>
      <c r="AO57" s="5" t="s">
        <v>265</v>
      </c>
      <c r="AP57" s="5"/>
      <c r="AQ57" s="5"/>
      <c r="AR57" s="78" t="s">
        <v>266</v>
      </c>
      <c r="AS57" s="248">
        <v>46388</v>
      </c>
      <c r="AT57" s="58" t="s">
        <v>109</v>
      </c>
      <c r="AU57" s="58" t="s">
        <v>109</v>
      </c>
      <c r="AV57" s="58" t="s">
        <v>111</v>
      </c>
      <c r="AW57" s="58" t="s">
        <v>111</v>
      </c>
      <c r="AX57" s="58" t="s">
        <v>171</v>
      </c>
      <c r="AY57" s="58"/>
      <c r="AZ57" s="58"/>
      <c r="BA57" s="58"/>
      <c r="BB57" s="58"/>
      <c r="BC57" s="58"/>
      <c r="BD57" s="58"/>
      <c r="BE57" s="58"/>
      <c r="BF57" s="58"/>
      <c r="BG57" s="132" t="s">
        <v>234</v>
      </c>
      <c r="BH57" s="58"/>
      <c r="BI57" s="242">
        <v>46357</v>
      </c>
      <c r="BJ57" s="242">
        <v>46388</v>
      </c>
      <c r="BK57" s="5" t="s">
        <v>171</v>
      </c>
      <c r="BL57" s="5" t="s">
        <v>261</v>
      </c>
      <c r="BM57" s="5"/>
      <c r="BN57" s="5"/>
      <c r="BO57" s="5"/>
      <c r="BP57" s="5"/>
      <c r="BQ57" s="5"/>
      <c r="BR57" s="5"/>
      <c r="BS57" s="5"/>
      <c r="BT57" s="5"/>
      <c r="BU57" s="5"/>
      <c r="BV57" s="5"/>
      <c r="BW57" s="5" t="s">
        <v>184</v>
      </c>
      <c r="BX57" s="5"/>
      <c r="BY57" s="5"/>
      <c r="BZ57" s="5" t="s">
        <v>390</v>
      </c>
      <c r="CA57" s="5" t="s">
        <v>401</v>
      </c>
      <c r="CB57" s="179" t="s">
        <v>402</v>
      </c>
      <c r="CC57" s="179" t="s">
        <v>109</v>
      </c>
      <c r="CD57" s="5"/>
      <c r="CE57" s="5"/>
      <c r="CF57" s="179"/>
      <c r="CG57" s="179"/>
      <c r="CH57" s="199"/>
      <c r="CI57" s="179" t="str">
        <f t="shared" si="3"/>
        <v>Mar'16</v>
      </c>
      <c r="CJ57" s="179" t="s">
        <v>107</v>
      </c>
      <c r="CK57" s="179"/>
      <c r="CL57" s="200"/>
    </row>
    <row r="58" spans="1:92" s="6" customFormat="1" ht="66.75" customHeight="1" x14ac:dyDescent="0.25">
      <c r="A58" s="78">
        <v>168</v>
      </c>
      <c r="B58" s="207" t="s">
        <v>403</v>
      </c>
      <c r="C58" s="78" t="s">
        <v>404</v>
      </c>
      <c r="D58" s="78" t="s">
        <v>190</v>
      </c>
      <c r="E58" s="78">
        <v>1811</v>
      </c>
      <c r="F58" s="78">
        <v>9404972337</v>
      </c>
      <c r="G58" s="78" t="s">
        <v>169</v>
      </c>
      <c r="H58" s="78" t="s">
        <v>122</v>
      </c>
      <c r="I58" s="78" t="s">
        <v>143</v>
      </c>
      <c r="J58" s="78" t="s">
        <v>144</v>
      </c>
      <c r="K58" s="78" t="s">
        <v>405</v>
      </c>
      <c r="L58" s="78" t="s">
        <v>105</v>
      </c>
      <c r="M58" s="232">
        <v>45458</v>
      </c>
      <c r="N58" s="233">
        <f t="shared" ca="1" si="0"/>
        <v>719</v>
      </c>
      <c r="O58" s="233" t="str">
        <f t="shared" ca="1" si="1"/>
        <v>1-2Y</v>
      </c>
      <c r="P58" s="132" t="s">
        <v>106</v>
      </c>
      <c r="Q58" s="78" t="s">
        <v>192</v>
      </c>
      <c r="R58" s="78" t="s">
        <v>108</v>
      </c>
      <c r="S58" s="111">
        <v>40</v>
      </c>
      <c r="T58" s="111">
        <v>80</v>
      </c>
      <c r="U58" s="111">
        <f t="shared" si="2"/>
        <v>120</v>
      </c>
      <c r="V58" s="78"/>
      <c r="W58" s="78" t="s">
        <v>109</v>
      </c>
      <c r="X58" s="78" t="s">
        <v>109</v>
      </c>
      <c r="Y58" s="234"/>
      <c r="Z58" s="5" t="s">
        <v>111</v>
      </c>
      <c r="AA58" s="78"/>
      <c r="AB58" s="78"/>
      <c r="AC58" s="78"/>
      <c r="AD58" s="248">
        <v>46357</v>
      </c>
      <c r="AE58" s="248">
        <v>46388</v>
      </c>
      <c r="AF58" s="78" t="s">
        <v>109</v>
      </c>
      <c r="AG58" s="78" t="s">
        <v>111</v>
      </c>
      <c r="AH58" s="78" t="s">
        <v>111</v>
      </c>
      <c r="AI58" s="78" t="s">
        <v>115</v>
      </c>
      <c r="AJ58" s="78" t="s">
        <v>115</v>
      </c>
      <c r="AK58" s="78" t="s">
        <v>181</v>
      </c>
      <c r="AL58" s="235">
        <v>46357</v>
      </c>
      <c r="AM58" s="78" t="s">
        <v>109</v>
      </c>
      <c r="AN58" s="78" t="s">
        <v>109</v>
      </c>
      <c r="AO58" s="78" t="s">
        <v>265</v>
      </c>
      <c r="AP58" s="78"/>
      <c r="AQ58" s="78"/>
      <c r="AR58" s="78" t="s">
        <v>406</v>
      </c>
      <c r="AS58" s="248">
        <f>+AL58+31</f>
        <v>46388</v>
      </c>
      <c r="AT58" s="78" t="s">
        <v>109</v>
      </c>
      <c r="AU58" s="78" t="s">
        <v>109</v>
      </c>
      <c r="AV58" s="78" t="s">
        <v>407</v>
      </c>
      <c r="AW58" s="78" t="s">
        <v>111</v>
      </c>
      <c r="AX58" s="78" t="s">
        <v>171</v>
      </c>
      <c r="AY58" s="78" t="s">
        <v>130</v>
      </c>
      <c r="AZ58" s="78" t="s">
        <v>253</v>
      </c>
      <c r="BA58" s="78" t="s">
        <v>253</v>
      </c>
      <c r="BB58" s="78" t="s">
        <v>253</v>
      </c>
      <c r="BC58" s="78" t="s">
        <v>253</v>
      </c>
      <c r="BD58" s="78" t="s">
        <v>111</v>
      </c>
      <c r="BE58" s="78" t="s">
        <v>253</v>
      </c>
      <c r="BF58" s="78" t="s">
        <v>253</v>
      </c>
      <c r="BG58" s="132" t="s">
        <v>332</v>
      </c>
      <c r="BH58" s="78" t="s">
        <v>253</v>
      </c>
      <c r="BI58" s="248">
        <v>46447</v>
      </c>
      <c r="BJ58" s="248">
        <v>46447</v>
      </c>
      <c r="BK58" s="78" t="s">
        <v>109</v>
      </c>
      <c r="BL58" s="78"/>
      <c r="BM58" s="78" t="s">
        <v>111</v>
      </c>
      <c r="BN58" s="78" t="s">
        <v>111</v>
      </c>
      <c r="BO58" s="78" t="s">
        <v>115</v>
      </c>
      <c r="BP58" s="78"/>
      <c r="BQ58" s="78"/>
      <c r="BR58" s="78"/>
      <c r="BS58" s="78"/>
      <c r="BT58" s="78"/>
      <c r="BU58" s="78"/>
      <c r="BV58" s="78"/>
      <c r="BW58" s="78" t="s">
        <v>184</v>
      </c>
      <c r="BX58" s="78"/>
      <c r="BY58" s="78"/>
      <c r="BZ58" s="78" t="s">
        <v>390</v>
      </c>
      <c r="CA58" s="78"/>
      <c r="CB58" s="179" t="s">
        <v>118</v>
      </c>
      <c r="CC58" s="179" t="s">
        <v>109</v>
      </c>
      <c r="CD58" s="5"/>
      <c r="CE58" s="5"/>
      <c r="CF58" s="179"/>
      <c r="CG58" s="179"/>
      <c r="CH58" s="199"/>
      <c r="CI58" s="179" t="str">
        <f t="shared" si="3"/>
        <v>Jun'24</v>
      </c>
      <c r="CJ58" s="179" t="s">
        <v>192</v>
      </c>
      <c r="CK58" s="179"/>
      <c r="CL58" s="179"/>
    </row>
    <row r="59" spans="1:92" s="6" customFormat="1" ht="57" customHeight="1" x14ac:dyDescent="0.25">
      <c r="A59" s="5">
        <v>185</v>
      </c>
      <c r="B59" s="125" t="s">
        <v>408</v>
      </c>
      <c r="C59" s="78" t="s">
        <v>409</v>
      </c>
      <c r="D59" s="5" t="s">
        <v>121</v>
      </c>
      <c r="E59" s="58">
        <v>1895</v>
      </c>
      <c r="F59" s="5">
        <v>7588277374</v>
      </c>
      <c r="G59" s="5" t="s">
        <v>142</v>
      </c>
      <c r="H59" s="5" t="s">
        <v>122</v>
      </c>
      <c r="I59" s="5" t="s">
        <v>143</v>
      </c>
      <c r="J59" s="5" t="s">
        <v>144</v>
      </c>
      <c r="K59" s="5" t="s">
        <v>410</v>
      </c>
      <c r="L59" s="5" t="s">
        <v>105</v>
      </c>
      <c r="M59" s="55">
        <v>45461</v>
      </c>
      <c r="N59" s="68">
        <f t="shared" ca="1" si="0"/>
        <v>716</v>
      </c>
      <c r="O59" s="71" t="str">
        <f t="shared" ca="1" si="1"/>
        <v>1-2Y</v>
      </c>
      <c r="P59" s="132" t="s">
        <v>106</v>
      </c>
      <c r="Q59" s="5" t="s">
        <v>192</v>
      </c>
      <c r="R59" s="5" t="s">
        <v>108</v>
      </c>
      <c r="S59" s="111">
        <v>30</v>
      </c>
      <c r="T59" s="111">
        <v>127</v>
      </c>
      <c r="U59" s="111">
        <f t="shared" si="2"/>
        <v>157</v>
      </c>
      <c r="V59" s="5"/>
      <c r="W59" s="5" t="s">
        <v>109</v>
      </c>
      <c r="X59" s="5" t="s">
        <v>109</v>
      </c>
      <c r="Y59" s="131">
        <f>+IF(AO59="Approved","Yes",AS59)</f>
        <v>46388</v>
      </c>
      <c r="Z59" s="5" t="s">
        <v>111</v>
      </c>
      <c r="AA59" s="5"/>
      <c r="AB59" s="5"/>
      <c r="AC59" s="5"/>
      <c r="AD59" s="248">
        <f>+AL59</f>
        <v>46357</v>
      </c>
      <c r="AE59" s="248">
        <f>+AS59</f>
        <v>46388</v>
      </c>
      <c r="AF59" s="5" t="s">
        <v>109</v>
      </c>
      <c r="AG59" s="5" t="s">
        <v>111</v>
      </c>
      <c r="AH59" s="5" t="s">
        <v>111</v>
      </c>
      <c r="AI59" s="5" t="s">
        <v>115</v>
      </c>
      <c r="AJ59" s="5" t="s">
        <v>115</v>
      </c>
      <c r="AK59" s="5" t="s">
        <v>181</v>
      </c>
      <c r="AL59" s="7">
        <v>46357</v>
      </c>
      <c r="AM59" s="5" t="s">
        <v>109</v>
      </c>
      <c r="AN59" s="5" t="s">
        <v>109</v>
      </c>
      <c r="AO59" s="5" t="s">
        <v>265</v>
      </c>
      <c r="AP59" s="5" t="s">
        <v>171</v>
      </c>
      <c r="AQ59" s="5"/>
      <c r="AR59" s="78" t="s">
        <v>411</v>
      </c>
      <c r="AS59" s="248">
        <v>46388</v>
      </c>
      <c r="AT59" s="5" t="s">
        <v>109</v>
      </c>
      <c r="AU59" s="5" t="s">
        <v>109</v>
      </c>
      <c r="AV59" s="5"/>
      <c r="AW59" s="5" t="s">
        <v>111</v>
      </c>
      <c r="AX59" s="5" t="s">
        <v>109</v>
      </c>
      <c r="AY59" s="5" t="s">
        <v>109</v>
      </c>
      <c r="AZ59" s="5" t="s">
        <v>114</v>
      </c>
      <c r="BA59" s="5" t="s">
        <v>130</v>
      </c>
      <c r="BB59" s="5" t="s">
        <v>130</v>
      </c>
      <c r="BC59" s="5" t="s">
        <v>114</v>
      </c>
      <c r="BD59" s="5" t="s">
        <v>114</v>
      </c>
      <c r="BE59" s="5" t="s">
        <v>111</v>
      </c>
      <c r="BF59" s="5" t="s">
        <v>111</v>
      </c>
      <c r="BG59" s="132" t="s">
        <v>234</v>
      </c>
      <c r="BH59" s="132" t="s">
        <v>90</v>
      </c>
      <c r="BI59" s="7">
        <v>46382</v>
      </c>
      <c r="BJ59" s="7">
        <v>46388</v>
      </c>
      <c r="BK59" s="5" t="s">
        <v>109</v>
      </c>
      <c r="BL59" s="5" t="s">
        <v>114</v>
      </c>
      <c r="BM59" s="5" t="s">
        <v>111</v>
      </c>
      <c r="BN59" s="5" t="s">
        <v>111</v>
      </c>
      <c r="BO59" s="5" t="s">
        <v>115</v>
      </c>
      <c r="BP59" s="5"/>
      <c r="BQ59" s="5"/>
      <c r="BR59" s="5"/>
      <c r="BS59" s="5"/>
      <c r="BT59" s="5"/>
      <c r="BU59" s="5"/>
      <c r="BV59" s="5"/>
      <c r="BW59" s="5" t="s">
        <v>184</v>
      </c>
      <c r="BX59" s="5"/>
      <c r="BY59" s="5"/>
      <c r="BZ59" s="5" t="s">
        <v>390</v>
      </c>
      <c r="CA59" s="5"/>
      <c r="CB59" s="179" t="s">
        <v>118</v>
      </c>
      <c r="CC59" s="179" t="s">
        <v>109</v>
      </c>
      <c r="CD59" s="5" t="s">
        <v>109</v>
      </c>
      <c r="CE59" s="5"/>
      <c r="CF59" s="179"/>
      <c r="CG59" s="179"/>
      <c r="CH59" s="199"/>
      <c r="CI59" s="179" t="str">
        <f t="shared" si="3"/>
        <v>Jun'24</v>
      </c>
      <c r="CJ59" s="179" t="s">
        <v>192</v>
      </c>
      <c r="CK59" s="179" t="s">
        <v>109</v>
      </c>
      <c r="CL59" s="201" t="s">
        <v>109</v>
      </c>
    </row>
    <row r="60" spans="1:92" s="6" customFormat="1" ht="44.25" customHeight="1" x14ac:dyDescent="0.25">
      <c r="A60" s="78">
        <v>194</v>
      </c>
      <c r="B60" s="125" t="s">
        <v>412</v>
      </c>
      <c r="C60" s="78" t="s">
        <v>413</v>
      </c>
      <c r="D60" s="78" t="s">
        <v>190</v>
      </c>
      <c r="E60" s="78">
        <v>1933</v>
      </c>
      <c r="F60" s="78">
        <v>9527297676</v>
      </c>
      <c r="G60" s="78" t="s">
        <v>169</v>
      </c>
      <c r="H60" s="78" t="s">
        <v>122</v>
      </c>
      <c r="I60" s="78" t="s">
        <v>143</v>
      </c>
      <c r="J60" s="78" t="s">
        <v>144</v>
      </c>
      <c r="K60" s="78" t="s">
        <v>414</v>
      </c>
      <c r="L60" s="78" t="s">
        <v>105</v>
      </c>
      <c r="M60" s="232">
        <v>45461</v>
      </c>
      <c r="N60" s="233">
        <f t="shared" ca="1" si="0"/>
        <v>716</v>
      </c>
      <c r="O60" s="233" t="str">
        <f t="shared" ca="1" si="1"/>
        <v>1-2Y</v>
      </c>
      <c r="P60" s="132" t="s">
        <v>158</v>
      </c>
      <c r="Q60" s="78" t="s">
        <v>192</v>
      </c>
      <c r="R60" s="78" t="s">
        <v>164</v>
      </c>
      <c r="S60" s="111">
        <v>55</v>
      </c>
      <c r="T60" s="111">
        <v>100</v>
      </c>
      <c r="U60" s="111">
        <f t="shared" si="2"/>
        <v>155</v>
      </c>
      <c r="V60" s="78"/>
      <c r="W60" s="78" t="s">
        <v>109</v>
      </c>
      <c r="X60" s="78" t="s">
        <v>109</v>
      </c>
      <c r="Y60" s="234"/>
      <c r="Z60" s="5" t="s">
        <v>111</v>
      </c>
      <c r="AA60" s="78"/>
      <c r="AB60" s="78"/>
      <c r="AC60" s="78"/>
      <c r="AD60" s="248">
        <f>+AL60</f>
        <v>46357</v>
      </c>
      <c r="AE60" s="248">
        <f>+AS60</f>
        <v>46388</v>
      </c>
      <c r="AF60" s="78" t="s">
        <v>109</v>
      </c>
      <c r="AG60" s="78" t="s">
        <v>111</v>
      </c>
      <c r="AH60" s="78" t="s">
        <v>111</v>
      </c>
      <c r="AI60" s="78" t="s">
        <v>115</v>
      </c>
      <c r="AJ60" s="78" t="s">
        <v>115</v>
      </c>
      <c r="AK60" s="78" t="s">
        <v>181</v>
      </c>
      <c r="AL60" s="235">
        <v>46357</v>
      </c>
      <c r="AM60" s="78" t="s">
        <v>109</v>
      </c>
      <c r="AN60" s="78" t="s">
        <v>109</v>
      </c>
      <c r="AO60" s="78" t="s">
        <v>265</v>
      </c>
      <c r="AP60" s="78" t="s">
        <v>171</v>
      </c>
      <c r="AQ60" s="78"/>
      <c r="AR60" s="78" t="s">
        <v>266</v>
      </c>
      <c r="AS60" s="248">
        <v>46388</v>
      </c>
      <c r="AT60" s="78" t="s">
        <v>109</v>
      </c>
      <c r="AU60" s="78" t="s">
        <v>109</v>
      </c>
      <c r="AV60" s="78" t="s">
        <v>111</v>
      </c>
      <c r="AW60" s="78" t="s">
        <v>111</v>
      </c>
      <c r="AX60" s="78" t="s">
        <v>109</v>
      </c>
      <c r="AY60" s="78" t="s">
        <v>130</v>
      </c>
      <c r="AZ60" s="78" t="s">
        <v>253</v>
      </c>
      <c r="BA60" s="78" t="s">
        <v>130</v>
      </c>
      <c r="BB60" s="78" t="s">
        <v>130</v>
      </c>
      <c r="BC60" s="78" t="s">
        <v>130</v>
      </c>
      <c r="BD60" s="78" t="s">
        <v>111</v>
      </c>
      <c r="BE60" s="78" t="s">
        <v>130</v>
      </c>
      <c r="BF60" s="78" t="s">
        <v>130</v>
      </c>
      <c r="BG60" s="232" t="s">
        <v>234</v>
      </c>
      <c r="BH60" s="232" t="s">
        <v>171</v>
      </c>
      <c r="BI60" s="235">
        <v>46357</v>
      </c>
      <c r="BJ60" s="235">
        <v>46419</v>
      </c>
      <c r="BK60" s="5" t="s">
        <v>109</v>
      </c>
      <c r="BL60" s="5" t="s">
        <v>261</v>
      </c>
      <c r="BM60" s="78" t="s">
        <v>111</v>
      </c>
      <c r="BN60" s="78" t="s">
        <v>111</v>
      </c>
      <c r="BO60" s="78" t="s">
        <v>115</v>
      </c>
      <c r="BP60" s="78"/>
      <c r="BQ60" s="78"/>
      <c r="BR60" s="78"/>
      <c r="BS60" s="78"/>
      <c r="BT60" s="78"/>
      <c r="BU60" s="78"/>
      <c r="BV60" s="78"/>
      <c r="BW60" s="78" t="s">
        <v>184</v>
      </c>
      <c r="BX60" s="78"/>
      <c r="BY60" s="78"/>
      <c r="BZ60" s="78" t="s">
        <v>390</v>
      </c>
      <c r="CA60" s="78"/>
      <c r="CB60" s="179" t="s">
        <v>118</v>
      </c>
      <c r="CC60" s="179" t="s">
        <v>109</v>
      </c>
      <c r="CD60" s="5" t="s">
        <v>109</v>
      </c>
      <c r="CE60" s="5"/>
      <c r="CF60" s="179"/>
      <c r="CG60" s="179"/>
      <c r="CH60" s="199"/>
      <c r="CI60" s="179" t="str">
        <f t="shared" si="3"/>
        <v>Jun'24</v>
      </c>
      <c r="CJ60" s="179" t="s">
        <v>192</v>
      </c>
      <c r="CK60" s="179" t="s">
        <v>109</v>
      </c>
      <c r="CL60" s="200" t="s">
        <v>109</v>
      </c>
    </row>
    <row r="61" spans="1:92" s="6" customFormat="1" ht="79.5" customHeight="1" x14ac:dyDescent="0.25">
      <c r="A61" s="5">
        <v>196</v>
      </c>
      <c r="B61" s="125" t="s">
        <v>415</v>
      </c>
      <c r="C61" s="78" t="s">
        <v>416</v>
      </c>
      <c r="D61" s="5" t="s">
        <v>220</v>
      </c>
      <c r="E61" s="58">
        <v>1821</v>
      </c>
      <c r="F61" s="5">
        <v>7875061656</v>
      </c>
      <c r="G61" s="5" t="s">
        <v>142</v>
      </c>
      <c r="H61" s="5" t="s">
        <v>101</v>
      </c>
      <c r="I61" s="5" t="s">
        <v>143</v>
      </c>
      <c r="J61" s="5" t="s">
        <v>162</v>
      </c>
      <c r="K61" s="5" t="s">
        <v>417</v>
      </c>
      <c r="L61" s="5" t="s">
        <v>105</v>
      </c>
      <c r="M61" s="55">
        <v>45462</v>
      </c>
      <c r="N61" s="68">
        <f t="shared" ca="1" si="0"/>
        <v>715</v>
      </c>
      <c r="O61" s="71" t="str">
        <f t="shared" ca="1" si="1"/>
        <v>1-2Y</v>
      </c>
      <c r="P61" s="132" t="s">
        <v>106</v>
      </c>
      <c r="Q61" s="5" t="s">
        <v>180</v>
      </c>
      <c r="R61" s="5" t="s">
        <v>108</v>
      </c>
      <c r="S61" s="111">
        <v>30</v>
      </c>
      <c r="T61" s="111">
        <v>120</v>
      </c>
      <c r="U61" s="111">
        <f t="shared" si="2"/>
        <v>150</v>
      </c>
      <c r="V61" s="5"/>
      <c r="W61" s="5" t="s">
        <v>109</v>
      </c>
      <c r="X61" s="5" t="s">
        <v>109</v>
      </c>
      <c r="Y61" s="131">
        <f>+IF(AO61="Approved","Yes",AS61)</f>
        <v>46388</v>
      </c>
      <c r="Z61" s="5" t="s">
        <v>274</v>
      </c>
      <c r="AA61" s="5"/>
      <c r="AB61" s="5"/>
      <c r="AC61" s="5"/>
      <c r="AD61" s="248">
        <f>+AL61</f>
        <v>46327</v>
      </c>
      <c r="AE61" s="248">
        <f>+AS61</f>
        <v>46388</v>
      </c>
      <c r="AF61" s="5" t="s">
        <v>109</v>
      </c>
      <c r="AG61" s="5" t="s">
        <v>111</v>
      </c>
      <c r="AH61" s="5" t="s">
        <v>111</v>
      </c>
      <c r="AI61" s="5" t="s">
        <v>109</v>
      </c>
      <c r="AJ61" s="5" t="s">
        <v>184</v>
      </c>
      <c r="AK61" s="5" t="s">
        <v>181</v>
      </c>
      <c r="AL61" s="7">
        <v>46327</v>
      </c>
      <c r="AM61" s="5" t="s">
        <v>184</v>
      </c>
      <c r="AN61" s="5" t="s">
        <v>184</v>
      </c>
      <c r="AO61" s="5" t="s">
        <v>265</v>
      </c>
      <c r="AP61" s="5" t="s">
        <v>171</v>
      </c>
      <c r="AQ61" s="5"/>
      <c r="AR61" s="78" t="s">
        <v>266</v>
      </c>
      <c r="AS61" s="248">
        <v>46388</v>
      </c>
      <c r="AT61" s="5" t="s">
        <v>109</v>
      </c>
      <c r="AU61" s="5" t="s">
        <v>109</v>
      </c>
      <c r="AV61" s="5" t="s">
        <v>418</v>
      </c>
      <c r="AW61" s="5"/>
      <c r="AX61" s="5" t="s">
        <v>419</v>
      </c>
      <c r="AY61" s="5" t="s">
        <v>130</v>
      </c>
      <c r="AZ61" s="5" t="s">
        <v>388</v>
      </c>
      <c r="BA61" s="5" t="s">
        <v>388</v>
      </c>
      <c r="BB61" s="5" t="s">
        <v>261</v>
      </c>
      <c r="BC61" s="5" t="s">
        <v>388</v>
      </c>
      <c r="BD61" s="5" t="s">
        <v>388</v>
      </c>
      <c r="BE61" s="5" t="s">
        <v>111</v>
      </c>
      <c r="BF61" s="5" t="s">
        <v>111</v>
      </c>
      <c r="BG61" s="132" t="s">
        <v>234</v>
      </c>
      <c r="BH61" s="132" t="s">
        <v>419</v>
      </c>
      <c r="BI61" s="7">
        <v>46414</v>
      </c>
      <c r="BJ61" s="7">
        <v>46473</v>
      </c>
      <c r="BK61" s="5" t="s">
        <v>109</v>
      </c>
      <c r="BL61" s="5" t="s">
        <v>114</v>
      </c>
      <c r="BM61" s="5"/>
      <c r="BN61" s="5" t="s">
        <v>184</v>
      </c>
      <c r="BO61" s="5"/>
      <c r="BP61" s="5"/>
      <c r="BQ61" s="5"/>
      <c r="BR61" s="5"/>
      <c r="BS61" s="5"/>
      <c r="BT61" s="5"/>
      <c r="BU61" s="5"/>
      <c r="BV61" s="5"/>
      <c r="BW61" s="5" t="s">
        <v>184</v>
      </c>
      <c r="BX61" s="5"/>
      <c r="BY61" s="5"/>
      <c r="BZ61" s="5" t="s">
        <v>390</v>
      </c>
      <c r="CA61" s="5" t="s">
        <v>114</v>
      </c>
      <c r="CB61" s="179" t="s">
        <v>118</v>
      </c>
      <c r="CC61" s="179" t="s">
        <v>109</v>
      </c>
      <c r="CD61" s="5" t="s">
        <v>109</v>
      </c>
      <c r="CE61" s="5"/>
      <c r="CF61" s="179"/>
      <c r="CG61" s="179"/>
      <c r="CH61" s="199"/>
      <c r="CI61" s="179" t="str">
        <f t="shared" si="3"/>
        <v>Jun'24</v>
      </c>
      <c r="CJ61" s="179" t="s">
        <v>186</v>
      </c>
      <c r="CK61" s="179" t="s">
        <v>109</v>
      </c>
      <c r="CL61" s="179" t="s">
        <v>109</v>
      </c>
    </row>
    <row r="62" spans="1:92" s="6" customFormat="1" ht="63" customHeight="1" x14ac:dyDescent="0.25">
      <c r="A62" s="78">
        <v>209</v>
      </c>
      <c r="B62" s="207" t="s">
        <v>420</v>
      </c>
      <c r="C62" s="78" t="s">
        <v>421</v>
      </c>
      <c r="D62" s="78" t="s">
        <v>190</v>
      </c>
      <c r="E62" s="78">
        <v>1905</v>
      </c>
      <c r="F62" s="78">
        <v>8275613407</v>
      </c>
      <c r="G62" s="78" t="s">
        <v>142</v>
      </c>
      <c r="H62" s="78" t="s">
        <v>101</v>
      </c>
      <c r="I62" s="78" t="s">
        <v>143</v>
      </c>
      <c r="J62" s="78" t="s">
        <v>162</v>
      </c>
      <c r="K62" s="78" t="s">
        <v>422</v>
      </c>
      <c r="L62" s="78" t="s">
        <v>105</v>
      </c>
      <c r="M62" s="232">
        <v>45479</v>
      </c>
      <c r="N62" s="233">
        <f t="shared" ca="1" si="0"/>
        <v>698</v>
      </c>
      <c r="O62" s="233" t="str">
        <f t="shared" ca="1" si="1"/>
        <v>1-2Y</v>
      </c>
      <c r="P62" s="132" t="s">
        <v>158</v>
      </c>
      <c r="Q62" s="78" t="s">
        <v>107</v>
      </c>
      <c r="R62" s="78" t="s">
        <v>108</v>
      </c>
      <c r="S62" s="111">
        <v>50</v>
      </c>
      <c r="T62" s="111">
        <v>105</v>
      </c>
      <c r="U62" s="111">
        <f t="shared" si="2"/>
        <v>155</v>
      </c>
      <c r="V62" s="78"/>
      <c r="W62" s="78" t="s">
        <v>109</v>
      </c>
      <c r="X62" s="78" t="s">
        <v>109</v>
      </c>
      <c r="Y62" s="234">
        <f>+IF(AO62="Approved","Yes",AS62)</f>
        <v>46388</v>
      </c>
      <c r="Z62" s="78" t="s">
        <v>110</v>
      </c>
      <c r="AA62" s="78"/>
      <c r="AB62" s="78"/>
      <c r="AC62" s="78"/>
      <c r="AD62" s="248">
        <v>46357</v>
      </c>
      <c r="AE62" s="248">
        <v>46388</v>
      </c>
      <c r="AF62" s="78" t="s">
        <v>109</v>
      </c>
      <c r="AG62" s="78" t="s">
        <v>111</v>
      </c>
      <c r="AH62" s="78" t="s">
        <v>111</v>
      </c>
      <c r="AI62" s="78" t="s">
        <v>109</v>
      </c>
      <c r="AJ62" s="78" t="s">
        <v>109</v>
      </c>
      <c r="AK62" s="78" t="s">
        <v>181</v>
      </c>
      <c r="AL62" s="235">
        <v>46357</v>
      </c>
      <c r="AM62" s="78" t="s">
        <v>109</v>
      </c>
      <c r="AN62" s="78" t="s">
        <v>109</v>
      </c>
      <c r="AO62" s="78" t="s">
        <v>265</v>
      </c>
      <c r="AP62" s="78"/>
      <c r="AQ62" s="78"/>
      <c r="AR62" s="78" t="s">
        <v>423</v>
      </c>
      <c r="AS62" s="248">
        <v>46388</v>
      </c>
      <c r="AT62" s="78" t="s">
        <v>109</v>
      </c>
      <c r="AU62" s="78" t="s">
        <v>109</v>
      </c>
      <c r="AV62" s="78" t="s">
        <v>111</v>
      </c>
      <c r="AW62" s="78" t="s">
        <v>111</v>
      </c>
      <c r="AX62" s="78" t="s">
        <v>109</v>
      </c>
      <c r="AY62" s="78" t="s">
        <v>114</v>
      </c>
      <c r="AZ62" s="78" t="s">
        <v>130</v>
      </c>
      <c r="BA62" s="78" t="s">
        <v>114</v>
      </c>
      <c r="BB62" s="78" t="s">
        <v>114</v>
      </c>
      <c r="BC62" s="78" t="s">
        <v>114</v>
      </c>
      <c r="BD62" s="78" t="s">
        <v>111</v>
      </c>
      <c r="BE62" s="78" t="s">
        <v>114</v>
      </c>
      <c r="BF62" s="78" t="s">
        <v>114</v>
      </c>
      <c r="BG62" s="132" t="s">
        <v>114</v>
      </c>
      <c r="BH62" s="78" t="s">
        <v>90</v>
      </c>
      <c r="BI62" s="235">
        <v>46266</v>
      </c>
      <c r="BJ62" s="235">
        <v>46327</v>
      </c>
      <c r="BK62" s="78" t="s">
        <v>109</v>
      </c>
      <c r="BL62" s="78"/>
      <c r="BM62" s="78"/>
      <c r="BN62" s="78" t="s">
        <v>184</v>
      </c>
      <c r="BO62" s="78"/>
      <c r="BP62" s="78"/>
      <c r="BQ62" s="78"/>
      <c r="BR62" s="78"/>
      <c r="BS62" s="78"/>
      <c r="BT62" s="78"/>
      <c r="BU62" s="78"/>
      <c r="BV62" s="78"/>
      <c r="BW62" s="78" t="s">
        <v>184</v>
      </c>
      <c r="BX62" s="78"/>
      <c r="BY62" s="78"/>
      <c r="BZ62" s="78" t="s">
        <v>390</v>
      </c>
      <c r="CA62" s="5" t="s">
        <v>114</v>
      </c>
      <c r="CB62" s="179" t="s">
        <v>118</v>
      </c>
      <c r="CC62" s="179" t="s">
        <v>109</v>
      </c>
      <c r="CD62" s="5"/>
      <c r="CE62" s="5"/>
      <c r="CF62" s="179"/>
      <c r="CG62" s="179"/>
      <c r="CH62" s="199"/>
      <c r="CI62" s="179" t="str">
        <f t="shared" si="3"/>
        <v>Jul'24</v>
      </c>
      <c r="CJ62" s="179" t="s">
        <v>107</v>
      </c>
      <c r="CK62" s="179"/>
      <c r="CL62" s="201"/>
      <c r="CM62" s="8"/>
    </row>
    <row r="63" spans="1:92" s="6" customFormat="1" ht="46.5" customHeight="1" x14ac:dyDescent="0.25">
      <c r="A63" s="5">
        <v>220</v>
      </c>
      <c r="B63" s="207" t="s">
        <v>424</v>
      </c>
      <c r="C63" s="78" t="s">
        <v>425</v>
      </c>
      <c r="D63" s="5" t="s">
        <v>398</v>
      </c>
      <c r="E63" s="58">
        <v>1914</v>
      </c>
      <c r="F63" s="5">
        <v>9657892449</v>
      </c>
      <c r="G63" s="5" t="s">
        <v>142</v>
      </c>
      <c r="H63" s="5" t="s">
        <v>101</v>
      </c>
      <c r="I63" s="5" t="s">
        <v>143</v>
      </c>
      <c r="J63" s="5" t="s">
        <v>162</v>
      </c>
      <c r="K63" s="5" t="s">
        <v>426</v>
      </c>
      <c r="L63" s="5" t="s">
        <v>105</v>
      </c>
      <c r="M63" s="55">
        <v>45573</v>
      </c>
      <c r="N63" s="68">
        <f t="shared" ca="1" si="0"/>
        <v>604</v>
      </c>
      <c r="O63" s="71" t="str">
        <f t="shared" ca="1" si="1"/>
        <v>1-2Y</v>
      </c>
      <c r="P63" s="132" t="s">
        <v>106</v>
      </c>
      <c r="Q63" s="5" t="s">
        <v>107</v>
      </c>
      <c r="R63" s="5" t="s">
        <v>164</v>
      </c>
      <c r="S63" s="111">
        <v>30</v>
      </c>
      <c r="T63" s="111">
        <v>125</v>
      </c>
      <c r="U63" s="111">
        <f t="shared" si="2"/>
        <v>155</v>
      </c>
      <c r="V63" s="5"/>
      <c r="W63" s="5" t="s">
        <v>109</v>
      </c>
      <c r="X63" s="5" t="s">
        <v>109</v>
      </c>
      <c r="Y63" s="131">
        <f>+IF(AO63="Approved","Yes",AS63)</f>
        <v>46388</v>
      </c>
      <c r="Z63" s="5" t="s">
        <v>274</v>
      </c>
      <c r="AA63" s="5"/>
      <c r="AB63" s="5"/>
      <c r="AC63" s="5"/>
      <c r="AD63" s="248">
        <v>46357</v>
      </c>
      <c r="AE63" s="248">
        <v>46388</v>
      </c>
      <c r="AF63" s="5" t="s">
        <v>109</v>
      </c>
      <c r="AG63" s="5"/>
      <c r="AH63" s="5"/>
      <c r="AI63" s="5" t="s">
        <v>109</v>
      </c>
      <c r="AJ63" s="5" t="s">
        <v>184</v>
      </c>
      <c r="AK63" s="5"/>
      <c r="AL63" s="7">
        <v>46357</v>
      </c>
      <c r="AM63" s="5" t="s">
        <v>184</v>
      </c>
      <c r="AN63" s="5" t="s">
        <v>184</v>
      </c>
      <c r="AO63" s="5" t="s">
        <v>265</v>
      </c>
      <c r="AP63" s="5"/>
      <c r="AQ63" s="5"/>
      <c r="AR63" s="78" t="s">
        <v>427</v>
      </c>
      <c r="AS63" s="248">
        <v>46388</v>
      </c>
      <c r="AT63" s="58" t="s">
        <v>109</v>
      </c>
      <c r="AU63" s="58" t="s">
        <v>109</v>
      </c>
      <c r="AV63" s="58" t="s">
        <v>111</v>
      </c>
      <c r="AW63" s="58" t="s">
        <v>111</v>
      </c>
      <c r="AX63" s="58" t="s">
        <v>109</v>
      </c>
      <c r="AY63" s="58" t="s">
        <v>109</v>
      </c>
      <c r="AZ63" s="58" t="s">
        <v>253</v>
      </c>
      <c r="BA63" s="58" t="s">
        <v>130</v>
      </c>
      <c r="BB63" s="58" t="s">
        <v>130</v>
      </c>
      <c r="BC63" s="58" t="s">
        <v>114</v>
      </c>
      <c r="BD63" s="58" t="s">
        <v>114</v>
      </c>
      <c r="BE63" s="58" t="s">
        <v>111</v>
      </c>
      <c r="BF63" s="58" t="s">
        <v>111</v>
      </c>
      <c r="BG63" s="132" t="s">
        <v>234</v>
      </c>
      <c r="BH63" s="58" t="s">
        <v>90</v>
      </c>
      <c r="BI63" s="242">
        <v>46265</v>
      </c>
      <c r="BJ63" s="242">
        <v>46387</v>
      </c>
      <c r="BK63" s="5" t="s">
        <v>109</v>
      </c>
      <c r="BL63" s="5" t="s">
        <v>114</v>
      </c>
      <c r="BM63" s="5"/>
      <c r="BN63" s="5"/>
      <c r="BO63" s="5"/>
      <c r="BP63" s="5"/>
      <c r="BQ63" s="5"/>
      <c r="BR63" s="5"/>
      <c r="BS63" s="5"/>
      <c r="BT63" s="5"/>
      <c r="BU63" s="5"/>
      <c r="BV63" s="5"/>
      <c r="BW63" s="5" t="s">
        <v>184</v>
      </c>
      <c r="BX63" s="5"/>
      <c r="BY63" s="5"/>
      <c r="BZ63" s="5" t="s">
        <v>390</v>
      </c>
      <c r="CA63" s="5" t="s">
        <v>114</v>
      </c>
      <c r="CB63" s="179" t="s">
        <v>118</v>
      </c>
      <c r="CC63" s="179" t="s">
        <v>109</v>
      </c>
      <c r="CD63" s="5"/>
      <c r="CE63" s="5"/>
      <c r="CF63" s="179"/>
      <c r="CG63" s="179"/>
      <c r="CH63" s="199"/>
      <c r="CI63" s="179" t="str">
        <f t="shared" si="3"/>
        <v>Oct'24</v>
      </c>
      <c r="CJ63" s="179" t="s">
        <v>107</v>
      </c>
      <c r="CK63" s="200"/>
      <c r="CL63" s="200"/>
    </row>
    <row r="64" spans="1:92" s="6" customFormat="1" ht="53.25" customHeight="1" x14ac:dyDescent="0.25">
      <c r="A64" s="5">
        <v>223</v>
      </c>
      <c r="B64" s="207" t="s">
        <v>428</v>
      </c>
      <c r="C64" s="78" t="s">
        <v>429</v>
      </c>
      <c r="D64" s="5" t="s">
        <v>135</v>
      </c>
      <c r="E64" s="58">
        <v>1600</v>
      </c>
      <c r="F64" s="5">
        <v>9604685831</v>
      </c>
      <c r="G64" s="5" t="s">
        <v>142</v>
      </c>
      <c r="H64" s="5" t="s">
        <v>122</v>
      </c>
      <c r="I64" s="5" t="s">
        <v>143</v>
      </c>
      <c r="J64" s="5" t="s">
        <v>144</v>
      </c>
      <c r="K64" s="5" t="s">
        <v>430</v>
      </c>
      <c r="L64" s="5" t="s">
        <v>105</v>
      </c>
      <c r="M64" s="55">
        <v>45575</v>
      </c>
      <c r="N64" s="68">
        <f t="shared" ca="1" si="0"/>
        <v>602</v>
      </c>
      <c r="O64" s="71" t="str">
        <f t="shared" ca="1" si="1"/>
        <v>1-2Y</v>
      </c>
      <c r="P64" s="132" t="s">
        <v>137</v>
      </c>
      <c r="Q64" s="5" t="s">
        <v>431</v>
      </c>
      <c r="R64" s="5" t="s">
        <v>164</v>
      </c>
      <c r="S64" s="111">
        <v>30</v>
      </c>
      <c r="T64" s="111">
        <v>120</v>
      </c>
      <c r="U64" s="111">
        <f t="shared" si="2"/>
        <v>150</v>
      </c>
      <c r="V64" s="5"/>
      <c r="W64" s="5" t="s">
        <v>109</v>
      </c>
      <c r="X64" s="5" t="s">
        <v>109</v>
      </c>
      <c r="Y64" s="131"/>
      <c r="Z64" s="5" t="s">
        <v>111</v>
      </c>
      <c r="AA64" s="5"/>
      <c r="AB64" s="5"/>
      <c r="AC64" s="5"/>
      <c r="AD64" s="248">
        <v>46357</v>
      </c>
      <c r="AE64" s="248">
        <v>46388</v>
      </c>
      <c r="AF64" s="5" t="s">
        <v>109</v>
      </c>
      <c r="AG64" s="5"/>
      <c r="AH64" s="5"/>
      <c r="AI64" s="5" t="s">
        <v>115</v>
      </c>
      <c r="AJ64" s="5" t="s">
        <v>115</v>
      </c>
      <c r="AK64" s="5" t="s">
        <v>181</v>
      </c>
      <c r="AL64" s="7">
        <v>46357</v>
      </c>
      <c r="AM64" s="5" t="s">
        <v>109</v>
      </c>
      <c r="AN64" s="5" t="s">
        <v>109</v>
      </c>
      <c r="AO64" s="5" t="s">
        <v>110</v>
      </c>
      <c r="AP64" s="5" t="s">
        <v>109</v>
      </c>
      <c r="AQ64" s="5">
        <v>4338620</v>
      </c>
      <c r="AR64" s="78"/>
      <c r="AS64" s="248">
        <f>+AL64+31</f>
        <v>46388</v>
      </c>
      <c r="AT64" s="5" t="s">
        <v>109</v>
      </c>
      <c r="AU64" s="5" t="s">
        <v>298</v>
      </c>
      <c r="AV64" s="78" t="s">
        <v>432</v>
      </c>
      <c r="AW64" s="5" t="s">
        <v>111</v>
      </c>
      <c r="AX64" s="5" t="s">
        <v>109</v>
      </c>
      <c r="AY64" s="5" t="s">
        <v>114</v>
      </c>
      <c r="AZ64" s="5" t="s">
        <v>130</v>
      </c>
      <c r="BA64" s="5" t="s">
        <v>130</v>
      </c>
      <c r="BB64" s="5" t="s">
        <v>130</v>
      </c>
      <c r="BC64" s="5" t="s">
        <v>130</v>
      </c>
      <c r="BD64" s="5" t="s">
        <v>111</v>
      </c>
      <c r="BE64" s="5" t="s">
        <v>111</v>
      </c>
      <c r="BF64" s="5" t="s">
        <v>111</v>
      </c>
      <c r="BG64" s="58" t="s">
        <v>234</v>
      </c>
      <c r="BH64" s="58" t="s">
        <v>171</v>
      </c>
      <c r="BI64" s="7">
        <v>46568</v>
      </c>
      <c r="BJ64" s="7">
        <v>46595</v>
      </c>
      <c r="BK64" s="5" t="s">
        <v>109</v>
      </c>
      <c r="BL64" s="5" t="s">
        <v>114</v>
      </c>
      <c r="BM64" s="5" t="s">
        <v>111</v>
      </c>
      <c r="BN64" s="5" t="s">
        <v>111</v>
      </c>
      <c r="BO64" s="5" t="s">
        <v>115</v>
      </c>
      <c r="BP64" s="5"/>
      <c r="BQ64" s="5"/>
      <c r="BR64" s="5"/>
      <c r="BS64" s="5"/>
      <c r="BT64" s="5"/>
      <c r="BU64" s="5"/>
      <c r="BV64" s="5"/>
      <c r="BW64" s="5" t="s">
        <v>184</v>
      </c>
      <c r="BX64" s="5"/>
      <c r="BY64" s="5"/>
      <c r="BZ64" s="5" t="s">
        <v>390</v>
      </c>
      <c r="CA64" s="5"/>
      <c r="CB64" s="179" t="s">
        <v>118</v>
      </c>
      <c r="CC64" s="179" t="s">
        <v>109</v>
      </c>
      <c r="CD64" s="5"/>
      <c r="CE64" s="5"/>
      <c r="CF64" s="179"/>
      <c r="CG64" s="179"/>
      <c r="CH64" s="199"/>
      <c r="CI64" s="179" t="str">
        <f t="shared" si="3"/>
        <v>Oct'24</v>
      </c>
      <c r="CJ64" s="179" t="s">
        <v>192</v>
      </c>
      <c r="CK64" s="179"/>
      <c r="CL64" s="179"/>
    </row>
    <row r="65" spans="1:92" s="4" customFormat="1" ht="52.5" customHeight="1" x14ac:dyDescent="0.25">
      <c r="A65" s="5">
        <v>243</v>
      </c>
      <c r="B65" s="125" t="s">
        <v>433</v>
      </c>
      <c r="C65" s="78" t="s">
        <v>434</v>
      </c>
      <c r="D65" s="5" t="s">
        <v>156</v>
      </c>
      <c r="E65" s="58">
        <v>2064</v>
      </c>
      <c r="F65" s="5">
        <v>9326796545</v>
      </c>
      <c r="G65" s="5" t="s">
        <v>142</v>
      </c>
      <c r="H65" s="5" t="s">
        <v>122</v>
      </c>
      <c r="I65" s="5" t="s">
        <v>143</v>
      </c>
      <c r="J65" s="5" t="s">
        <v>144</v>
      </c>
      <c r="K65" s="5" t="s">
        <v>435</v>
      </c>
      <c r="L65" s="5" t="s">
        <v>105</v>
      </c>
      <c r="M65" s="55">
        <v>45839</v>
      </c>
      <c r="N65" s="68">
        <f t="shared" ca="1" si="0"/>
        <v>338</v>
      </c>
      <c r="O65" s="71" t="str">
        <f t="shared" ca="1" si="1"/>
        <v>6-12M</v>
      </c>
      <c r="P65" s="132" t="s">
        <v>158</v>
      </c>
      <c r="Q65" s="5" t="s">
        <v>431</v>
      </c>
      <c r="R65" s="5" t="s">
        <v>164</v>
      </c>
      <c r="S65" s="111">
        <v>30</v>
      </c>
      <c r="T65" s="111">
        <v>125</v>
      </c>
      <c r="U65" s="111">
        <f t="shared" si="2"/>
        <v>155</v>
      </c>
      <c r="V65" s="5"/>
      <c r="W65" s="5" t="s">
        <v>109</v>
      </c>
      <c r="X65" s="5" t="s">
        <v>109</v>
      </c>
      <c r="Y65" s="131"/>
      <c r="Z65" s="5" t="s">
        <v>111</v>
      </c>
      <c r="AA65" s="5"/>
      <c r="AB65" s="5"/>
      <c r="AC65" s="5"/>
      <c r="AD65" s="248">
        <f>+AL65</f>
        <v>46357</v>
      </c>
      <c r="AE65" s="248">
        <f>+AS65</f>
        <v>46388</v>
      </c>
      <c r="AF65" s="5" t="s">
        <v>109</v>
      </c>
      <c r="AG65" s="5" t="s">
        <v>111</v>
      </c>
      <c r="AH65" s="5" t="s">
        <v>111</v>
      </c>
      <c r="AI65" s="5" t="s">
        <v>115</v>
      </c>
      <c r="AJ65" s="5" t="s">
        <v>115</v>
      </c>
      <c r="AK65" s="5"/>
      <c r="AL65" s="7">
        <v>46357</v>
      </c>
      <c r="AM65" s="5"/>
      <c r="AN65" s="5"/>
      <c r="AO65" s="5" t="s">
        <v>265</v>
      </c>
      <c r="AP65" s="5" t="s">
        <v>171</v>
      </c>
      <c r="AQ65" s="5"/>
      <c r="AR65" s="78"/>
      <c r="AS65" s="248">
        <v>46388</v>
      </c>
      <c r="AT65" s="5" t="s">
        <v>109</v>
      </c>
      <c r="AU65" s="5" t="s">
        <v>109</v>
      </c>
      <c r="AV65" s="5" t="s">
        <v>111</v>
      </c>
      <c r="AW65" s="5" t="s">
        <v>111</v>
      </c>
      <c r="AX65" s="5" t="s">
        <v>109</v>
      </c>
      <c r="AY65" s="5" t="s">
        <v>130</v>
      </c>
      <c r="AZ65" s="5" t="s">
        <v>253</v>
      </c>
      <c r="BA65" s="5" t="s">
        <v>253</v>
      </c>
      <c r="BB65" s="5" t="s">
        <v>261</v>
      </c>
      <c r="BC65" s="5" t="s">
        <v>111</v>
      </c>
      <c r="BD65" s="5" t="s">
        <v>111</v>
      </c>
      <c r="BE65" s="5" t="s">
        <v>253</v>
      </c>
      <c r="BF65" s="5" t="s">
        <v>253</v>
      </c>
      <c r="BG65" s="132" t="s">
        <v>353</v>
      </c>
      <c r="BH65" s="132" t="s">
        <v>171</v>
      </c>
      <c r="BI65" s="7">
        <v>46357</v>
      </c>
      <c r="BJ65" s="7">
        <v>46388</v>
      </c>
      <c r="BK65" s="5" t="s">
        <v>260</v>
      </c>
      <c r="BL65" s="5" t="s">
        <v>261</v>
      </c>
      <c r="BM65" s="5"/>
      <c r="BN65" s="5"/>
      <c r="BO65" s="5"/>
      <c r="BP65" s="5"/>
      <c r="BQ65" s="5"/>
      <c r="BR65" s="5"/>
      <c r="BS65" s="5"/>
      <c r="BT65" s="5"/>
      <c r="BU65" s="5"/>
      <c r="BV65" s="5"/>
      <c r="BW65" s="5" t="s">
        <v>184</v>
      </c>
      <c r="BX65" s="5"/>
      <c r="BY65" s="5"/>
      <c r="BZ65" s="5" t="s">
        <v>390</v>
      </c>
      <c r="CA65" s="5"/>
      <c r="CB65" s="179" t="s">
        <v>118</v>
      </c>
      <c r="CC65" s="179" t="s">
        <v>109</v>
      </c>
      <c r="CD65" s="5" t="s">
        <v>109</v>
      </c>
      <c r="CE65" s="5"/>
      <c r="CF65" s="179"/>
      <c r="CG65" s="179"/>
      <c r="CH65" s="199"/>
      <c r="CI65" s="179" t="str">
        <f t="shared" si="3"/>
        <v>Jul'25</v>
      </c>
      <c r="CJ65" s="179" t="s">
        <v>132</v>
      </c>
      <c r="CK65" s="201" t="s">
        <v>109</v>
      </c>
      <c r="CL65" s="201" t="s">
        <v>109</v>
      </c>
      <c r="CM65" s="6"/>
      <c r="CN65" s="6"/>
    </row>
    <row r="66" spans="1:92" s="4" customFormat="1" ht="72.75" customHeight="1" x14ac:dyDescent="0.25">
      <c r="A66" s="5">
        <v>56</v>
      </c>
      <c r="B66" s="125" t="s">
        <v>436</v>
      </c>
      <c r="C66" s="78" t="s">
        <v>437</v>
      </c>
      <c r="D66" s="5" t="s">
        <v>195</v>
      </c>
      <c r="E66" s="58"/>
      <c r="F66" s="5">
        <v>9011533440</v>
      </c>
      <c r="G66" s="5" t="s">
        <v>142</v>
      </c>
      <c r="H66" s="5" t="s">
        <v>101</v>
      </c>
      <c r="I66" s="5" t="s">
        <v>143</v>
      </c>
      <c r="J66" s="5" t="s">
        <v>162</v>
      </c>
      <c r="K66" s="5" t="s">
        <v>438</v>
      </c>
      <c r="L66" s="5" t="s">
        <v>439</v>
      </c>
      <c r="M66" s="55">
        <v>44907</v>
      </c>
      <c r="N66" s="68">
        <f t="shared" ca="1" si="0"/>
        <v>1270</v>
      </c>
      <c r="O66" s="71" t="str">
        <f t="shared" ca="1" si="1"/>
        <v>3-4Y</v>
      </c>
      <c r="P66" s="132" t="s">
        <v>158</v>
      </c>
      <c r="Q66" s="5" t="s">
        <v>107</v>
      </c>
      <c r="R66" s="5" t="s">
        <v>164</v>
      </c>
      <c r="S66" s="111">
        <v>30</v>
      </c>
      <c r="T66" s="111">
        <v>130</v>
      </c>
      <c r="U66" s="111">
        <f t="shared" si="2"/>
        <v>160</v>
      </c>
      <c r="V66" s="5"/>
      <c r="W66" s="5" t="s">
        <v>109</v>
      </c>
      <c r="X66" s="5" t="s">
        <v>109</v>
      </c>
      <c r="Y66" s="131">
        <f>+IF(AO66="Approved","Yes",AS66)</f>
        <v>46419</v>
      </c>
      <c r="Z66" s="5" t="s">
        <v>274</v>
      </c>
      <c r="AA66" s="5"/>
      <c r="AB66" s="5"/>
      <c r="AC66" s="5"/>
      <c r="AD66" s="248">
        <f>+AL66</f>
        <v>46357</v>
      </c>
      <c r="AE66" s="248">
        <f>+AS66</f>
        <v>46419</v>
      </c>
      <c r="AF66" s="5" t="s">
        <v>109</v>
      </c>
      <c r="AG66" s="5" t="s">
        <v>111</v>
      </c>
      <c r="AH66" s="5" t="s">
        <v>111</v>
      </c>
      <c r="AI66" s="5" t="s">
        <v>109</v>
      </c>
      <c r="AJ66" s="5" t="s">
        <v>109</v>
      </c>
      <c r="AK66" s="5" t="s">
        <v>181</v>
      </c>
      <c r="AL66" s="7">
        <v>46357</v>
      </c>
      <c r="AM66" s="5" t="s">
        <v>109</v>
      </c>
      <c r="AN66" s="5" t="s">
        <v>109</v>
      </c>
      <c r="AO66" s="5" t="s">
        <v>265</v>
      </c>
      <c r="AP66" s="5" t="s">
        <v>171</v>
      </c>
      <c r="AQ66" s="5"/>
      <c r="AR66" s="78" t="s">
        <v>440</v>
      </c>
      <c r="AS66" s="248">
        <v>46419</v>
      </c>
      <c r="AT66" s="5" t="s">
        <v>109</v>
      </c>
      <c r="AU66" s="5" t="s">
        <v>109</v>
      </c>
      <c r="AV66" s="78" t="s">
        <v>441</v>
      </c>
      <c r="AW66" s="5" t="s">
        <v>111</v>
      </c>
      <c r="AX66" s="5" t="s">
        <v>109</v>
      </c>
      <c r="AY66" s="5" t="s">
        <v>198</v>
      </c>
      <c r="AZ66" s="5" t="s">
        <v>130</v>
      </c>
      <c r="BA66" s="5" t="s">
        <v>198</v>
      </c>
      <c r="BB66" s="5" t="s">
        <v>130</v>
      </c>
      <c r="BC66" s="5" t="s">
        <v>199</v>
      </c>
      <c r="BD66" s="5" t="s">
        <v>111</v>
      </c>
      <c r="BE66" s="5" t="s">
        <v>199</v>
      </c>
      <c r="BF66" s="5" t="s">
        <v>199</v>
      </c>
      <c r="BG66" s="132" t="s">
        <v>234</v>
      </c>
      <c r="BH66" s="179" t="s">
        <v>90</v>
      </c>
      <c r="BI66" s="7">
        <v>46234</v>
      </c>
      <c r="BJ66" s="7">
        <v>46295</v>
      </c>
      <c r="BK66" s="5" t="s">
        <v>260</v>
      </c>
      <c r="BL66" s="5" t="s">
        <v>261</v>
      </c>
      <c r="BM66" s="5"/>
      <c r="BN66" s="5" t="s">
        <v>184</v>
      </c>
      <c r="BO66" s="5"/>
      <c r="BP66" s="5"/>
      <c r="BQ66" s="5"/>
      <c r="BR66" s="5"/>
      <c r="BS66" s="5"/>
      <c r="BT66" s="5"/>
      <c r="BU66" s="5"/>
      <c r="BV66" s="5"/>
      <c r="BW66" s="5" t="s">
        <v>184</v>
      </c>
      <c r="BX66" s="5"/>
      <c r="BY66" s="5"/>
      <c r="BZ66" s="5" t="s">
        <v>390</v>
      </c>
      <c r="CA66" s="5" t="s">
        <v>114</v>
      </c>
      <c r="CB66" s="179" t="s">
        <v>402</v>
      </c>
      <c r="CC66" s="179" t="s">
        <v>109</v>
      </c>
      <c r="CD66" s="5" t="s">
        <v>109</v>
      </c>
      <c r="CE66" s="5"/>
      <c r="CF66" s="179"/>
      <c r="CG66" s="179"/>
      <c r="CH66" s="199"/>
      <c r="CI66" s="179" t="str">
        <f t="shared" si="3"/>
        <v>Dec'22</v>
      </c>
      <c r="CJ66" s="179" t="s">
        <v>107</v>
      </c>
      <c r="CK66" s="179"/>
      <c r="CL66" s="201" t="s">
        <v>109</v>
      </c>
    </row>
    <row r="67" spans="1:92" s="4" customFormat="1" ht="50.25" customHeight="1" x14ac:dyDescent="0.25">
      <c r="A67" s="5">
        <v>71</v>
      </c>
      <c r="B67" s="125" t="s">
        <v>442</v>
      </c>
      <c r="C67" s="78" t="s">
        <v>443</v>
      </c>
      <c r="D67" s="5" t="s">
        <v>383</v>
      </c>
      <c r="E67" s="58">
        <v>1579</v>
      </c>
      <c r="F67" s="5">
        <v>7030622003</v>
      </c>
      <c r="G67" s="5" t="s">
        <v>101</v>
      </c>
      <c r="H67" s="5" t="s">
        <v>122</v>
      </c>
      <c r="I67" s="5" t="s">
        <v>143</v>
      </c>
      <c r="J67" s="5" t="s">
        <v>144</v>
      </c>
      <c r="K67" s="5" t="s">
        <v>444</v>
      </c>
      <c r="L67" s="5" t="s">
        <v>105</v>
      </c>
      <c r="M67" s="55">
        <v>45253</v>
      </c>
      <c r="N67" s="68">
        <f t="shared" ref="N67:N130" ca="1" si="11">+TODAY()-M67</f>
        <v>924</v>
      </c>
      <c r="O67" s="71" t="str">
        <f t="shared" ref="O67:O130" ca="1" si="12">+IF(N67&lt;180,"0-6M",IF(N67&lt;365,"6-12M",IF(N67&lt;730,"1-2Y",IF(N67&lt;1095,"2-3Y",IF(N67&lt;1460,"3-4Y",IF(N67&lt;1825,"4-5Y",IF(N67&gt;1825,"&gt;5Y")))))))</f>
        <v>2-3Y</v>
      </c>
      <c r="P67" s="132" t="s">
        <v>106</v>
      </c>
      <c r="Q67" s="5" t="s">
        <v>125</v>
      </c>
      <c r="R67" s="5" t="s">
        <v>108</v>
      </c>
      <c r="S67" s="111">
        <v>200</v>
      </c>
      <c r="T67" s="111">
        <v>125</v>
      </c>
      <c r="U67" s="111">
        <f t="shared" ref="U67:U130" si="13">+S67+T67</f>
        <v>325</v>
      </c>
      <c r="V67" s="5"/>
      <c r="W67" s="5" t="s">
        <v>109</v>
      </c>
      <c r="X67" s="5" t="s">
        <v>109</v>
      </c>
      <c r="Y67" s="131">
        <f>+IF(AO67="Approved","Yes",AS67)</f>
        <v>46419</v>
      </c>
      <c r="Z67" s="5" t="s">
        <v>111</v>
      </c>
      <c r="AA67" s="5"/>
      <c r="AB67" s="5"/>
      <c r="AC67" s="5"/>
      <c r="AD67" s="248">
        <v>46352</v>
      </c>
      <c r="AE67" s="248">
        <f>+AS67</f>
        <v>46419</v>
      </c>
      <c r="AF67" s="5" t="s">
        <v>109</v>
      </c>
      <c r="AG67" s="5" t="s">
        <v>111</v>
      </c>
      <c r="AH67" s="5" t="s">
        <v>111</v>
      </c>
      <c r="AI67" s="5" t="s">
        <v>115</v>
      </c>
      <c r="AJ67" s="5" t="s">
        <v>115</v>
      </c>
      <c r="AK67" s="5" t="s">
        <v>184</v>
      </c>
      <c r="AL67" s="7">
        <v>46266</v>
      </c>
      <c r="AM67" s="5" t="s">
        <v>109</v>
      </c>
      <c r="AN67" s="5" t="s">
        <v>109</v>
      </c>
      <c r="AO67" s="5" t="s">
        <v>265</v>
      </c>
      <c r="AP67" s="5" t="s">
        <v>171</v>
      </c>
      <c r="AQ67" s="5"/>
      <c r="AR67" s="78" t="s">
        <v>445</v>
      </c>
      <c r="AS67" s="248">
        <v>46419</v>
      </c>
      <c r="AT67" s="5" t="s">
        <v>146</v>
      </c>
      <c r="AU67" s="5" t="s">
        <v>146</v>
      </c>
      <c r="AV67" s="78" t="s">
        <v>111</v>
      </c>
      <c r="AW67" s="5" t="s">
        <v>111</v>
      </c>
      <c r="AX67" s="5" t="s">
        <v>146</v>
      </c>
      <c r="AY67" s="5" t="s">
        <v>114</v>
      </c>
      <c r="AZ67" s="5" t="s">
        <v>130</v>
      </c>
      <c r="BA67" s="5" t="s">
        <v>130</v>
      </c>
      <c r="BB67" s="5" t="s">
        <v>115</v>
      </c>
      <c r="BC67" s="5" t="s">
        <v>114</v>
      </c>
      <c r="BD67" s="5" t="s">
        <v>111</v>
      </c>
      <c r="BE67" s="5" t="s">
        <v>111</v>
      </c>
      <c r="BF67" s="5" t="s">
        <v>111</v>
      </c>
      <c r="BG67" s="132" t="s">
        <v>234</v>
      </c>
      <c r="BH67" s="132" t="s">
        <v>419</v>
      </c>
      <c r="BI67" s="248">
        <v>46419</v>
      </c>
      <c r="BJ67" s="248">
        <v>46419</v>
      </c>
      <c r="BK67" s="5" t="s">
        <v>109</v>
      </c>
      <c r="BL67" s="5" t="s">
        <v>114</v>
      </c>
      <c r="BM67" s="5" t="s">
        <v>111</v>
      </c>
      <c r="BN67" s="5" t="s">
        <v>111</v>
      </c>
      <c r="BO67" s="5" t="s">
        <v>115</v>
      </c>
      <c r="BP67" s="5"/>
      <c r="BQ67" s="5"/>
      <c r="BR67" s="5"/>
      <c r="BS67" s="5"/>
      <c r="BT67" s="5"/>
      <c r="BU67" s="5"/>
      <c r="BV67" s="5"/>
      <c r="BW67" s="5" t="s">
        <v>184</v>
      </c>
      <c r="BX67" s="5"/>
      <c r="BY67" s="5"/>
      <c r="BZ67" s="5"/>
      <c r="CA67" s="5"/>
      <c r="CB67" s="179" t="s">
        <v>118</v>
      </c>
      <c r="CC67" s="179" t="s">
        <v>109</v>
      </c>
      <c r="CD67" s="5" t="s">
        <v>109</v>
      </c>
      <c r="CE67" s="5"/>
      <c r="CF67" s="179"/>
      <c r="CG67" s="179"/>
      <c r="CH67" s="199"/>
      <c r="CI67" s="179" t="str">
        <f t="shared" ref="CI67:CI130" si="14">TEXT(M67,"MMM'YY")</f>
        <v>Nov'23</v>
      </c>
      <c r="CJ67" s="179" t="s">
        <v>132</v>
      </c>
      <c r="CK67" s="179" t="s">
        <v>109</v>
      </c>
      <c r="CL67" s="179" t="s">
        <v>109</v>
      </c>
      <c r="CM67" s="6"/>
      <c r="CN67" s="6"/>
    </row>
    <row r="68" spans="1:92" s="4" customFormat="1" ht="94.5" customHeight="1" x14ac:dyDescent="0.25">
      <c r="A68" s="5">
        <v>86</v>
      </c>
      <c r="B68" s="125" t="s">
        <v>446</v>
      </c>
      <c r="C68" s="78" t="s">
        <v>447</v>
      </c>
      <c r="D68" s="5" t="s">
        <v>99</v>
      </c>
      <c r="E68" s="58">
        <v>2113</v>
      </c>
      <c r="F68" s="5">
        <v>9545478686</v>
      </c>
      <c r="G68" s="5" t="s">
        <v>100</v>
      </c>
      <c r="H68" s="5" t="s">
        <v>122</v>
      </c>
      <c r="I68" s="5" t="s">
        <v>102</v>
      </c>
      <c r="J68" s="5" t="s">
        <v>123</v>
      </c>
      <c r="K68" s="5" t="s">
        <v>448</v>
      </c>
      <c r="L68" s="5" t="s">
        <v>105</v>
      </c>
      <c r="M68" s="55">
        <v>45273</v>
      </c>
      <c r="N68" s="68">
        <f t="shared" ca="1" si="11"/>
        <v>904</v>
      </c>
      <c r="O68" s="71" t="str">
        <f t="shared" ca="1" si="12"/>
        <v>2-3Y</v>
      </c>
      <c r="P68" s="132" t="s">
        <v>106</v>
      </c>
      <c r="Q68" s="5" t="s">
        <v>125</v>
      </c>
      <c r="R68" s="5" t="s">
        <v>108</v>
      </c>
      <c r="S68" s="111">
        <v>30</v>
      </c>
      <c r="T68" s="111">
        <v>90</v>
      </c>
      <c r="U68" s="111">
        <f t="shared" si="13"/>
        <v>120</v>
      </c>
      <c r="V68" s="5"/>
      <c r="W68" s="5" t="s">
        <v>109</v>
      </c>
      <c r="X68" s="5" t="s">
        <v>109</v>
      </c>
      <c r="Y68" s="131">
        <f>+IF(AO68="Approved","Yes",AS68)</f>
        <v>46419</v>
      </c>
      <c r="Z68" s="5" t="s">
        <v>111</v>
      </c>
      <c r="AA68" s="5"/>
      <c r="AB68" s="5"/>
      <c r="AC68" s="5"/>
      <c r="AD68" s="248">
        <v>46388</v>
      </c>
      <c r="AE68" s="248">
        <v>46419</v>
      </c>
      <c r="AF68" s="5" t="s">
        <v>109</v>
      </c>
      <c r="AG68" s="5" t="s">
        <v>111</v>
      </c>
      <c r="AH68" s="5" t="s">
        <v>111</v>
      </c>
      <c r="AI68" s="5" t="s">
        <v>115</v>
      </c>
      <c r="AJ68" s="5" t="s">
        <v>115</v>
      </c>
      <c r="AK68" s="5" t="s">
        <v>181</v>
      </c>
      <c r="AL68" s="7">
        <v>46388</v>
      </c>
      <c r="AM68" s="5" t="s">
        <v>109</v>
      </c>
      <c r="AN68" s="5" t="s">
        <v>109</v>
      </c>
      <c r="AO68" s="5" t="s">
        <v>265</v>
      </c>
      <c r="AP68" s="5" t="s">
        <v>171</v>
      </c>
      <c r="AQ68" s="5"/>
      <c r="AR68" s="78" t="s">
        <v>258</v>
      </c>
      <c r="AS68" s="248">
        <v>46419</v>
      </c>
      <c r="AT68" s="5" t="s">
        <v>109</v>
      </c>
      <c r="AU68" s="5" t="s">
        <v>298</v>
      </c>
      <c r="AV68" s="78" t="s">
        <v>449</v>
      </c>
      <c r="AW68" s="5" t="s">
        <v>171</v>
      </c>
      <c r="AX68" s="5" t="s">
        <v>109</v>
      </c>
      <c r="AY68" s="5" t="s">
        <v>109</v>
      </c>
      <c r="AZ68" s="5" t="s">
        <v>130</v>
      </c>
      <c r="BA68" s="5" t="s">
        <v>130</v>
      </c>
      <c r="BB68" s="5" t="s">
        <v>285</v>
      </c>
      <c r="BC68" s="5" t="s">
        <v>173</v>
      </c>
      <c r="BD68" s="5" t="s">
        <v>173</v>
      </c>
      <c r="BE68" s="5" t="s">
        <v>111</v>
      </c>
      <c r="BF68" s="5" t="s">
        <v>111</v>
      </c>
      <c r="BG68" s="132" t="s">
        <v>234</v>
      </c>
      <c r="BH68" s="132" t="s">
        <v>171</v>
      </c>
      <c r="BI68" s="7">
        <v>46753</v>
      </c>
      <c r="BJ68" s="7">
        <v>46784</v>
      </c>
      <c r="BK68" s="5" t="s">
        <v>109</v>
      </c>
      <c r="BL68" s="5" t="s">
        <v>114</v>
      </c>
      <c r="BM68" s="5" t="s">
        <v>111</v>
      </c>
      <c r="BN68" s="5" t="s">
        <v>111</v>
      </c>
      <c r="BO68" s="5" t="s">
        <v>115</v>
      </c>
      <c r="BP68" s="5"/>
      <c r="BQ68" s="5"/>
      <c r="BR68" s="5"/>
      <c r="BS68" s="5"/>
      <c r="BT68" s="5"/>
      <c r="BU68" s="5"/>
      <c r="BV68" s="5"/>
      <c r="BW68" s="5" t="s">
        <v>184</v>
      </c>
      <c r="BX68" s="5"/>
      <c r="BY68" s="5"/>
      <c r="BZ68" s="5" t="s">
        <v>390</v>
      </c>
      <c r="CA68" s="5"/>
      <c r="CB68" s="179" t="s">
        <v>118</v>
      </c>
      <c r="CC68" s="179" t="s">
        <v>109</v>
      </c>
      <c r="CD68" s="5" t="s">
        <v>109</v>
      </c>
      <c r="CE68" s="5"/>
      <c r="CF68" s="179"/>
      <c r="CG68" s="179"/>
      <c r="CH68" s="199"/>
      <c r="CI68" s="179" t="str">
        <f t="shared" si="14"/>
        <v>Dec'23</v>
      </c>
      <c r="CJ68" s="179" t="s">
        <v>132</v>
      </c>
      <c r="CK68" s="179" t="s">
        <v>109</v>
      </c>
      <c r="CL68" s="8" t="s">
        <v>109</v>
      </c>
    </row>
    <row r="69" spans="1:92" s="4" customFormat="1" ht="94.5" customHeight="1" x14ac:dyDescent="0.25">
      <c r="A69" s="5">
        <v>114</v>
      </c>
      <c r="B69" s="125" t="s">
        <v>450</v>
      </c>
      <c r="C69" s="78" t="s">
        <v>451</v>
      </c>
      <c r="D69" s="5" t="s">
        <v>121</v>
      </c>
      <c r="E69" s="58">
        <v>1817</v>
      </c>
      <c r="F69" s="5">
        <v>9975023030</v>
      </c>
      <c r="G69" s="5" t="s">
        <v>142</v>
      </c>
      <c r="H69" s="5" t="s">
        <v>122</v>
      </c>
      <c r="I69" s="5" t="s">
        <v>143</v>
      </c>
      <c r="J69" s="5" t="s">
        <v>144</v>
      </c>
      <c r="K69" s="5" t="s">
        <v>452</v>
      </c>
      <c r="L69" s="5" t="s">
        <v>105</v>
      </c>
      <c r="M69" s="55">
        <v>45314</v>
      </c>
      <c r="N69" s="68">
        <f t="shared" ca="1" si="11"/>
        <v>863</v>
      </c>
      <c r="O69" s="71" t="str">
        <f t="shared" ca="1" si="12"/>
        <v>2-3Y</v>
      </c>
      <c r="P69" s="132" t="s">
        <v>106</v>
      </c>
      <c r="Q69" s="5" t="s">
        <v>125</v>
      </c>
      <c r="R69" s="5" t="s">
        <v>108</v>
      </c>
      <c r="S69" s="111">
        <v>30</v>
      </c>
      <c r="T69" s="111">
        <v>122</v>
      </c>
      <c r="U69" s="111">
        <f t="shared" si="13"/>
        <v>152</v>
      </c>
      <c r="V69" s="5"/>
      <c r="W69" s="5" t="s">
        <v>109</v>
      </c>
      <c r="X69" s="5" t="s">
        <v>109</v>
      </c>
      <c r="Y69" s="131">
        <f>+IF(AO69="Approved","Yes",AS69)</f>
        <v>46419</v>
      </c>
      <c r="Z69" s="5" t="s">
        <v>111</v>
      </c>
      <c r="AA69" s="5"/>
      <c r="AB69" s="5"/>
      <c r="AC69" s="5"/>
      <c r="AD69" s="248">
        <v>46388</v>
      </c>
      <c r="AE69" s="248">
        <v>46419</v>
      </c>
      <c r="AF69" s="5" t="s">
        <v>109</v>
      </c>
      <c r="AG69" s="5" t="s">
        <v>111</v>
      </c>
      <c r="AH69" s="5" t="s">
        <v>111</v>
      </c>
      <c r="AI69" s="5" t="s">
        <v>115</v>
      </c>
      <c r="AJ69" s="5" t="s">
        <v>115</v>
      </c>
      <c r="AK69" s="5" t="s">
        <v>181</v>
      </c>
      <c r="AL69" s="7">
        <v>46388</v>
      </c>
      <c r="AM69" s="5" t="s">
        <v>109</v>
      </c>
      <c r="AN69" s="5" t="s">
        <v>109</v>
      </c>
      <c r="AO69" s="5" t="s">
        <v>265</v>
      </c>
      <c r="AP69" s="5" t="s">
        <v>171</v>
      </c>
      <c r="AQ69" s="5"/>
      <c r="AR69" s="78" t="s">
        <v>258</v>
      </c>
      <c r="AS69" s="248">
        <v>46419</v>
      </c>
      <c r="AT69" s="5" t="s">
        <v>109</v>
      </c>
      <c r="AU69" s="5" t="s">
        <v>109</v>
      </c>
      <c r="AV69" s="5"/>
      <c r="AW69" s="5" t="s">
        <v>111</v>
      </c>
      <c r="AX69" s="5" t="s">
        <v>109</v>
      </c>
      <c r="AY69" s="5" t="s">
        <v>109</v>
      </c>
      <c r="AZ69" s="5" t="s">
        <v>114</v>
      </c>
      <c r="BA69" s="5" t="s">
        <v>130</v>
      </c>
      <c r="BB69" s="5" t="s">
        <v>130</v>
      </c>
      <c r="BC69" s="5" t="s">
        <v>114</v>
      </c>
      <c r="BD69" s="5" t="s">
        <v>114</v>
      </c>
      <c r="BE69" s="5" t="s">
        <v>111</v>
      </c>
      <c r="BF69" s="5" t="s">
        <v>111</v>
      </c>
      <c r="BG69" s="132" t="s">
        <v>234</v>
      </c>
      <c r="BH69" s="132" t="s">
        <v>90</v>
      </c>
      <c r="BI69" s="7">
        <v>46382</v>
      </c>
      <c r="BJ69" s="7">
        <v>46388</v>
      </c>
      <c r="BK69" s="5" t="s">
        <v>109</v>
      </c>
      <c r="BL69" s="5" t="s">
        <v>114</v>
      </c>
      <c r="BM69" s="5" t="s">
        <v>111</v>
      </c>
      <c r="BN69" s="5" t="s">
        <v>111</v>
      </c>
      <c r="BO69" s="5" t="s">
        <v>115</v>
      </c>
      <c r="BP69" s="5"/>
      <c r="BQ69" s="5"/>
      <c r="BR69" s="5"/>
      <c r="BS69" s="5"/>
      <c r="BT69" s="5"/>
      <c r="BU69" s="5"/>
      <c r="BV69" s="5"/>
      <c r="BW69" s="5" t="s">
        <v>184</v>
      </c>
      <c r="BX69" s="5"/>
      <c r="BY69" s="5"/>
      <c r="BZ69" s="5" t="s">
        <v>390</v>
      </c>
      <c r="CA69" s="5"/>
      <c r="CB69" s="179" t="s">
        <v>118</v>
      </c>
      <c r="CC69" s="179" t="s">
        <v>109</v>
      </c>
      <c r="CD69" s="5" t="s">
        <v>109</v>
      </c>
      <c r="CE69" s="5"/>
      <c r="CF69" s="179"/>
      <c r="CG69" s="179"/>
      <c r="CH69" s="199"/>
      <c r="CI69" s="179" t="str">
        <f t="shared" si="14"/>
        <v>Jan'24</v>
      </c>
      <c r="CJ69" s="179" t="s">
        <v>132</v>
      </c>
      <c r="CK69" s="179" t="s">
        <v>109</v>
      </c>
      <c r="CL69" s="8" t="s">
        <v>109</v>
      </c>
    </row>
    <row r="70" spans="1:92" s="6" customFormat="1" ht="66" customHeight="1" x14ac:dyDescent="0.25">
      <c r="A70" s="5">
        <v>126</v>
      </c>
      <c r="B70" s="125" t="s">
        <v>453</v>
      </c>
      <c r="C70" s="78" t="s">
        <v>454</v>
      </c>
      <c r="D70" s="5" t="s">
        <v>398</v>
      </c>
      <c r="E70" s="58">
        <v>2023</v>
      </c>
      <c r="F70" s="265">
        <v>9373762424</v>
      </c>
      <c r="G70" s="5" t="s">
        <v>142</v>
      </c>
      <c r="H70" s="5" t="s">
        <v>101</v>
      </c>
      <c r="I70" s="5" t="s">
        <v>143</v>
      </c>
      <c r="J70" s="5" t="s">
        <v>151</v>
      </c>
      <c r="K70" s="5" t="s">
        <v>455</v>
      </c>
      <c r="L70" s="5" t="s">
        <v>105</v>
      </c>
      <c r="M70" s="55">
        <v>45334</v>
      </c>
      <c r="N70" s="68">
        <f t="shared" ca="1" si="11"/>
        <v>843</v>
      </c>
      <c r="O70" s="71" t="str">
        <f t="shared" ca="1" si="12"/>
        <v>2-3Y</v>
      </c>
      <c r="P70" s="132" t="s">
        <v>106</v>
      </c>
      <c r="Q70" s="5" t="s">
        <v>125</v>
      </c>
      <c r="R70" s="5" t="s">
        <v>108</v>
      </c>
      <c r="S70" s="111">
        <v>80</v>
      </c>
      <c r="T70" s="111">
        <v>85</v>
      </c>
      <c r="U70" s="111">
        <f t="shared" si="13"/>
        <v>165</v>
      </c>
      <c r="V70" s="5"/>
      <c r="W70" s="5" t="s">
        <v>109</v>
      </c>
      <c r="X70" s="5" t="s">
        <v>109</v>
      </c>
      <c r="Y70" s="131" t="str">
        <f>+AP70</f>
        <v>Yes</v>
      </c>
      <c r="Z70" s="5" t="s">
        <v>110</v>
      </c>
      <c r="AA70" s="5"/>
      <c r="AB70" s="5"/>
      <c r="AC70" s="5"/>
      <c r="AD70" s="248">
        <v>46388</v>
      </c>
      <c r="AE70" s="248">
        <v>46419</v>
      </c>
      <c r="AF70" s="5" t="s">
        <v>109</v>
      </c>
      <c r="AG70" s="5" t="s">
        <v>111</v>
      </c>
      <c r="AH70" s="5" t="s">
        <v>111</v>
      </c>
      <c r="AI70" s="5" t="s">
        <v>109</v>
      </c>
      <c r="AJ70" s="5" t="s">
        <v>109</v>
      </c>
      <c r="AK70" s="5" t="s">
        <v>181</v>
      </c>
      <c r="AL70" s="7">
        <v>46388</v>
      </c>
      <c r="AM70" s="5" t="s">
        <v>109</v>
      </c>
      <c r="AN70" s="5" t="s">
        <v>109</v>
      </c>
      <c r="AO70" s="5" t="s">
        <v>110</v>
      </c>
      <c r="AP70" s="5" t="s">
        <v>109</v>
      </c>
      <c r="AQ70" s="5">
        <v>4338562</v>
      </c>
      <c r="AR70" s="78" t="s">
        <v>456</v>
      </c>
      <c r="AS70" s="248">
        <v>46419</v>
      </c>
      <c r="AT70" s="58" t="s">
        <v>109</v>
      </c>
      <c r="AU70" s="58" t="s">
        <v>109</v>
      </c>
      <c r="AV70" s="58" t="s">
        <v>111</v>
      </c>
      <c r="AW70" s="58" t="s">
        <v>111</v>
      </c>
      <c r="AX70" s="58" t="s">
        <v>109</v>
      </c>
      <c r="AY70" s="58" t="s">
        <v>109</v>
      </c>
      <c r="AZ70" s="58" t="s">
        <v>130</v>
      </c>
      <c r="BA70" s="58" t="s">
        <v>173</v>
      </c>
      <c r="BB70" s="58" t="s">
        <v>173</v>
      </c>
      <c r="BC70" s="58" t="s">
        <v>173</v>
      </c>
      <c r="BD70" s="58" t="s">
        <v>111</v>
      </c>
      <c r="BE70" s="58" t="s">
        <v>111</v>
      </c>
      <c r="BF70" s="58" t="s">
        <v>111</v>
      </c>
      <c r="BG70" s="132" t="s">
        <v>114</v>
      </c>
      <c r="BH70" s="132" t="s">
        <v>223</v>
      </c>
      <c r="BI70" s="248">
        <v>46266</v>
      </c>
      <c r="BJ70" s="248">
        <v>46295</v>
      </c>
      <c r="BK70" s="5" t="s">
        <v>109</v>
      </c>
      <c r="BL70" s="5" t="s">
        <v>114</v>
      </c>
      <c r="BM70" s="5"/>
      <c r="BN70" s="5" t="s">
        <v>109</v>
      </c>
      <c r="BO70" s="5"/>
      <c r="BP70" s="5"/>
      <c r="BQ70" s="5"/>
      <c r="BR70" s="5"/>
      <c r="BS70" s="5"/>
      <c r="BT70" s="5"/>
      <c r="BU70" s="5"/>
      <c r="BV70" s="5"/>
      <c r="BW70" s="5" t="s">
        <v>184</v>
      </c>
      <c r="BX70" s="5"/>
      <c r="BY70" s="5"/>
      <c r="BZ70" s="5"/>
      <c r="CA70" s="5"/>
      <c r="CB70" s="179" t="s">
        <v>118</v>
      </c>
      <c r="CC70" s="179" t="s">
        <v>109</v>
      </c>
      <c r="CD70" s="5" t="s">
        <v>109</v>
      </c>
      <c r="CE70" s="5"/>
      <c r="CF70" s="179"/>
      <c r="CG70" s="179"/>
      <c r="CH70" s="199"/>
      <c r="CI70" s="179" t="str">
        <f t="shared" si="14"/>
        <v>Feb'24</v>
      </c>
      <c r="CJ70" s="179" t="s">
        <v>132</v>
      </c>
      <c r="CK70" s="179" t="s">
        <v>109</v>
      </c>
      <c r="CL70" s="8" t="s">
        <v>109</v>
      </c>
      <c r="CM70" s="4"/>
      <c r="CN70" s="4"/>
    </row>
    <row r="71" spans="1:92" s="6" customFormat="1" ht="67.5" customHeight="1" x14ac:dyDescent="0.25">
      <c r="A71" s="5">
        <v>154</v>
      </c>
      <c r="B71" s="125" t="s">
        <v>457</v>
      </c>
      <c r="C71" s="78" t="s">
        <v>458</v>
      </c>
      <c r="D71" s="5" t="s">
        <v>99</v>
      </c>
      <c r="E71" s="58">
        <v>1917</v>
      </c>
      <c r="F71" s="5">
        <v>8380077342</v>
      </c>
      <c r="G71" s="5" t="s">
        <v>142</v>
      </c>
      <c r="H71" s="5" t="s">
        <v>122</v>
      </c>
      <c r="I71" s="5" t="s">
        <v>143</v>
      </c>
      <c r="J71" s="5" t="s">
        <v>144</v>
      </c>
      <c r="K71" s="5" t="s">
        <v>459</v>
      </c>
      <c r="L71" s="5" t="s">
        <v>105</v>
      </c>
      <c r="M71" s="55">
        <v>45456</v>
      </c>
      <c r="N71" s="68">
        <f t="shared" ca="1" si="11"/>
        <v>721</v>
      </c>
      <c r="O71" s="71" t="str">
        <f t="shared" ca="1" si="12"/>
        <v>1-2Y</v>
      </c>
      <c r="P71" s="132" t="s">
        <v>106</v>
      </c>
      <c r="Q71" s="5" t="s">
        <v>125</v>
      </c>
      <c r="R71" s="5" t="s">
        <v>164</v>
      </c>
      <c r="S71" s="111">
        <v>30</v>
      </c>
      <c r="T71" s="111">
        <v>120</v>
      </c>
      <c r="U71" s="111">
        <f t="shared" si="13"/>
        <v>150</v>
      </c>
      <c r="V71" s="5"/>
      <c r="W71" s="5" t="s">
        <v>109</v>
      </c>
      <c r="X71" s="5" t="s">
        <v>109</v>
      </c>
      <c r="Y71" s="131" t="str">
        <f>+AP71</f>
        <v>No</v>
      </c>
      <c r="Z71" s="5" t="s">
        <v>111</v>
      </c>
      <c r="AA71" s="5"/>
      <c r="AB71" s="5"/>
      <c r="AC71" s="5"/>
      <c r="AD71" s="248">
        <v>46388</v>
      </c>
      <c r="AE71" s="248">
        <v>46419</v>
      </c>
      <c r="AF71" s="5" t="s">
        <v>109</v>
      </c>
      <c r="AG71" s="5" t="s">
        <v>111</v>
      </c>
      <c r="AH71" s="5" t="s">
        <v>111</v>
      </c>
      <c r="AI71" s="5" t="s">
        <v>115</v>
      </c>
      <c r="AJ71" s="5" t="s">
        <v>115</v>
      </c>
      <c r="AK71" s="5" t="s">
        <v>181</v>
      </c>
      <c r="AL71" s="7">
        <v>46388</v>
      </c>
      <c r="AM71" s="5" t="s">
        <v>109</v>
      </c>
      <c r="AN71" s="5" t="s">
        <v>109</v>
      </c>
      <c r="AO71" s="5" t="s">
        <v>265</v>
      </c>
      <c r="AP71" s="5" t="s">
        <v>171</v>
      </c>
      <c r="AQ71" s="5"/>
      <c r="AR71" s="78" t="s">
        <v>258</v>
      </c>
      <c r="AS71" s="248">
        <v>46419</v>
      </c>
      <c r="AT71" s="5" t="s">
        <v>109</v>
      </c>
      <c r="AU71" s="5" t="s">
        <v>109</v>
      </c>
      <c r="AV71" s="78" t="s">
        <v>460</v>
      </c>
      <c r="AW71" s="5" t="s">
        <v>171</v>
      </c>
      <c r="AX71" s="5" t="s">
        <v>109</v>
      </c>
      <c r="AY71" s="5" t="s">
        <v>109</v>
      </c>
      <c r="AZ71" s="5" t="s">
        <v>130</v>
      </c>
      <c r="BA71" s="5" t="s">
        <v>130</v>
      </c>
      <c r="BB71" s="5" t="s">
        <v>130</v>
      </c>
      <c r="BC71" s="5" t="s">
        <v>173</v>
      </c>
      <c r="BD71" s="5" t="s">
        <v>173</v>
      </c>
      <c r="BE71" s="5" t="s">
        <v>111</v>
      </c>
      <c r="BF71" s="5" t="s">
        <v>111</v>
      </c>
      <c r="BG71" s="132" t="s">
        <v>234</v>
      </c>
      <c r="BH71" s="132" t="s">
        <v>90</v>
      </c>
      <c r="BI71" s="7">
        <v>46357</v>
      </c>
      <c r="BJ71" s="7">
        <v>46388</v>
      </c>
      <c r="BK71" s="5" t="s">
        <v>109</v>
      </c>
      <c r="BL71" s="5" t="s">
        <v>114</v>
      </c>
      <c r="BM71" s="5" t="s">
        <v>111</v>
      </c>
      <c r="BN71" s="5" t="s">
        <v>111</v>
      </c>
      <c r="BO71" s="5" t="s">
        <v>115</v>
      </c>
      <c r="BP71" s="5"/>
      <c r="BQ71" s="5"/>
      <c r="BR71" s="5"/>
      <c r="BS71" s="5"/>
      <c r="BT71" s="5"/>
      <c r="BU71" s="5"/>
      <c r="BV71" s="5"/>
      <c r="BW71" s="5" t="s">
        <v>184</v>
      </c>
      <c r="BX71" s="5"/>
      <c r="BY71" s="5"/>
      <c r="BZ71" s="5" t="s">
        <v>390</v>
      </c>
      <c r="CA71" s="5"/>
      <c r="CB71" s="179" t="s">
        <v>118</v>
      </c>
      <c r="CC71" s="179" t="s">
        <v>109</v>
      </c>
      <c r="CD71" s="5" t="s">
        <v>109</v>
      </c>
      <c r="CE71" s="5"/>
      <c r="CF71" s="179"/>
      <c r="CG71" s="179"/>
      <c r="CH71" s="199"/>
      <c r="CI71" s="179" t="str">
        <f t="shared" si="14"/>
        <v>Jun'24</v>
      </c>
      <c r="CJ71" s="179" t="s">
        <v>132</v>
      </c>
      <c r="CK71" s="179" t="s">
        <v>109</v>
      </c>
      <c r="CL71" s="8" t="s">
        <v>109</v>
      </c>
      <c r="CM71" s="4"/>
      <c r="CN71" s="4"/>
    </row>
    <row r="72" spans="1:92" s="4" customFormat="1" ht="68.25" customHeight="1" x14ac:dyDescent="0.25">
      <c r="A72" s="5">
        <v>246</v>
      </c>
      <c r="B72" s="125" t="s">
        <v>461</v>
      </c>
      <c r="C72" s="78" t="s">
        <v>462</v>
      </c>
      <c r="D72" s="5" t="s">
        <v>383</v>
      </c>
      <c r="E72" s="58">
        <v>1612</v>
      </c>
      <c r="F72" s="5">
        <v>8788797700</v>
      </c>
      <c r="G72" s="5" t="s">
        <v>142</v>
      </c>
      <c r="H72" s="5" t="s">
        <v>101</v>
      </c>
      <c r="I72" s="5" t="s">
        <v>143</v>
      </c>
      <c r="J72" s="5" t="s">
        <v>162</v>
      </c>
      <c r="K72" s="5" t="s">
        <v>463</v>
      </c>
      <c r="L72" s="5" t="s">
        <v>105</v>
      </c>
      <c r="M72" s="55">
        <v>45868</v>
      </c>
      <c r="N72" s="68">
        <f t="shared" ca="1" si="11"/>
        <v>309</v>
      </c>
      <c r="O72" s="71" t="str">
        <f t="shared" ca="1" si="12"/>
        <v>6-12M</v>
      </c>
      <c r="P72" s="132" t="s">
        <v>106</v>
      </c>
      <c r="Q72" s="5" t="s">
        <v>180</v>
      </c>
      <c r="R72" s="5" t="s">
        <v>164</v>
      </c>
      <c r="S72" s="111">
        <v>50</v>
      </c>
      <c r="T72" s="111">
        <v>100</v>
      </c>
      <c r="U72" s="111">
        <f t="shared" si="13"/>
        <v>150</v>
      </c>
      <c r="V72" s="5"/>
      <c r="W72" s="5" t="s">
        <v>109</v>
      </c>
      <c r="X72" s="5" t="s">
        <v>109</v>
      </c>
      <c r="Y72" s="131"/>
      <c r="Z72" s="5" t="s">
        <v>274</v>
      </c>
      <c r="AA72" s="5"/>
      <c r="AB72" s="5"/>
      <c r="AC72" s="5"/>
      <c r="AD72" s="248">
        <v>46388</v>
      </c>
      <c r="AE72" s="248">
        <f t="shared" ref="AE72:AE77" si="15">+AS72</f>
        <v>46419</v>
      </c>
      <c r="AF72" s="5" t="s">
        <v>109</v>
      </c>
      <c r="AG72" s="5" t="s">
        <v>111</v>
      </c>
      <c r="AH72" s="5" t="s">
        <v>111</v>
      </c>
      <c r="AI72" s="5" t="s">
        <v>109</v>
      </c>
      <c r="AJ72" s="5" t="s">
        <v>184</v>
      </c>
      <c r="AK72" s="5" t="s">
        <v>184</v>
      </c>
      <c r="AL72" s="7">
        <v>46266</v>
      </c>
      <c r="AM72" s="5" t="s">
        <v>109</v>
      </c>
      <c r="AN72" s="5" t="s">
        <v>184</v>
      </c>
      <c r="AO72" s="5" t="s">
        <v>265</v>
      </c>
      <c r="AP72" s="5" t="s">
        <v>171</v>
      </c>
      <c r="AQ72" s="5"/>
      <c r="AR72" s="78"/>
      <c r="AS72" s="248">
        <v>46419</v>
      </c>
      <c r="AT72" s="5" t="s">
        <v>146</v>
      </c>
      <c r="AU72" s="5" t="s">
        <v>146</v>
      </c>
      <c r="AV72" s="78" t="s">
        <v>111</v>
      </c>
      <c r="AW72" s="5" t="s">
        <v>111</v>
      </c>
      <c r="AX72" s="5" t="s">
        <v>146</v>
      </c>
      <c r="AY72" s="5" t="s">
        <v>114</v>
      </c>
      <c r="AZ72" s="5" t="s">
        <v>130</v>
      </c>
      <c r="BA72" s="5" t="s">
        <v>130</v>
      </c>
      <c r="BB72" s="5" t="s">
        <v>130</v>
      </c>
      <c r="BC72" s="5" t="s">
        <v>114</v>
      </c>
      <c r="BD72" s="5" t="s">
        <v>111</v>
      </c>
      <c r="BE72" s="5" t="s">
        <v>111</v>
      </c>
      <c r="BF72" s="5" t="s">
        <v>111</v>
      </c>
      <c r="BG72" s="132" t="s">
        <v>234</v>
      </c>
      <c r="BH72" s="132" t="s">
        <v>419</v>
      </c>
      <c r="BI72" s="7">
        <v>46357</v>
      </c>
      <c r="BJ72" s="7">
        <v>46388</v>
      </c>
      <c r="BK72" s="5" t="s">
        <v>171</v>
      </c>
      <c r="BL72" s="5" t="s">
        <v>261</v>
      </c>
      <c r="BM72" s="5"/>
      <c r="BN72" s="5" t="s">
        <v>184</v>
      </c>
      <c r="BO72" s="5"/>
      <c r="BP72" s="5"/>
      <c r="BQ72" s="5"/>
      <c r="BR72" s="5"/>
      <c r="BS72" s="5"/>
      <c r="BT72" s="5"/>
      <c r="BU72" s="5"/>
      <c r="BV72" s="5"/>
      <c r="BW72" s="5" t="s">
        <v>184</v>
      </c>
      <c r="BX72" s="5"/>
      <c r="BY72" s="5"/>
      <c r="BZ72" s="5" t="s">
        <v>390</v>
      </c>
      <c r="CA72" s="5" t="s">
        <v>114</v>
      </c>
      <c r="CB72" s="179" t="s">
        <v>118</v>
      </c>
      <c r="CC72" s="179" t="s">
        <v>109</v>
      </c>
      <c r="CD72" s="5" t="s">
        <v>109</v>
      </c>
      <c r="CE72" s="5"/>
      <c r="CF72" s="179"/>
      <c r="CG72" s="179"/>
      <c r="CH72" s="199"/>
      <c r="CI72" s="179" t="str">
        <f t="shared" si="14"/>
        <v>Jul'25</v>
      </c>
      <c r="CJ72" s="179" t="s">
        <v>186</v>
      </c>
      <c r="CK72" s="179" t="s">
        <v>109</v>
      </c>
      <c r="CL72" s="8" t="s">
        <v>109</v>
      </c>
      <c r="CM72" s="6"/>
      <c r="CN72" s="6"/>
    </row>
    <row r="73" spans="1:92" s="4" customFormat="1" ht="94.5" customHeight="1" x14ac:dyDescent="0.25">
      <c r="A73" s="5">
        <v>53</v>
      </c>
      <c r="B73" s="125" t="s">
        <v>464</v>
      </c>
      <c r="C73" s="78" t="s">
        <v>465</v>
      </c>
      <c r="D73" s="5" t="s">
        <v>99</v>
      </c>
      <c r="E73" s="58"/>
      <c r="F73" s="5">
        <v>7039131602</v>
      </c>
      <c r="G73" s="5" t="s">
        <v>142</v>
      </c>
      <c r="H73" s="5" t="s">
        <v>101</v>
      </c>
      <c r="I73" s="5" t="s">
        <v>143</v>
      </c>
      <c r="J73" s="5" t="s">
        <v>151</v>
      </c>
      <c r="K73" s="5" t="s">
        <v>466</v>
      </c>
      <c r="L73" s="5" t="s">
        <v>179</v>
      </c>
      <c r="M73" s="55">
        <v>44875</v>
      </c>
      <c r="N73" s="68">
        <f t="shared" ca="1" si="11"/>
        <v>1302</v>
      </c>
      <c r="O73" s="71" t="str">
        <f t="shared" ca="1" si="12"/>
        <v>3-4Y</v>
      </c>
      <c r="P73" s="132" t="s">
        <v>106</v>
      </c>
      <c r="Q73" s="5" t="s">
        <v>125</v>
      </c>
      <c r="R73" s="5" t="s">
        <v>164</v>
      </c>
      <c r="S73" s="111">
        <v>100</v>
      </c>
      <c r="T73" s="111">
        <v>120</v>
      </c>
      <c r="U73" s="111">
        <f t="shared" si="13"/>
        <v>220</v>
      </c>
      <c r="V73" s="5"/>
      <c r="W73" s="5" t="s">
        <v>109</v>
      </c>
      <c r="X73" s="5" t="s">
        <v>109</v>
      </c>
      <c r="Y73" s="131">
        <f>+IF(AO73="Approved","Yes",AS73)</f>
        <v>46447</v>
      </c>
      <c r="Z73" s="5" t="s">
        <v>274</v>
      </c>
      <c r="AA73" s="5"/>
      <c r="AB73" s="5"/>
      <c r="AC73" s="5"/>
      <c r="AD73" s="248">
        <f>+AL73</f>
        <v>46419</v>
      </c>
      <c r="AE73" s="248">
        <f t="shared" si="15"/>
        <v>46447</v>
      </c>
      <c r="AF73" s="5" t="s">
        <v>109</v>
      </c>
      <c r="AG73" s="5" t="s">
        <v>111</v>
      </c>
      <c r="AH73" s="5" t="s">
        <v>111</v>
      </c>
      <c r="AI73" s="5" t="s">
        <v>109</v>
      </c>
      <c r="AJ73" s="5" t="s">
        <v>184</v>
      </c>
      <c r="AK73" s="5"/>
      <c r="AL73" s="7">
        <v>46419</v>
      </c>
      <c r="AM73" s="5" t="s">
        <v>184</v>
      </c>
      <c r="AN73" s="5" t="s">
        <v>184</v>
      </c>
      <c r="AO73" s="5" t="s">
        <v>265</v>
      </c>
      <c r="AP73" s="5" t="s">
        <v>171</v>
      </c>
      <c r="AQ73" s="5"/>
      <c r="AR73" s="78" t="s">
        <v>467</v>
      </c>
      <c r="AS73" s="248">
        <v>46447</v>
      </c>
      <c r="AT73" s="5" t="s">
        <v>109</v>
      </c>
      <c r="AU73" s="5" t="s">
        <v>109</v>
      </c>
      <c r="AV73" s="78" t="s">
        <v>468</v>
      </c>
      <c r="AW73" s="5" t="s">
        <v>171</v>
      </c>
      <c r="AX73" s="5" t="s">
        <v>109</v>
      </c>
      <c r="AY73" s="5" t="s">
        <v>109</v>
      </c>
      <c r="AZ73" s="5" t="s">
        <v>130</v>
      </c>
      <c r="BA73" s="5" t="s">
        <v>130</v>
      </c>
      <c r="BB73" s="5" t="s">
        <v>130</v>
      </c>
      <c r="BC73" s="5" t="s">
        <v>173</v>
      </c>
      <c r="BD73" s="5" t="s">
        <v>173</v>
      </c>
      <c r="BE73" s="5" t="s">
        <v>111</v>
      </c>
      <c r="BF73" s="5" t="s">
        <v>111</v>
      </c>
      <c r="BG73" s="132" t="s">
        <v>234</v>
      </c>
      <c r="BH73" s="132" t="s">
        <v>90</v>
      </c>
      <c r="BI73" s="7">
        <v>46753</v>
      </c>
      <c r="BJ73" s="7">
        <v>46784</v>
      </c>
      <c r="BK73" s="5" t="s">
        <v>109</v>
      </c>
      <c r="BL73" s="5" t="s">
        <v>244</v>
      </c>
      <c r="BM73" s="5"/>
      <c r="BN73" s="5" t="s">
        <v>184</v>
      </c>
      <c r="BO73" s="5"/>
      <c r="BP73" s="5"/>
      <c r="BQ73" s="5"/>
      <c r="BR73" s="5"/>
      <c r="BS73" s="5"/>
      <c r="BT73" s="5"/>
      <c r="BU73" s="5"/>
      <c r="BV73" s="5"/>
      <c r="BW73" s="5" t="s">
        <v>184</v>
      </c>
      <c r="BX73" s="5"/>
      <c r="BY73" s="5"/>
      <c r="BZ73" s="5" t="s">
        <v>390</v>
      </c>
      <c r="CA73" s="5" t="s">
        <v>114</v>
      </c>
      <c r="CB73" s="179" t="s">
        <v>185</v>
      </c>
      <c r="CC73" s="179" t="s">
        <v>109</v>
      </c>
      <c r="CD73" s="5" t="s">
        <v>109</v>
      </c>
      <c r="CE73" s="5"/>
      <c r="CF73" s="179"/>
      <c r="CG73" s="179"/>
      <c r="CH73" s="199"/>
      <c r="CI73" s="179" t="str">
        <f t="shared" si="14"/>
        <v>Nov'22</v>
      </c>
      <c r="CJ73" s="179" t="s">
        <v>132</v>
      </c>
      <c r="CK73" s="179"/>
      <c r="CL73" s="8" t="s">
        <v>109</v>
      </c>
    </row>
    <row r="74" spans="1:92" s="6" customFormat="1" ht="69" customHeight="1" x14ac:dyDescent="0.25">
      <c r="A74" s="5">
        <v>188</v>
      </c>
      <c r="B74" s="125" t="s">
        <v>469</v>
      </c>
      <c r="C74" s="78" t="s">
        <v>470</v>
      </c>
      <c r="D74" s="5" t="s">
        <v>99</v>
      </c>
      <c r="E74" s="58">
        <v>1893</v>
      </c>
      <c r="F74" s="5">
        <v>9637118817</v>
      </c>
      <c r="G74" s="5" t="s">
        <v>142</v>
      </c>
      <c r="H74" s="5" t="s">
        <v>101</v>
      </c>
      <c r="I74" s="5" t="s">
        <v>143</v>
      </c>
      <c r="J74" s="5" t="s">
        <v>151</v>
      </c>
      <c r="K74" s="5" t="s">
        <v>471</v>
      </c>
      <c r="L74" s="5" t="s">
        <v>105</v>
      </c>
      <c r="M74" s="55">
        <v>45461</v>
      </c>
      <c r="N74" s="68">
        <f t="shared" ca="1" si="11"/>
        <v>716</v>
      </c>
      <c r="O74" s="71" t="str">
        <f t="shared" ca="1" si="12"/>
        <v>1-2Y</v>
      </c>
      <c r="P74" s="132" t="s">
        <v>106</v>
      </c>
      <c r="Q74" s="5" t="s">
        <v>125</v>
      </c>
      <c r="R74" s="5" t="s">
        <v>108</v>
      </c>
      <c r="S74" s="111">
        <v>40</v>
      </c>
      <c r="T74" s="111">
        <v>110</v>
      </c>
      <c r="U74" s="111">
        <f t="shared" si="13"/>
        <v>150</v>
      </c>
      <c r="V74" s="5"/>
      <c r="W74" s="5" t="s">
        <v>109</v>
      </c>
      <c r="X74" s="5" t="s">
        <v>109</v>
      </c>
      <c r="Y74" s="131"/>
      <c r="Z74" s="5" t="s">
        <v>274</v>
      </c>
      <c r="AA74" s="5"/>
      <c r="AB74" s="5"/>
      <c r="AC74" s="5"/>
      <c r="AD74" s="248">
        <f>+AL74</f>
        <v>46419</v>
      </c>
      <c r="AE74" s="248">
        <f t="shared" si="15"/>
        <v>46447</v>
      </c>
      <c r="AF74" s="5" t="s">
        <v>109</v>
      </c>
      <c r="AG74" s="5" t="s">
        <v>111</v>
      </c>
      <c r="AH74" s="5" t="s">
        <v>111</v>
      </c>
      <c r="AI74" s="5" t="s">
        <v>109</v>
      </c>
      <c r="AJ74" s="5" t="s">
        <v>184</v>
      </c>
      <c r="AK74" s="5" t="s">
        <v>181</v>
      </c>
      <c r="AL74" s="248">
        <v>46419</v>
      </c>
      <c r="AM74" s="5" t="s">
        <v>109</v>
      </c>
      <c r="AN74" s="5" t="s">
        <v>184</v>
      </c>
      <c r="AO74" s="5" t="s">
        <v>265</v>
      </c>
      <c r="AP74" s="5" t="s">
        <v>171</v>
      </c>
      <c r="AQ74" s="5"/>
      <c r="AR74" s="78" t="s">
        <v>321</v>
      </c>
      <c r="AS74" s="248">
        <v>46447</v>
      </c>
      <c r="AT74" s="5" t="s">
        <v>109</v>
      </c>
      <c r="AU74" s="5" t="s">
        <v>109</v>
      </c>
      <c r="AV74" s="78" t="s">
        <v>472</v>
      </c>
      <c r="AW74" s="5" t="s">
        <v>171</v>
      </c>
      <c r="AX74" s="5" t="s">
        <v>109</v>
      </c>
      <c r="AY74" s="5" t="s">
        <v>109</v>
      </c>
      <c r="AZ74" s="5" t="s">
        <v>130</v>
      </c>
      <c r="BA74" s="5" t="s">
        <v>130</v>
      </c>
      <c r="BB74" s="5" t="s">
        <v>130</v>
      </c>
      <c r="BC74" s="5" t="s">
        <v>173</v>
      </c>
      <c r="BD74" s="5" t="s">
        <v>173</v>
      </c>
      <c r="BE74" s="5" t="s">
        <v>111</v>
      </c>
      <c r="BF74" s="5" t="s">
        <v>111</v>
      </c>
      <c r="BG74" s="132" t="s">
        <v>114</v>
      </c>
      <c r="BH74" s="132" t="s">
        <v>90</v>
      </c>
      <c r="BI74" s="7">
        <v>46357</v>
      </c>
      <c r="BJ74" s="7">
        <v>46388</v>
      </c>
      <c r="BK74" s="5" t="s">
        <v>109</v>
      </c>
      <c r="BL74" s="5" t="s">
        <v>114</v>
      </c>
      <c r="BM74" s="5"/>
      <c r="BN74" s="5" t="s">
        <v>184</v>
      </c>
      <c r="BO74" s="5"/>
      <c r="BP74" s="5"/>
      <c r="BQ74" s="5"/>
      <c r="BR74" s="5"/>
      <c r="BS74" s="5"/>
      <c r="BT74" s="5"/>
      <c r="BU74" s="5"/>
      <c r="BV74" s="5"/>
      <c r="BW74" s="5" t="s">
        <v>184</v>
      </c>
      <c r="BX74" s="5"/>
      <c r="BY74" s="5"/>
      <c r="BZ74" s="5"/>
      <c r="CA74" s="5" t="s">
        <v>114</v>
      </c>
      <c r="CB74" s="179" t="s">
        <v>118</v>
      </c>
      <c r="CC74" s="179" t="s">
        <v>109</v>
      </c>
      <c r="CD74" s="5" t="s">
        <v>109</v>
      </c>
      <c r="CE74" s="5"/>
      <c r="CF74" s="179"/>
      <c r="CG74" s="179"/>
      <c r="CH74" s="199"/>
      <c r="CI74" s="179" t="str">
        <f t="shared" si="14"/>
        <v>Jun'24</v>
      </c>
      <c r="CJ74" s="179" t="s">
        <v>132</v>
      </c>
      <c r="CK74" s="179" t="s">
        <v>109</v>
      </c>
      <c r="CL74" s="8" t="s">
        <v>109</v>
      </c>
      <c r="CM74" s="4"/>
      <c r="CN74" s="4"/>
    </row>
    <row r="75" spans="1:92" s="6" customFormat="1" ht="89.25" customHeight="1" x14ac:dyDescent="0.25">
      <c r="A75" s="5">
        <v>236</v>
      </c>
      <c r="B75" s="125" t="s">
        <v>473</v>
      </c>
      <c r="C75" s="78" t="s">
        <v>474</v>
      </c>
      <c r="D75" s="5" t="s">
        <v>121</v>
      </c>
      <c r="E75" s="58">
        <v>2102</v>
      </c>
      <c r="F75" s="5">
        <v>9764499799</v>
      </c>
      <c r="G75" s="5" t="s">
        <v>100</v>
      </c>
      <c r="H75" s="5" t="s">
        <v>122</v>
      </c>
      <c r="I75" s="5" t="s">
        <v>102</v>
      </c>
      <c r="J75" s="5" t="s">
        <v>123</v>
      </c>
      <c r="K75" s="5" t="s">
        <v>475</v>
      </c>
      <c r="L75" s="5" t="s">
        <v>105</v>
      </c>
      <c r="M75" s="55">
        <v>45776</v>
      </c>
      <c r="N75" s="68">
        <f t="shared" ca="1" si="11"/>
        <v>401</v>
      </c>
      <c r="O75" s="71" t="str">
        <f t="shared" ca="1" si="12"/>
        <v>1-2Y</v>
      </c>
      <c r="P75" s="132" t="s">
        <v>239</v>
      </c>
      <c r="Q75" s="5" t="s">
        <v>125</v>
      </c>
      <c r="R75" s="5" t="s">
        <v>108</v>
      </c>
      <c r="S75" s="111">
        <v>25</v>
      </c>
      <c r="T75" s="111">
        <v>50</v>
      </c>
      <c r="U75" s="111">
        <f t="shared" si="13"/>
        <v>75</v>
      </c>
      <c r="V75" s="5"/>
      <c r="W75" s="5" t="s">
        <v>109</v>
      </c>
      <c r="X75" s="5" t="s">
        <v>109</v>
      </c>
      <c r="Y75" s="131"/>
      <c r="Z75" s="5" t="s">
        <v>111</v>
      </c>
      <c r="AA75" s="5"/>
      <c r="AB75" s="5"/>
      <c r="AC75" s="5"/>
      <c r="AD75" s="248">
        <f>+AL75</f>
        <v>46419</v>
      </c>
      <c r="AE75" s="248">
        <f t="shared" si="15"/>
        <v>46447</v>
      </c>
      <c r="AF75" s="5" t="s">
        <v>109</v>
      </c>
      <c r="AG75" s="5" t="s">
        <v>111</v>
      </c>
      <c r="AH75" s="5" t="s">
        <v>111</v>
      </c>
      <c r="AI75" s="5" t="s">
        <v>115</v>
      </c>
      <c r="AJ75" s="5" t="s">
        <v>115</v>
      </c>
      <c r="AK75" s="5"/>
      <c r="AL75" s="7">
        <v>46419</v>
      </c>
      <c r="AM75" s="5" t="s">
        <v>109</v>
      </c>
      <c r="AN75" s="5" t="s">
        <v>109</v>
      </c>
      <c r="AO75" s="5" t="s">
        <v>265</v>
      </c>
      <c r="AP75" s="5" t="s">
        <v>171</v>
      </c>
      <c r="AQ75" s="5"/>
      <c r="AR75" s="78" t="s">
        <v>258</v>
      </c>
      <c r="AS75" s="248">
        <v>46447</v>
      </c>
      <c r="AT75" s="5" t="s">
        <v>109</v>
      </c>
      <c r="AU75" s="5" t="s">
        <v>109</v>
      </c>
      <c r="AV75" s="5"/>
      <c r="AW75" s="5" t="s">
        <v>111</v>
      </c>
      <c r="AX75" s="5" t="s">
        <v>109</v>
      </c>
      <c r="AY75" s="5" t="s">
        <v>109</v>
      </c>
      <c r="AZ75" s="5" t="s">
        <v>130</v>
      </c>
      <c r="BA75" s="5" t="s">
        <v>130</v>
      </c>
      <c r="BB75" s="5" t="s">
        <v>130</v>
      </c>
      <c r="BC75" s="5" t="s">
        <v>130</v>
      </c>
      <c r="BD75" s="5" t="s">
        <v>130</v>
      </c>
      <c r="BE75" s="5" t="s">
        <v>111</v>
      </c>
      <c r="BF75" s="5" t="s">
        <v>111</v>
      </c>
      <c r="BG75" s="132" t="s">
        <v>234</v>
      </c>
      <c r="BH75" s="132" t="s">
        <v>90</v>
      </c>
      <c r="BI75" s="7">
        <v>46419</v>
      </c>
      <c r="BJ75" s="7">
        <v>46447</v>
      </c>
      <c r="BK75" s="5" t="s">
        <v>109</v>
      </c>
      <c r="BL75" s="5" t="s">
        <v>114</v>
      </c>
      <c r="BM75" s="5"/>
      <c r="BN75" s="5"/>
      <c r="BO75" s="5"/>
      <c r="BP75" s="5"/>
      <c r="BQ75" s="5"/>
      <c r="BR75" s="5"/>
      <c r="BS75" s="5"/>
      <c r="BT75" s="5"/>
      <c r="BU75" s="5"/>
      <c r="BV75" s="5"/>
      <c r="BW75" s="5" t="s">
        <v>184</v>
      </c>
      <c r="BX75" s="5"/>
      <c r="BY75" s="5"/>
      <c r="BZ75" s="5" t="s">
        <v>390</v>
      </c>
      <c r="CA75" s="5"/>
      <c r="CB75" s="179" t="s">
        <v>118</v>
      </c>
      <c r="CC75" s="179" t="s">
        <v>109</v>
      </c>
      <c r="CD75" s="5" t="s">
        <v>109</v>
      </c>
      <c r="CE75" s="5"/>
      <c r="CF75" s="179"/>
      <c r="CG75" s="179"/>
      <c r="CH75" s="199"/>
      <c r="CI75" s="179" t="str">
        <f t="shared" si="14"/>
        <v>Apr'25</v>
      </c>
      <c r="CJ75" s="179" t="s">
        <v>132</v>
      </c>
      <c r="CK75" s="179" t="s">
        <v>109</v>
      </c>
      <c r="CL75" s="8" t="s">
        <v>109</v>
      </c>
    </row>
    <row r="76" spans="1:92" s="4" customFormat="1" ht="94.5" customHeight="1" x14ac:dyDescent="0.25">
      <c r="A76" s="5">
        <v>251</v>
      </c>
      <c r="B76" s="125" t="s">
        <v>476</v>
      </c>
      <c r="C76" s="78" t="s">
        <v>477</v>
      </c>
      <c r="D76" s="5" t="s">
        <v>150</v>
      </c>
      <c r="E76" s="58">
        <v>1861</v>
      </c>
      <c r="F76" s="5">
        <v>8208678882</v>
      </c>
      <c r="G76" s="5" t="s">
        <v>101</v>
      </c>
      <c r="H76" s="5" t="s">
        <v>101</v>
      </c>
      <c r="I76" s="5" t="s">
        <v>143</v>
      </c>
      <c r="J76" s="5" t="s">
        <v>162</v>
      </c>
      <c r="K76" s="5" t="s">
        <v>478</v>
      </c>
      <c r="L76" s="5" t="s">
        <v>105</v>
      </c>
      <c r="M76" s="55">
        <v>45911</v>
      </c>
      <c r="N76" s="68">
        <f t="shared" ca="1" si="11"/>
        <v>266</v>
      </c>
      <c r="O76" s="71" t="str">
        <f t="shared" ca="1" si="12"/>
        <v>6-12M</v>
      </c>
      <c r="P76" s="132" t="s">
        <v>106</v>
      </c>
      <c r="Q76" s="5" t="s">
        <v>180</v>
      </c>
      <c r="R76" s="5" t="s">
        <v>164</v>
      </c>
      <c r="S76" s="111">
        <v>100</v>
      </c>
      <c r="T76" s="111">
        <v>100</v>
      </c>
      <c r="U76" s="111">
        <f t="shared" si="13"/>
        <v>200</v>
      </c>
      <c r="V76" s="5"/>
      <c r="W76" s="5" t="s">
        <v>109</v>
      </c>
      <c r="X76" s="5" t="s">
        <v>109</v>
      </c>
      <c r="Y76" s="131"/>
      <c r="Z76" s="5" t="s">
        <v>274</v>
      </c>
      <c r="AA76" s="5"/>
      <c r="AB76" s="5"/>
      <c r="AC76" s="5"/>
      <c r="AD76" s="248">
        <f>+AL76</f>
        <v>46388</v>
      </c>
      <c r="AE76" s="248">
        <f t="shared" si="15"/>
        <v>46447</v>
      </c>
      <c r="AF76" s="5" t="s">
        <v>109</v>
      </c>
      <c r="AG76" s="5" t="s">
        <v>111</v>
      </c>
      <c r="AH76" s="5" t="s">
        <v>111</v>
      </c>
      <c r="AI76" s="5" t="s">
        <v>234</v>
      </c>
      <c r="AJ76" s="5" t="s">
        <v>184</v>
      </c>
      <c r="AK76" s="5"/>
      <c r="AL76" s="7">
        <v>46388</v>
      </c>
      <c r="AM76" s="5" t="s">
        <v>184</v>
      </c>
      <c r="AN76" s="5" t="s">
        <v>184</v>
      </c>
      <c r="AO76" s="5" t="s">
        <v>265</v>
      </c>
      <c r="AP76" s="5" t="s">
        <v>171</v>
      </c>
      <c r="AQ76" s="5"/>
      <c r="AR76" s="78" t="s">
        <v>479</v>
      </c>
      <c r="AS76" s="248">
        <v>46447</v>
      </c>
      <c r="AT76" s="5" t="s">
        <v>109</v>
      </c>
      <c r="AU76" s="5" t="s">
        <v>109</v>
      </c>
      <c r="AV76" s="5"/>
      <c r="AW76" s="5"/>
      <c r="AX76" s="5"/>
      <c r="AY76" s="5"/>
      <c r="AZ76" s="5"/>
      <c r="BA76" s="5"/>
      <c r="BB76" s="5"/>
      <c r="BC76" s="5"/>
      <c r="BD76" s="5"/>
      <c r="BE76" s="5"/>
      <c r="BF76" s="5"/>
      <c r="BG76" s="132" t="s">
        <v>234</v>
      </c>
      <c r="BH76" s="58"/>
      <c r="BI76" s="242">
        <v>46357</v>
      </c>
      <c r="BJ76" s="242">
        <v>46388</v>
      </c>
      <c r="BK76" s="5" t="s">
        <v>171</v>
      </c>
      <c r="BL76" s="5" t="s">
        <v>244</v>
      </c>
      <c r="BM76" s="5"/>
      <c r="BN76" s="5" t="s">
        <v>184</v>
      </c>
      <c r="BO76" s="5"/>
      <c r="BP76" s="5"/>
      <c r="BQ76" s="5"/>
      <c r="BR76" s="5"/>
      <c r="BS76" s="5"/>
      <c r="BT76" s="5"/>
      <c r="BU76" s="5"/>
      <c r="BV76" s="5"/>
      <c r="BW76" s="5" t="s">
        <v>184</v>
      </c>
      <c r="BX76" s="5"/>
      <c r="BY76" s="5"/>
      <c r="BZ76" s="5" t="s">
        <v>390</v>
      </c>
      <c r="CA76" s="5" t="s">
        <v>480</v>
      </c>
      <c r="CB76" s="179" t="s">
        <v>118</v>
      </c>
      <c r="CC76" s="179" t="s">
        <v>109</v>
      </c>
      <c r="CD76" s="5" t="s">
        <v>109</v>
      </c>
      <c r="CE76" s="5"/>
      <c r="CF76" s="179"/>
      <c r="CG76" s="179"/>
      <c r="CH76" s="199"/>
      <c r="CI76" s="179" t="str">
        <f t="shared" si="14"/>
        <v>Sep'25</v>
      </c>
      <c r="CJ76" s="179" t="s">
        <v>186</v>
      </c>
      <c r="CK76" s="179"/>
      <c r="CL76" s="8" t="s">
        <v>109</v>
      </c>
      <c r="CM76" s="6"/>
      <c r="CN76" s="6"/>
    </row>
    <row r="77" spans="1:92" s="6" customFormat="1" ht="94.5" customHeight="1" x14ac:dyDescent="0.25">
      <c r="A77" s="5">
        <v>254</v>
      </c>
      <c r="B77" s="125" t="s">
        <v>481</v>
      </c>
      <c r="C77" s="78" t="s">
        <v>482</v>
      </c>
      <c r="D77" s="5" t="s">
        <v>99</v>
      </c>
      <c r="E77" s="58">
        <v>1642</v>
      </c>
      <c r="F77" s="5">
        <v>8655755595</v>
      </c>
      <c r="G77" s="5" t="s">
        <v>142</v>
      </c>
      <c r="H77" s="5" t="s">
        <v>101</v>
      </c>
      <c r="I77" s="5" t="s">
        <v>143</v>
      </c>
      <c r="J77" s="5" t="s">
        <v>151</v>
      </c>
      <c r="K77" s="5" t="s">
        <v>483</v>
      </c>
      <c r="L77" s="5" t="s">
        <v>105</v>
      </c>
      <c r="M77" s="55">
        <v>45997</v>
      </c>
      <c r="N77" s="68">
        <f t="shared" ca="1" si="11"/>
        <v>180</v>
      </c>
      <c r="O77" s="71" t="str">
        <f t="shared" ca="1" si="12"/>
        <v>6-12M</v>
      </c>
      <c r="P77" s="132" t="s">
        <v>106</v>
      </c>
      <c r="Q77" s="5" t="s">
        <v>125</v>
      </c>
      <c r="R77" s="5" t="s">
        <v>108</v>
      </c>
      <c r="S77" s="111">
        <v>50</v>
      </c>
      <c r="T77" s="111">
        <v>200</v>
      </c>
      <c r="U77" s="111">
        <f t="shared" si="13"/>
        <v>250</v>
      </c>
      <c r="V77" s="5"/>
      <c r="W77" s="5" t="s">
        <v>109</v>
      </c>
      <c r="X77" s="5" t="s">
        <v>109</v>
      </c>
      <c r="Y77" s="131"/>
      <c r="Z77" s="5" t="s">
        <v>274</v>
      </c>
      <c r="AA77" s="5"/>
      <c r="AB77" s="5"/>
      <c r="AC77" s="5"/>
      <c r="AD77" s="248">
        <f>+AL77</f>
        <v>46419</v>
      </c>
      <c r="AE77" s="248">
        <f t="shared" si="15"/>
        <v>46447</v>
      </c>
      <c r="AF77" s="5" t="s">
        <v>109</v>
      </c>
      <c r="AG77" s="5" t="s">
        <v>111</v>
      </c>
      <c r="AH77" s="5" t="s">
        <v>111</v>
      </c>
      <c r="AI77" s="5" t="s">
        <v>109</v>
      </c>
      <c r="AJ77" s="5" t="s">
        <v>184</v>
      </c>
      <c r="AK77" s="5"/>
      <c r="AL77" s="7">
        <v>46419</v>
      </c>
      <c r="AM77" s="5" t="s">
        <v>184</v>
      </c>
      <c r="AN77" s="5" t="s">
        <v>184</v>
      </c>
      <c r="AO77" s="5" t="s">
        <v>265</v>
      </c>
      <c r="AP77" s="5" t="s">
        <v>171</v>
      </c>
      <c r="AQ77" s="5"/>
      <c r="AR77" s="78"/>
      <c r="AS77" s="248">
        <v>46447</v>
      </c>
      <c r="AT77" s="5" t="s">
        <v>109</v>
      </c>
      <c r="AU77" s="5" t="s">
        <v>109</v>
      </c>
      <c r="AV77" s="78" t="s">
        <v>484</v>
      </c>
      <c r="AW77" s="5" t="s">
        <v>171</v>
      </c>
      <c r="AX77" s="5" t="s">
        <v>109</v>
      </c>
      <c r="AY77" s="5" t="s">
        <v>109</v>
      </c>
      <c r="AZ77" s="5" t="s">
        <v>130</v>
      </c>
      <c r="BA77" s="5" t="s">
        <v>130</v>
      </c>
      <c r="BB77" s="5" t="s">
        <v>130</v>
      </c>
      <c r="BC77" s="5" t="s">
        <v>173</v>
      </c>
      <c r="BD77" s="5" t="s">
        <v>173</v>
      </c>
      <c r="BE77" s="5" t="s">
        <v>111</v>
      </c>
      <c r="BF77" s="5" t="s">
        <v>111</v>
      </c>
      <c r="BG77" s="132" t="s">
        <v>234</v>
      </c>
      <c r="BH77" s="132" t="s">
        <v>90</v>
      </c>
      <c r="BI77" s="7">
        <v>46357</v>
      </c>
      <c r="BJ77" s="7">
        <v>46388</v>
      </c>
      <c r="BK77" s="5" t="s">
        <v>109</v>
      </c>
      <c r="BL77" s="5" t="s">
        <v>114</v>
      </c>
      <c r="BM77" s="5"/>
      <c r="BN77" s="5" t="s">
        <v>184</v>
      </c>
      <c r="BO77" s="5"/>
      <c r="BP77" s="5"/>
      <c r="BQ77" s="5"/>
      <c r="BR77" s="5"/>
      <c r="BS77" s="5"/>
      <c r="BT77" s="5"/>
      <c r="BU77" s="5"/>
      <c r="BV77" s="5"/>
      <c r="BW77" s="5" t="s">
        <v>184</v>
      </c>
      <c r="BX77" s="5"/>
      <c r="BY77" s="5"/>
      <c r="BZ77" s="5" t="s">
        <v>390</v>
      </c>
      <c r="CA77" s="5" t="s">
        <v>114</v>
      </c>
      <c r="CB77" s="179" t="s">
        <v>118</v>
      </c>
      <c r="CC77" s="179" t="s">
        <v>109</v>
      </c>
      <c r="CD77" s="5" t="s">
        <v>109</v>
      </c>
      <c r="CE77" s="5"/>
      <c r="CF77" s="179"/>
      <c r="CG77" s="179"/>
      <c r="CH77" s="199"/>
      <c r="CI77" s="179" t="str">
        <f t="shared" si="14"/>
        <v>Dec'25</v>
      </c>
      <c r="CJ77" s="179" t="s">
        <v>132</v>
      </c>
      <c r="CK77" s="179" t="s">
        <v>109</v>
      </c>
      <c r="CL77" s="8" t="s">
        <v>109</v>
      </c>
      <c r="CM77" s="4"/>
      <c r="CN77" s="4"/>
    </row>
    <row r="78" spans="1:92" s="6" customFormat="1" ht="68.25" customHeight="1" x14ac:dyDescent="0.25">
      <c r="A78" s="5">
        <v>263</v>
      </c>
      <c r="B78" s="179" t="s">
        <v>485</v>
      </c>
      <c r="C78" s="208" t="s">
        <v>486</v>
      </c>
      <c r="D78" s="78" t="s">
        <v>220</v>
      </c>
      <c r="E78" s="58">
        <v>1744</v>
      </c>
      <c r="F78" s="179">
        <v>9975845625</v>
      </c>
      <c r="G78" s="5" t="s">
        <v>169</v>
      </c>
      <c r="H78" s="5" t="s">
        <v>122</v>
      </c>
      <c r="I78" s="5" t="s">
        <v>143</v>
      </c>
      <c r="J78" s="5" t="s">
        <v>144</v>
      </c>
      <c r="K78" s="5" t="s">
        <v>487</v>
      </c>
      <c r="L78" s="5" t="s">
        <v>105</v>
      </c>
      <c r="M78" s="57">
        <v>46071</v>
      </c>
      <c r="N78" s="68">
        <f t="shared" ca="1" si="11"/>
        <v>106</v>
      </c>
      <c r="O78" s="71" t="str">
        <f t="shared" ca="1" si="12"/>
        <v>0-6M</v>
      </c>
      <c r="P78" s="58" t="s">
        <v>106</v>
      </c>
      <c r="Q78" s="78" t="s">
        <v>192</v>
      </c>
      <c r="R78" s="78" t="s">
        <v>108</v>
      </c>
      <c r="S78" s="111">
        <v>30</v>
      </c>
      <c r="T78" s="111">
        <v>70</v>
      </c>
      <c r="U78" s="111">
        <f t="shared" si="13"/>
        <v>100</v>
      </c>
      <c r="V78" s="5"/>
      <c r="W78" s="5" t="s">
        <v>109</v>
      </c>
      <c r="X78" s="5" t="s">
        <v>109</v>
      </c>
      <c r="Y78" s="111"/>
      <c r="Z78" s="5" t="s">
        <v>111</v>
      </c>
      <c r="AA78" s="5"/>
      <c r="AB78" s="5"/>
      <c r="AC78" s="5"/>
      <c r="AD78" s="252">
        <v>46388</v>
      </c>
      <c r="AE78" s="248">
        <v>46447</v>
      </c>
      <c r="AF78" s="5" t="s">
        <v>109</v>
      </c>
      <c r="AG78" s="5" t="s">
        <v>111</v>
      </c>
      <c r="AH78" s="5" t="s">
        <v>111</v>
      </c>
      <c r="AI78" s="5" t="s">
        <v>115</v>
      </c>
      <c r="AJ78" s="5" t="s">
        <v>115</v>
      </c>
      <c r="AK78" s="5"/>
      <c r="AL78" s="7">
        <v>46419</v>
      </c>
      <c r="AM78" s="5" t="s">
        <v>184</v>
      </c>
      <c r="AN78" s="5"/>
      <c r="AO78" s="5" t="s">
        <v>265</v>
      </c>
      <c r="AP78" s="5" t="s">
        <v>171</v>
      </c>
      <c r="AQ78" s="5"/>
      <c r="AR78" s="78"/>
      <c r="AS78" s="248" t="s">
        <v>109</v>
      </c>
      <c r="AT78" s="5" t="s">
        <v>109</v>
      </c>
      <c r="AU78" s="5" t="s">
        <v>109</v>
      </c>
      <c r="AV78" s="5" t="s">
        <v>488</v>
      </c>
      <c r="AW78" s="5"/>
      <c r="AX78" s="5" t="s">
        <v>489</v>
      </c>
      <c r="AY78" s="5" t="s">
        <v>130</v>
      </c>
      <c r="AZ78" s="5" t="s">
        <v>388</v>
      </c>
      <c r="BA78" s="5" t="s">
        <v>388</v>
      </c>
      <c r="BB78" s="5" t="s">
        <v>388</v>
      </c>
      <c r="BC78" s="5" t="s">
        <v>388</v>
      </c>
      <c r="BD78" s="5" t="s">
        <v>388</v>
      </c>
      <c r="BE78" s="5" t="s">
        <v>111</v>
      </c>
      <c r="BF78" s="5" t="s">
        <v>111</v>
      </c>
      <c r="BG78" s="132" t="s">
        <v>332</v>
      </c>
      <c r="BH78" s="132" t="s">
        <v>171</v>
      </c>
      <c r="BI78" s="7">
        <v>46445</v>
      </c>
      <c r="BJ78" s="7">
        <v>46447</v>
      </c>
      <c r="BK78" s="5" t="s">
        <v>109</v>
      </c>
      <c r="BL78" s="5" t="s">
        <v>244</v>
      </c>
      <c r="BM78" s="5"/>
      <c r="BN78" s="5"/>
      <c r="BO78" s="5"/>
      <c r="BP78" s="5"/>
      <c r="BQ78" s="5"/>
      <c r="BR78" s="5"/>
      <c r="BS78" s="5"/>
      <c r="BT78" s="5"/>
      <c r="BU78" s="5"/>
      <c r="BV78" s="5"/>
      <c r="BW78" s="5" t="s">
        <v>184</v>
      </c>
      <c r="BX78" s="5"/>
      <c r="BY78" s="5"/>
      <c r="BZ78" s="5"/>
      <c r="CA78" s="5"/>
      <c r="CB78" s="179" t="s">
        <v>118</v>
      </c>
      <c r="CC78" s="179" t="s">
        <v>109</v>
      </c>
      <c r="CD78" s="5" t="s">
        <v>109</v>
      </c>
      <c r="CE78" s="5"/>
      <c r="CF78" s="179"/>
      <c r="CG78" s="179"/>
      <c r="CH78" s="199"/>
      <c r="CI78" s="179" t="str">
        <f t="shared" si="14"/>
        <v>Feb'26</v>
      </c>
      <c r="CJ78" s="179" t="s">
        <v>192</v>
      </c>
      <c r="CK78" s="179" t="s">
        <v>109</v>
      </c>
      <c r="CL78" s="8" t="s">
        <v>109</v>
      </c>
    </row>
    <row r="79" spans="1:92" s="4" customFormat="1" ht="75" customHeight="1" x14ac:dyDescent="0.25">
      <c r="A79" s="3">
        <v>198</v>
      </c>
      <c r="B79" s="206" t="s">
        <v>490</v>
      </c>
      <c r="C79" s="109" t="s">
        <v>491</v>
      </c>
      <c r="D79" s="3" t="s">
        <v>398</v>
      </c>
      <c r="E79" s="59">
        <v>1899</v>
      </c>
      <c r="F79" s="3">
        <v>9881031111</v>
      </c>
      <c r="G79" s="3" t="s">
        <v>142</v>
      </c>
      <c r="H79" s="3" t="s">
        <v>101</v>
      </c>
      <c r="I79" s="3" t="s">
        <v>143</v>
      </c>
      <c r="J79" s="3" t="s">
        <v>151</v>
      </c>
      <c r="K79" s="3" t="s">
        <v>492</v>
      </c>
      <c r="L79" s="3" t="s">
        <v>105</v>
      </c>
      <c r="M79" s="56">
        <v>45462</v>
      </c>
      <c r="N79" s="69">
        <f t="shared" ca="1" si="11"/>
        <v>715</v>
      </c>
      <c r="O79" s="72" t="str">
        <f t="shared" ca="1" si="12"/>
        <v>1-2Y</v>
      </c>
      <c r="P79" s="198" t="s">
        <v>106</v>
      </c>
      <c r="Q79" s="3" t="s">
        <v>125</v>
      </c>
      <c r="R79" s="3" t="s">
        <v>108</v>
      </c>
      <c r="S79" s="129">
        <v>30</v>
      </c>
      <c r="T79" s="129">
        <v>120</v>
      </c>
      <c r="U79" s="129">
        <f t="shared" si="13"/>
        <v>150</v>
      </c>
      <c r="V79" s="3"/>
      <c r="W79" s="3" t="s">
        <v>109</v>
      </c>
      <c r="X79" s="3" t="s">
        <v>493</v>
      </c>
      <c r="Y79" s="60">
        <f>+IF(AO79="Approved","Yes",AS79)</f>
        <v>46539</v>
      </c>
      <c r="Z79" s="3" t="s">
        <v>274</v>
      </c>
      <c r="AA79" s="3"/>
      <c r="AB79" s="3"/>
      <c r="AC79" s="3"/>
      <c r="AD79" s="249">
        <f t="shared" ref="AD79:AD122" si="16">+AL79</f>
        <v>46539</v>
      </c>
      <c r="AE79" s="249">
        <f t="shared" ref="AE79:AE110" si="17">+AS79</f>
        <v>46539</v>
      </c>
      <c r="AF79" s="3" t="s">
        <v>109</v>
      </c>
      <c r="AG79" s="3"/>
      <c r="AH79" s="3"/>
      <c r="AI79" s="3" t="s">
        <v>494</v>
      </c>
      <c r="AJ79" s="3" t="s">
        <v>184</v>
      </c>
      <c r="AK79" s="3" t="s">
        <v>181</v>
      </c>
      <c r="AL79" s="45">
        <v>46539</v>
      </c>
      <c r="AM79" s="3"/>
      <c r="AN79" s="3"/>
      <c r="AO79" s="3"/>
      <c r="AP79" s="3"/>
      <c r="AQ79" s="3"/>
      <c r="AR79" s="109" t="s">
        <v>495</v>
      </c>
      <c r="AS79" s="249">
        <v>46539</v>
      </c>
      <c r="AT79" s="59" t="s">
        <v>109</v>
      </c>
      <c r="AU79" s="59" t="s">
        <v>298</v>
      </c>
      <c r="AV79" s="59" t="s">
        <v>496</v>
      </c>
      <c r="AW79" s="59" t="s">
        <v>111</v>
      </c>
      <c r="AX79" s="59" t="s">
        <v>171</v>
      </c>
      <c r="AY79" s="59" t="s">
        <v>130</v>
      </c>
      <c r="AZ79" s="59" t="s">
        <v>285</v>
      </c>
      <c r="BA79" s="59" t="s">
        <v>261</v>
      </c>
      <c r="BB79" s="59" t="s">
        <v>261</v>
      </c>
      <c r="BC79" s="59" t="s">
        <v>261</v>
      </c>
      <c r="BD79" s="59" t="s">
        <v>111</v>
      </c>
      <c r="BE79" s="59" t="s">
        <v>111</v>
      </c>
      <c r="BF79" s="59" t="s">
        <v>111</v>
      </c>
      <c r="BG79" s="59" t="s">
        <v>332</v>
      </c>
      <c r="BH79" s="59" t="s">
        <v>90</v>
      </c>
      <c r="BI79" s="243">
        <v>46295</v>
      </c>
      <c r="BJ79" s="243">
        <v>46415</v>
      </c>
      <c r="BK79" s="3" t="s">
        <v>109</v>
      </c>
      <c r="BL79" s="3" t="s">
        <v>114</v>
      </c>
      <c r="BM79" s="3"/>
      <c r="BN79" s="3"/>
      <c r="BO79" s="3"/>
      <c r="BP79" s="3"/>
      <c r="BQ79" s="3"/>
      <c r="BR79" s="3"/>
      <c r="BS79" s="3"/>
      <c r="BT79" s="3"/>
      <c r="BU79" s="3"/>
      <c r="BV79" s="3"/>
      <c r="BW79" s="3" t="s">
        <v>184</v>
      </c>
      <c r="BX79" s="3"/>
      <c r="BY79" s="3"/>
      <c r="BZ79" s="3"/>
      <c r="CA79" s="3"/>
      <c r="CB79" s="112" t="s">
        <v>118</v>
      </c>
      <c r="CC79" s="112" t="s">
        <v>109</v>
      </c>
      <c r="CD79" s="3"/>
      <c r="CE79" s="3"/>
      <c r="CF79" s="112"/>
      <c r="CG79" s="112"/>
      <c r="CH79" s="133"/>
      <c r="CI79" s="112" t="str">
        <f t="shared" si="14"/>
        <v>Jun'24</v>
      </c>
      <c r="CJ79" s="112" t="s">
        <v>132</v>
      </c>
      <c r="CK79" s="112"/>
      <c r="CL79" s="192"/>
      <c r="CM79" s="6"/>
      <c r="CN79" s="6"/>
    </row>
    <row r="80" spans="1:92" s="4" customFormat="1" ht="94.5" customHeight="1" x14ac:dyDescent="0.25">
      <c r="A80" s="3">
        <v>197</v>
      </c>
      <c r="B80" s="206" t="s">
        <v>497</v>
      </c>
      <c r="C80" s="109" t="s">
        <v>498</v>
      </c>
      <c r="D80" s="3" t="s">
        <v>195</v>
      </c>
      <c r="E80" s="59">
        <v>2087</v>
      </c>
      <c r="F80" s="3">
        <v>9850883072</v>
      </c>
      <c r="G80" s="3" t="s">
        <v>142</v>
      </c>
      <c r="H80" s="3" t="s">
        <v>101</v>
      </c>
      <c r="I80" s="3" t="s">
        <v>143</v>
      </c>
      <c r="J80" s="3" t="s">
        <v>162</v>
      </c>
      <c r="K80" s="3" t="s">
        <v>499</v>
      </c>
      <c r="L80" s="3" t="s">
        <v>105</v>
      </c>
      <c r="M80" s="56">
        <v>45462</v>
      </c>
      <c r="N80" s="69">
        <f t="shared" ca="1" si="11"/>
        <v>715</v>
      </c>
      <c r="O80" s="72" t="str">
        <f t="shared" ca="1" si="12"/>
        <v>1-2Y</v>
      </c>
      <c r="P80" s="198" t="s">
        <v>158</v>
      </c>
      <c r="Q80" s="3" t="s">
        <v>107</v>
      </c>
      <c r="R80" s="3" t="s">
        <v>108</v>
      </c>
      <c r="S80" s="129">
        <v>30</v>
      </c>
      <c r="T80" s="129">
        <v>120</v>
      </c>
      <c r="U80" s="129">
        <f t="shared" si="13"/>
        <v>150</v>
      </c>
      <c r="V80" s="3"/>
      <c r="W80" s="3" t="s">
        <v>109</v>
      </c>
      <c r="X80" s="3" t="s">
        <v>493</v>
      </c>
      <c r="Y80" s="60">
        <f>+IF(AO80="Approved","Yes",AS80)</f>
        <v>46539</v>
      </c>
      <c r="Z80" s="3" t="s">
        <v>274</v>
      </c>
      <c r="AA80" s="3"/>
      <c r="AB80" s="3"/>
      <c r="AC80" s="3"/>
      <c r="AD80" s="249">
        <f t="shared" si="16"/>
        <v>46539</v>
      </c>
      <c r="AE80" s="249">
        <f t="shared" si="17"/>
        <v>46539</v>
      </c>
      <c r="AF80" s="3" t="s">
        <v>109</v>
      </c>
      <c r="AG80" s="109"/>
      <c r="AH80" s="3"/>
      <c r="AI80" s="3" t="s">
        <v>109</v>
      </c>
      <c r="AJ80" s="3" t="s">
        <v>184</v>
      </c>
      <c r="AK80" s="3" t="s">
        <v>181</v>
      </c>
      <c r="AL80" s="45">
        <v>46539</v>
      </c>
      <c r="AM80" s="3" t="s">
        <v>500</v>
      </c>
      <c r="AN80" s="3" t="s">
        <v>501</v>
      </c>
      <c r="AO80" s="3"/>
      <c r="AP80" s="3"/>
      <c r="AQ80" s="3"/>
      <c r="AR80" s="109" t="s">
        <v>352</v>
      </c>
      <c r="AS80" s="249">
        <v>46539</v>
      </c>
      <c r="AT80" s="3" t="s">
        <v>109</v>
      </c>
      <c r="AU80" s="3" t="s">
        <v>298</v>
      </c>
      <c r="AV80" s="109" t="s">
        <v>502</v>
      </c>
      <c r="AW80" s="3" t="s">
        <v>111</v>
      </c>
      <c r="AX80" s="3" t="s">
        <v>109</v>
      </c>
      <c r="AY80" s="3" t="s">
        <v>198</v>
      </c>
      <c r="AZ80" s="3" t="s">
        <v>130</v>
      </c>
      <c r="BA80" s="3" t="s">
        <v>198</v>
      </c>
      <c r="BB80" s="3" t="s">
        <v>130</v>
      </c>
      <c r="BC80" s="3" t="s">
        <v>199</v>
      </c>
      <c r="BD80" s="3" t="s">
        <v>111</v>
      </c>
      <c r="BE80" s="3" t="s">
        <v>199</v>
      </c>
      <c r="BF80" s="3" t="s">
        <v>199</v>
      </c>
      <c r="BG80" s="59" t="s">
        <v>332</v>
      </c>
      <c r="BH80" s="59" t="s">
        <v>171</v>
      </c>
      <c r="BI80" s="45">
        <v>46418</v>
      </c>
      <c r="BJ80" s="45">
        <v>46538</v>
      </c>
      <c r="BK80" s="3" t="s">
        <v>109</v>
      </c>
      <c r="BL80" s="3"/>
      <c r="BM80" s="3"/>
      <c r="BN80" s="3"/>
      <c r="BO80" s="3"/>
      <c r="BP80" s="3"/>
      <c r="BQ80" s="3"/>
      <c r="BR80" s="3"/>
      <c r="BS80" s="3"/>
      <c r="BT80" s="3"/>
      <c r="BU80" s="3"/>
      <c r="BV80" s="3"/>
      <c r="BW80" s="3" t="s">
        <v>184</v>
      </c>
      <c r="BX80" s="3"/>
      <c r="BY80" s="3"/>
      <c r="BZ80" s="3"/>
      <c r="CA80" s="3"/>
      <c r="CB80" s="112" t="s">
        <v>118</v>
      </c>
      <c r="CC80" s="112" t="s">
        <v>109</v>
      </c>
      <c r="CD80" s="3"/>
      <c r="CE80" s="3"/>
      <c r="CF80" s="112"/>
      <c r="CG80" s="112"/>
      <c r="CH80" s="133"/>
      <c r="CI80" s="112" t="str">
        <f t="shared" si="14"/>
        <v>Jun'24</v>
      </c>
      <c r="CJ80" s="112" t="s">
        <v>107</v>
      </c>
      <c r="CK80" s="112"/>
      <c r="CL80" s="192"/>
      <c r="CM80" s="6"/>
      <c r="CN80" s="6"/>
    </row>
    <row r="81" spans="1:92" s="4" customFormat="1" ht="59.1" customHeight="1" x14ac:dyDescent="0.25">
      <c r="A81" s="3">
        <v>257</v>
      </c>
      <c r="B81" s="206" t="s">
        <v>503</v>
      </c>
      <c r="C81" s="109" t="s">
        <v>504</v>
      </c>
      <c r="D81" s="3" t="s">
        <v>99</v>
      </c>
      <c r="E81" s="59">
        <v>1807</v>
      </c>
      <c r="F81" s="3">
        <v>9422740000</v>
      </c>
      <c r="G81" s="3" t="s">
        <v>142</v>
      </c>
      <c r="H81" s="3" t="s">
        <v>101</v>
      </c>
      <c r="I81" s="3" t="s">
        <v>143</v>
      </c>
      <c r="J81" s="3" t="s">
        <v>162</v>
      </c>
      <c r="K81" s="3" t="s">
        <v>505</v>
      </c>
      <c r="L81" s="3" t="s">
        <v>105</v>
      </c>
      <c r="M81" s="56">
        <v>46070</v>
      </c>
      <c r="N81" s="69">
        <f t="shared" ca="1" si="11"/>
        <v>107</v>
      </c>
      <c r="O81" s="72" t="str">
        <f t="shared" ca="1" si="12"/>
        <v>0-6M</v>
      </c>
      <c r="P81" s="198" t="s">
        <v>106</v>
      </c>
      <c r="Q81" s="3" t="s">
        <v>107</v>
      </c>
      <c r="R81" s="3" t="s">
        <v>108</v>
      </c>
      <c r="S81" s="129">
        <v>45</v>
      </c>
      <c r="T81" s="129">
        <v>220</v>
      </c>
      <c r="U81" s="129">
        <f t="shared" si="13"/>
        <v>265</v>
      </c>
      <c r="V81" s="3"/>
      <c r="W81" s="3" t="s">
        <v>109</v>
      </c>
      <c r="X81" s="3" t="s">
        <v>493</v>
      </c>
      <c r="Y81" s="60"/>
      <c r="Z81" s="3" t="s">
        <v>274</v>
      </c>
      <c r="AA81" s="3"/>
      <c r="AB81" s="3"/>
      <c r="AC81" s="3"/>
      <c r="AD81" s="249">
        <f t="shared" si="16"/>
        <v>46539</v>
      </c>
      <c r="AE81" s="249">
        <f t="shared" si="17"/>
        <v>46539</v>
      </c>
      <c r="AF81" s="3" t="s">
        <v>109</v>
      </c>
      <c r="AG81" s="3"/>
      <c r="AH81" s="3"/>
      <c r="AI81" s="3"/>
      <c r="AJ81" s="3"/>
      <c r="AK81" s="3"/>
      <c r="AL81" s="249">
        <v>46539</v>
      </c>
      <c r="AM81" s="3"/>
      <c r="AN81" s="3"/>
      <c r="AO81" s="3"/>
      <c r="AP81" s="3"/>
      <c r="AQ81" s="3"/>
      <c r="AR81" s="109"/>
      <c r="AS81" s="249">
        <v>46539</v>
      </c>
      <c r="AT81" s="3" t="s">
        <v>109</v>
      </c>
      <c r="AU81" s="3" t="s">
        <v>298</v>
      </c>
      <c r="AV81" s="109" t="s">
        <v>506</v>
      </c>
      <c r="AW81" s="3" t="s">
        <v>171</v>
      </c>
      <c r="AX81" s="3" t="s">
        <v>109</v>
      </c>
      <c r="AY81" s="3" t="s">
        <v>109</v>
      </c>
      <c r="AZ81" s="3" t="s">
        <v>130</v>
      </c>
      <c r="BA81" s="3" t="s">
        <v>130</v>
      </c>
      <c r="BB81" s="3" t="s">
        <v>130</v>
      </c>
      <c r="BC81" s="3" t="s">
        <v>130</v>
      </c>
      <c r="BD81" s="3" t="s">
        <v>173</v>
      </c>
      <c r="BE81" s="3" t="s">
        <v>111</v>
      </c>
      <c r="BF81" s="3" t="s">
        <v>111</v>
      </c>
      <c r="BG81" s="59" t="s">
        <v>173</v>
      </c>
      <c r="BH81" s="59" t="s">
        <v>90</v>
      </c>
      <c r="BI81" s="45">
        <v>46357</v>
      </c>
      <c r="BJ81" s="45">
        <v>46388</v>
      </c>
      <c r="BK81" s="3" t="s">
        <v>109</v>
      </c>
      <c r="BL81" s="3" t="s">
        <v>199</v>
      </c>
      <c r="BM81" s="3"/>
      <c r="BN81" s="3"/>
      <c r="BO81" s="3"/>
      <c r="BP81" s="3"/>
      <c r="BQ81" s="3"/>
      <c r="BR81" s="3"/>
      <c r="BS81" s="3"/>
      <c r="BT81" s="3"/>
      <c r="BU81" s="3"/>
      <c r="BV81" s="3"/>
      <c r="BW81" s="3" t="s">
        <v>184</v>
      </c>
      <c r="BX81" s="3"/>
      <c r="BY81" s="3"/>
      <c r="BZ81" s="3" t="s">
        <v>507</v>
      </c>
      <c r="CA81" s="3"/>
      <c r="CB81" s="112" t="s">
        <v>118</v>
      </c>
      <c r="CC81" s="112" t="s">
        <v>109</v>
      </c>
      <c r="CD81" s="3"/>
      <c r="CE81" s="3"/>
      <c r="CF81" s="112"/>
      <c r="CG81" s="112"/>
      <c r="CH81" s="133"/>
      <c r="CI81" s="112" t="str">
        <f t="shared" si="14"/>
        <v>Feb'26</v>
      </c>
      <c r="CJ81" s="112" t="s">
        <v>107</v>
      </c>
      <c r="CK81" s="112"/>
      <c r="CL81" s="192"/>
    </row>
    <row r="82" spans="1:92" s="4" customFormat="1" ht="94.5" customHeight="1" x14ac:dyDescent="0.25">
      <c r="A82" s="3">
        <v>259</v>
      </c>
      <c r="B82" s="206" t="s">
        <v>508</v>
      </c>
      <c r="C82" s="109" t="s">
        <v>509</v>
      </c>
      <c r="D82" s="3" t="s">
        <v>398</v>
      </c>
      <c r="E82" s="59">
        <v>1750</v>
      </c>
      <c r="F82" s="3">
        <v>9082061998</v>
      </c>
      <c r="G82" s="3" t="s">
        <v>142</v>
      </c>
      <c r="H82" s="3" t="s">
        <v>101</v>
      </c>
      <c r="I82" s="3" t="s">
        <v>143</v>
      </c>
      <c r="J82" s="3" t="s">
        <v>162</v>
      </c>
      <c r="K82" s="3" t="s">
        <v>510</v>
      </c>
      <c r="L82" s="3" t="s">
        <v>105</v>
      </c>
      <c r="M82" s="56">
        <v>46071</v>
      </c>
      <c r="N82" s="69">
        <f t="shared" ca="1" si="11"/>
        <v>106</v>
      </c>
      <c r="O82" s="72" t="str">
        <f t="shared" ca="1" si="12"/>
        <v>0-6M</v>
      </c>
      <c r="P82" s="198" t="s">
        <v>106</v>
      </c>
      <c r="Q82" s="3" t="s">
        <v>511</v>
      </c>
      <c r="R82" s="3" t="s">
        <v>164</v>
      </c>
      <c r="S82" s="129">
        <v>40</v>
      </c>
      <c r="T82" s="129">
        <v>158</v>
      </c>
      <c r="U82" s="129">
        <f t="shared" si="13"/>
        <v>198</v>
      </c>
      <c r="V82" s="3"/>
      <c r="W82" s="3" t="s">
        <v>109</v>
      </c>
      <c r="X82" s="3" t="s">
        <v>493</v>
      </c>
      <c r="Y82" s="60"/>
      <c r="Z82" s="3" t="s">
        <v>274</v>
      </c>
      <c r="AA82" s="3"/>
      <c r="AB82" s="3"/>
      <c r="AC82" s="3"/>
      <c r="AD82" s="249">
        <f t="shared" si="16"/>
        <v>46539</v>
      </c>
      <c r="AE82" s="249">
        <f t="shared" si="17"/>
        <v>46539</v>
      </c>
      <c r="AF82" s="3" t="s">
        <v>109</v>
      </c>
      <c r="AG82" s="3"/>
      <c r="AH82" s="3"/>
      <c r="AI82" s="3"/>
      <c r="AJ82" s="3"/>
      <c r="AK82" s="3"/>
      <c r="AL82" s="45">
        <v>46539</v>
      </c>
      <c r="AM82" s="3"/>
      <c r="AN82" s="3"/>
      <c r="AO82" s="3"/>
      <c r="AP82" s="3"/>
      <c r="AQ82" s="3"/>
      <c r="AR82" s="109" t="s">
        <v>352</v>
      </c>
      <c r="AS82" s="249">
        <v>46539</v>
      </c>
      <c r="AT82" s="59" t="s">
        <v>109</v>
      </c>
      <c r="AU82" s="3" t="s">
        <v>298</v>
      </c>
      <c r="AV82" s="59" t="s">
        <v>111</v>
      </c>
      <c r="AW82" s="59" t="s">
        <v>419</v>
      </c>
      <c r="AX82" s="59" t="s">
        <v>419</v>
      </c>
      <c r="AY82" s="59" t="s">
        <v>111</v>
      </c>
      <c r="AZ82" s="59" t="s">
        <v>111</v>
      </c>
      <c r="BA82" s="59" t="s">
        <v>111</v>
      </c>
      <c r="BB82" s="59" t="s">
        <v>111</v>
      </c>
      <c r="BC82" s="59" t="s">
        <v>111</v>
      </c>
      <c r="BD82" s="59" t="s">
        <v>111</v>
      </c>
      <c r="BE82" s="59" t="s">
        <v>111</v>
      </c>
      <c r="BF82" s="59" t="s">
        <v>111</v>
      </c>
      <c r="BG82" s="59" t="s">
        <v>332</v>
      </c>
      <c r="BH82" s="59" t="s">
        <v>90</v>
      </c>
      <c r="BI82" s="243">
        <v>46415</v>
      </c>
      <c r="BJ82" s="243">
        <v>46477</v>
      </c>
      <c r="BK82" s="3" t="s">
        <v>260</v>
      </c>
      <c r="BL82" s="3" t="s">
        <v>261</v>
      </c>
      <c r="BM82" s="3"/>
      <c r="BN82" s="3"/>
      <c r="BO82" s="3"/>
      <c r="BP82" s="3"/>
      <c r="BQ82" s="3"/>
      <c r="BR82" s="3"/>
      <c r="BS82" s="3"/>
      <c r="BT82" s="3"/>
      <c r="BU82" s="3"/>
      <c r="BV82" s="3"/>
      <c r="BW82" s="3" t="s">
        <v>184</v>
      </c>
      <c r="BX82" s="3"/>
      <c r="BY82" s="3"/>
      <c r="BZ82" s="3"/>
      <c r="CA82" s="3"/>
      <c r="CB82" s="112" t="s">
        <v>118</v>
      </c>
      <c r="CC82" s="112" t="s">
        <v>109</v>
      </c>
      <c r="CD82" s="3"/>
      <c r="CE82" s="3"/>
      <c r="CF82" s="112"/>
      <c r="CG82" s="112"/>
      <c r="CH82" s="133"/>
      <c r="CI82" s="112" t="str">
        <f t="shared" si="14"/>
        <v>Feb'26</v>
      </c>
      <c r="CJ82" s="112" t="s">
        <v>107</v>
      </c>
      <c r="CK82" s="112"/>
      <c r="CL82" s="192"/>
    </row>
    <row r="83" spans="1:92" s="4" customFormat="1" ht="94.5" customHeight="1" x14ac:dyDescent="0.25">
      <c r="A83" s="3">
        <v>30</v>
      </c>
      <c r="B83" s="206" t="s">
        <v>512</v>
      </c>
      <c r="C83" s="109" t="s">
        <v>513</v>
      </c>
      <c r="D83" s="3" t="s">
        <v>195</v>
      </c>
      <c r="E83" s="59"/>
      <c r="F83" s="3">
        <v>9422250439</v>
      </c>
      <c r="G83" s="3" t="s">
        <v>169</v>
      </c>
      <c r="H83" s="3" t="s">
        <v>101</v>
      </c>
      <c r="I83" s="3" t="s">
        <v>143</v>
      </c>
      <c r="J83" s="3" t="s">
        <v>162</v>
      </c>
      <c r="K83" s="3" t="s">
        <v>514</v>
      </c>
      <c r="L83" s="3" t="s">
        <v>179</v>
      </c>
      <c r="M83" s="56">
        <v>43949</v>
      </c>
      <c r="N83" s="69">
        <f t="shared" ca="1" si="11"/>
        <v>2228</v>
      </c>
      <c r="O83" s="72" t="str">
        <f t="shared" ca="1" si="12"/>
        <v>&gt;5Y</v>
      </c>
      <c r="P83" s="198" t="s">
        <v>158</v>
      </c>
      <c r="Q83" s="3" t="s">
        <v>107</v>
      </c>
      <c r="R83" s="3" t="s">
        <v>164</v>
      </c>
      <c r="S83" s="129">
        <v>30</v>
      </c>
      <c r="T83" s="129">
        <v>120</v>
      </c>
      <c r="U83" s="129">
        <f t="shared" si="13"/>
        <v>150</v>
      </c>
      <c r="V83" s="3"/>
      <c r="W83" s="3" t="s">
        <v>109</v>
      </c>
      <c r="X83" s="3" t="s">
        <v>493</v>
      </c>
      <c r="Y83" s="60"/>
      <c r="Z83" s="3" t="s">
        <v>274</v>
      </c>
      <c r="AA83" s="3"/>
      <c r="AB83" s="3"/>
      <c r="AC83" s="3"/>
      <c r="AD83" s="249">
        <f t="shared" si="16"/>
        <v>46539</v>
      </c>
      <c r="AE83" s="249">
        <f t="shared" si="17"/>
        <v>46569</v>
      </c>
      <c r="AF83" s="3" t="s">
        <v>109</v>
      </c>
      <c r="AG83" s="109" t="s">
        <v>515</v>
      </c>
      <c r="AH83" s="3"/>
      <c r="AI83" s="3"/>
      <c r="AJ83" s="3"/>
      <c r="AK83" s="3" t="s">
        <v>181</v>
      </c>
      <c r="AL83" s="45">
        <v>46539</v>
      </c>
      <c r="AM83" s="3" t="s">
        <v>500</v>
      </c>
      <c r="AN83" s="3" t="s">
        <v>501</v>
      </c>
      <c r="AO83" s="3"/>
      <c r="AP83" s="3"/>
      <c r="AQ83" s="3"/>
      <c r="AR83" s="109" t="s">
        <v>516</v>
      </c>
      <c r="AS83" s="253">
        <v>46569</v>
      </c>
      <c r="AT83" s="3" t="s">
        <v>109</v>
      </c>
      <c r="AU83" s="3" t="s">
        <v>298</v>
      </c>
      <c r="AV83" s="109" t="s">
        <v>517</v>
      </c>
      <c r="AW83" s="3" t="s">
        <v>171</v>
      </c>
      <c r="AX83" s="3" t="s">
        <v>109</v>
      </c>
      <c r="AY83" s="3" t="s">
        <v>518</v>
      </c>
      <c r="AZ83" s="3" t="s">
        <v>253</v>
      </c>
      <c r="BA83" s="3" t="s">
        <v>253</v>
      </c>
      <c r="BB83" s="3" t="s">
        <v>253</v>
      </c>
      <c r="BC83" s="3" t="s">
        <v>253</v>
      </c>
      <c r="BD83" s="3" t="s">
        <v>253</v>
      </c>
      <c r="BE83" s="3" t="s">
        <v>253</v>
      </c>
      <c r="BF83" s="3" t="s">
        <v>253</v>
      </c>
      <c r="BG83" s="3" t="s">
        <v>253</v>
      </c>
      <c r="BH83" s="59" t="s">
        <v>171</v>
      </c>
      <c r="BI83" s="45">
        <v>46721</v>
      </c>
      <c r="BJ83" s="45">
        <v>46812</v>
      </c>
      <c r="BK83" s="3" t="s">
        <v>260</v>
      </c>
      <c r="BL83" s="3" t="s">
        <v>261</v>
      </c>
      <c r="BM83" s="3"/>
      <c r="BN83" s="3"/>
      <c r="BO83" s="3"/>
      <c r="BP83" s="3"/>
      <c r="BQ83" s="3"/>
      <c r="BR83" s="3"/>
      <c r="BS83" s="3"/>
      <c r="BT83" s="3"/>
      <c r="BU83" s="3"/>
      <c r="BV83" s="3"/>
      <c r="BW83" s="3" t="s">
        <v>184</v>
      </c>
      <c r="BX83" s="3"/>
      <c r="BY83" s="3"/>
      <c r="BZ83" s="3"/>
      <c r="CA83" s="3"/>
      <c r="CB83" s="112" t="s">
        <v>185</v>
      </c>
      <c r="CC83" s="112" t="s">
        <v>109</v>
      </c>
      <c r="CD83" s="3"/>
      <c r="CE83" s="3"/>
      <c r="CF83" s="112"/>
      <c r="CG83" s="112"/>
      <c r="CH83" s="133"/>
      <c r="CI83" s="112" t="str">
        <f t="shared" si="14"/>
        <v>Apr'20</v>
      </c>
      <c r="CJ83" s="112" t="s">
        <v>107</v>
      </c>
      <c r="CK83" s="112"/>
      <c r="CL83" s="192"/>
    </row>
    <row r="84" spans="1:92" s="4" customFormat="1" ht="94.5" customHeight="1" x14ac:dyDescent="0.25">
      <c r="A84" s="3">
        <v>51</v>
      </c>
      <c r="B84" s="206" t="s">
        <v>519</v>
      </c>
      <c r="C84" s="109" t="s">
        <v>520</v>
      </c>
      <c r="D84" s="3" t="s">
        <v>141</v>
      </c>
      <c r="E84" s="59"/>
      <c r="F84" s="3">
        <v>9096420232</v>
      </c>
      <c r="G84" s="3" t="s">
        <v>142</v>
      </c>
      <c r="H84" s="3" t="s">
        <v>101</v>
      </c>
      <c r="I84" s="3" t="s">
        <v>143</v>
      </c>
      <c r="J84" s="3" t="s">
        <v>162</v>
      </c>
      <c r="K84" s="3" t="s">
        <v>521</v>
      </c>
      <c r="L84" s="3" t="s">
        <v>179</v>
      </c>
      <c r="M84" s="56">
        <v>44865</v>
      </c>
      <c r="N84" s="69">
        <f t="shared" ca="1" si="11"/>
        <v>1312</v>
      </c>
      <c r="O84" s="72" t="str">
        <f t="shared" ca="1" si="12"/>
        <v>3-4Y</v>
      </c>
      <c r="P84" s="198" t="s">
        <v>137</v>
      </c>
      <c r="Q84" s="3" t="s">
        <v>431</v>
      </c>
      <c r="R84" s="3" t="s">
        <v>108</v>
      </c>
      <c r="S84" s="129">
        <v>30</v>
      </c>
      <c r="T84" s="129">
        <v>125</v>
      </c>
      <c r="U84" s="129">
        <f t="shared" si="13"/>
        <v>155</v>
      </c>
      <c r="V84" s="3"/>
      <c r="W84" s="3" t="s">
        <v>109</v>
      </c>
      <c r="X84" s="3" t="s">
        <v>493</v>
      </c>
      <c r="Y84" s="60"/>
      <c r="Z84" s="3" t="s">
        <v>274</v>
      </c>
      <c r="AA84" s="3"/>
      <c r="AB84" s="3"/>
      <c r="AC84" s="3"/>
      <c r="AD84" s="249">
        <f t="shared" si="16"/>
        <v>46539</v>
      </c>
      <c r="AE84" s="249">
        <f t="shared" si="17"/>
        <v>46569</v>
      </c>
      <c r="AF84" s="3" t="s">
        <v>109</v>
      </c>
      <c r="AG84" s="3"/>
      <c r="AH84" s="3"/>
      <c r="AI84" s="3"/>
      <c r="AJ84" s="3"/>
      <c r="AK84" s="3" t="s">
        <v>181</v>
      </c>
      <c r="AL84" s="45">
        <v>46539</v>
      </c>
      <c r="AM84" s="3"/>
      <c r="AN84" s="3"/>
      <c r="AO84" s="3"/>
      <c r="AP84" s="3"/>
      <c r="AQ84" s="3"/>
      <c r="AR84" s="109" t="s">
        <v>352</v>
      </c>
      <c r="AS84" s="253">
        <v>46569</v>
      </c>
      <c r="AT84" s="3" t="s">
        <v>146</v>
      </c>
      <c r="AU84" s="3" t="s">
        <v>298</v>
      </c>
      <c r="AV84" s="109" t="s">
        <v>522</v>
      </c>
      <c r="AW84" s="109" t="s">
        <v>111</v>
      </c>
      <c r="AX84" s="3" t="s">
        <v>146</v>
      </c>
      <c r="AY84" s="3" t="s">
        <v>114</v>
      </c>
      <c r="AZ84" s="3" t="s">
        <v>130</v>
      </c>
      <c r="BA84" s="3" t="s">
        <v>130</v>
      </c>
      <c r="BB84" s="3" t="s">
        <v>261</v>
      </c>
      <c r="BC84" s="3" t="s">
        <v>114</v>
      </c>
      <c r="BD84" s="3" t="s">
        <v>111</v>
      </c>
      <c r="BE84" s="3" t="s">
        <v>111</v>
      </c>
      <c r="BF84" s="3" t="s">
        <v>111</v>
      </c>
      <c r="BG84" s="59" t="s">
        <v>523</v>
      </c>
      <c r="BH84" s="59" t="s">
        <v>171</v>
      </c>
      <c r="BI84" s="45">
        <v>46568</v>
      </c>
      <c r="BJ84" s="45">
        <v>46599</v>
      </c>
      <c r="BK84" s="3" t="s">
        <v>109</v>
      </c>
      <c r="BL84" s="3" t="s">
        <v>199</v>
      </c>
      <c r="BM84" s="3"/>
      <c r="BN84" s="3"/>
      <c r="BO84" s="3"/>
      <c r="BP84" s="3"/>
      <c r="BQ84" s="3"/>
      <c r="BR84" s="3"/>
      <c r="BS84" s="3"/>
      <c r="BT84" s="3"/>
      <c r="BU84" s="3"/>
      <c r="BV84" s="3"/>
      <c r="BW84" s="3" t="s">
        <v>184</v>
      </c>
      <c r="BX84" s="3"/>
      <c r="BY84" s="3"/>
      <c r="BZ84" s="3"/>
      <c r="CA84" s="3"/>
      <c r="CB84" s="112" t="s">
        <v>185</v>
      </c>
      <c r="CC84" s="112" t="s">
        <v>109</v>
      </c>
      <c r="CD84" s="3"/>
      <c r="CE84" s="3"/>
      <c r="CF84" s="112"/>
      <c r="CG84" s="112"/>
      <c r="CH84" s="133"/>
      <c r="CI84" s="112" t="str">
        <f t="shared" si="14"/>
        <v>Oct'22</v>
      </c>
      <c r="CJ84" s="112" t="s">
        <v>107</v>
      </c>
      <c r="CK84" s="112"/>
      <c r="CL84" s="192"/>
    </row>
    <row r="85" spans="1:92" s="4" customFormat="1" ht="94.5" customHeight="1" x14ac:dyDescent="0.25">
      <c r="A85" s="3">
        <v>149</v>
      </c>
      <c r="B85" s="206" t="s">
        <v>524</v>
      </c>
      <c r="C85" s="109" t="s">
        <v>525</v>
      </c>
      <c r="D85" s="3" t="s">
        <v>220</v>
      </c>
      <c r="E85" s="59">
        <v>1923</v>
      </c>
      <c r="F85" s="3">
        <v>8010347872</v>
      </c>
      <c r="G85" s="3" t="s">
        <v>169</v>
      </c>
      <c r="H85" s="3" t="s">
        <v>101</v>
      </c>
      <c r="I85" s="3" t="s">
        <v>143</v>
      </c>
      <c r="J85" s="3" t="s">
        <v>162</v>
      </c>
      <c r="K85" s="3" t="s">
        <v>526</v>
      </c>
      <c r="L85" s="3" t="s">
        <v>105</v>
      </c>
      <c r="M85" s="56">
        <v>45366</v>
      </c>
      <c r="N85" s="69">
        <f t="shared" ca="1" si="11"/>
        <v>811</v>
      </c>
      <c r="O85" s="72" t="str">
        <f t="shared" ca="1" si="12"/>
        <v>2-3Y</v>
      </c>
      <c r="P85" s="198" t="s">
        <v>106</v>
      </c>
      <c r="Q85" s="3" t="s">
        <v>180</v>
      </c>
      <c r="R85" s="3" t="s">
        <v>108</v>
      </c>
      <c r="S85" s="129">
        <v>40</v>
      </c>
      <c r="T85" s="129">
        <v>76</v>
      </c>
      <c r="U85" s="129">
        <f t="shared" si="13"/>
        <v>116</v>
      </c>
      <c r="V85" s="3"/>
      <c r="W85" s="3" t="s">
        <v>109</v>
      </c>
      <c r="X85" s="3" t="s">
        <v>493</v>
      </c>
      <c r="Y85" s="60"/>
      <c r="Z85" s="3" t="s">
        <v>274</v>
      </c>
      <c r="AA85" s="3"/>
      <c r="AB85" s="3"/>
      <c r="AC85" s="3"/>
      <c r="AD85" s="249">
        <f t="shared" si="16"/>
        <v>46539</v>
      </c>
      <c r="AE85" s="249">
        <f t="shared" si="17"/>
        <v>46569</v>
      </c>
      <c r="AF85" s="3" t="s">
        <v>109</v>
      </c>
      <c r="AG85" s="3"/>
      <c r="AH85" s="3"/>
      <c r="AI85" s="3" t="s">
        <v>109</v>
      </c>
      <c r="AJ85" s="3" t="s">
        <v>184</v>
      </c>
      <c r="AK85" s="3" t="s">
        <v>181</v>
      </c>
      <c r="AL85" s="45">
        <v>46539</v>
      </c>
      <c r="AM85" s="3" t="s">
        <v>184</v>
      </c>
      <c r="AN85" s="3" t="s">
        <v>184</v>
      </c>
      <c r="AO85" s="3" t="s">
        <v>184</v>
      </c>
      <c r="AP85" s="3"/>
      <c r="AQ85" s="3"/>
      <c r="AR85" s="109" t="s">
        <v>527</v>
      </c>
      <c r="AS85" s="253">
        <v>46569</v>
      </c>
      <c r="AT85" s="3" t="s">
        <v>109</v>
      </c>
      <c r="AU85" s="3" t="s">
        <v>171</v>
      </c>
      <c r="AV85" s="3" t="s">
        <v>528</v>
      </c>
      <c r="AW85" s="3" t="s">
        <v>171</v>
      </c>
      <c r="AX85" s="3" t="s">
        <v>171</v>
      </c>
      <c r="AY85" s="3" t="s">
        <v>130</v>
      </c>
      <c r="AZ85" s="3" t="s">
        <v>388</v>
      </c>
      <c r="BA85" s="3" t="s">
        <v>388</v>
      </c>
      <c r="BB85" s="3" t="s">
        <v>115</v>
      </c>
      <c r="BC85" s="3"/>
      <c r="BD85" s="3"/>
      <c r="BE85" s="3"/>
      <c r="BF85" s="3"/>
      <c r="BG85" s="59"/>
      <c r="BH85" s="59"/>
      <c r="BI85" s="45"/>
      <c r="BJ85" s="45"/>
      <c r="BK85" s="3" t="s">
        <v>260</v>
      </c>
      <c r="BL85" s="3" t="s">
        <v>261</v>
      </c>
      <c r="BM85" s="3"/>
      <c r="BN85" s="3"/>
      <c r="BO85" s="3"/>
      <c r="BP85" s="3"/>
      <c r="BQ85" s="3"/>
      <c r="BR85" s="3"/>
      <c r="BS85" s="3"/>
      <c r="BT85" s="3"/>
      <c r="BU85" s="3"/>
      <c r="BV85" s="3"/>
      <c r="BW85" s="3" t="s">
        <v>184</v>
      </c>
      <c r="BX85" s="3"/>
      <c r="BY85" s="3"/>
      <c r="BZ85" s="3"/>
      <c r="CA85" s="3"/>
      <c r="CB85" s="112" t="s">
        <v>118</v>
      </c>
      <c r="CC85" s="112" t="s">
        <v>109</v>
      </c>
      <c r="CD85" s="3"/>
      <c r="CE85" s="3"/>
      <c r="CF85" s="112"/>
      <c r="CG85" s="112"/>
      <c r="CH85" s="133"/>
      <c r="CI85" s="112" t="str">
        <f t="shared" si="14"/>
        <v>Mar'24</v>
      </c>
      <c r="CJ85" s="112" t="s">
        <v>186</v>
      </c>
      <c r="CK85" s="112"/>
      <c r="CL85" s="192"/>
    </row>
    <row r="86" spans="1:92" s="4" customFormat="1" ht="74.25" customHeight="1" x14ac:dyDescent="0.25">
      <c r="A86" s="3">
        <v>202</v>
      </c>
      <c r="B86" s="206" t="s">
        <v>529</v>
      </c>
      <c r="C86" s="109" t="s">
        <v>530</v>
      </c>
      <c r="D86" s="3" t="s">
        <v>99</v>
      </c>
      <c r="E86" s="59">
        <v>2028</v>
      </c>
      <c r="F86" s="3">
        <v>9834486238</v>
      </c>
      <c r="G86" s="3" t="s">
        <v>142</v>
      </c>
      <c r="H86" s="3" t="s">
        <v>101</v>
      </c>
      <c r="I86" s="3" t="s">
        <v>143</v>
      </c>
      <c r="J86" s="3" t="s">
        <v>151</v>
      </c>
      <c r="K86" s="3" t="s">
        <v>531</v>
      </c>
      <c r="L86" s="3" t="s">
        <v>105</v>
      </c>
      <c r="M86" s="56">
        <v>45462</v>
      </c>
      <c r="N86" s="69">
        <f t="shared" ca="1" si="11"/>
        <v>715</v>
      </c>
      <c r="O86" s="72" t="str">
        <f t="shared" ca="1" si="12"/>
        <v>1-2Y</v>
      </c>
      <c r="P86" s="198" t="s">
        <v>106</v>
      </c>
      <c r="Q86" s="3" t="s">
        <v>125</v>
      </c>
      <c r="R86" s="3" t="s">
        <v>108</v>
      </c>
      <c r="S86" s="129">
        <v>90</v>
      </c>
      <c r="T86" s="129">
        <v>110</v>
      </c>
      <c r="U86" s="129">
        <f t="shared" si="13"/>
        <v>200</v>
      </c>
      <c r="V86" s="3"/>
      <c r="W86" s="3" t="s">
        <v>109</v>
      </c>
      <c r="X86" s="3" t="s">
        <v>493</v>
      </c>
      <c r="Y86" s="60"/>
      <c r="Z86" s="3" t="s">
        <v>274</v>
      </c>
      <c r="AA86" s="3"/>
      <c r="AB86" s="3"/>
      <c r="AC86" s="3"/>
      <c r="AD86" s="249">
        <f t="shared" si="16"/>
        <v>46539</v>
      </c>
      <c r="AE86" s="249">
        <f t="shared" si="17"/>
        <v>46569</v>
      </c>
      <c r="AF86" s="3" t="s">
        <v>109</v>
      </c>
      <c r="AG86" s="3"/>
      <c r="AH86" s="3"/>
      <c r="AI86" s="3"/>
      <c r="AJ86" s="3"/>
      <c r="AK86" s="3" t="s">
        <v>181</v>
      </c>
      <c r="AL86" s="45">
        <v>46539</v>
      </c>
      <c r="AM86" s="3"/>
      <c r="AN86" s="3"/>
      <c r="AO86" s="3"/>
      <c r="AP86" s="3"/>
      <c r="AQ86" s="3"/>
      <c r="AR86" s="109"/>
      <c r="AS86" s="253">
        <v>46569</v>
      </c>
      <c r="AT86" s="3" t="s">
        <v>109</v>
      </c>
      <c r="AU86" s="3" t="s">
        <v>298</v>
      </c>
      <c r="AV86" s="109" t="s">
        <v>532</v>
      </c>
      <c r="AW86" s="3" t="s">
        <v>171</v>
      </c>
      <c r="AX86" s="3" t="s">
        <v>109</v>
      </c>
      <c r="AY86" s="3" t="s">
        <v>109</v>
      </c>
      <c r="AZ86" s="3" t="s">
        <v>130</v>
      </c>
      <c r="BA86" s="3" t="s">
        <v>130</v>
      </c>
      <c r="BB86" s="3" t="s">
        <v>130</v>
      </c>
      <c r="BC86" s="3" t="s">
        <v>130</v>
      </c>
      <c r="BD86" s="3" t="s">
        <v>173</v>
      </c>
      <c r="BE86" s="3" t="s">
        <v>111</v>
      </c>
      <c r="BF86" s="3" t="s">
        <v>111</v>
      </c>
      <c r="BG86" s="59" t="s">
        <v>533</v>
      </c>
      <c r="BH86" s="59" t="s">
        <v>90</v>
      </c>
      <c r="BI86" s="45">
        <v>46753</v>
      </c>
      <c r="BJ86" s="45">
        <v>46784</v>
      </c>
      <c r="BK86" s="3" t="s">
        <v>109</v>
      </c>
      <c r="BL86" s="3" t="e">
        <v>#N/A</v>
      </c>
      <c r="BM86" s="3"/>
      <c r="BN86" s="3"/>
      <c r="BO86" s="3"/>
      <c r="BP86" s="3"/>
      <c r="BQ86" s="3"/>
      <c r="BR86" s="3"/>
      <c r="BS86" s="3"/>
      <c r="BT86" s="3"/>
      <c r="BU86" s="3"/>
      <c r="BV86" s="3"/>
      <c r="BW86" s="3" t="s">
        <v>184</v>
      </c>
      <c r="BX86" s="3"/>
      <c r="BY86" s="3"/>
      <c r="BZ86" s="3"/>
      <c r="CA86" s="3"/>
      <c r="CB86" s="112" t="s">
        <v>118</v>
      </c>
      <c r="CC86" s="112" t="s">
        <v>109</v>
      </c>
      <c r="CD86" s="3"/>
      <c r="CE86" s="3"/>
      <c r="CF86" s="112"/>
      <c r="CG86" s="112"/>
      <c r="CH86" s="133"/>
      <c r="CI86" s="112" t="str">
        <f t="shared" si="14"/>
        <v>Jun'24</v>
      </c>
      <c r="CJ86" s="112" t="s">
        <v>132</v>
      </c>
      <c r="CK86" s="255"/>
      <c r="CL86" s="192"/>
    </row>
    <row r="87" spans="1:92" s="6" customFormat="1" ht="94.5" customHeight="1" x14ac:dyDescent="0.25">
      <c r="A87" s="109">
        <v>210</v>
      </c>
      <c r="B87" s="206" t="s">
        <v>534</v>
      </c>
      <c r="C87" s="109" t="s">
        <v>535</v>
      </c>
      <c r="D87" s="109" t="s">
        <v>190</v>
      </c>
      <c r="E87" s="109">
        <v>1794</v>
      </c>
      <c r="F87" s="109">
        <v>7722014513</v>
      </c>
      <c r="G87" s="109" t="s">
        <v>169</v>
      </c>
      <c r="H87" s="109" t="s">
        <v>101</v>
      </c>
      <c r="I87" s="109" t="s">
        <v>143</v>
      </c>
      <c r="J87" s="109" t="s">
        <v>162</v>
      </c>
      <c r="K87" s="109" t="s">
        <v>536</v>
      </c>
      <c r="L87" s="109" t="s">
        <v>105</v>
      </c>
      <c r="M87" s="236">
        <v>45479</v>
      </c>
      <c r="N87" s="237">
        <f t="shared" ca="1" si="11"/>
        <v>698</v>
      </c>
      <c r="O87" s="237" t="str">
        <f t="shared" ca="1" si="12"/>
        <v>1-2Y</v>
      </c>
      <c r="P87" s="198" t="s">
        <v>158</v>
      </c>
      <c r="Q87" s="109" t="s">
        <v>180</v>
      </c>
      <c r="R87" s="109" t="s">
        <v>164</v>
      </c>
      <c r="S87" s="129">
        <v>35</v>
      </c>
      <c r="T87" s="129">
        <v>90</v>
      </c>
      <c r="U87" s="129">
        <f t="shared" si="13"/>
        <v>125</v>
      </c>
      <c r="V87" s="109"/>
      <c r="W87" s="109" t="s">
        <v>109</v>
      </c>
      <c r="X87" s="109" t="s">
        <v>493</v>
      </c>
      <c r="Y87" s="238"/>
      <c r="Z87" s="3" t="s">
        <v>274</v>
      </c>
      <c r="AA87" s="109"/>
      <c r="AB87" s="109"/>
      <c r="AC87" s="109"/>
      <c r="AD87" s="249">
        <f t="shared" si="16"/>
        <v>46539</v>
      </c>
      <c r="AE87" s="249">
        <f t="shared" si="17"/>
        <v>46569</v>
      </c>
      <c r="AF87" s="109" t="s">
        <v>109</v>
      </c>
      <c r="AG87" s="109" t="s">
        <v>111</v>
      </c>
      <c r="AH87" s="109" t="s">
        <v>111</v>
      </c>
      <c r="AI87" s="109"/>
      <c r="AJ87" s="109"/>
      <c r="AK87" s="109" t="s">
        <v>181</v>
      </c>
      <c r="AL87" s="239">
        <v>46539</v>
      </c>
      <c r="AM87" s="109" t="s">
        <v>500</v>
      </c>
      <c r="AN87" s="109" t="s">
        <v>501</v>
      </c>
      <c r="AO87" s="109"/>
      <c r="AP87" s="109"/>
      <c r="AQ87" s="109"/>
      <c r="AR87" s="109" t="s">
        <v>502</v>
      </c>
      <c r="AS87" s="253">
        <v>46569</v>
      </c>
      <c r="AT87" s="109" t="s">
        <v>109</v>
      </c>
      <c r="AU87" s="3" t="s">
        <v>298</v>
      </c>
      <c r="AV87" s="109"/>
      <c r="AW87" s="109"/>
      <c r="AX87" s="109" t="s">
        <v>109</v>
      </c>
      <c r="AY87" s="109" t="s">
        <v>114</v>
      </c>
      <c r="AZ87" s="109" t="s">
        <v>253</v>
      </c>
      <c r="BA87" s="109" t="s">
        <v>130</v>
      </c>
      <c r="BB87" s="109" t="s">
        <v>130</v>
      </c>
      <c r="BC87" s="109" t="s">
        <v>130</v>
      </c>
      <c r="BD87" s="109" t="s">
        <v>371</v>
      </c>
      <c r="BE87" s="109" t="s">
        <v>130</v>
      </c>
      <c r="BF87" s="109" t="s">
        <v>130</v>
      </c>
      <c r="BG87" s="109" t="s">
        <v>537</v>
      </c>
      <c r="BH87" s="109"/>
      <c r="BI87" s="239"/>
      <c r="BJ87" s="239"/>
      <c r="BK87" s="109" t="s">
        <v>109</v>
      </c>
      <c r="BL87" s="109"/>
      <c r="BM87" s="109"/>
      <c r="BN87" s="109"/>
      <c r="BO87" s="109"/>
      <c r="BP87" s="109"/>
      <c r="BQ87" s="109"/>
      <c r="BR87" s="109"/>
      <c r="BS87" s="109"/>
      <c r="BT87" s="109"/>
      <c r="BU87" s="109"/>
      <c r="BV87" s="109"/>
      <c r="BW87" s="109" t="s">
        <v>184</v>
      </c>
      <c r="BX87" s="109"/>
      <c r="BY87" s="109"/>
      <c r="BZ87" s="109"/>
      <c r="CA87" s="109"/>
      <c r="CB87" s="112" t="s">
        <v>118</v>
      </c>
      <c r="CC87" s="112" t="s">
        <v>109</v>
      </c>
      <c r="CD87" s="3"/>
      <c r="CE87" s="3"/>
      <c r="CF87" s="112"/>
      <c r="CG87" s="112"/>
      <c r="CH87" s="133"/>
      <c r="CI87" s="112" t="str">
        <f t="shared" si="14"/>
        <v>Jul'24</v>
      </c>
      <c r="CJ87" s="112" t="s">
        <v>186</v>
      </c>
      <c r="CK87" s="112"/>
      <c r="CL87" s="112"/>
      <c r="CM87" s="4"/>
      <c r="CN87" s="4"/>
    </row>
    <row r="88" spans="1:92" s="4" customFormat="1" ht="94.5" customHeight="1" x14ac:dyDescent="0.25">
      <c r="A88" s="3">
        <v>228</v>
      </c>
      <c r="B88" s="206" t="s">
        <v>538</v>
      </c>
      <c r="C88" s="109" t="s">
        <v>539</v>
      </c>
      <c r="D88" s="3" t="s">
        <v>141</v>
      </c>
      <c r="E88" s="59"/>
      <c r="F88" s="3">
        <v>9922935234</v>
      </c>
      <c r="G88" s="3" t="s">
        <v>142</v>
      </c>
      <c r="H88" s="3" t="s">
        <v>101</v>
      </c>
      <c r="I88" s="3" t="s">
        <v>143</v>
      </c>
      <c r="J88" s="3" t="s">
        <v>162</v>
      </c>
      <c r="K88" s="3" t="s">
        <v>540</v>
      </c>
      <c r="L88" s="3" t="s">
        <v>179</v>
      </c>
      <c r="M88" s="56">
        <v>45632</v>
      </c>
      <c r="N88" s="69">
        <f t="shared" ca="1" si="11"/>
        <v>545</v>
      </c>
      <c r="O88" s="72" t="str">
        <f t="shared" ca="1" si="12"/>
        <v>1-2Y</v>
      </c>
      <c r="P88" s="198" t="s">
        <v>137</v>
      </c>
      <c r="Q88" s="3" t="s">
        <v>107</v>
      </c>
      <c r="R88" s="3" t="s">
        <v>164</v>
      </c>
      <c r="S88" s="129">
        <v>40</v>
      </c>
      <c r="T88" s="129">
        <v>110</v>
      </c>
      <c r="U88" s="129">
        <f t="shared" si="13"/>
        <v>150</v>
      </c>
      <c r="V88" s="3"/>
      <c r="W88" s="3" t="s">
        <v>109</v>
      </c>
      <c r="X88" s="3" t="s">
        <v>493</v>
      </c>
      <c r="Y88" s="60"/>
      <c r="Z88" s="3" t="s">
        <v>274</v>
      </c>
      <c r="AA88" s="3"/>
      <c r="AB88" s="3"/>
      <c r="AC88" s="3"/>
      <c r="AD88" s="249">
        <f t="shared" si="16"/>
        <v>46539</v>
      </c>
      <c r="AE88" s="249">
        <f t="shared" si="17"/>
        <v>46569</v>
      </c>
      <c r="AF88" s="3" t="s">
        <v>109</v>
      </c>
      <c r="AG88" s="3"/>
      <c r="AH88" s="3"/>
      <c r="AI88" s="3"/>
      <c r="AJ88" s="3"/>
      <c r="AK88" s="3" t="s">
        <v>181</v>
      </c>
      <c r="AL88" s="45">
        <v>46539</v>
      </c>
      <c r="AM88" s="3"/>
      <c r="AN88" s="3"/>
      <c r="AO88" s="3"/>
      <c r="AP88" s="3"/>
      <c r="AQ88" s="3"/>
      <c r="AR88" s="109"/>
      <c r="AS88" s="253">
        <v>46569</v>
      </c>
      <c r="AT88" s="3" t="s">
        <v>146</v>
      </c>
      <c r="AU88" s="3" t="s">
        <v>298</v>
      </c>
      <c r="AV88" s="109" t="s">
        <v>541</v>
      </c>
      <c r="AW88" s="109" t="s">
        <v>111</v>
      </c>
      <c r="AX88" s="3" t="s">
        <v>146</v>
      </c>
      <c r="AY88" s="3" t="s">
        <v>114</v>
      </c>
      <c r="AZ88" s="3" t="s">
        <v>261</v>
      </c>
      <c r="BA88" s="3" t="s">
        <v>130</v>
      </c>
      <c r="BB88" s="3" t="s">
        <v>261</v>
      </c>
      <c r="BC88" s="3" t="s">
        <v>130</v>
      </c>
      <c r="BD88" s="3" t="s">
        <v>111</v>
      </c>
      <c r="BE88" s="3" t="s">
        <v>111</v>
      </c>
      <c r="BF88" s="3" t="s">
        <v>111</v>
      </c>
      <c r="BG88" s="59" t="s">
        <v>332</v>
      </c>
      <c r="BH88" s="59" t="s">
        <v>171</v>
      </c>
      <c r="BI88" s="45">
        <v>46568</v>
      </c>
      <c r="BJ88" s="45">
        <v>46599</v>
      </c>
      <c r="BK88" s="3" t="s">
        <v>109</v>
      </c>
      <c r="BL88" s="3" t="s">
        <v>199</v>
      </c>
      <c r="BM88" s="3"/>
      <c r="BN88" s="3"/>
      <c r="BO88" s="3"/>
      <c r="BP88" s="3"/>
      <c r="BQ88" s="3"/>
      <c r="BR88" s="3"/>
      <c r="BS88" s="3"/>
      <c r="BT88" s="3"/>
      <c r="BU88" s="3"/>
      <c r="BV88" s="3"/>
      <c r="BW88" s="3" t="s">
        <v>184</v>
      </c>
      <c r="BX88" s="3"/>
      <c r="BY88" s="3"/>
      <c r="BZ88" s="3"/>
      <c r="CA88" s="3"/>
      <c r="CB88" s="112" t="s">
        <v>185</v>
      </c>
      <c r="CC88" s="112" t="s">
        <v>109</v>
      </c>
      <c r="CD88" s="3"/>
      <c r="CE88" s="3"/>
      <c r="CF88" s="112"/>
      <c r="CG88" s="112"/>
      <c r="CH88" s="133"/>
      <c r="CI88" s="112" t="str">
        <f t="shared" si="14"/>
        <v>Dec'24</v>
      </c>
      <c r="CJ88" s="112" t="s">
        <v>107</v>
      </c>
      <c r="CK88" s="256"/>
      <c r="CL88" s="192"/>
    </row>
    <row r="89" spans="1:92" s="4" customFormat="1" ht="63" customHeight="1" x14ac:dyDescent="0.25">
      <c r="A89" s="5">
        <v>231</v>
      </c>
      <c r="B89" s="207" t="s">
        <v>542</v>
      </c>
      <c r="C89" s="78" t="s">
        <v>543</v>
      </c>
      <c r="D89" s="5" t="s">
        <v>135</v>
      </c>
      <c r="E89" s="58">
        <v>110</v>
      </c>
      <c r="F89" s="5">
        <v>7020657052</v>
      </c>
      <c r="G89" s="5" t="s">
        <v>142</v>
      </c>
      <c r="H89" s="5" t="s">
        <v>101</v>
      </c>
      <c r="I89" s="5" t="s">
        <v>143</v>
      </c>
      <c r="J89" s="5" t="s">
        <v>162</v>
      </c>
      <c r="K89" s="5" t="s">
        <v>544</v>
      </c>
      <c r="L89" s="5" t="s">
        <v>105</v>
      </c>
      <c r="M89" s="55">
        <v>45660</v>
      </c>
      <c r="N89" s="68">
        <f t="shared" ca="1" si="11"/>
        <v>517</v>
      </c>
      <c r="O89" s="71" t="str">
        <f t="shared" ca="1" si="12"/>
        <v>1-2Y</v>
      </c>
      <c r="P89" s="132" t="s">
        <v>137</v>
      </c>
      <c r="Q89" s="5" t="s">
        <v>180</v>
      </c>
      <c r="R89" s="5" t="s">
        <v>108</v>
      </c>
      <c r="S89" s="111">
        <v>30</v>
      </c>
      <c r="T89" s="111">
        <v>120</v>
      </c>
      <c r="U89" s="111">
        <f t="shared" si="13"/>
        <v>150</v>
      </c>
      <c r="V89" s="5"/>
      <c r="W89" s="5" t="s">
        <v>109</v>
      </c>
      <c r="X89" s="5" t="s">
        <v>493</v>
      </c>
      <c r="Y89" s="131"/>
      <c r="Z89" s="5" t="s">
        <v>274</v>
      </c>
      <c r="AA89" s="5"/>
      <c r="AB89" s="5"/>
      <c r="AC89" s="5"/>
      <c r="AD89" s="248">
        <f t="shared" si="16"/>
        <v>46539</v>
      </c>
      <c r="AE89" s="248">
        <f t="shared" si="17"/>
        <v>46569</v>
      </c>
      <c r="AF89" s="5" t="s">
        <v>109</v>
      </c>
      <c r="AG89" s="5"/>
      <c r="AH89" s="5"/>
      <c r="AI89" s="5"/>
      <c r="AJ89" s="5"/>
      <c r="AK89" s="5" t="s">
        <v>181</v>
      </c>
      <c r="AL89" s="7">
        <v>46539</v>
      </c>
      <c r="AM89" s="5"/>
      <c r="AN89" s="5"/>
      <c r="AO89" s="5"/>
      <c r="AP89" s="5"/>
      <c r="AQ89" s="5"/>
      <c r="AR89" s="78" t="s">
        <v>545</v>
      </c>
      <c r="AS89" s="254">
        <v>46569</v>
      </c>
      <c r="AT89" s="5" t="s">
        <v>109</v>
      </c>
      <c r="AU89" s="5" t="s">
        <v>298</v>
      </c>
      <c r="AV89" s="78" t="s">
        <v>546</v>
      </c>
      <c r="AW89" s="5" t="s">
        <v>111</v>
      </c>
      <c r="AX89" s="5" t="s">
        <v>171</v>
      </c>
      <c r="AY89" s="5" t="s">
        <v>114</v>
      </c>
      <c r="AZ89" s="5" t="s">
        <v>130</v>
      </c>
      <c r="BA89" s="5" t="s">
        <v>253</v>
      </c>
      <c r="BB89" s="5" t="s">
        <v>253</v>
      </c>
      <c r="BC89" s="5" t="s">
        <v>253</v>
      </c>
      <c r="BD89" s="5" t="s">
        <v>111</v>
      </c>
      <c r="BE89" s="5" t="s">
        <v>111</v>
      </c>
      <c r="BF89" s="5" t="s">
        <v>111</v>
      </c>
      <c r="BG89" s="5" t="s">
        <v>114</v>
      </c>
      <c r="BH89" s="5" t="s">
        <v>111</v>
      </c>
      <c r="BI89" s="7">
        <v>46568</v>
      </c>
      <c r="BJ89" s="7">
        <v>46595</v>
      </c>
      <c r="BK89" s="5" t="s">
        <v>109</v>
      </c>
      <c r="BL89" s="5"/>
      <c r="BM89" s="5"/>
      <c r="BN89" s="5"/>
      <c r="BO89" s="5"/>
      <c r="BP89" s="5"/>
      <c r="BQ89" s="5"/>
      <c r="BR89" s="5"/>
      <c r="BS89" s="5"/>
      <c r="BT89" s="5"/>
      <c r="BU89" s="5"/>
      <c r="BV89" s="5"/>
      <c r="BW89" s="5" t="s">
        <v>184</v>
      </c>
      <c r="BX89" s="5"/>
      <c r="BY89" s="5"/>
      <c r="BZ89" s="5"/>
      <c r="CA89" s="5" t="s">
        <v>547</v>
      </c>
      <c r="CB89" s="179" t="s">
        <v>118</v>
      </c>
      <c r="CC89" s="179" t="s">
        <v>109</v>
      </c>
      <c r="CD89" s="5"/>
      <c r="CE89" s="5"/>
      <c r="CF89" s="179"/>
      <c r="CG89" s="179"/>
      <c r="CH89" s="199"/>
      <c r="CI89" s="179" t="str">
        <f t="shared" si="14"/>
        <v>Jan'25</v>
      </c>
      <c r="CJ89" s="179" t="s">
        <v>186</v>
      </c>
      <c r="CK89" s="179"/>
      <c r="CL89" s="8"/>
      <c r="CM89" s="6"/>
      <c r="CN89" s="6"/>
    </row>
    <row r="90" spans="1:92" s="6" customFormat="1" ht="94.5" customHeight="1" x14ac:dyDescent="0.25">
      <c r="A90" s="3">
        <v>235</v>
      </c>
      <c r="B90" s="206" t="s">
        <v>548</v>
      </c>
      <c r="C90" s="109" t="s">
        <v>549</v>
      </c>
      <c r="D90" s="3" t="s">
        <v>141</v>
      </c>
      <c r="E90" s="59">
        <v>1825</v>
      </c>
      <c r="F90" s="3">
        <v>8329813327</v>
      </c>
      <c r="G90" s="3" t="s">
        <v>142</v>
      </c>
      <c r="H90" s="3" t="s">
        <v>101</v>
      </c>
      <c r="I90" s="3" t="s">
        <v>143</v>
      </c>
      <c r="J90" s="3" t="s">
        <v>162</v>
      </c>
      <c r="K90" s="3" t="s">
        <v>550</v>
      </c>
      <c r="L90" s="3" t="s">
        <v>105</v>
      </c>
      <c r="M90" s="56">
        <v>45742</v>
      </c>
      <c r="N90" s="69">
        <f t="shared" ca="1" si="11"/>
        <v>435</v>
      </c>
      <c r="O90" s="72" t="str">
        <f t="shared" ca="1" si="12"/>
        <v>1-2Y</v>
      </c>
      <c r="P90" s="198" t="s">
        <v>137</v>
      </c>
      <c r="Q90" s="3" t="s">
        <v>107</v>
      </c>
      <c r="R90" s="3" t="s">
        <v>108</v>
      </c>
      <c r="S90" s="129">
        <v>40</v>
      </c>
      <c r="T90" s="129">
        <v>160</v>
      </c>
      <c r="U90" s="129">
        <f t="shared" si="13"/>
        <v>200</v>
      </c>
      <c r="V90" s="3"/>
      <c r="W90" s="3" t="s">
        <v>109</v>
      </c>
      <c r="X90" s="3" t="s">
        <v>493</v>
      </c>
      <c r="Y90" s="60"/>
      <c r="Z90" s="3" t="s">
        <v>274</v>
      </c>
      <c r="AA90" s="3"/>
      <c r="AB90" s="3"/>
      <c r="AC90" s="3"/>
      <c r="AD90" s="249">
        <f t="shared" si="16"/>
        <v>46539</v>
      </c>
      <c r="AE90" s="249">
        <f t="shared" si="17"/>
        <v>46569</v>
      </c>
      <c r="AF90" s="3" t="s">
        <v>109</v>
      </c>
      <c r="AG90" s="3"/>
      <c r="AH90" s="3"/>
      <c r="AI90" s="3" t="s">
        <v>181</v>
      </c>
      <c r="AJ90" s="3"/>
      <c r="AK90" s="3" t="s">
        <v>181</v>
      </c>
      <c r="AL90" s="45">
        <v>46539</v>
      </c>
      <c r="AM90" s="3"/>
      <c r="AN90" s="3"/>
      <c r="AO90" s="3"/>
      <c r="AP90" s="3"/>
      <c r="AQ90" s="3"/>
      <c r="AR90" s="109" t="s">
        <v>551</v>
      </c>
      <c r="AS90" s="253">
        <v>46569</v>
      </c>
      <c r="AT90" s="3" t="s">
        <v>146</v>
      </c>
      <c r="AU90" s="3" t="s">
        <v>298</v>
      </c>
      <c r="AV90" s="109" t="s">
        <v>552</v>
      </c>
      <c r="AW90" s="109" t="s">
        <v>111</v>
      </c>
      <c r="AX90" s="3" t="s">
        <v>146</v>
      </c>
      <c r="AY90" s="3" t="s">
        <v>114</v>
      </c>
      <c r="AZ90" s="3" t="s">
        <v>130</v>
      </c>
      <c r="BA90" s="3" t="s">
        <v>130</v>
      </c>
      <c r="BB90" s="3" t="s">
        <v>261</v>
      </c>
      <c r="BC90" s="3" t="s">
        <v>114</v>
      </c>
      <c r="BD90" s="3" t="s">
        <v>111</v>
      </c>
      <c r="BE90" s="3" t="s">
        <v>111</v>
      </c>
      <c r="BF90" s="3" t="s">
        <v>111</v>
      </c>
      <c r="BG90" s="59" t="s">
        <v>332</v>
      </c>
      <c r="BH90" s="59" t="s">
        <v>419</v>
      </c>
      <c r="BI90" s="45">
        <v>46568</v>
      </c>
      <c r="BJ90" s="45">
        <v>46599</v>
      </c>
      <c r="BK90" s="3" t="s">
        <v>260</v>
      </c>
      <c r="BL90" s="3" t="s">
        <v>261</v>
      </c>
      <c r="BM90" s="3"/>
      <c r="BN90" s="3"/>
      <c r="BO90" s="3"/>
      <c r="BP90" s="3"/>
      <c r="BQ90" s="3"/>
      <c r="BR90" s="3"/>
      <c r="BS90" s="3"/>
      <c r="BT90" s="3"/>
      <c r="BU90" s="3"/>
      <c r="BV90" s="3"/>
      <c r="BW90" s="3" t="s">
        <v>184</v>
      </c>
      <c r="BX90" s="3"/>
      <c r="BY90" s="3"/>
      <c r="BZ90" s="3"/>
      <c r="CA90" s="3"/>
      <c r="CB90" s="112" t="s">
        <v>118</v>
      </c>
      <c r="CC90" s="112" t="s">
        <v>109</v>
      </c>
      <c r="CD90" s="3"/>
      <c r="CE90" s="3"/>
      <c r="CF90" s="112"/>
      <c r="CG90" s="112"/>
      <c r="CH90" s="133"/>
      <c r="CI90" s="112" t="str">
        <f t="shared" si="14"/>
        <v>Mar'25</v>
      </c>
      <c r="CJ90" s="112" t="s">
        <v>107</v>
      </c>
      <c r="CK90" s="112"/>
      <c r="CL90" s="192"/>
      <c r="CM90" s="4"/>
      <c r="CN90" s="4"/>
    </row>
    <row r="91" spans="1:92" s="4" customFormat="1" ht="63" customHeight="1" x14ac:dyDescent="0.25">
      <c r="A91" s="3">
        <v>244</v>
      </c>
      <c r="B91" s="206" t="s">
        <v>553</v>
      </c>
      <c r="C91" s="109" t="s">
        <v>554</v>
      </c>
      <c r="D91" s="3" t="s">
        <v>398</v>
      </c>
      <c r="E91" s="59">
        <v>1856</v>
      </c>
      <c r="F91" s="3">
        <v>9763715716</v>
      </c>
      <c r="G91" s="3" t="s">
        <v>142</v>
      </c>
      <c r="H91" s="3" t="s">
        <v>101</v>
      </c>
      <c r="I91" s="3" t="s">
        <v>143</v>
      </c>
      <c r="J91" s="3" t="s">
        <v>162</v>
      </c>
      <c r="K91" s="3" t="s">
        <v>555</v>
      </c>
      <c r="L91" s="3" t="s">
        <v>105</v>
      </c>
      <c r="M91" s="56">
        <v>45839</v>
      </c>
      <c r="N91" s="69">
        <f t="shared" ca="1" si="11"/>
        <v>338</v>
      </c>
      <c r="O91" s="72" t="str">
        <f t="shared" ca="1" si="12"/>
        <v>6-12M</v>
      </c>
      <c r="P91" s="198" t="s">
        <v>106</v>
      </c>
      <c r="Q91" s="3" t="s">
        <v>107</v>
      </c>
      <c r="R91" s="3" t="s">
        <v>108</v>
      </c>
      <c r="S91" s="129">
        <v>30</v>
      </c>
      <c r="T91" s="129">
        <v>157</v>
      </c>
      <c r="U91" s="129">
        <f t="shared" si="13"/>
        <v>187</v>
      </c>
      <c r="V91" s="3"/>
      <c r="W91" s="3" t="s">
        <v>109</v>
      </c>
      <c r="X91" s="3" t="s">
        <v>493</v>
      </c>
      <c r="Y91" s="60"/>
      <c r="Z91" s="3" t="s">
        <v>274</v>
      </c>
      <c r="AA91" s="3"/>
      <c r="AB91" s="3"/>
      <c r="AC91" s="3"/>
      <c r="AD91" s="249">
        <f t="shared" si="16"/>
        <v>46539</v>
      </c>
      <c r="AE91" s="249">
        <f t="shared" si="17"/>
        <v>46569</v>
      </c>
      <c r="AF91" s="3" t="s">
        <v>109</v>
      </c>
      <c r="AG91" s="3"/>
      <c r="AH91" s="3"/>
      <c r="AI91" s="3"/>
      <c r="AJ91" s="3"/>
      <c r="AK91" s="3"/>
      <c r="AL91" s="45">
        <v>46539</v>
      </c>
      <c r="AM91" s="3"/>
      <c r="AN91" s="3"/>
      <c r="AO91" s="3"/>
      <c r="AP91" s="3"/>
      <c r="AQ91" s="3"/>
      <c r="AR91" s="109" t="s">
        <v>352</v>
      </c>
      <c r="AS91" s="253">
        <v>46569</v>
      </c>
      <c r="AT91" s="59" t="s">
        <v>109</v>
      </c>
      <c r="AU91" s="3" t="s">
        <v>298</v>
      </c>
      <c r="AV91" s="59" t="s">
        <v>556</v>
      </c>
      <c r="AW91" s="59" t="s">
        <v>111</v>
      </c>
      <c r="AX91" s="59" t="s">
        <v>109</v>
      </c>
      <c r="AY91" s="59" t="s">
        <v>197</v>
      </c>
      <c r="AZ91" s="59" t="s">
        <v>557</v>
      </c>
      <c r="BA91" s="59" t="s">
        <v>253</v>
      </c>
      <c r="BB91" s="59" t="s">
        <v>253</v>
      </c>
      <c r="BC91" s="59" t="s">
        <v>253</v>
      </c>
      <c r="BD91" s="59" t="s">
        <v>130</v>
      </c>
      <c r="BE91" s="59" t="s">
        <v>111</v>
      </c>
      <c r="BF91" s="59" t="s">
        <v>111</v>
      </c>
      <c r="BG91" s="59"/>
      <c r="BH91" s="59"/>
      <c r="BI91" s="243"/>
      <c r="BJ91" s="243"/>
      <c r="BK91" s="3" t="s">
        <v>109</v>
      </c>
      <c r="BL91" s="3" t="s">
        <v>199</v>
      </c>
      <c r="BM91" s="3"/>
      <c r="BN91" s="3"/>
      <c r="BO91" s="3"/>
      <c r="BP91" s="3"/>
      <c r="BQ91" s="3"/>
      <c r="BR91" s="3"/>
      <c r="BS91" s="3"/>
      <c r="BT91" s="3"/>
      <c r="BU91" s="3"/>
      <c r="BV91" s="3"/>
      <c r="BW91" s="3" t="s">
        <v>184</v>
      </c>
      <c r="BX91" s="3"/>
      <c r="BY91" s="3"/>
      <c r="BZ91" s="3"/>
      <c r="CA91" s="3"/>
      <c r="CB91" s="112" t="s">
        <v>118</v>
      </c>
      <c r="CC91" s="112" t="s">
        <v>109</v>
      </c>
      <c r="CD91" s="3"/>
      <c r="CE91" s="3"/>
      <c r="CF91" s="112"/>
      <c r="CG91" s="112"/>
      <c r="CH91" s="133"/>
      <c r="CI91" s="112" t="str">
        <f t="shared" si="14"/>
        <v>Jul'25</v>
      </c>
      <c r="CJ91" s="112" t="s">
        <v>107</v>
      </c>
      <c r="CK91" s="112"/>
      <c r="CL91" s="192"/>
    </row>
    <row r="92" spans="1:92" s="4" customFormat="1" ht="94.5" customHeight="1" x14ac:dyDescent="0.25">
      <c r="A92" s="109">
        <v>248</v>
      </c>
      <c r="B92" s="206" t="s">
        <v>558</v>
      </c>
      <c r="C92" s="109" t="s">
        <v>559</v>
      </c>
      <c r="D92" s="109" t="s">
        <v>190</v>
      </c>
      <c r="E92" s="109">
        <v>86</v>
      </c>
      <c r="F92" s="109">
        <v>9657436679</v>
      </c>
      <c r="G92" s="109" t="s">
        <v>100</v>
      </c>
      <c r="H92" s="109" t="s">
        <v>101</v>
      </c>
      <c r="I92" s="109" t="s">
        <v>102</v>
      </c>
      <c r="J92" s="109" t="s">
        <v>103</v>
      </c>
      <c r="K92" s="109" t="s">
        <v>560</v>
      </c>
      <c r="L92" s="109" t="s">
        <v>105</v>
      </c>
      <c r="M92" s="236">
        <v>45868</v>
      </c>
      <c r="N92" s="237">
        <f t="shared" ca="1" si="11"/>
        <v>309</v>
      </c>
      <c r="O92" s="237" t="str">
        <f t="shared" ca="1" si="12"/>
        <v>6-12M</v>
      </c>
      <c r="P92" s="198" t="s">
        <v>158</v>
      </c>
      <c r="Q92" s="109" t="s">
        <v>107</v>
      </c>
      <c r="R92" s="109" t="s">
        <v>108</v>
      </c>
      <c r="S92" s="129">
        <v>20</v>
      </c>
      <c r="T92" s="129">
        <v>50</v>
      </c>
      <c r="U92" s="129">
        <f t="shared" si="13"/>
        <v>70</v>
      </c>
      <c r="V92" s="109"/>
      <c r="W92" s="109" t="s">
        <v>109</v>
      </c>
      <c r="X92" s="109" t="s">
        <v>493</v>
      </c>
      <c r="Y92" s="238"/>
      <c r="Z92" s="3" t="s">
        <v>274</v>
      </c>
      <c r="AA92" s="109"/>
      <c r="AB92" s="109"/>
      <c r="AC92" s="109"/>
      <c r="AD92" s="249">
        <f t="shared" si="16"/>
        <v>46539</v>
      </c>
      <c r="AE92" s="249">
        <f t="shared" si="17"/>
        <v>46569</v>
      </c>
      <c r="AF92" s="109" t="s">
        <v>109</v>
      </c>
      <c r="AG92" s="109" t="s">
        <v>111</v>
      </c>
      <c r="AH92" s="109" t="s">
        <v>111</v>
      </c>
      <c r="AI92" s="109"/>
      <c r="AJ92" s="109"/>
      <c r="AK92" s="109"/>
      <c r="AL92" s="239">
        <v>46539</v>
      </c>
      <c r="AM92" s="109" t="s">
        <v>502</v>
      </c>
      <c r="AN92" s="109"/>
      <c r="AO92" s="109"/>
      <c r="AP92" s="109"/>
      <c r="AQ92" s="109"/>
      <c r="AR92" s="109" t="s">
        <v>502</v>
      </c>
      <c r="AS92" s="253">
        <v>46569</v>
      </c>
      <c r="AT92" s="109" t="s">
        <v>109</v>
      </c>
      <c r="AU92" s="3" t="s">
        <v>298</v>
      </c>
      <c r="AV92" s="109"/>
      <c r="AW92" s="109"/>
      <c r="AX92" s="109" t="s">
        <v>109</v>
      </c>
      <c r="AY92" s="109" t="s">
        <v>109</v>
      </c>
      <c r="AZ92" s="109" t="s">
        <v>261</v>
      </c>
      <c r="BA92" s="109" t="s">
        <v>261</v>
      </c>
      <c r="BB92" s="109" t="s">
        <v>261</v>
      </c>
      <c r="BC92" s="109" t="s">
        <v>130</v>
      </c>
      <c r="BD92" s="109" t="s">
        <v>111</v>
      </c>
      <c r="BE92" s="109" t="s">
        <v>130</v>
      </c>
      <c r="BF92" s="109" t="s">
        <v>130</v>
      </c>
      <c r="BG92" s="109" t="s">
        <v>537</v>
      </c>
      <c r="BH92" s="109"/>
      <c r="BI92" s="239"/>
      <c r="BJ92" s="239"/>
      <c r="BK92" s="109" t="s">
        <v>260</v>
      </c>
      <c r="BL92" s="109" t="s">
        <v>261</v>
      </c>
      <c r="BM92" s="109"/>
      <c r="BN92" s="109"/>
      <c r="BO92" s="109"/>
      <c r="BP92" s="109"/>
      <c r="BQ92" s="109"/>
      <c r="BR92" s="109"/>
      <c r="BS92" s="109"/>
      <c r="BT92" s="109"/>
      <c r="BU92" s="109"/>
      <c r="BV92" s="109"/>
      <c r="BW92" s="109" t="s">
        <v>184</v>
      </c>
      <c r="BX92" s="109"/>
      <c r="BY92" s="109"/>
      <c r="BZ92" s="109"/>
      <c r="CA92" s="109"/>
      <c r="CB92" s="112" t="s">
        <v>118</v>
      </c>
      <c r="CC92" s="112" t="s">
        <v>109</v>
      </c>
      <c r="CD92" s="3"/>
      <c r="CE92" s="3"/>
      <c r="CF92" s="112"/>
      <c r="CG92" s="112"/>
      <c r="CH92" s="133"/>
      <c r="CI92" s="112" t="str">
        <f t="shared" si="14"/>
        <v>Jul'25</v>
      </c>
      <c r="CJ92" s="112" t="s">
        <v>107</v>
      </c>
      <c r="CK92" s="112"/>
      <c r="CL92" s="192"/>
      <c r="CM92" s="6"/>
      <c r="CN92" s="6"/>
    </row>
    <row r="93" spans="1:92" s="4" customFormat="1" ht="46.5" customHeight="1" x14ac:dyDescent="0.25">
      <c r="A93" s="3">
        <v>252</v>
      </c>
      <c r="B93" s="206" t="s">
        <v>561</v>
      </c>
      <c r="C93" s="109" t="s">
        <v>562</v>
      </c>
      <c r="D93" s="3" t="s">
        <v>398</v>
      </c>
      <c r="E93" s="59">
        <v>1590</v>
      </c>
      <c r="F93" s="3">
        <v>9021613733</v>
      </c>
      <c r="G93" s="3" t="s">
        <v>142</v>
      </c>
      <c r="H93" s="3" t="s">
        <v>101</v>
      </c>
      <c r="I93" s="3" t="s">
        <v>143</v>
      </c>
      <c r="J93" s="3" t="s">
        <v>162</v>
      </c>
      <c r="K93" s="3" t="s">
        <v>563</v>
      </c>
      <c r="L93" s="3" t="s">
        <v>105</v>
      </c>
      <c r="M93" s="56">
        <v>45961</v>
      </c>
      <c r="N93" s="69">
        <f t="shared" ca="1" si="11"/>
        <v>216</v>
      </c>
      <c r="O93" s="72" t="str">
        <f t="shared" ca="1" si="12"/>
        <v>6-12M</v>
      </c>
      <c r="P93" s="198" t="s">
        <v>106</v>
      </c>
      <c r="Q93" s="3" t="s">
        <v>107</v>
      </c>
      <c r="R93" s="3" t="s">
        <v>164</v>
      </c>
      <c r="S93" s="129">
        <v>37</v>
      </c>
      <c r="T93" s="129">
        <v>120</v>
      </c>
      <c r="U93" s="129">
        <f t="shared" si="13"/>
        <v>157</v>
      </c>
      <c r="V93" s="3"/>
      <c r="W93" s="3" t="s">
        <v>109</v>
      </c>
      <c r="X93" s="3" t="s">
        <v>493</v>
      </c>
      <c r="Y93" s="60"/>
      <c r="Z93" s="3" t="s">
        <v>274</v>
      </c>
      <c r="AA93" s="3"/>
      <c r="AB93" s="3"/>
      <c r="AC93" s="3"/>
      <c r="AD93" s="249">
        <f t="shared" si="16"/>
        <v>46539</v>
      </c>
      <c r="AE93" s="249">
        <f t="shared" si="17"/>
        <v>46569</v>
      </c>
      <c r="AF93" s="3" t="s">
        <v>109</v>
      </c>
      <c r="AG93" s="3"/>
      <c r="AH93" s="3"/>
      <c r="AI93" s="3"/>
      <c r="AJ93" s="3"/>
      <c r="AK93" s="3"/>
      <c r="AL93" s="45">
        <v>46539</v>
      </c>
      <c r="AM93" s="3"/>
      <c r="AN93" s="3"/>
      <c r="AO93" s="3"/>
      <c r="AP93" s="3"/>
      <c r="AQ93" s="3"/>
      <c r="AR93" s="109" t="s">
        <v>564</v>
      </c>
      <c r="AS93" s="253">
        <v>46569</v>
      </c>
      <c r="AT93" s="59" t="s">
        <v>109</v>
      </c>
      <c r="AU93" s="59" t="s">
        <v>565</v>
      </c>
      <c r="AV93" s="59" t="s">
        <v>564</v>
      </c>
      <c r="AW93" s="59" t="s">
        <v>171</v>
      </c>
      <c r="AX93" s="59" t="s">
        <v>111</v>
      </c>
      <c r="AY93" s="59" t="s">
        <v>111</v>
      </c>
      <c r="AZ93" s="59" t="s">
        <v>111</v>
      </c>
      <c r="BA93" s="59" t="s">
        <v>111</v>
      </c>
      <c r="BB93" s="59" t="s">
        <v>111</v>
      </c>
      <c r="BC93" s="59" t="s">
        <v>111</v>
      </c>
      <c r="BD93" s="59" t="s">
        <v>111</v>
      </c>
      <c r="BE93" s="59" t="s">
        <v>111</v>
      </c>
      <c r="BF93" s="59" t="s">
        <v>111</v>
      </c>
      <c r="BG93" s="59" t="s">
        <v>111</v>
      </c>
      <c r="BH93" s="59" t="s">
        <v>111</v>
      </c>
      <c r="BI93" s="243" t="s">
        <v>111</v>
      </c>
      <c r="BJ93" s="243" t="s">
        <v>111</v>
      </c>
      <c r="BK93" s="3"/>
      <c r="BL93" s="3"/>
      <c r="BM93" s="3"/>
      <c r="BN93" s="3"/>
      <c r="BO93" s="3"/>
      <c r="BP93" s="3"/>
      <c r="BQ93" s="3"/>
      <c r="BR93" s="3"/>
      <c r="BS93" s="3"/>
      <c r="BT93" s="3"/>
      <c r="BU93" s="3"/>
      <c r="BV93" s="3"/>
      <c r="BW93" s="3" t="s">
        <v>184</v>
      </c>
      <c r="BX93" s="3"/>
      <c r="BY93" s="3"/>
      <c r="BZ93" s="3"/>
      <c r="CA93" s="3"/>
      <c r="CB93" s="112" t="s">
        <v>118</v>
      </c>
      <c r="CC93" s="112" t="s">
        <v>109</v>
      </c>
      <c r="CD93" s="3"/>
      <c r="CE93" s="3"/>
      <c r="CF93" s="112"/>
      <c r="CG93" s="112"/>
      <c r="CH93" s="133"/>
      <c r="CI93" s="112" t="str">
        <f t="shared" si="14"/>
        <v>Oct'25</v>
      </c>
      <c r="CJ93" s="112" t="s">
        <v>107</v>
      </c>
      <c r="CK93" s="112"/>
      <c r="CL93" s="192"/>
    </row>
    <row r="94" spans="1:92" s="6" customFormat="1" ht="94.5" customHeight="1" x14ac:dyDescent="0.25">
      <c r="A94" s="3">
        <v>260</v>
      </c>
      <c r="B94" s="206" t="s">
        <v>566</v>
      </c>
      <c r="C94" s="109" t="s">
        <v>567</v>
      </c>
      <c r="D94" s="3" t="s">
        <v>141</v>
      </c>
      <c r="E94" s="59">
        <v>1678</v>
      </c>
      <c r="F94" s="3">
        <v>9552595582</v>
      </c>
      <c r="G94" s="3" t="s">
        <v>142</v>
      </c>
      <c r="H94" s="3" t="s">
        <v>101</v>
      </c>
      <c r="I94" s="3" t="s">
        <v>143</v>
      </c>
      <c r="J94" s="3" t="s">
        <v>162</v>
      </c>
      <c r="K94" s="3" t="s">
        <v>568</v>
      </c>
      <c r="L94" s="3" t="s">
        <v>105</v>
      </c>
      <c r="M94" s="56">
        <v>46071</v>
      </c>
      <c r="N94" s="69">
        <f t="shared" ca="1" si="11"/>
        <v>106</v>
      </c>
      <c r="O94" s="72" t="str">
        <f t="shared" ca="1" si="12"/>
        <v>0-6M</v>
      </c>
      <c r="P94" s="198" t="s">
        <v>137</v>
      </c>
      <c r="Q94" s="3" t="s">
        <v>107</v>
      </c>
      <c r="R94" s="3" t="s">
        <v>164</v>
      </c>
      <c r="S94" s="129">
        <v>40</v>
      </c>
      <c r="T94" s="129">
        <v>120</v>
      </c>
      <c r="U94" s="129">
        <f t="shared" si="13"/>
        <v>160</v>
      </c>
      <c r="V94" s="3"/>
      <c r="W94" s="3" t="s">
        <v>109</v>
      </c>
      <c r="X94" s="3" t="s">
        <v>493</v>
      </c>
      <c r="Y94" s="60"/>
      <c r="Z94" s="3" t="s">
        <v>274</v>
      </c>
      <c r="AA94" s="3"/>
      <c r="AB94" s="3"/>
      <c r="AC94" s="3"/>
      <c r="AD94" s="249">
        <f t="shared" si="16"/>
        <v>46539</v>
      </c>
      <c r="AE94" s="249">
        <f t="shared" si="17"/>
        <v>46569</v>
      </c>
      <c r="AF94" s="3" t="s">
        <v>109</v>
      </c>
      <c r="AG94" s="3"/>
      <c r="AH94" s="3"/>
      <c r="AI94" s="3"/>
      <c r="AJ94" s="3"/>
      <c r="AK94" s="3"/>
      <c r="AL94" s="45">
        <v>46539</v>
      </c>
      <c r="AM94" s="3"/>
      <c r="AN94" s="3"/>
      <c r="AO94" s="3"/>
      <c r="AP94" s="3"/>
      <c r="AQ94" s="3"/>
      <c r="AR94" s="109"/>
      <c r="AS94" s="253">
        <v>46569</v>
      </c>
      <c r="AT94" s="3" t="s">
        <v>146</v>
      </c>
      <c r="AU94" s="3" t="s">
        <v>298</v>
      </c>
      <c r="AV94" s="109" t="s">
        <v>569</v>
      </c>
      <c r="AW94" s="109" t="s">
        <v>111</v>
      </c>
      <c r="AX94" s="3" t="s">
        <v>419</v>
      </c>
      <c r="AY94" s="3" t="s">
        <v>114</v>
      </c>
      <c r="AZ94" s="3" t="s">
        <v>261</v>
      </c>
      <c r="BA94" s="3" t="s">
        <v>261</v>
      </c>
      <c r="BB94" s="3" t="s">
        <v>261</v>
      </c>
      <c r="BC94" s="3" t="s">
        <v>261</v>
      </c>
      <c r="BD94" s="3" t="s">
        <v>111</v>
      </c>
      <c r="BE94" s="3" t="s">
        <v>111</v>
      </c>
      <c r="BF94" s="3" t="s">
        <v>111</v>
      </c>
      <c r="BG94" s="59" t="s">
        <v>332</v>
      </c>
      <c r="BH94" s="59" t="s">
        <v>419</v>
      </c>
      <c r="BI94" s="45">
        <v>46568</v>
      </c>
      <c r="BJ94" s="45">
        <v>46599</v>
      </c>
      <c r="BK94" s="3"/>
      <c r="BL94" s="3"/>
      <c r="BM94" s="3"/>
      <c r="BN94" s="3"/>
      <c r="BO94" s="3"/>
      <c r="BP94" s="3"/>
      <c r="BQ94" s="3"/>
      <c r="BR94" s="3"/>
      <c r="BS94" s="3"/>
      <c r="BT94" s="3"/>
      <c r="BU94" s="3"/>
      <c r="BV94" s="3"/>
      <c r="BW94" s="3" t="s">
        <v>184</v>
      </c>
      <c r="BX94" s="3"/>
      <c r="BY94" s="3"/>
      <c r="BZ94" s="3"/>
      <c r="CA94" s="3"/>
      <c r="CB94" s="112" t="s">
        <v>118</v>
      </c>
      <c r="CC94" s="112" t="s">
        <v>109</v>
      </c>
      <c r="CD94" s="3"/>
      <c r="CE94" s="3"/>
      <c r="CF94" s="112"/>
      <c r="CG94" s="112"/>
      <c r="CH94" s="133"/>
      <c r="CI94" s="112" t="str">
        <f t="shared" si="14"/>
        <v>Feb'26</v>
      </c>
      <c r="CJ94" s="112" t="s">
        <v>107</v>
      </c>
      <c r="CK94" s="112"/>
      <c r="CL94" s="192"/>
      <c r="CM94" s="4"/>
      <c r="CN94" s="4"/>
    </row>
    <row r="95" spans="1:92" s="4" customFormat="1" ht="94.5" customHeight="1" x14ac:dyDescent="0.25">
      <c r="A95" s="109">
        <v>264</v>
      </c>
      <c r="B95" s="210" t="s">
        <v>570</v>
      </c>
      <c r="C95" s="109" t="s">
        <v>571</v>
      </c>
      <c r="D95" s="109" t="s">
        <v>190</v>
      </c>
      <c r="E95" s="109">
        <v>91</v>
      </c>
      <c r="F95" s="109">
        <v>7972678127</v>
      </c>
      <c r="G95" s="109" t="s">
        <v>142</v>
      </c>
      <c r="H95" s="109" t="s">
        <v>101</v>
      </c>
      <c r="I95" s="109" t="s">
        <v>143</v>
      </c>
      <c r="J95" s="109" t="s">
        <v>162</v>
      </c>
      <c r="K95" s="109" t="s">
        <v>572</v>
      </c>
      <c r="L95" s="109" t="s">
        <v>105</v>
      </c>
      <c r="M95" s="236">
        <v>46099</v>
      </c>
      <c r="N95" s="109">
        <f t="shared" ca="1" si="11"/>
        <v>78</v>
      </c>
      <c r="O95" s="109" t="str">
        <f t="shared" ca="1" si="12"/>
        <v>0-6M</v>
      </c>
      <c r="P95" s="59" t="s">
        <v>158</v>
      </c>
      <c r="Q95" s="109" t="s">
        <v>180</v>
      </c>
      <c r="R95" s="109" t="s">
        <v>164</v>
      </c>
      <c r="S95" s="261">
        <v>25</v>
      </c>
      <c r="T95" s="261">
        <v>125</v>
      </c>
      <c r="U95" s="129">
        <f t="shared" si="13"/>
        <v>150</v>
      </c>
      <c r="V95" s="109"/>
      <c r="W95" s="109" t="s">
        <v>109</v>
      </c>
      <c r="X95" s="109" t="s">
        <v>493</v>
      </c>
      <c r="Y95" s="109"/>
      <c r="Z95" s="3" t="s">
        <v>274</v>
      </c>
      <c r="AA95" s="109"/>
      <c r="AB95" s="109"/>
      <c r="AC95" s="109"/>
      <c r="AD95" s="129">
        <f t="shared" si="16"/>
        <v>46539</v>
      </c>
      <c r="AE95" s="249">
        <f t="shared" si="17"/>
        <v>46569</v>
      </c>
      <c r="AF95" s="109" t="s">
        <v>109</v>
      </c>
      <c r="AG95" s="109" t="s">
        <v>111</v>
      </c>
      <c r="AH95" s="109" t="s">
        <v>111</v>
      </c>
      <c r="AI95" s="109"/>
      <c r="AJ95" s="109"/>
      <c r="AK95" s="109"/>
      <c r="AL95" s="239">
        <v>46539</v>
      </c>
      <c r="AM95" s="109"/>
      <c r="AN95" s="109"/>
      <c r="AO95" s="109"/>
      <c r="AP95" s="109"/>
      <c r="AQ95" s="109"/>
      <c r="AR95" s="109"/>
      <c r="AS95" s="253">
        <v>46569</v>
      </c>
      <c r="AT95" s="109" t="s">
        <v>109</v>
      </c>
      <c r="AU95" s="3" t="s">
        <v>298</v>
      </c>
      <c r="AV95" s="109"/>
      <c r="AW95" s="109"/>
      <c r="AX95" s="109" t="s">
        <v>171</v>
      </c>
      <c r="AY95" s="109" t="s">
        <v>130</v>
      </c>
      <c r="AZ95" s="109" t="s">
        <v>261</v>
      </c>
      <c r="BA95" s="109" t="s">
        <v>261</v>
      </c>
      <c r="BB95" s="109" t="s">
        <v>261</v>
      </c>
      <c r="BC95" s="109" t="s">
        <v>261</v>
      </c>
      <c r="BD95" s="109" t="s">
        <v>111</v>
      </c>
      <c r="BE95" s="109" t="s">
        <v>261</v>
      </c>
      <c r="BF95" s="109" t="s">
        <v>261</v>
      </c>
      <c r="BG95" s="109" t="s">
        <v>234</v>
      </c>
      <c r="BH95" s="109"/>
      <c r="BI95" s="109"/>
      <c r="BJ95" s="109"/>
      <c r="BK95" s="109"/>
      <c r="BL95" s="109"/>
      <c r="BM95" s="109"/>
      <c r="BN95" s="109"/>
      <c r="BO95" s="109"/>
      <c r="BP95" s="109"/>
      <c r="BQ95" s="109"/>
      <c r="BR95" s="109"/>
      <c r="BS95" s="109"/>
      <c r="BT95" s="109"/>
      <c r="BU95" s="109"/>
      <c r="BV95" s="109"/>
      <c r="BW95" s="109" t="s">
        <v>184</v>
      </c>
      <c r="BX95" s="109"/>
      <c r="BY95" s="109"/>
      <c r="BZ95" s="109" t="s">
        <v>279</v>
      </c>
      <c r="CA95" s="109"/>
      <c r="CB95" s="112" t="s">
        <v>118</v>
      </c>
      <c r="CC95" s="112" t="s">
        <v>109</v>
      </c>
      <c r="CD95" s="3"/>
      <c r="CE95" s="3"/>
      <c r="CF95" s="112"/>
      <c r="CG95" s="112"/>
      <c r="CH95" s="133"/>
      <c r="CI95" s="112" t="str">
        <f t="shared" si="14"/>
        <v>Mar'26</v>
      </c>
      <c r="CJ95" s="112" t="s">
        <v>186</v>
      </c>
      <c r="CK95" s="112"/>
      <c r="CL95" s="192"/>
    </row>
    <row r="96" spans="1:92" s="4" customFormat="1" ht="54" customHeight="1" x14ac:dyDescent="0.25">
      <c r="A96" s="3">
        <v>31</v>
      </c>
      <c r="B96" s="206" t="s">
        <v>573</v>
      </c>
      <c r="C96" s="109" t="s">
        <v>574</v>
      </c>
      <c r="D96" s="3" t="s">
        <v>220</v>
      </c>
      <c r="E96" s="59"/>
      <c r="F96" s="3">
        <v>9764750909</v>
      </c>
      <c r="G96" s="3" t="s">
        <v>142</v>
      </c>
      <c r="H96" s="3" t="s">
        <v>122</v>
      </c>
      <c r="I96" s="3" t="s">
        <v>143</v>
      </c>
      <c r="J96" s="3" t="s">
        <v>144</v>
      </c>
      <c r="K96" s="3" t="s">
        <v>575</v>
      </c>
      <c r="L96" s="3" t="s">
        <v>179</v>
      </c>
      <c r="M96" s="56">
        <v>43951</v>
      </c>
      <c r="N96" s="69">
        <f t="shared" ca="1" si="11"/>
        <v>2226</v>
      </c>
      <c r="O96" s="72" t="str">
        <f t="shared" ca="1" si="12"/>
        <v>&gt;5Y</v>
      </c>
      <c r="P96" s="198" t="s">
        <v>106</v>
      </c>
      <c r="Q96" s="3" t="s">
        <v>192</v>
      </c>
      <c r="R96" s="3" t="s">
        <v>108</v>
      </c>
      <c r="S96" s="129">
        <v>25</v>
      </c>
      <c r="T96" s="129">
        <v>130</v>
      </c>
      <c r="U96" s="129">
        <f t="shared" si="13"/>
        <v>155</v>
      </c>
      <c r="V96" s="3"/>
      <c r="W96" s="3" t="s">
        <v>109</v>
      </c>
      <c r="X96" s="3" t="s">
        <v>493</v>
      </c>
      <c r="Y96" s="60"/>
      <c r="Z96" s="3"/>
      <c r="AA96" s="3"/>
      <c r="AB96" s="3"/>
      <c r="AC96" s="3"/>
      <c r="AD96" s="249">
        <f t="shared" si="16"/>
        <v>46539</v>
      </c>
      <c r="AE96" s="249">
        <f t="shared" si="17"/>
        <v>46570</v>
      </c>
      <c r="AF96" s="3" t="s">
        <v>109</v>
      </c>
      <c r="AG96" s="3"/>
      <c r="AH96" s="3"/>
      <c r="AI96" s="3" t="s">
        <v>115</v>
      </c>
      <c r="AJ96" s="3" t="s">
        <v>115</v>
      </c>
      <c r="AK96" s="3" t="s">
        <v>181</v>
      </c>
      <c r="AL96" s="45">
        <v>46539</v>
      </c>
      <c r="AM96" s="3" t="s">
        <v>109</v>
      </c>
      <c r="AN96" s="3" t="s">
        <v>109</v>
      </c>
      <c r="AO96" s="3"/>
      <c r="AP96" s="3"/>
      <c r="AQ96" s="3"/>
      <c r="AR96" s="109" t="s">
        <v>352</v>
      </c>
      <c r="AS96" s="249">
        <f t="shared" ref="AS96:AS122" si="18">+AL96+31</f>
        <v>46570</v>
      </c>
      <c r="AT96" s="3" t="s">
        <v>109</v>
      </c>
      <c r="AU96" s="3" t="s">
        <v>171</v>
      </c>
      <c r="AV96" s="3" t="s">
        <v>576</v>
      </c>
      <c r="AW96" s="3" t="s">
        <v>171</v>
      </c>
      <c r="AX96" s="3" t="s">
        <v>109</v>
      </c>
      <c r="AY96" s="3"/>
      <c r="AZ96" s="3"/>
      <c r="BA96" s="3"/>
      <c r="BB96" s="3">
        <v>0</v>
      </c>
      <c r="BC96" s="3"/>
      <c r="BD96" s="3"/>
      <c r="BE96" s="3"/>
      <c r="BF96" s="3"/>
      <c r="BG96" s="59"/>
      <c r="BH96" s="59"/>
      <c r="BI96" s="45"/>
      <c r="BJ96" s="45"/>
      <c r="BK96" s="3" t="s">
        <v>109</v>
      </c>
      <c r="BL96" s="3" t="s">
        <v>199</v>
      </c>
      <c r="BM96" s="3" t="s">
        <v>111</v>
      </c>
      <c r="BN96" s="3" t="s">
        <v>111</v>
      </c>
      <c r="BO96" s="3" t="s">
        <v>115</v>
      </c>
      <c r="BP96" s="3"/>
      <c r="BQ96" s="3"/>
      <c r="BR96" s="3"/>
      <c r="BS96" s="3"/>
      <c r="BT96" s="3"/>
      <c r="BU96" s="3"/>
      <c r="BV96" s="3"/>
      <c r="BW96" s="3" t="s">
        <v>184</v>
      </c>
      <c r="BX96" s="3"/>
      <c r="BY96" s="3"/>
      <c r="BZ96" s="3"/>
      <c r="CA96" s="3"/>
      <c r="CB96" s="112" t="s">
        <v>185</v>
      </c>
      <c r="CC96" s="112" t="s">
        <v>109</v>
      </c>
      <c r="CD96" s="3"/>
      <c r="CE96" s="3"/>
      <c r="CF96" s="112"/>
      <c r="CG96" s="112"/>
      <c r="CH96" s="133"/>
      <c r="CI96" s="112" t="str">
        <f t="shared" si="14"/>
        <v>Apr'20</v>
      </c>
      <c r="CJ96" s="112" t="s">
        <v>192</v>
      </c>
      <c r="CK96" s="112"/>
      <c r="CL96" s="192"/>
      <c r="CM96" s="6"/>
      <c r="CN96" s="6"/>
    </row>
    <row r="97" spans="1:92" s="4" customFormat="1" ht="94.5" customHeight="1" x14ac:dyDescent="0.25">
      <c r="A97" s="3">
        <v>43</v>
      </c>
      <c r="B97" s="206" t="s">
        <v>577</v>
      </c>
      <c r="C97" s="109" t="s">
        <v>578</v>
      </c>
      <c r="D97" s="3" t="s">
        <v>121</v>
      </c>
      <c r="E97" s="59" t="s">
        <v>579</v>
      </c>
      <c r="F97" s="3">
        <v>8600400101</v>
      </c>
      <c r="G97" s="3" t="s">
        <v>100</v>
      </c>
      <c r="H97" s="3" t="s">
        <v>122</v>
      </c>
      <c r="I97" s="3" t="s">
        <v>102</v>
      </c>
      <c r="J97" s="3" t="s">
        <v>123</v>
      </c>
      <c r="K97" s="3" t="s">
        <v>580</v>
      </c>
      <c r="L97" s="3" t="s">
        <v>179</v>
      </c>
      <c r="M97" s="56">
        <v>44417</v>
      </c>
      <c r="N97" s="69">
        <f t="shared" ca="1" si="11"/>
        <v>1760</v>
      </c>
      <c r="O97" s="72" t="str">
        <f t="shared" ca="1" si="12"/>
        <v>4-5Y</v>
      </c>
      <c r="P97" s="198" t="s">
        <v>106</v>
      </c>
      <c r="Q97" s="3" t="s">
        <v>125</v>
      </c>
      <c r="R97" s="3" t="s">
        <v>164</v>
      </c>
      <c r="S97" s="129">
        <v>6</v>
      </c>
      <c r="T97" s="129">
        <v>40</v>
      </c>
      <c r="U97" s="129">
        <f t="shared" si="13"/>
        <v>46</v>
      </c>
      <c r="V97" s="3"/>
      <c r="W97" s="3" t="s">
        <v>109</v>
      </c>
      <c r="X97" s="3" t="s">
        <v>493</v>
      </c>
      <c r="Y97" s="60">
        <f>+IF(AO97="Approved","Yes",AS97)</f>
        <v>46570</v>
      </c>
      <c r="Z97" s="3"/>
      <c r="AA97" s="3"/>
      <c r="AB97" s="3"/>
      <c r="AC97" s="3"/>
      <c r="AD97" s="249">
        <f t="shared" si="16"/>
        <v>46539</v>
      </c>
      <c r="AE97" s="249">
        <f t="shared" si="17"/>
        <v>46570</v>
      </c>
      <c r="AF97" s="3" t="s">
        <v>109</v>
      </c>
      <c r="AG97" s="3"/>
      <c r="AH97" s="3"/>
      <c r="AI97" s="3" t="s">
        <v>115</v>
      </c>
      <c r="AJ97" s="3" t="s">
        <v>115</v>
      </c>
      <c r="AK97" s="3" t="s">
        <v>181</v>
      </c>
      <c r="AL97" s="45">
        <v>46539</v>
      </c>
      <c r="AM97" s="3" t="s">
        <v>109</v>
      </c>
      <c r="AN97" s="3" t="s">
        <v>109</v>
      </c>
      <c r="AO97" s="3"/>
      <c r="AP97" s="3"/>
      <c r="AQ97" s="3"/>
      <c r="AR97" s="109" t="s">
        <v>581</v>
      </c>
      <c r="AS97" s="249">
        <f t="shared" si="18"/>
        <v>46570</v>
      </c>
      <c r="AT97" s="3" t="s">
        <v>109</v>
      </c>
      <c r="AU97" s="3" t="s">
        <v>298</v>
      </c>
      <c r="AV97" s="3"/>
      <c r="AW97" s="3" t="s">
        <v>111</v>
      </c>
      <c r="AX97" s="3" t="s">
        <v>109</v>
      </c>
      <c r="AY97" s="3" t="s">
        <v>109</v>
      </c>
      <c r="AZ97" s="3" t="s">
        <v>130</v>
      </c>
      <c r="BA97" s="3" t="s">
        <v>130</v>
      </c>
      <c r="BB97" s="3" t="s">
        <v>130</v>
      </c>
      <c r="BC97" s="3" t="s">
        <v>130</v>
      </c>
      <c r="BD97" s="3" t="s">
        <v>130</v>
      </c>
      <c r="BE97" s="3" t="s">
        <v>111</v>
      </c>
      <c r="BF97" s="3" t="s">
        <v>111</v>
      </c>
      <c r="BG97" s="198" t="s">
        <v>234</v>
      </c>
      <c r="BH97" s="198" t="s">
        <v>171</v>
      </c>
      <c r="BI97" s="45">
        <v>46539</v>
      </c>
      <c r="BJ97" s="45">
        <v>46569</v>
      </c>
      <c r="BK97" s="3" t="s">
        <v>109</v>
      </c>
      <c r="BL97" s="3" t="s">
        <v>199</v>
      </c>
      <c r="BM97" s="3" t="s">
        <v>111</v>
      </c>
      <c r="BN97" s="3" t="s">
        <v>111</v>
      </c>
      <c r="BO97" s="3" t="s">
        <v>115</v>
      </c>
      <c r="BP97" s="3"/>
      <c r="BQ97" s="3"/>
      <c r="BR97" s="3"/>
      <c r="BS97" s="3"/>
      <c r="BT97" s="3"/>
      <c r="BU97" s="3"/>
      <c r="BV97" s="3"/>
      <c r="BW97" s="3" t="s">
        <v>184</v>
      </c>
      <c r="BX97" s="3"/>
      <c r="BY97" s="3"/>
      <c r="BZ97" s="3"/>
      <c r="CA97" s="3"/>
      <c r="CB97" s="112" t="s">
        <v>185</v>
      </c>
      <c r="CC97" s="112" t="s">
        <v>109</v>
      </c>
      <c r="CD97" s="3"/>
      <c r="CE97" s="3"/>
      <c r="CF97" s="112"/>
      <c r="CG97" s="112"/>
      <c r="CH97" s="133"/>
      <c r="CI97" s="112" t="str">
        <f t="shared" si="14"/>
        <v>Aug'21</v>
      </c>
      <c r="CJ97" s="112" t="s">
        <v>132</v>
      </c>
      <c r="CK97" s="112"/>
      <c r="CL97" s="192"/>
    </row>
    <row r="98" spans="1:92" s="4" customFormat="1" ht="94.5" customHeight="1" x14ac:dyDescent="0.25">
      <c r="A98" s="3">
        <v>68</v>
      </c>
      <c r="B98" s="206" t="s">
        <v>582</v>
      </c>
      <c r="C98" s="109" t="s">
        <v>583</v>
      </c>
      <c r="D98" s="3" t="s">
        <v>398</v>
      </c>
      <c r="E98" s="59"/>
      <c r="F98" s="3">
        <v>9503035055</v>
      </c>
      <c r="G98" s="3" t="s">
        <v>100</v>
      </c>
      <c r="H98" s="3" t="s">
        <v>122</v>
      </c>
      <c r="I98" s="3" t="s">
        <v>102</v>
      </c>
      <c r="J98" s="3" t="s">
        <v>123</v>
      </c>
      <c r="K98" s="3" t="s">
        <v>584</v>
      </c>
      <c r="L98" s="3" t="s">
        <v>179</v>
      </c>
      <c r="M98" s="56">
        <v>45099</v>
      </c>
      <c r="N98" s="69">
        <f t="shared" ca="1" si="11"/>
        <v>1078</v>
      </c>
      <c r="O98" s="72" t="str">
        <f t="shared" ca="1" si="12"/>
        <v>2-3Y</v>
      </c>
      <c r="P98" s="198" t="s">
        <v>106</v>
      </c>
      <c r="Q98" s="3" t="s">
        <v>192</v>
      </c>
      <c r="R98" s="3" t="s">
        <v>108</v>
      </c>
      <c r="S98" s="129">
        <v>6</v>
      </c>
      <c r="T98" s="129">
        <v>40</v>
      </c>
      <c r="U98" s="129">
        <f t="shared" si="13"/>
        <v>46</v>
      </c>
      <c r="V98" s="3"/>
      <c r="W98" s="3" t="s">
        <v>109</v>
      </c>
      <c r="X98" s="3" t="s">
        <v>493</v>
      </c>
      <c r="Y98" s="60"/>
      <c r="Z98" s="3"/>
      <c r="AA98" s="3"/>
      <c r="AB98" s="3"/>
      <c r="AC98" s="3"/>
      <c r="AD98" s="249">
        <f t="shared" si="16"/>
        <v>46539</v>
      </c>
      <c r="AE98" s="249">
        <f t="shared" si="17"/>
        <v>46570</v>
      </c>
      <c r="AF98" s="3" t="s">
        <v>109</v>
      </c>
      <c r="AG98" s="3" t="s">
        <v>581</v>
      </c>
      <c r="AH98" s="3"/>
      <c r="AI98" s="3" t="s">
        <v>115</v>
      </c>
      <c r="AJ98" s="3" t="s">
        <v>115</v>
      </c>
      <c r="AK98" s="3" t="s">
        <v>181</v>
      </c>
      <c r="AL98" s="45">
        <v>46539</v>
      </c>
      <c r="AM98" s="3" t="s">
        <v>109</v>
      </c>
      <c r="AN98" s="3" t="s">
        <v>109</v>
      </c>
      <c r="AO98" s="3"/>
      <c r="AP98" s="3"/>
      <c r="AQ98" s="3"/>
      <c r="AR98" s="109" t="s">
        <v>352</v>
      </c>
      <c r="AS98" s="249">
        <f t="shared" si="18"/>
        <v>46570</v>
      </c>
      <c r="AT98" s="59"/>
      <c r="AU98" s="59" t="s">
        <v>298</v>
      </c>
      <c r="AV98" s="59"/>
      <c r="AW98" s="59"/>
      <c r="AX98" s="59"/>
      <c r="AY98" s="59"/>
      <c r="AZ98" s="59"/>
      <c r="BA98" s="59"/>
      <c r="BB98" s="59"/>
      <c r="BC98" s="59"/>
      <c r="BD98" s="59"/>
      <c r="BE98" s="59"/>
      <c r="BF98" s="59"/>
      <c r="BG98" s="59"/>
      <c r="BH98" s="59"/>
      <c r="BI98" s="243"/>
      <c r="BJ98" s="243"/>
      <c r="BK98" s="3" t="s">
        <v>109</v>
      </c>
      <c r="BL98" s="3" t="s">
        <v>199</v>
      </c>
      <c r="BM98" s="3" t="s">
        <v>111</v>
      </c>
      <c r="BN98" s="3" t="s">
        <v>111</v>
      </c>
      <c r="BO98" s="3" t="s">
        <v>115</v>
      </c>
      <c r="BP98" s="3"/>
      <c r="BQ98" s="3"/>
      <c r="BR98" s="3"/>
      <c r="BS98" s="3"/>
      <c r="BT98" s="3"/>
      <c r="BU98" s="3"/>
      <c r="BV98" s="3"/>
      <c r="BW98" s="3" t="s">
        <v>184</v>
      </c>
      <c r="BX98" s="3"/>
      <c r="BY98" s="3"/>
      <c r="BZ98" s="3"/>
      <c r="CA98" s="3"/>
      <c r="CB98" s="112" t="s">
        <v>185</v>
      </c>
      <c r="CC98" s="112" t="s">
        <v>109</v>
      </c>
      <c r="CD98" s="3"/>
      <c r="CE98" s="3"/>
      <c r="CF98" s="112"/>
      <c r="CG98" s="112"/>
      <c r="CH98" s="133"/>
      <c r="CI98" s="112" t="str">
        <f t="shared" si="14"/>
        <v>Jun'23</v>
      </c>
      <c r="CJ98" s="112" t="s">
        <v>192</v>
      </c>
      <c r="CK98" s="112"/>
      <c r="CL98" s="192"/>
    </row>
    <row r="99" spans="1:92" s="4" customFormat="1" ht="94.5" customHeight="1" x14ac:dyDescent="0.25">
      <c r="A99" s="3">
        <v>73</v>
      </c>
      <c r="B99" s="206" t="s">
        <v>585</v>
      </c>
      <c r="C99" s="109" t="s">
        <v>586</v>
      </c>
      <c r="D99" s="3" t="s">
        <v>220</v>
      </c>
      <c r="E99" s="59" t="s">
        <v>587</v>
      </c>
      <c r="F99" s="3">
        <v>9850581349</v>
      </c>
      <c r="G99" s="3" t="s">
        <v>142</v>
      </c>
      <c r="H99" s="3" t="s">
        <v>122</v>
      </c>
      <c r="I99" s="3" t="s">
        <v>143</v>
      </c>
      <c r="J99" s="3" t="s">
        <v>144</v>
      </c>
      <c r="K99" s="3" t="s">
        <v>588</v>
      </c>
      <c r="L99" s="3" t="s">
        <v>105</v>
      </c>
      <c r="M99" s="56">
        <v>45258</v>
      </c>
      <c r="N99" s="69">
        <f t="shared" ca="1" si="11"/>
        <v>919</v>
      </c>
      <c r="O99" s="72" t="str">
        <f t="shared" ca="1" si="12"/>
        <v>2-3Y</v>
      </c>
      <c r="P99" s="198" t="s">
        <v>106</v>
      </c>
      <c r="Q99" s="3" t="s">
        <v>125</v>
      </c>
      <c r="R99" s="3" t="s">
        <v>108</v>
      </c>
      <c r="S99" s="129">
        <v>30</v>
      </c>
      <c r="T99" s="129">
        <v>131</v>
      </c>
      <c r="U99" s="129">
        <f t="shared" si="13"/>
        <v>161</v>
      </c>
      <c r="V99" s="3"/>
      <c r="W99" s="3" t="s">
        <v>109</v>
      </c>
      <c r="X99" s="3" t="s">
        <v>493</v>
      </c>
      <c r="Y99" s="60">
        <f>+IF(AO99="Approved","Yes",AS99)</f>
        <v>46570</v>
      </c>
      <c r="Z99" s="3"/>
      <c r="AA99" s="3"/>
      <c r="AB99" s="3"/>
      <c r="AC99" s="3"/>
      <c r="AD99" s="249">
        <f t="shared" si="16"/>
        <v>46539</v>
      </c>
      <c r="AE99" s="249">
        <f t="shared" si="17"/>
        <v>46570</v>
      </c>
      <c r="AF99" s="3"/>
      <c r="AG99" s="3" t="s">
        <v>589</v>
      </c>
      <c r="AH99" s="3"/>
      <c r="AI99" s="3" t="s">
        <v>115</v>
      </c>
      <c r="AJ99" s="3" t="s">
        <v>115</v>
      </c>
      <c r="AK99" s="3" t="s">
        <v>181</v>
      </c>
      <c r="AL99" s="45">
        <v>46539</v>
      </c>
      <c r="AM99" s="3" t="s">
        <v>109</v>
      </c>
      <c r="AN99" s="3" t="s">
        <v>109</v>
      </c>
      <c r="AO99" s="3"/>
      <c r="AP99" s="3"/>
      <c r="AQ99" s="3"/>
      <c r="AR99" s="109" t="s">
        <v>352</v>
      </c>
      <c r="AS99" s="249">
        <f t="shared" si="18"/>
        <v>46570</v>
      </c>
      <c r="AT99" s="3" t="s">
        <v>109</v>
      </c>
      <c r="AU99" s="3" t="s">
        <v>298</v>
      </c>
      <c r="AV99" s="3" t="s">
        <v>590</v>
      </c>
      <c r="AW99" s="3" t="s">
        <v>171</v>
      </c>
      <c r="AX99" s="3" t="s">
        <v>109</v>
      </c>
      <c r="AY99" s="3" t="s">
        <v>109</v>
      </c>
      <c r="AZ99" s="3" t="s">
        <v>109</v>
      </c>
      <c r="BA99" s="3"/>
      <c r="BB99" s="3">
        <v>45992</v>
      </c>
      <c r="BC99" s="3"/>
      <c r="BD99" s="3"/>
      <c r="BE99" s="3"/>
      <c r="BF99" s="3"/>
      <c r="BG99" s="59"/>
      <c r="BH99" s="59"/>
      <c r="BI99" s="45"/>
      <c r="BJ99" s="45"/>
      <c r="BK99" s="3" t="s">
        <v>109</v>
      </c>
      <c r="BL99" s="3" t="e">
        <v>#N/A</v>
      </c>
      <c r="BM99" s="3" t="s">
        <v>111</v>
      </c>
      <c r="BN99" s="3" t="s">
        <v>111</v>
      </c>
      <c r="BO99" s="3" t="s">
        <v>115</v>
      </c>
      <c r="BP99" s="3"/>
      <c r="BQ99" s="3"/>
      <c r="BR99" s="3"/>
      <c r="BS99" s="3"/>
      <c r="BT99" s="3"/>
      <c r="BU99" s="3"/>
      <c r="BV99" s="3"/>
      <c r="BW99" s="3" t="s">
        <v>184</v>
      </c>
      <c r="BX99" s="3"/>
      <c r="BY99" s="3"/>
      <c r="BZ99" s="3"/>
      <c r="CA99" s="3"/>
      <c r="CB99" s="112" t="s">
        <v>118</v>
      </c>
      <c r="CC99" s="112" t="s">
        <v>109</v>
      </c>
      <c r="CD99" s="3"/>
      <c r="CE99" s="3"/>
      <c r="CF99" s="112"/>
      <c r="CG99" s="112"/>
      <c r="CH99" s="133"/>
      <c r="CI99" s="112" t="str">
        <f t="shared" si="14"/>
        <v>Nov'23</v>
      </c>
      <c r="CJ99" s="112" t="s">
        <v>132</v>
      </c>
      <c r="CK99" s="112"/>
      <c r="CL99" s="8"/>
    </row>
    <row r="100" spans="1:92" s="4" customFormat="1" ht="51" customHeight="1" x14ac:dyDescent="0.25">
      <c r="A100" s="3">
        <v>80</v>
      </c>
      <c r="B100" s="206" t="s">
        <v>591</v>
      </c>
      <c r="C100" s="109" t="s">
        <v>592</v>
      </c>
      <c r="D100" s="3" t="s">
        <v>121</v>
      </c>
      <c r="E100" s="59">
        <v>1655</v>
      </c>
      <c r="F100" s="3">
        <v>9004917007</v>
      </c>
      <c r="G100" s="3" t="s">
        <v>142</v>
      </c>
      <c r="H100" s="3" t="s">
        <v>122</v>
      </c>
      <c r="I100" s="3" t="s">
        <v>143</v>
      </c>
      <c r="J100" s="3" t="s">
        <v>144</v>
      </c>
      <c r="K100" s="3" t="s">
        <v>593</v>
      </c>
      <c r="L100" s="3" t="s">
        <v>105</v>
      </c>
      <c r="M100" s="56">
        <v>45271</v>
      </c>
      <c r="N100" s="69">
        <f t="shared" ca="1" si="11"/>
        <v>906</v>
      </c>
      <c r="O100" s="72" t="str">
        <f t="shared" ca="1" si="12"/>
        <v>2-3Y</v>
      </c>
      <c r="P100" s="198" t="s">
        <v>106</v>
      </c>
      <c r="Q100" s="3" t="s">
        <v>192</v>
      </c>
      <c r="R100" s="3" t="s">
        <v>108</v>
      </c>
      <c r="S100" s="129">
        <v>40</v>
      </c>
      <c r="T100" s="129">
        <v>135</v>
      </c>
      <c r="U100" s="129">
        <f t="shared" si="13"/>
        <v>175</v>
      </c>
      <c r="V100" s="3"/>
      <c r="W100" s="3" t="s">
        <v>109</v>
      </c>
      <c r="X100" s="3" t="s">
        <v>493</v>
      </c>
      <c r="Y100" s="60">
        <f>+IF(AO100="Approved","Yes",AS100)</f>
        <v>46570</v>
      </c>
      <c r="Z100" s="3"/>
      <c r="AA100" s="3"/>
      <c r="AB100" s="3"/>
      <c r="AC100" s="3"/>
      <c r="AD100" s="249">
        <f t="shared" si="16"/>
        <v>46539</v>
      </c>
      <c r="AE100" s="249">
        <f t="shared" si="17"/>
        <v>46570</v>
      </c>
      <c r="AF100" s="3" t="s">
        <v>109</v>
      </c>
      <c r="AG100" s="3"/>
      <c r="AH100" s="3"/>
      <c r="AI100" s="3" t="s">
        <v>115</v>
      </c>
      <c r="AJ100" s="3" t="s">
        <v>115</v>
      </c>
      <c r="AK100" s="3" t="s">
        <v>181</v>
      </c>
      <c r="AL100" s="249">
        <v>46539</v>
      </c>
      <c r="AM100" s="3" t="s">
        <v>109</v>
      </c>
      <c r="AN100" s="3" t="s">
        <v>109</v>
      </c>
      <c r="AO100" s="3" t="s">
        <v>594</v>
      </c>
      <c r="AP100" s="3"/>
      <c r="AQ100" s="3"/>
      <c r="AR100" s="109" t="s">
        <v>352</v>
      </c>
      <c r="AS100" s="249">
        <f t="shared" si="18"/>
        <v>46570</v>
      </c>
      <c r="AT100" s="3" t="s">
        <v>109</v>
      </c>
      <c r="AU100" s="3" t="s">
        <v>298</v>
      </c>
      <c r="AV100" s="3"/>
      <c r="AW100" s="3" t="s">
        <v>111</v>
      </c>
      <c r="AX100" s="3" t="s">
        <v>109</v>
      </c>
      <c r="AY100" s="3" t="s">
        <v>109</v>
      </c>
      <c r="AZ100" s="3" t="s">
        <v>130</v>
      </c>
      <c r="BA100" s="3" t="s">
        <v>130</v>
      </c>
      <c r="BB100" s="3" t="s">
        <v>261</v>
      </c>
      <c r="BC100" s="3" t="s">
        <v>114</v>
      </c>
      <c r="BD100" s="3">
        <v>8985443</v>
      </c>
      <c r="BE100" s="3" t="s">
        <v>111</v>
      </c>
      <c r="BF100" s="3" t="s">
        <v>111</v>
      </c>
      <c r="BG100" s="59" t="s">
        <v>353</v>
      </c>
      <c r="BH100" s="59" t="s">
        <v>171</v>
      </c>
      <c r="BI100" s="45">
        <v>46539</v>
      </c>
      <c r="BJ100" s="45">
        <v>46569</v>
      </c>
      <c r="BK100" s="3" t="s">
        <v>109</v>
      </c>
      <c r="BL100" s="3" t="s">
        <v>114</v>
      </c>
      <c r="BM100" s="3" t="s">
        <v>111</v>
      </c>
      <c r="BN100" s="3" t="s">
        <v>111</v>
      </c>
      <c r="BO100" s="3" t="s">
        <v>115</v>
      </c>
      <c r="BP100" s="3"/>
      <c r="BQ100" s="3"/>
      <c r="BR100" s="3"/>
      <c r="BS100" s="3"/>
      <c r="BT100" s="3"/>
      <c r="BU100" s="3"/>
      <c r="BV100" s="3"/>
      <c r="BW100" s="3" t="s">
        <v>184</v>
      </c>
      <c r="BX100" s="3"/>
      <c r="BY100" s="3"/>
      <c r="BZ100" s="3"/>
      <c r="CA100" s="3"/>
      <c r="CB100" s="112" t="s">
        <v>118</v>
      </c>
      <c r="CC100" s="112" t="s">
        <v>109</v>
      </c>
      <c r="CD100" s="3"/>
      <c r="CE100" s="3"/>
      <c r="CF100" s="112"/>
      <c r="CG100" s="112"/>
      <c r="CH100" s="133"/>
      <c r="CI100" s="112" t="str">
        <f t="shared" si="14"/>
        <v>Dec'23</v>
      </c>
      <c r="CJ100" s="112" t="s">
        <v>192</v>
      </c>
      <c r="CK100" s="112"/>
      <c r="CL100" s="192"/>
    </row>
    <row r="101" spans="1:92" s="4" customFormat="1" ht="94.5" customHeight="1" x14ac:dyDescent="0.25">
      <c r="A101" s="3">
        <v>81</v>
      </c>
      <c r="B101" s="206" t="s">
        <v>595</v>
      </c>
      <c r="C101" s="109" t="s">
        <v>596</v>
      </c>
      <c r="D101" s="3" t="s">
        <v>99</v>
      </c>
      <c r="E101" s="59">
        <v>1832</v>
      </c>
      <c r="F101" s="3">
        <v>8805645273</v>
      </c>
      <c r="G101" s="3" t="s">
        <v>142</v>
      </c>
      <c r="H101" s="3" t="s">
        <v>122</v>
      </c>
      <c r="I101" s="3" t="s">
        <v>143</v>
      </c>
      <c r="J101" s="3" t="s">
        <v>144</v>
      </c>
      <c r="K101" s="3" t="s">
        <v>597</v>
      </c>
      <c r="L101" s="3" t="s">
        <v>105</v>
      </c>
      <c r="M101" s="56">
        <v>45271</v>
      </c>
      <c r="N101" s="69">
        <f t="shared" ca="1" si="11"/>
        <v>906</v>
      </c>
      <c r="O101" s="72" t="str">
        <f t="shared" ca="1" si="12"/>
        <v>2-3Y</v>
      </c>
      <c r="P101" s="198" t="s">
        <v>106</v>
      </c>
      <c r="Q101" s="3" t="s">
        <v>125</v>
      </c>
      <c r="R101" s="3" t="s">
        <v>108</v>
      </c>
      <c r="S101" s="129">
        <v>50</v>
      </c>
      <c r="T101" s="129">
        <v>215</v>
      </c>
      <c r="U101" s="129">
        <f t="shared" si="13"/>
        <v>265</v>
      </c>
      <c r="V101" s="3"/>
      <c r="W101" s="3" t="s">
        <v>109</v>
      </c>
      <c r="X101" s="3" t="s">
        <v>493</v>
      </c>
      <c r="Y101" s="60" t="str">
        <f>+AP101</f>
        <v>Yes</v>
      </c>
      <c r="Z101" s="3"/>
      <c r="AA101" s="3"/>
      <c r="AB101" s="3"/>
      <c r="AC101" s="3"/>
      <c r="AD101" s="249">
        <f t="shared" si="16"/>
        <v>46539</v>
      </c>
      <c r="AE101" s="249">
        <f t="shared" si="17"/>
        <v>46570</v>
      </c>
      <c r="AF101" s="3" t="s">
        <v>109</v>
      </c>
      <c r="AG101" s="3"/>
      <c r="AH101" s="3"/>
      <c r="AI101" s="3" t="s">
        <v>115</v>
      </c>
      <c r="AJ101" s="3" t="s">
        <v>115</v>
      </c>
      <c r="AK101" s="3" t="s">
        <v>181</v>
      </c>
      <c r="AL101" s="45">
        <v>46539</v>
      </c>
      <c r="AM101" s="3" t="s">
        <v>109</v>
      </c>
      <c r="AN101" s="3" t="s">
        <v>109</v>
      </c>
      <c r="AO101" s="3" t="s">
        <v>110</v>
      </c>
      <c r="AP101" s="3" t="s">
        <v>109</v>
      </c>
      <c r="AQ101" s="3">
        <v>4337975</v>
      </c>
      <c r="AR101" s="109" t="s">
        <v>598</v>
      </c>
      <c r="AS101" s="249">
        <f t="shared" si="18"/>
        <v>46570</v>
      </c>
      <c r="AT101" s="3" t="s">
        <v>109</v>
      </c>
      <c r="AU101" s="3" t="s">
        <v>171</v>
      </c>
      <c r="AV101" s="109" t="s">
        <v>599</v>
      </c>
      <c r="AW101" s="3" t="s">
        <v>109</v>
      </c>
      <c r="AX101" s="3" t="s">
        <v>348</v>
      </c>
      <c r="AY101" s="3" t="s">
        <v>348</v>
      </c>
      <c r="AZ101" s="3" t="s">
        <v>348</v>
      </c>
      <c r="BA101" s="3" t="s">
        <v>348</v>
      </c>
      <c r="BB101" s="3" t="s">
        <v>348</v>
      </c>
      <c r="BC101" s="3" t="s">
        <v>348</v>
      </c>
      <c r="BD101" s="3" t="s">
        <v>348</v>
      </c>
      <c r="BE101" s="3" t="s">
        <v>111</v>
      </c>
      <c r="BF101" s="3" t="s">
        <v>111</v>
      </c>
      <c r="BG101" s="59" t="s">
        <v>533</v>
      </c>
      <c r="BH101" s="59" t="s">
        <v>90</v>
      </c>
      <c r="BI101" s="45" t="s">
        <v>111</v>
      </c>
      <c r="BJ101" s="45" t="s">
        <v>111</v>
      </c>
      <c r="BK101" s="3" t="s">
        <v>109</v>
      </c>
      <c r="BL101" s="3" t="s">
        <v>114</v>
      </c>
      <c r="BM101" s="3" t="s">
        <v>111</v>
      </c>
      <c r="BN101" s="3" t="s">
        <v>111</v>
      </c>
      <c r="BO101" s="3" t="s">
        <v>115</v>
      </c>
      <c r="BP101" s="3"/>
      <c r="BQ101" s="3"/>
      <c r="BR101" s="3"/>
      <c r="BS101" s="3"/>
      <c r="BT101" s="3"/>
      <c r="BU101" s="3"/>
      <c r="BV101" s="3"/>
      <c r="BW101" s="3" t="s">
        <v>184</v>
      </c>
      <c r="BX101" s="3"/>
      <c r="BY101" s="3"/>
      <c r="BZ101" s="3"/>
      <c r="CA101" s="3"/>
      <c r="CB101" s="112" t="s">
        <v>118</v>
      </c>
      <c r="CC101" s="112" t="s">
        <v>109</v>
      </c>
      <c r="CD101" s="3"/>
      <c r="CE101" s="3"/>
      <c r="CF101" s="112"/>
      <c r="CG101" s="112"/>
      <c r="CH101" s="133"/>
      <c r="CI101" s="112" t="str">
        <f t="shared" si="14"/>
        <v>Dec'23</v>
      </c>
      <c r="CJ101" s="112" t="s">
        <v>132</v>
      </c>
      <c r="CK101" s="112"/>
      <c r="CL101" s="192"/>
    </row>
    <row r="102" spans="1:92" s="4" customFormat="1" ht="94.5" customHeight="1" x14ac:dyDescent="0.25">
      <c r="A102" s="3">
        <v>98</v>
      </c>
      <c r="B102" s="206" t="s">
        <v>600</v>
      </c>
      <c r="C102" s="109" t="s">
        <v>601</v>
      </c>
      <c r="D102" s="3" t="s">
        <v>150</v>
      </c>
      <c r="E102" s="59">
        <v>1706</v>
      </c>
      <c r="F102" s="3">
        <v>8390544048</v>
      </c>
      <c r="G102" s="3" t="s">
        <v>142</v>
      </c>
      <c r="H102" s="3" t="s">
        <v>122</v>
      </c>
      <c r="I102" s="3" t="s">
        <v>143</v>
      </c>
      <c r="J102" s="3" t="s">
        <v>144</v>
      </c>
      <c r="K102" s="3" t="s">
        <v>602</v>
      </c>
      <c r="L102" s="3" t="s">
        <v>105</v>
      </c>
      <c r="M102" s="56">
        <v>45279</v>
      </c>
      <c r="N102" s="69">
        <f t="shared" ca="1" si="11"/>
        <v>898</v>
      </c>
      <c r="O102" s="72" t="str">
        <f t="shared" ca="1" si="12"/>
        <v>2-3Y</v>
      </c>
      <c r="P102" s="198" t="s">
        <v>106</v>
      </c>
      <c r="Q102" s="3" t="s">
        <v>125</v>
      </c>
      <c r="R102" s="3" t="s">
        <v>108</v>
      </c>
      <c r="S102" s="129">
        <v>40</v>
      </c>
      <c r="T102" s="129">
        <v>120</v>
      </c>
      <c r="U102" s="129">
        <f t="shared" si="13"/>
        <v>160</v>
      </c>
      <c r="V102" s="3"/>
      <c r="W102" s="3" t="s">
        <v>109</v>
      </c>
      <c r="X102" s="3" t="s">
        <v>493</v>
      </c>
      <c r="Y102" s="60"/>
      <c r="Z102" s="3"/>
      <c r="AA102" s="3"/>
      <c r="AB102" s="3"/>
      <c r="AC102" s="3"/>
      <c r="AD102" s="249">
        <f t="shared" si="16"/>
        <v>46539</v>
      </c>
      <c r="AE102" s="249">
        <f t="shared" si="17"/>
        <v>46570</v>
      </c>
      <c r="AF102" s="3" t="s">
        <v>109</v>
      </c>
      <c r="AG102" s="3"/>
      <c r="AH102" s="3"/>
      <c r="AI102" s="3" t="s">
        <v>115</v>
      </c>
      <c r="AJ102" s="3" t="s">
        <v>115</v>
      </c>
      <c r="AK102" s="3"/>
      <c r="AL102" s="249">
        <v>46539</v>
      </c>
      <c r="AM102" s="3" t="s">
        <v>109</v>
      </c>
      <c r="AN102" s="3" t="s">
        <v>109</v>
      </c>
      <c r="AO102" s="3"/>
      <c r="AP102" s="3"/>
      <c r="AQ102" s="3"/>
      <c r="AR102" s="109" t="s">
        <v>352</v>
      </c>
      <c r="AS102" s="249">
        <f t="shared" si="18"/>
        <v>46570</v>
      </c>
      <c r="AT102" s="3"/>
      <c r="AU102" s="59" t="s">
        <v>298</v>
      </c>
      <c r="AV102" s="3"/>
      <c r="AW102" s="3"/>
      <c r="AX102" s="3"/>
      <c r="AY102" s="3"/>
      <c r="AZ102" s="3"/>
      <c r="BA102" s="3"/>
      <c r="BB102" s="3">
        <v>0</v>
      </c>
      <c r="BC102" s="3"/>
      <c r="BD102" s="3"/>
      <c r="BE102" s="3"/>
      <c r="BF102" s="3"/>
      <c r="BG102" s="59" t="s">
        <v>114</v>
      </c>
      <c r="BH102" s="59"/>
      <c r="BI102" s="45"/>
      <c r="BJ102" s="45"/>
      <c r="BK102" s="3" t="s">
        <v>109</v>
      </c>
      <c r="BL102" s="3" t="s">
        <v>114</v>
      </c>
      <c r="BM102" s="3" t="s">
        <v>111</v>
      </c>
      <c r="BN102" s="3" t="s">
        <v>111</v>
      </c>
      <c r="BO102" s="3" t="s">
        <v>115</v>
      </c>
      <c r="BP102" s="3"/>
      <c r="BQ102" s="3"/>
      <c r="BR102" s="3"/>
      <c r="BS102" s="3"/>
      <c r="BT102" s="3"/>
      <c r="BU102" s="3"/>
      <c r="BV102" s="3"/>
      <c r="BW102" s="3" t="s">
        <v>184</v>
      </c>
      <c r="BX102" s="3"/>
      <c r="BY102" s="3"/>
      <c r="BZ102" s="3"/>
      <c r="CA102" s="3"/>
      <c r="CB102" s="112" t="s">
        <v>118</v>
      </c>
      <c r="CC102" s="112" t="s">
        <v>109</v>
      </c>
      <c r="CD102" s="3"/>
      <c r="CE102" s="3"/>
      <c r="CF102" s="112"/>
      <c r="CG102" s="112"/>
      <c r="CH102" s="133"/>
      <c r="CI102" s="112" t="str">
        <f t="shared" si="14"/>
        <v>Dec'23</v>
      </c>
      <c r="CJ102" s="112" t="s">
        <v>132</v>
      </c>
      <c r="CK102" s="112"/>
      <c r="CL102" s="192"/>
    </row>
    <row r="103" spans="1:92" s="4" customFormat="1" ht="76.5" customHeight="1" x14ac:dyDescent="0.25">
      <c r="A103" s="3">
        <v>106</v>
      </c>
      <c r="B103" s="206" t="s">
        <v>603</v>
      </c>
      <c r="C103" s="109" t="s">
        <v>604</v>
      </c>
      <c r="D103" s="3" t="s">
        <v>220</v>
      </c>
      <c r="E103" s="59">
        <v>1645</v>
      </c>
      <c r="F103" s="3">
        <v>9921214545</v>
      </c>
      <c r="G103" s="3" t="s">
        <v>142</v>
      </c>
      <c r="H103" s="3" t="s">
        <v>122</v>
      </c>
      <c r="I103" s="3" t="s">
        <v>143</v>
      </c>
      <c r="J103" s="3" t="s">
        <v>144</v>
      </c>
      <c r="K103" s="3" t="s">
        <v>605</v>
      </c>
      <c r="L103" s="3" t="s">
        <v>105</v>
      </c>
      <c r="M103" s="56">
        <v>45307</v>
      </c>
      <c r="N103" s="69">
        <f t="shared" ca="1" si="11"/>
        <v>870</v>
      </c>
      <c r="O103" s="72" t="str">
        <f t="shared" ca="1" si="12"/>
        <v>2-3Y</v>
      </c>
      <c r="P103" s="198" t="s">
        <v>106</v>
      </c>
      <c r="Q103" s="3" t="s">
        <v>125</v>
      </c>
      <c r="R103" s="3" t="s">
        <v>108</v>
      </c>
      <c r="S103" s="129">
        <v>50</v>
      </c>
      <c r="T103" s="129">
        <v>184</v>
      </c>
      <c r="U103" s="129">
        <f t="shared" si="13"/>
        <v>234</v>
      </c>
      <c r="V103" s="3"/>
      <c r="W103" s="3" t="s">
        <v>109</v>
      </c>
      <c r="X103" s="3" t="s">
        <v>493</v>
      </c>
      <c r="Y103" s="60"/>
      <c r="Z103" s="3"/>
      <c r="AA103" s="3"/>
      <c r="AB103" s="3"/>
      <c r="AC103" s="3"/>
      <c r="AD103" s="249">
        <f t="shared" si="16"/>
        <v>46539</v>
      </c>
      <c r="AE103" s="249">
        <f t="shared" si="17"/>
        <v>46570</v>
      </c>
      <c r="AF103" s="3" t="s">
        <v>109</v>
      </c>
      <c r="AG103" s="3"/>
      <c r="AH103" s="3"/>
      <c r="AI103" s="3" t="s">
        <v>115</v>
      </c>
      <c r="AJ103" s="3" t="s">
        <v>115</v>
      </c>
      <c r="AK103" s="3" t="s">
        <v>181</v>
      </c>
      <c r="AL103" s="45">
        <v>46539</v>
      </c>
      <c r="AM103" s="3" t="s">
        <v>109</v>
      </c>
      <c r="AN103" s="3" t="s">
        <v>109</v>
      </c>
      <c r="AO103" s="3"/>
      <c r="AP103" s="3"/>
      <c r="AQ103" s="3"/>
      <c r="AR103" s="109" t="s">
        <v>495</v>
      </c>
      <c r="AS103" s="249">
        <f t="shared" si="18"/>
        <v>46570</v>
      </c>
      <c r="AT103" s="3" t="s">
        <v>223</v>
      </c>
      <c r="AU103" s="3" t="s">
        <v>298</v>
      </c>
      <c r="AV103" s="3" t="s">
        <v>606</v>
      </c>
      <c r="AW103" s="3" t="s">
        <v>171</v>
      </c>
      <c r="AX103" s="3" t="s">
        <v>109</v>
      </c>
      <c r="AY103" s="3" t="s">
        <v>109</v>
      </c>
      <c r="AZ103" s="3"/>
      <c r="BA103" s="3"/>
      <c r="BB103" s="3">
        <v>0</v>
      </c>
      <c r="BC103" s="3"/>
      <c r="BD103" s="3"/>
      <c r="BE103" s="3"/>
      <c r="BF103" s="3"/>
      <c r="BG103" s="59"/>
      <c r="BH103" s="59"/>
      <c r="BI103" s="45"/>
      <c r="BJ103" s="45"/>
      <c r="BK103" s="3" t="s">
        <v>109</v>
      </c>
      <c r="BL103" s="3" t="s">
        <v>114</v>
      </c>
      <c r="BM103" s="3" t="s">
        <v>111</v>
      </c>
      <c r="BN103" s="3" t="s">
        <v>111</v>
      </c>
      <c r="BO103" s="3" t="s">
        <v>115</v>
      </c>
      <c r="BP103" s="3"/>
      <c r="BQ103" s="3"/>
      <c r="BR103" s="3"/>
      <c r="BS103" s="3"/>
      <c r="BT103" s="3"/>
      <c r="BU103" s="3"/>
      <c r="BV103" s="3"/>
      <c r="BW103" s="3" t="s">
        <v>184</v>
      </c>
      <c r="BX103" s="3"/>
      <c r="BY103" s="3"/>
      <c r="BZ103" s="3"/>
      <c r="CA103" s="3"/>
      <c r="CB103" s="112" t="s">
        <v>118</v>
      </c>
      <c r="CC103" s="112" t="s">
        <v>109</v>
      </c>
      <c r="CD103" s="3"/>
      <c r="CE103" s="3"/>
      <c r="CF103" s="112"/>
      <c r="CG103" s="112"/>
      <c r="CH103" s="133"/>
      <c r="CI103" s="112" t="str">
        <f t="shared" si="14"/>
        <v>Jan'24</v>
      </c>
      <c r="CJ103" s="112" t="s">
        <v>132</v>
      </c>
      <c r="CK103" s="112"/>
      <c r="CL103" s="192"/>
    </row>
    <row r="104" spans="1:92" s="4" customFormat="1" ht="94.5" customHeight="1" x14ac:dyDescent="0.25">
      <c r="A104" s="3">
        <v>121</v>
      </c>
      <c r="B104" s="206" t="s">
        <v>607</v>
      </c>
      <c r="C104" s="109" t="s">
        <v>608</v>
      </c>
      <c r="D104" s="3" t="s">
        <v>398</v>
      </c>
      <c r="E104" s="59">
        <v>1885</v>
      </c>
      <c r="F104" s="3">
        <v>9850083232</v>
      </c>
      <c r="G104" s="3" t="s">
        <v>142</v>
      </c>
      <c r="H104" s="3" t="s">
        <v>122</v>
      </c>
      <c r="I104" s="3" t="s">
        <v>143</v>
      </c>
      <c r="J104" s="3" t="s">
        <v>144</v>
      </c>
      <c r="K104" s="3" t="s">
        <v>609</v>
      </c>
      <c r="L104" s="3" t="s">
        <v>105</v>
      </c>
      <c r="M104" s="56">
        <v>45321</v>
      </c>
      <c r="N104" s="69">
        <f t="shared" ca="1" si="11"/>
        <v>856</v>
      </c>
      <c r="O104" s="72" t="str">
        <f t="shared" ca="1" si="12"/>
        <v>2-3Y</v>
      </c>
      <c r="P104" s="198" t="s">
        <v>106</v>
      </c>
      <c r="Q104" s="3" t="s">
        <v>192</v>
      </c>
      <c r="R104" s="3" t="s">
        <v>108</v>
      </c>
      <c r="S104" s="129">
        <v>38</v>
      </c>
      <c r="T104" s="129">
        <v>120</v>
      </c>
      <c r="U104" s="129">
        <f t="shared" si="13"/>
        <v>158</v>
      </c>
      <c r="V104" s="3"/>
      <c r="W104" s="3" t="s">
        <v>109</v>
      </c>
      <c r="X104" s="3" t="s">
        <v>493</v>
      </c>
      <c r="Y104" s="60">
        <f>+IF(AO104="Approved","Yes",AS104)</f>
        <v>46570</v>
      </c>
      <c r="Z104" s="3"/>
      <c r="AA104" s="3"/>
      <c r="AB104" s="3"/>
      <c r="AC104" s="3"/>
      <c r="AD104" s="249">
        <f t="shared" si="16"/>
        <v>46539</v>
      </c>
      <c r="AE104" s="249">
        <f t="shared" si="17"/>
        <v>46570</v>
      </c>
      <c r="AF104" s="3" t="s">
        <v>109</v>
      </c>
      <c r="AG104" s="3"/>
      <c r="AH104" s="3"/>
      <c r="AI104" s="3" t="s">
        <v>115</v>
      </c>
      <c r="AJ104" s="3" t="s">
        <v>115</v>
      </c>
      <c r="AK104" s="3" t="s">
        <v>181</v>
      </c>
      <c r="AL104" s="45">
        <v>46539</v>
      </c>
      <c r="AM104" s="3" t="s">
        <v>109</v>
      </c>
      <c r="AN104" s="3" t="s">
        <v>109</v>
      </c>
      <c r="AO104" s="3" t="s">
        <v>594</v>
      </c>
      <c r="AP104" s="3"/>
      <c r="AQ104" s="3"/>
      <c r="AR104" s="109" t="s">
        <v>495</v>
      </c>
      <c r="AS104" s="249">
        <f t="shared" si="18"/>
        <v>46570</v>
      </c>
      <c r="AT104" s="59" t="s">
        <v>109</v>
      </c>
      <c r="AU104" s="59" t="s">
        <v>298</v>
      </c>
      <c r="AV104" s="59"/>
      <c r="AW104" s="59"/>
      <c r="AX104" s="59"/>
      <c r="AY104" s="59"/>
      <c r="AZ104" s="59"/>
      <c r="BA104" s="59"/>
      <c r="BB104" s="59"/>
      <c r="BC104" s="59"/>
      <c r="BD104" s="59"/>
      <c r="BE104" s="59"/>
      <c r="BF104" s="59"/>
      <c r="BG104" s="59"/>
      <c r="BH104" s="59"/>
      <c r="BI104" s="243"/>
      <c r="BJ104" s="243"/>
      <c r="BK104" s="3" t="s">
        <v>109</v>
      </c>
      <c r="BL104" s="3" t="s">
        <v>114</v>
      </c>
      <c r="BM104" s="3" t="s">
        <v>111</v>
      </c>
      <c r="BN104" s="3" t="s">
        <v>111</v>
      </c>
      <c r="BO104" s="3" t="s">
        <v>115</v>
      </c>
      <c r="BP104" s="3"/>
      <c r="BQ104" s="3"/>
      <c r="BR104" s="3"/>
      <c r="BS104" s="3"/>
      <c r="BT104" s="3"/>
      <c r="BU104" s="3"/>
      <c r="BV104" s="3"/>
      <c r="BW104" s="3" t="s">
        <v>184</v>
      </c>
      <c r="BX104" s="3"/>
      <c r="BY104" s="3"/>
      <c r="BZ104" s="3"/>
      <c r="CA104" s="3"/>
      <c r="CB104" s="112" t="s">
        <v>118</v>
      </c>
      <c r="CC104" s="112" t="s">
        <v>109</v>
      </c>
      <c r="CD104" s="3"/>
      <c r="CE104" s="3"/>
      <c r="CF104" s="112"/>
      <c r="CG104" s="112"/>
      <c r="CH104" s="133"/>
      <c r="CI104" s="112" t="str">
        <f t="shared" si="14"/>
        <v>Jan'24</v>
      </c>
      <c r="CJ104" s="112" t="s">
        <v>192</v>
      </c>
      <c r="CK104" s="112"/>
      <c r="CL104" s="192"/>
    </row>
    <row r="105" spans="1:92" s="4" customFormat="1" ht="71.099999999999994" customHeight="1" x14ac:dyDescent="0.25">
      <c r="A105" s="3">
        <v>131</v>
      </c>
      <c r="B105" s="206" t="s">
        <v>610</v>
      </c>
      <c r="C105" s="109" t="s">
        <v>611</v>
      </c>
      <c r="D105" s="3" t="s">
        <v>195</v>
      </c>
      <c r="E105" s="59">
        <v>1626</v>
      </c>
      <c r="F105" s="3">
        <v>9890752925</v>
      </c>
      <c r="G105" s="3" t="s">
        <v>169</v>
      </c>
      <c r="H105" s="3" t="s">
        <v>122</v>
      </c>
      <c r="I105" s="3" t="s">
        <v>143</v>
      </c>
      <c r="J105" s="3" t="s">
        <v>144</v>
      </c>
      <c r="K105" s="3" t="s">
        <v>612</v>
      </c>
      <c r="L105" s="3" t="s">
        <v>105</v>
      </c>
      <c r="M105" s="56">
        <v>45335</v>
      </c>
      <c r="N105" s="69">
        <f t="shared" ca="1" si="11"/>
        <v>842</v>
      </c>
      <c r="O105" s="72" t="str">
        <f t="shared" ca="1" si="12"/>
        <v>2-3Y</v>
      </c>
      <c r="P105" s="198" t="s">
        <v>158</v>
      </c>
      <c r="Q105" s="3" t="s">
        <v>192</v>
      </c>
      <c r="R105" s="3" t="s">
        <v>164</v>
      </c>
      <c r="S105" s="129">
        <v>20</v>
      </c>
      <c r="T105" s="129">
        <v>84</v>
      </c>
      <c r="U105" s="129">
        <f t="shared" si="13"/>
        <v>104</v>
      </c>
      <c r="V105" s="3"/>
      <c r="W105" s="3" t="s">
        <v>109</v>
      </c>
      <c r="X105" s="3" t="s">
        <v>493</v>
      </c>
      <c r="Y105" s="60"/>
      <c r="Z105" s="3"/>
      <c r="AA105" s="3"/>
      <c r="AB105" s="3"/>
      <c r="AC105" s="3"/>
      <c r="AD105" s="249">
        <f t="shared" si="16"/>
        <v>46539</v>
      </c>
      <c r="AE105" s="249">
        <f t="shared" si="17"/>
        <v>46570</v>
      </c>
      <c r="AF105" s="3" t="s">
        <v>109</v>
      </c>
      <c r="AG105" s="109"/>
      <c r="AH105" s="3"/>
      <c r="AI105" s="3" t="s">
        <v>115</v>
      </c>
      <c r="AJ105" s="3" t="s">
        <v>115</v>
      </c>
      <c r="AK105" s="3" t="s">
        <v>181</v>
      </c>
      <c r="AL105" s="45">
        <v>46539</v>
      </c>
      <c r="AM105" s="3" t="s">
        <v>109</v>
      </c>
      <c r="AN105" s="3" t="s">
        <v>109</v>
      </c>
      <c r="AO105" s="3"/>
      <c r="AP105" s="3"/>
      <c r="AQ105" s="3"/>
      <c r="AR105" s="109" t="s">
        <v>613</v>
      </c>
      <c r="AS105" s="249">
        <f t="shared" si="18"/>
        <v>46570</v>
      </c>
      <c r="AT105" s="3" t="s">
        <v>109</v>
      </c>
      <c r="AU105" s="3" t="s">
        <v>298</v>
      </c>
      <c r="AV105" s="109" t="s">
        <v>614</v>
      </c>
      <c r="AW105" s="3" t="s">
        <v>111</v>
      </c>
      <c r="AX105" s="3" t="s">
        <v>253</v>
      </c>
      <c r="AY105" s="3" t="s">
        <v>253</v>
      </c>
      <c r="AZ105" s="3" t="s">
        <v>253</v>
      </c>
      <c r="BA105" s="3" t="s">
        <v>253</v>
      </c>
      <c r="BB105" s="3" t="s">
        <v>253</v>
      </c>
      <c r="BC105" s="3" t="s">
        <v>253</v>
      </c>
      <c r="BD105" s="3" t="s">
        <v>253</v>
      </c>
      <c r="BE105" s="3" t="s">
        <v>253</v>
      </c>
      <c r="BF105" s="3" t="s">
        <v>253</v>
      </c>
      <c r="BG105" s="59" t="s">
        <v>332</v>
      </c>
      <c r="BH105" s="59" t="s">
        <v>171</v>
      </c>
      <c r="BI105" s="45">
        <v>46721</v>
      </c>
      <c r="BJ105" s="45">
        <v>46812</v>
      </c>
      <c r="BK105" s="3" t="s">
        <v>109</v>
      </c>
      <c r="BL105" s="3"/>
      <c r="BM105" s="3" t="s">
        <v>111</v>
      </c>
      <c r="BN105" s="3" t="s">
        <v>111</v>
      </c>
      <c r="BO105" s="3" t="s">
        <v>115</v>
      </c>
      <c r="BP105" s="3"/>
      <c r="BQ105" s="3"/>
      <c r="BR105" s="3"/>
      <c r="BS105" s="3"/>
      <c r="BT105" s="3"/>
      <c r="BU105" s="3"/>
      <c r="BV105" s="3"/>
      <c r="BW105" s="3" t="s">
        <v>184</v>
      </c>
      <c r="BX105" s="3"/>
      <c r="BY105" s="3"/>
      <c r="BZ105" s="3"/>
      <c r="CA105" s="3"/>
      <c r="CB105" s="112" t="s">
        <v>118</v>
      </c>
      <c r="CC105" s="112" t="s">
        <v>109</v>
      </c>
      <c r="CD105" s="3"/>
      <c r="CE105" s="3"/>
      <c r="CF105" s="112"/>
      <c r="CG105" s="112"/>
      <c r="CH105" s="133"/>
      <c r="CI105" s="112" t="str">
        <f t="shared" si="14"/>
        <v>Feb'24</v>
      </c>
      <c r="CJ105" s="112" t="s">
        <v>192</v>
      </c>
      <c r="CK105" s="112"/>
      <c r="CL105" s="192"/>
    </row>
    <row r="106" spans="1:92" s="4" customFormat="1" ht="94.5" customHeight="1" x14ac:dyDescent="0.25">
      <c r="A106" s="3">
        <v>137</v>
      </c>
      <c r="B106" s="206" t="s">
        <v>615</v>
      </c>
      <c r="C106" s="109" t="s">
        <v>616</v>
      </c>
      <c r="D106" s="3" t="s">
        <v>195</v>
      </c>
      <c r="E106" s="59">
        <v>1948</v>
      </c>
      <c r="F106" s="3">
        <v>9096955762</v>
      </c>
      <c r="G106" s="3" t="s">
        <v>142</v>
      </c>
      <c r="H106" s="3" t="s">
        <v>122</v>
      </c>
      <c r="I106" s="3" t="s">
        <v>143</v>
      </c>
      <c r="J106" s="3" t="s">
        <v>144</v>
      </c>
      <c r="K106" s="3" t="s">
        <v>617</v>
      </c>
      <c r="L106" s="3" t="s">
        <v>105</v>
      </c>
      <c r="M106" s="56">
        <v>45338</v>
      </c>
      <c r="N106" s="69">
        <f t="shared" ca="1" si="11"/>
        <v>839</v>
      </c>
      <c r="O106" s="72" t="str">
        <f t="shared" ca="1" si="12"/>
        <v>2-3Y</v>
      </c>
      <c r="P106" s="198" t="s">
        <v>158</v>
      </c>
      <c r="Q106" s="3" t="s">
        <v>192</v>
      </c>
      <c r="R106" s="3" t="s">
        <v>108</v>
      </c>
      <c r="S106" s="129">
        <v>25</v>
      </c>
      <c r="T106" s="129">
        <v>130</v>
      </c>
      <c r="U106" s="129">
        <f t="shared" si="13"/>
        <v>155</v>
      </c>
      <c r="V106" s="3"/>
      <c r="W106" s="3" t="s">
        <v>109</v>
      </c>
      <c r="X106" s="3" t="s">
        <v>493</v>
      </c>
      <c r="Y106" s="60"/>
      <c r="Z106" s="3"/>
      <c r="AA106" s="3"/>
      <c r="AB106" s="3"/>
      <c r="AC106" s="3"/>
      <c r="AD106" s="249">
        <f t="shared" si="16"/>
        <v>46539</v>
      </c>
      <c r="AE106" s="249">
        <f t="shared" si="17"/>
        <v>46570</v>
      </c>
      <c r="AF106" s="3" t="s">
        <v>109</v>
      </c>
      <c r="AG106" s="109"/>
      <c r="AH106" s="3"/>
      <c r="AI106" s="3" t="s">
        <v>115</v>
      </c>
      <c r="AJ106" s="3" t="s">
        <v>115</v>
      </c>
      <c r="AK106" s="3" t="s">
        <v>181</v>
      </c>
      <c r="AL106" s="45">
        <v>46539</v>
      </c>
      <c r="AM106" s="3" t="s">
        <v>109</v>
      </c>
      <c r="AN106" s="3" t="s">
        <v>109</v>
      </c>
      <c r="AO106" s="3"/>
      <c r="AP106" s="3"/>
      <c r="AQ106" s="3"/>
      <c r="AR106" s="109" t="s">
        <v>618</v>
      </c>
      <c r="AS106" s="249">
        <f t="shared" si="18"/>
        <v>46570</v>
      </c>
      <c r="AT106" s="3" t="s">
        <v>109</v>
      </c>
      <c r="AU106" s="3" t="s">
        <v>298</v>
      </c>
      <c r="AV106" s="109" t="s">
        <v>619</v>
      </c>
      <c r="AW106" s="3" t="s">
        <v>111</v>
      </c>
      <c r="AX106" s="3" t="s">
        <v>109</v>
      </c>
      <c r="AY106" s="3" t="s">
        <v>198</v>
      </c>
      <c r="AZ106" s="3" t="s">
        <v>253</v>
      </c>
      <c r="BA106" s="3" t="s">
        <v>253</v>
      </c>
      <c r="BB106" s="3" t="s">
        <v>253</v>
      </c>
      <c r="BC106" s="3" t="s">
        <v>253</v>
      </c>
      <c r="BD106" s="3" t="s">
        <v>253</v>
      </c>
      <c r="BE106" s="3" t="s">
        <v>253</v>
      </c>
      <c r="BF106" s="3" t="s">
        <v>253</v>
      </c>
      <c r="BG106" s="59" t="s">
        <v>332</v>
      </c>
      <c r="BH106" s="59" t="s">
        <v>171</v>
      </c>
      <c r="BI106" s="45">
        <v>46721</v>
      </c>
      <c r="BJ106" s="45">
        <v>46812</v>
      </c>
      <c r="BK106" s="3" t="s">
        <v>109</v>
      </c>
      <c r="BL106" s="3"/>
      <c r="BM106" s="3" t="s">
        <v>111</v>
      </c>
      <c r="BN106" s="3" t="s">
        <v>111</v>
      </c>
      <c r="BO106" s="3" t="s">
        <v>115</v>
      </c>
      <c r="BP106" s="3"/>
      <c r="BQ106" s="3"/>
      <c r="BR106" s="3"/>
      <c r="BS106" s="3"/>
      <c r="BT106" s="3"/>
      <c r="BU106" s="3"/>
      <c r="BV106" s="3"/>
      <c r="BW106" s="3" t="s">
        <v>184</v>
      </c>
      <c r="BX106" s="3"/>
      <c r="BY106" s="3"/>
      <c r="BZ106" s="3"/>
      <c r="CA106" s="3"/>
      <c r="CB106" s="112" t="s">
        <v>118</v>
      </c>
      <c r="CC106" s="112" t="s">
        <v>109</v>
      </c>
      <c r="CD106" s="3"/>
      <c r="CE106" s="3"/>
      <c r="CF106" s="112"/>
      <c r="CG106" s="112"/>
      <c r="CH106" s="133"/>
      <c r="CI106" s="112" t="str">
        <f t="shared" si="14"/>
        <v>Feb'24</v>
      </c>
      <c r="CJ106" s="112" t="s">
        <v>192</v>
      </c>
      <c r="CK106" s="112"/>
      <c r="CL106" s="192"/>
    </row>
    <row r="107" spans="1:92" s="6" customFormat="1" ht="94.5" customHeight="1" x14ac:dyDescent="0.25">
      <c r="A107" s="3">
        <v>136</v>
      </c>
      <c r="B107" s="206" t="s">
        <v>620</v>
      </c>
      <c r="C107" s="109" t="s">
        <v>621</v>
      </c>
      <c r="D107" s="3" t="s">
        <v>156</v>
      </c>
      <c r="E107" s="59"/>
      <c r="F107" s="3">
        <v>9673575151</v>
      </c>
      <c r="G107" s="3" t="s">
        <v>100</v>
      </c>
      <c r="H107" s="3" t="s">
        <v>122</v>
      </c>
      <c r="I107" s="3" t="s">
        <v>102</v>
      </c>
      <c r="J107" s="3" t="s">
        <v>123</v>
      </c>
      <c r="K107" s="3" t="s">
        <v>622</v>
      </c>
      <c r="L107" s="3" t="s">
        <v>179</v>
      </c>
      <c r="M107" s="56">
        <v>45338</v>
      </c>
      <c r="N107" s="69">
        <f t="shared" ca="1" si="11"/>
        <v>839</v>
      </c>
      <c r="O107" s="72" t="str">
        <f t="shared" ca="1" si="12"/>
        <v>2-3Y</v>
      </c>
      <c r="P107" s="198" t="s">
        <v>158</v>
      </c>
      <c r="Q107" s="3" t="s">
        <v>125</v>
      </c>
      <c r="R107" s="3" t="s">
        <v>164</v>
      </c>
      <c r="S107" s="129">
        <v>20</v>
      </c>
      <c r="T107" s="129">
        <v>60</v>
      </c>
      <c r="U107" s="129">
        <f t="shared" si="13"/>
        <v>80</v>
      </c>
      <c r="V107" s="3"/>
      <c r="W107" s="3" t="s">
        <v>109</v>
      </c>
      <c r="X107" s="3" t="s">
        <v>493</v>
      </c>
      <c r="Y107" s="60"/>
      <c r="Z107" s="3"/>
      <c r="AA107" s="3"/>
      <c r="AB107" s="3"/>
      <c r="AC107" s="3"/>
      <c r="AD107" s="249">
        <f t="shared" si="16"/>
        <v>46539</v>
      </c>
      <c r="AE107" s="249">
        <f t="shared" si="17"/>
        <v>46570</v>
      </c>
      <c r="AF107" s="3" t="s">
        <v>109</v>
      </c>
      <c r="AG107" s="3"/>
      <c r="AH107" s="3"/>
      <c r="AI107" s="3" t="s">
        <v>115</v>
      </c>
      <c r="AJ107" s="3" t="s">
        <v>115</v>
      </c>
      <c r="AK107" s="3" t="s">
        <v>181</v>
      </c>
      <c r="AL107" s="45">
        <v>46539</v>
      </c>
      <c r="AM107" s="3" t="s">
        <v>109</v>
      </c>
      <c r="AN107" s="3" t="s">
        <v>109</v>
      </c>
      <c r="AO107" s="3"/>
      <c r="AP107" s="3"/>
      <c r="AQ107" s="3"/>
      <c r="AR107" s="109" t="s">
        <v>623</v>
      </c>
      <c r="AS107" s="249">
        <f t="shared" si="18"/>
        <v>46570</v>
      </c>
      <c r="AT107" s="3" t="s">
        <v>109</v>
      </c>
      <c r="AU107" s="3" t="s">
        <v>109</v>
      </c>
      <c r="AV107" s="3" t="s">
        <v>624</v>
      </c>
      <c r="AW107" s="3" t="s">
        <v>111</v>
      </c>
      <c r="AX107" s="3" t="s">
        <v>111</v>
      </c>
      <c r="AY107" s="3" t="s">
        <v>111</v>
      </c>
      <c r="AZ107" s="3" t="s">
        <v>111</v>
      </c>
      <c r="BA107" s="3" t="s">
        <v>111</v>
      </c>
      <c r="BB107" s="3" t="s">
        <v>115</v>
      </c>
      <c r="BC107" s="3" t="s">
        <v>111</v>
      </c>
      <c r="BD107" s="3" t="s">
        <v>111</v>
      </c>
      <c r="BE107" s="3" t="s">
        <v>111</v>
      </c>
      <c r="BF107" s="3" t="s">
        <v>111</v>
      </c>
      <c r="BG107" s="59" t="s">
        <v>111</v>
      </c>
      <c r="BH107" s="59" t="s">
        <v>111</v>
      </c>
      <c r="BI107" s="45" t="s">
        <v>111</v>
      </c>
      <c r="BJ107" s="45" t="s">
        <v>111</v>
      </c>
      <c r="BK107" s="3" t="s">
        <v>109</v>
      </c>
      <c r="BL107" s="3"/>
      <c r="BM107" s="3" t="s">
        <v>111</v>
      </c>
      <c r="BN107" s="3" t="s">
        <v>111</v>
      </c>
      <c r="BO107" s="3" t="s">
        <v>115</v>
      </c>
      <c r="BP107" s="3"/>
      <c r="BQ107" s="3"/>
      <c r="BR107" s="3"/>
      <c r="BS107" s="3"/>
      <c r="BT107" s="3"/>
      <c r="BU107" s="3"/>
      <c r="BV107" s="3"/>
      <c r="BW107" s="3" t="s">
        <v>184</v>
      </c>
      <c r="BX107" s="3"/>
      <c r="BY107" s="3"/>
      <c r="BZ107" s="3"/>
      <c r="CA107" s="3"/>
      <c r="CB107" s="112" t="s">
        <v>185</v>
      </c>
      <c r="CC107" s="112" t="s">
        <v>109</v>
      </c>
      <c r="CD107" s="3"/>
      <c r="CE107" s="3"/>
      <c r="CF107" s="112"/>
      <c r="CG107" s="112"/>
      <c r="CH107" s="133"/>
      <c r="CI107" s="112" t="str">
        <f t="shared" si="14"/>
        <v>Feb'24</v>
      </c>
      <c r="CJ107" s="112" t="s">
        <v>132</v>
      </c>
      <c r="CK107" s="255"/>
      <c r="CL107" s="192"/>
      <c r="CM107" s="4"/>
      <c r="CN107" s="4"/>
    </row>
    <row r="108" spans="1:92" s="4" customFormat="1" ht="73.5" customHeight="1" x14ac:dyDescent="0.25">
      <c r="A108" s="3">
        <v>138</v>
      </c>
      <c r="B108" s="206" t="s">
        <v>625</v>
      </c>
      <c r="C108" s="109" t="s">
        <v>626</v>
      </c>
      <c r="D108" s="3" t="s">
        <v>121</v>
      </c>
      <c r="E108" s="59">
        <v>1682</v>
      </c>
      <c r="F108" s="3">
        <v>9890156520</v>
      </c>
      <c r="G108" s="3" t="s">
        <v>142</v>
      </c>
      <c r="H108" s="3" t="s">
        <v>122</v>
      </c>
      <c r="I108" s="3" t="s">
        <v>143</v>
      </c>
      <c r="J108" s="3" t="s">
        <v>144</v>
      </c>
      <c r="K108" s="3" t="s">
        <v>627</v>
      </c>
      <c r="L108" s="3" t="s">
        <v>105</v>
      </c>
      <c r="M108" s="56">
        <v>45344</v>
      </c>
      <c r="N108" s="69">
        <f t="shared" ca="1" si="11"/>
        <v>833</v>
      </c>
      <c r="O108" s="72" t="str">
        <f t="shared" ca="1" si="12"/>
        <v>2-3Y</v>
      </c>
      <c r="P108" s="198" t="s">
        <v>106</v>
      </c>
      <c r="Q108" s="3" t="s">
        <v>125</v>
      </c>
      <c r="R108" s="3" t="s">
        <v>108</v>
      </c>
      <c r="S108" s="129">
        <v>27</v>
      </c>
      <c r="T108" s="129">
        <v>150</v>
      </c>
      <c r="U108" s="129">
        <f t="shared" si="13"/>
        <v>177</v>
      </c>
      <c r="V108" s="3"/>
      <c r="W108" s="3" t="s">
        <v>109</v>
      </c>
      <c r="X108" s="3" t="s">
        <v>493</v>
      </c>
      <c r="Y108" s="60">
        <f>+IF(AO108="Approved","Yes",AS108)</f>
        <v>46570</v>
      </c>
      <c r="Z108" s="3"/>
      <c r="AA108" s="3"/>
      <c r="AB108" s="3"/>
      <c r="AC108" s="3"/>
      <c r="AD108" s="249">
        <f t="shared" si="16"/>
        <v>46539</v>
      </c>
      <c r="AE108" s="249">
        <f t="shared" si="17"/>
        <v>46570</v>
      </c>
      <c r="AF108" s="3" t="s">
        <v>109</v>
      </c>
      <c r="AG108" s="3"/>
      <c r="AH108" s="3"/>
      <c r="AI108" s="3" t="s">
        <v>115</v>
      </c>
      <c r="AJ108" s="3" t="s">
        <v>115</v>
      </c>
      <c r="AK108" s="3" t="s">
        <v>181</v>
      </c>
      <c r="AL108" s="45">
        <v>46539</v>
      </c>
      <c r="AM108" s="3" t="s">
        <v>109</v>
      </c>
      <c r="AN108" s="3" t="s">
        <v>109</v>
      </c>
      <c r="AO108" s="3" t="s">
        <v>594</v>
      </c>
      <c r="AP108" s="3"/>
      <c r="AQ108" s="3"/>
      <c r="AR108" s="109" t="s">
        <v>628</v>
      </c>
      <c r="AS108" s="249">
        <f t="shared" si="18"/>
        <v>46570</v>
      </c>
      <c r="AT108" s="3" t="s">
        <v>109</v>
      </c>
      <c r="AU108" s="3" t="s">
        <v>298</v>
      </c>
      <c r="AV108" s="3"/>
      <c r="AW108" s="3" t="s">
        <v>111</v>
      </c>
      <c r="AX108" s="3" t="s">
        <v>109</v>
      </c>
      <c r="AY108" s="3" t="s">
        <v>109</v>
      </c>
      <c r="AZ108" s="3" t="s">
        <v>261</v>
      </c>
      <c r="BA108" s="3" t="s">
        <v>130</v>
      </c>
      <c r="BB108" s="3" t="s">
        <v>261</v>
      </c>
      <c r="BC108" s="3" t="s">
        <v>130</v>
      </c>
      <c r="BD108" s="3" t="s">
        <v>130</v>
      </c>
      <c r="BE108" s="3" t="s">
        <v>111</v>
      </c>
      <c r="BF108" s="3" t="s">
        <v>111</v>
      </c>
      <c r="BG108" s="59" t="s">
        <v>234</v>
      </c>
      <c r="BH108" s="59" t="s">
        <v>171</v>
      </c>
      <c r="BI108" s="45">
        <v>46539</v>
      </c>
      <c r="BJ108" s="45">
        <v>46569</v>
      </c>
      <c r="BK108" s="3" t="s">
        <v>109</v>
      </c>
      <c r="BL108" s="3" t="s">
        <v>114</v>
      </c>
      <c r="BM108" s="3" t="s">
        <v>111</v>
      </c>
      <c r="BN108" s="3" t="s">
        <v>111</v>
      </c>
      <c r="BO108" s="3" t="s">
        <v>115</v>
      </c>
      <c r="BP108" s="3"/>
      <c r="BQ108" s="3"/>
      <c r="BR108" s="3"/>
      <c r="BS108" s="3"/>
      <c r="BT108" s="3"/>
      <c r="BU108" s="3"/>
      <c r="BV108" s="3"/>
      <c r="BW108" s="3" t="s">
        <v>184</v>
      </c>
      <c r="BX108" s="3"/>
      <c r="BY108" s="3"/>
      <c r="BZ108" s="3"/>
      <c r="CA108" s="3"/>
      <c r="CB108" s="112" t="s">
        <v>118</v>
      </c>
      <c r="CC108" s="112" t="s">
        <v>109</v>
      </c>
      <c r="CD108" s="3"/>
      <c r="CE108" s="3"/>
      <c r="CF108" s="112"/>
      <c r="CG108" s="112"/>
      <c r="CH108" s="133"/>
      <c r="CI108" s="112" t="str">
        <f t="shared" si="14"/>
        <v>Feb'24</v>
      </c>
      <c r="CJ108" s="112" t="s">
        <v>132</v>
      </c>
      <c r="CK108" s="112"/>
      <c r="CL108" s="112"/>
    </row>
    <row r="109" spans="1:92" s="4" customFormat="1" ht="51" customHeight="1" x14ac:dyDescent="0.25">
      <c r="A109" s="109">
        <v>150</v>
      </c>
      <c r="B109" s="206" t="s">
        <v>629</v>
      </c>
      <c r="C109" s="109" t="s">
        <v>630</v>
      </c>
      <c r="D109" s="109" t="s">
        <v>190</v>
      </c>
      <c r="E109" s="109">
        <v>2072</v>
      </c>
      <c r="F109" s="109">
        <v>9420949475</v>
      </c>
      <c r="G109" s="109" t="s">
        <v>142</v>
      </c>
      <c r="H109" s="109" t="s">
        <v>122</v>
      </c>
      <c r="I109" s="109" t="s">
        <v>143</v>
      </c>
      <c r="J109" s="109" t="s">
        <v>144</v>
      </c>
      <c r="K109" s="109" t="s">
        <v>631</v>
      </c>
      <c r="L109" s="109" t="s">
        <v>105</v>
      </c>
      <c r="M109" s="236">
        <v>45366</v>
      </c>
      <c r="N109" s="237">
        <f t="shared" ca="1" si="11"/>
        <v>811</v>
      </c>
      <c r="O109" s="237" t="str">
        <f t="shared" ca="1" si="12"/>
        <v>2-3Y</v>
      </c>
      <c r="P109" s="198" t="s">
        <v>158</v>
      </c>
      <c r="Q109" s="109" t="s">
        <v>125</v>
      </c>
      <c r="R109" s="109" t="s">
        <v>108</v>
      </c>
      <c r="S109" s="129">
        <v>50</v>
      </c>
      <c r="T109" s="129">
        <v>150</v>
      </c>
      <c r="U109" s="129">
        <f t="shared" si="13"/>
        <v>200</v>
      </c>
      <c r="V109" s="109"/>
      <c r="W109" s="109" t="s">
        <v>109</v>
      </c>
      <c r="X109" s="109" t="s">
        <v>493</v>
      </c>
      <c r="Y109" s="238"/>
      <c r="Z109" s="109"/>
      <c r="AA109" s="109"/>
      <c r="AB109" s="109"/>
      <c r="AC109" s="109"/>
      <c r="AD109" s="249">
        <f t="shared" si="16"/>
        <v>46539</v>
      </c>
      <c r="AE109" s="249">
        <f t="shared" si="17"/>
        <v>46570</v>
      </c>
      <c r="AF109" s="109" t="s">
        <v>109</v>
      </c>
      <c r="AG109" s="109" t="s">
        <v>111</v>
      </c>
      <c r="AH109" s="109" t="s">
        <v>111</v>
      </c>
      <c r="AI109" s="109" t="s">
        <v>115</v>
      </c>
      <c r="AJ109" s="109" t="s">
        <v>115</v>
      </c>
      <c r="AK109" s="109" t="s">
        <v>181</v>
      </c>
      <c r="AL109" s="239">
        <v>46539</v>
      </c>
      <c r="AM109" s="109" t="s">
        <v>109</v>
      </c>
      <c r="AN109" s="109" t="s">
        <v>109</v>
      </c>
      <c r="AO109" s="109"/>
      <c r="AP109" s="109"/>
      <c r="AQ109" s="109"/>
      <c r="AR109" s="109" t="s">
        <v>502</v>
      </c>
      <c r="AS109" s="249">
        <f t="shared" si="18"/>
        <v>46570</v>
      </c>
      <c r="AT109" s="109" t="s">
        <v>109</v>
      </c>
      <c r="AU109" s="3" t="s">
        <v>298</v>
      </c>
      <c r="AV109" s="109"/>
      <c r="AW109" s="109"/>
      <c r="AX109" s="109" t="s">
        <v>109</v>
      </c>
      <c r="AY109" s="109" t="s">
        <v>109</v>
      </c>
      <c r="AZ109" s="109" t="s">
        <v>261</v>
      </c>
      <c r="BA109" s="109" t="s">
        <v>130</v>
      </c>
      <c r="BB109" s="109" t="s">
        <v>130</v>
      </c>
      <c r="BC109" s="109" t="s">
        <v>130</v>
      </c>
      <c r="BD109" s="109" t="s">
        <v>111</v>
      </c>
      <c r="BE109" s="109" t="s">
        <v>130</v>
      </c>
      <c r="BF109" s="109" t="s">
        <v>130</v>
      </c>
      <c r="BG109" s="109" t="s">
        <v>332</v>
      </c>
      <c r="BH109" s="109"/>
      <c r="BI109" s="239"/>
      <c r="BJ109" s="239"/>
      <c r="BK109" s="109" t="s">
        <v>109</v>
      </c>
      <c r="BL109" s="109"/>
      <c r="BM109" s="109" t="s">
        <v>111</v>
      </c>
      <c r="BN109" s="109" t="s">
        <v>111</v>
      </c>
      <c r="BO109" s="109" t="s">
        <v>115</v>
      </c>
      <c r="BP109" s="109"/>
      <c r="BQ109" s="109"/>
      <c r="BR109" s="109"/>
      <c r="BS109" s="109"/>
      <c r="BT109" s="109"/>
      <c r="BU109" s="109"/>
      <c r="BV109" s="109"/>
      <c r="BW109" s="109" t="s">
        <v>184</v>
      </c>
      <c r="BX109" s="109"/>
      <c r="BY109" s="109"/>
      <c r="BZ109" s="109"/>
      <c r="CA109" s="109"/>
      <c r="CB109" s="112" t="s">
        <v>118</v>
      </c>
      <c r="CC109" s="112" t="s">
        <v>109</v>
      </c>
      <c r="CD109" s="3"/>
      <c r="CE109" s="3"/>
      <c r="CF109" s="112"/>
      <c r="CG109" s="112"/>
      <c r="CH109" s="133"/>
      <c r="CI109" s="112" t="str">
        <f t="shared" si="14"/>
        <v>Mar'24</v>
      </c>
      <c r="CJ109" s="112" t="s">
        <v>132</v>
      </c>
      <c r="CK109" s="256"/>
      <c r="CL109" s="192"/>
      <c r="CM109" s="6"/>
      <c r="CN109" s="6"/>
    </row>
    <row r="110" spans="1:92" s="4" customFormat="1" ht="71.25" customHeight="1" x14ac:dyDescent="0.25">
      <c r="A110" s="3">
        <v>163</v>
      </c>
      <c r="B110" s="206" t="s">
        <v>632</v>
      </c>
      <c r="C110" s="109" t="s">
        <v>633</v>
      </c>
      <c r="D110" s="3" t="s">
        <v>135</v>
      </c>
      <c r="E110" s="59">
        <v>1580</v>
      </c>
      <c r="F110" s="3">
        <v>8208644541</v>
      </c>
      <c r="G110" s="3" t="s">
        <v>634</v>
      </c>
      <c r="H110" s="3" t="s">
        <v>122</v>
      </c>
      <c r="I110" s="3" t="s">
        <v>143</v>
      </c>
      <c r="J110" s="3" t="s">
        <v>144</v>
      </c>
      <c r="K110" s="3" t="s">
        <v>635</v>
      </c>
      <c r="L110" s="3" t="s">
        <v>105</v>
      </c>
      <c r="M110" s="56">
        <v>45458</v>
      </c>
      <c r="N110" s="69">
        <f t="shared" ca="1" si="11"/>
        <v>719</v>
      </c>
      <c r="O110" s="72" t="str">
        <f t="shared" ca="1" si="12"/>
        <v>1-2Y</v>
      </c>
      <c r="P110" s="198" t="s">
        <v>137</v>
      </c>
      <c r="Q110" s="3" t="s">
        <v>192</v>
      </c>
      <c r="R110" s="3" t="s">
        <v>164</v>
      </c>
      <c r="S110" s="129">
        <v>40</v>
      </c>
      <c r="T110" s="129">
        <v>70</v>
      </c>
      <c r="U110" s="129">
        <f t="shared" si="13"/>
        <v>110</v>
      </c>
      <c r="V110" s="3"/>
      <c r="W110" s="3" t="s">
        <v>109</v>
      </c>
      <c r="X110" s="3" t="s">
        <v>493</v>
      </c>
      <c r="Y110" s="60">
        <f>+IF(AO110="Approved","Yes",AS110)</f>
        <v>46570</v>
      </c>
      <c r="Z110" s="3"/>
      <c r="AA110" s="3"/>
      <c r="AB110" s="3"/>
      <c r="AC110" s="3"/>
      <c r="AD110" s="249">
        <f t="shared" si="16"/>
        <v>46539</v>
      </c>
      <c r="AE110" s="249">
        <f t="shared" si="17"/>
        <v>46570</v>
      </c>
      <c r="AF110" s="3" t="s">
        <v>109</v>
      </c>
      <c r="AG110" s="3"/>
      <c r="AH110" s="3"/>
      <c r="AI110" s="3" t="s">
        <v>115</v>
      </c>
      <c r="AJ110" s="3" t="s">
        <v>115</v>
      </c>
      <c r="AK110" s="3"/>
      <c r="AL110" s="45">
        <v>46539</v>
      </c>
      <c r="AM110" s="3" t="s">
        <v>109</v>
      </c>
      <c r="AN110" s="3" t="s">
        <v>109</v>
      </c>
      <c r="AO110" s="3"/>
      <c r="AP110" s="3"/>
      <c r="AQ110" s="3"/>
      <c r="AR110" s="109" t="s">
        <v>352</v>
      </c>
      <c r="AS110" s="249">
        <f t="shared" si="18"/>
        <v>46570</v>
      </c>
      <c r="AT110" s="3" t="s">
        <v>109</v>
      </c>
      <c r="AU110" s="3" t="s">
        <v>298</v>
      </c>
      <c r="AV110" s="109" t="s">
        <v>432</v>
      </c>
      <c r="AW110" s="3" t="s">
        <v>111</v>
      </c>
      <c r="AX110" s="3" t="s">
        <v>171</v>
      </c>
      <c r="AY110" s="3" t="s">
        <v>114</v>
      </c>
      <c r="AZ110" s="3" t="s">
        <v>130</v>
      </c>
      <c r="BA110" s="3" t="s">
        <v>253</v>
      </c>
      <c r="BB110" s="3" t="s">
        <v>253</v>
      </c>
      <c r="BC110" s="3" t="s">
        <v>253</v>
      </c>
      <c r="BD110" s="3" t="s">
        <v>111</v>
      </c>
      <c r="BE110" s="3" t="s">
        <v>111</v>
      </c>
      <c r="BF110" s="3" t="s">
        <v>111</v>
      </c>
      <c r="BG110" s="3" t="s">
        <v>234</v>
      </c>
      <c r="BH110" s="3" t="s">
        <v>90</v>
      </c>
      <c r="BI110" s="45">
        <v>46568</v>
      </c>
      <c r="BJ110" s="45">
        <v>46595</v>
      </c>
      <c r="BK110" s="3" t="s">
        <v>109</v>
      </c>
      <c r="BL110" s="3" t="s">
        <v>114</v>
      </c>
      <c r="BM110" s="3" t="s">
        <v>111</v>
      </c>
      <c r="BN110" s="3" t="s">
        <v>111</v>
      </c>
      <c r="BO110" s="3" t="s">
        <v>115</v>
      </c>
      <c r="BP110" s="3"/>
      <c r="BQ110" s="3"/>
      <c r="BR110" s="3"/>
      <c r="BS110" s="3"/>
      <c r="BT110" s="3"/>
      <c r="BU110" s="3"/>
      <c r="BV110" s="3"/>
      <c r="BW110" s="3" t="s">
        <v>184</v>
      </c>
      <c r="BX110" s="3"/>
      <c r="BY110" s="3"/>
      <c r="BZ110" s="3"/>
      <c r="CA110" s="3"/>
      <c r="CB110" s="112" t="s">
        <v>118</v>
      </c>
      <c r="CC110" s="112" t="s">
        <v>109</v>
      </c>
      <c r="CD110" s="3"/>
      <c r="CE110" s="3"/>
      <c r="CF110" s="112"/>
      <c r="CG110" s="112"/>
      <c r="CH110" s="133"/>
      <c r="CI110" s="112" t="str">
        <f t="shared" si="14"/>
        <v>Jun'24</v>
      </c>
      <c r="CJ110" s="112" t="s">
        <v>192</v>
      </c>
      <c r="CK110" s="112"/>
      <c r="CL110" s="192"/>
    </row>
    <row r="111" spans="1:92" s="4" customFormat="1" ht="94.5" customHeight="1" x14ac:dyDescent="0.25">
      <c r="A111" s="3">
        <v>164</v>
      </c>
      <c r="B111" s="206" t="s">
        <v>636</v>
      </c>
      <c r="C111" s="109" t="s">
        <v>637</v>
      </c>
      <c r="D111" s="3" t="s">
        <v>99</v>
      </c>
      <c r="E111" s="59">
        <v>1584</v>
      </c>
      <c r="F111" s="3">
        <v>9764501616</v>
      </c>
      <c r="G111" s="3" t="s">
        <v>169</v>
      </c>
      <c r="H111" s="3" t="s">
        <v>122</v>
      </c>
      <c r="I111" s="3" t="s">
        <v>143</v>
      </c>
      <c r="J111" s="3" t="s">
        <v>144</v>
      </c>
      <c r="K111" s="3" t="s">
        <v>638</v>
      </c>
      <c r="L111" s="3" t="s">
        <v>105</v>
      </c>
      <c r="M111" s="56">
        <v>45458</v>
      </c>
      <c r="N111" s="69">
        <f t="shared" ca="1" si="11"/>
        <v>719</v>
      </c>
      <c r="O111" s="72" t="str">
        <f t="shared" ca="1" si="12"/>
        <v>1-2Y</v>
      </c>
      <c r="P111" s="198" t="s">
        <v>106</v>
      </c>
      <c r="Q111" s="3" t="s">
        <v>192</v>
      </c>
      <c r="R111" s="3" t="s">
        <v>108</v>
      </c>
      <c r="S111" s="129">
        <v>40</v>
      </c>
      <c r="T111" s="129">
        <v>110</v>
      </c>
      <c r="U111" s="129">
        <f t="shared" si="13"/>
        <v>150</v>
      </c>
      <c r="V111" s="3"/>
      <c r="W111" s="3" t="s">
        <v>109</v>
      </c>
      <c r="X111" s="3" t="s">
        <v>493</v>
      </c>
      <c r="Y111" s="60">
        <f>+IF(AO111="Approved","Yes",AS111)</f>
        <v>46570</v>
      </c>
      <c r="Z111" s="3"/>
      <c r="AA111" s="3"/>
      <c r="AB111" s="3"/>
      <c r="AC111" s="3"/>
      <c r="AD111" s="249">
        <f t="shared" si="16"/>
        <v>46539</v>
      </c>
      <c r="AE111" s="249">
        <f t="shared" ref="AE111:AE142" si="19">+AS111</f>
        <v>46570</v>
      </c>
      <c r="AF111" s="3" t="s">
        <v>109</v>
      </c>
      <c r="AG111" s="3"/>
      <c r="AH111" s="3"/>
      <c r="AI111" s="3" t="s">
        <v>115</v>
      </c>
      <c r="AJ111" s="3" t="s">
        <v>115</v>
      </c>
      <c r="AK111" s="3" t="s">
        <v>181</v>
      </c>
      <c r="AL111" s="45">
        <v>46539</v>
      </c>
      <c r="AM111" s="3" t="s">
        <v>109</v>
      </c>
      <c r="AN111" s="3" t="s">
        <v>109</v>
      </c>
      <c r="AO111" s="3"/>
      <c r="AP111" s="3"/>
      <c r="AQ111" s="3"/>
      <c r="AR111" s="109" t="s">
        <v>639</v>
      </c>
      <c r="AS111" s="249">
        <f t="shared" si="18"/>
        <v>46570</v>
      </c>
      <c r="AT111" s="3" t="s">
        <v>109</v>
      </c>
      <c r="AU111" s="3" t="s">
        <v>298</v>
      </c>
      <c r="AV111" s="109" t="s">
        <v>640</v>
      </c>
      <c r="AW111" s="3" t="s">
        <v>171</v>
      </c>
      <c r="AX111" s="3" t="s">
        <v>109</v>
      </c>
      <c r="AY111" s="3" t="s">
        <v>109</v>
      </c>
      <c r="AZ111" s="3" t="s">
        <v>348</v>
      </c>
      <c r="BA111" s="3" t="s">
        <v>348</v>
      </c>
      <c r="BB111" s="3" t="s">
        <v>348</v>
      </c>
      <c r="BC111" s="3" t="s">
        <v>348</v>
      </c>
      <c r="BD111" s="3" t="s">
        <v>348</v>
      </c>
      <c r="BE111" s="3" t="s">
        <v>111</v>
      </c>
      <c r="BF111" s="3" t="s">
        <v>111</v>
      </c>
      <c r="BG111" s="59" t="s">
        <v>533</v>
      </c>
      <c r="BH111" s="59" t="s">
        <v>90</v>
      </c>
      <c r="BI111" s="45">
        <v>46753</v>
      </c>
      <c r="BJ111" s="45">
        <v>46784</v>
      </c>
      <c r="BK111" s="3" t="s">
        <v>109</v>
      </c>
      <c r="BL111" s="3" t="s">
        <v>114</v>
      </c>
      <c r="BM111" s="3" t="s">
        <v>111</v>
      </c>
      <c r="BN111" s="3" t="s">
        <v>111</v>
      </c>
      <c r="BO111" s="3" t="s">
        <v>115</v>
      </c>
      <c r="BP111" s="3"/>
      <c r="BQ111" s="3"/>
      <c r="BR111" s="3"/>
      <c r="BS111" s="3"/>
      <c r="BT111" s="3"/>
      <c r="BU111" s="3"/>
      <c r="BV111" s="3"/>
      <c r="BW111" s="3" t="s">
        <v>184</v>
      </c>
      <c r="BX111" s="3"/>
      <c r="BY111" s="3"/>
      <c r="BZ111" s="3"/>
      <c r="CA111" s="3"/>
      <c r="CB111" s="112" t="s">
        <v>118</v>
      </c>
      <c r="CC111" s="112" t="s">
        <v>109</v>
      </c>
      <c r="CD111" s="3"/>
      <c r="CE111" s="3"/>
      <c r="CF111" s="112"/>
      <c r="CG111" s="112"/>
      <c r="CH111" s="133"/>
      <c r="CI111" s="112" t="str">
        <f t="shared" si="14"/>
        <v>Jun'24</v>
      </c>
      <c r="CJ111" s="112" t="s">
        <v>192</v>
      </c>
      <c r="CK111" s="112"/>
      <c r="CL111" s="192"/>
    </row>
    <row r="112" spans="1:92" s="6" customFormat="1" ht="52.5" customHeight="1" x14ac:dyDescent="0.25">
      <c r="A112" s="3">
        <v>169</v>
      </c>
      <c r="B112" s="206" t="s">
        <v>641</v>
      </c>
      <c r="C112" s="109" t="s">
        <v>642</v>
      </c>
      <c r="D112" s="3" t="s">
        <v>99</v>
      </c>
      <c r="E112" s="59">
        <v>1709</v>
      </c>
      <c r="F112" s="3">
        <v>8975758779</v>
      </c>
      <c r="G112" s="3" t="s">
        <v>142</v>
      </c>
      <c r="H112" s="3" t="s">
        <v>122</v>
      </c>
      <c r="I112" s="3" t="s">
        <v>143</v>
      </c>
      <c r="J112" s="3" t="s">
        <v>144</v>
      </c>
      <c r="K112" s="3" t="s">
        <v>643</v>
      </c>
      <c r="L112" s="3" t="s">
        <v>105</v>
      </c>
      <c r="M112" s="56">
        <v>45458</v>
      </c>
      <c r="N112" s="69">
        <f t="shared" ca="1" si="11"/>
        <v>719</v>
      </c>
      <c r="O112" s="72" t="str">
        <f t="shared" ca="1" si="12"/>
        <v>1-2Y</v>
      </c>
      <c r="P112" s="198" t="s">
        <v>106</v>
      </c>
      <c r="Q112" s="3" t="s">
        <v>125</v>
      </c>
      <c r="R112" s="3" t="s">
        <v>108</v>
      </c>
      <c r="S112" s="129">
        <v>40</v>
      </c>
      <c r="T112" s="129">
        <v>120</v>
      </c>
      <c r="U112" s="129">
        <f t="shared" si="13"/>
        <v>160</v>
      </c>
      <c r="V112" s="3"/>
      <c r="W112" s="3" t="s">
        <v>109</v>
      </c>
      <c r="X112" s="3" t="s">
        <v>493</v>
      </c>
      <c r="Y112" s="60"/>
      <c r="Z112" s="3"/>
      <c r="AA112" s="3"/>
      <c r="AB112" s="3"/>
      <c r="AC112" s="3"/>
      <c r="AD112" s="249">
        <f t="shared" si="16"/>
        <v>46539</v>
      </c>
      <c r="AE112" s="249">
        <f t="shared" si="19"/>
        <v>46570</v>
      </c>
      <c r="AF112" s="3" t="s">
        <v>109</v>
      </c>
      <c r="AG112" s="3"/>
      <c r="AH112" s="3"/>
      <c r="AI112" s="3" t="s">
        <v>115</v>
      </c>
      <c r="AJ112" s="3" t="s">
        <v>115</v>
      </c>
      <c r="AK112" s="3" t="s">
        <v>181</v>
      </c>
      <c r="AL112" s="45">
        <v>46539</v>
      </c>
      <c r="AM112" s="3" t="s">
        <v>109</v>
      </c>
      <c r="AN112" s="3" t="s">
        <v>109</v>
      </c>
      <c r="AO112" s="3"/>
      <c r="AP112" s="3"/>
      <c r="AQ112" s="3"/>
      <c r="AR112" s="109" t="s">
        <v>644</v>
      </c>
      <c r="AS112" s="249">
        <f t="shared" si="18"/>
        <v>46570</v>
      </c>
      <c r="AT112" s="3" t="s">
        <v>109</v>
      </c>
      <c r="AU112" s="3" t="s">
        <v>171</v>
      </c>
      <c r="AV112" s="109" t="s">
        <v>645</v>
      </c>
      <c r="AW112" s="3" t="s">
        <v>109</v>
      </c>
      <c r="AX112" s="3" t="s">
        <v>348</v>
      </c>
      <c r="AY112" s="3" t="s">
        <v>348</v>
      </c>
      <c r="AZ112" s="3" t="s">
        <v>348</v>
      </c>
      <c r="BA112" s="3" t="s">
        <v>348</v>
      </c>
      <c r="BB112" s="3" t="s">
        <v>348</v>
      </c>
      <c r="BC112" s="3" t="s">
        <v>348</v>
      </c>
      <c r="BD112" s="3" t="s">
        <v>348</v>
      </c>
      <c r="BE112" s="3" t="s">
        <v>111</v>
      </c>
      <c r="BF112" s="3" t="s">
        <v>111</v>
      </c>
      <c r="BG112" s="59" t="s">
        <v>533</v>
      </c>
      <c r="BH112" s="59" t="s">
        <v>90</v>
      </c>
      <c r="BI112" s="45" t="s">
        <v>111</v>
      </c>
      <c r="BJ112" s="45" t="s">
        <v>111</v>
      </c>
      <c r="BK112" s="3"/>
      <c r="BL112" s="3"/>
      <c r="BM112" s="3" t="s">
        <v>111</v>
      </c>
      <c r="BN112" s="3" t="s">
        <v>111</v>
      </c>
      <c r="BO112" s="3" t="s">
        <v>115</v>
      </c>
      <c r="BP112" s="3"/>
      <c r="BQ112" s="3"/>
      <c r="BR112" s="3"/>
      <c r="BS112" s="3"/>
      <c r="BT112" s="3"/>
      <c r="BU112" s="3"/>
      <c r="BV112" s="3"/>
      <c r="BW112" s="3" t="s">
        <v>184</v>
      </c>
      <c r="BX112" s="3"/>
      <c r="BY112" s="3"/>
      <c r="BZ112" s="3"/>
      <c r="CA112" s="3"/>
      <c r="CB112" s="112" t="s">
        <v>118</v>
      </c>
      <c r="CC112" s="112" t="s">
        <v>109</v>
      </c>
      <c r="CD112" s="3"/>
      <c r="CE112" s="3"/>
      <c r="CF112" s="112"/>
      <c r="CG112" s="112"/>
      <c r="CH112" s="133"/>
      <c r="CI112" s="112" t="str">
        <f t="shared" si="14"/>
        <v>Jun'24</v>
      </c>
      <c r="CJ112" s="112" t="s">
        <v>132</v>
      </c>
      <c r="CK112" s="112"/>
      <c r="CL112" s="112"/>
      <c r="CM112" s="4"/>
      <c r="CN112" s="4"/>
    </row>
    <row r="113" spans="1:92" s="4" customFormat="1" ht="73.5" customHeight="1" x14ac:dyDescent="0.25">
      <c r="A113" s="3">
        <v>177</v>
      </c>
      <c r="B113" s="206" t="s">
        <v>646</v>
      </c>
      <c r="C113" s="109" t="s">
        <v>647</v>
      </c>
      <c r="D113" s="3" t="s">
        <v>156</v>
      </c>
      <c r="E113" s="59">
        <v>1737</v>
      </c>
      <c r="F113" s="3">
        <v>7447535656</v>
      </c>
      <c r="G113" s="3" t="s">
        <v>169</v>
      </c>
      <c r="H113" s="3" t="s">
        <v>122</v>
      </c>
      <c r="I113" s="3" t="s">
        <v>143</v>
      </c>
      <c r="J113" s="3" t="s">
        <v>144</v>
      </c>
      <c r="K113" s="3" t="s">
        <v>648</v>
      </c>
      <c r="L113" s="3" t="s">
        <v>105</v>
      </c>
      <c r="M113" s="56">
        <v>45460</v>
      </c>
      <c r="N113" s="69">
        <f t="shared" ca="1" si="11"/>
        <v>717</v>
      </c>
      <c r="O113" s="72" t="str">
        <f t="shared" ca="1" si="12"/>
        <v>1-2Y</v>
      </c>
      <c r="P113" s="198" t="s">
        <v>158</v>
      </c>
      <c r="Q113" s="3" t="s">
        <v>192</v>
      </c>
      <c r="R113" s="3" t="s">
        <v>108</v>
      </c>
      <c r="S113" s="129">
        <v>30</v>
      </c>
      <c r="T113" s="129">
        <v>70</v>
      </c>
      <c r="U113" s="129">
        <f t="shared" si="13"/>
        <v>100</v>
      </c>
      <c r="V113" s="3"/>
      <c r="W113" s="3" t="s">
        <v>109</v>
      </c>
      <c r="X113" s="3" t="s">
        <v>493</v>
      </c>
      <c r="Y113" s="60">
        <f>+IF(AO113="Approved","Yes",AS113)</f>
        <v>46570</v>
      </c>
      <c r="Z113" s="3"/>
      <c r="AA113" s="3"/>
      <c r="AB113" s="3"/>
      <c r="AC113" s="3"/>
      <c r="AD113" s="249">
        <f t="shared" si="16"/>
        <v>46539</v>
      </c>
      <c r="AE113" s="249">
        <f t="shared" si="19"/>
        <v>46570</v>
      </c>
      <c r="AF113" s="3" t="s">
        <v>109</v>
      </c>
      <c r="AG113" s="3"/>
      <c r="AH113" s="3"/>
      <c r="AI113" s="3" t="s">
        <v>115</v>
      </c>
      <c r="AJ113" s="3" t="s">
        <v>115</v>
      </c>
      <c r="AK113" s="3" t="s">
        <v>181</v>
      </c>
      <c r="AL113" s="45">
        <v>46539</v>
      </c>
      <c r="AM113" s="3" t="s">
        <v>109</v>
      </c>
      <c r="AN113" s="3" t="s">
        <v>109</v>
      </c>
      <c r="AO113" s="3"/>
      <c r="AP113" s="3"/>
      <c r="AQ113" s="3"/>
      <c r="AR113" s="109" t="s">
        <v>352</v>
      </c>
      <c r="AS113" s="249">
        <f t="shared" si="18"/>
        <v>46570</v>
      </c>
      <c r="AT113" s="3" t="s">
        <v>109</v>
      </c>
      <c r="AU113" s="3" t="s">
        <v>298</v>
      </c>
      <c r="AV113" s="3" t="s">
        <v>111</v>
      </c>
      <c r="AW113" s="3" t="s">
        <v>111</v>
      </c>
      <c r="AX113" s="3" t="s">
        <v>109</v>
      </c>
      <c r="AY113" s="3" t="s">
        <v>109</v>
      </c>
      <c r="AZ113" s="3" t="s">
        <v>130</v>
      </c>
      <c r="BA113" s="3" t="s">
        <v>130</v>
      </c>
      <c r="BB113" s="3" t="s">
        <v>649</v>
      </c>
      <c r="BC113" s="3" t="s">
        <v>111</v>
      </c>
      <c r="BD113" s="3" t="s">
        <v>111</v>
      </c>
      <c r="BE113" s="3" t="s">
        <v>130</v>
      </c>
      <c r="BF113" s="3" t="s">
        <v>130</v>
      </c>
      <c r="BG113" s="59" t="s">
        <v>259</v>
      </c>
      <c r="BH113" s="59" t="s">
        <v>111</v>
      </c>
      <c r="BI113" s="45">
        <v>46569</v>
      </c>
      <c r="BJ113" s="45">
        <v>46569</v>
      </c>
      <c r="BK113" s="3" t="s">
        <v>109</v>
      </c>
      <c r="BL113" s="3"/>
      <c r="BM113" s="3" t="s">
        <v>111</v>
      </c>
      <c r="BN113" s="3" t="s">
        <v>111</v>
      </c>
      <c r="BO113" s="3" t="s">
        <v>115</v>
      </c>
      <c r="BP113" s="3"/>
      <c r="BQ113" s="3"/>
      <c r="BR113" s="3"/>
      <c r="BS113" s="3"/>
      <c r="BT113" s="3"/>
      <c r="BU113" s="3"/>
      <c r="BV113" s="3"/>
      <c r="BW113" s="3" t="s">
        <v>184</v>
      </c>
      <c r="BX113" s="3"/>
      <c r="BY113" s="3"/>
      <c r="BZ113" s="3"/>
      <c r="CA113" s="3"/>
      <c r="CB113" s="112" t="s">
        <v>118</v>
      </c>
      <c r="CC113" s="112" t="s">
        <v>109</v>
      </c>
      <c r="CD113" s="3"/>
      <c r="CE113" s="3"/>
      <c r="CF113" s="112"/>
      <c r="CG113" s="112"/>
      <c r="CH113" s="133"/>
      <c r="CI113" s="112" t="str">
        <f t="shared" si="14"/>
        <v>Jun'24</v>
      </c>
      <c r="CJ113" s="112" t="s">
        <v>192</v>
      </c>
      <c r="CK113" s="112"/>
      <c r="CL113" s="192"/>
      <c r="CM113" s="6"/>
      <c r="CN113" s="6"/>
    </row>
    <row r="114" spans="1:92" s="192" customFormat="1" ht="94.5" customHeight="1" x14ac:dyDescent="0.25">
      <c r="A114" s="3">
        <v>178</v>
      </c>
      <c r="B114" s="206" t="s">
        <v>650</v>
      </c>
      <c r="C114" s="109" t="s">
        <v>651</v>
      </c>
      <c r="D114" s="3" t="s">
        <v>156</v>
      </c>
      <c r="E114" s="59">
        <v>1756</v>
      </c>
      <c r="F114" s="3">
        <v>7756010203</v>
      </c>
      <c r="G114" s="3" t="s">
        <v>142</v>
      </c>
      <c r="H114" s="3" t="s">
        <v>122</v>
      </c>
      <c r="I114" s="3" t="s">
        <v>143</v>
      </c>
      <c r="J114" s="3" t="s">
        <v>144</v>
      </c>
      <c r="K114" s="3" t="s">
        <v>652</v>
      </c>
      <c r="L114" s="3" t="s">
        <v>105</v>
      </c>
      <c r="M114" s="56">
        <v>45460</v>
      </c>
      <c r="N114" s="69">
        <f t="shared" ca="1" si="11"/>
        <v>717</v>
      </c>
      <c r="O114" s="72" t="str">
        <f t="shared" ca="1" si="12"/>
        <v>1-2Y</v>
      </c>
      <c r="P114" s="198" t="s">
        <v>158</v>
      </c>
      <c r="Q114" s="3" t="s">
        <v>125</v>
      </c>
      <c r="R114" s="3" t="s">
        <v>108</v>
      </c>
      <c r="S114" s="129">
        <v>40</v>
      </c>
      <c r="T114" s="129">
        <v>110</v>
      </c>
      <c r="U114" s="129">
        <f t="shared" si="13"/>
        <v>150</v>
      </c>
      <c r="V114" s="3"/>
      <c r="W114" s="3" t="s">
        <v>109</v>
      </c>
      <c r="X114" s="3" t="s">
        <v>493</v>
      </c>
      <c r="Y114" s="60">
        <f>+IF(AO114="Approved","Yes",AS114)</f>
        <v>46570</v>
      </c>
      <c r="Z114" s="3"/>
      <c r="AA114" s="3"/>
      <c r="AB114" s="3"/>
      <c r="AC114" s="3"/>
      <c r="AD114" s="249">
        <f t="shared" si="16"/>
        <v>46539</v>
      </c>
      <c r="AE114" s="249">
        <f t="shared" si="19"/>
        <v>46570</v>
      </c>
      <c r="AF114" s="3" t="s">
        <v>109</v>
      </c>
      <c r="AG114" s="3"/>
      <c r="AH114" s="3"/>
      <c r="AI114" s="3" t="s">
        <v>115</v>
      </c>
      <c r="AJ114" s="3" t="s">
        <v>115</v>
      </c>
      <c r="AK114" s="3" t="s">
        <v>181</v>
      </c>
      <c r="AL114" s="45">
        <v>46539</v>
      </c>
      <c r="AM114" s="3" t="s">
        <v>109</v>
      </c>
      <c r="AN114" s="3" t="s">
        <v>109</v>
      </c>
      <c r="AO114" s="3"/>
      <c r="AP114" s="3"/>
      <c r="AQ114" s="3"/>
      <c r="AR114" s="109" t="s">
        <v>653</v>
      </c>
      <c r="AS114" s="249">
        <f t="shared" si="18"/>
        <v>46570</v>
      </c>
      <c r="AT114" s="3" t="s">
        <v>109</v>
      </c>
      <c r="AU114" s="3" t="s">
        <v>298</v>
      </c>
      <c r="AV114" s="109" t="s">
        <v>653</v>
      </c>
      <c r="AW114" s="3" t="s">
        <v>111</v>
      </c>
      <c r="AX114" s="3" t="s">
        <v>111</v>
      </c>
      <c r="AY114" s="3" t="s">
        <v>111</v>
      </c>
      <c r="AZ114" s="3" t="s">
        <v>111</v>
      </c>
      <c r="BA114" s="3" t="s">
        <v>111</v>
      </c>
      <c r="BB114" s="3" t="s">
        <v>111</v>
      </c>
      <c r="BC114" s="3" t="s">
        <v>111</v>
      </c>
      <c r="BD114" s="3" t="s">
        <v>111</v>
      </c>
      <c r="BE114" s="3" t="s">
        <v>111</v>
      </c>
      <c r="BF114" s="3" t="s">
        <v>111</v>
      </c>
      <c r="BG114" s="3" t="s">
        <v>111</v>
      </c>
      <c r="BH114" s="3" t="s">
        <v>111</v>
      </c>
      <c r="BI114" s="3" t="s">
        <v>111</v>
      </c>
      <c r="BJ114" s="3" t="s">
        <v>111</v>
      </c>
      <c r="BK114" s="3" t="s">
        <v>109</v>
      </c>
      <c r="BL114" s="3"/>
      <c r="BM114" s="3" t="s">
        <v>111</v>
      </c>
      <c r="BN114" s="3" t="s">
        <v>111</v>
      </c>
      <c r="BO114" s="3" t="s">
        <v>115</v>
      </c>
      <c r="BP114" s="3"/>
      <c r="BQ114" s="3"/>
      <c r="BR114" s="3"/>
      <c r="BS114" s="3"/>
      <c r="BT114" s="3"/>
      <c r="BU114" s="3"/>
      <c r="BV114" s="3"/>
      <c r="BW114" s="3" t="s">
        <v>184</v>
      </c>
      <c r="BX114" s="3"/>
      <c r="BY114" s="3"/>
      <c r="BZ114" s="3"/>
      <c r="CA114" s="3"/>
      <c r="CB114" s="112" t="s">
        <v>118</v>
      </c>
      <c r="CC114" s="112" t="s">
        <v>109</v>
      </c>
      <c r="CD114" s="3"/>
      <c r="CE114" s="3"/>
      <c r="CF114" s="112"/>
      <c r="CG114" s="112"/>
      <c r="CH114" s="133"/>
      <c r="CI114" s="112" t="str">
        <f t="shared" si="14"/>
        <v>Jun'24</v>
      </c>
      <c r="CJ114" s="112" t="s">
        <v>132</v>
      </c>
      <c r="CK114" s="112"/>
      <c r="CM114" s="4"/>
      <c r="CN114" s="4"/>
    </row>
    <row r="115" spans="1:92" s="6" customFormat="1" ht="45" customHeight="1" x14ac:dyDescent="0.25">
      <c r="A115" s="109">
        <v>176</v>
      </c>
      <c r="B115" s="206" t="s">
        <v>654</v>
      </c>
      <c r="C115" s="109" t="s">
        <v>655</v>
      </c>
      <c r="D115" s="109" t="s">
        <v>190</v>
      </c>
      <c r="E115" s="109">
        <v>1797</v>
      </c>
      <c r="F115" s="109">
        <v>7972857045</v>
      </c>
      <c r="G115" s="109" t="s">
        <v>169</v>
      </c>
      <c r="H115" s="109" t="s">
        <v>122</v>
      </c>
      <c r="I115" s="109" t="s">
        <v>143</v>
      </c>
      <c r="J115" s="109" t="s">
        <v>144</v>
      </c>
      <c r="K115" s="109" t="s">
        <v>656</v>
      </c>
      <c r="L115" s="109" t="s">
        <v>105</v>
      </c>
      <c r="M115" s="236">
        <v>45460</v>
      </c>
      <c r="N115" s="237">
        <f t="shared" ca="1" si="11"/>
        <v>717</v>
      </c>
      <c r="O115" s="237" t="str">
        <f t="shared" ca="1" si="12"/>
        <v>1-2Y</v>
      </c>
      <c r="P115" s="198" t="s">
        <v>158</v>
      </c>
      <c r="Q115" s="109" t="s">
        <v>125</v>
      </c>
      <c r="R115" s="109" t="s">
        <v>108</v>
      </c>
      <c r="S115" s="129">
        <v>25</v>
      </c>
      <c r="T115" s="129">
        <v>80</v>
      </c>
      <c r="U115" s="129">
        <f t="shared" si="13"/>
        <v>105</v>
      </c>
      <c r="V115" s="109"/>
      <c r="W115" s="109" t="s">
        <v>109</v>
      </c>
      <c r="X115" s="109" t="s">
        <v>493</v>
      </c>
      <c r="Y115" s="238">
        <f>+IF(AO115="Approved","Yes",AS115)</f>
        <v>46570</v>
      </c>
      <c r="Z115" s="109"/>
      <c r="AA115" s="109"/>
      <c r="AB115" s="109"/>
      <c r="AC115" s="109"/>
      <c r="AD115" s="249">
        <f t="shared" si="16"/>
        <v>46539</v>
      </c>
      <c r="AE115" s="249">
        <f t="shared" si="19"/>
        <v>46570</v>
      </c>
      <c r="AF115" s="109" t="s">
        <v>109</v>
      </c>
      <c r="AG115" s="109" t="s">
        <v>111</v>
      </c>
      <c r="AH115" s="109" t="s">
        <v>111</v>
      </c>
      <c r="AI115" s="109" t="s">
        <v>115</v>
      </c>
      <c r="AJ115" s="109" t="s">
        <v>115</v>
      </c>
      <c r="AK115" s="109" t="s">
        <v>181</v>
      </c>
      <c r="AL115" s="239">
        <v>46539</v>
      </c>
      <c r="AM115" s="109" t="s">
        <v>109</v>
      </c>
      <c r="AN115" s="109" t="s">
        <v>109</v>
      </c>
      <c r="AO115" s="109" t="s">
        <v>594</v>
      </c>
      <c r="AP115" s="109"/>
      <c r="AQ115" s="109"/>
      <c r="AR115" s="109" t="s">
        <v>657</v>
      </c>
      <c r="AS115" s="249">
        <f t="shared" si="18"/>
        <v>46570</v>
      </c>
      <c r="AT115" s="109" t="s">
        <v>109</v>
      </c>
      <c r="AU115" s="3" t="s">
        <v>298</v>
      </c>
      <c r="AV115" s="109"/>
      <c r="AW115" s="109"/>
      <c r="AX115" s="109" t="s">
        <v>109</v>
      </c>
      <c r="AY115" s="109" t="s">
        <v>109</v>
      </c>
      <c r="AZ115" s="109" t="s">
        <v>261</v>
      </c>
      <c r="BA115" s="109" t="s">
        <v>130</v>
      </c>
      <c r="BB115" s="109" t="s">
        <v>130</v>
      </c>
      <c r="BC115" s="109" t="s">
        <v>130</v>
      </c>
      <c r="BD115" s="109" t="s">
        <v>111</v>
      </c>
      <c r="BE115" s="109" t="s">
        <v>130</v>
      </c>
      <c r="BF115" s="109" t="s">
        <v>130</v>
      </c>
      <c r="BG115" s="109" t="s">
        <v>234</v>
      </c>
      <c r="BH115" s="109"/>
      <c r="BI115" s="239"/>
      <c r="BJ115" s="239"/>
      <c r="BK115" s="109" t="s">
        <v>109</v>
      </c>
      <c r="BL115" s="109"/>
      <c r="BM115" s="109" t="s">
        <v>111</v>
      </c>
      <c r="BN115" s="109" t="s">
        <v>111</v>
      </c>
      <c r="BO115" s="109" t="s">
        <v>115</v>
      </c>
      <c r="BP115" s="109"/>
      <c r="BQ115" s="109"/>
      <c r="BR115" s="109"/>
      <c r="BS115" s="109"/>
      <c r="BT115" s="109"/>
      <c r="BU115" s="109"/>
      <c r="BV115" s="109"/>
      <c r="BW115" s="109" t="s">
        <v>184</v>
      </c>
      <c r="BX115" s="109"/>
      <c r="BY115" s="109"/>
      <c r="BZ115" s="109" t="s">
        <v>658</v>
      </c>
      <c r="CA115" s="109"/>
      <c r="CB115" s="112" t="s">
        <v>118</v>
      </c>
      <c r="CC115" s="112" t="s">
        <v>109</v>
      </c>
      <c r="CD115" s="3"/>
      <c r="CE115" s="3"/>
      <c r="CF115" s="112"/>
      <c r="CG115" s="112"/>
      <c r="CH115" s="133"/>
      <c r="CI115" s="112" t="str">
        <f t="shared" si="14"/>
        <v>Jun'24</v>
      </c>
      <c r="CJ115" s="112" t="s">
        <v>132</v>
      </c>
      <c r="CK115" s="112"/>
      <c r="CL115" s="192"/>
      <c r="CM115" s="4"/>
      <c r="CN115" s="4"/>
    </row>
    <row r="116" spans="1:92" s="6" customFormat="1" ht="78" customHeight="1" x14ac:dyDescent="0.25">
      <c r="A116" s="3">
        <v>214</v>
      </c>
      <c r="B116" s="206" t="s">
        <v>659</v>
      </c>
      <c r="C116" s="109" t="s">
        <v>660</v>
      </c>
      <c r="D116" s="3" t="s">
        <v>121</v>
      </c>
      <c r="E116" s="59">
        <v>1962</v>
      </c>
      <c r="F116" s="3">
        <v>9850656135</v>
      </c>
      <c r="G116" s="3" t="s">
        <v>142</v>
      </c>
      <c r="H116" s="3" t="s">
        <v>122</v>
      </c>
      <c r="I116" s="3" t="s">
        <v>143</v>
      </c>
      <c r="J116" s="3" t="s">
        <v>144</v>
      </c>
      <c r="K116" s="3" t="s">
        <v>661</v>
      </c>
      <c r="L116" s="3" t="s">
        <v>105</v>
      </c>
      <c r="M116" s="56">
        <v>45483</v>
      </c>
      <c r="N116" s="69">
        <f t="shared" ca="1" si="11"/>
        <v>694</v>
      </c>
      <c r="O116" s="72" t="str">
        <f t="shared" ca="1" si="12"/>
        <v>1-2Y</v>
      </c>
      <c r="P116" s="198" t="s">
        <v>106</v>
      </c>
      <c r="Q116" s="3" t="s">
        <v>192</v>
      </c>
      <c r="R116" s="3" t="s">
        <v>108</v>
      </c>
      <c r="S116" s="129">
        <v>54</v>
      </c>
      <c r="T116" s="129">
        <v>100</v>
      </c>
      <c r="U116" s="129">
        <f t="shared" si="13"/>
        <v>154</v>
      </c>
      <c r="V116" s="3"/>
      <c r="W116" s="3" t="s">
        <v>109</v>
      </c>
      <c r="X116" s="3" t="s">
        <v>493</v>
      </c>
      <c r="Y116" s="60">
        <f>+IF(AO116="Approved","Yes",AS116)</f>
        <v>46570</v>
      </c>
      <c r="Z116" s="3"/>
      <c r="AA116" s="3"/>
      <c r="AB116" s="3"/>
      <c r="AC116" s="3"/>
      <c r="AD116" s="249">
        <f t="shared" si="16"/>
        <v>46539</v>
      </c>
      <c r="AE116" s="249">
        <f t="shared" si="19"/>
        <v>46570</v>
      </c>
      <c r="AF116" s="3" t="s">
        <v>109</v>
      </c>
      <c r="AG116" s="3"/>
      <c r="AH116" s="3"/>
      <c r="AI116" s="3" t="s">
        <v>115</v>
      </c>
      <c r="AJ116" s="3" t="s">
        <v>115</v>
      </c>
      <c r="AK116" s="3" t="s">
        <v>181</v>
      </c>
      <c r="AL116" s="45">
        <v>46539</v>
      </c>
      <c r="AM116" s="3" t="s">
        <v>109</v>
      </c>
      <c r="AN116" s="3" t="s">
        <v>109</v>
      </c>
      <c r="AO116" s="3"/>
      <c r="AP116" s="3"/>
      <c r="AQ116" s="3"/>
      <c r="AR116" s="109" t="s">
        <v>662</v>
      </c>
      <c r="AS116" s="249">
        <f t="shared" si="18"/>
        <v>46570</v>
      </c>
      <c r="AT116" s="3" t="s">
        <v>109</v>
      </c>
      <c r="AU116" s="3" t="s">
        <v>298</v>
      </c>
      <c r="AV116" s="3"/>
      <c r="AW116" s="3" t="s">
        <v>111</v>
      </c>
      <c r="AX116" s="3" t="s">
        <v>109</v>
      </c>
      <c r="AY116" s="3" t="s">
        <v>109</v>
      </c>
      <c r="AZ116" s="3" t="s">
        <v>130</v>
      </c>
      <c r="BA116" s="3" t="s">
        <v>130</v>
      </c>
      <c r="BB116" s="3" t="s">
        <v>261</v>
      </c>
      <c r="BC116" s="3" t="s">
        <v>114</v>
      </c>
      <c r="BD116" s="3" t="s">
        <v>114</v>
      </c>
      <c r="BE116" s="3" t="s">
        <v>111</v>
      </c>
      <c r="BF116" s="3" t="s">
        <v>111</v>
      </c>
      <c r="BG116" s="59" t="s">
        <v>234</v>
      </c>
      <c r="BH116" s="59" t="s">
        <v>171</v>
      </c>
      <c r="BI116" s="45">
        <v>46539</v>
      </c>
      <c r="BJ116" s="45">
        <v>46569</v>
      </c>
      <c r="BK116" s="3" t="s">
        <v>109</v>
      </c>
      <c r="BL116" s="3" t="s">
        <v>114</v>
      </c>
      <c r="BM116" s="3" t="s">
        <v>111</v>
      </c>
      <c r="BN116" s="3" t="s">
        <v>111</v>
      </c>
      <c r="BO116" s="3" t="s">
        <v>115</v>
      </c>
      <c r="BP116" s="3"/>
      <c r="BQ116" s="3"/>
      <c r="BR116" s="3"/>
      <c r="BS116" s="3"/>
      <c r="BT116" s="3"/>
      <c r="BU116" s="3"/>
      <c r="BV116" s="3"/>
      <c r="BW116" s="3" t="s">
        <v>184</v>
      </c>
      <c r="BX116" s="3"/>
      <c r="BY116" s="3"/>
      <c r="BZ116" s="3"/>
      <c r="CA116" s="3"/>
      <c r="CB116" s="112" t="s">
        <v>118</v>
      </c>
      <c r="CC116" s="112" t="s">
        <v>109</v>
      </c>
      <c r="CD116" s="3"/>
      <c r="CE116" s="3"/>
      <c r="CF116" s="112"/>
      <c r="CG116" s="112"/>
      <c r="CH116" s="133"/>
      <c r="CI116" s="112" t="str">
        <f t="shared" si="14"/>
        <v>Jul'24</v>
      </c>
      <c r="CJ116" s="112" t="s">
        <v>192</v>
      </c>
      <c r="CK116" s="112"/>
      <c r="CL116" s="192"/>
    </row>
    <row r="117" spans="1:92" s="4" customFormat="1" ht="94.5" customHeight="1" x14ac:dyDescent="0.25">
      <c r="A117" s="3">
        <v>242</v>
      </c>
      <c r="B117" s="206" t="s">
        <v>663</v>
      </c>
      <c r="C117" s="109" t="s">
        <v>664</v>
      </c>
      <c r="D117" s="3" t="s">
        <v>220</v>
      </c>
      <c r="E117" s="59">
        <v>1984</v>
      </c>
      <c r="F117" s="3">
        <v>7588870445</v>
      </c>
      <c r="G117" s="3" t="s">
        <v>169</v>
      </c>
      <c r="H117" s="3" t="s">
        <v>122</v>
      </c>
      <c r="I117" s="3" t="s">
        <v>143</v>
      </c>
      <c r="J117" s="3" t="s">
        <v>144</v>
      </c>
      <c r="K117" s="3" t="s">
        <v>665</v>
      </c>
      <c r="L117" s="3" t="s">
        <v>105</v>
      </c>
      <c r="M117" s="56">
        <v>45803</v>
      </c>
      <c r="N117" s="69">
        <f t="shared" ca="1" si="11"/>
        <v>374</v>
      </c>
      <c r="O117" s="72" t="str">
        <f t="shared" ca="1" si="12"/>
        <v>1-2Y</v>
      </c>
      <c r="P117" s="198" t="s">
        <v>106</v>
      </c>
      <c r="Q117" s="3" t="s">
        <v>192</v>
      </c>
      <c r="R117" s="3" t="s">
        <v>108</v>
      </c>
      <c r="S117" s="129">
        <v>20</v>
      </c>
      <c r="T117" s="129">
        <v>80</v>
      </c>
      <c r="U117" s="129">
        <f t="shared" si="13"/>
        <v>100</v>
      </c>
      <c r="V117" s="3"/>
      <c r="W117" s="3" t="s">
        <v>109</v>
      </c>
      <c r="X117" s="3" t="s">
        <v>493</v>
      </c>
      <c r="Y117" s="60"/>
      <c r="Z117" s="3"/>
      <c r="AA117" s="3"/>
      <c r="AB117" s="3"/>
      <c r="AC117" s="3"/>
      <c r="AD117" s="249">
        <f t="shared" si="16"/>
        <v>46539</v>
      </c>
      <c r="AE117" s="249">
        <f t="shared" si="19"/>
        <v>46570</v>
      </c>
      <c r="AF117" s="3" t="s">
        <v>109</v>
      </c>
      <c r="AG117" s="3"/>
      <c r="AH117" s="3"/>
      <c r="AI117" s="3"/>
      <c r="AJ117" s="3"/>
      <c r="AK117" s="3"/>
      <c r="AL117" s="45">
        <v>46539</v>
      </c>
      <c r="AM117" s="3" t="s">
        <v>109</v>
      </c>
      <c r="AN117" s="3" t="s">
        <v>109</v>
      </c>
      <c r="AO117" s="3"/>
      <c r="AP117" s="3"/>
      <c r="AQ117" s="3"/>
      <c r="AR117" s="109" t="s">
        <v>352</v>
      </c>
      <c r="AS117" s="249">
        <f t="shared" si="18"/>
        <v>46570</v>
      </c>
      <c r="AT117" s="3" t="s">
        <v>109</v>
      </c>
      <c r="AU117" s="3" t="s">
        <v>298</v>
      </c>
      <c r="AV117" s="3" t="s">
        <v>666</v>
      </c>
      <c r="AW117" s="3" t="s">
        <v>171</v>
      </c>
      <c r="AX117" s="3" t="s">
        <v>171</v>
      </c>
      <c r="AY117" s="3" t="s">
        <v>130</v>
      </c>
      <c r="AZ117" s="3" t="s">
        <v>388</v>
      </c>
      <c r="BA117" s="3" t="s">
        <v>388</v>
      </c>
      <c r="BB117" s="3" t="s">
        <v>388</v>
      </c>
      <c r="BC117" s="3" t="s">
        <v>388</v>
      </c>
      <c r="BD117" s="3" t="s">
        <v>388</v>
      </c>
      <c r="BE117" s="3" t="s">
        <v>111</v>
      </c>
      <c r="BF117" s="3" t="s">
        <v>111</v>
      </c>
      <c r="BG117" s="59" t="s">
        <v>353</v>
      </c>
      <c r="BH117" s="59" t="s">
        <v>240</v>
      </c>
      <c r="BI117" s="45">
        <v>46534</v>
      </c>
      <c r="BJ117" s="45">
        <v>46547</v>
      </c>
      <c r="BK117" s="3"/>
      <c r="BL117" s="3"/>
      <c r="BM117" s="3"/>
      <c r="BN117" s="3"/>
      <c r="BO117" s="3"/>
      <c r="BP117" s="3"/>
      <c r="BQ117" s="3"/>
      <c r="BR117" s="3"/>
      <c r="BS117" s="3"/>
      <c r="BT117" s="3"/>
      <c r="BU117" s="3"/>
      <c r="BV117" s="3"/>
      <c r="BW117" s="3" t="s">
        <v>184</v>
      </c>
      <c r="BX117" s="3"/>
      <c r="BY117" s="3"/>
      <c r="BZ117" s="3"/>
      <c r="CA117" s="3"/>
      <c r="CB117" s="112" t="s">
        <v>118</v>
      </c>
      <c r="CC117" s="112" t="s">
        <v>109</v>
      </c>
      <c r="CD117" s="3"/>
      <c r="CE117" s="3"/>
      <c r="CF117" s="112"/>
      <c r="CG117" s="112"/>
      <c r="CH117" s="133"/>
      <c r="CI117" s="112" t="str">
        <f t="shared" si="14"/>
        <v>May'25</v>
      </c>
      <c r="CJ117" s="112" t="s">
        <v>192</v>
      </c>
      <c r="CK117" s="112"/>
      <c r="CL117" s="192"/>
    </row>
    <row r="118" spans="1:92" s="4" customFormat="1" ht="94.5" customHeight="1" x14ac:dyDescent="0.25">
      <c r="A118" s="3"/>
      <c r="B118" s="112" t="s">
        <v>667</v>
      </c>
      <c r="C118" s="210" t="s">
        <v>668</v>
      </c>
      <c r="D118" s="109" t="s">
        <v>220</v>
      </c>
      <c r="E118" s="59">
        <v>1880</v>
      </c>
      <c r="F118" s="3">
        <v>9657069956</v>
      </c>
      <c r="G118" s="3" t="s">
        <v>142</v>
      </c>
      <c r="H118" s="3" t="s">
        <v>122</v>
      </c>
      <c r="I118" s="3" t="s">
        <v>143</v>
      </c>
      <c r="J118" s="3" t="s">
        <v>144</v>
      </c>
      <c r="K118" s="112" t="s">
        <v>669</v>
      </c>
      <c r="L118" s="3" t="s">
        <v>105</v>
      </c>
      <c r="M118" s="130">
        <v>45803</v>
      </c>
      <c r="N118" s="3">
        <f t="shared" ca="1" si="11"/>
        <v>374</v>
      </c>
      <c r="O118" s="129" t="str">
        <f t="shared" ca="1" si="12"/>
        <v>1-2Y</v>
      </c>
      <c r="P118" s="59" t="s">
        <v>239</v>
      </c>
      <c r="Q118" s="109" t="s">
        <v>125</v>
      </c>
      <c r="R118" s="109" t="s">
        <v>164</v>
      </c>
      <c r="S118" s="129">
        <v>28</v>
      </c>
      <c r="T118" s="129">
        <v>130</v>
      </c>
      <c r="U118" s="129">
        <f t="shared" si="13"/>
        <v>158</v>
      </c>
      <c r="V118" s="3"/>
      <c r="W118" s="3" t="s">
        <v>109</v>
      </c>
      <c r="X118" s="3" t="s">
        <v>493</v>
      </c>
      <c r="Y118" s="129"/>
      <c r="Z118" s="3"/>
      <c r="AA118" s="3"/>
      <c r="AB118" s="3"/>
      <c r="AC118" s="3"/>
      <c r="AD118" s="129">
        <f t="shared" si="16"/>
        <v>46539</v>
      </c>
      <c r="AE118" s="249">
        <f t="shared" si="19"/>
        <v>46570</v>
      </c>
      <c r="AF118" s="3" t="s">
        <v>109</v>
      </c>
      <c r="AG118" s="109"/>
      <c r="AH118" s="3"/>
      <c r="AI118" s="3"/>
      <c r="AJ118" s="3"/>
      <c r="AK118" s="3"/>
      <c r="AL118" s="45">
        <v>46539</v>
      </c>
      <c r="AM118" s="3"/>
      <c r="AN118" s="3"/>
      <c r="AO118" s="3"/>
      <c r="AP118" s="3"/>
      <c r="AQ118" s="3"/>
      <c r="AR118" s="109" t="s">
        <v>527</v>
      </c>
      <c r="AS118" s="249">
        <f t="shared" si="18"/>
        <v>46570</v>
      </c>
      <c r="AT118" s="3"/>
      <c r="AU118" s="3" t="s">
        <v>171</v>
      </c>
      <c r="AV118" s="109" t="s">
        <v>670</v>
      </c>
      <c r="AW118" s="3"/>
      <c r="AX118" s="3"/>
      <c r="AY118" s="3"/>
      <c r="AZ118" s="3"/>
      <c r="BA118" s="3"/>
      <c r="BB118" s="3"/>
      <c r="BC118" s="3"/>
      <c r="BD118" s="3"/>
      <c r="BE118" s="3"/>
      <c r="BF118" s="3"/>
      <c r="BG118" s="59"/>
      <c r="BH118" s="59"/>
      <c r="BI118" s="3"/>
      <c r="BJ118" s="3"/>
      <c r="BK118" s="3"/>
      <c r="BL118" s="3"/>
      <c r="BM118" s="3"/>
      <c r="BN118" s="3"/>
      <c r="BO118" s="3"/>
      <c r="BP118" s="3"/>
      <c r="BQ118" s="3"/>
      <c r="BR118" s="3"/>
      <c r="BS118" s="3"/>
      <c r="BT118" s="3"/>
      <c r="BU118" s="3"/>
      <c r="BV118" s="3"/>
      <c r="BW118" s="3" t="s">
        <v>184</v>
      </c>
      <c r="BX118" s="3"/>
      <c r="BY118" s="3"/>
      <c r="BZ118" s="3"/>
      <c r="CA118" s="3"/>
      <c r="CB118" s="112" t="s">
        <v>118</v>
      </c>
      <c r="CC118" s="112" t="s">
        <v>109</v>
      </c>
      <c r="CD118" s="3"/>
      <c r="CE118" s="3"/>
      <c r="CF118" s="112"/>
      <c r="CG118" s="112"/>
      <c r="CH118" s="133"/>
      <c r="CI118" s="112" t="str">
        <f t="shared" si="14"/>
        <v>May'25</v>
      </c>
      <c r="CJ118" s="112" t="s">
        <v>132</v>
      </c>
      <c r="CK118" s="112"/>
      <c r="CL118" s="192"/>
    </row>
    <row r="119" spans="1:92" s="4" customFormat="1" ht="94.5" customHeight="1" x14ac:dyDescent="0.25">
      <c r="A119" s="3">
        <v>256</v>
      </c>
      <c r="B119" s="206" t="s">
        <v>671</v>
      </c>
      <c r="C119" s="109" t="s">
        <v>672</v>
      </c>
      <c r="D119" s="3" t="s">
        <v>156</v>
      </c>
      <c r="E119" s="59"/>
      <c r="F119" s="129">
        <v>9552379748</v>
      </c>
      <c r="G119" s="3" t="s">
        <v>169</v>
      </c>
      <c r="H119" s="3" t="s">
        <v>122</v>
      </c>
      <c r="I119" s="3" t="s">
        <v>143</v>
      </c>
      <c r="J119" s="3" t="s">
        <v>144</v>
      </c>
      <c r="K119" s="3" t="s">
        <v>673</v>
      </c>
      <c r="L119" s="3" t="s">
        <v>674</v>
      </c>
      <c r="M119" s="56">
        <v>46042</v>
      </c>
      <c r="N119" s="69">
        <f t="shared" ca="1" si="11"/>
        <v>135</v>
      </c>
      <c r="O119" s="72" t="str">
        <f t="shared" ca="1" si="12"/>
        <v>0-6M</v>
      </c>
      <c r="P119" s="198" t="s">
        <v>158</v>
      </c>
      <c r="Q119" s="3" t="s">
        <v>192</v>
      </c>
      <c r="R119" s="3" t="s">
        <v>108</v>
      </c>
      <c r="S119" s="129">
        <v>30</v>
      </c>
      <c r="T119" s="129">
        <v>70</v>
      </c>
      <c r="U119" s="129">
        <f t="shared" si="13"/>
        <v>100</v>
      </c>
      <c r="V119" s="3"/>
      <c r="W119" s="3" t="s">
        <v>109</v>
      </c>
      <c r="X119" s="3" t="s">
        <v>493</v>
      </c>
      <c r="Y119" s="60"/>
      <c r="Z119" s="3"/>
      <c r="AA119" s="3"/>
      <c r="AB119" s="3"/>
      <c r="AC119" s="3"/>
      <c r="AD119" s="249">
        <f t="shared" si="16"/>
        <v>46539</v>
      </c>
      <c r="AE119" s="249">
        <f t="shared" si="19"/>
        <v>46570</v>
      </c>
      <c r="AF119" s="3" t="s">
        <v>109</v>
      </c>
      <c r="AG119" s="3"/>
      <c r="AH119" s="3"/>
      <c r="AI119" s="3"/>
      <c r="AJ119" s="3"/>
      <c r="AK119" s="3"/>
      <c r="AL119" s="45">
        <v>46539</v>
      </c>
      <c r="AM119" s="3"/>
      <c r="AN119" s="3"/>
      <c r="AO119" s="3"/>
      <c r="AP119" s="3"/>
      <c r="AQ119" s="3"/>
      <c r="AR119" s="109" t="s">
        <v>675</v>
      </c>
      <c r="AS119" s="249">
        <f t="shared" si="18"/>
        <v>46570</v>
      </c>
      <c r="AT119" s="3" t="s">
        <v>109</v>
      </c>
      <c r="AU119" s="3" t="s">
        <v>298</v>
      </c>
      <c r="AV119" s="109" t="s">
        <v>675</v>
      </c>
      <c r="AW119" s="3" t="s">
        <v>111</v>
      </c>
      <c r="AX119" s="3" t="s">
        <v>171</v>
      </c>
      <c r="AY119" s="3" t="s">
        <v>111</v>
      </c>
      <c r="AZ119" s="3" t="s">
        <v>111</v>
      </c>
      <c r="BA119" s="3" t="s">
        <v>111</v>
      </c>
      <c r="BB119" s="3" t="s">
        <v>111</v>
      </c>
      <c r="BC119" s="3" t="s">
        <v>111</v>
      </c>
      <c r="BD119" s="3" t="s">
        <v>111</v>
      </c>
      <c r="BE119" s="3" t="s">
        <v>111</v>
      </c>
      <c r="BF119" s="3" t="s">
        <v>111</v>
      </c>
      <c r="BG119" s="3" t="s">
        <v>111</v>
      </c>
      <c r="BH119" s="3" t="s">
        <v>111</v>
      </c>
      <c r="BI119" s="3" t="s">
        <v>111</v>
      </c>
      <c r="BJ119" s="3" t="s">
        <v>111</v>
      </c>
      <c r="BK119" s="3"/>
      <c r="BL119" s="3"/>
      <c r="BM119" s="3"/>
      <c r="BN119" s="3"/>
      <c r="BO119" s="3"/>
      <c r="BP119" s="3"/>
      <c r="BQ119" s="3"/>
      <c r="BR119" s="3"/>
      <c r="BS119" s="3"/>
      <c r="BT119" s="3"/>
      <c r="BU119" s="3"/>
      <c r="BV119" s="3"/>
      <c r="BW119" s="3" t="s">
        <v>184</v>
      </c>
      <c r="BX119" s="3"/>
      <c r="BY119" s="3"/>
      <c r="BZ119" s="3"/>
      <c r="CA119" s="3"/>
      <c r="CB119" s="112" t="s">
        <v>402</v>
      </c>
      <c r="CC119" s="112" t="s">
        <v>109</v>
      </c>
      <c r="CD119" s="3"/>
      <c r="CE119" s="3"/>
      <c r="CF119" s="112"/>
      <c r="CG119" s="112"/>
      <c r="CH119" s="133"/>
      <c r="CI119" s="112" t="str">
        <f t="shared" si="14"/>
        <v>Jan'26</v>
      </c>
      <c r="CJ119" s="112" t="s">
        <v>192</v>
      </c>
      <c r="CK119" s="112"/>
      <c r="CL119" s="192"/>
    </row>
    <row r="120" spans="1:92" s="4" customFormat="1" ht="94.5" customHeight="1" x14ac:dyDescent="0.25">
      <c r="A120" s="109">
        <v>255</v>
      </c>
      <c r="B120" s="206" t="s">
        <v>676</v>
      </c>
      <c r="C120" s="109" t="s">
        <v>677</v>
      </c>
      <c r="D120" s="109" t="s">
        <v>190</v>
      </c>
      <c r="E120" s="109">
        <v>1742</v>
      </c>
      <c r="F120" s="109">
        <v>9822816161</v>
      </c>
      <c r="G120" s="109" t="s">
        <v>142</v>
      </c>
      <c r="H120" s="109" t="s">
        <v>122</v>
      </c>
      <c r="I120" s="109" t="s">
        <v>143</v>
      </c>
      <c r="J120" s="109" t="s">
        <v>144</v>
      </c>
      <c r="K120" s="109" t="s">
        <v>678</v>
      </c>
      <c r="L120" s="109" t="s">
        <v>105</v>
      </c>
      <c r="M120" s="236">
        <v>46042</v>
      </c>
      <c r="N120" s="237">
        <f t="shared" ca="1" si="11"/>
        <v>135</v>
      </c>
      <c r="O120" s="237" t="str">
        <f t="shared" ca="1" si="12"/>
        <v>0-6M</v>
      </c>
      <c r="P120" s="198" t="s">
        <v>158</v>
      </c>
      <c r="Q120" s="109" t="s">
        <v>125</v>
      </c>
      <c r="R120" s="109" t="s">
        <v>108</v>
      </c>
      <c r="S120" s="129">
        <v>20</v>
      </c>
      <c r="T120" s="129">
        <v>130</v>
      </c>
      <c r="U120" s="129">
        <f t="shared" si="13"/>
        <v>150</v>
      </c>
      <c r="V120" s="109"/>
      <c r="W120" s="109" t="s">
        <v>109</v>
      </c>
      <c r="X120" s="109" t="s">
        <v>493</v>
      </c>
      <c r="Y120" s="238"/>
      <c r="Z120" s="109"/>
      <c r="AA120" s="109"/>
      <c r="AB120" s="109"/>
      <c r="AC120" s="109"/>
      <c r="AD120" s="249">
        <f t="shared" si="16"/>
        <v>46539</v>
      </c>
      <c r="AE120" s="249">
        <f t="shared" si="19"/>
        <v>46570</v>
      </c>
      <c r="AF120" s="109" t="s">
        <v>109</v>
      </c>
      <c r="AG120" s="109" t="s">
        <v>111</v>
      </c>
      <c r="AH120" s="109" t="s">
        <v>111</v>
      </c>
      <c r="AI120" s="109"/>
      <c r="AJ120" s="109"/>
      <c r="AK120" s="109"/>
      <c r="AL120" s="239">
        <v>46539</v>
      </c>
      <c r="AM120" s="109" t="s">
        <v>502</v>
      </c>
      <c r="AN120" s="109"/>
      <c r="AO120" s="109"/>
      <c r="AP120" s="109"/>
      <c r="AQ120" s="109"/>
      <c r="AR120" s="109" t="s">
        <v>502</v>
      </c>
      <c r="AS120" s="249">
        <f t="shared" si="18"/>
        <v>46570</v>
      </c>
      <c r="AT120" s="109" t="s">
        <v>109</v>
      </c>
      <c r="AU120" s="3" t="s">
        <v>298</v>
      </c>
      <c r="AV120" s="109" t="s">
        <v>679</v>
      </c>
      <c r="AW120" s="109"/>
      <c r="AX120" s="109" t="s">
        <v>171</v>
      </c>
      <c r="AY120" s="109" t="s">
        <v>130</v>
      </c>
      <c r="AZ120" s="109" t="s">
        <v>261</v>
      </c>
      <c r="BA120" s="109" t="s">
        <v>261</v>
      </c>
      <c r="BB120" s="109" t="s">
        <v>261</v>
      </c>
      <c r="BC120" s="109" t="s">
        <v>261</v>
      </c>
      <c r="BD120" s="109" t="s">
        <v>111</v>
      </c>
      <c r="BE120" s="109" t="s">
        <v>261</v>
      </c>
      <c r="BF120" s="109" t="s">
        <v>261</v>
      </c>
      <c r="BG120" s="109" t="s">
        <v>332</v>
      </c>
      <c r="BH120" s="109"/>
      <c r="BI120" s="239"/>
      <c r="BJ120" s="239"/>
      <c r="BK120" s="109"/>
      <c r="BL120" s="109"/>
      <c r="BM120" s="109"/>
      <c r="BN120" s="109"/>
      <c r="BO120" s="109"/>
      <c r="BP120" s="109"/>
      <c r="BQ120" s="109"/>
      <c r="BR120" s="109"/>
      <c r="BS120" s="109"/>
      <c r="BT120" s="109"/>
      <c r="BU120" s="109"/>
      <c r="BV120" s="109"/>
      <c r="BW120" s="109" t="s">
        <v>184</v>
      </c>
      <c r="BX120" s="109"/>
      <c r="BY120" s="109"/>
      <c r="BZ120" s="109"/>
      <c r="CA120" s="109"/>
      <c r="CB120" s="112" t="s">
        <v>118</v>
      </c>
      <c r="CC120" s="112" t="s">
        <v>109</v>
      </c>
      <c r="CD120" s="3"/>
      <c r="CE120" s="3"/>
      <c r="CF120" s="112"/>
      <c r="CG120" s="112"/>
      <c r="CH120" s="133"/>
      <c r="CI120" s="112" t="str">
        <f t="shared" si="14"/>
        <v>Jan'26</v>
      </c>
      <c r="CJ120" s="112" t="s">
        <v>132</v>
      </c>
      <c r="CK120" s="112"/>
      <c r="CL120" s="192"/>
    </row>
    <row r="121" spans="1:92" s="6" customFormat="1" ht="57.75" customHeight="1" x14ac:dyDescent="0.25">
      <c r="A121" s="3">
        <v>266</v>
      </c>
      <c r="B121" s="112" t="s">
        <v>680</v>
      </c>
      <c r="C121" s="109" t="s">
        <v>681</v>
      </c>
      <c r="D121" s="109" t="s">
        <v>220</v>
      </c>
      <c r="E121" s="59">
        <v>1888</v>
      </c>
      <c r="F121" s="112">
        <v>8983530737</v>
      </c>
      <c r="G121" s="3" t="s">
        <v>142</v>
      </c>
      <c r="H121" s="3" t="s">
        <v>122</v>
      </c>
      <c r="I121" s="3" t="s">
        <v>143</v>
      </c>
      <c r="J121" s="3" t="s">
        <v>144</v>
      </c>
      <c r="K121" s="3" t="s">
        <v>682</v>
      </c>
      <c r="L121" s="3" t="s">
        <v>105</v>
      </c>
      <c r="M121" s="128">
        <v>46099</v>
      </c>
      <c r="N121" s="3">
        <f t="shared" ca="1" si="11"/>
        <v>78</v>
      </c>
      <c r="O121" s="129" t="str">
        <f t="shared" ca="1" si="12"/>
        <v>0-6M</v>
      </c>
      <c r="P121" s="59" t="s">
        <v>106</v>
      </c>
      <c r="Q121" s="109" t="s">
        <v>192</v>
      </c>
      <c r="R121" s="109" t="s">
        <v>164</v>
      </c>
      <c r="S121" s="261">
        <v>20</v>
      </c>
      <c r="T121" s="261">
        <v>130</v>
      </c>
      <c r="U121" s="129">
        <f t="shared" si="13"/>
        <v>150</v>
      </c>
      <c r="V121" s="3"/>
      <c r="W121" s="3" t="s">
        <v>109</v>
      </c>
      <c r="X121" s="3" t="s">
        <v>493</v>
      </c>
      <c r="Y121" s="129"/>
      <c r="Z121" s="3"/>
      <c r="AA121" s="3"/>
      <c r="AB121" s="3"/>
      <c r="AC121" s="3"/>
      <c r="AD121" s="129">
        <f t="shared" si="16"/>
        <v>46539</v>
      </c>
      <c r="AE121" s="249">
        <f t="shared" si="19"/>
        <v>46570</v>
      </c>
      <c r="AF121" s="3" t="s">
        <v>109</v>
      </c>
      <c r="AG121" s="3"/>
      <c r="AH121" s="3"/>
      <c r="AI121" s="3"/>
      <c r="AJ121" s="3"/>
      <c r="AK121" s="3"/>
      <c r="AL121" s="45">
        <v>46539</v>
      </c>
      <c r="AM121" s="3"/>
      <c r="AN121" s="3"/>
      <c r="AO121" s="3"/>
      <c r="AP121" s="3"/>
      <c r="AQ121" s="3"/>
      <c r="AR121" s="109"/>
      <c r="AS121" s="249">
        <f t="shared" si="18"/>
        <v>46570</v>
      </c>
      <c r="AT121" s="3" t="s">
        <v>109</v>
      </c>
      <c r="AU121" s="3" t="s">
        <v>197</v>
      </c>
      <c r="AV121" s="3" t="s">
        <v>683</v>
      </c>
      <c r="AW121" s="3"/>
      <c r="AX121" s="3" t="s">
        <v>171</v>
      </c>
      <c r="AY121" s="3" t="s">
        <v>130</v>
      </c>
      <c r="AZ121" s="3" t="s">
        <v>388</v>
      </c>
      <c r="BA121" s="3" t="s">
        <v>388</v>
      </c>
      <c r="BB121" s="3" t="s">
        <v>388</v>
      </c>
      <c r="BC121" s="3" t="s">
        <v>388</v>
      </c>
      <c r="BD121" s="3" t="s">
        <v>388</v>
      </c>
      <c r="BE121" s="3" t="s">
        <v>111</v>
      </c>
      <c r="BF121" s="3" t="s">
        <v>111</v>
      </c>
      <c r="BG121" s="3" t="s">
        <v>388</v>
      </c>
      <c r="BH121" s="59" t="s">
        <v>419</v>
      </c>
      <c r="BI121" s="246">
        <v>46414</v>
      </c>
      <c r="BJ121" s="246">
        <v>46436</v>
      </c>
      <c r="BK121" s="3" t="s">
        <v>171</v>
      </c>
      <c r="BL121" s="3" t="s">
        <v>171</v>
      </c>
      <c r="BM121" s="3"/>
      <c r="BN121" s="3"/>
      <c r="BO121" s="3"/>
      <c r="BP121" s="3"/>
      <c r="BQ121" s="3"/>
      <c r="BR121" s="3"/>
      <c r="BS121" s="3"/>
      <c r="BT121" s="3"/>
      <c r="BU121" s="3"/>
      <c r="BV121" s="3"/>
      <c r="BW121" s="3" t="s">
        <v>184</v>
      </c>
      <c r="BX121" s="3"/>
      <c r="BY121" s="3"/>
      <c r="BZ121" s="3"/>
      <c r="CA121" s="3"/>
      <c r="CB121" s="112" t="s">
        <v>118</v>
      </c>
      <c r="CC121" s="112" t="s">
        <v>109</v>
      </c>
      <c r="CD121" s="3"/>
      <c r="CE121" s="3"/>
      <c r="CF121" s="112"/>
      <c r="CG121" s="112"/>
      <c r="CH121" s="133"/>
      <c r="CI121" s="112" t="str">
        <f t="shared" si="14"/>
        <v>Mar'26</v>
      </c>
      <c r="CJ121" s="112" t="s">
        <v>192</v>
      </c>
      <c r="CK121" s="112"/>
      <c r="CL121" s="8"/>
    </row>
    <row r="122" spans="1:92" s="4" customFormat="1" ht="94.5" customHeight="1" x14ac:dyDescent="0.25">
      <c r="A122" s="3">
        <v>267</v>
      </c>
      <c r="B122" s="112" t="s">
        <v>684</v>
      </c>
      <c r="C122" s="109" t="s">
        <v>685</v>
      </c>
      <c r="D122" s="109" t="s">
        <v>99</v>
      </c>
      <c r="E122" s="59">
        <v>1583</v>
      </c>
      <c r="F122" s="3">
        <v>9881321999</v>
      </c>
      <c r="G122" s="3" t="s">
        <v>101</v>
      </c>
      <c r="H122" s="3" t="s">
        <v>122</v>
      </c>
      <c r="I122" s="3" t="s">
        <v>143</v>
      </c>
      <c r="J122" s="3" t="s">
        <v>144</v>
      </c>
      <c r="K122" s="3" t="s">
        <v>686</v>
      </c>
      <c r="L122" s="3" t="s">
        <v>105</v>
      </c>
      <c r="M122" s="128">
        <v>46106</v>
      </c>
      <c r="N122" s="3">
        <f t="shared" ca="1" si="11"/>
        <v>71</v>
      </c>
      <c r="O122" s="129" t="str">
        <f t="shared" ca="1" si="12"/>
        <v>0-6M</v>
      </c>
      <c r="P122" s="59" t="s">
        <v>106</v>
      </c>
      <c r="Q122" s="109" t="s">
        <v>125</v>
      </c>
      <c r="R122" s="109" t="s">
        <v>164</v>
      </c>
      <c r="S122" s="261">
        <v>10</v>
      </c>
      <c r="T122" s="261">
        <v>120</v>
      </c>
      <c r="U122" s="129">
        <f t="shared" si="13"/>
        <v>130</v>
      </c>
      <c r="V122" s="3"/>
      <c r="W122" s="3" t="s">
        <v>109</v>
      </c>
      <c r="X122" s="3" t="s">
        <v>493</v>
      </c>
      <c r="Y122" s="129"/>
      <c r="Z122" s="3"/>
      <c r="AA122" s="3"/>
      <c r="AB122" s="3"/>
      <c r="AC122" s="3"/>
      <c r="AD122" s="129">
        <f t="shared" si="16"/>
        <v>46539</v>
      </c>
      <c r="AE122" s="249">
        <f t="shared" si="19"/>
        <v>46570</v>
      </c>
      <c r="AF122" s="3" t="s">
        <v>109</v>
      </c>
      <c r="AG122" s="3"/>
      <c r="AH122" s="3"/>
      <c r="AI122" s="3"/>
      <c r="AJ122" s="3"/>
      <c r="AK122" s="3"/>
      <c r="AL122" s="45">
        <v>46539</v>
      </c>
      <c r="AM122" s="3"/>
      <c r="AN122" s="3"/>
      <c r="AO122" s="3"/>
      <c r="AP122" s="3"/>
      <c r="AQ122" s="3"/>
      <c r="AR122" s="109"/>
      <c r="AS122" s="249">
        <f t="shared" si="18"/>
        <v>46570</v>
      </c>
      <c r="AT122" s="3" t="s">
        <v>109</v>
      </c>
      <c r="AU122" s="3" t="s">
        <v>298</v>
      </c>
      <c r="AV122" s="109" t="s">
        <v>687</v>
      </c>
      <c r="AW122" s="3" t="s">
        <v>171</v>
      </c>
      <c r="AX122" s="3" t="s">
        <v>348</v>
      </c>
      <c r="AY122" s="3" t="s">
        <v>348</v>
      </c>
      <c r="AZ122" s="3" t="s">
        <v>348</v>
      </c>
      <c r="BA122" s="3" t="s">
        <v>348</v>
      </c>
      <c r="BB122" s="3" t="s">
        <v>348</v>
      </c>
      <c r="BC122" s="3" t="s">
        <v>348</v>
      </c>
      <c r="BD122" s="3" t="s">
        <v>348</v>
      </c>
      <c r="BE122" s="3" t="s">
        <v>111</v>
      </c>
      <c r="BF122" s="3" t="s">
        <v>111</v>
      </c>
      <c r="BG122" s="59" t="s">
        <v>533</v>
      </c>
      <c r="BH122" s="59" t="s">
        <v>90</v>
      </c>
      <c r="BI122" s="45">
        <v>46753</v>
      </c>
      <c r="BJ122" s="45">
        <v>46784</v>
      </c>
      <c r="BK122" s="3" t="s">
        <v>260</v>
      </c>
      <c r="BL122" s="3" t="s">
        <v>261</v>
      </c>
      <c r="BM122" s="3"/>
      <c r="BN122" s="3"/>
      <c r="BO122" s="3"/>
      <c r="BP122" s="3"/>
      <c r="BQ122" s="3"/>
      <c r="BR122" s="3"/>
      <c r="BS122" s="3"/>
      <c r="BT122" s="3"/>
      <c r="BU122" s="3"/>
      <c r="BV122" s="3"/>
      <c r="BW122" s="3" t="s">
        <v>184</v>
      </c>
      <c r="BX122" s="3"/>
      <c r="BY122" s="3"/>
      <c r="BZ122" s="3"/>
      <c r="CA122" s="3"/>
      <c r="CB122" s="112" t="s">
        <v>118</v>
      </c>
      <c r="CC122" s="112" t="s">
        <v>109</v>
      </c>
      <c r="CD122" s="3"/>
      <c r="CE122" s="3"/>
      <c r="CF122" s="112"/>
      <c r="CG122" s="112"/>
      <c r="CH122" s="133"/>
      <c r="CI122" s="112" t="str">
        <f t="shared" si="14"/>
        <v>Mar'26</v>
      </c>
      <c r="CJ122" s="112" t="s">
        <v>132</v>
      </c>
      <c r="CK122" s="112"/>
      <c r="CL122" s="192"/>
    </row>
    <row r="123" spans="1:92" s="4" customFormat="1" ht="79.5" customHeight="1" x14ac:dyDescent="0.25">
      <c r="A123" s="3">
        <v>1</v>
      </c>
      <c r="B123" s="109" t="s">
        <v>688</v>
      </c>
      <c r="C123" s="109" t="s">
        <v>689</v>
      </c>
      <c r="D123" s="3" t="s">
        <v>220</v>
      </c>
      <c r="E123" s="59"/>
      <c r="F123" s="3" t="s">
        <v>181</v>
      </c>
      <c r="G123" s="3" t="s">
        <v>169</v>
      </c>
      <c r="H123" s="3" t="s">
        <v>122</v>
      </c>
      <c r="I123" s="3" t="s">
        <v>143</v>
      </c>
      <c r="J123" s="3" t="s">
        <v>144</v>
      </c>
      <c r="K123" s="3" t="s">
        <v>690</v>
      </c>
      <c r="L123" s="3" t="s">
        <v>691</v>
      </c>
      <c r="M123" s="56">
        <v>40969</v>
      </c>
      <c r="N123" s="69">
        <f t="shared" ca="1" si="11"/>
        <v>5208</v>
      </c>
      <c r="O123" s="72" t="str">
        <f t="shared" ca="1" si="12"/>
        <v>&gt;5Y</v>
      </c>
      <c r="P123" s="198" t="s">
        <v>106</v>
      </c>
      <c r="Q123" s="3"/>
      <c r="R123" s="3" t="s">
        <v>108</v>
      </c>
      <c r="S123" s="129">
        <v>30</v>
      </c>
      <c r="T123" s="129">
        <v>100</v>
      </c>
      <c r="U123" s="129">
        <f t="shared" si="13"/>
        <v>130</v>
      </c>
      <c r="V123" s="3"/>
      <c r="W123" s="3" t="s">
        <v>171</v>
      </c>
      <c r="X123" s="3" t="s">
        <v>394</v>
      </c>
      <c r="Y123" s="60"/>
      <c r="Z123" s="3"/>
      <c r="AA123" s="3"/>
      <c r="AB123" s="3"/>
      <c r="AC123" s="3"/>
      <c r="AD123" s="249">
        <v>46905</v>
      </c>
      <c r="AE123" s="249">
        <f t="shared" si="19"/>
        <v>46997</v>
      </c>
      <c r="AF123" s="3" t="s">
        <v>394</v>
      </c>
      <c r="AG123" s="3" t="s">
        <v>692</v>
      </c>
      <c r="AH123" s="3"/>
      <c r="AI123" s="3" t="s">
        <v>115</v>
      </c>
      <c r="AJ123" s="3" t="s">
        <v>115</v>
      </c>
      <c r="AK123" s="3" t="s">
        <v>112</v>
      </c>
      <c r="AL123" s="45">
        <v>46905</v>
      </c>
      <c r="AM123" s="3" t="s">
        <v>109</v>
      </c>
      <c r="AN123" s="3" t="s">
        <v>109</v>
      </c>
      <c r="AO123" s="3"/>
      <c r="AP123" s="3"/>
      <c r="AQ123" s="3"/>
      <c r="AR123" s="109" t="s">
        <v>693</v>
      </c>
      <c r="AS123" s="249">
        <v>46997</v>
      </c>
      <c r="AT123" s="3" t="s">
        <v>109</v>
      </c>
      <c r="AU123" s="3" t="s">
        <v>171</v>
      </c>
      <c r="AV123" s="3" t="s">
        <v>694</v>
      </c>
      <c r="AW123" s="3" t="s">
        <v>695</v>
      </c>
      <c r="AX123" s="3"/>
      <c r="AY123" s="3"/>
      <c r="AZ123" s="3"/>
      <c r="BA123" s="3"/>
      <c r="BB123" s="3" t="s">
        <v>115</v>
      </c>
      <c r="BC123" s="3"/>
      <c r="BD123" s="3"/>
      <c r="BE123" s="3"/>
      <c r="BF123" s="3"/>
      <c r="BG123" s="3"/>
      <c r="BH123" s="3"/>
      <c r="BI123" s="3"/>
      <c r="BJ123" s="3"/>
      <c r="BK123" s="3" t="s">
        <v>109</v>
      </c>
      <c r="BL123" s="3" t="s">
        <v>114</v>
      </c>
      <c r="BM123" s="3" t="s">
        <v>111</v>
      </c>
      <c r="BN123" s="3" t="s">
        <v>111</v>
      </c>
      <c r="BO123" s="3" t="s">
        <v>115</v>
      </c>
      <c r="BP123" s="3"/>
      <c r="BQ123" s="3"/>
      <c r="BR123" s="3"/>
      <c r="BS123" s="3"/>
      <c r="BT123" s="3"/>
      <c r="BU123" s="3"/>
      <c r="BV123" s="3"/>
      <c r="BW123" s="3" t="s">
        <v>184</v>
      </c>
      <c r="BX123" s="3"/>
      <c r="BY123" s="3"/>
      <c r="BZ123" s="3"/>
      <c r="CA123" s="3"/>
      <c r="CB123" s="112" t="s">
        <v>402</v>
      </c>
      <c r="CC123" s="112" t="s">
        <v>109</v>
      </c>
      <c r="CD123" s="3"/>
      <c r="CE123" s="3"/>
      <c r="CF123" s="112"/>
      <c r="CG123" s="112"/>
      <c r="CH123" s="133"/>
      <c r="CI123" s="112" t="str">
        <f t="shared" si="14"/>
        <v>Mar'12</v>
      </c>
      <c r="CJ123" s="112" t="s">
        <v>132</v>
      </c>
      <c r="CK123" s="112"/>
      <c r="CL123" s="192"/>
    </row>
    <row r="124" spans="1:92" s="4" customFormat="1" ht="44.1" customHeight="1" x14ac:dyDescent="0.25">
      <c r="A124" s="3">
        <v>2</v>
      </c>
      <c r="B124" s="109" t="s">
        <v>696</v>
      </c>
      <c r="C124" s="109" t="s">
        <v>697</v>
      </c>
      <c r="D124" s="3" t="s">
        <v>383</v>
      </c>
      <c r="E124" s="59"/>
      <c r="F124" s="3" t="s">
        <v>579</v>
      </c>
      <c r="G124" s="3" t="s">
        <v>101</v>
      </c>
      <c r="H124" s="3" t="s">
        <v>122</v>
      </c>
      <c r="I124" s="3" t="s">
        <v>143</v>
      </c>
      <c r="J124" s="3" t="s">
        <v>144</v>
      </c>
      <c r="K124" s="3" t="s">
        <v>698</v>
      </c>
      <c r="L124" s="3" t="s">
        <v>699</v>
      </c>
      <c r="M124" s="56">
        <v>41537</v>
      </c>
      <c r="N124" s="69">
        <f t="shared" ca="1" si="11"/>
        <v>4640</v>
      </c>
      <c r="O124" s="72" t="str">
        <f t="shared" ca="1" si="12"/>
        <v>&gt;5Y</v>
      </c>
      <c r="P124" s="198" t="s">
        <v>106</v>
      </c>
      <c r="Q124" s="3"/>
      <c r="R124" s="3" t="s">
        <v>164</v>
      </c>
      <c r="S124" s="129">
        <v>60</v>
      </c>
      <c r="T124" s="129">
        <v>90</v>
      </c>
      <c r="U124" s="129">
        <f t="shared" si="13"/>
        <v>150</v>
      </c>
      <c r="V124" s="3"/>
      <c r="W124" s="3" t="s">
        <v>171</v>
      </c>
      <c r="X124" s="3" t="s">
        <v>394</v>
      </c>
      <c r="Y124" s="60"/>
      <c r="Z124" s="3"/>
      <c r="AA124" s="3"/>
      <c r="AB124" s="3"/>
      <c r="AC124" s="3"/>
      <c r="AD124" s="249">
        <f t="shared" ref="AD124:AD155" si="20">+AL124</f>
        <v>46905</v>
      </c>
      <c r="AE124" s="249">
        <f t="shared" si="19"/>
        <v>46997</v>
      </c>
      <c r="AF124" s="3" t="s">
        <v>394</v>
      </c>
      <c r="AG124" s="3" t="s">
        <v>581</v>
      </c>
      <c r="AH124" s="3"/>
      <c r="AI124" s="3" t="s">
        <v>115</v>
      </c>
      <c r="AJ124" s="3" t="s">
        <v>115</v>
      </c>
      <c r="AK124" s="3" t="s">
        <v>419</v>
      </c>
      <c r="AL124" s="45">
        <v>46905</v>
      </c>
      <c r="AM124" s="3" t="s">
        <v>109</v>
      </c>
      <c r="AN124" s="3" t="s">
        <v>109</v>
      </c>
      <c r="AO124" s="3"/>
      <c r="AP124" s="3"/>
      <c r="AQ124" s="3"/>
      <c r="AR124" s="109" t="s">
        <v>599</v>
      </c>
      <c r="AS124" s="249">
        <v>46997</v>
      </c>
      <c r="AT124" s="3"/>
      <c r="AU124" s="3" t="s">
        <v>419</v>
      </c>
      <c r="AV124" s="109" t="s">
        <v>700</v>
      </c>
      <c r="AW124" s="3" t="s">
        <v>171</v>
      </c>
      <c r="AX124" s="3" t="s">
        <v>111</v>
      </c>
      <c r="AY124" s="3" t="s">
        <v>111</v>
      </c>
      <c r="AZ124" s="3" t="s">
        <v>111</v>
      </c>
      <c r="BA124" s="3" t="s">
        <v>111</v>
      </c>
      <c r="BB124" s="3" t="s">
        <v>111</v>
      </c>
      <c r="BC124" s="3" t="s">
        <v>111</v>
      </c>
      <c r="BD124" s="3" t="s">
        <v>111</v>
      </c>
      <c r="BE124" s="3" t="s">
        <v>111</v>
      </c>
      <c r="BF124" s="3" t="s">
        <v>111</v>
      </c>
      <c r="BG124" s="3" t="s">
        <v>111</v>
      </c>
      <c r="BH124" s="3" t="s">
        <v>111</v>
      </c>
      <c r="BI124" s="3" t="s">
        <v>111</v>
      </c>
      <c r="BJ124" s="3" t="s">
        <v>111</v>
      </c>
      <c r="BK124" s="3"/>
      <c r="BL124" s="3"/>
      <c r="BM124" s="3" t="s">
        <v>111</v>
      </c>
      <c r="BN124" s="3" t="s">
        <v>111</v>
      </c>
      <c r="BO124" s="3" t="s">
        <v>115</v>
      </c>
      <c r="BP124" s="3"/>
      <c r="BQ124" s="3"/>
      <c r="BR124" s="3"/>
      <c r="BS124" s="3"/>
      <c r="BT124" s="3"/>
      <c r="BU124" s="3"/>
      <c r="BV124" s="3"/>
      <c r="BW124" s="3" t="s">
        <v>184</v>
      </c>
      <c r="BX124" s="3"/>
      <c r="BY124" s="3"/>
      <c r="BZ124" s="3"/>
      <c r="CA124" s="3"/>
      <c r="CB124" s="112" t="s">
        <v>402</v>
      </c>
      <c r="CC124" s="112" t="s">
        <v>109</v>
      </c>
      <c r="CD124" s="3"/>
      <c r="CE124" s="3"/>
      <c r="CF124" s="112"/>
      <c r="CG124" s="112"/>
      <c r="CH124" s="133"/>
      <c r="CI124" s="112" t="str">
        <f t="shared" si="14"/>
        <v>Sep'13</v>
      </c>
      <c r="CJ124" s="112" t="s">
        <v>132</v>
      </c>
      <c r="CK124" s="112"/>
      <c r="CL124" s="192"/>
    </row>
    <row r="125" spans="1:92" s="4" customFormat="1" ht="94.5" customHeight="1" x14ac:dyDescent="0.25">
      <c r="A125" s="3">
        <v>3</v>
      </c>
      <c r="B125" s="109" t="s">
        <v>701</v>
      </c>
      <c r="C125" s="109" t="s">
        <v>702</v>
      </c>
      <c r="D125" s="3" t="s">
        <v>220</v>
      </c>
      <c r="E125" s="59"/>
      <c r="F125" s="3" t="s">
        <v>703</v>
      </c>
      <c r="G125" s="3" t="s">
        <v>142</v>
      </c>
      <c r="H125" s="3" t="s">
        <v>122</v>
      </c>
      <c r="I125" s="3" t="s">
        <v>143</v>
      </c>
      <c r="J125" s="3" t="s">
        <v>144</v>
      </c>
      <c r="K125" s="3" t="s">
        <v>704</v>
      </c>
      <c r="L125" s="3" t="s">
        <v>691</v>
      </c>
      <c r="M125" s="56">
        <v>41789</v>
      </c>
      <c r="N125" s="69">
        <f t="shared" ca="1" si="11"/>
        <v>4388</v>
      </c>
      <c r="O125" s="72" t="str">
        <f t="shared" ca="1" si="12"/>
        <v>&gt;5Y</v>
      </c>
      <c r="P125" s="198" t="s">
        <v>106</v>
      </c>
      <c r="Q125" s="3"/>
      <c r="R125" s="3" t="s">
        <v>108</v>
      </c>
      <c r="S125" s="129">
        <v>36</v>
      </c>
      <c r="T125" s="129">
        <v>150</v>
      </c>
      <c r="U125" s="129">
        <f t="shared" si="13"/>
        <v>186</v>
      </c>
      <c r="V125" s="3"/>
      <c r="W125" s="3" t="s">
        <v>171</v>
      </c>
      <c r="X125" s="3" t="s">
        <v>394</v>
      </c>
      <c r="Y125" s="60"/>
      <c r="Z125" s="3"/>
      <c r="AA125" s="3"/>
      <c r="AB125" s="3"/>
      <c r="AC125" s="3"/>
      <c r="AD125" s="249">
        <f t="shared" si="20"/>
        <v>46905</v>
      </c>
      <c r="AE125" s="249">
        <f t="shared" si="19"/>
        <v>46997</v>
      </c>
      <c r="AF125" s="3" t="s">
        <v>394</v>
      </c>
      <c r="AG125" s="3" t="s">
        <v>581</v>
      </c>
      <c r="AH125" s="3"/>
      <c r="AI125" s="3" t="s">
        <v>115</v>
      </c>
      <c r="AJ125" s="3" t="s">
        <v>115</v>
      </c>
      <c r="AK125" s="3" t="s">
        <v>181</v>
      </c>
      <c r="AL125" s="45">
        <v>46905</v>
      </c>
      <c r="AM125" s="3" t="s">
        <v>109</v>
      </c>
      <c r="AN125" s="3" t="s">
        <v>109</v>
      </c>
      <c r="AO125" s="3"/>
      <c r="AP125" s="3"/>
      <c r="AQ125" s="3"/>
      <c r="AR125" s="109" t="s">
        <v>545</v>
      </c>
      <c r="AS125" s="249">
        <v>46997</v>
      </c>
      <c r="AT125" s="3"/>
      <c r="AU125" s="3" t="s">
        <v>171</v>
      </c>
      <c r="AV125" s="3" t="s">
        <v>705</v>
      </c>
      <c r="AW125" s="3" t="s">
        <v>171</v>
      </c>
      <c r="AX125" s="3"/>
      <c r="AY125" s="3"/>
      <c r="AZ125" s="3"/>
      <c r="BA125" s="3"/>
      <c r="BB125" s="3" t="s">
        <v>115</v>
      </c>
      <c r="BC125" s="3"/>
      <c r="BD125" s="3"/>
      <c r="BE125" s="3"/>
      <c r="BF125" s="3"/>
      <c r="BG125" s="3"/>
      <c r="BH125" s="3"/>
      <c r="BI125" s="3"/>
      <c r="BJ125" s="3"/>
      <c r="BK125" s="3"/>
      <c r="BL125" s="3"/>
      <c r="BM125" s="3" t="s">
        <v>111</v>
      </c>
      <c r="BN125" s="3" t="s">
        <v>111</v>
      </c>
      <c r="BO125" s="3" t="s">
        <v>115</v>
      </c>
      <c r="BP125" s="3"/>
      <c r="BQ125" s="3"/>
      <c r="BR125" s="3"/>
      <c r="BS125" s="3"/>
      <c r="BT125" s="3"/>
      <c r="BU125" s="3"/>
      <c r="BV125" s="3"/>
      <c r="BW125" s="3" t="s">
        <v>184</v>
      </c>
      <c r="BX125" s="3"/>
      <c r="BY125" s="3"/>
      <c r="BZ125" s="3"/>
      <c r="CA125" s="3"/>
      <c r="CB125" s="112" t="s">
        <v>402</v>
      </c>
      <c r="CC125" s="112" t="s">
        <v>109</v>
      </c>
      <c r="CD125" s="3"/>
      <c r="CE125" s="3"/>
      <c r="CF125" s="112"/>
      <c r="CG125" s="112"/>
      <c r="CH125" s="133"/>
      <c r="CI125" s="112" t="str">
        <f t="shared" si="14"/>
        <v>May'14</v>
      </c>
      <c r="CJ125" s="112" t="s">
        <v>132</v>
      </c>
      <c r="CK125" s="255"/>
      <c r="CL125" s="192"/>
    </row>
    <row r="126" spans="1:92" s="4" customFormat="1" ht="84.75" customHeight="1" x14ac:dyDescent="0.25">
      <c r="A126" s="3">
        <v>4</v>
      </c>
      <c r="B126" s="126" t="s">
        <v>706</v>
      </c>
      <c r="C126" s="109" t="s">
        <v>707</v>
      </c>
      <c r="D126" s="3" t="s">
        <v>135</v>
      </c>
      <c r="E126" s="59"/>
      <c r="F126" s="3" t="s">
        <v>181</v>
      </c>
      <c r="G126" s="3" t="s">
        <v>169</v>
      </c>
      <c r="H126" s="3" t="s">
        <v>122</v>
      </c>
      <c r="I126" s="3" t="s">
        <v>143</v>
      </c>
      <c r="J126" s="3" t="s">
        <v>144</v>
      </c>
      <c r="K126" s="3" t="s">
        <v>708</v>
      </c>
      <c r="L126" s="3" t="s">
        <v>85</v>
      </c>
      <c r="M126" s="56">
        <v>42121</v>
      </c>
      <c r="N126" s="69">
        <f t="shared" ca="1" si="11"/>
        <v>4056</v>
      </c>
      <c r="O126" s="72" t="str">
        <f t="shared" ca="1" si="12"/>
        <v>&gt;5Y</v>
      </c>
      <c r="P126" s="198" t="s">
        <v>137</v>
      </c>
      <c r="Q126" s="3" t="s">
        <v>709</v>
      </c>
      <c r="R126" s="3" t="s">
        <v>108</v>
      </c>
      <c r="S126" s="129">
        <v>20</v>
      </c>
      <c r="T126" s="129">
        <v>70</v>
      </c>
      <c r="U126" s="129">
        <f t="shared" si="13"/>
        <v>90</v>
      </c>
      <c r="V126" s="3"/>
      <c r="W126" s="3" t="s">
        <v>171</v>
      </c>
      <c r="X126" s="3" t="s">
        <v>394</v>
      </c>
      <c r="Y126" s="60"/>
      <c r="Z126" s="3"/>
      <c r="AA126" s="3"/>
      <c r="AB126" s="3"/>
      <c r="AC126" s="3"/>
      <c r="AD126" s="249">
        <f t="shared" si="20"/>
        <v>46905</v>
      </c>
      <c r="AE126" s="249">
        <f t="shared" si="19"/>
        <v>46997</v>
      </c>
      <c r="AF126" s="3" t="s">
        <v>394</v>
      </c>
      <c r="AG126" s="3" t="s">
        <v>581</v>
      </c>
      <c r="AH126" s="3"/>
      <c r="AI126" s="3" t="s">
        <v>115</v>
      </c>
      <c r="AJ126" s="3" t="s">
        <v>115</v>
      </c>
      <c r="AK126" s="3" t="s">
        <v>181</v>
      </c>
      <c r="AL126" s="45">
        <v>46905</v>
      </c>
      <c r="AM126" s="3" t="s">
        <v>109</v>
      </c>
      <c r="AN126" s="3" t="s">
        <v>109</v>
      </c>
      <c r="AO126" s="3"/>
      <c r="AP126" s="3"/>
      <c r="AQ126" s="3"/>
      <c r="AR126" s="109" t="s">
        <v>710</v>
      </c>
      <c r="AS126" s="249">
        <v>46997</v>
      </c>
      <c r="AT126" s="3" t="s">
        <v>109</v>
      </c>
      <c r="AU126" s="3" t="s">
        <v>171</v>
      </c>
      <c r="AV126" s="109" t="s">
        <v>710</v>
      </c>
      <c r="AW126" s="3" t="s">
        <v>171</v>
      </c>
      <c r="AX126" s="3" t="s">
        <v>171</v>
      </c>
      <c r="AY126" s="3" t="s">
        <v>111</v>
      </c>
      <c r="AZ126" s="3" t="s">
        <v>111</v>
      </c>
      <c r="BA126" s="3" t="s">
        <v>111</v>
      </c>
      <c r="BB126" s="3" t="s">
        <v>111</v>
      </c>
      <c r="BC126" s="3" t="s">
        <v>111</v>
      </c>
      <c r="BD126" s="3" t="s">
        <v>111</v>
      </c>
      <c r="BE126" s="3" t="s">
        <v>111</v>
      </c>
      <c r="BF126" s="3" t="s">
        <v>111</v>
      </c>
      <c r="BG126" s="3" t="s">
        <v>111</v>
      </c>
      <c r="BH126" s="3" t="s">
        <v>171</v>
      </c>
      <c r="BI126" s="3" t="s">
        <v>111</v>
      </c>
      <c r="BJ126" s="3" t="s">
        <v>111</v>
      </c>
      <c r="BK126" s="3" t="s">
        <v>109</v>
      </c>
      <c r="BL126" s="3" t="s">
        <v>199</v>
      </c>
      <c r="BM126" s="3" t="s">
        <v>111</v>
      </c>
      <c r="BN126" s="3" t="s">
        <v>111</v>
      </c>
      <c r="BO126" s="3" t="s">
        <v>115</v>
      </c>
      <c r="BP126" s="3"/>
      <c r="BQ126" s="3"/>
      <c r="BR126" s="3"/>
      <c r="BS126" s="3"/>
      <c r="BT126" s="3"/>
      <c r="BU126" s="3"/>
      <c r="BV126" s="3"/>
      <c r="BW126" s="3" t="s">
        <v>184</v>
      </c>
      <c r="BX126" s="3"/>
      <c r="BY126" s="3"/>
      <c r="BZ126" s="3"/>
      <c r="CA126" s="3"/>
      <c r="CB126" s="112" t="s">
        <v>402</v>
      </c>
      <c r="CC126" s="112" t="s">
        <v>109</v>
      </c>
      <c r="CD126" s="3"/>
      <c r="CE126" s="3"/>
      <c r="CF126" s="112"/>
      <c r="CG126" s="112"/>
      <c r="CH126" s="133"/>
      <c r="CI126" s="112" t="str">
        <f t="shared" si="14"/>
        <v>Apr'15</v>
      </c>
      <c r="CJ126" s="112" t="s">
        <v>132</v>
      </c>
      <c r="CK126" s="112"/>
      <c r="CL126" s="112"/>
    </row>
    <row r="127" spans="1:92" s="4" customFormat="1" ht="94.5" customHeight="1" x14ac:dyDescent="0.25">
      <c r="A127" s="3">
        <v>5</v>
      </c>
      <c r="B127" s="109" t="s">
        <v>711</v>
      </c>
      <c r="C127" s="109" t="s">
        <v>707</v>
      </c>
      <c r="D127" s="3" t="s">
        <v>141</v>
      </c>
      <c r="E127" s="59"/>
      <c r="F127" s="3" t="s">
        <v>181</v>
      </c>
      <c r="G127" s="3" t="s">
        <v>169</v>
      </c>
      <c r="H127" s="3" t="s">
        <v>122</v>
      </c>
      <c r="I127" s="3" t="s">
        <v>143</v>
      </c>
      <c r="J127" s="3" t="s">
        <v>144</v>
      </c>
      <c r="K127" s="3" t="s">
        <v>712</v>
      </c>
      <c r="L127" s="3" t="s">
        <v>85</v>
      </c>
      <c r="M127" s="56">
        <v>42121</v>
      </c>
      <c r="N127" s="69">
        <f t="shared" ca="1" si="11"/>
        <v>4056</v>
      </c>
      <c r="O127" s="72" t="str">
        <f t="shared" ca="1" si="12"/>
        <v>&gt;5Y</v>
      </c>
      <c r="P127" s="198" t="s">
        <v>137</v>
      </c>
      <c r="Q127" s="3" t="s">
        <v>709</v>
      </c>
      <c r="R127" s="3" t="s">
        <v>108</v>
      </c>
      <c r="S127" s="129">
        <v>25</v>
      </c>
      <c r="T127" s="129">
        <v>80</v>
      </c>
      <c r="U127" s="129">
        <f t="shared" si="13"/>
        <v>105</v>
      </c>
      <c r="V127" s="3"/>
      <c r="W127" s="3" t="s">
        <v>171</v>
      </c>
      <c r="X127" s="3" t="s">
        <v>394</v>
      </c>
      <c r="Y127" s="60"/>
      <c r="Z127" s="3"/>
      <c r="AA127" s="3"/>
      <c r="AB127" s="3"/>
      <c r="AC127" s="3"/>
      <c r="AD127" s="249">
        <f t="shared" si="20"/>
        <v>46905</v>
      </c>
      <c r="AE127" s="249">
        <f t="shared" si="19"/>
        <v>46997</v>
      </c>
      <c r="AF127" s="3" t="s">
        <v>394</v>
      </c>
      <c r="AG127" s="3" t="s">
        <v>581</v>
      </c>
      <c r="AH127" s="3"/>
      <c r="AI127" s="3" t="s">
        <v>115</v>
      </c>
      <c r="AJ127" s="3" t="s">
        <v>115</v>
      </c>
      <c r="AK127" s="3" t="s">
        <v>181</v>
      </c>
      <c r="AL127" s="45">
        <v>46905</v>
      </c>
      <c r="AM127" s="3" t="s">
        <v>109</v>
      </c>
      <c r="AN127" s="3" t="s">
        <v>109</v>
      </c>
      <c r="AO127" s="3"/>
      <c r="AP127" s="3"/>
      <c r="AQ127" s="3"/>
      <c r="AR127" s="109" t="s">
        <v>713</v>
      </c>
      <c r="AS127" s="249">
        <v>46997</v>
      </c>
      <c r="AT127" s="3" t="s">
        <v>146</v>
      </c>
      <c r="AU127" s="3" t="s">
        <v>419</v>
      </c>
      <c r="AV127" s="109" t="s">
        <v>714</v>
      </c>
      <c r="AW127" s="109" t="s">
        <v>419</v>
      </c>
      <c r="AX127" s="3" t="s">
        <v>171</v>
      </c>
      <c r="AY127" s="3" t="s">
        <v>111</v>
      </c>
      <c r="AZ127" s="3" t="s">
        <v>111</v>
      </c>
      <c r="BA127" s="3" t="s">
        <v>111</v>
      </c>
      <c r="BB127" s="3" t="s">
        <v>111</v>
      </c>
      <c r="BC127" s="3" t="s">
        <v>111</v>
      </c>
      <c r="BD127" s="3" t="s">
        <v>111</v>
      </c>
      <c r="BE127" s="3" t="s">
        <v>111</v>
      </c>
      <c r="BF127" s="3" t="s">
        <v>111</v>
      </c>
      <c r="BG127" s="3" t="s">
        <v>111</v>
      </c>
      <c r="BH127" s="3" t="s">
        <v>111</v>
      </c>
      <c r="BI127" s="45" t="s">
        <v>111</v>
      </c>
      <c r="BJ127" s="3" t="s">
        <v>111</v>
      </c>
      <c r="BK127" s="3"/>
      <c r="BL127" s="3"/>
      <c r="BM127" s="3" t="s">
        <v>111</v>
      </c>
      <c r="BN127" s="3" t="s">
        <v>111</v>
      </c>
      <c r="BO127" s="3" t="s">
        <v>115</v>
      </c>
      <c r="BP127" s="3"/>
      <c r="BQ127" s="3"/>
      <c r="BR127" s="3"/>
      <c r="BS127" s="3"/>
      <c r="BT127" s="3"/>
      <c r="BU127" s="3"/>
      <c r="BV127" s="3"/>
      <c r="BW127" s="3" t="s">
        <v>184</v>
      </c>
      <c r="BX127" s="3"/>
      <c r="BY127" s="3"/>
      <c r="BZ127" s="3"/>
      <c r="CA127" s="3"/>
      <c r="CB127" s="112" t="s">
        <v>402</v>
      </c>
      <c r="CC127" s="112" t="s">
        <v>109</v>
      </c>
      <c r="CD127" s="3"/>
      <c r="CE127" s="3"/>
      <c r="CF127" s="112"/>
      <c r="CG127" s="112"/>
      <c r="CH127" s="133"/>
      <c r="CI127" s="112" t="str">
        <f t="shared" si="14"/>
        <v>Apr'15</v>
      </c>
      <c r="CJ127" s="112" t="s">
        <v>132</v>
      </c>
      <c r="CK127" s="257"/>
      <c r="CL127" s="192"/>
    </row>
    <row r="128" spans="1:92" s="4" customFormat="1" ht="94.5" customHeight="1" x14ac:dyDescent="0.25">
      <c r="A128" s="3">
        <v>6</v>
      </c>
      <c r="B128" s="126" t="s">
        <v>715</v>
      </c>
      <c r="C128" s="109" t="s">
        <v>716</v>
      </c>
      <c r="D128" s="3" t="s">
        <v>135</v>
      </c>
      <c r="E128" s="59"/>
      <c r="F128" s="129">
        <v>9822037366</v>
      </c>
      <c r="G128" s="3" t="s">
        <v>169</v>
      </c>
      <c r="H128" s="3" t="s">
        <v>122</v>
      </c>
      <c r="I128" s="3" t="s">
        <v>143</v>
      </c>
      <c r="J128" s="3" t="s">
        <v>144</v>
      </c>
      <c r="K128" s="3" t="s">
        <v>717</v>
      </c>
      <c r="L128" s="3" t="s">
        <v>674</v>
      </c>
      <c r="M128" s="56">
        <v>42189</v>
      </c>
      <c r="N128" s="69">
        <f t="shared" ca="1" si="11"/>
        <v>3988</v>
      </c>
      <c r="O128" s="72" t="str">
        <f t="shared" ca="1" si="12"/>
        <v>&gt;5Y</v>
      </c>
      <c r="P128" s="198" t="s">
        <v>137</v>
      </c>
      <c r="Q128" s="3" t="s">
        <v>125</v>
      </c>
      <c r="R128" s="3" t="s">
        <v>108</v>
      </c>
      <c r="S128" s="129">
        <v>25</v>
      </c>
      <c r="T128" s="129">
        <v>80</v>
      </c>
      <c r="U128" s="129">
        <f t="shared" si="13"/>
        <v>105</v>
      </c>
      <c r="V128" s="3"/>
      <c r="W128" s="3" t="s">
        <v>171</v>
      </c>
      <c r="X128" s="3" t="s">
        <v>394</v>
      </c>
      <c r="Y128" s="60"/>
      <c r="Z128" s="3"/>
      <c r="AA128" s="3"/>
      <c r="AB128" s="3"/>
      <c r="AC128" s="3"/>
      <c r="AD128" s="249">
        <f t="shared" si="20"/>
        <v>46905</v>
      </c>
      <c r="AE128" s="249">
        <f t="shared" si="19"/>
        <v>46997</v>
      </c>
      <c r="AF128" s="3" t="s">
        <v>394</v>
      </c>
      <c r="AG128" s="3" t="s">
        <v>581</v>
      </c>
      <c r="AH128" s="3"/>
      <c r="AI128" s="3" t="s">
        <v>115</v>
      </c>
      <c r="AJ128" s="3" t="s">
        <v>115</v>
      </c>
      <c r="AK128" s="3" t="s">
        <v>181</v>
      </c>
      <c r="AL128" s="45">
        <v>46905</v>
      </c>
      <c r="AM128" s="3" t="s">
        <v>109</v>
      </c>
      <c r="AN128" s="3" t="s">
        <v>109</v>
      </c>
      <c r="AO128" s="3"/>
      <c r="AP128" s="3"/>
      <c r="AQ128" s="3"/>
      <c r="AR128" s="109" t="s">
        <v>713</v>
      </c>
      <c r="AS128" s="249">
        <v>46997</v>
      </c>
      <c r="AT128" s="3" t="s">
        <v>109</v>
      </c>
      <c r="AU128" s="3" t="s">
        <v>171</v>
      </c>
      <c r="AV128" s="109" t="s">
        <v>713</v>
      </c>
      <c r="AW128" s="3" t="s">
        <v>171</v>
      </c>
      <c r="AX128" s="3" t="s">
        <v>171</v>
      </c>
      <c r="AY128" s="3" t="s">
        <v>111</v>
      </c>
      <c r="AZ128" s="3" t="s">
        <v>111</v>
      </c>
      <c r="BA128" s="3" t="s">
        <v>111</v>
      </c>
      <c r="BB128" s="3" t="s">
        <v>111</v>
      </c>
      <c r="BC128" s="3" t="s">
        <v>111</v>
      </c>
      <c r="BD128" s="3" t="s">
        <v>111</v>
      </c>
      <c r="BE128" s="3" t="s">
        <v>111</v>
      </c>
      <c r="BF128" s="3" t="s">
        <v>111</v>
      </c>
      <c r="BG128" s="3" t="s">
        <v>111</v>
      </c>
      <c r="BH128" s="3" t="s">
        <v>171</v>
      </c>
      <c r="BI128" s="3" t="s">
        <v>111</v>
      </c>
      <c r="BJ128" s="3" t="s">
        <v>111</v>
      </c>
      <c r="BK128" s="3"/>
      <c r="BL128" s="3"/>
      <c r="BM128" s="3" t="s">
        <v>111</v>
      </c>
      <c r="BN128" s="3" t="s">
        <v>111</v>
      </c>
      <c r="BO128" s="3" t="s">
        <v>115</v>
      </c>
      <c r="BP128" s="3"/>
      <c r="BQ128" s="3"/>
      <c r="BR128" s="3"/>
      <c r="BS128" s="3"/>
      <c r="BT128" s="3"/>
      <c r="BU128" s="3"/>
      <c r="BV128" s="3"/>
      <c r="BW128" s="3" t="s">
        <v>184</v>
      </c>
      <c r="BX128" s="3"/>
      <c r="BY128" s="3"/>
      <c r="BZ128" s="3"/>
      <c r="CA128" s="3"/>
      <c r="CB128" s="112" t="s">
        <v>402</v>
      </c>
      <c r="CC128" s="112" t="s">
        <v>109</v>
      </c>
      <c r="CD128" s="3"/>
      <c r="CE128" s="3"/>
      <c r="CF128" s="112"/>
      <c r="CG128" s="112"/>
      <c r="CH128" s="133"/>
      <c r="CI128" s="112" t="str">
        <f t="shared" si="14"/>
        <v>Jul'15</v>
      </c>
      <c r="CJ128" s="112" t="s">
        <v>132</v>
      </c>
      <c r="CK128" s="112"/>
      <c r="CL128" s="112"/>
    </row>
    <row r="129" spans="1:90" s="4" customFormat="1" ht="77.25" customHeight="1" x14ac:dyDescent="0.25">
      <c r="A129" s="3">
        <v>7</v>
      </c>
      <c r="B129" s="109" t="s">
        <v>718</v>
      </c>
      <c r="C129" s="109" t="s">
        <v>719</v>
      </c>
      <c r="D129" s="3" t="s">
        <v>195</v>
      </c>
      <c r="E129" s="59"/>
      <c r="F129" s="3" t="s">
        <v>181</v>
      </c>
      <c r="G129" s="3" t="s">
        <v>169</v>
      </c>
      <c r="H129" s="3" t="s">
        <v>122</v>
      </c>
      <c r="I129" s="3" t="s">
        <v>143</v>
      </c>
      <c r="J129" s="3" t="s">
        <v>144</v>
      </c>
      <c r="K129" s="3" t="s">
        <v>720</v>
      </c>
      <c r="L129" s="3" t="s">
        <v>699</v>
      </c>
      <c r="M129" s="56">
        <v>42191</v>
      </c>
      <c r="N129" s="69">
        <f t="shared" ca="1" si="11"/>
        <v>3986</v>
      </c>
      <c r="O129" s="72" t="str">
        <f t="shared" ca="1" si="12"/>
        <v>&gt;5Y</v>
      </c>
      <c r="P129" s="198" t="s">
        <v>158</v>
      </c>
      <c r="Q129" s="3"/>
      <c r="R129" s="3" t="s">
        <v>108</v>
      </c>
      <c r="S129" s="129">
        <v>20</v>
      </c>
      <c r="T129" s="129">
        <v>70</v>
      </c>
      <c r="U129" s="129">
        <f t="shared" si="13"/>
        <v>90</v>
      </c>
      <c r="V129" s="3"/>
      <c r="W129" s="3" t="s">
        <v>171</v>
      </c>
      <c r="X129" s="3" t="s">
        <v>394</v>
      </c>
      <c r="Y129" s="60"/>
      <c r="Z129" s="3"/>
      <c r="AA129" s="3"/>
      <c r="AB129" s="3"/>
      <c r="AC129" s="3"/>
      <c r="AD129" s="249">
        <f t="shared" si="20"/>
        <v>46905</v>
      </c>
      <c r="AE129" s="249">
        <f t="shared" si="19"/>
        <v>46997</v>
      </c>
      <c r="AF129" s="3" t="s">
        <v>394</v>
      </c>
      <c r="AG129" s="109" t="s">
        <v>721</v>
      </c>
      <c r="AH129" s="3"/>
      <c r="AI129" s="3" t="s">
        <v>115</v>
      </c>
      <c r="AJ129" s="3" t="s">
        <v>115</v>
      </c>
      <c r="AK129" s="3" t="s">
        <v>181</v>
      </c>
      <c r="AL129" s="45">
        <v>46905</v>
      </c>
      <c r="AM129" s="3" t="s">
        <v>109</v>
      </c>
      <c r="AN129" s="3" t="s">
        <v>109</v>
      </c>
      <c r="AO129" s="3"/>
      <c r="AP129" s="3"/>
      <c r="AQ129" s="3"/>
      <c r="AR129" s="109" t="s">
        <v>722</v>
      </c>
      <c r="AS129" s="249">
        <v>46997</v>
      </c>
      <c r="AT129" s="3" t="s">
        <v>109</v>
      </c>
      <c r="AU129" s="3" t="s">
        <v>171</v>
      </c>
      <c r="AV129" s="109" t="s">
        <v>723</v>
      </c>
      <c r="AW129" s="3" t="s">
        <v>171</v>
      </c>
      <c r="AX129" s="3" t="s">
        <v>111</v>
      </c>
      <c r="AY129" s="3" t="s">
        <v>111</v>
      </c>
      <c r="AZ129" s="3" t="s">
        <v>111</v>
      </c>
      <c r="BA129" s="3" t="s">
        <v>111</v>
      </c>
      <c r="BB129" s="3" t="s">
        <v>111</v>
      </c>
      <c r="BC129" s="3" t="s">
        <v>111</v>
      </c>
      <c r="BD129" s="3" t="s">
        <v>111</v>
      </c>
      <c r="BE129" s="3" t="s">
        <v>111</v>
      </c>
      <c r="BF129" s="3" t="s">
        <v>111</v>
      </c>
      <c r="BG129" s="3" t="s">
        <v>111</v>
      </c>
      <c r="BH129" s="3" t="s">
        <v>111</v>
      </c>
      <c r="BI129" s="3" t="s">
        <v>111</v>
      </c>
      <c r="BJ129" s="3" t="s">
        <v>111</v>
      </c>
      <c r="BK129" s="3"/>
      <c r="BL129" s="3"/>
      <c r="BM129" s="3" t="s">
        <v>111</v>
      </c>
      <c r="BN129" s="3" t="s">
        <v>111</v>
      </c>
      <c r="BO129" s="3" t="s">
        <v>115</v>
      </c>
      <c r="BP129" s="3"/>
      <c r="BQ129" s="3"/>
      <c r="BR129" s="3"/>
      <c r="BS129" s="3"/>
      <c r="BT129" s="3"/>
      <c r="BU129" s="3"/>
      <c r="BV129" s="3"/>
      <c r="BW129" s="3" t="s">
        <v>184</v>
      </c>
      <c r="BX129" s="3"/>
      <c r="BY129" s="3"/>
      <c r="BZ129" s="3"/>
      <c r="CA129" s="3"/>
      <c r="CB129" s="112" t="s">
        <v>402</v>
      </c>
      <c r="CC129" s="112" t="s">
        <v>109</v>
      </c>
      <c r="CD129" s="3"/>
      <c r="CE129" s="3"/>
      <c r="CF129" s="112"/>
      <c r="CG129" s="112"/>
      <c r="CH129" s="133"/>
      <c r="CI129" s="112" t="str">
        <f t="shared" si="14"/>
        <v>Jul'15</v>
      </c>
      <c r="CJ129" s="112" t="s">
        <v>132</v>
      </c>
      <c r="CK129" s="256"/>
      <c r="CL129" s="192"/>
    </row>
    <row r="130" spans="1:90" s="4" customFormat="1" ht="94.5" customHeight="1" x14ac:dyDescent="0.25">
      <c r="A130" s="3">
        <v>8</v>
      </c>
      <c r="B130" s="109" t="s">
        <v>724</v>
      </c>
      <c r="C130" s="109" t="s">
        <v>725</v>
      </c>
      <c r="D130" s="3" t="s">
        <v>195</v>
      </c>
      <c r="E130" s="59"/>
      <c r="F130" s="129" t="s">
        <v>726</v>
      </c>
      <c r="G130" s="3" t="s">
        <v>100</v>
      </c>
      <c r="H130" s="3" t="s">
        <v>122</v>
      </c>
      <c r="I130" s="3" t="s">
        <v>102</v>
      </c>
      <c r="J130" s="3" t="s">
        <v>123</v>
      </c>
      <c r="K130" s="3" t="s">
        <v>727</v>
      </c>
      <c r="L130" s="3" t="s">
        <v>674</v>
      </c>
      <c r="M130" s="56">
        <v>42334</v>
      </c>
      <c r="N130" s="69">
        <f t="shared" ca="1" si="11"/>
        <v>3843</v>
      </c>
      <c r="O130" s="69" t="str">
        <f t="shared" ca="1" si="12"/>
        <v>&gt;5Y</v>
      </c>
      <c r="P130" s="198" t="s">
        <v>158</v>
      </c>
      <c r="Q130" s="3" t="s">
        <v>125</v>
      </c>
      <c r="R130" s="3" t="s">
        <v>108</v>
      </c>
      <c r="S130" s="129">
        <v>6</v>
      </c>
      <c r="T130" s="129">
        <v>40</v>
      </c>
      <c r="U130" s="129">
        <f t="shared" si="13"/>
        <v>46</v>
      </c>
      <c r="V130" s="3"/>
      <c r="W130" s="3" t="s">
        <v>171</v>
      </c>
      <c r="X130" s="3" t="s">
        <v>394</v>
      </c>
      <c r="Y130" s="60"/>
      <c r="Z130" s="3"/>
      <c r="AA130" s="3"/>
      <c r="AB130" s="3"/>
      <c r="AC130" s="3"/>
      <c r="AD130" s="249">
        <f t="shared" si="20"/>
        <v>46905</v>
      </c>
      <c r="AE130" s="249">
        <f t="shared" si="19"/>
        <v>46997</v>
      </c>
      <c r="AF130" s="3" t="s">
        <v>394</v>
      </c>
      <c r="AG130" s="109" t="s">
        <v>581</v>
      </c>
      <c r="AH130" s="3"/>
      <c r="AI130" s="3" t="s">
        <v>115</v>
      </c>
      <c r="AJ130" s="3" t="s">
        <v>115</v>
      </c>
      <c r="AK130" s="3" t="s">
        <v>181</v>
      </c>
      <c r="AL130" s="45">
        <v>46905</v>
      </c>
      <c r="AM130" s="3" t="s">
        <v>109</v>
      </c>
      <c r="AN130" s="3" t="s">
        <v>109</v>
      </c>
      <c r="AO130" s="3"/>
      <c r="AP130" s="3"/>
      <c r="AQ130" s="3"/>
      <c r="AR130" s="109" t="s">
        <v>728</v>
      </c>
      <c r="AS130" s="249">
        <v>46997</v>
      </c>
      <c r="AT130" s="3" t="s">
        <v>109</v>
      </c>
      <c r="AU130" s="3" t="s">
        <v>171</v>
      </c>
      <c r="AV130" s="109" t="s">
        <v>729</v>
      </c>
      <c r="AW130" s="3" t="s">
        <v>171</v>
      </c>
      <c r="AX130" s="3" t="s">
        <v>111</v>
      </c>
      <c r="AY130" s="3" t="s">
        <v>111</v>
      </c>
      <c r="AZ130" s="3" t="s">
        <v>111</v>
      </c>
      <c r="BA130" s="3" t="s">
        <v>111</v>
      </c>
      <c r="BB130" s="3" t="s">
        <v>111</v>
      </c>
      <c r="BC130" s="3" t="s">
        <v>111</v>
      </c>
      <c r="BD130" s="3" t="s">
        <v>111</v>
      </c>
      <c r="BE130" s="3" t="s">
        <v>111</v>
      </c>
      <c r="BF130" s="3" t="s">
        <v>111</v>
      </c>
      <c r="BG130" s="3" t="s">
        <v>111</v>
      </c>
      <c r="BH130" s="3" t="s">
        <v>111</v>
      </c>
      <c r="BI130" s="3" t="s">
        <v>111</v>
      </c>
      <c r="BJ130" s="3" t="s">
        <v>111</v>
      </c>
      <c r="BK130" s="3"/>
      <c r="BL130" s="3"/>
      <c r="BM130" s="3" t="s">
        <v>111</v>
      </c>
      <c r="BN130" s="3" t="s">
        <v>111</v>
      </c>
      <c r="BO130" s="3" t="s">
        <v>115</v>
      </c>
      <c r="BP130" s="3"/>
      <c r="BQ130" s="3"/>
      <c r="BR130" s="3"/>
      <c r="BS130" s="3"/>
      <c r="BT130" s="3"/>
      <c r="BU130" s="3"/>
      <c r="BV130" s="3"/>
      <c r="BW130" s="3" t="s">
        <v>184</v>
      </c>
      <c r="BX130" s="3"/>
      <c r="BY130" s="3"/>
      <c r="BZ130" s="3"/>
      <c r="CA130" s="3"/>
      <c r="CB130" s="112" t="s">
        <v>402</v>
      </c>
      <c r="CC130" s="112" t="s">
        <v>109</v>
      </c>
      <c r="CD130" s="3"/>
      <c r="CE130" s="3"/>
      <c r="CF130" s="112"/>
      <c r="CG130" s="112"/>
      <c r="CH130" s="133"/>
      <c r="CI130" s="112" t="str">
        <f t="shared" si="14"/>
        <v>Nov'15</v>
      </c>
      <c r="CJ130" s="112" t="s">
        <v>132</v>
      </c>
      <c r="CK130" s="112"/>
      <c r="CL130" s="192"/>
    </row>
    <row r="131" spans="1:90" s="4" customFormat="1" ht="94.5" customHeight="1" x14ac:dyDescent="0.25">
      <c r="A131" s="3">
        <v>10</v>
      </c>
      <c r="B131" s="109" t="s">
        <v>730</v>
      </c>
      <c r="C131" s="109" t="s">
        <v>731</v>
      </c>
      <c r="D131" s="3" t="s">
        <v>99</v>
      </c>
      <c r="E131" s="59"/>
      <c r="F131" s="129" t="s">
        <v>181</v>
      </c>
      <c r="G131" s="3" t="s">
        <v>100</v>
      </c>
      <c r="H131" s="3" t="s">
        <v>101</v>
      </c>
      <c r="I131" s="3" t="s">
        <v>102</v>
      </c>
      <c r="J131" s="3" t="s">
        <v>103</v>
      </c>
      <c r="K131" s="3" t="s">
        <v>732</v>
      </c>
      <c r="L131" s="3" t="s">
        <v>674</v>
      </c>
      <c r="M131" s="56">
        <v>42577</v>
      </c>
      <c r="N131" s="69">
        <f t="shared" ref="N131:N194" ca="1" si="21">+TODAY()-M131</f>
        <v>3600</v>
      </c>
      <c r="O131" s="69" t="str">
        <f t="shared" ref="O131:O194" ca="1" si="22">+IF(N131&lt;180,"0-6M",IF(N131&lt;365,"6-12M",IF(N131&lt;730,"1-2Y",IF(N131&lt;1095,"2-3Y",IF(N131&lt;1460,"3-4Y",IF(N131&lt;1825,"4-5Y",IF(N131&gt;1825,"&gt;5Y")))))))</f>
        <v>&gt;5Y</v>
      </c>
      <c r="P131" s="198" t="s">
        <v>106</v>
      </c>
      <c r="Q131" s="3" t="s">
        <v>107</v>
      </c>
      <c r="R131" s="3" t="s">
        <v>108</v>
      </c>
      <c r="S131" s="129">
        <v>6</v>
      </c>
      <c r="T131" s="129">
        <v>40</v>
      </c>
      <c r="U131" s="129">
        <f t="shared" ref="U131:U194" si="23">+S131+T131</f>
        <v>46</v>
      </c>
      <c r="V131" s="3"/>
      <c r="W131" s="3" t="s">
        <v>171</v>
      </c>
      <c r="X131" s="3" t="s">
        <v>394</v>
      </c>
      <c r="Y131" s="60"/>
      <c r="Z131" s="3" t="s">
        <v>274</v>
      </c>
      <c r="AA131" s="3"/>
      <c r="AB131" s="3"/>
      <c r="AC131" s="3"/>
      <c r="AD131" s="249">
        <f t="shared" si="20"/>
        <v>46905</v>
      </c>
      <c r="AE131" s="249">
        <f t="shared" si="19"/>
        <v>46997</v>
      </c>
      <c r="AF131" s="3" t="s">
        <v>394</v>
      </c>
      <c r="AG131" s="3" t="s">
        <v>581</v>
      </c>
      <c r="AH131" s="3"/>
      <c r="AI131" s="3"/>
      <c r="AJ131" s="3"/>
      <c r="AK131" s="3" t="s">
        <v>181</v>
      </c>
      <c r="AL131" s="45">
        <v>46905</v>
      </c>
      <c r="AM131" s="3"/>
      <c r="AN131" s="3"/>
      <c r="AO131" s="3"/>
      <c r="AP131" s="3"/>
      <c r="AQ131" s="3"/>
      <c r="AR131" s="109" t="s">
        <v>545</v>
      </c>
      <c r="AS131" s="249">
        <v>46997</v>
      </c>
      <c r="AT131" s="3" t="s">
        <v>109</v>
      </c>
      <c r="AU131" s="3" t="s">
        <v>298</v>
      </c>
      <c r="AV131" s="109" t="s">
        <v>733</v>
      </c>
      <c r="AW131" s="3" t="s">
        <v>171</v>
      </c>
      <c r="AX131" s="3" t="s">
        <v>348</v>
      </c>
      <c r="AY131" s="3" t="s">
        <v>348</v>
      </c>
      <c r="AZ131" s="3" t="s">
        <v>348</v>
      </c>
      <c r="BA131" s="3" t="s">
        <v>348</v>
      </c>
      <c r="BB131" s="3" t="s">
        <v>348</v>
      </c>
      <c r="BC131" s="3" t="s">
        <v>348</v>
      </c>
      <c r="BD131" s="3" t="s">
        <v>348</v>
      </c>
      <c r="BE131" s="3" t="s">
        <v>111</v>
      </c>
      <c r="BF131" s="3" t="s">
        <v>111</v>
      </c>
      <c r="BG131" s="59" t="s">
        <v>533</v>
      </c>
      <c r="BH131" s="59" t="s">
        <v>90</v>
      </c>
      <c r="BI131" s="45">
        <v>46753</v>
      </c>
      <c r="BJ131" s="45">
        <v>46784</v>
      </c>
      <c r="BK131" s="3"/>
      <c r="BL131" s="3"/>
      <c r="BM131" s="3"/>
      <c r="BN131" s="3"/>
      <c r="BO131" s="3"/>
      <c r="BP131" s="3"/>
      <c r="BQ131" s="3"/>
      <c r="BR131" s="3"/>
      <c r="BS131" s="3"/>
      <c r="BT131" s="3"/>
      <c r="BU131" s="3"/>
      <c r="BV131" s="3"/>
      <c r="BW131" s="3" t="s">
        <v>184</v>
      </c>
      <c r="BX131" s="3"/>
      <c r="BY131" s="3"/>
      <c r="BZ131" s="3"/>
      <c r="CA131" s="3"/>
      <c r="CB131" s="112" t="s">
        <v>402</v>
      </c>
      <c r="CC131" s="112" t="s">
        <v>109</v>
      </c>
      <c r="CD131" s="3"/>
      <c r="CE131" s="3"/>
      <c r="CF131" s="112"/>
      <c r="CG131" s="112"/>
      <c r="CH131" s="133"/>
      <c r="CI131" s="112" t="str">
        <f t="shared" ref="CI131:CI194" si="24">TEXT(M131,"MMM'YY")</f>
        <v>Jul'16</v>
      </c>
      <c r="CJ131" s="112" t="s">
        <v>107</v>
      </c>
      <c r="CK131" s="112"/>
      <c r="CL131" s="192"/>
    </row>
    <row r="132" spans="1:90" s="4" customFormat="1" ht="94.5" customHeight="1" x14ac:dyDescent="0.25">
      <c r="A132" s="3">
        <v>11</v>
      </c>
      <c r="B132" s="109" t="s">
        <v>734</v>
      </c>
      <c r="C132" s="109" t="s">
        <v>735</v>
      </c>
      <c r="D132" s="3" t="s">
        <v>99</v>
      </c>
      <c r="E132" s="59"/>
      <c r="F132" s="3">
        <v>9423135961</v>
      </c>
      <c r="G132" s="3" t="s">
        <v>634</v>
      </c>
      <c r="H132" s="3" t="s">
        <v>101</v>
      </c>
      <c r="I132" s="3" t="s">
        <v>102</v>
      </c>
      <c r="J132" s="3" t="s">
        <v>103</v>
      </c>
      <c r="K132" s="3" t="s">
        <v>736</v>
      </c>
      <c r="L132" s="3" t="s">
        <v>439</v>
      </c>
      <c r="M132" s="56">
        <v>42629</v>
      </c>
      <c r="N132" s="69">
        <f t="shared" ca="1" si="21"/>
        <v>3548</v>
      </c>
      <c r="O132" s="69" t="str">
        <f t="shared" ca="1" si="22"/>
        <v>&gt;5Y</v>
      </c>
      <c r="P132" s="198" t="s">
        <v>106</v>
      </c>
      <c r="Q132" s="3" t="s">
        <v>107</v>
      </c>
      <c r="R132" s="3" t="s">
        <v>164</v>
      </c>
      <c r="S132" s="129">
        <v>6</v>
      </c>
      <c r="T132" s="129">
        <v>42</v>
      </c>
      <c r="U132" s="129">
        <f t="shared" si="23"/>
        <v>48</v>
      </c>
      <c r="V132" s="3"/>
      <c r="W132" s="3" t="s">
        <v>171</v>
      </c>
      <c r="X132" s="3" t="s">
        <v>394</v>
      </c>
      <c r="Y132" s="60"/>
      <c r="Z132" s="3" t="s">
        <v>274</v>
      </c>
      <c r="AA132" s="3"/>
      <c r="AB132" s="3"/>
      <c r="AC132" s="3"/>
      <c r="AD132" s="249">
        <f t="shared" si="20"/>
        <v>46905</v>
      </c>
      <c r="AE132" s="249">
        <f t="shared" si="19"/>
        <v>46997</v>
      </c>
      <c r="AF132" s="3" t="s">
        <v>394</v>
      </c>
      <c r="AG132" s="3" t="s">
        <v>581</v>
      </c>
      <c r="AH132" s="3"/>
      <c r="AI132" s="3"/>
      <c r="AJ132" s="3"/>
      <c r="AK132" s="3" t="s">
        <v>181</v>
      </c>
      <c r="AL132" s="45">
        <v>46905</v>
      </c>
      <c r="AM132" s="3"/>
      <c r="AN132" s="3"/>
      <c r="AO132" s="3"/>
      <c r="AP132" s="3"/>
      <c r="AQ132" s="3"/>
      <c r="AR132" s="109" t="s">
        <v>737</v>
      </c>
      <c r="AS132" s="249">
        <v>46997</v>
      </c>
      <c r="AT132" s="3" t="s">
        <v>109</v>
      </c>
      <c r="AU132" s="3" t="s">
        <v>298</v>
      </c>
      <c r="AV132" s="109" t="s">
        <v>738</v>
      </c>
      <c r="AW132" s="3" t="s">
        <v>171</v>
      </c>
      <c r="AX132" s="3" t="s">
        <v>348</v>
      </c>
      <c r="AY132" s="3" t="s">
        <v>348</v>
      </c>
      <c r="AZ132" s="3" t="s">
        <v>348</v>
      </c>
      <c r="BA132" s="3" t="s">
        <v>348</v>
      </c>
      <c r="BB132" s="3" t="s">
        <v>348</v>
      </c>
      <c r="BC132" s="3" t="s">
        <v>348</v>
      </c>
      <c r="BD132" s="3" t="s">
        <v>348</v>
      </c>
      <c r="BE132" s="3" t="s">
        <v>111</v>
      </c>
      <c r="BF132" s="3" t="s">
        <v>111</v>
      </c>
      <c r="BG132" s="59" t="s">
        <v>533</v>
      </c>
      <c r="BH132" s="59" t="s">
        <v>90</v>
      </c>
      <c r="BI132" s="45">
        <v>46753</v>
      </c>
      <c r="BJ132" s="45">
        <v>46784</v>
      </c>
      <c r="BK132" s="3" t="s">
        <v>109</v>
      </c>
      <c r="BL132" s="3" t="s">
        <v>199</v>
      </c>
      <c r="BM132" s="3"/>
      <c r="BN132" s="3"/>
      <c r="BO132" s="3"/>
      <c r="BP132" s="3"/>
      <c r="BQ132" s="3"/>
      <c r="BR132" s="3"/>
      <c r="BS132" s="3"/>
      <c r="BT132" s="3"/>
      <c r="BU132" s="3"/>
      <c r="BV132" s="3"/>
      <c r="BW132" s="3" t="s">
        <v>184</v>
      </c>
      <c r="BX132" s="3"/>
      <c r="BY132" s="3"/>
      <c r="BZ132" s="3"/>
      <c r="CA132" s="3"/>
      <c r="CB132" s="112" t="s">
        <v>402</v>
      </c>
      <c r="CC132" s="112" t="s">
        <v>109</v>
      </c>
      <c r="CD132" s="3"/>
      <c r="CE132" s="3"/>
      <c r="CF132" s="112"/>
      <c r="CG132" s="112"/>
      <c r="CH132" s="133"/>
      <c r="CI132" s="112" t="str">
        <f t="shared" si="24"/>
        <v>Sep'16</v>
      </c>
      <c r="CJ132" s="112" t="s">
        <v>107</v>
      </c>
      <c r="CK132" s="112"/>
      <c r="CL132" s="192"/>
    </row>
    <row r="133" spans="1:90" s="4" customFormat="1" ht="94.5" customHeight="1" x14ac:dyDescent="0.25">
      <c r="A133" s="3">
        <v>12</v>
      </c>
      <c r="B133" s="109" t="s">
        <v>739</v>
      </c>
      <c r="C133" s="109" t="s">
        <v>740</v>
      </c>
      <c r="D133" s="3" t="s">
        <v>141</v>
      </c>
      <c r="E133" s="59"/>
      <c r="F133" s="129">
        <v>9820521233</v>
      </c>
      <c r="G133" s="3" t="s">
        <v>142</v>
      </c>
      <c r="H133" s="3" t="s">
        <v>122</v>
      </c>
      <c r="I133" s="3" t="s">
        <v>143</v>
      </c>
      <c r="J133" s="3" t="s">
        <v>144</v>
      </c>
      <c r="K133" s="3" t="s">
        <v>741</v>
      </c>
      <c r="L133" s="3" t="s">
        <v>674</v>
      </c>
      <c r="M133" s="56">
        <v>42711</v>
      </c>
      <c r="N133" s="69">
        <f t="shared" ca="1" si="21"/>
        <v>3466</v>
      </c>
      <c r="O133" s="72" t="str">
        <f t="shared" ca="1" si="22"/>
        <v>&gt;5Y</v>
      </c>
      <c r="P133" s="198" t="s">
        <v>137</v>
      </c>
      <c r="Q133" s="3" t="s">
        <v>125</v>
      </c>
      <c r="R133" s="3" t="s">
        <v>108</v>
      </c>
      <c r="S133" s="129">
        <v>20</v>
      </c>
      <c r="T133" s="129">
        <v>130</v>
      </c>
      <c r="U133" s="129">
        <f t="shared" si="23"/>
        <v>150</v>
      </c>
      <c r="V133" s="3"/>
      <c r="W133" s="3" t="s">
        <v>171</v>
      </c>
      <c r="X133" s="3" t="s">
        <v>394</v>
      </c>
      <c r="Y133" s="60"/>
      <c r="Z133" s="3"/>
      <c r="AA133" s="3"/>
      <c r="AB133" s="3"/>
      <c r="AC133" s="3"/>
      <c r="AD133" s="249">
        <f t="shared" si="20"/>
        <v>46905</v>
      </c>
      <c r="AE133" s="249">
        <f t="shared" si="19"/>
        <v>46997</v>
      </c>
      <c r="AF133" s="3" t="s">
        <v>394</v>
      </c>
      <c r="AG133" s="3" t="s">
        <v>581</v>
      </c>
      <c r="AH133" s="3"/>
      <c r="AI133" s="3" t="s">
        <v>115</v>
      </c>
      <c r="AJ133" s="3" t="s">
        <v>115</v>
      </c>
      <c r="AK133" s="3" t="s">
        <v>181</v>
      </c>
      <c r="AL133" s="45">
        <v>46905</v>
      </c>
      <c r="AM133" s="3" t="s">
        <v>109</v>
      </c>
      <c r="AN133" s="3" t="s">
        <v>109</v>
      </c>
      <c r="AO133" s="3"/>
      <c r="AP133" s="3"/>
      <c r="AQ133" s="3"/>
      <c r="AR133" s="109" t="s">
        <v>742</v>
      </c>
      <c r="AS133" s="249">
        <v>46997</v>
      </c>
      <c r="AT133" s="3" t="s">
        <v>171</v>
      </c>
      <c r="AU133" s="3" t="s">
        <v>171</v>
      </c>
      <c r="AV133" s="109" t="s">
        <v>743</v>
      </c>
      <c r="AW133" s="109" t="s">
        <v>744</v>
      </c>
      <c r="AX133" s="3" t="s">
        <v>171</v>
      </c>
      <c r="AY133" s="3" t="s">
        <v>111</v>
      </c>
      <c r="AZ133" s="3" t="s">
        <v>111</v>
      </c>
      <c r="BA133" s="3" t="s">
        <v>111</v>
      </c>
      <c r="BB133" s="3" t="s">
        <v>111</v>
      </c>
      <c r="BC133" s="3" t="s">
        <v>111</v>
      </c>
      <c r="BD133" s="3" t="s">
        <v>111</v>
      </c>
      <c r="BE133" s="3" t="s">
        <v>111</v>
      </c>
      <c r="BF133" s="3" t="s">
        <v>111</v>
      </c>
      <c r="BG133" s="3" t="s">
        <v>111</v>
      </c>
      <c r="BH133" s="3" t="s">
        <v>111</v>
      </c>
      <c r="BI133" s="45" t="s">
        <v>111</v>
      </c>
      <c r="BJ133" s="3" t="s">
        <v>111</v>
      </c>
      <c r="BK133" s="3"/>
      <c r="BL133" s="3"/>
      <c r="BM133" s="3" t="s">
        <v>111</v>
      </c>
      <c r="BN133" s="3" t="s">
        <v>111</v>
      </c>
      <c r="BO133" s="3" t="s">
        <v>115</v>
      </c>
      <c r="BP133" s="3"/>
      <c r="BQ133" s="3"/>
      <c r="BR133" s="3"/>
      <c r="BS133" s="3"/>
      <c r="BT133" s="3"/>
      <c r="BU133" s="3"/>
      <c r="BV133" s="3"/>
      <c r="BW133" s="3" t="s">
        <v>184</v>
      </c>
      <c r="BX133" s="3"/>
      <c r="BY133" s="3"/>
      <c r="BZ133" s="3"/>
      <c r="CA133" s="3"/>
      <c r="CB133" s="112" t="s">
        <v>402</v>
      </c>
      <c r="CC133" s="112" t="s">
        <v>109</v>
      </c>
      <c r="CD133" s="3"/>
      <c r="CE133" s="3"/>
      <c r="CF133" s="112"/>
      <c r="CG133" s="112"/>
      <c r="CH133" s="133"/>
      <c r="CI133" s="112" t="str">
        <f t="shared" si="24"/>
        <v>Dec'16</v>
      </c>
      <c r="CJ133" s="112" t="s">
        <v>132</v>
      </c>
      <c r="CK133" s="112"/>
      <c r="CL133" s="192"/>
    </row>
    <row r="134" spans="1:90" s="4" customFormat="1" ht="94.5" customHeight="1" x14ac:dyDescent="0.25">
      <c r="A134" s="3">
        <v>13</v>
      </c>
      <c r="B134" s="109" t="s">
        <v>745</v>
      </c>
      <c r="C134" s="109" t="s">
        <v>746</v>
      </c>
      <c r="D134" s="3" t="s">
        <v>99</v>
      </c>
      <c r="E134" s="59"/>
      <c r="F134" s="3" t="s">
        <v>181</v>
      </c>
      <c r="G134" s="3" t="s">
        <v>169</v>
      </c>
      <c r="H134" s="3" t="s">
        <v>101</v>
      </c>
      <c r="I134" s="3" t="s">
        <v>143</v>
      </c>
      <c r="J134" s="3" t="s">
        <v>151</v>
      </c>
      <c r="K134" s="3" t="s">
        <v>747</v>
      </c>
      <c r="L134" s="3" t="s">
        <v>111</v>
      </c>
      <c r="M134" s="56">
        <v>43297</v>
      </c>
      <c r="N134" s="69">
        <f t="shared" ca="1" si="21"/>
        <v>2880</v>
      </c>
      <c r="O134" s="72" t="str">
        <f t="shared" ca="1" si="22"/>
        <v>&gt;5Y</v>
      </c>
      <c r="P134" s="198" t="s">
        <v>106</v>
      </c>
      <c r="Q134" s="3" t="s">
        <v>709</v>
      </c>
      <c r="R134" s="3" t="s">
        <v>108</v>
      </c>
      <c r="S134" s="129">
        <v>70</v>
      </c>
      <c r="T134" s="129">
        <v>100</v>
      </c>
      <c r="U134" s="129">
        <f t="shared" si="23"/>
        <v>170</v>
      </c>
      <c r="V134" s="3"/>
      <c r="W134" s="3" t="s">
        <v>171</v>
      </c>
      <c r="X134" s="3" t="s">
        <v>394</v>
      </c>
      <c r="Y134" s="60"/>
      <c r="Z134" s="3" t="s">
        <v>274</v>
      </c>
      <c r="AA134" s="3"/>
      <c r="AB134" s="3"/>
      <c r="AC134" s="3"/>
      <c r="AD134" s="249">
        <f t="shared" si="20"/>
        <v>46905</v>
      </c>
      <c r="AE134" s="249">
        <f t="shared" si="19"/>
        <v>46997</v>
      </c>
      <c r="AF134" s="3" t="s">
        <v>394</v>
      </c>
      <c r="AG134" s="3" t="s">
        <v>581</v>
      </c>
      <c r="AH134" s="3"/>
      <c r="AI134" s="3"/>
      <c r="AJ134" s="3"/>
      <c r="AK134" s="3" t="s">
        <v>181</v>
      </c>
      <c r="AL134" s="45">
        <v>46905</v>
      </c>
      <c r="AM134" s="3"/>
      <c r="AN134" s="3"/>
      <c r="AO134" s="3"/>
      <c r="AP134" s="3"/>
      <c r="AQ134" s="3"/>
      <c r="AR134" s="109" t="s">
        <v>713</v>
      </c>
      <c r="AS134" s="249">
        <v>46997</v>
      </c>
      <c r="AT134" s="3" t="s">
        <v>109</v>
      </c>
      <c r="AU134" s="3" t="s">
        <v>171</v>
      </c>
      <c r="AV134" s="109" t="s">
        <v>748</v>
      </c>
      <c r="AW134" s="3" t="s">
        <v>109</v>
      </c>
      <c r="AX134" s="3" t="s">
        <v>348</v>
      </c>
      <c r="AY134" s="3" t="s">
        <v>348</v>
      </c>
      <c r="AZ134" s="3" t="s">
        <v>348</v>
      </c>
      <c r="BA134" s="3" t="s">
        <v>348</v>
      </c>
      <c r="BB134" s="3" t="s">
        <v>348</v>
      </c>
      <c r="BC134" s="3" t="s">
        <v>348</v>
      </c>
      <c r="BD134" s="3" t="s">
        <v>348</v>
      </c>
      <c r="BE134" s="3" t="s">
        <v>111</v>
      </c>
      <c r="BF134" s="3" t="s">
        <v>111</v>
      </c>
      <c r="BG134" s="59" t="s">
        <v>533</v>
      </c>
      <c r="BH134" s="59" t="s">
        <v>90</v>
      </c>
      <c r="BI134" s="3" t="s">
        <v>111</v>
      </c>
      <c r="BJ134" s="3" t="s">
        <v>111</v>
      </c>
      <c r="BK134" s="3"/>
      <c r="BL134" s="3"/>
      <c r="BM134" s="3"/>
      <c r="BN134" s="3"/>
      <c r="BO134" s="3"/>
      <c r="BP134" s="3"/>
      <c r="BQ134" s="3"/>
      <c r="BR134" s="3"/>
      <c r="BS134" s="3"/>
      <c r="BT134" s="3"/>
      <c r="BU134" s="3"/>
      <c r="BV134" s="3"/>
      <c r="BW134" s="3" t="s">
        <v>749</v>
      </c>
      <c r="BX134" s="3"/>
      <c r="BY134" s="3"/>
      <c r="BZ134" s="3"/>
      <c r="CA134" s="3"/>
      <c r="CB134" s="112" t="s">
        <v>402</v>
      </c>
      <c r="CC134" s="112" t="s">
        <v>109</v>
      </c>
      <c r="CD134" s="3"/>
      <c r="CE134" s="3"/>
      <c r="CF134" s="112"/>
      <c r="CG134" s="112"/>
      <c r="CH134" s="133"/>
      <c r="CI134" s="112" t="str">
        <f t="shared" si="24"/>
        <v>Jul'18</v>
      </c>
      <c r="CJ134" s="112" t="s">
        <v>750</v>
      </c>
      <c r="CK134" s="255"/>
      <c r="CL134" s="192"/>
    </row>
    <row r="135" spans="1:90" s="4" customFormat="1" ht="75" customHeight="1" x14ac:dyDescent="0.25">
      <c r="A135" s="3">
        <v>14</v>
      </c>
      <c r="B135" s="126" t="s">
        <v>751</v>
      </c>
      <c r="C135" s="109" t="s">
        <v>752</v>
      </c>
      <c r="D135" s="3" t="s">
        <v>135</v>
      </c>
      <c r="E135" s="59"/>
      <c r="F135" s="3" t="s">
        <v>181</v>
      </c>
      <c r="G135" s="3" t="s">
        <v>634</v>
      </c>
      <c r="H135" s="3" t="s">
        <v>101</v>
      </c>
      <c r="I135" s="3" t="s">
        <v>102</v>
      </c>
      <c r="J135" s="3" t="s">
        <v>753</v>
      </c>
      <c r="K135" s="3" t="s">
        <v>754</v>
      </c>
      <c r="L135" s="3" t="s">
        <v>111</v>
      </c>
      <c r="M135" s="56">
        <v>43311</v>
      </c>
      <c r="N135" s="69">
        <f t="shared" ca="1" si="21"/>
        <v>2866</v>
      </c>
      <c r="O135" s="69" t="str">
        <f t="shared" ca="1" si="22"/>
        <v>&gt;5Y</v>
      </c>
      <c r="P135" s="198" t="s">
        <v>137</v>
      </c>
      <c r="Q135" s="3" t="s">
        <v>709</v>
      </c>
      <c r="R135" s="3" t="s">
        <v>108</v>
      </c>
      <c r="S135" s="129">
        <v>35</v>
      </c>
      <c r="T135" s="129">
        <v>50</v>
      </c>
      <c r="U135" s="129">
        <f t="shared" si="23"/>
        <v>85</v>
      </c>
      <c r="V135" s="3"/>
      <c r="W135" s="3" t="s">
        <v>171</v>
      </c>
      <c r="X135" s="3" t="s">
        <v>394</v>
      </c>
      <c r="Y135" s="60"/>
      <c r="Z135" s="3" t="s">
        <v>274</v>
      </c>
      <c r="AA135" s="3"/>
      <c r="AB135" s="3"/>
      <c r="AC135" s="3"/>
      <c r="AD135" s="249">
        <f t="shared" si="20"/>
        <v>46905</v>
      </c>
      <c r="AE135" s="249">
        <f t="shared" si="19"/>
        <v>46997</v>
      </c>
      <c r="AF135" s="3" t="s">
        <v>394</v>
      </c>
      <c r="AG135" s="3" t="s">
        <v>581</v>
      </c>
      <c r="AH135" s="3"/>
      <c r="AI135" s="3"/>
      <c r="AJ135" s="3"/>
      <c r="AK135" s="3" t="s">
        <v>181</v>
      </c>
      <c r="AL135" s="45">
        <v>46905</v>
      </c>
      <c r="AM135" s="3"/>
      <c r="AN135" s="3"/>
      <c r="AO135" s="3"/>
      <c r="AP135" s="3"/>
      <c r="AQ135" s="3"/>
      <c r="AR135" s="109" t="s">
        <v>710</v>
      </c>
      <c r="AS135" s="249">
        <v>46997</v>
      </c>
      <c r="AT135" s="3" t="s">
        <v>109</v>
      </c>
      <c r="AU135" s="3" t="s">
        <v>171</v>
      </c>
      <c r="AV135" s="109" t="s">
        <v>710</v>
      </c>
      <c r="AW135" s="3" t="s">
        <v>171</v>
      </c>
      <c r="AX135" s="3" t="s">
        <v>171</v>
      </c>
      <c r="AY135" s="3" t="s">
        <v>111</v>
      </c>
      <c r="AZ135" s="3" t="s">
        <v>111</v>
      </c>
      <c r="BA135" s="3" t="s">
        <v>111</v>
      </c>
      <c r="BB135" s="3" t="s">
        <v>111</v>
      </c>
      <c r="BC135" s="3" t="s">
        <v>111</v>
      </c>
      <c r="BD135" s="3" t="s">
        <v>111</v>
      </c>
      <c r="BE135" s="3" t="s">
        <v>111</v>
      </c>
      <c r="BF135" s="3" t="s">
        <v>111</v>
      </c>
      <c r="BG135" s="3" t="s">
        <v>111</v>
      </c>
      <c r="BH135" s="3" t="s">
        <v>171</v>
      </c>
      <c r="BI135" s="3" t="s">
        <v>111</v>
      </c>
      <c r="BJ135" s="3" t="s">
        <v>111</v>
      </c>
      <c r="BK135" s="3"/>
      <c r="BL135" s="3"/>
      <c r="BM135" s="3"/>
      <c r="BN135" s="3"/>
      <c r="BO135" s="3"/>
      <c r="BP135" s="3"/>
      <c r="BQ135" s="3"/>
      <c r="BR135" s="3"/>
      <c r="BS135" s="3"/>
      <c r="BT135" s="3"/>
      <c r="BU135" s="3"/>
      <c r="BV135" s="3"/>
      <c r="BW135" s="3" t="s">
        <v>184</v>
      </c>
      <c r="BX135" s="3"/>
      <c r="BY135" s="3"/>
      <c r="BZ135" s="3"/>
      <c r="CA135" s="3"/>
      <c r="CB135" s="112" t="s">
        <v>402</v>
      </c>
      <c r="CC135" s="112" t="s">
        <v>109</v>
      </c>
      <c r="CD135" s="3"/>
      <c r="CE135" s="3"/>
      <c r="CF135" s="112"/>
      <c r="CG135" s="112"/>
      <c r="CH135" s="133"/>
      <c r="CI135" s="112" t="str">
        <f t="shared" si="24"/>
        <v>Jul'18</v>
      </c>
      <c r="CJ135" s="112" t="s">
        <v>750</v>
      </c>
      <c r="CK135" s="112"/>
      <c r="CL135" s="112"/>
    </row>
    <row r="136" spans="1:90" s="4" customFormat="1" ht="94.5" customHeight="1" x14ac:dyDescent="0.25">
      <c r="A136" s="3">
        <v>15</v>
      </c>
      <c r="B136" s="126" t="s">
        <v>755</v>
      </c>
      <c r="C136" s="109" t="s">
        <v>756</v>
      </c>
      <c r="D136" s="3" t="s">
        <v>135</v>
      </c>
      <c r="E136" s="59"/>
      <c r="F136" s="3" t="s">
        <v>181</v>
      </c>
      <c r="G136" s="3" t="s">
        <v>634</v>
      </c>
      <c r="H136" s="3" t="s">
        <v>101</v>
      </c>
      <c r="I136" s="3" t="s">
        <v>102</v>
      </c>
      <c r="J136" s="3" t="s">
        <v>753</v>
      </c>
      <c r="K136" s="3" t="s">
        <v>757</v>
      </c>
      <c r="L136" s="3" t="s">
        <v>111</v>
      </c>
      <c r="M136" s="56">
        <v>43311</v>
      </c>
      <c r="N136" s="69">
        <f t="shared" ca="1" si="21"/>
        <v>2866</v>
      </c>
      <c r="O136" s="69" t="str">
        <f t="shared" ca="1" si="22"/>
        <v>&gt;5Y</v>
      </c>
      <c r="P136" s="198" t="s">
        <v>137</v>
      </c>
      <c r="Q136" s="3" t="s">
        <v>709</v>
      </c>
      <c r="R136" s="3" t="s">
        <v>108</v>
      </c>
      <c r="S136" s="129">
        <v>35</v>
      </c>
      <c r="T136" s="129">
        <v>50</v>
      </c>
      <c r="U136" s="129">
        <f t="shared" si="23"/>
        <v>85</v>
      </c>
      <c r="V136" s="3"/>
      <c r="W136" s="3" t="s">
        <v>171</v>
      </c>
      <c r="X136" s="3" t="s">
        <v>394</v>
      </c>
      <c r="Y136" s="60"/>
      <c r="Z136" s="3" t="s">
        <v>274</v>
      </c>
      <c r="AA136" s="3"/>
      <c r="AB136" s="3"/>
      <c r="AC136" s="3"/>
      <c r="AD136" s="249">
        <f t="shared" si="20"/>
        <v>46905</v>
      </c>
      <c r="AE136" s="249">
        <f t="shared" si="19"/>
        <v>46997</v>
      </c>
      <c r="AF136" s="3" t="s">
        <v>394</v>
      </c>
      <c r="AG136" s="3" t="s">
        <v>581</v>
      </c>
      <c r="AH136" s="3"/>
      <c r="AI136" s="3"/>
      <c r="AJ136" s="3"/>
      <c r="AK136" s="3" t="s">
        <v>181</v>
      </c>
      <c r="AL136" s="45">
        <v>46905</v>
      </c>
      <c r="AM136" s="3"/>
      <c r="AN136" s="3"/>
      <c r="AO136" s="3"/>
      <c r="AP136" s="3"/>
      <c r="AQ136" s="3"/>
      <c r="AR136" s="109" t="s">
        <v>710</v>
      </c>
      <c r="AS136" s="249">
        <v>46997</v>
      </c>
      <c r="AT136" s="3" t="s">
        <v>109</v>
      </c>
      <c r="AU136" s="3" t="s">
        <v>171</v>
      </c>
      <c r="AV136" s="109" t="s">
        <v>710</v>
      </c>
      <c r="AW136" s="3" t="s">
        <v>171</v>
      </c>
      <c r="AX136" s="3" t="s">
        <v>171</v>
      </c>
      <c r="AY136" s="3" t="s">
        <v>111</v>
      </c>
      <c r="AZ136" s="3" t="s">
        <v>111</v>
      </c>
      <c r="BA136" s="3" t="s">
        <v>111</v>
      </c>
      <c r="BB136" s="3" t="s">
        <v>111</v>
      </c>
      <c r="BC136" s="3" t="s">
        <v>111</v>
      </c>
      <c r="BD136" s="3" t="s">
        <v>111</v>
      </c>
      <c r="BE136" s="3" t="s">
        <v>111</v>
      </c>
      <c r="BF136" s="3" t="s">
        <v>111</v>
      </c>
      <c r="BG136" s="3" t="s">
        <v>111</v>
      </c>
      <c r="BH136" s="3" t="s">
        <v>171</v>
      </c>
      <c r="BI136" s="3" t="s">
        <v>111</v>
      </c>
      <c r="BJ136" s="3" t="s">
        <v>111</v>
      </c>
      <c r="BK136" s="3"/>
      <c r="BL136" s="3"/>
      <c r="BM136" s="3"/>
      <c r="BN136" s="3"/>
      <c r="BO136" s="3"/>
      <c r="BP136" s="3"/>
      <c r="BQ136" s="3"/>
      <c r="BR136" s="3"/>
      <c r="BS136" s="3"/>
      <c r="BT136" s="3"/>
      <c r="BU136" s="3"/>
      <c r="BV136" s="3"/>
      <c r="BW136" s="3" t="s">
        <v>184</v>
      </c>
      <c r="BX136" s="3"/>
      <c r="BY136" s="3"/>
      <c r="BZ136" s="3"/>
      <c r="CA136" s="3"/>
      <c r="CB136" s="112" t="s">
        <v>402</v>
      </c>
      <c r="CC136" s="112" t="s">
        <v>109</v>
      </c>
      <c r="CD136" s="3"/>
      <c r="CE136" s="3"/>
      <c r="CF136" s="112"/>
      <c r="CG136" s="112"/>
      <c r="CH136" s="133"/>
      <c r="CI136" s="112" t="str">
        <f t="shared" si="24"/>
        <v>Jul'18</v>
      </c>
      <c r="CJ136" s="112" t="s">
        <v>750</v>
      </c>
      <c r="CK136" s="112"/>
      <c r="CL136" s="112"/>
    </row>
    <row r="137" spans="1:90" s="4" customFormat="1" ht="94.5" customHeight="1" x14ac:dyDescent="0.25">
      <c r="A137" s="3">
        <v>16</v>
      </c>
      <c r="B137" s="109" t="s">
        <v>758</v>
      </c>
      <c r="C137" s="109" t="s">
        <v>759</v>
      </c>
      <c r="D137" s="3" t="s">
        <v>141</v>
      </c>
      <c r="E137" s="59"/>
      <c r="F137" s="129" t="s">
        <v>181</v>
      </c>
      <c r="G137" s="3" t="s">
        <v>169</v>
      </c>
      <c r="H137" s="3" t="s">
        <v>101</v>
      </c>
      <c r="I137" s="3" t="s">
        <v>143</v>
      </c>
      <c r="J137" s="3" t="s">
        <v>151</v>
      </c>
      <c r="K137" s="3" t="s">
        <v>760</v>
      </c>
      <c r="L137" s="3" t="s">
        <v>761</v>
      </c>
      <c r="M137" s="56">
        <v>43384</v>
      </c>
      <c r="N137" s="69">
        <f t="shared" ca="1" si="21"/>
        <v>2793</v>
      </c>
      <c r="O137" s="72" t="str">
        <f t="shared" ca="1" si="22"/>
        <v>&gt;5Y</v>
      </c>
      <c r="P137" s="198" t="s">
        <v>137</v>
      </c>
      <c r="Q137" s="3" t="s">
        <v>709</v>
      </c>
      <c r="R137" s="3" t="s">
        <v>108</v>
      </c>
      <c r="S137" s="129">
        <v>25</v>
      </c>
      <c r="T137" s="129">
        <v>85</v>
      </c>
      <c r="U137" s="129">
        <f t="shared" si="23"/>
        <v>110</v>
      </c>
      <c r="V137" s="3"/>
      <c r="W137" s="3" t="s">
        <v>171</v>
      </c>
      <c r="X137" s="3" t="s">
        <v>394</v>
      </c>
      <c r="Y137" s="60"/>
      <c r="Z137" s="3" t="s">
        <v>274</v>
      </c>
      <c r="AA137" s="3"/>
      <c r="AB137" s="3"/>
      <c r="AC137" s="3"/>
      <c r="AD137" s="249">
        <f t="shared" si="20"/>
        <v>46905</v>
      </c>
      <c r="AE137" s="249">
        <f t="shared" si="19"/>
        <v>46997</v>
      </c>
      <c r="AF137" s="3" t="s">
        <v>394</v>
      </c>
      <c r="AG137" s="3" t="s">
        <v>581</v>
      </c>
      <c r="AH137" s="3"/>
      <c r="AI137" s="3"/>
      <c r="AJ137" s="3"/>
      <c r="AK137" s="3" t="s">
        <v>181</v>
      </c>
      <c r="AL137" s="45">
        <v>46905</v>
      </c>
      <c r="AM137" s="3"/>
      <c r="AN137" s="3"/>
      <c r="AO137" s="3"/>
      <c r="AP137" s="3"/>
      <c r="AQ137" s="3"/>
      <c r="AR137" s="109" t="s">
        <v>713</v>
      </c>
      <c r="AS137" s="249">
        <v>46997</v>
      </c>
      <c r="AT137" s="3" t="s">
        <v>146</v>
      </c>
      <c r="AU137" s="3" t="s">
        <v>419</v>
      </c>
      <c r="AV137" s="109" t="s">
        <v>762</v>
      </c>
      <c r="AW137" s="109" t="s">
        <v>763</v>
      </c>
      <c r="AX137" s="3" t="s">
        <v>171</v>
      </c>
      <c r="AY137" s="3" t="s">
        <v>111</v>
      </c>
      <c r="AZ137" s="3" t="s">
        <v>111</v>
      </c>
      <c r="BA137" s="3" t="s">
        <v>111</v>
      </c>
      <c r="BB137" s="3" t="s">
        <v>111</v>
      </c>
      <c r="BC137" s="3" t="s">
        <v>111</v>
      </c>
      <c r="BD137" s="3" t="s">
        <v>111</v>
      </c>
      <c r="BE137" s="3" t="s">
        <v>111</v>
      </c>
      <c r="BF137" s="3" t="s">
        <v>111</v>
      </c>
      <c r="BG137" s="3" t="s">
        <v>111</v>
      </c>
      <c r="BH137" s="3" t="s">
        <v>111</v>
      </c>
      <c r="BI137" s="45" t="s">
        <v>111</v>
      </c>
      <c r="BJ137" s="3" t="s">
        <v>111</v>
      </c>
      <c r="BK137" s="3"/>
      <c r="BL137" s="3"/>
      <c r="BM137" s="3"/>
      <c r="BN137" s="3"/>
      <c r="BO137" s="3"/>
      <c r="BP137" s="3"/>
      <c r="BQ137" s="3"/>
      <c r="BR137" s="3"/>
      <c r="BS137" s="3"/>
      <c r="BT137" s="3"/>
      <c r="BU137" s="3"/>
      <c r="BV137" s="3"/>
      <c r="BW137" s="3" t="s">
        <v>184</v>
      </c>
      <c r="BX137" s="3"/>
      <c r="BY137" s="3"/>
      <c r="BZ137" s="3"/>
      <c r="CA137" s="3"/>
      <c r="CB137" s="112" t="s">
        <v>402</v>
      </c>
      <c r="CC137" s="112" t="s">
        <v>109</v>
      </c>
      <c r="CD137" s="3"/>
      <c r="CE137" s="3"/>
      <c r="CF137" s="112"/>
      <c r="CG137" s="112"/>
      <c r="CH137" s="133"/>
      <c r="CI137" s="112" t="str">
        <f t="shared" si="24"/>
        <v>Oct'18</v>
      </c>
      <c r="CJ137" s="112" t="s">
        <v>750</v>
      </c>
      <c r="CK137" s="256"/>
      <c r="CL137" s="192"/>
    </row>
    <row r="138" spans="1:90" s="4" customFormat="1" ht="94.5" customHeight="1" x14ac:dyDescent="0.25">
      <c r="A138" s="3">
        <v>17</v>
      </c>
      <c r="B138" s="109" t="s">
        <v>764</v>
      </c>
      <c r="C138" s="109" t="s">
        <v>765</v>
      </c>
      <c r="D138" s="3" t="s">
        <v>141</v>
      </c>
      <c r="E138" s="59"/>
      <c r="F138" s="129" t="s">
        <v>181</v>
      </c>
      <c r="G138" s="3" t="s">
        <v>634</v>
      </c>
      <c r="H138" s="3" t="s">
        <v>101</v>
      </c>
      <c r="I138" s="3" t="s">
        <v>102</v>
      </c>
      <c r="J138" s="3" t="s">
        <v>753</v>
      </c>
      <c r="K138" s="3" t="s">
        <v>766</v>
      </c>
      <c r="L138" s="3" t="s">
        <v>761</v>
      </c>
      <c r="M138" s="56">
        <v>43384</v>
      </c>
      <c r="N138" s="69">
        <f t="shared" ca="1" si="21"/>
        <v>2793</v>
      </c>
      <c r="O138" s="69" t="str">
        <f t="shared" ca="1" si="22"/>
        <v>&gt;5Y</v>
      </c>
      <c r="P138" s="198" t="s">
        <v>137</v>
      </c>
      <c r="Q138" s="3" t="s">
        <v>709</v>
      </c>
      <c r="R138" s="3" t="s">
        <v>108</v>
      </c>
      <c r="S138" s="129">
        <v>30</v>
      </c>
      <c r="T138" s="129">
        <v>55</v>
      </c>
      <c r="U138" s="129">
        <f t="shared" si="23"/>
        <v>85</v>
      </c>
      <c r="V138" s="3"/>
      <c r="W138" s="3" t="s">
        <v>171</v>
      </c>
      <c r="X138" s="3" t="s">
        <v>394</v>
      </c>
      <c r="Y138" s="60"/>
      <c r="Z138" s="3" t="s">
        <v>274</v>
      </c>
      <c r="AA138" s="3"/>
      <c r="AB138" s="3"/>
      <c r="AC138" s="3"/>
      <c r="AD138" s="249">
        <f t="shared" si="20"/>
        <v>46905</v>
      </c>
      <c r="AE138" s="249">
        <f t="shared" si="19"/>
        <v>46997</v>
      </c>
      <c r="AF138" s="3" t="s">
        <v>394</v>
      </c>
      <c r="AG138" s="3" t="s">
        <v>581</v>
      </c>
      <c r="AH138" s="3"/>
      <c r="AI138" s="3"/>
      <c r="AJ138" s="3"/>
      <c r="AK138" s="3" t="s">
        <v>181</v>
      </c>
      <c r="AL138" s="45">
        <v>46905</v>
      </c>
      <c r="AM138" s="3"/>
      <c r="AN138" s="3"/>
      <c r="AO138" s="3"/>
      <c r="AP138" s="3"/>
      <c r="AQ138" s="3"/>
      <c r="AR138" s="109" t="s">
        <v>713</v>
      </c>
      <c r="AS138" s="249">
        <v>46997</v>
      </c>
      <c r="AT138" s="3" t="s">
        <v>146</v>
      </c>
      <c r="AU138" s="3" t="s">
        <v>419</v>
      </c>
      <c r="AV138" s="109" t="s">
        <v>762</v>
      </c>
      <c r="AW138" s="109" t="s">
        <v>763</v>
      </c>
      <c r="AX138" s="3" t="s">
        <v>171</v>
      </c>
      <c r="AY138" s="3" t="s">
        <v>111</v>
      </c>
      <c r="AZ138" s="3" t="s">
        <v>111</v>
      </c>
      <c r="BA138" s="3" t="s">
        <v>111</v>
      </c>
      <c r="BB138" s="3" t="s">
        <v>111</v>
      </c>
      <c r="BC138" s="3" t="s">
        <v>111</v>
      </c>
      <c r="BD138" s="3" t="s">
        <v>111</v>
      </c>
      <c r="BE138" s="3" t="s">
        <v>111</v>
      </c>
      <c r="BF138" s="3" t="s">
        <v>111</v>
      </c>
      <c r="BG138" s="3" t="s">
        <v>111</v>
      </c>
      <c r="BH138" s="3" t="s">
        <v>111</v>
      </c>
      <c r="BI138" s="45" t="s">
        <v>111</v>
      </c>
      <c r="BJ138" s="3" t="s">
        <v>111</v>
      </c>
      <c r="BK138" s="3"/>
      <c r="BL138" s="3"/>
      <c r="BM138" s="3"/>
      <c r="BN138" s="3"/>
      <c r="BO138" s="3"/>
      <c r="BP138" s="3"/>
      <c r="BQ138" s="3"/>
      <c r="BR138" s="3"/>
      <c r="BS138" s="3"/>
      <c r="BT138" s="3"/>
      <c r="BU138" s="3"/>
      <c r="BV138" s="3"/>
      <c r="BW138" s="3" t="s">
        <v>184</v>
      </c>
      <c r="BX138" s="3"/>
      <c r="BY138" s="3"/>
      <c r="BZ138" s="3"/>
      <c r="CA138" s="3"/>
      <c r="CB138" s="112" t="s">
        <v>402</v>
      </c>
      <c r="CC138" s="112" t="s">
        <v>109</v>
      </c>
      <c r="CD138" s="3"/>
      <c r="CE138" s="3"/>
      <c r="CF138" s="112"/>
      <c r="CG138" s="112"/>
      <c r="CH138" s="133"/>
      <c r="CI138" s="112" t="str">
        <f t="shared" si="24"/>
        <v>Oct'18</v>
      </c>
      <c r="CJ138" s="112" t="s">
        <v>750</v>
      </c>
      <c r="CK138" s="255"/>
      <c r="CL138" s="192"/>
    </row>
    <row r="139" spans="1:90" s="4" customFormat="1" ht="94.5" customHeight="1" x14ac:dyDescent="0.25">
      <c r="A139" s="3">
        <v>18</v>
      </c>
      <c r="B139" s="126" t="s">
        <v>767</v>
      </c>
      <c r="C139" s="109" t="s">
        <v>768</v>
      </c>
      <c r="D139" s="3" t="s">
        <v>135</v>
      </c>
      <c r="E139" s="59"/>
      <c r="F139" s="129">
        <v>7588636344</v>
      </c>
      <c r="G139" s="3" t="s">
        <v>142</v>
      </c>
      <c r="H139" s="3" t="s">
        <v>101</v>
      </c>
      <c r="I139" s="3" t="s">
        <v>143</v>
      </c>
      <c r="J139" s="3" t="s">
        <v>151</v>
      </c>
      <c r="K139" s="3" t="s">
        <v>769</v>
      </c>
      <c r="L139" s="3" t="s">
        <v>770</v>
      </c>
      <c r="M139" s="56">
        <v>43467</v>
      </c>
      <c r="N139" s="69">
        <f t="shared" ca="1" si="21"/>
        <v>2710</v>
      </c>
      <c r="O139" s="72" t="str">
        <f t="shared" ca="1" si="22"/>
        <v>&gt;5Y</v>
      </c>
      <c r="P139" s="198" t="s">
        <v>137</v>
      </c>
      <c r="Q139" s="3" t="s">
        <v>771</v>
      </c>
      <c r="R139" s="3" t="s">
        <v>108</v>
      </c>
      <c r="S139" s="129">
        <v>55</v>
      </c>
      <c r="T139" s="129">
        <v>100</v>
      </c>
      <c r="U139" s="129">
        <f t="shared" si="23"/>
        <v>155</v>
      </c>
      <c r="V139" s="3"/>
      <c r="W139" s="3" t="s">
        <v>171</v>
      </c>
      <c r="X139" s="3" t="s">
        <v>394</v>
      </c>
      <c r="Y139" s="60">
        <f>+IF(AO139="Approved","Yes",AS139)</f>
        <v>46997</v>
      </c>
      <c r="Z139" s="3" t="s">
        <v>274</v>
      </c>
      <c r="AA139" s="3"/>
      <c r="AB139" s="3"/>
      <c r="AC139" s="3"/>
      <c r="AD139" s="249">
        <f t="shared" si="20"/>
        <v>46905</v>
      </c>
      <c r="AE139" s="249">
        <f t="shared" si="19"/>
        <v>46997</v>
      </c>
      <c r="AF139" s="3" t="s">
        <v>394</v>
      </c>
      <c r="AG139" s="3" t="s">
        <v>581</v>
      </c>
      <c r="AH139" s="3"/>
      <c r="AI139" s="3" t="s">
        <v>109</v>
      </c>
      <c r="AJ139" s="3" t="s">
        <v>109</v>
      </c>
      <c r="AK139" s="3" t="s">
        <v>181</v>
      </c>
      <c r="AL139" s="45">
        <v>46905</v>
      </c>
      <c r="AM139" s="3" t="s">
        <v>109</v>
      </c>
      <c r="AN139" s="3" t="s">
        <v>109</v>
      </c>
      <c r="AO139" s="3" t="s">
        <v>184</v>
      </c>
      <c r="AP139" s="3"/>
      <c r="AQ139" s="3"/>
      <c r="AR139" s="109" t="s">
        <v>710</v>
      </c>
      <c r="AS139" s="249">
        <v>46997</v>
      </c>
      <c r="AT139" s="3" t="s">
        <v>109</v>
      </c>
      <c r="AU139" s="3" t="s">
        <v>171</v>
      </c>
      <c r="AV139" s="109" t="s">
        <v>772</v>
      </c>
      <c r="AW139" s="3" t="s">
        <v>171</v>
      </c>
      <c r="AX139" s="3" t="s">
        <v>171</v>
      </c>
      <c r="AY139" s="3" t="s">
        <v>111</v>
      </c>
      <c r="AZ139" s="3" t="s">
        <v>111</v>
      </c>
      <c r="BA139" s="3" t="s">
        <v>111</v>
      </c>
      <c r="BB139" s="3" t="s">
        <v>111</v>
      </c>
      <c r="BC139" s="3" t="s">
        <v>111</v>
      </c>
      <c r="BD139" s="3" t="s">
        <v>111</v>
      </c>
      <c r="BE139" s="3" t="s">
        <v>111</v>
      </c>
      <c r="BF139" s="3" t="s">
        <v>111</v>
      </c>
      <c r="BG139" s="3" t="s">
        <v>111</v>
      </c>
      <c r="BH139" s="3" t="s">
        <v>171</v>
      </c>
      <c r="BI139" s="3" t="s">
        <v>111</v>
      </c>
      <c r="BJ139" s="3" t="s">
        <v>111</v>
      </c>
      <c r="BK139" s="3" t="s">
        <v>109</v>
      </c>
      <c r="BL139" s="3" t="s">
        <v>773</v>
      </c>
      <c r="BM139" s="3"/>
      <c r="BN139" s="3" t="s">
        <v>184</v>
      </c>
      <c r="BO139" s="3"/>
      <c r="BP139" s="3"/>
      <c r="BQ139" s="3"/>
      <c r="BR139" s="3"/>
      <c r="BS139" s="3"/>
      <c r="BT139" s="3"/>
      <c r="BU139" s="3"/>
      <c r="BV139" s="3"/>
      <c r="BW139" s="3" t="s">
        <v>184</v>
      </c>
      <c r="BX139" s="3"/>
      <c r="BY139" s="3"/>
      <c r="BZ139" s="3"/>
      <c r="CA139" s="3"/>
      <c r="CB139" s="112" t="s">
        <v>402</v>
      </c>
      <c r="CC139" s="112" t="s">
        <v>109</v>
      </c>
      <c r="CD139" s="3"/>
      <c r="CE139" s="3"/>
      <c r="CF139" s="112"/>
      <c r="CG139" s="112"/>
      <c r="CH139" s="133"/>
      <c r="CI139" s="112" t="str">
        <f t="shared" si="24"/>
        <v>Jan'19</v>
      </c>
      <c r="CJ139" s="112" t="s">
        <v>750</v>
      </c>
      <c r="CK139" s="112"/>
      <c r="CL139" s="112"/>
    </row>
    <row r="140" spans="1:90" s="4" customFormat="1" ht="94.5" customHeight="1" x14ac:dyDescent="0.25">
      <c r="A140" s="3">
        <v>19</v>
      </c>
      <c r="B140" s="126" t="s">
        <v>774</v>
      </c>
      <c r="C140" s="109" t="s">
        <v>775</v>
      </c>
      <c r="D140" s="3" t="s">
        <v>141</v>
      </c>
      <c r="E140" s="59"/>
      <c r="F140" s="3">
        <v>9423113676</v>
      </c>
      <c r="G140" s="3" t="s">
        <v>100</v>
      </c>
      <c r="H140" s="3" t="s">
        <v>101</v>
      </c>
      <c r="I140" s="3" t="s">
        <v>102</v>
      </c>
      <c r="J140" s="3" t="s">
        <v>776</v>
      </c>
      <c r="K140" s="3" t="s">
        <v>777</v>
      </c>
      <c r="L140" s="3" t="s">
        <v>179</v>
      </c>
      <c r="M140" s="56">
        <v>43517</v>
      </c>
      <c r="N140" s="69">
        <f t="shared" ca="1" si="21"/>
        <v>2660</v>
      </c>
      <c r="O140" s="72" t="str">
        <f t="shared" ca="1" si="22"/>
        <v>&gt;5Y</v>
      </c>
      <c r="P140" s="198" t="s">
        <v>137</v>
      </c>
      <c r="Q140" s="3" t="s">
        <v>107</v>
      </c>
      <c r="R140" s="3" t="s">
        <v>164</v>
      </c>
      <c r="S140" s="129">
        <v>6</v>
      </c>
      <c r="T140" s="129">
        <v>40</v>
      </c>
      <c r="U140" s="129">
        <f t="shared" si="23"/>
        <v>46</v>
      </c>
      <c r="V140" s="3"/>
      <c r="W140" s="3" t="s">
        <v>171</v>
      </c>
      <c r="X140" s="3" t="s">
        <v>394</v>
      </c>
      <c r="Y140" s="60"/>
      <c r="Z140" s="3" t="s">
        <v>274</v>
      </c>
      <c r="AA140" s="3"/>
      <c r="AB140" s="3"/>
      <c r="AC140" s="3"/>
      <c r="AD140" s="249">
        <f t="shared" si="20"/>
        <v>46905</v>
      </c>
      <c r="AE140" s="249">
        <f t="shared" si="19"/>
        <v>46997</v>
      </c>
      <c r="AF140" s="3" t="s">
        <v>394</v>
      </c>
      <c r="AG140" s="3" t="s">
        <v>778</v>
      </c>
      <c r="AH140" s="3"/>
      <c r="AI140" s="3"/>
      <c r="AJ140" s="3"/>
      <c r="AK140" s="3" t="s">
        <v>181</v>
      </c>
      <c r="AL140" s="45">
        <v>46905</v>
      </c>
      <c r="AM140" s="3"/>
      <c r="AN140" s="3"/>
      <c r="AO140" s="3"/>
      <c r="AP140" s="3"/>
      <c r="AQ140" s="3"/>
      <c r="AR140" s="109" t="s">
        <v>779</v>
      </c>
      <c r="AS140" s="249">
        <v>46997</v>
      </c>
      <c r="AT140" s="3" t="s">
        <v>146</v>
      </c>
      <c r="AU140" s="3" t="s">
        <v>419</v>
      </c>
      <c r="AV140" s="109" t="s">
        <v>780</v>
      </c>
      <c r="AW140" s="109" t="s">
        <v>781</v>
      </c>
      <c r="AX140" s="3" t="s">
        <v>171</v>
      </c>
      <c r="AY140" s="3" t="s">
        <v>111</v>
      </c>
      <c r="AZ140" s="3" t="s">
        <v>111</v>
      </c>
      <c r="BA140" s="3" t="s">
        <v>111</v>
      </c>
      <c r="BB140" s="3" t="s">
        <v>111</v>
      </c>
      <c r="BC140" s="3" t="s">
        <v>111</v>
      </c>
      <c r="BD140" s="3" t="s">
        <v>111</v>
      </c>
      <c r="BE140" s="3" t="s">
        <v>111</v>
      </c>
      <c r="BF140" s="3" t="s">
        <v>111</v>
      </c>
      <c r="BG140" s="3" t="s">
        <v>111</v>
      </c>
      <c r="BH140" s="3" t="s">
        <v>111</v>
      </c>
      <c r="BI140" s="45" t="s">
        <v>111</v>
      </c>
      <c r="BJ140" s="3" t="s">
        <v>111</v>
      </c>
      <c r="BK140" s="3"/>
      <c r="BL140" s="3"/>
      <c r="BM140" s="3"/>
      <c r="BN140" s="3"/>
      <c r="BO140" s="3"/>
      <c r="BP140" s="3"/>
      <c r="BQ140" s="3"/>
      <c r="BR140" s="3"/>
      <c r="BS140" s="3"/>
      <c r="BT140" s="3"/>
      <c r="BU140" s="3"/>
      <c r="BV140" s="3"/>
      <c r="BW140" s="3" t="s">
        <v>184</v>
      </c>
      <c r="BX140" s="3"/>
      <c r="BY140" s="3"/>
      <c r="BZ140" s="3"/>
      <c r="CA140" s="3"/>
      <c r="CB140" s="112" t="s">
        <v>185</v>
      </c>
      <c r="CC140" s="112" t="s">
        <v>109</v>
      </c>
      <c r="CD140" s="3"/>
      <c r="CE140" s="3"/>
      <c r="CF140" s="112"/>
      <c r="CG140" s="112"/>
      <c r="CH140" s="133"/>
      <c r="CI140" s="112" t="str">
        <f t="shared" si="24"/>
        <v>Feb'19</v>
      </c>
      <c r="CJ140" s="112" t="s">
        <v>107</v>
      </c>
      <c r="CK140" s="256"/>
      <c r="CL140" s="192"/>
    </row>
    <row r="141" spans="1:90" s="4" customFormat="1" ht="94.5" customHeight="1" x14ac:dyDescent="0.25">
      <c r="A141" s="3">
        <v>21</v>
      </c>
      <c r="B141" s="126" t="s">
        <v>782</v>
      </c>
      <c r="C141" s="109" t="s">
        <v>783</v>
      </c>
      <c r="D141" s="3" t="s">
        <v>135</v>
      </c>
      <c r="E141" s="59"/>
      <c r="F141" s="3" t="s">
        <v>181</v>
      </c>
      <c r="G141" s="3" t="s">
        <v>100</v>
      </c>
      <c r="H141" s="3" t="s">
        <v>122</v>
      </c>
      <c r="I141" s="3" t="s">
        <v>102</v>
      </c>
      <c r="J141" s="3" t="s">
        <v>123</v>
      </c>
      <c r="K141" s="3" t="s">
        <v>784</v>
      </c>
      <c r="L141" s="3" t="s">
        <v>179</v>
      </c>
      <c r="M141" s="56">
        <v>43517</v>
      </c>
      <c r="N141" s="69">
        <f t="shared" ca="1" si="21"/>
        <v>2660</v>
      </c>
      <c r="O141" s="72" t="str">
        <f t="shared" ca="1" si="22"/>
        <v>&gt;5Y</v>
      </c>
      <c r="P141" s="198" t="s">
        <v>137</v>
      </c>
      <c r="Q141" s="3" t="s">
        <v>125</v>
      </c>
      <c r="R141" s="3" t="s">
        <v>108</v>
      </c>
      <c r="S141" s="129">
        <v>6</v>
      </c>
      <c r="T141" s="129">
        <v>40</v>
      </c>
      <c r="U141" s="129">
        <f t="shared" si="23"/>
        <v>46</v>
      </c>
      <c r="V141" s="3"/>
      <c r="W141" s="3" t="s">
        <v>171</v>
      </c>
      <c r="X141" s="3" t="s">
        <v>394</v>
      </c>
      <c r="Y141" s="60"/>
      <c r="Z141" s="3"/>
      <c r="AA141" s="3"/>
      <c r="AB141" s="3"/>
      <c r="AC141" s="3"/>
      <c r="AD141" s="249">
        <f t="shared" si="20"/>
        <v>46905</v>
      </c>
      <c r="AE141" s="249">
        <f t="shared" si="19"/>
        <v>46997</v>
      </c>
      <c r="AF141" s="3" t="s">
        <v>394</v>
      </c>
      <c r="AG141" s="3" t="s">
        <v>721</v>
      </c>
      <c r="AH141" s="3"/>
      <c r="AI141" s="3" t="s">
        <v>115</v>
      </c>
      <c r="AJ141" s="3" t="s">
        <v>115</v>
      </c>
      <c r="AK141" s="3" t="s">
        <v>112</v>
      </c>
      <c r="AL141" s="45">
        <v>46905</v>
      </c>
      <c r="AM141" s="3" t="s">
        <v>109</v>
      </c>
      <c r="AN141" s="3" t="s">
        <v>109</v>
      </c>
      <c r="AO141" s="3"/>
      <c r="AP141" s="3"/>
      <c r="AQ141" s="3"/>
      <c r="AR141" s="109" t="s">
        <v>785</v>
      </c>
      <c r="AS141" s="249">
        <v>46997</v>
      </c>
      <c r="AT141" s="3" t="s">
        <v>109</v>
      </c>
      <c r="AU141" s="3" t="s">
        <v>171</v>
      </c>
      <c r="AV141" s="109" t="s">
        <v>785</v>
      </c>
      <c r="AW141" s="3" t="s">
        <v>171</v>
      </c>
      <c r="AX141" s="3" t="s">
        <v>171</v>
      </c>
      <c r="AY141" s="3" t="s">
        <v>111</v>
      </c>
      <c r="AZ141" s="3" t="s">
        <v>111</v>
      </c>
      <c r="BA141" s="3" t="s">
        <v>111</v>
      </c>
      <c r="BB141" s="3" t="s">
        <v>111</v>
      </c>
      <c r="BC141" s="3" t="s">
        <v>111</v>
      </c>
      <c r="BD141" s="3" t="s">
        <v>111</v>
      </c>
      <c r="BE141" s="3" t="s">
        <v>111</v>
      </c>
      <c r="BF141" s="3" t="s">
        <v>111</v>
      </c>
      <c r="BG141" s="3" t="s">
        <v>111</v>
      </c>
      <c r="BH141" s="3" t="s">
        <v>171</v>
      </c>
      <c r="BI141" s="3" t="s">
        <v>111</v>
      </c>
      <c r="BJ141" s="3" t="s">
        <v>111</v>
      </c>
      <c r="BK141" s="3"/>
      <c r="BL141" s="3"/>
      <c r="BM141" s="3" t="s">
        <v>111</v>
      </c>
      <c r="BN141" s="3" t="s">
        <v>111</v>
      </c>
      <c r="BO141" s="3" t="s">
        <v>115</v>
      </c>
      <c r="BP141" s="3"/>
      <c r="BQ141" s="3"/>
      <c r="BR141" s="3"/>
      <c r="BS141" s="3"/>
      <c r="BT141" s="3"/>
      <c r="BU141" s="3"/>
      <c r="BV141" s="3"/>
      <c r="BW141" s="3" t="s">
        <v>184</v>
      </c>
      <c r="BX141" s="3"/>
      <c r="BY141" s="3"/>
      <c r="BZ141" s="3"/>
      <c r="CA141" s="3"/>
      <c r="CB141" s="112" t="s">
        <v>185</v>
      </c>
      <c r="CC141" s="112" t="s">
        <v>109</v>
      </c>
      <c r="CD141" s="3"/>
      <c r="CE141" s="3"/>
      <c r="CF141" s="112"/>
      <c r="CG141" s="112"/>
      <c r="CH141" s="133"/>
      <c r="CI141" s="112" t="str">
        <f t="shared" si="24"/>
        <v>Feb'19</v>
      </c>
      <c r="CJ141" s="112" t="s">
        <v>132</v>
      </c>
      <c r="CK141" s="255"/>
      <c r="CL141" s="192"/>
    </row>
    <row r="142" spans="1:90" s="4" customFormat="1" ht="94.5" customHeight="1" x14ac:dyDescent="0.25">
      <c r="A142" s="3">
        <v>20</v>
      </c>
      <c r="B142" s="126" t="s">
        <v>786</v>
      </c>
      <c r="C142" s="109" t="s">
        <v>787</v>
      </c>
      <c r="D142" s="3" t="s">
        <v>398</v>
      </c>
      <c r="E142" s="59"/>
      <c r="F142" s="3">
        <v>8999868245</v>
      </c>
      <c r="G142" s="3" t="s">
        <v>169</v>
      </c>
      <c r="H142" s="3" t="s">
        <v>122</v>
      </c>
      <c r="I142" s="3" t="s">
        <v>143</v>
      </c>
      <c r="J142" s="3" t="s">
        <v>144</v>
      </c>
      <c r="K142" s="3" t="s">
        <v>788</v>
      </c>
      <c r="L142" s="3" t="s">
        <v>179</v>
      </c>
      <c r="M142" s="56">
        <v>43517</v>
      </c>
      <c r="N142" s="69">
        <f t="shared" ca="1" si="21"/>
        <v>2660</v>
      </c>
      <c r="O142" s="72" t="str">
        <f t="shared" ca="1" si="22"/>
        <v>&gt;5Y</v>
      </c>
      <c r="P142" s="198" t="s">
        <v>106</v>
      </c>
      <c r="Q142" s="3" t="s">
        <v>431</v>
      </c>
      <c r="R142" s="3" t="s">
        <v>164</v>
      </c>
      <c r="S142" s="129">
        <v>30</v>
      </c>
      <c r="T142" s="129">
        <v>80</v>
      </c>
      <c r="U142" s="129">
        <f t="shared" si="23"/>
        <v>110</v>
      </c>
      <c r="V142" s="3"/>
      <c r="W142" s="3" t="s">
        <v>171</v>
      </c>
      <c r="X142" s="3" t="s">
        <v>394</v>
      </c>
      <c r="Y142" s="60"/>
      <c r="Z142" s="3"/>
      <c r="AA142" s="3"/>
      <c r="AB142" s="3"/>
      <c r="AC142" s="3"/>
      <c r="AD142" s="249">
        <f t="shared" si="20"/>
        <v>46905</v>
      </c>
      <c r="AE142" s="249">
        <f t="shared" si="19"/>
        <v>46997</v>
      </c>
      <c r="AF142" s="3" t="s">
        <v>394</v>
      </c>
      <c r="AG142" s="3" t="s">
        <v>581</v>
      </c>
      <c r="AH142" s="3"/>
      <c r="AI142" s="3" t="s">
        <v>115</v>
      </c>
      <c r="AJ142" s="3" t="s">
        <v>115</v>
      </c>
      <c r="AK142" s="3" t="s">
        <v>181</v>
      </c>
      <c r="AL142" s="45">
        <v>46905</v>
      </c>
      <c r="AM142" s="3" t="s">
        <v>109</v>
      </c>
      <c r="AN142" s="3" t="s">
        <v>109</v>
      </c>
      <c r="AO142" s="3"/>
      <c r="AP142" s="3"/>
      <c r="AQ142" s="3"/>
      <c r="AR142" s="109" t="s">
        <v>789</v>
      </c>
      <c r="AS142" s="249">
        <v>46997</v>
      </c>
      <c r="AT142" s="59"/>
      <c r="AU142" s="59" t="s">
        <v>171</v>
      </c>
      <c r="AV142" s="59"/>
      <c r="AW142" s="59" t="s">
        <v>171</v>
      </c>
      <c r="AX142" s="59"/>
      <c r="AY142" s="59"/>
      <c r="AZ142" s="59"/>
      <c r="BA142" s="59"/>
      <c r="BB142" s="59"/>
      <c r="BC142" s="59"/>
      <c r="BD142" s="59"/>
      <c r="BE142" s="59"/>
      <c r="BF142" s="59"/>
      <c r="BG142" s="59"/>
      <c r="BH142" s="59"/>
      <c r="BI142" s="243"/>
      <c r="BJ142" s="243"/>
      <c r="BK142" s="3"/>
      <c r="BL142" s="3"/>
      <c r="BM142" s="3" t="s">
        <v>111</v>
      </c>
      <c r="BN142" s="3" t="s">
        <v>111</v>
      </c>
      <c r="BO142" s="3" t="s">
        <v>115</v>
      </c>
      <c r="BP142" s="3"/>
      <c r="BQ142" s="3"/>
      <c r="BR142" s="3"/>
      <c r="BS142" s="3"/>
      <c r="BT142" s="3"/>
      <c r="BU142" s="3"/>
      <c r="BV142" s="3"/>
      <c r="BW142" s="3" t="s">
        <v>184</v>
      </c>
      <c r="BX142" s="3"/>
      <c r="BY142" s="3"/>
      <c r="BZ142" s="3"/>
      <c r="CA142" s="3"/>
      <c r="CB142" s="112" t="s">
        <v>185</v>
      </c>
      <c r="CC142" s="112" t="s">
        <v>109</v>
      </c>
      <c r="CD142" s="3"/>
      <c r="CE142" s="3"/>
      <c r="CF142" s="112"/>
      <c r="CG142" s="112"/>
      <c r="CH142" s="133"/>
      <c r="CI142" s="112" t="str">
        <f t="shared" si="24"/>
        <v>Feb'19</v>
      </c>
      <c r="CJ142" s="112" t="s">
        <v>132</v>
      </c>
      <c r="CK142" s="112"/>
      <c r="CL142" s="112"/>
    </row>
    <row r="143" spans="1:90" s="4" customFormat="1" ht="94.5" customHeight="1" x14ac:dyDescent="0.25">
      <c r="A143" s="3">
        <v>23</v>
      </c>
      <c r="B143" s="126" t="s">
        <v>790</v>
      </c>
      <c r="C143" s="109" t="s">
        <v>791</v>
      </c>
      <c r="D143" s="3" t="s">
        <v>383</v>
      </c>
      <c r="E143" s="59"/>
      <c r="F143" s="3">
        <v>9822234040</v>
      </c>
      <c r="G143" s="3" t="s">
        <v>634</v>
      </c>
      <c r="H143" s="3" t="s">
        <v>122</v>
      </c>
      <c r="I143" s="3" t="s">
        <v>143</v>
      </c>
      <c r="J143" s="3" t="s">
        <v>144</v>
      </c>
      <c r="K143" s="3" t="s">
        <v>792</v>
      </c>
      <c r="L143" s="3" t="s">
        <v>179</v>
      </c>
      <c r="M143" s="56">
        <v>43538</v>
      </c>
      <c r="N143" s="69">
        <f t="shared" ca="1" si="21"/>
        <v>2639</v>
      </c>
      <c r="O143" s="72" t="str">
        <f t="shared" ca="1" si="22"/>
        <v>&gt;5Y</v>
      </c>
      <c r="P143" s="198" t="s">
        <v>106</v>
      </c>
      <c r="Q143" s="3" t="s">
        <v>125</v>
      </c>
      <c r="R143" s="3" t="s">
        <v>108</v>
      </c>
      <c r="S143" s="129">
        <v>50</v>
      </c>
      <c r="T143" s="129">
        <v>100</v>
      </c>
      <c r="U143" s="129">
        <f t="shared" si="23"/>
        <v>150</v>
      </c>
      <c r="V143" s="3"/>
      <c r="W143" s="3" t="s">
        <v>171</v>
      </c>
      <c r="X143" s="3" t="s">
        <v>394</v>
      </c>
      <c r="Y143" s="60"/>
      <c r="Z143" s="3"/>
      <c r="AA143" s="3"/>
      <c r="AB143" s="3"/>
      <c r="AC143" s="3"/>
      <c r="AD143" s="249">
        <f t="shared" si="20"/>
        <v>46905</v>
      </c>
      <c r="AE143" s="249">
        <f t="shared" ref="AE143:AE174" si="25">+AS143</f>
        <v>46997</v>
      </c>
      <c r="AF143" s="3" t="s">
        <v>394</v>
      </c>
      <c r="AG143" s="3" t="s">
        <v>581</v>
      </c>
      <c r="AH143" s="3"/>
      <c r="AI143" s="3" t="s">
        <v>115</v>
      </c>
      <c r="AJ143" s="3" t="s">
        <v>115</v>
      </c>
      <c r="AK143" s="3" t="s">
        <v>419</v>
      </c>
      <c r="AL143" s="45">
        <v>46905</v>
      </c>
      <c r="AM143" s="3" t="s">
        <v>109</v>
      </c>
      <c r="AN143" s="3" t="s">
        <v>109</v>
      </c>
      <c r="AO143" s="3"/>
      <c r="AP143" s="3"/>
      <c r="AQ143" s="3"/>
      <c r="AR143" s="109" t="s">
        <v>599</v>
      </c>
      <c r="AS143" s="249">
        <v>46997</v>
      </c>
      <c r="AT143" s="3"/>
      <c r="AU143" s="3" t="s">
        <v>419</v>
      </c>
      <c r="AV143" s="109" t="s">
        <v>793</v>
      </c>
      <c r="AW143" s="3" t="s">
        <v>171</v>
      </c>
      <c r="AX143" s="3" t="s">
        <v>111</v>
      </c>
      <c r="AY143" s="3" t="s">
        <v>111</v>
      </c>
      <c r="AZ143" s="3" t="s">
        <v>111</v>
      </c>
      <c r="BA143" s="3" t="s">
        <v>111</v>
      </c>
      <c r="BB143" s="3" t="s">
        <v>111</v>
      </c>
      <c r="BC143" s="3" t="s">
        <v>111</v>
      </c>
      <c r="BD143" s="3" t="s">
        <v>111</v>
      </c>
      <c r="BE143" s="3" t="s">
        <v>111</v>
      </c>
      <c r="BF143" s="3" t="s">
        <v>111</v>
      </c>
      <c r="BG143" s="3" t="s">
        <v>111</v>
      </c>
      <c r="BH143" s="3" t="s">
        <v>111</v>
      </c>
      <c r="BI143" s="3" t="s">
        <v>111</v>
      </c>
      <c r="BJ143" s="3" t="s">
        <v>111</v>
      </c>
      <c r="BK143" s="3"/>
      <c r="BL143" s="3"/>
      <c r="BM143" s="3" t="s">
        <v>111</v>
      </c>
      <c r="BN143" s="3" t="s">
        <v>111</v>
      </c>
      <c r="BO143" s="3" t="s">
        <v>115</v>
      </c>
      <c r="BP143" s="3"/>
      <c r="BQ143" s="3"/>
      <c r="BR143" s="3"/>
      <c r="BS143" s="3"/>
      <c r="BT143" s="3"/>
      <c r="BU143" s="3"/>
      <c r="BV143" s="3"/>
      <c r="BW143" s="3" t="s">
        <v>184</v>
      </c>
      <c r="BX143" s="3"/>
      <c r="BY143" s="3"/>
      <c r="BZ143" s="3"/>
      <c r="CA143" s="3"/>
      <c r="CB143" s="112" t="s">
        <v>185</v>
      </c>
      <c r="CC143" s="112" t="s">
        <v>109</v>
      </c>
      <c r="CD143" s="3"/>
      <c r="CE143" s="3"/>
      <c r="CF143" s="112"/>
      <c r="CG143" s="112"/>
      <c r="CH143" s="133"/>
      <c r="CI143" s="112" t="str">
        <f t="shared" si="24"/>
        <v>Mar'19</v>
      </c>
      <c r="CJ143" s="112" t="s">
        <v>132</v>
      </c>
      <c r="CK143" s="256"/>
      <c r="CL143" s="192"/>
    </row>
    <row r="144" spans="1:90" s="4" customFormat="1" ht="94.5" customHeight="1" x14ac:dyDescent="0.25">
      <c r="A144" s="3">
        <v>25</v>
      </c>
      <c r="B144" s="126" t="s">
        <v>794</v>
      </c>
      <c r="C144" s="109" t="s">
        <v>795</v>
      </c>
      <c r="D144" s="3" t="s">
        <v>220</v>
      </c>
      <c r="E144" s="59"/>
      <c r="F144" s="3">
        <v>9960006945</v>
      </c>
      <c r="G144" s="3" t="s">
        <v>142</v>
      </c>
      <c r="H144" s="3" t="s">
        <v>122</v>
      </c>
      <c r="I144" s="3" t="s">
        <v>143</v>
      </c>
      <c r="J144" s="3" t="s">
        <v>144</v>
      </c>
      <c r="K144" s="3" t="s">
        <v>796</v>
      </c>
      <c r="L144" s="3" t="s">
        <v>179</v>
      </c>
      <c r="M144" s="56">
        <v>43553</v>
      </c>
      <c r="N144" s="69">
        <f t="shared" ca="1" si="21"/>
        <v>2624</v>
      </c>
      <c r="O144" s="72" t="str">
        <f t="shared" ca="1" si="22"/>
        <v>&gt;5Y</v>
      </c>
      <c r="P144" s="198" t="s">
        <v>106</v>
      </c>
      <c r="Q144" s="3" t="s">
        <v>125</v>
      </c>
      <c r="R144" s="3" t="s">
        <v>108</v>
      </c>
      <c r="S144" s="129">
        <v>30</v>
      </c>
      <c r="T144" s="129">
        <v>120</v>
      </c>
      <c r="U144" s="129">
        <f t="shared" si="23"/>
        <v>150</v>
      </c>
      <c r="V144" s="3"/>
      <c r="W144" s="3" t="s">
        <v>171</v>
      </c>
      <c r="X144" s="3" t="s">
        <v>394</v>
      </c>
      <c r="Y144" s="60" t="str">
        <f>+AP144</f>
        <v>Yes</v>
      </c>
      <c r="Z144" s="3"/>
      <c r="AA144" s="3"/>
      <c r="AB144" s="3"/>
      <c r="AC144" s="3"/>
      <c r="AD144" s="249">
        <f t="shared" si="20"/>
        <v>46905</v>
      </c>
      <c r="AE144" s="249">
        <f t="shared" si="25"/>
        <v>46997</v>
      </c>
      <c r="AF144" s="3" t="s">
        <v>394</v>
      </c>
      <c r="AG144" s="3" t="s">
        <v>599</v>
      </c>
      <c r="AH144" s="3"/>
      <c r="AI144" s="3" t="s">
        <v>115</v>
      </c>
      <c r="AJ144" s="3" t="s">
        <v>115</v>
      </c>
      <c r="AK144" s="3" t="s">
        <v>112</v>
      </c>
      <c r="AL144" s="45">
        <v>46905</v>
      </c>
      <c r="AM144" s="3" t="s">
        <v>109</v>
      </c>
      <c r="AN144" s="3" t="s">
        <v>109</v>
      </c>
      <c r="AO144" s="3" t="s">
        <v>110</v>
      </c>
      <c r="AP144" s="3" t="s">
        <v>109</v>
      </c>
      <c r="AQ144" s="3">
        <v>4327618</v>
      </c>
      <c r="AR144" s="109" t="s">
        <v>797</v>
      </c>
      <c r="AS144" s="249">
        <v>46997</v>
      </c>
      <c r="AT144" s="3" t="s">
        <v>109</v>
      </c>
      <c r="AU144" s="3" t="s">
        <v>171</v>
      </c>
      <c r="AV144" s="3" t="s">
        <v>797</v>
      </c>
      <c r="AW144" s="3" t="s">
        <v>798</v>
      </c>
      <c r="AX144" s="3"/>
      <c r="AY144" s="3"/>
      <c r="AZ144" s="3" t="s">
        <v>109</v>
      </c>
      <c r="BA144" s="3"/>
      <c r="BB144" s="3" t="s">
        <v>112</v>
      </c>
      <c r="BC144" s="3"/>
      <c r="BD144" s="3"/>
      <c r="BE144" s="3"/>
      <c r="BF144" s="3"/>
      <c r="BG144" s="59" t="s">
        <v>114</v>
      </c>
      <c r="BH144" s="59"/>
      <c r="BI144" s="45"/>
      <c r="BJ144" s="45" t="s">
        <v>112</v>
      </c>
      <c r="BK144" s="3" t="s">
        <v>109</v>
      </c>
      <c r="BL144" s="3" t="s">
        <v>114</v>
      </c>
      <c r="BM144" s="3" t="s">
        <v>111</v>
      </c>
      <c r="BN144" s="3" t="s">
        <v>111</v>
      </c>
      <c r="BO144" s="3" t="s">
        <v>115</v>
      </c>
      <c r="BP144" s="3"/>
      <c r="BQ144" s="3"/>
      <c r="BR144" s="3"/>
      <c r="BS144" s="3"/>
      <c r="BT144" s="3"/>
      <c r="BU144" s="3"/>
      <c r="BV144" s="3"/>
      <c r="BW144" s="3" t="s">
        <v>184</v>
      </c>
      <c r="BX144" s="3"/>
      <c r="BY144" s="3"/>
      <c r="BZ144" s="3"/>
      <c r="CA144" s="3"/>
      <c r="CB144" s="112" t="s">
        <v>185</v>
      </c>
      <c r="CC144" s="112" t="s">
        <v>109</v>
      </c>
      <c r="CD144" s="3"/>
      <c r="CE144" s="3"/>
      <c r="CF144" s="112"/>
      <c r="CG144" s="112"/>
      <c r="CH144" s="133"/>
      <c r="CI144" s="112" t="str">
        <f t="shared" si="24"/>
        <v>Mar'19</v>
      </c>
      <c r="CJ144" s="112" t="s">
        <v>132</v>
      </c>
      <c r="CK144" s="112"/>
      <c r="CL144" s="192"/>
    </row>
    <row r="145" spans="1:90" s="4" customFormat="1" ht="94.5" customHeight="1" x14ac:dyDescent="0.25">
      <c r="A145" s="3">
        <v>26</v>
      </c>
      <c r="B145" s="126" t="s">
        <v>799</v>
      </c>
      <c r="C145" s="109" t="s">
        <v>800</v>
      </c>
      <c r="D145" s="3" t="s">
        <v>398</v>
      </c>
      <c r="E145" s="59"/>
      <c r="F145" s="3">
        <v>9028974805</v>
      </c>
      <c r="G145" s="3" t="s">
        <v>142</v>
      </c>
      <c r="H145" s="3" t="s">
        <v>122</v>
      </c>
      <c r="I145" s="3" t="s">
        <v>143</v>
      </c>
      <c r="J145" s="3" t="s">
        <v>144</v>
      </c>
      <c r="K145" s="3" t="s">
        <v>801</v>
      </c>
      <c r="L145" s="3" t="s">
        <v>179</v>
      </c>
      <c r="M145" s="56">
        <v>43622</v>
      </c>
      <c r="N145" s="69">
        <f t="shared" ca="1" si="21"/>
        <v>2555</v>
      </c>
      <c r="O145" s="72" t="str">
        <f t="shared" ca="1" si="22"/>
        <v>&gt;5Y</v>
      </c>
      <c r="P145" s="198" t="s">
        <v>106</v>
      </c>
      <c r="Q145" s="3" t="s">
        <v>125</v>
      </c>
      <c r="R145" s="3" t="s">
        <v>108</v>
      </c>
      <c r="S145" s="129">
        <v>30</v>
      </c>
      <c r="T145" s="129">
        <v>120</v>
      </c>
      <c r="U145" s="129">
        <f t="shared" si="23"/>
        <v>150</v>
      </c>
      <c r="V145" s="3"/>
      <c r="W145" s="3" t="s">
        <v>171</v>
      </c>
      <c r="X145" s="3" t="s">
        <v>394</v>
      </c>
      <c r="Y145" s="60"/>
      <c r="Z145" s="3"/>
      <c r="AA145" s="3"/>
      <c r="AB145" s="3"/>
      <c r="AC145" s="3"/>
      <c r="AD145" s="249">
        <f t="shared" si="20"/>
        <v>46905</v>
      </c>
      <c r="AE145" s="249">
        <f t="shared" si="25"/>
        <v>46997</v>
      </c>
      <c r="AF145" s="3" t="s">
        <v>394</v>
      </c>
      <c r="AG145" s="3" t="s">
        <v>589</v>
      </c>
      <c r="AH145" s="3"/>
      <c r="AI145" s="3" t="s">
        <v>115</v>
      </c>
      <c r="AJ145" s="3" t="s">
        <v>115</v>
      </c>
      <c r="AK145" s="3" t="s">
        <v>181</v>
      </c>
      <c r="AL145" s="45">
        <v>46905</v>
      </c>
      <c r="AM145" s="3" t="s">
        <v>109</v>
      </c>
      <c r="AN145" s="3" t="s">
        <v>109</v>
      </c>
      <c r="AO145" s="3"/>
      <c r="AP145" s="3"/>
      <c r="AQ145" s="3"/>
      <c r="AR145" s="109" t="s">
        <v>713</v>
      </c>
      <c r="AS145" s="249">
        <v>46997</v>
      </c>
      <c r="AT145" s="59"/>
      <c r="AU145" s="59" t="s">
        <v>171</v>
      </c>
      <c r="AV145" s="59"/>
      <c r="AW145" s="59" t="s">
        <v>171</v>
      </c>
      <c r="AX145" s="59"/>
      <c r="AY145" s="59"/>
      <c r="AZ145" s="59"/>
      <c r="BA145" s="59"/>
      <c r="BB145" s="59"/>
      <c r="BC145" s="59"/>
      <c r="BD145" s="59"/>
      <c r="BE145" s="59"/>
      <c r="BF145" s="59"/>
      <c r="BG145" s="59"/>
      <c r="BH145" s="59"/>
      <c r="BI145" s="243"/>
      <c r="BJ145" s="243"/>
      <c r="BK145" s="3"/>
      <c r="BL145" s="3"/>
      <c r="BM145" s="3" t="s">
        <v>111</v>
      </c>
      <c r="BN145" s="3" t="s">
        <v>111</v>
      </c>
      <c r="BO145" s="3" t="s">
        <v>115</v>
      </c>
      <c r="BP145" s="3"/>
      <c r="BQ145" s="3"/>
      <c r="BR145" s="3"/>
      <c r="BS145" s="3"/>
      <c r="BT145" s="3"/>
      <c r="BU145" s="3"/>
      <c r="BV145" s="3"/>
      <c r="BW145" s="3" t="s">
        <v>184</v>
      </c>
      <c r="BX145" s="3"/>
      <c r="BY145" s="3"/>
      <c r="BZ145" s="3"/>
      <c r="CA145" s="3"/>
      <c r="CB145" s="112" t="s">
        <v>185</v>
      </c>
      <c r="CC145" s="112" t="s">
        <v>109</v>
      </c>
      <c r="CD145" s="3"/>
      <c r="CE145" s="3"/>
      <c r="CF145" s="112"/>
      <c r="CG145" s="112"/>
      <c r="CH145" s="133"/>
      <c r="CI145" s="112" t="str">
        <f t="shared" si="24"/>
        <v>Jun'19</v>
      </c>
      <c r="CJ145" s="112" t="s">
        <v>132</v>
      </c>
      <c r="CK145" s="112"/>
      <c r="CL145" s="192"/>
    </row>
    <row r="146" spans="1:90" s="4" customFormat="1" ht="94.5" customHeight="1" x14ac:dyDescent="0.25">
      <c r="A146" s="3">
        <v>27</v>
      </c>
      <c r="B146" s="126" t="s">
        <v>802</v>
      </c>
      <c r="C146" s="109" t="s">
        <v>803</v>
      </c>
      <c r="D146" s="3" t="s">
        <v>156</v>
      </c>
      <c r="E146" s="59"/>
      <c r="F146" s="3" t="s">
        <v>181</v>
      </c>
      <c r="G146" s="3" t="s">
        <v>142</v>
      </c>
      <c r="H146" s="3" t="s">
        <v>122</v>
      </c>
      <c r="I146" s="3" t="s">
        <v>143</v>
      </c>
      <c r="J146" s="3" t="s">
        <v>144</v>
      </c>
      <c r="K146" s="3" t="s">
        <v>804</v>
      </c>
      <c r="L146" s="3" t="s">
        <v>179</v>
      </c>
      <c r="M146" s="56">
        <v>43703</v>
      </c>
      <c r="N146" s="69">
        <f t="shared" ca="1" si="21"/>
        <v>2474</v>
      </c>
      <c r="O146" s="72" t="str">
        <f t="shared" ca="1" si="22"/>
        <v>&gt;5Y</v>
      </c>
      <c r="P146" s="198" t="s">
        <v>158</v>
      </c>
      <c r="Q146" s="3" t="s">
        <v>192</v>
      </c>
      <c r="R146" s="3" t="s">
        <v>108</v>
      </c>
      <c r="S146" s="129">
        <v>30</v>
      </c>
      <c r="T146" s="129">
        <v>145</v>
      </c>
      <c r="U146" s="129">
        <f t="shared" si="23"/>
        <v>175</v>
      </c>
      <c r="V146" s="3"/>
      <c r="W146" s="3" t="s">
        <v>171</v>
      </c>
      <c r="X146" s="3" t="s">
        <v>394</v>
      </c>
      <c r="Y146" s="60"/>
      <c r="Z146" s="3"/>
      <c r="AA146" s="3"/>
      <c r="AB146" s="3"/>
      <c r="AC146" s="3"/>
      <c r="AD146" s="249">
        <f t="shared" si="20"/>
        <v>46905</v>
      </c>
      <c r="AE146" s="249">
        <f t="shared" si="25"/>
        <v>46997</v>
      </c>
      <c r="AF146" s="3" t="s">
        <v>394</v>
      </c>
      <c r="AG146" s="3" t="s">
        <v>581</v>
      </c>
      <c r="AH146" s="3"/>
      <c r="AI146" s="3" t="s">
        <v>115</v>
      </c>
      <c r="AJ146" s="3" t="s">
        <v>115</v>
      </c>
      <c r="AK146" s="3" t="s">
        <v>181</v>
      </c>
      <c r="AL146" s="45">
        <v>46905</v>
      </c>
      <c r="AM146" s="3" t="s">
        <v>109</v>
      </c>
      <c r="AN146" s="3" t="s">
        <v>109</v>
      </c>
      <c r="AO146" s="3"/>
      <c r="AP146" s="3"/>
      <c r="AQ146" s="3"/>
      <c r="AR146" s="109" t="s">
        <v>545</v>
      </c>
      <c r="AS146" s="249">
        <v>46997</v>
      </c>
      <c r="AT146" s="3" t="s">
        <v>109</v>
      </c>
      <c r="AU146" s="3" t="s">
        <v>171</v>
      </c>
      <c r="AV146" s="3" t="s">
        <v>805</v>
      </c>
      <c r="AW146" s="3" t="s">
        <v>109</v>
      </c>
      <c r="AX146" s="3" t="s">
        <v>109</v>
      </c>
      <c r="AY146" s="3" t="s">
        <v>109</v>
      </c>
      <c r="AZ146" s="3" t="s">
        <v>130</v>
      </c>
      <c r="BA146" s="3" t="s">
        <v>130</v>
      </c>
      <c r="BB146" s="3" t="s">
        <v>130</v>
      </c>
      <c r="BC146" s="3" t="s">
        <v>111</v>
      </c>
      <c r="BD146" s="3" t="s">
        <v>111</v>
      </c>
      <c r="BE146" s="3" t="s">
        <v>111</v>
      </c>
      <c r="BF146" s="3" t="s">
        <v>130</v>
      </c>
      <c r="BG146" s="59" t="s">
        <v>353</v>
      </c>
      <c r="BH146" s="59" t="s">
        <v>171</v>
      </c>
      <c r="BI146" s="45" t="s">
        <v>111</v>
      </c>
      <c r="BJ146" s="45" t="s">
        <v>111</v>
      </c>
      <c r="BK146" s="3" t="s">
        <v>109</v>
      </c>
      <c r="BL146" s="3"/>
      <c r="BM146" s="3" t="s">
        <v>111</v>
      </c>
      <c r="BN146" s="3" t="s">
        <v>111</v>
      </c>
      <c r="BO146" s="3" t="s">
        <v>115</v>
      </c>
      <c r="BP146" s="3"/>
      <c r="BQ146" s="3"/>
      <c r="BR146" s="3"/>
      <c r="BS146" s="3"/>
      <c r="BT146" s="3"/>
      <c r="BU146" s="3"/>
      <c r="BV146" s="3"/>
      <c r="BW146" s="3" t="s">
        <v>184</v>
      </c>
      <c r="BX146" s="3"/>
      <c r="BY146" s="3"/>
      <c r="BZ146" s="3"/>
      <c r="CA146" s="3"/>
      <c r="CB146" s="112" t="s">
        <v>185</v>
      </c>
      <c r="CC146" s="112" t="s">
        <v>109</v>
      </c>
      <c r="CD146" s="3"/>
      <c r="CE146" s="3"/>
      <c r="CF146" s="112"/>
      <c r="CG146" s="112"/>
      <c r="CH146" s="133"/>
      <c r="CI146" s="112" t="str">
        <f t="shared" si="24"/>
        <v>Aug'19</v>
      </c>
      <c r="CJ146" s="112" t="s">
        <v>192</v>
      </c>
      <c r="CK146" s="112"/>
      <c r="CL146" s="192"/>
    </row>
    <row r="147" spans="1:90" s="4" customFormat="1" ht="48.95" customHeight="1" x14ac:dyDescent="0.25">
      <c r="A147" s="3">
        <v>28</v>
      </c>
      <c r="B147" s="126" t="s">
        <v>806</v>
      </c>
      <c r="C147" s="109" t="s">
        <v>807</v>
      </c>
      <c r="D147" s="3" t="s">
        <v>383</v>
      </c>
      <c r="E147" s="59"/>
      <c r="F147" s="3">
        <v>9850095753</v>
      </c>
      <c r="G147" s="3" t="s">
        <v>101</v>
      </c>
      <c r="H147" s="3" t="s">
        <v>101</v>
      </c>
      <c r="I147" s="3" t="s">
        <v>143</v>
      </c>
      <c r="J147" s="3" t="s">
        <v>151</v>
      </c>
      <c r="K147" s="3" t="s">
        <v>808</v>
      </c>
      <c r="L147" s="3" t="s">
        <v>179</v>
      </c>
      <c r="M147" s="56">
        <v>43804</v>
      </c>
      <c r="N147" s="69">
        <f t="shared" ca="1" si="21"/>
        <v>2373</v>
      </c>
      <c r="O147" s="72" t="str">
        <f t="shared" ca="1" si="22"/>
        <v>&gt;5Y</v>
      </c>
      <c r="P147" s="198" t="s">
        <v>106</v>
      </c>
      <c r="Q147" s="3" t="s">
        <v>125</v>
      </c>
      <c r="R147" s="3" t="s">
        <v>164</v>
      </c>
      <c r="S147" s="129">
        <v>85</v>
      </c>
      <c r="T147" s="129">
        <v>100</v>
      </c>
      <c r="U147" s="129">
        <f t="shared" si="23"/>
        <v>185</v>
      </c>
      <c r="V147" s="3"/>
      <c r="W147" s="3" t="s">
        <v>171</v>
      </c>
      <c r="X147" s="3" t="s">
        <v>394</v>
      </c>
      <c r="Y147" s="60"/>
      <c r="Z147" s="3" t="s">
        <v>274</v>
      </c>
      <c r="AA147" s="3"/>
      <c r="AB147" s="3"/>
      <c r="AC147" s="3"/>
      <c r="AD147" s="249">
        <f t="shared" si="20"/>
        <v>46905</v>
      </c>
      <c r="AE147" s="249">
        <f t="shared" si="25"/>
        <v>46997</v>
      </c>
      <c r="AF147" s="3" t="s">
        <v>394</v>
      </c>
      <c r="AG147" s="3" t="s">
        <v>589</v>
      </c>
      <c r="AH147" s="3"/>
      <c r="AI147" s="3"/>
      <c r="AJ147" s="3"/>
      <c r="AK147" s="3" t="s">
        <v>419</v>
      </c>
      <c r="AL147" s="45">
        <v>46905</v>
      </c>
      <c r="AM147" s="3"/>
      <c r="AN147" s="3"/>
      <c r="AO147" s="3"/>
      <c r="AP147" s="3"/>
      <c r="AQ147" s="3"/>
      <c r="AR147" s="109" t="s">
        <v>809</v>
      </c>
      <c r="AS147" s="249">
        <v>46997</v>
      </c>
      <c r="AT147" s="3" t="s">
        <v>146</v>
      </c>
      <c r="AU147" s="3" t="s">
        <v>419</v>
      </c>
      <c r="AV147" s="109" t="s">
        <v>810</v>
      </c>
      <c r="AW147" s="3" t="s">
        <v>171</v>
      </c>
      <c r="AX147" s="3" t="s">
        <v>111</v>
      </c>
      <c r="AY147" s="3" t="s">
        <v>111</v>
      </c>
      <c r="AZ147" s="3" t="s">
        <v>111</v>
      </c>
      <c r="BA147" s="3" t="s">
        <v>111</v>
      </c>
      <c r="BB147" s="3" t="s">
        <v>111</v>
      </c>
      <c r="BC147" s="3" t="s">
        <v>111</v>
      </c>
      <c r="BD147" s="3" t="s">
        <v>111</v>
      </c>
      <c r="BE147" s="3" t="s">
        <v>111</v>
      </c>
      <c r="BF147" s="3" t="s">
        <v>111</v>
      </c>
      <c r="BG147" s="3" t="s">
        <v>111</v>
      </c>
      <c r="BH147" s="3" t="s">
        <v>111</v>
      </c>
      <c r="BI147" s="3" t="s">
        <v>111</v>
      </c>
      <c r="BJ147" s="3" t="s">
        <v>111</v>
      </c>
      <c r="BK147" s="3"/>
      <c r="BL147" s="3"/>
      <c r="BM147" s="3"/>
      <c r="BN147" s="3"/>
      <c r="BO147" s="3"/>
      <c r="BP147" s="3"/>
      <c r="BQ147" s="3"/>
      <c r="BR147" s="3"/>
      <c r="BS147" s="3"/>
      <c r="BT147" s="3"/>
      <c r="BU147" s="3"/>
      <c r="BV147" s="3"/>
      <c r="BW147" s="3" t="s">
        <v>184</v>
      </c>
      <c r="BX147" s="3"/>
      <c r="BY147" s="3"/>
      <c r="BZ147" s="3"/>
      <c r="CA147" s="3"/>
      <c r="CB147" s="112" t="s">
        <v>185</v>
      </c>
      <c r="CC147" s="112" t="s">
        <v>109</v>
      </c>
      <c r="CD147" s="3"/>
      <c r="CE147" s="3"/>
      <c r="CF147" s="112"/>
      <c r="CG147" s="112"/>
      <c r="CH147" s="133"/>
      <c r="CI147" s="112" t="str">
        <f t="shared" si="24"/>
        <v>Dec'19</v>
      </c>
      <c r="CJ147" s="112" t="s">
        <v>132</v>
      </c>
      <c r="CK147" s="112"/>
      <c r="CL147" s="192"/>
    </row>
    <row r="148" spans="1:90" s="4" customFormat="1" ht="94.5" customHeight="1" x14ac:dyDescent="0.25">
      <c r="A148" s="3">
        <v>29</v>
      </c>
      <c r="B148" s="126" t="s">
        <v>811</v>
      </c>
      <c r="C148" s="109" t="s">
        <v>812</v>
      </c>
      <c r="D148" s="3" t="s">
        <v>121</v>
      </c>
      <c r="E148" s="59"/>
      <c r="F148" s="3">
        <v>9923258888</v>
      </c>
      <c r="G148" s="3" t="s">
        <v>100</v>
      </c>
      <c r="H148" s="3" t="s">
        <v>122</v>
      </c>
      <c r="I148" s="3" t="s">
        <v>102</v>
      </c>
      <c r="J148" s="3" t="s">
        <v>123</v>
      </c>
      <c r="K148" s="3" t="s">
        <v>813</v>
      </c>
      <c r="L148" s="3" t="s">
        <v>179</v>
      </c>
      <c r="M148" s="56">
        <v>43910</v>
      </c>
      <c r="N148" s="69">
        <f t="shared" ca="1" si="21"/>
        <v>2267</v>
      </c>
      <c r="O148" s="72" t="str">
        <f t="shared" ca="1" si="22"/>
        <v>&gt;5Y</v>
      </c>
      <c r="P148" s="198" t="s">
        <v>106</v>
      </c>
      <c r="Q148" s="3" t="s">
        <v>125</v>
      </c>
      <c r="R148" s="3" t="s">
        <v>108</v>
      </c>
      <c r="S148" s="129">
        <v>6</v>
      </c>
      <c r="T148" s="129">
        <v>40</v>
      </c>
      <c r="U148" s="129">
        <f t="shared" si="23"/>
        <v>46</v>
      </c>
      <c r="V148" s="3"/>
      <c r="W148" s="3" t="s">
        <v>171</v>
      </c>
      <c r="X148" s="3" t="s">
        <v>394</v>
      </c>
      <c r="Y148" s="60"/>
      <c r="Z148" s="3"/>
      <c r="AA148" s="3"/>
      <c r="AB148" s="3"/>
      <c r="AC148" s="3"/>
      <c r="AD148" s="249">
        <f t="shared" si="20"/>
        <v>46905</v>
      </c>
      <c r="AE148" s="249">
        <f t="shared" si="25"/>
        <v>46997</v>
      </c>
      <c r="AF148" s="3" t="s">
        <v>394</v>
      </c>
      <c r="AG148" s="3" t="s">
        <v>581</v>
      </c>
      <c r="AH148" s="3"/>
      <c r="AI148" s="3" t="s">
        <v>115</v>
      </c>
      <c r="AJ148" s="3" t="s">
        <v>115</v>
      </c>
      <c r="AK148" s="3" t="s">
        <v>181</v>
      </c>
      <c r="AL148" s="45">
        <v>46905</v>
      </c>
      <c r="AM148" s="3" t="s">
        <v>109</v>
      </c>
      <c r="AN148" s="3" t="s">
        <v>109</v>
      </c>
      <c r="AO148" s="3"/>
      <c r="AP148" s="3"/>
      <c r="AQ148" s="3"/>
      <c r="AR148" s="109" t="s">
        <v>599</v>
      </c>
      <c r="AS148" s="249">
        <v>46997</v>
      </c>
      <c r="AT148" s="3" t="s">
        <v>109</v>
      </c>
      <c r="AU148" s="3" t="s">
        <v>171</v>
      </c>
      <c r="AV148" s="3" t="s">
        <v>814</v>
      </c>
      <c r="AW148" s="3" t="s">
        <v>171</v>
      </c>
      <c r="AX148" s="3" t="s">
        <v>109</v>
      </c>
      <c r="AY148" s="3" t="s">
        <v>261</v>
      </c>
      <c r="AZ148" s="3" t="s">
        <v>261</v>
      </c>
      <c r="BA148" s="3" t="s">
        <v>261</v>
      </c>
      <c r="BB148" s="3" t="s">
        <v>261</v>
      </c>
      <c r="BC148" s="3" t="s">
        <v>261</v>
      </c>
      <c r="BD148" s="3" t="s">
        <v>261</v>
      </c>
      <c r="BE148" s="3" t="s">
        <v>111</v>
      </c>
      <c r="BF148" s="3" t="s">
        <v>111</v>
      </c>
      <c r="BG148" s="59" t="s">
        <v>332</v>
      </c>
      <c r="BH148" s="59" t="s">
        <v>171</v>
      </c>
      <c r="BI148" s="45">
        <v>46905</v>
      </c>
      <c r="BJ148" s="45">
        <v>46935</v>
      </c>
      <c r="BK148" s="3"/>
      <c r="BL148" s="3"/>
      <c r="BM148" s="3" t="s">
        <v>111</v>
      </c>
      <c r="BN148" s="3" t="s">
        <v>111</v>
      </c>
      <c r="BO148" s="3" t="s">
        <v>115</v>
      </c>
      <c r="BP148" s="3"/>
      <c r="BQ148" s="3"/>
      <c r="BR148" s="3"/>
      <c r="BS148" s="3"/>
      <c r="BT148" s="3"/>
      <c r="BU148" s="3"/>
      <c r="BV148" s="3"/>
      <c r="BW148" s="3" t="s">
        <v>184</v>
      </c>
      <c r="BX148" s="3"/>
      <c r="BY148" s="3"/>
      <c r="BZ148" s="3"/>
      <c r="CA148" s="3"/>
      <c r="CB148" s="112" t="s">
        <v>185</v>
      </c>
      <c r="CC148" s="112" t="s">
        <v>109</v>
      </c>
      <c r="CD148" s="3"/>
      <c r="CE148" s="3"/>
      <c r="CF148" s="112"/>
      <c r="CG148" s="112"/>
      <c r="CH148" s="133"/>
      <c r="CI148" s="112" t="str">
        <f t="shared" si="24"/>
        <v>Mar'20</v>
      </c>
      <c r="CJ148" s="112" t="s">
        <v>132</v>
      </c>
      <c r="CK148" s="112"/>
      <c r="CL148" s="192"/>
    </row>
    <row r="149" spans="1:90" s="4" customFormat="1" ht="94.5" customHeight="1" x14ac:dyDescent="0.25">
      <c r="A149" s="3">
        <v>32</v>
      </c>
      <c r="B149" s="126" t="s">
        <v>815</v>
      </c>
      <c r="C149" s="109" t="s">
        <v>816</v>
      </c>
      <c r="D149" s="3" t="s">
        <v>121</v>
      </c>
      <c r="E149" s="59"/>
      <c r="F149" s="3">
        <v>9561107474</v>
      </c>
      <c r="G149" s="3" t="s">
        <v>142</v>
      </c>
      <c r="H149" s="3" t="s">
        <v>122</v>
      </c>
      <c r="I149" s="3" t="s">
        <v>143</v>
      </c>
      <c r="J149" s="3" t="s">
        <v>144</v>
      </c>
      <c r="K149" s="3" t="s">
        <v>817</v>
      </c>
      <c r="L149" s="3" t="s">
        <v>179</v>
      </c>
      <c r="M149" s="56">
        <v>43997</v>
      </c>
      <c r="N149" s="69">
        <f t="shared" ca="1" si="21"/>
        <v>2180</v>
      </c>
      <c r="O149" s="72" t="str">
        <f t="shared" ca="1" si="22"/>
        <v>&gt;5Y</v>
      </c>
      <c r="P149" s="198" t="s">
        <v>106</v>
      </c>
      <c r="Q149" s="3" t="s">
        <v>192</v>
      </c>
      <c r="R149" s="3" t="s">
        <v>108</v>
      </c>
      <c r="S149" s="129">
        <v>40</v>
      </c>
      <c r="T149" s="129">
        <v>110</v>
      </c>
      <c r="U149" s="129">
        <f t="shared" si="23"/>
        <v>150</v>
      </c>
      <c r="V149" s="3"/>
      <c r="W149" s="3" t="s">
        <v>171</v>
      </c>
      <c r="X149" s="3" t="s">
        <v>394</v>
      </c>
      <c r="Y149" s="60"/>
      <c r="Z149" s="3"/>
      <c r="AA149" s="3"/>
      <c r="AB149" s="3"/>
      <c r="AC149" s="3"/>
      <c r="AD149" s="249">
        <f t="shared" si="20"/>
        <v>46905</v>
      </c>
      <c r="AE149" s="249">
        <f t="shared" si="25"/>
        <v>46997</v>
      </c>
      <c r="AF149" s="3" t="s">
        <v>394</v>
      </c>
      <c r="AG149" s="3" t="s">
        <v>581</v>
      </c>
      <c r="AH149" s="3"/>
      <c r="AI149" s="3" t="s">
        <v>115</v>
      </c>
      <c r="AJ149" s="3" t="s">
        <v>115</v>
      </c>
      <c r="AK149" s="3" t="s">
        <v>181</v>
      </c>
      <c r="AL149" s="45">
        <v>46905</v>
      </c>
      <c r="AM149" s="3" t="s">
        <v>109</v>
      </c>
      <c r="AN149" s="3" t="s">
        <v>109</v>
      </c>
      <c r="AO149" s="3"/>
      <c r="AP149" s="3"/>
      <c r="AQ149" s="3"/>
      <c r="AR149" s="109" t="s">
        <v>599</v>
      </c>
      <c r="AS149" s="249">
        <v>46997</v>
      </c>
      <c r="AT149" s="3" t="s">
        <v>109</v>
      </c>
      <c r="AU149" s="3" t="s">
        <v>171</v>
      </c>
      <c r="AV149" s="3" t="s">
        <v>818</v>
      </c>
      <c r="AW149" s="3" t="s">
        <v>171</v>
      </c>
      <c r="AX149" s="3" t="s">
        <v>109</v>
      </c>
      <c r="AY149" s="3" t="s">
        <v>130</v>
      </c>
      <c r="AZ149" s="3" t="s">
        <v>130</v>
      </c>
      <c r="BA149" s="3" t="s">
        <v>130</v>
      </c>
      <c r="BB149" s="3" t="s">
        <v>130</v>
      </c>
      <c r="BC149" s="3" t="s">
        <v>130</v>
      </c>
      <c r="BD149" s="3" t="s">
        <v>130</v>
      </c>
      <c r="BE149" s="3" t="s">
        <v>111</v>
      </c>
      <c r="BF149" s="3" t="s">
        <v>111</v>
      </c>
      <c r="BG149" s="59" t="s">
        <v>332</v>
      </c>
      <c r="BH149" s="59" t="s">
        <v>171</v>
      </c>
      <c r="BI149" s="45">
        <v>46905</v>
      </c>
      <c r="BJ149" s="45">
        <v>46935</v>
      </c>
      <c r="BK149" s="3"/>
      <c r="BL149" s="3"/>
      <c r="BM149" s="3" t="s">
        <v>111</v>
      </c>
      <c r="BN149" s="3" t="s">
        <v>111</v>
      </c>
      <c r="BO149" s="3" t="s">
        <v>115</v>
      </c>
      <c r="BP149" s="3"/>
      <c r="BQ149" s="3"/>
      <c r="BR149" s="3"/>
      <c r="BS149" s="3"/>
      <c r="BT149" s="3"/>
      <c r="BU149" s="3"/>
      <c r="BV149" s="3"/>
      <c r="BW149" s="3" t="s">
        <v>184</v>
      </c>
      <c r="BX149" s="3"/>
      <c r="BY149" s="3"/>
      <c r="BZ149" s="3"/>
      <c r="CA149" s="3"/>
      <c r="CB149" s="112" t="s">
        <v>185</v>
      </c>
      <c r="CC149" s="112" t="s">
        <v>109</v>
      </c>
      <c r="CD149" s="3"/>
      <c r="CE149" s="3"/>
      <c r="CF149" s="112"/>
      <c r="CG149" s="112"/>
      <c r="CH149" s="133"/>
      <c r="CI149" s="112" t="str">
        <f t="shared" si="24"/>
        <v>Jun'20</v>
      </c>
      <c r="CJ149" s="112" t="s">
        <v>192</v>
      </c>
      <c r="CK149" s="112"/>
      <c r="CL149" s="192"/>
    </row>
    <row r="150" spans="1:90" s="4" customFormat="1" ht="94.5" customHeight="1" x14ac:dyDescent="0.25">
      <c r="A150" s="3">
        <v>33</v>
      </c>
      <c r="B150" s="126" t="s">
        <v>819</v>
      </c>
      <c r="C150" s="109" t="s">
        <v>820</v>
      </c>
      <c r="D150" s="3" t="s">
        <v>220</v>
      </c>
      <c r="E150" s="59"/>
      <c r="F150" s="3" t="s">
        <v>181</v>
      </c>
      <c r="G150" s="3" t="s">
        <v>169</v>
      </c>
      <c r="H150" s="3" t="s">
        <v>101</v>
      </c>
      <c r="I150" s="3" t="s">
        <v>143</v>
      </c>
      <c r="J150" s="3" t="s">
        <v>162</v>
      </c>
      <c r="K150" s="3" t="s">
        <v>821</v>
      </c>
      <c r="L150" s="3" t="s">
        <v>179</v>
      </c>
      <c r="M150" s="56">
        <v>44015</v>
      </c>
      <c r="N150" s="69">
        <f t="shared" ca="1" si="21"/>
        <v>2162</v>
      </c>
      <c r="O150" s="72" t="str">
        <f t="shared" ca="1" si="22"/>
        <v>&gt;5Y</v>
      </c>
      <c r="P150" s="198" t="s">
        <v>106</v>
      </c>
      <c r="Q150" s="3" t="s">
        <v>107</v>
      </c>
      <c r="R150" s="3" t="s">
        <v>164</v>
      </c>
      <c r="S150" s="129">
        <v>35</v>
      </c>
      <c r="T150" s="129">
        <v>120</v>
      </c>
      <c r="U150" s="129">
        <f t="shared" si="23"/>
        <v>155</v>
      </c>
      <c r="V150" s="3"/>
      <c r="W150" s="3" t="s">
        <v>171</v>
      </c>
      <c r="X150" s="3" t="s">
        <v>394</v>
      </c>
      <c r="Y150" s="60"/>
      <c r="Z150" s="3" t="s">
        <v>274</v>
      </c>
      <c r="AA150" s="3"/>
      <c r="AB150" s="3"/>
      <c r="AC150" s="3"/>
      <c r="AD150" s="249">
        <f t="shared" si="20"/>
        <v>46905</v>
      </c>
      <c r="AE150" s="249">
        <f t="shared" si="25"/>
        <v>46997</v>
      </c>
      <c r="AF150" s="3" t="s">
        <v>394</v>
      </c>
      <c r="AG150" s="3" t="s">
        <v>692</v>
      </c>
      <c r="AH150" s="3"/>
      <c r="AI150" s="3" t="s">
        <v>109</v>
      </c>
      <c r="AJ150" s="3" t="s">
        <v>109</v>
      </c>
      <c r="AK150" s="3" t="s">
        <v>112</v>
      </c>
      <c r="AL150" s="45">
        <v>46905</v>
      </c>
      <c r="AM150" s="3" t="s">
        <v>109</v>
      </c>
      <c r="AN150" s="3" t="s">
        <v>109</v>
      </c>
      <c r="AO150" s="3"/>
      <c r="AP150" s="3" t="s">
        <v>109</v>
      </c>
      <c r="AQ150" s="3" t="s">
        <v>109</v>
      </c>
      <c r="AR150" s="109" t="s">
        <v>822</v>
      </c>
      <c r="AS150" s="249">
        <v>46997</v>
      </c>
      <c r="AT150" s="3" t="s">
        <v>109</v>
      </c>
      <c r="AU150" s="3" t="s">
        <v>171</v>
      </c>
      <c r="AV150" s="3" t="s">
        <v>823</v>
      </c>
      <c r="AW150" s="3" t="s">
        <v>824</v>
      </c>
      <c r="AX150" s="3"/>
      <c r="AY150" s="3"/>
      <c r="AZ150" s="3"/>
      <c r="BA150" s="3"/>
      <c r="BB150" s="3" t="s">
        <v>115</v>
      </c>
      <c r="BC150" s="3"/>
      <c r="BD150" s="3"/>
      <c r="BE150" s="3"/>
      <c r="BF150" s="3"/>
      <c r="BG150" s="59"/>
      <c r="BH150" s="59"/>
      <c r="BI150" s="45"/>
      <c r="BJ150" s="45"/>
      <c r="BK150" s="3" t="s">
        <v>109</v>
      </c>
      <c r="BL150" s="3" t="s">
        <v>114</v>
      </c>
      <c r="BM150" s="3"/>
      <c r="BN150" s="3"/>
      <c r="BO150" s="3"/>
      <c r="BP150" s="3"/>
      <c r="BQ150" s="3"/>
      <c r="BR150" s="3"/>
      <c r="BS150" s="3"/>
      <c r="BT150" s="3"/>
      <c r="BU150" s="3"/>
      <c r="BV150" s="3"/>
      <c r="BW150" s="3" t="s">
        <v>184</v>
      </c>
      <c r="BX150" s="3"/>
      <c r="BY150" s="3"/>
      <c r="BZ150" s="3"/>
      <c r="CA150" s="3"/>
      <c r="CB150" s="112" t="s">
        <v>185</v>
      </c>
      <c r="CC150" s="112" t="s">
        <v>109</v>
      </c>
      <c r="CD150" s="3"/>
      <c r="CE150" s="3"/>
      <c r="CF150" s="112"/>
      <c r="CG150" s="112"/>
      <c r="CH150" s="133"/>
      <c r="CI150" s="112" t="str">
        <f t="shared" si="24"/>
        <v>Jul'20</v>
      </c>
      <c r="CJ150" s="112" t="s">
        <v>107</v>
      </c>
      <c r="CK150" s="112"/>
      <c r="CL150" s="192"/>
    </row>
    <row r="151" spans="1:90" s="4" customFormat="1" ht="57" customHeight="1" x14ac:dyDescent="0.25">
      <c r="A151" s="109">
        <v>34</v>
      </c>
      <c r="B151" s="126" t="s">
        <v>825</v>
      </c>
      <c r="C151" s="109" t="s">
        <v>826</v>
      </c>
      <c r="D151" s="109" t="s">
        <v>190</v>
      </c>
      <c r="E151" s="109"/>
      <c r="F151" s="109">
        <v>9766297801</v>
      </c>
      <c r="G151" s="109" t="s">
        <v>169</v>
      </c>
      <c r="H151" s="109" t="s">
        <v>122</v>
      </c>
      <c r="I151" s="109" t="s">
        <v>143</v>
      </c>
      <c r="J151" s="109" t="s">
        <v>144</v>
      </c>
      <c r="K151" s="109" t="s">
        <v>827</v>
      </c>
      <c r="L151" s="109" t="s">
        <v>179</v>
      </c>
      <c r="M151" s="236">
        <v>44032</v>
      </c>
      <c r="N151" s="237">
        <f t="shared" ca="1" si="21"/>
        <v>2145</v>
      </c>
      <c r="O151" s="237" t="str">
        <f t="shared" ca="1" si="22"/>
        <v>&gt;5Y</v>
      </c>
      <c r="P151" s="198" t="s">
        <v>158</v>
      </c>
      <c r="Q151" s="109" t="s">
        <v>192</v>
      </c>
      <c r="R151" s="109" t="s">
        <v>108</v>
      </c>
      <c r="S151" s="129">
        <v>30</v>
      </c>
      <c r="T151" s="129">
        <v>80</v>
      </c>
      <c r="U151" s="129">
        <f t="shared" si="23"/>
        <v>110</v>
      </c>
      <c r="V151" s="109"/>
      <c r="W151" s="109" t="s">
        <v>171</v>
      </c>
      <c r="X151" s="109" t="s">
        <v>394</v>
      </c>
      <c r="Y151" s="238"/>
      <c r="Z151" s="109"/>
      <c r="AA151" s="109"/>
      <c r="AB151" s="109"/>
      <c r="AC151" s="109"/>
      <c r="AD151" s="249">
        <f t="shared" si="20"/>
        <v>46905</v>
      </c>
      <c r="AE151" s="249">
        <f t="shared" si="25"/>
        <v>46997</v>
      </c>
      <c r="AF151" s="109" t="s">
        <v>394</v>
      </c>
      <c r="AG151" s="109" t="s">
        <v>581</v>
      </c>
      <c r="AH151" s="109"/>
      <c r="AI151" s="109" t="s">
        <v>115</v>
      </c>
      <c r="AJ151" s="109" t="s">
        <v>115</v>
      </c>
      <c r="AK151" s="109" t="s">
        <v>181</v>
      </c>
      <c r="AL151" s="239">
        <v>46905</v>
      </c>
      <c r="AM151" s="109" t="s">
        <v>109</v>
      </c>
      <c r="AN151" s="109" t="s">
        <v>109</v>
      </c>
      <c r="AO151" s="109"/>
      <c r="AP151" s="109"/>
      <c r="AQ151" s="109"/>
      <c r="AR151" s="109" t="s">
        <v>828</v>
      </c>
      <c r="AS151" s="249">
        <v>46997</v>
      </c>
      <c r="AT151" s="109" t="s">
        <v>109</v>
      </c>
      <c r="AU151" s="109" t="s">
        <v>419</v>
      </c>
      <c r="AV151" s="109" t="s">
        <v>829</v>
      </c>
      <c r="AW151" s="109"/>
      <c r="AX151" s="109"/>
      <c r="AY151" s="109"/>
      <c r="AZ151" s="109"/>
      <c r="BA151" s="109"/>
      <c r="BB151" s="109"/>
      <c r="BC151" s="109"/>
      <c r="BD151" s="109" t="s">
        <v>111</v>
      </c>
      <c r="BE151" s="109"/>
      <c r="BF151" s="109"/>
      <c r="BG151" s="109"/>
      <c r="BH151" s="109"/>
      <c r="BI151" s="239"/>
      <c r="BJ151" s="239"/>
      <c r="BK151" s="109"/>
      <c r="BL151" s="109"/>
      <c r="BM151" s="109" t="s">
        <v>111</v>
      </c>
      <c r="BN151" s="109" t="s">
        <v>111</v>
      </c>
      <c r="BO151" s="109" t="s">
        <v>115</v>
      </c>
      <c r="BP151" s="109"/>
      <c r="BQ151" s="109"/>
      <c r="BR151" s="109"/>
      <c r="BS151" s="109"/>
      <c r="BT151" s="109"/>
      <c r="BU151" s="109"/>
      <c r="BV151" s="109"/>
      <c r="BW151" s="109" t="s">
        <v>184</v>
      </c>
      <c r="BX151" s="109"/>
      <c r="BY151" s="109"/>
      <c r="BZ151" s="109"/>
      <c r="CA151" s="109"/>
      <c r="CB151" s="112" t="s">
        <v>185</v>
      </c>
      <c r="CC151" s="112" t="s">
        <v>109</v>
      </c>
      <c r="CD151" s="3"/>
      <c r="CE151" s="3"/>
      <c r="CF151" s="112"/>
      <c r="CG151" s="112"/>
      <c r="CH151" s="133"/>
      <c r="CI151" s="112" t="str">
        <f t="shared" si="24"/>
        <v>Jul'20</v>
      </c>
      <c r="CJ151" s="112" t="s">
        <v>192</v>
      </c>
      <c r="CK151" s="112"/>
      <c r="CL151" s="192"/>
    </row>
    <row r="152" spans="1:90" s="4" customFormat="1" ht="94.5" customHeight="1" x14ac:dyDescent="0.25">
      <c r="A152" s="3">
        <v>35</v>
      </c>
      <c r="B152" s="126" t="s">
        <v>830</v>
      </c>
      <c r="C152" s="109" t="s">
        <v>831</v>
      </c>
      <c r="D152" s="3" t="s">
        <v>220</v>
      </c>
      <c r="E152" s="59"/>
      <c r="F152" s="3">
        <v>8928175555</v>
      </c>
      <c r="G152" s="3" t="s">
        <v>142</v>
      </c>
      <c r="H152" s="3" t="s">
        <v>101</v>
      </c>
      <c r="I152" s="3" t="s">
        <v>143</v>
      </c>
      <c r="J152" s="3" t="s">
        <v>162</v>
      </c>
      <c r="K152" s="3" t="s">
        <v>832</v>
      </c>
      <c r="L152" s="3" t="s">
        <v>179</v>
      </c>
      <c r="M152" s="56">
        <v>44081</v>
      </c>
      <c r="N152" s="69">
        <f t="shared" ca="1" si="21"/>
        <v>2096</v>
      </c>
      <c r="O152" s="72" t="str">
        <f t="shared" ca="1" si="22"/>
        <v>&gt;5Y</v>
      </c>
      <c r="P152" s="198" t="s">
        <v>106</v>
      </c>
      <c r="Q152" s="3" t="s">
        <v>107</v>
      </c>
      <c r="R152" s="3" t="s">
        <v>108</v>
      </c>
      <c r="S152" s="129">
        <v>30</v>
      </c>
      <c r="T152" s="129">
        <v>125</v>
      </c>
      <c r="U152" s="129">
        <f t="shared" si="23"/>
        <v>155</v>
      </c>
      <c r="V152" s="3"/>
      <c r="W152" s="3" t="s">
        <v>171</v>
      </c>
      <c r="X152" s="3" t="s">
        <v>394</v>
      </c>
      <c r="Y152" s="60"/>
      <c r="Z152" s="3" t="s">
        <v>274</v>
      </c>
      <c r="AA152" s="3"/>
      <c r="AB152" s="3"/>
      <c r="AC152" s="3"/>
      <c r="AD152" s="249">
        <f t="shared" si="20"/>
        <v>46905</v>
      </c>
      <c r="AE152" s="249">
        <f t="shared" si="25"/>
        <v>46997</v>
      </c>
      <c r="AF152" s="3" t="s">
        <v>394</v>
      </c>
      <c r="AG152" s="3" t="s">
        <v>721</v>
      </c>
      <c r="AH152" s="3"/>
      <c r="AI152" s="3"/>
      <c r="AJ152" s="3"/>
      <c r="AK152" s="3" t="s">
        <v>181</v>
      </c>
      <c r="AL152" s="45">
        <v>46905</v>
      </c>
      <c r="AM152" s="3"/>
      <c r="AN152" s="3"/>
      <c r="AO152" s="3"/>
      <c r="AP152" s="3"/>
      <c r="AQ152" s="3"/>
      <c r="AR152" s="109" t="s">
        <v>833</v>
      </c>
      <c r="AS152" s="249">
        <v>46997</v>
      </c>
      <c r="AT152" s="3" t="s">
        <v>109</v>
      </c>
      <c r="AU152" s="3" t="s">
        <v>171</v>
      </c>
      <c r="AV152" s="3" t="s">
        <v>834</v>
      </c>
      <c r="AW152" s="3" t="s">
        <v>835</v>
      </c>
      <c r="AX152" s="3"/>
      <c r="AY152" s="3"/>
      <c r="AZ152" s="3"/>
      <c r="BA152" s="3"/>
      <c r="BB152" s="3">
        <v>0</v>
      </c>
      <c r="BC152" s="3"/>
      <c r="BD152" s="3"/>
      <c r="BE152" s="3"/>
      <c r="BF152" s="3"/>
      <c r="BG152" s="59"/>
      <c r="BH152" s="59"/>
      <c r="BI152" s="45"/>
      <c r="BJ152" s="45"/>
      <c r="BK152" s="3"/>
      <c r="BL152" s="3"/>
      <c r="BM152" s="3"/>
      <c r="BN152" s="3"/>
      <c r="BO152" s="3"/>
      <c r="BP152" s="3"/>
      <c r="BQ152" s="3"/>
      <c r="BR152" s="3"/>
      <c r="BS152" s="3"/>
      <c r="BT152" s="3"/>
      <c r="BU152" s="3"/>
      <c r="BV152" s="3"/>
      <c r="BW152" s="3" t="s">
        <v>184</v>
      </c>
      <c r="BX152" s="3"/>
      <c r="BY152" s="3"/>
      <c r="BZ152" s="3"/>
      <c r="CA152" s="3"/>
      <c r="CB152" s="112" t="s">
        <v>185</v>
      </c>
      <c r="CC152" s="112" t="s">
        <v>109</v>
      </c>
      <c r="CD152" s="3"/>
      <c r="CE152" s="3"/>
      <c r="CF152" s="112"/>
      <c r="CG152" s="112"/>
      <c r="CH152" s="133"/>
      <c r="CI152" s="112" t="str">
        <f t="shared" si="24"/>
        <v>Sep'20</v>
      </c>
      <c r="CJ152" s="112" t="s">
        <v>107</v>
      </c>
      <c r="CK152" s="112"/>
      <c r="CL152" s="192"/>
    </row>
    <row r="153" spans="1:90" s="4" customFormat="1" ht="94.5" customHeight="1" x14ac:dyDescent="0.25">
      <c r="A153" s="3">
        <v>37</v>
      </c>
      <c r="B153" s="126" t="s">
        <v>836</v>
      </c>
      <c r="C153" s="109" t="s">
        <v>837</v>
      </c>
      <c r="D153" s="3" t="s">
        <v>156</v>
      </c>
      <c r="E153" s="59"/>
      <c r="F153" s="3">
        <v>9270375055</v>
      </c>
      <c r="G153" s="3" t="s">
        <v>100</v>
      </c>
      <c r="H153" s="3" t="s">
        <v>122</v>
      </c>
      <c r="I153" s="3" t="s">
        <v>102</v>
      </c>
      <c r="J153" s="3" t="s">
        <v>123</v>
      </c>
      <c r="K153" s="3" t="s">
        <v>838</v>
      </c>
      <c r="L153" s="3" t="s">
        <v>179</v>
      </c>
      <c r="M153" s="56">
        <v>44103</v>
      </c>
      <c r="N153" s="69">
        <f t="shared" ca="1" si="21"/>
        <v>2074</v>
      </c>
      <c r="O153" s="72" t="str">
        <f t="shared" ca="1" si="22"/>
        <v>&gt;5Y</v>
      </c>
      <c r="P153" s="198" t="s">
        <v>158</v>
      </c>
      <c r="Q153" s="3" t="s">
        <v>125</v>
      </c>
      <c r="R153" s="3" t="s">
        <v>108</v>
      </c>
      <c r="S153" s="129">
        <v>10</v>
      </c>
      <c r="T153" s="129">
        <v>30</v>
      </c>
      <c r="U153" s="129">
        <f t="shared" si="23"/>
        <v>40</v>
      </c>
      <c r="V153" s="3"/>
      <c r="W153" s="3" t="s">
        <v>171</v>
      </c>
      <c r="X153" s="3" t="s">
        <v>394</v>
      </c>
      <c r="Y153" s="60"/>
      <c r="Z153" s="3"/>
      <c r="AA153" s="3"/>
      <c r="AB153" s="3"/>
      <c r="AC153" s="3"/>
      <c r="AD153" s="249">
        <f t="shared" si="20"/>
        <v>46905</v>
      </c>
      <c r="AE153" s="249">
        <f t="shared" si="25"/>
        <v>46997</v>
      </c>
      <c r="AF153" s="3" t="s">
        <v>394</v>
      </c>
      <c r="AG153" s="3" t="s">
        <v>581</v>
      </c>
      <c r="AH153" s="3"/>
      <c r="AI153" s="3" t="s">
        <v>115</v>
      </c>
      <c r="AJ153" s="3" t="s">
        <v>115</v>
      </c>
      <c r="AK153" s="3" t="s">
        <v>181</v>
      </c>
      <c r="AL153" s="45">
        <v>46905</v>
      </c>
      <c r="AM153" s="3" t="s">
        <v>109</v>
      </c>
      <c r="AN153" s="3" t="s">
        <v>109</v>
      </c>
      <c r="AO153" s="3"/>
      <c r="AP153" s="3"/>
      <c r="AQ153" s="3"/>
      <c r="AR153" s="109" t="s">
        <v>545</v>
      </c>
      <c r="AS153" s="249">
        <v>46997</v>
      </c>
      <c r="AT153" s="3" t="s">
        <v>109</v>
      </c>
      <c r="AU153" s="3" t="s">
        <v>171</v>
      </c>
      <c r="AV153" s="3" t="s">
        <v>839</v>
      </c>
      <c r="AW153" s="3" t="s">
        <v>109</v>
      </c>
      <c r="AX153" s="3" t="s">
        <v>111</v>
      </c>
      <c r="AY153" s="3" t="s">
        <v>111</v>
      </c>
      <c r="AZ153" s="3" t="s">
        <v>111</v>
      </c>
      <c r="BA153" s="3" t="s">
        <v>111</v>
      </c>
      <c r="BB153" s="3" t="s">
        <v>111</v>
      </c>
      <c r="BC153" s="3" t="s">
        <v>111</v>
      </c>
      <c r="BD153" s="3" t="s">
        <v>111</v>
      </c>
      <c r="BE153" s="3" t="s">
        <v>111</v>
      </c>
      <c r="BF153" s="3" t="s">
        <v>111</v>
      </c>
      <c r="BG153" s="3" t="s">
        <v>111</v>
      </c>
      <c r="BH153" s="3" t="s">
        <v>111</v>
      </c>
      <c r="BI153" s="3" t="s">
        <v>111</v>
      </c>
      <c r="BJ153" s="3" t="s">
        <v>111</v>
      </c>
      <c r="BK153" s="3"/>
      <c r="BL153" s="3"/>
      <c r="BM153" s="3" t="s">
        <v>111</v>
      </c>
      <c r="BN153" s="3" t="s">
        <v>111</v>
      </c>
      <c r="BO153" s="3" t="s">
        <v>115</v>
      </c>
      <c r="BP153" s="3"/>
      <c r="BQ153" s="3"/>
      <c r="BR153" s="3"/>
      <c r="BS153" s="3"/>
      <c r="BT153" s="3"/>
      <c r="BU153" s="3"/>
      <c r="BV153" s="3"/>
      <c r="BW153" s="3" t="s">
        <v>184</v>
      </c>
      <c r="BX153" s="3"/>
      <c r="BY153" s="3"/>
      <c r="BZ153" s="3"/>
      <c r="CA153" s="3"/>
      <c r="CB153" s="112" t="s">
        <v>185</v>
      </c>
      <c r="CC153" s="112" t="s">
        <v>109</v>
      </c>
      <c r="CD153" s="3"/>
      <c r="CE153" s="3"/>
      <c r="CF153" s="112"/>
      <c r="CG153" s="112"/>
      <c r="CH153" s="133"/>
      <c r="CI153" s="112" t="str">
        <f t="shared" si="24"/>
        <v>Sep'20</v>
      </c>
      <c r="CJ153" s="112" t="s">
        <v>132</v>
      </c>
      <c r="CK153" s="112"/>
      <c r="CL153" s="192"/>
    </row>
    <row r="154" spans="1:90" s="4" customFormat="1" ht="94.5" customHeight="1" x14ac:dyDescent="0.25">
      <c r="A154" s="3">
        <v>36</v>
      </c>
      <c r="B154" s="126" t="s">
        <v>840</v>
      </c>
      <c r="C154" s="109" t="s">
        <v>841</v>
      </c>
      <c r="D154" s="3" t="s">
        <v>398</v>
      </c>
      <c r="E154" s="59"/>
      <c r="F154" s="3">
        <v>9822503220</v>
      </c>
      <c r="G154" s="3" t="s">
        <v>142</v>
      </c>
      <c r="H154" s="3" t="s">
        <v>101</v>
      </c>
      <c r="I154" s="3" t="s">
        <v>143</v>
      </c>
      <c r="J154" s="3" t="s">
        <v>162</v>
      </c>
      <c r="K154" s="3" t="s">
        <v>842</v>
      </c>
      <c r="L154" s="3" t="s">
        <v>179</v>
      </c>
      <c r="M154" s="56">
        <v>44103</v>
      </c>
      <c r="N154" s="69">
        <f t="shared" ca="1" si="21"/>
        <v>2074</v>
      </c>
      <c r="O154" s="72" t="str">
        <f t="shared" ca="1" si="22"/>
        <v>&gt;5Y</v>
      </c>
      <c r="P154" s="198" t="s">
        <v>106</v>
      </c>
      <c r="Q154" s="3" t="s">
        <v>107</v>
      </c>
      <c r="R154" s="3" t="s">
        <v>164</v>
      </c>
      <c r="S154" s="129">
        <v>30</v>
      </c>
      <c r="T154" s="129">
        <v>125</v>
      </c>
      <c r="U154" s="129">
        <f t="shared" si="23"/>
        <v>155</v>
      </c>
      <c r="V154" s="3"/>
      <c r="W154" s="3" t="s">
        <v>171</v>
      </c>
      <c r="X154" s="3" t="s">
        <v>394</v>
      </c>
      <c r="Y154" s="60"/>
      <c r="Z154" s="3" t="s">
        <v>274</v>
      </c>
      <c r="AA154" s="3"/>
      <c r="AB154" s="3"/>
      <c r="AC154" s="3"/>
      <c r="AD154" s="249">
        <f t="shared" si="20"/>
        <v>46905</v>
      </c>
      <c r="AE154" s="249">
        <f t="shared" si="25"/>
        <v>46997</v>
      </c>
      <c r="AF154" s="3" t="s">
        <v>394</v>
      </c>
      <c r="AG154" s="3" t="s">
        <v>721</v>
      </c>
      <c r="AH154" s="3"/>
      <c r="AI154" s="3"/>
      <c r="AJ154" s="3"/>
      <c r="AK154" s="3" t="s">
        <v>181</v>
      </c>
      <c r="AL154" s="45">
        <v>46905</v>
      </c>
      <c r="AM154" s="3"/>
      <c r="AN154" s="3"/>
      <c r="AO154" s="3"/>
      <c r="AP154" s="3"/>
      <c r="AQ154" s="3"/>
      <c r="AR154" s="109" t="s">
        <v>843</v>
      </c>
      <c r="AS154" s="249">
        <v>46997</v>
      </c>
      <c r="AT154" s="59"/>
      <c r="AU154" s="59" t="s">
        <v>171</v>
      </c>
      <c r="AV154" s="59"/>
      <c r="AW154" s="59" t="s">
        <v>171</v>
      </c>
      <c r="AX154" s="59"/>
      <c r="AY154" s="59"/>
      <c r="AZ154" s="59"/>
      <c r="BA154" s="59"/>
      <c r="BB154" s="59"/>
      <c r="BC154" s="59"/>
      <c r="BD154" s="59"/>
      <c r="BE154" s="59"/>
      <c r="BF154" s="59"/>
      <c r="BG154" s="59"/>
      <c r="BH154" s="59"/>
      <c r="BI154" s="243"/>
      <c r="BJ154" s="243"/>
      <c r="BK154" s="3"/>
      <c r="BL154" s="3"/>
      <c r="BM154" s="3"/>
      <c r="BN154" s="3"/>
      <c r="BO154" s="3"/>
      <c r="BP154" s="3"/>
      <c r="BQ154" s="3"/>
      <c r="BR154" s="3"/>
      <c r="BS154" s="3"/>
      <c r="BT154" s="3"/>
      <c r="BU154" s="3"/>
      <c r="BV154" s="3"/>
      <c r="BW154" s="3" t="s">
        <v>184</v>
      </c>
      <c r="BX154" s="3"/>
      <c r="BY154" s="3"/>
      <c r="BZ154" s="3"/>
      <c r="CA154" s="3"/>
      <c r="CB154" s="112" t="s">
        <v>185</v>
      </c>
      <c r="CC154" s="112" t="s">
        <v>109</v>
      </c>
      <c r="CD154" s="3"/>
      <c r="CE154" s="3"/>
      <c r="CF154" s="112"/>
      <c r="CG154" s="112"/>
      <c r="CH154" s="133"/>
      <c r="CI154" s="112" t="str">
        <f t="shared" si="24"/>
        <v>Sep'20</v>
      </c>
      <c r="CJ154" s="112" t="s">
        <v>107</v>
      </c>
      <c r="CK154" s="112"/>
      <c r="CL154" s="192"/>
    </row>
    <row r="155" spans="1:90" s="4" customFormat="1" ht="94.5" customHeight="1" x14ac:dyDescent="0.25">
      <c r="A155" s="3">
        <v>39</v>
      </c>
      <c r="B155" s="126" t="s">
        <v>844</v>
      </c>
      <c r="C155" s="109" t="s">
        <v>845</v>
      </c>
      <c r="D155" s="3" t="s">
        <v>156</v>
      </c>
      <c r="E155" s="59"/>
      <c r="F155" s="3">
        <v>9284220660</v>
      </c>
      <c r="G155" s="3" t="s">
        <v>142</v>
      </c>
      <c r="H155" s="3" t="s">
        <v>122</v>
      </c>
      <c r="I155" s="3" t="s">
        <v>143</v>
      </c>
      <c r="J155" s="3" t="s">
        <v>144</v>
      </c>
      <c r="K155" s="3" t="s">
        <v>846</v>
      </c>
      <c r="L155" s="3" t="s">
        <v>179</v>
      </c>
      <c r="M155" s="56">
        <v>44124</v>
      </c>
      <c r="N155" s="69">
        <f t="shared" ca="1" si="21"/>
        <v>2053</v>
      </c>
      <c r="O155" s="72" t="str">
        <f t="shared" ca="1" si="22"/>
        <v>&gt;5Y</v>
      </c>
      <c r="P155" s="198" t="s">
        <v>158</v>
      </c>
      <c r="Q155" s="3" t="s">
        <v>125</v>
      </c>
      <c r="R155" s="3" t="s">
        <v>108</v>
      </c>
      <c r="S155" s="129">
        <v>30</v>
      </c>
      <c r="T155" s="129">
        <v>120</v>
      </c>
      <c r="U155" s="129">
        <f t="shared" si="23"/>
        <v>150</v>
      </c>
      <c r="V155" s="3"/>
      <c r="W155" s="3" t="s">
        <v>171</v>
      </c>
      <c r="X155" s="3" t="s">
        <v>394</v>
      </c>
      <c r="Y155" s="60"/>
      <c r="Z155" s="3"/>
      <c r="AA155" s="3"/>
      <c r="AB155" s="3"/>
      <c r="AC155" s="3"/>
      <c r="AD155" s="249">
        <f t="shared" si="20"/>
        <v>46905</v>
      </c>
      <c r="AE155" s="249">
        <f t="shared" si="25"/>
        <v>46997</v>
      </c>
      <c r="AF155" s="3" t="s">
        <v>394</v>
      </c>
      <c r="AG155" s="3" t="s">
        <v>581</v>
      </c>
      <c r="AH155" s="3"/>
      <c r="AI155" s="3" t="s">
        <v>115</v>
      </c>
      <c r="AJ155" s="3" t="s">
        <v>115</v>
      </c>
      <c r="AK155" s="3" t="s">
        <v>181</v>
      </c>
      <c r="AL155" s="45">
        <v>46905</v>
      </c>
      <c r="AM155" s="3" t="s">
        <v>109</v>
      </c>
      <c r="AN155" s="3" t="s">
        <v>109</v>
      </c>
      <c r="AO155" s="3"/>
      <c r="AP155" s="3"/>
      <c r="AQ155" s="3"/>
      <c r="AR155" s="109" t="s">
        <v>545</v>
      </c>
      <c r="AS155" s="249">
        <v>46997</v>
      </c>
      <c r="AT155" s="3" t="s">
        <v>109</v>
      </c>
      <c r="AU155" s="3" t="s">
        <v>171</v>
      </c>
      <c r="AV155" s="3" t="s">
        <v>847</v>
      </c>
      <c r="AW155" s="3" t="s">
        <v>109</v>
      </c>
      <c r="AX155" s="3" t="s">
        <v>111</v>
      </c>
      <c r="AY155" s="3" t="s">
        <v>111</v>
      </c>
      <c r="AZ155" s="3" t="s">
        <v>111</v>
      </c>
      <c r="BA155" s="3" t="s">
        <v>111</v>
      </c>
      <c r="BB155" s="3" t="s">
        <v>111</v>
      </c>
      <c r="BC155" s="3" t="s">
        <v>111</v>
      </c>
      <c r="BD155" s="3" t="s">
        <v>111</v>
      </c>
      <c r="BE155" s="3" t="s">
        <v>111</v>
      </c>
      <c r="BF155" s="3" t="s">
        <v>111</v>
      </c>
      <c r="BG155" s="3" t="s">
        <v>111</v>
      </c>
      <c r="BH155" s="3" t="s">
        <v>111</v>
      </c>
      <c r="BI155" s="3" t="s">
        <v>111</v>
      </c>
      <c r="BJ155" s="3" t="s">
        <v>111</v>
      </c>
      <c r="BK155" s="3"/>
      <c r="BL155" s="3"/>
      <c r="BM155" s="3" t="s">
        <v>111</v>
      </c>
      <c r="BN155" s="3" t="s">
        <v>111</v>
      </c>
      <c r="BO155" s="3" t="s">
        <v>115</v>
      </c>
      <c r="BP155" s="3"/>
      <c r="BQ155" s="3"/>
      <c r="BR155" s="3"/>
      <c r="BS155" s="3"/>
      <c r="BT155" s="3"/>
      <c r="BU155" s="3"/>
      <c r="BV155" s="3"/>
      <c r="BW155" s="3" t="s">
        <v>184</v>
      </c>
      <c r="BX155" s="3"/>
      <c r="BY155" s="3"/>
      <c r="BZ155" s="3"/>
      <c r="CA155" s="3"/>
      <c r="CB155" s="112" t="s">
        <v>185</v>
      </c>
      <c r="CC155" s="112" t="s">
        <v>109</v>
      </c>
      <c r="CD155" s="3"/>
      <c r="CE155" s="3"/>
      <c r="CF155" s="112"/>
      <c r="CG155" s="112"/>
      <c r="CH155" s="133"/>
      <c r="CI155" s="112" t="str">
        <f t="shared" si="24"/>
        <v>Oct'20</v>
      </c>
      <c r="CJ155" s="112" t="s">
        <v>132</v>
      </c>
      <c r="CK155" s="112"/>
      <c r="CL155" s="192"/>
    </row>
    <row r="156" spans="1:90" s="4" customFormat="1" ht="94.5" customHeight="1" x14ac:dyDescent="0.25">
      <c r="A156" s="3">
        <v>38</v>
      </c>
      <c r="B156" s="126" t="s">
        <v>848</v>
      </c>
      <c r="C156" s="109" t="s">
        <v>849</v>
      </c>
      <c r="D156" s="3" t="s">
        <v>398</v>
      </c>
      <c r="E156" s="59"/>
      <c r="F156" s="3">
        <v>9604404204</v>
      </c>
      <c r="G156" s="3" t="s">
        <v>142</v>
      </c>
      <c r="H156" s="3" t="s">
        <v>101</v>
      </c>
      <c r="I156" s="3" t="s">
        <v>143</v>
      </c>
      <c r="J156" s="3" t="s">
        <v>162</v>
      </c>
      <c r="K156" s="3" t="s">
        <v>850</v>
      </c>
      <c r="L156" s="3" t="s">
        <v>179</v>
      </c>
      <c r="M156" s="56">
        <v>44124</v>
      </c>
      <c r="N156" s="69">
        <f t="shared" ca="1" si="21"/>
        <v>2053</v>
      </c>
      <c r="O156" s="72" t="str">
        <f t="shared" ca="1" si="22"/>
        <v>&gt;5Y</v>
      </c>
      <c r="P156" s="198" t="s">
        <v>106</v>
      </c>
      <c r="Q156" s="3" t="s">
        <v>180</v>
      </c>
      <c r="R156" s="3" t="s">
        <v>108</v>
      </c>
      <c r="S156" s="129">
        <v>30</v>
      </c>
      <c r="T156" s="129">
        <v>125</v>
      </c>
      <c r="U156" s="129">
        <f t="shared" si="23"/>
        <v>155</v>
      </c>
      <c r="V156" s="3"/>
      <c r="W156" s="3" t="s">
        <v>171</v>
      </c>
      <c r="X156" s="3" t="s">
        <v>394</v>
      </c>
      <c r="Y156" s="60"/>
      <c r="Z156" s="3" t="s">
        <v>274</v>
      </c>
      <c r="AA156" s="3"/>
      <c r="AB156" s="3"/>
      <c r="AC156" s="3"/>
      <c r="AD156" s="249">
        <f t="shared" ref="AD156:AD187" si="26">+AL156</f>
        <v>46905</v>
      </c>
      <c r="AE156" s="249">
        <f t="shared" si="25"/>
        <v>46997</v>
      </c>
      <c r="AF156" s="3" t="s">
        <v>394</v>
      </c>
      <c r="AG156" s="3" t="s">
        <v>581</v>
      </c>
      <c r="AH156" s="3"/>
      <c r="AI156" s="3"/>
      <c r="AJ156" s="3"/>
      <c r="AK156" s="3" t="s">
        <v>181</v>
      </c>
      <c r="AL156" s="45">
        <v>46905</v>
      </c>
      <c r="AM156" s="3"/>
      <c r="AN156" s="3"/>
      <c r="AO156" s="3"/>
      <c r="AP156" s="3"/>
      <c r="AQ156" s="3"/>
      <c r="AR156" s="109" t="s">
        <v>851</v>
      </c>
      <c r="AS156" s="249">
        <v>46997</v>
      </c>
      <c r="AT156" s="59"/>
      <c r="AU156" s="59" t="s">
        <v>171</v>
      </c>
      <c r="AV156" s="59"/>
      <c r="AW156" s="59" t="s">
        <v>171</v>
      </c>
      <c r="AX156" s="59"/>
      <c r="AY156" s="59"/>
      <c r="AZ156" s="59"/>
      <c r="BA156" s="59"/>
      <c r="BB156" s="59"/>
      <c r="BC156" s="59"/>
      <c r="BD156" s="59"/>
      <c r="BE156" s="59"/>
      <c r="BF156" s="59"/>
      <c r="BG156" s="59"/>
      <c r="BH156" s="59"/>
      <c r="BI156" s="243"/>
      <c r="BJ156" s="243"/>
      <c r="BK156" s="3"/>
      <c r="BL156" s="3"/>
      <c r="BM156" s="3"/>
      <c r="BN156" s="3"/>
      <c r="BO156" s="3"/>
      <c r="BP156" s="3"/>
      <c r="BQ156" s="3"/>
      <c r="BR156" s="3"/>
      <c r="BS156" s="3"/>
      <c r="BT156" s="3"/>
      <c r="BU156" s="3"/>
      <c r="BV156" s="3"/>
      <c r="BW156" s="3" t="s">
        <v>184</v>
      </c>
      <c r="BX156" s="3"/>
      <c r="BY156" s="3"/>
      <c r="BZ156" s="3"/>
      <c r="CA156" s="3"/>
      <c r="CB156" s="112" t="s">
        <v>185</v>
      </c>
      <c r="CC156" s="112" t="s">
        <v>109</v>
      </c>
      <c r="CD156" s="3"/>
      <c r="CE156" s="3"/>
      <c r="CF156" s="112"/>
      <c r="CG156" s="112"/>
      <c r="CH156" s="133"/>
      <c r="CI156" s="112" t="str">
        <f t="shared" si="24"/>
        <v>Oct'20</v>
      </c>
      <c r="CJ156" s="112" t="s">
        <v>186</v>
      </c>
      <c r="CK156" s="112"/>
      <c r="CL156" s="192"/>
    </row>
    <row r="157" spans="1:90" s="4" customFormat="1" ht="94.5" customHeight="1" x14ac:dyDescent="0.25">
      <c r="A157" s="3">
        <v>40</v>
      </c>
      <c r="B157" s="126" t="s">
        <v>852</v>
      </c>
      <c r="C157" s="109" t="s">
        <v>853</v>
      </c>
      <c r="D157" s="3" t="s">
        <v>141</v>
      </c>
      <c r="E157" s="59"/>
      <c r="F157" s="3">
        <v>9822458819</v>
      </c>
      <c r="G157" s="3" t="s">
        <v>142</v>
      </c>
      <c r="H157" s="3" t="s">
        <v>122</v>
      </c>
      <c r="I157" s="3" t="s">
        <v>143</v>
      </c>
      <c r="J157" s="3" t="s">
        <v>144</v>
      </c>
      <c r="K157" s="3" t="s">
        <v>854</v>
      </c>
      <c r="L157" s="3" t="s">
        <v>179</v>
      </c>
      <c r="M157" s="56">
        <v>44138</v>
      </c>
      <c r="N157" s="69">
        <f t="shared" ca="1" si="21"/>
        <v>2039</v>
      </c>
      <c r="O157" s="72" t="str">
        <f t="shared" ca="1" si="22"/>
        <v>&gt;5Y</v>
      </c>
      <c r="P157" s="198" t="s">
        <v>137</v>
      </c>
      <c r="Q157" s="3" t="s">
        <v>125</v>
      </c>
      <c r="R157" s="3" t="s">
        <v>108</v>
      </c>
      <c r="S157" s="129">
        <v>40</v>
      </c>
      <c r="T157" s="129">
        <v>110</v>
      </c>
      <c r="U157" s="129">
        <f t="shared" si="23"/>
        <v>150</v>
      </c>
      <c r="V157" s="3"/>
      <c r="W157" s="3" t="s">
        <v>171</v>
      </c>
      <c r="X157" s="3" t="s">
        <v>394</v>
      </c>
      <c r="Y157" s="60"/>
      <c r="Z157" s="3"/>
      <c r="AA157" s="3"/>
      <c r="AB157" s="3"/>
      <c r="AC157" s="3"/>
      <c r="AD157" s="249">
        <f t="shared" si="26"/>
        <v>46905</v>
      </c>
      <c r="AE157" s="249">
        <f t="shared" si="25"/>
        <v>46997</v>
      </c>
      <c r="AF157" s="3" t="s">
        <v>394</v>
      </c>
      <c r="AG157" s="3" t="s">
        <v>721</v>
      </c>
      <c r="AH157" s="3"/>
      <c r="AI157" s="3" t="s">
        <v>115</v>
      </c>
      <c r="AJ157" s="3" t="s">
        <v>115</v>
      </c>
      <c r="AK157" s="3" t="s">
        <v>181</v>
      </c>
      <c r="AL157" s="45">
        <v>46905</v>
      </c>
      <c r="AM157" s="3" t="s">
        <v>109</v>
      </c>
      <c r="AN157" s="3" t="s">
        <v>109</v>
      </c>
      <c r="AO157" s="3"/>
      <c r="AP157" s="3"/>
      <c r="AQ157" s="3"/>
      <c r="AR157" s="109" t="s">
        <v>855</v>
      </c>
      <c r="AS157" s="249">
        <v>46997</v>
      </c>
      <c r="AT157" s="3" t="s">
        <v>146</v>
      </c>
      <c r="AU157" s="3" t="s">
        <v>419</v>
      </c>
      <c r="AV157" s="109" t="s">
        <v>856</v>
      </c>
      <c r="AW157" s="109" t="s">
        <v>857</v>
      </c>
      <c r="AX157" s="3" t="s">
        <v>171</v>
      </c>
      <c r="AY157" s="3" t="s">
        <v>111</v>
      </c>
      <c r="AZ157" s="3" t="s">
        <v>111</v>
      </c>
      <c r="BA157" s="3" t="s">
        <v>111</v>
      </c>
      <c r="BB157" s="3" t="s">
        <v>111</v>
      </c>
      <c r="BC157" s="3" t="s">
        <v>111</v>
      </c>
      <c r="BD157" s="3" t="s">
        <v>111</v>
      </c>
      <c r="BE157" s="3" t="s">
        <v>111</v>
      </c>
      <c r="BF157" s="3" t="s">
        <v>111</v>
      </c>
      <c r="BG157" s="3" t="s">
        <v>111</v>
      </c>
      <c r="BH157" s="3" t="s">
        <v>111</v>
      </c>
      <c r="BI157" s="45" t="s">
        <v>111</v>
      </c>
      <c r="BJ157" s="3" t="s">
        <v>111</v>
      </c>
      <c r="BK157" s="3"/>
      <c r="BL157" s="3"/>
      <c r="BM157" s="3" t="s">
        <v>111</v>
      </c>
      <c r="BN157" s="3" t="s">
        <v>111</v>
      </c>
      <c r="BO157" s="3" t="s">
        <v>115</v>
      </c>
      <c r="BP157" s="3"/>
      <c r="BQ157" s="3"/>
      <c r="BR157" s="3"/>
      <c r="BS157" s="3"/>
      <c r="BT157" s="3"/>
      <c r="BU157" s="3"/>
      <c r="BV157" s="3"/>
      <c r="BW157" s="3" t="s">
        <v>184</v>
      </c>
      <c r="BX157" s="3"/>
      <c r="BY157" s="3"/>
      <c r="BZ157" s="3"/>
      <c r="CA157" s="3"/>
      <c r="CB157" s="112" t="s">
        <v>185</v>
      </c>
      <c r="CC157" s="112" t="s">
        <v>109</v>
      </c>
      <c r="CD157" s="3"/>
      <c r="CE157" s="3"/>
      <c r="CF157" s="112"/>
      <c r="CG157" s="112"/>
      <c r="CH157" s="133"/>
      <c r="CI157" s="112" t="str">
        <f t="shared" si="24"/>
        <v>Nov'20</v>
      </c>
      <c r="CJ157" s="112" t="s">
        <v>132</v>
      </c>
      <c r="CK157" s="112"/>
      <c r="CL157" s="192"/>
    </row>
    <row r="158" spans="1:90" s="4" customFormat="1" ht="66.75" customHeight="1" x14ac:dyDescent="0.25">
      <c r="A158" s="3">
        <v>41</v>
      </c>
      <c r="B158" s="126" t="s">
        <v>858</v>
      </c>
      <c r="C158" s="109" t="s">
        <v>859</v>
      </c>
      <c r="D158" s="3" t="s">
        <v>150</v>
      </c>
      <c r="E158" s="59"/>
      <c r="F158" s="3" t="s">
        <v>860</v>
      </c>
      <c r="G158" s="3" t="s">
        <v>142</v>
      </c>
      <c r="H158" s="3" t="s">
        <v>101</v>
      </c>
      <c r="I158" s="3" t="s">
        <v>143</v>
      </c>
      <c r="J158" s="3" t="s">
        <v>151</v>
      </c>
      <c r="K158" s="3" t="s">
        <v>861</v>
      </c>
      <c r="L158" s="3" t="s">
        <v>179</v>
      </c>
      <c r="M158" s="56">
        <v>44140</v>
      </c>
      <c r="N158" s="69">
        <f t="shared" ca="1" si="21"/>
        <v>2037</v>
      </c>
      <c r="O158" s="72" t="str">
        <f t="shared" ca="1" si="22"/>
        <v>&gt;5Y</v>
      </c>
      <c r="P158" s="198" t="s">
        <v>106</v>
      </c>
      <c r="Q158" s="3" t="s">
        <v>125</v>
      </c>
      <c r="R158" s="3" t="s">
        <v>108</v>
      </c>
      <c r="S158" s="129">
        <v>30</v>
      </c>
      <c r="T158" s="129">
        <v>150</v>
      </c>
      <c r="U158" s="129">
        <f t="shared" si="23"/>
        <v>180</v>
      </c>
      <c r="V158" s="3"/>
      <c r="W158" s="3" t="s">
        <v>171</v>
      </c>
      <c r="X158" s="3" t="s">
        <v>394</v>
      </c>
      <c r="Y158" s="60"/>
      <c r="Z158" s="3" t="s">
        <v>274</v>
      </c>
      <c r="AA158" s="3"/>
      <c r="AB158" s="3"/>
      <c r="AC158" s="3"/>
      <c r="AD158" s="249">
        <f t="shared" si="26"/>
        <v>46905</v>
      </c>
      <c r="AE158" s="249">
        <f t="shared" si="25"/>
        <v>46997</v>
      </c>
      <c r="AF158" s="3" t="s">
        <v>394</v>
      </c>
      <c r="AG158" s="3" t="s">
        <v>721</v>
      </c>
      <c r="AH158" s="3"/>
      <c r="AI158" s="3"/>
      <c r="AJ158" s="3"/>
      <c r="AK158" s="3" t="s">
        <v>181</v>
      </c>
      <c r="AL158" s="45">
        <v>46905</v>
      </c>
      <c r="AM158" s="3"/>
      <c r="AN158" s="3"/>
      <c r="AO158" s="3"/>
      <c r="AP158" s="3"/>
      <c r="AQ158" s="3"/>
      <c r="AR158" s="109" t="s">
        <v>862</v>
      </c>
      <c r="AS158" s="249">
        <v>46997</v>
      </c>
      <c r="AT158" s="3"/>
      <c r="AU158" s="59" t="s">
        <v>171</v>
      </c>
      <c r="AV158" s="3" t="s">
        <v>863</v>
      </c>
      <c r="AW158" s="59" t="s">
        <v>171</v>
      </c>
      <c r="AX158" s="3"/>
      <c r="AY158" s="3"/>
      <c r="AZ158" s="3"/>
      <c r="BA158" s="3"/>
      <c r="BB158" s="3">
        <v>0</v>
      </c>
      <c r="BC158" s="3"/>
      <c r="BD158" s="3"/>
      <c r="BE158" s="3"/>
      <c r="BF158" s="3"/>
      <c r="BG158" s="59"/>
      <c r="BH158" s="59"/>
      <c r="BI158" s="45"/>
      <c r="BJ158" s="45"/>
      <c r="BK158" s="3"/>
      <c r="BL158" s="3"/>
      <c r="BM158" s="3"/>
      <c r="BN158" s="3"/>
      <c r="BO158" s="3"/>
      <c r="BP158" s="3"/>
      <c r="BQ158" s="3"/>
      <c r="BR158" s="3"/>
      <c r="BS158" s="3"/>
      <c r="BT158" s="3"/>
      <c r="BU158" s="3"/>
      <c r="BV158" s="3"/>
      <c r="BW158" s="3" t="s">
        <v>184</v>
      </c>
      <c r="BX158" s="3"/>
      <c r="BY158" s="3"/>
      <c r="BZ158" s="3"/>
      <c r="CA158" s="3"/>
      <c r="CB158" s="112" t="s">
        <v>185</v>
      </c>
      <c r="CC158" s="112" t="s">
        <v>109</v>
      </c>
      <c r="CD158" s="3"/>
      <c r="CE158" s="3"/>
      <c r="CF158" s="112"/>
      <c r="CG158" s="112"/>
      <c r="CH158" s="133"/>
      <c r="CI158" s="112" t="str">
        <f t="shared" si="24"/>
        <v>Nov'20</v>
      </c>
      <c r="CJ158" s="112" t="s">
        <v>132</v>
      </c>
      <c r="CK158" s="112"/>
      <c r="CL158" s="192"/>
    </row>
    <row r="159" spans="1:90" s="4" customFormat="1" ht="94.5" customHeight="1" x14ac:dyDescent="0.25">
      <c r="A159" s="3">
        <v>42</v>
      </c>
      <c r="B159" s="126" t="s">
        <v>864</v>
      </c>
      <c r="C159" s="109" t="s">
        <v>865</v>
      </c>
      <c r="D159" s="3" t="s">
        <v>220</v>
      </c>
      <c r="E159" s="59"/>
      <c r="F159" s="3">
        <v>9175483051</v>
      </c>
      <c r="G159" s="3" t="s">
        <v>142</v>
      </c>
      <c r="H159" s="3" t="s">
        <v>122</v>
      </c>
      <c r="I159" s="3" t="s">
        <v>143</v>
      </c>
      <c r="J159" s="3" t="s">
        <v>144</v>
      </c>
      <c r="K159" s="3" t="s">
        <v>866</v>
      </c>
      <c r="L159" s="3" t="s">
        <v>179</v>
      </c>
      <c r="M159" s="56">
        <v>44221</v>
      </c>
      <c r="N159" s="69">
        <f t="shared" ca="1" si="21"/>
        <v>1956</v>
      </c>
      <c r="O159" s="72" t="str">
        <f t="shared" ca="1" si="22"/>
        <v>&gt;5Y</v>
      </c>
      <c r="P159" s="198" t="s">
        <v>106</v>
      </c>
      <c r="Q159" s="3" t="s">
        <v>125</v>
      </c>
      <c r="R159" s="3" t="s">
        <v>108</v>
      </c>
      <c r="S159" s="129">
        <v>50</v>
      </c>
      <c r="T159" s="129">
        <v>100</v>
      </c>
      <c r="U159" s="129">
        <f t="shared" si="23"/>
        <v>150</v>
      </c>
      <c r="V159" s="3"/>
      <c r="W159" s="3" t="s">
        <v>171</v>
      </c>
      <c r="X159" s="3" t="s">
        <v>394</v>
      </c>
      <c r="Y159" s="60"/>
      <c r="Z159" s="3"/>
      <c r="AA159" s="3"/>
      <c r="AB159" s="3"/>
      <c r="AC159" s="3"/>
      <c r="AD159" s="249">
        <f t="shared" si="26"/>
        <v>46905</v>
      </c>
      <c r="AE159" s="249">
        <f t="shared" si="25"/>
        <v>46997</v>
      </c>
      <c r="AF159" s="3" t="s">
        <v>394</v>
      </c>
      <c r="AG159" s="3" t="s">
        <v>581</v>
      </c>
      <c r="AH159" s="3"/>
      <c r="AI159" s="3" t="s">
        <v>115</v>
      </c>
      <c r="AJ159" s="3" t="s">
        <v>115</v>
      </c>
      <c r="AK159" s="3" t="s">
        <v>181</v>
      </c>
      <c r="AL159" s="45">
        <v>46905</v>
      </c>
      <c r="AM159" s="3" t="s">
        <v>109</v>
      </c>
      <c r="AN159" s="3" t="s">
        <v>109</v>
      </c>
      <c r="AO159" s="3"/>
      <c r="AP159" s="3"/>
      <c r="AQ159" s="3"/>
      <c r="AR159" s="109" t="s">
        <v>545</v>
      </c>
      <c r="AS159" s="249">
        <v>46997</v>
      </c>
      <c r="AT159" s="3" t="s">
        <v>109</v>
      </c>
      <c r="AU159" s="3" t="s">
        <v>171</v>
      </c>
      <c r="AV159" s="3" t="s">
        <v>867</v>
      </c>
      <c r="AW159" s="3" t="s">
        <v>798</v>
      </c>
      <c r="AX159" s="3" t="s">
        <v>181</v>
      </c>
      <c r="AY159" s="3"/>
      <c r="AZ159" s="3"/>
      <c r="BA159" s="3"/>
      <c r="BB159" s="3">
        <v>0</v>
      </c>
      <c r="BC159" s="3"/>
      <c r="BD159" s="3"/>
      <c r="BE159" s="3"/>
      <c r="BF159" s="3"/>
      <c r="BG159" s="59"/>
      <c r="BH159" s="59"/>
      <c r="BI159" s="45"/>
      <c r="BJ159" s="45"/>
      <c r="BK159" s="3"/>
      <c r="BL159" s="3"/>
      <c r="BM159" s="3" t="s">
        <v>111</v>
      </c>
      <c r="BN159" s="3" t="s">
        <v>111</v>
      </c>
      <c r="BO159" s="3" t="s">
        <v>115</v>
      </c>
      <c r="BP159" s="3"/>
      <c r="BQ159" s="3"/>
      <c r="BR159" s="3"/>
      <c r="BS159" s="3"/>
      <c r="BT159" s="3"/>
      <c r="BU159" s="3"/>
      <c r="BV159" s="3"/>
      <c r="BW159" s="3" t="s">
        <v>184</v>
      </c>
      <c r="BX159" s="3"/>
      <c r="BY159" s="3"/>
      <c r="BZ159" s="3"/>
      <c r="CA159" s="3"/>
      <c r="CB159" s="112" t="s">
        <v>185</v>
      </c>
      <c r="CC159" s="112" t="s">
        <v>109</v>
      </c>
      <c r="CD159" s="3"/>
      <c r="CE159" s="3"/>
      <c r="CF159" s="112"/>
      <c r="CG159" s="112"/>
      <c r="CH159" s="133"/>
      <c r="CI159" s="112" t="str">
        <f t="shared" si="24"/>
        <v>Jan'21</v>
      </c>
      <c r="CJ159" s="112" t="s">
        <v>132</v>
      </c>
      <c r="CK159" s="112"/>
      <c r="CL159" s="192"/>
    </row>
    <row r="160" spans="1:90" s="4" customFormat="1" ht="94.5" customHeight="1" x14ac:dyDescent="0.25">
      <c r="A160" s="3">
        <v>44</v>
      </c>
      <c r="B160" s="126" t="s">
        <v>868</v>
      </c>
      <c r="C160" s="109" t="s">
        <v>869</v>
      </c>
      <c r="D160" s="3" t="s">
        <v>156</v>
      </c>
      <c r="E160" s="59"/>
      <c r="F160" s="3">
        <v>9822287715</v>
      </c>
      <c r="G160" s="3" t="s">
        <v>142</v>
      </c>
      <c r="H160" s="3" t="s">
        <v>122</v>
      </c>
      <c r="I160" s="3" t="s">
        <v>143</v>
      </c>
      <c r="J160" s="3" t="s">
        <v>144</v>
      </c>
      <c r="K160" s="3" t="s">
        <v>870</v>
      </c>
      <c r="L160" s="3" t="s">
        <v>179</v>
      </c>
      <c r="M160" s="56">
        <v>44417</v>
      </c>
      <c r="N160" s="69">
        <f t="shared" ca="1" si="21"/>
        <v>1760</v>
      </c>
      <c r="O160" s="72" t="str">
        <f t="shared" ca="1" si="22"/>
        <v>4-5Y</v>
      </c>
      <c r="P160" s="198" t="s">
        <v>158</v>
      </c>
      <c r="Q160" s="3" t="s">
        <v>125</v>
      </c>
      <c r="R160" s="3" t="s">
        <v>108</v>
      </c>
      <c r="S160" s="129">
        <v>30</v>
      </c>
      <c r="T160" s="129">
        <v>120</v>
      </c>
      <c r="U160" s="129">
        <f t="shared" si="23"/>
        <v>150</v>
      </c>
      <c r="V160" s="3"/>
      <c r="W160" s="3" t="s">
        <v>171</v>
      </c>
      <c r="X160" s="3" t="s">
        <v>394</v>
      </c>
      <c r="Y160" s="60"/>
      <c r="Z160" s="3"/>
      <c r="AA160" s="3"/>
      <c r="AB160" s="3"/>
      <c r="AC160" s="3"/>
      <c r="AD160" s="249">
        <f t="shared" si="26"/>
        <v>46905</v>
      </c>
      <c r="AE160" s="249">
        <f t="shared" si="25"/>
        <v>46997</v>
      </c>
      <c r="AF160" s="3" t="s">
        <v>394</v>
      </c>
      <c r="AG160" s="3" t="s">
        <v>581</v>
      </c>
      <c r="AH160" s="3"/>
      <c r="AI160" s="3" t="s">
        <v>115</v>
      </c>
      <c r="AJ160" s="3" t="s">
        <v>115</v>
      </c>
      <c r="AK160" s="3" t="s">
        <v>181</v>
      </c>
      <c r="AL160" s="45">
        <v>46905</v>
      </c>
      <c r="AM160" s="3" t="s">
        <v>109</v>
      </c>
      <c r="AN160" s="3" t="s">
        <v>109</v>
      </c>
      <c r="AO160" s="3"/>
      <c r="AP160" s="3"/>
      <c r="AQ160" s="3"/>
      <c r="AR160" s="109" t="s">
        <v>545</v>
      </c>
      <c r="AS160" s="249">
        <v>46997</v>
      </c>
      <c r="AT160" s="3" t="s">
        <v>109</v>
      </c>
      <c r="AU160" s="3" t="s">
        <v>171</v>
      </c>
      <c r="AV160" s="3" t="s">
        <v>839</v>
      </c>
      <c r="AW160" s="3" t="s">
        <v>109</v>
      </c>
      <c r="AX160" s="3" t="s">
        <v>111</v>
      </c>
      <c r="AY160" s="3" t="s">
        <v>111</v>
      </c>
      <c r="AZ160" s="3" t="s">
        <v>111</v>
      </c>
      <c r="BA160" s="3" t="s">
        <v>111</v>
      </c>
      <c r="BB160" s="3" t="s">
        <v>111</v>
      </c>
      <c r="BC160" s="3" t="s">
        <v>111</v>
      </c>
      <c r="BD160" s="3" t="s">
        <v>111</v>
      </c>
      <c r="BE160" s="3" t="s">
        <v>111</v>
      </c>
      <c r="BF160" s="3" t="s">
        <v>111</v>
      </c>
      <c r="BG160" s="3" t="s">
        <v>111</v>
      </c>
      <c r="BH160" s="3" t="s">
        <v>111</v>
      </c>
      <c r="BI160" s="3" t="s">
        <v>111</v>
      </c>
      <c r="BJ160" s="3" t="s">
        <v>111</v>
      </c>
      <c r="BK160" s="3"/>
      <c r="BL160" s="3"/>
      <c r="BM160" s="3" t="s">
        <v>111</v>
      </c>
      <c r="BN160" s="3" t="s">
        <v>111</v>
      </c>
      <c r="BO160" s="3" t="s">
        <v>115</v>
      </c>
      <c r="BP160" s="3"/>
      <c r="BQ160" s="3"/>
      <c r="BR160" s="3"/>
      <c r="BS160" s="3"/>
      <c r="BT160" s="3"/>
      <c r="BU160" s="3"/>
      <c r="BV160" s="3"/>
      <c r="BW160" s="3" t="s">
        <v>184</v>
      </c>
      <c r="BX160" s="3"/>
      <c r="BY160" s="3"/>
      <c r="BZ160" s="3"/>
      <c r="CA160" s="3"/>
      <c r="CB160" s="112" t="s">
        <v>185</v>
      </c>
      <c r="CC160" s="112" t="s">
        <v>109</v>
      </c>
      <c r="CD160" s="3"/>
      <c r="CE160" s="3"/>
      <c r="CF160" s="112"/>
      <c r="CG160" s="112"/>
      <c r="CH160" s="133"/>
      <c r="CI160" s="112" t="str">
        <f t="shared" si="24"/>
        <v>Aug'21</v>
      </c>
      <c r="CJ160" s="112" t="s">
        <v>132</v>
      </c>
      <c r="CK160" s="112"/>
      <c r="CL160" s="192"/>
    </row>
    <row r="161" spans="1:90" s="4" customFormat="1" ht="94.5" customHeight="1" x14ac:dyDescent="0.25">
      <c r="A161" s="3">
        <v>45</v>
      </c>
      <c r="B161" s="126" t="s">
        <v>871</v>
      </c>
      <c r="C161" s="109" t="s">
        <v>872</v>
      </c>
      <c r="D161" s="3" t="s">
        <v>121</v>
      </c>
      <c r="E161" s="59"/>
      <c r="F161" s="3">
        <v>9604104321</v>
      </c>
      <c r="G161" s="3" t="s">
        <v>100</v>
      </c>
      <c r="H161" s="3" t="s">
        <v>101</v>
      </c>
      <c r="I161" s="3" t="s">
        <v>102</v>
      </c>
      <c r="J161" s="3" t="s">
        <v>776</v>
      </c>
      <c r="K161" s="3" t="s">
        <v>873</v>
      </c>
      <c r="L161" s="3" t="s">
        <v>179</v>
      </c>
      <c r="M161" s="56">
        <v>44501</v>
      </c>
      <c r="N161" s="69">
        <f t="shared" ca="1" si="21"/>
        <v>1676</v>
      </c>
      <c r="O161" s="72" t="str">
        <f t="shared" ca="1" si="22"/>
        <v>4-5Y</v>
      </c>
      <c r="P161" s="198" t="s">
        <v>106</v>
      </c>
      <c r="Q161" s="3" t="s">
        <v>107</v>
      </c>
      <c r="R161" s="3" t="s">
        <v>164</v>
      </c>
      <c r="S161" s="129">
        <v>6</v>
      </c>
      <c r="T161" s="129">
        <v>40</v>
      </c>
      <c r="U161" s="129">
        <f t="shared" si="23"/>
        <v>46</v>
      </c>
      <c r="V161" s="3"/>
      <c r="W161" s="3" t="s">
        <v>171</v>
      </c>
      <c r="X161" s="3" t="s">
        <v>394</v>
      </c>
      <c r="Y161" s="60"/>
      <c r="Z161" s="3" t="s">
        <v>274</v>
      </c>
      <c r="AA161" s="3"/>
      <c r="AB161" s="3"/>
      <c r="AC161" s="3"/>
      <c r="AD161" s="249">
        <f t="shared" si="26"/>
        <v>46905</v>
      </c>
      <c r="AE161" s="249">
        <f t="shared" si="25"/>
        <v>46997</v>
      </c>
      <c r="AF161" s="3" t="s">
        <v>394</v>
      </c>
      <c r="AG161" s="3" t="s">
        <v>581</v>
      </c>
      <c r="AH161" s="3"/>
      <c r="AI161" s="3"/>
      <c r="AJ161" s="3"/>
      <c r="AK161" s="3" t="s">
        <v>181</v>
      </c>
      <c r="AL161" s="45">
        <v>46905</v>
      </c>
      <c r="AM161" s="3"/>
      <c r="AN161" s="3"/>
      <c r="AO161" s="3"/>
      <c r="AP161" s="3"/>
      <c r="AQ161" s="3"/>
      <c r="AR161" s="109" t="s">
        <v>713</v>
      </c>
      <c r="AS161" s="249">
        <v>46997</v>
      </c>
      <c r="AT161" s="3" t="s">
        <v>109</v>
      </c>
      <c r="AU161" s="3" t="s">
        <v>298</v>
      </c>
      <c r="AV161" s="3" t="s">
        <v>874</v>
      </c>
      <c r="AW161" s="3" t="s">
        <v>111</v>
      </c>
      <c r="AX161" s="3" t="s">
        <v>109</v>
      </c>
      <c r="AY161" s="3" t="s">
        <v>114</v>
      </c>
      <c r="AZ161" s="3" t="s">
        <v>130</v>
      </c>
      <c r="BA161" s="3" t="s">
        <v>130</v>
      </c>
      <c r="BB161" s="3" t="s">
        <v>130</v>
      </c>
      <c r="BC161" s="3" t="s">
        <v>130</v>
      </c>
      <c r="BD161" s="3" t="s">
        <v>130</v>
      </c>
      <c r="BE161" s="3" t="s">
        <v>111</v>
      </c>
      <c r="BF161" s="3" t="s">
        <v>111</v>
      </c>
      <c r="BG161" s="59" t="s">
        <v>332</v>
      </c>
      <c r="BH161" s="59" t="s">
        <v>171</v>
      </c>
      <c r="BI161" s="45">
        <v>46905</v>
      </c>
      <c r="BJ161" s="45">
        <v>46935</v>
      </c>
      <c r="BK161" s="3" t="s">
        <v>109</v>
      </c>
      <c r="BL161" s="3" t="s">
        <v>199</v>
      </c>
      <c r="BM161" s="3"/>
      <c r="BN161" s="3"/>
      <c r="BO161" s="3"/>
      <c r="BP161" s="3"/>
      <c r="BQ161" s="3"/>
      <c r="BR161" s="3"/>
      <c r="BS161" s="3"/>
      <c r="BT161" s="3"/>
      <c r="BU161" s="3"/>
      <c r="BV161" s="3"/>
      <c r="BW161" s="3" t="s">
        <v>184</v>
      </c>
      <c r="BX161" s="3"/>
      <c r="BY161" s="3"/>
      <c r="BZ161" s="3"/>
      <c r="CA161" s="3"/>
      <c r="CB161" s="112" t="s">
        <v>185</v>
      </c>
      <c r="CC161" s="112" t="s">
        <v>109</v>
      </c>
      <c r="CD161" s="3"/>
      <c r="CE161" s="3"/>
      <c r="CF161" s="112"/>
      <c r="CG161" s="112"/>
      <c r="CH161" s="133"/>
      <c r="CI161" s="112" t="str">
        <f t="shared" si="24"/>
        <v>Nov'21</v>
      </c>
      <c r="CJ161" s="112" t="s">
        <v>107</v>
      </c>
      <c r="CK161" s="255"/>
      <c r="CL161" s="192"/>
    </row>
    <row r="162" spans="1:90" s="4" customFormat="1" ht="94.5" customHeight="1" x14ac:dyDescent="0.25">
      <c r="A162" s="3">
        <v>46</v>
      </c>
      <c r="B162" s="126" t="s">
        <v>875</v>
      </c>
      <c r="C162" s="109" t="s">
        <v>876</v>
      </c>
      <c r="D162" s="3" t="s">
        <v>135</v>
      </c>
      <c r="E162" s="59"/>
      <c r="F162" s="3">
        <v>7755900181</v>
      </c>
      <c r="G162" s="3" t="s">
        <v>100</v>
      </c>
      <c r="H162" s="3" t="s">
        <v>122</v>
      </c>
      <c r="I162" s="3" t="s">
        <v>102</v>
      </c>
      <c r="J162" s="3" t="s">
        <v>123</v>
      </c>
      <c r="K162" s="3" t="s">
        <v>877</v>
      </c>
      <c r="L162" s="3" t="s">
        <v>179</v>
      </c>
      <c r="M162" s="56">
        <v>44714</v>
      </c>
      <c r="N162" s="69">
        <f t="shared" ca="1" si="21"/>
        <v>1463</v>
      </c>
      <c r="O162" s="72" t="str">
        <f t="shared" ca="1" si="22"/>
        <v>4-5Y</v>
      </c>
      <c r="P162" s="198" t="s">
        <v>137</v>
      </c>
      <c r="Q162" s="3" t="s">
        <v>125</v>
      </c>
      <c r="R162" s="3" t="s">
        <v>108</v>
      </c>
      <c r="S162" s="129">
        <v>6</v>
      </c>
      <c r="T162" s="129">
        <v>40</v>
      </c>
      <c r="U162" s="129">
        <f t="shared" si="23"/>
        <v>46</v>
      </c>
      <c r="V162" s="3"/>
      <c r="W162" s="3" t="s">
        <v>171</v>
      </c>
      <c r="X162" s="3" t="s">
        <v>394</v>
      </c>
      <c r="Y162" s="60"/>
      <c r="Z162" s="3"/>
      <c r="AA162" s="3"/>
      <c r="AB162" s="3"/>
      <c r="AC162" s="3"/>
      <c r="AD162" s="249">
        <f t="shared" si="26"/>
        <v>46905</v>
      </c>
      <c r="AE162" s="249">
        <f t="shared" si="25"/>
        <v>46997</v>
      </c>
      <c r="AF162" s="3" t="s">
        <v>394</v>
      </c>
      <c r="AG162" s="3" t="s">
        <v>581</v>
      </c>
      <c r="AH162" s="3"/>
      <c r="AI162" s="3" t="s">
        <v>115</v>
      </c>
      <c r="AJ162" s="3" t="s">
        <v>115</v>
      </c>
      <c r="AK162" s="3" t="s">
        <v>181</v>
      </c>
      <c r="AL162" s="45">
        <v>46905</v>
      </c>
      <c r="AM162" s="3" t="s">
        <v>109</v>
      </c>
      <c r="AN162" s="3" t="s">
        <v>109</v>
      </c>
      <c r="AO162" s="3"/>
      <c r="AP162" s="3"/>
      <c r="AQ162" s="3"/>
      <c r="AR162" s="109" t="s">
        <v>878</v>
      </c>
      <c r="AS162" s="249">
        <v>46997</v>
      </c>
      <c r="AT162" s="3" t="s">
        <v>109</v>
      </c>
      <c r="AU162" s="3" t="s">
        <v>171</v>
      </c>
      <c r="AV162" s="109" t="s">
        <v>878</v>
      </c>
      <c r="AW162" s="3" t="s">
        <v>171</v>
      </c>
      <c r="AX162" s="3" t="s">
        <v>171</v>
      </c>
      <c r="AY162" s="3" t="s">
        <v>111</v>
      </c>
      <c r="AZ162" s="3" t="s">
        <v>111</v>
      </c>
      <c r="BA162" s="3" t="s">
        <v>111</v>
      </c>
      <c r="BB162" s="3" t="s">
        <v>111</v>
      </c>
      <c r="BC162" s="3" t="s">
        <v>111</v>
      </c>
      <c r="BD162" s="3" t="s">
        <v>111</v>
      </c>
      <c r="BE162" s="3" t="s">
        <v>111</v>
      </c>
      <c r="BF162" s="3" t="s">
        <v>111</v>
      </c>
      <c r="BG162" s="3" t="s">
        <v>111</v>
      </c>
      <c r="BH162" s="3" t="s">
        <v>171</v>
      </c>
      <c r="BI162" s="3" t="s">
        <v>111</v>
      </c>
      <c r="BJ162" s="3" t="s">
        <v>111</v>
      </c>
      <c r="BK162" s="3"/>
      <c r="BL162" s="3"/>
      <c r="BM162" s="3" t="s">
        <v>111</v>
      </c>
      <c r="BN162" s="3" t="s">
        <v>111</v>
      </c>
      <c r="BO162" s="3" t="s">
        <v>115</v>
      </c>
      <c r="BP162" s="3"/>
      <c r="BQ162" s="3"/>
      <c r="BR162" s="3"/>
      <c r="BS162" s="3"/>
      <c r="BT162" s="3"/>
      <c r="BU162" s="3"/>
      <c r="BV162" s="3"/>
      <c r="BW162" s="3" t="s">
        <v>184</v>
      </c>
      <c r="BX162" s="3"/>
      <c r="BY162" s="3"/>
      <c r="BZ162" s="3"/>
      <c r="CA162" s="3"/>
      <c r="CB162" s="112" t="s">
        <v>185</v>
      </c>
      <c r="CC162" s="112" t="s">
        <v>109</v>
      </c>
      <c r="CD162" s="3"/>
      <c r="CE162" s="3"/>
      <c r="CF162" s="112"/>
      <c r="CG162" s="112"/>
      <c r="CH162" s="133"/>
      <c r="CI162" s="112" t="str">
        <f t="shared" si="24"/>
        <v>Jun'22</v>
      </c>
      <c r="CJ162" s="112" t="s">
        <v>132</v>
      </c>
      <c r="CK162" s="112"/>
      <c r="CL162" s="112"/>
    </row>
    <row r="163" spans="1:90" s="4" customFormat="1" ht="94.5" customHeight="1" x14ac:dyDescent="0.25">
      <c r="A163" s="3">
        <v>47</v>
      </c>
      <c r="B163" s="126" t="s">
        <v>879</v>
      </c>
      <c r="C163" s="109" t="s">
        <v>880</v>
      </c>
      <c r="D163" s="3" t="s">
        <v>156</v>
      </c>
      <c r="E163" s="59"/>
      <c r="F163" s="3">
        <v>9730142424</v>
      </c>
      <c r="G163" s="3" t="s">
        <v>142</v>
      </c>
      <c r="H163" s="3" t="s">
        <v>122</v>
      </c>
      <c r="I163" s="3" t="s">
        <v>143</v>
      </c>
      <c r="J163" s="3" t="s">
        <v>144</v>
      </c>
      <c r="K163" s="3" t="s">
        <v>881</v>
      </c>
      <c r="L163" s="3" t="s">
        <v>179</v>
      </c>
      <c r="M163" s="56">
        <v>44714</v>
      </c>
      <c r="N163" s="69">
        <f t="shared" ca="1" si="21"/>
        <v>1463</v>
      </c>
      <c r="O163" s="72" t="str">
        <f t="shared" ca="1" si="22"/>
        <v>4-5Y</v>
      </c>
      <c r="P163" s="198" t="s">
        <v>158</v>
      </c>
      <c r="Q163" s="3" t="s">
        <v>192</v>
      </c>
      <c r="R163" s="3" t="s">
        <v>108</v>
      </c>
      <c r="S163" s="129">
        <v>30</v>
      </c>
      <c r="T163" s="129">
        <v>120</v>
      </c>
      <c r="U163" s="129">
        <f t="shared" si="23"/>
        <v>150</v>
      </c>
      <c r="V163" s="3"/>
      <c r="W163" s="3" t="s">
        <v>171</v>
      </c>
      <c r="X163" s="3" t="s">
        <v>394</v>
      </c>
      <c r="Y163" s="60"/>
      <c r="Z163" s="3"/>
      <c r="AA163" s="3"/>
      <c r="AB163" s="3"/>
      <c r="AC163" s="3"/>
      <c r="AD163" s="249">
        <f t="shared" si="26"/>
        <v>46905</v>
      </c>
      <c r="AE163" s="249">
        <f t="shared" si="25"/>
        <v>46997</v>
      </c>
      <c r="AF163" s="3" t="s">
        <v>394</v>
      </c>
      <c r="AG163" s="3" t="s">
        <v>581</v>
      </c>
      <c r="AH163" s="3"/>
      <c r="AI163" s="3" t="s">
        <v>115</v>
      </c>
      <c r="AJ163" s="3" t="s">
        <v>115</v>
      </c>
      <c r="AK163" s="3" t="s">
        <v>181</v>
      </c>
      <c r="AL163" s="45">
        <v>46905</v>
      </c>
      <c r="AM163" s="3" t="s">
        <v>109</v>
      </c>
      <c r="AN163" s="3" t="s">
        <v>109</v>
      </c>
      <c r="AO163" s="3"/>
      <c r="AP163" s="3"/>
      <c r="AQ163" s="3"/>
      <c r="AR163" s="109" t="s">
        <v>545</v>
      </c>
      <c r="AS163" s="249">
        <v>46997</v>
      </c>
      <c r="AT163" s="3" t="s">
        <v>109</v>
      </c>
      <c r="AU163" s="3" t="s">
        <v>171</v>
      </c>
      <c r="AV163" s="3" t="s">
        <v>839</v>
      </c>
      <c r="AW163" s="3" t="s">
        <v>109</v>
      </c>
      <c r="AX163" s="3" t="s">
        <v>111</v>
      </c>
      <c r="AY163" s="3" t="s">
        <v>111</v>
      </c>
      <c r="AZ163" s="3" t="s">
        <v>111</v>
      </c>
      <c r="BA163" s="3" t="s">
        <v>111</v>
      </c>
      <c r="BB163" s="3" t="s">
        <v>111</v>
      </c>
      <c r="BC163" s="3" t="s">
        <v>111</v>
      </c>
      <c r="BD163" s="3" t="s">
        <v>111</v>
      </c>
      <c r="BE163" s="3" t="s">
        <v>111</v>
      </c>
      <c r="BF163" s="3" t="s">
        <v>111</v>
      </c>
      <c r="BG163" s="3" t="s">
        <v>111</v>
      </c>
      <c r="BH163" s="3" t="s">
        <v>111</v>
      </c>
      <c r="BI163" s="3" t="s">
        <v>111</v>
      </c>
      <c r="BJ163" s="3" t="s">
        <v>111</v>
      </c>
      <c r="BK163" s="3"/>
      <c r="BL163" s="3"/>
      <c r="BM163" s="3" t="s">
        <v>111</v>
      </c>
      <c r="BN163" s="3" t="s">
        <v>111</v>
      </c>
      <c r="BO163" s="3" t="s">
        <v>115</v>
      </c>
      <c r="BP163" s="3"/>
      <c r="BQ163" s="3"/>
      <c r="BR163" s="3"/>
      <c r="BS163" s="3"/>
      <c r="BT163" s="3"/>
      <c r="BU163" s="3"/>
      <c r="BV163" s="3"/>
      <c r="BW163" s="3" t="s">
        <v>184</v>
      </c>
      <c r="BX163" s="3"/>
      <c r="BY163" s="3"/>
      <c r="BZ163" s="3"/>
      <c r="CA163" s="3"/>
      <c r="CB163" s="112" t="s">
        <v>185</v>
      </c>
      <c r="CC163" s="112" t="s">
        <v>109</v>
      </c>
      <c r="CD163" s="3"/>
      <c r="CE163" s="3"/>
      <c r="CF163" s="112"/>
      <c r="CG163" s="112"/>
      <c r="CH163" s="133"/>
      <c r="CI163" s="112" t="str">
        <f t="shared" si="24"/>
        <v>Jun'22</v>
      </c>
      <c r="CJ163" s="112" t="s">
        <v>192</v>
      </c>
      <c r="CK163" s="256"/>
      <c r="CL163" s="192"/>
    </row>
    <row r="164" spans="1:90" s="4" customFormat="1" ht="57" customHeight="1" x14ac:dyDescent="0.25">
      <c r="A164" s="109">
        <v>48</v>
      </c>
      <c r="B164" s="126" t="s">
        <v>882</v>
      </c>
      <c r="C164" s="109" t="s">
        <v>883</v>
      </c>
      <c r="D164" s="109" t="s">
        <v>884</v>
      </c>
      <c r="E164" s="109"/>
      <c r="F164" s="109" t="s">
        <v>181</v>
      </c>
      <c r="G164" s="109" t="s">
        <v>169</v>
      </c>
      <c r="H164" s="109" t="s">
        <v>101</v>
      </c>
      <c r="I164" s="109" t="s">
        <v>143</v>
      </c>
      <c r="J164" s="109" t="s">
        <v>151</v>
      </c>
      <c r="K164" s="109" t="s">
        <v>885</v>
      </c>
      <c r="L164" s="109" t="s">
        <v>85</v>
      </c>
      <c r="M164" s="236">
        <v>44748</v>
      </c>
      <c r="N164" s="237">
        <f t="shared" ca="1" si="21"/>
        <v>1429</v>
      </c>
      <c r="O164" s="237" t="str">
        <f t="shared" ca="1" si="22"/>
        <v>3-4Y</v>
      </c>
      <c r="P164" s="198" t="s">
        <v>158</v>
      </c>
      <c r="Q164" s="109" t="s">
        <v>771</v>
      </c>
      <c r="R164" s="109" t="s">
        <v>771</v>
      </c>
      <c r="S164" s="129">
        <v>35</v>
      </c>
      <c r="T164" s="129">
        <v>70</v>
      </c>
      <c r="U164" s="129">
        <f t="shared" si="23"/>
        <v>105</v>
      </c>
      <c r="V164" s="109"/>
      <c r="W164" s="109" t="s">
        <v>171</v>
      </c>
      <c r="X164" s="109" t="s">
        <v>394</v>
      </c>
      <c r="Y164" s="238"/>
      <c r="Z164" s="3" t="s">
        <v>274</v>
      </c>
      <c r="AA164" s="109"/>
      <c r="AB164" s="109"/>
      <c r="AC164" s="109"/>
      <c r="AD164" s="249">
        <f t="shared" si="26"/>
        <v>46905</v>
      </c>
      <c r="AE164" s="249">
        <f t="shared" si="25"/>
        <v>46997</v>
      </c>
      <c r="AF164" s="109" t="s">
        <v>394</v>
      </c>
      <c r="AG164" s="109" t="s">
        <v>886</v>
      </c>
      <c r="AH164" s="109"/>
      <c r="AI164" s="109"/>
      <c r="AJ164" s="109"/>
      <c r="AK164" s="109" t="s">
        <v>181</v>
      </c>
      <c r="AL164" s="239">
        <v>46905</v>
      </c>
      <c r="AM164" s="109"/>
      <c r="AN164" s="109"/>
      <c r="AO164" s="109"/>
      <c r="AP164" s="109"/>
      <c r="AQ164" s="109"/>
      <c r="AR164" s="109" t="s">
        <v>887</v>
      </c>
      <c r="AS164" s="249">
        <v>46997</v>
      </c>
      <c r="AT164" s="109" t="s">
        <v>109</v>
      </c>
      <c r="AU164" s="109" t="s">
        <v>419</v>
      </c>
      <c r="AV164" s="109" t="s">
        <v>888</v>
      </c>
      <c r="AW164" s="109"/>
      <c r="AX164" s="109"/>
      <c r="AY164" s="109"/>
      <c r="AZ164" s="109"/>
      <c r="BA164" s="109"/>
      <c r="BB164" s="109"/>
      <c r="BC164" s="109"/>
      <c r="BD164" s="109" t="s">
        <v>111</v>
      </c>
      <c r="BE164" s="109"/>
      <c r="BF164" s="109"/>
      <c r="BG164" s="109"/>
      <c r="BH164" s="109"/>
      <c r="BI164" s="239"/>
      <c r="BJ164" s="239"/>
      <c r="BK164" s="109"/>
      <c r="BL164" s="109"/>
      <c r="BM164" s="109"/>
      <c r="BN164" s="109" t="s">
        <v>889</v>
      </c>
      <c r="BO164" s="109"/>
      <c r="BP164" s="109"/>
      <c r="BQ164" s="109"/>
      <c r="BR164" s="109"/>
      <c r="BS164" s="109"/>
      <c r="BT164" s="109"/>
      <c r="BU164" s="109"/>
      <c r="BV164" s="109"/>
      <c r="BW164" s="109" t="s">
        <v>184</v>
      </c>
      <c r="BX164" s="109"/>
      <c r="BY164" s="109"/>
      <c r="BZ164" s="109"/>
      <c r="CA164" s="109"/>
      <c r="CB164" s="112" t="s">
        <v>402</v>
      </c>
      <c r="CC164" s="112" t="s">
        <v>109</v>
      </c>
      <c r="CD164" s="3"/>
      <c r="CE164" s="3"/>
      <c r="CF164" s="112"/>
      <c r="CG164" s="112"/>
      <c r="CH164" s="133"/>
      <c r="CI164" s="112" t="str">
        <f t="shared" si="24"/>
        <v>Jul'22</v>
      </c>
      <c r="CJ164" s="112" t="s">
        <v>132</v>
      </c>
      <c r="CK164" s="255"/>
      <c r="CL164" s="192"/>
    </row>
    <row r="165" spans="1:90" s="4" customFormat="1" ht="78.75" customHeight="1" x14ac:dyDescent="0.25">
      <c r="A165" s="3">
        <v>49</v>
      </c>
      <c r="B165" s="126" t="s">
        <v>890</v>
      </c>
      <c r="C165" s="109" t="s">
        <v>891</v>
      </c>
      <c r="D165" s="3" t="s">
        <v>135</v>
      </c>
      <c r="E165" s="59"/>
      <c r="F165" s="3">
        <v>9765940088</v>
      </c>
      <c r="G165" s="3" t="s">
        <v>142</v>
      </c>
      <c r="H165" s="3" t="s">
        <v>101</v>
      </c>
      <c r="I165" s="3" t="s">
        <v>143</v>
      </c>
      <c r="J165" s="3" t="s">
        <v>162</v>
      </c>
      <c r="K165" s="3" t="s">
        <v>892</v>
      </c>
      <c r="L165" s="3" t="s">
        <v>179</v>
      </c>
      <c r="M165" s="56">
        <v>44775</v>
      </c>
      <c r="N165" s="69">
        <f t="shared" ca="1" si="21"/>
        <v>1402</v>
      </c>
      <c r="O165" s="72" t="str">
        <f t="shared" ca="1" si="22"/>
        <v>3-4Y</v>
      </c>
      <c r="P165" s="198" t="s">
        <v>137</v>
      </c>
      <c r="Q165" s="3" t="s">
        <v>107</v>
      </c>
      <c r="R165" s="3" t="s">
        <v>164</v>
      </c>
      <c r="S165" s="129">
        <v>40</v>
      </c>
      <c r="T165" s="129">
        <v>120</v>
      </c>
      <c r="U165" s="129">
        <f t="shared" si="23"/>
        <v>160</v>
      </c>
      <c r="V165" s="3"/>
      <c r="W165" s="3" t="s">
        <v>171</v>
      </c>
      <c r="X165" s="3" t="s">
        <v>394</v>
      </c>
      <c r="Y165" s="60">
        <f>+IF(AO165="Approved","Yes",AS165)</f>
        <v>46997</v>
      </c>
      <c r="Z165" s="3" t="s">
        <v>274</v>
      </c>
      <c r="AA165" s="3"/>
      <c r="AB165" s="3"/>
      <c r="AC165" s="3"/>
      <c r="AD165" s="249">
        <f t="shared" si="26"/>
        <v>46905</v>
      </c>
      <c r="AE165" s="249">
        <f t="shared" si="25"/>
        <v>46997</v>
      </c>
      <c r="AF165" s="3" t="s">
        <v>394</v>
      </c>
      <c r="AG165" s="3" t="s">
        <v>581</v>
      </c>
      <c r="AH165" s="3"/>
      <c r="AI165" s="3" t="s">
        <v>109</v>
      </c>
      <c r="AJ165" s="3" t="s">
        <v>109</v>
      </c>
      <c r="AK165" s="3" t="s">
        <v>181</v>
      </c>
      <c r="AL165" s="45">
        <v>46905</v>
      </c>
      <c r="AM165" s="3"/>
      <c r="AN165" s="3"/>
      <c r="AO165" s="3"/>
      <c r="AP165" s="3"/>
      <c r="AQ165" s="3"/>
      <c r="AR165" s="109" t="s">
        <v>893</v>
      </c>
      <c r="AS165" s="249">
        <v>46997</v>
      </c>
      <c r="AT165" s="3" t="s">
        <v>109</v>
      </c>
      <c r="AU165" s="3" t="s">
        <v>171</v>
      </c>
      <c r="AV165" s="109" t="s">
        <v>893</v>
      </c>
      <c r="AW165" s="3" t="s">
        <v>171</v>
      </c>
      <c r="AX165" s="3" t="s">
        <v>109</v>
      </c>
      <c r="AY165" s="3" t="s">
        <v>111</v>
      </c>
      <c r="AZ165" s="3" t="s">
        <v>111</v>
      </c>
      <c r="BA165" s="3" t="s">
        <v>111</v>
      </c>
      <c r="BB165" s="3" t="s">
        <v>111</v>
      </c>
      <c r="BC165" s="3" t="s">
        <v>111</v>
      </c>
      <c r="BD165" s="3" t="s">
        <v>111</v>
      </c>
      <c r="BE165" s="3" t="s">
        <v>111</v>
      </c>
      <c r="BF165" s="3" t="s">
        <v>111</v>
      </c>
      <c r="BG165" s="3" t="s">
        <v>234</v>
      </c>
      <c r="BH165" s="3" t="s">
        <v>171</v>
      </c>
      <c r="BI165" s="3" t="s">
        <v>111</v>
      </c>
      <c r="BJ165" s="3" t="s">
        <v>111</v>
      </c>
      <c r="BK165" s="3" t="s">
        <v>109</v>
      </c>
      <c r="BL165" s="3" t="s">
        <v>199</v>
      </c>
      <c r="BM165" s="3"/>
      <c r="BN165" s="3"/>
      <c r="BO165" s="3"/>
      <c r="BP165" s="3"/>
      <c r="BQ165" s="3"/>
      <c r="BR165" s="3"/>
      <c r="BS165" s="3"/>
      <c r="BT165" s="3"/>
      <c r="BU165" s="3"/>
      <c r="BV165" s="3"/>
      <c r="BW165" s="3" t="s">
        <v>184</v>
      </c>
      <c r="BX165" s="3"/>
      <c r="BY165" s="3"/>
      <c r="BZ165" s="3"/>
      <c r="CA165" s="3"/>
      <c r="CB165" s="112" t="s">
        <v>185</v>
      </c>
      <c r="CC165" s="112" t="s">
        <v>109</v>
      </c>
      <c r="CD165" s="3"/>
      <c r="CE165" s="3"/>
      <c r="CF165" s="112"/>
      <c r="CG165" s="112"/>
      <c r="CH165" s="133"/>
      <c r="CI165" s="112" t="str">
        <f t="shared" si="24"/>
        <v>Aug'22</v>
      </c>
      <c r="CJ165" s="112" t="s">
        <v>107</v>
      </c>
      <c r="CK165" s="112"/>
      <c r="CL165" s="112"/>
    </row>
    <row r="166" spans="1:90" s="4" customFormat="1" ht="94.5" customHeight="1" x14ac:dyDescent="0.25">
      <c r="A166" s="3">
        <v>50</v>
      </c>
      <c r="B166" s="126" t="s">
        <v>894</v>
      </c>
      <c r="C166" s="109" t="s">
        <v>895</v>
      </c>
      <c r="D166" s="3" t="s">
        <v>398</v>
      </c>
      <c r="E166" s="59"/>
      <c r="F166" s="3">
        <v>9284942435</v>
      </c>
      <c r="G166" s="3" t="s">
        <v>142</v>
      </c>
      <c r="H166" s="3" t="s">
        <v>101</v>
      </c>
      <c r="I166" s="3" t="s">
        <v>143</v>
      </c>
      <c r="J166" s="3" t="s">
        <v>162</v>
      </c>
      <c r="K166" s="3" t="s">
        <v>896</v>
      </c>
      <c r="L166" s="3" t="s">
        <v>179</v>
      </c>
      <c r="M166" s="56">
        <v>44775</v>
      </c>
      <c r="N166" s="69">
        <f t="shared" ca="1" si="21"/>
        <v>1402</v>
      </c>
      <c r="O166" s="72" t="str">
        <f t="shared" ca="1" si="22"/>
        <v>3-4Y</v>
      </c>
      <c r="P166" s="198" t="s">
        <v>106</v>
      </c>
      <c r="Q166" s="3" t="s">
        <v>216</v>
      </c>
      <c r="R166" s="3" t="s">
        <v>164</v>
      </c>
      <c r="S166" s="129">
        <v>30</v>
      </c>
      <c r="T166" s="129">
        <v>125</v>
      </c>
      <c r="U166" s="129">
        <f t="shared" si="23"/>
        <v>155</v>
      </c>
      <c r="V166" s="3"/>
      <c r="W166" s="3" t="s">
        <v>171</v>
      </c>
      <c r="X166" s="3" t="s">
        <v>394</v>
      </c>
      <c r="Y166" s="60"/>
      <c r="Z166" s="3" t="s">
        <v>274</v>
      </c>
      <c r="AA166" s="3"/>
      <c r="AB166" s="3"/>
      <c r="AC166" s="3"/>
      <c r="AD166" s="249">
        <f t="shared" si="26"/>
        <v>46905</v>
      </c>
      <c r="AE166" s="249">
        <f t="shared" si="25"/>
        <v>46997</v>
      </c>
      <c r="AF166" s="3" t="s">
        <v>394</v>
      </c>
      <c r="AG166" s="3" t="s">
        <v>589</v>
      </c>
      <c r="AH166" s="3"/>
      <c r="AI166" s="3"/>
      <c r="AJ166" s="3"/>
      <c r="AK166" s="3" t="s">
        <v>181</v>
      </c>
      <c r="AL166" s="45">
        <v>46905</v>
      </c>
      <c r="AM166" s="3"/>
      <c r="AN166" s="3"/>
      <c r="AO166" s="3"/>
      <c r="AP166" s="3"/>
      <c r="AQ166" s="3"/>
      <c r="AR166" s="109" t="s">
        <v>851</v>
      </c>
      <c r="AS166" s="249">
        <v>46997</v>
      </c>
      <c r="AT166" s="59"/>
      <c r="AU166" s="59" t="s">
        <v>171</v>
      </c>
      <c r="AV166" s="59"/>
      <c r="AW166" s="59" t="s">
        <v>171</v>
      </c>
      <c r="AX166" s="59"/>
      <c r="AY166" s="59"/>
      <c r="AZ166" s="59"/>
      <c r="BA166" s="59"/>
      <c r="BB166" s="59"/>
      <c r="BC166" s="59"/>
      <c r="BD166" s="59"/>
      <c r="BE166" s="59"/>
      <c r="BF166" s="59"/>
      <c r="BG166" s="59"/>
      <c r="BH166" s="59"/>
      <c r="BI166" s="243"/>
      <c r="BJ166" s="243"/>
      <c r="BK166" s="3" t="s">
        <v>109</v>
      </c>
      <c r="BL166" s="3" t="s">
        <v>199</v>
      </c>
      <c r="BM166" s="3"/>
      <c r="BN166" s="3"/>
      <c r="BO166" s="3"/>
      <c r="BP166" s="3"/>
      <c r="BQ166" s="3"/>
      <c r="BR166" s="3"/>
      <c r="BS166" s="3"/>
      <c r="BT166" s="3"/>
      <c r="BU166" s="3"/>
      <c r="BV166" s="3"/>
      <c r="BW166" s="3" t="s">
        <v>184</v>
      </c>
      <c r="BX166" s="3"/>
      <c r="BY166" s="3"/>
      <c r="BZ166" s="3"/>
      <c r="CA166" s="3"/>
      <c r="CB166" s="112" t="s">
        <v>185</v>
      </c>
      <c r="CC166" s="112" t="s">
        <v>109</v>
      </c>
      <c r="CD166" s="3"/>
      <c r="CE166" s="3"/>
      <c r="CF166" s="112"/>
      <c r="CG166" s="112"/>
      <c r="CH166" s="133"/>
      <c r="CI166" s="112" t="str">
        <f t="shared" si="24"/>
        <v>Aug'22</v>
      </c>
      <c r="CJ166" s="112" t="s">
        <v>186</v>
      </c>
      <c r="CK166" s="256"/>
      <c r="CL166" s="192"/>
    </row>
    <row r="167" spans="1:90" s="4" customFormat="1" ht="94.5" customHeight="1" x14ac:dyDescent="0.25">
      <c r="A167" s="3">
        <v>52</v>
      </c>
      <c r="B167" s="126" t="s">
        <v>897</v>
      </c>
      <c r="C167" s="109" t="s">
        <v>898</v>
      </c>
      <c r="D167" s="3" t="s">
        <v>99</v>
      </c>
      <c r="E167" s="59"/>
      <c r="F167" s="3">
        <v>9850771878</v>
      </c>
      <c r="G167" s="3" t="s">
        <v>169</v>
      </c>
      <c r="H167" s="3" t="s">
        <v>122</v>
      </c>
      <c r="I167" s="3" t="s">
        <v>143</v>
      </c>
      <c r="J167" s="3" t="s">
        <v>144</v>
      </c>
      <c r="K167" s="3" t="s">
        <v>899</v>
      </c>
      <c r="L167" s="3" t="s">
        <v>179</v>
      </c>
      <c r="M167" s="56">
        <v>44865</v>
      </c>
      <c r="N167" s="69">
        <f t="shared" ca="1" si="21"/>
        <v>1312</v>
      </c>
      <c r="O167" s="72" t="str">
        <f t="shared" ca="1" si="22"/>
        <v>3-4Y</v>
      </c>
      <c r="P167" s="198" t="s">
        <v>106</v>
      </c>
      <c r="Q167" s="3" t="s">
        <v>125</v>
      </c>
      <c r="R167" s="3" t="s">
        <v>164</v>
      </c>
      <c r="S167" s="129">
        <v>30</v>
      </c>
      <c r="T167" s="129">
        <v>90</v>
      </c>
      <c r="U167" s="129">
        <f t="shared" si="23"/>
        <v>120</v>
      </c>
      <c r="V167" s="3"/>
      <c r="W167" s="3" t="s">
        <v>171</v>
      </c>
      <c r="X167" s="3" t="s">
        <v>394</v>
      </c>
      <c r="Y167" s="60"/>
      <c r="Z167" s="3"/>
      <c r="AA167" s="3"/>
      <c r="AB167" s="3"/>
      <c r="AC167" s="3"/>
      <c r="AD167" s="249">
        <f t="shared" si="26"/>
        <v>46905</v>
      </c>
      <c r="AE167" s="249">
        <f t="shared" si="25"/>
        <v>46997</v>
      </c>
      <c r="AF167" s="3" t="s">
        <v>394</v>
      </c>
      <c r="AG167" s="3" t="s">
        <v>581</v>
      </c>
      <c r="AH167" s="3"/>
      <c r="AI167" s="3" t="s">
        <v>115</v>
      </c>
      <c r="AJ167" s="3" t="s">
        <v>115</v>
      </c>
      <c r="AK167" s="3" t="s">
        <v>181</v>
      </c>
      <c r="AL167" s="45">
        <v>46905</v>
      </c>
      <c r="AM167" s="3" t="s">
        <v>109</v>
      </c>
      <c r="AN167" s="3" t="s">
        <v>109</v>
      </c>
      <c r="AO167" s="3"/>
      <c r="AP167" s="3"/>
      <c r="AQ167" s="3"/>
      <c r="AR167" s="109" t="s">
        <v>713</v>
      </c>
      <c r="AS167" s="249">
        <v>46997</v>
      </c>
      <c r="AT167" s="3" t="s">
        <v>109</v>
      </c>
      <c r="AU167" s="3" t="s">
        <v>171</v>
      </c>
      <c r="AV167" s="109" t="s">
        <v>900</v>
      </c>
      <c r="AW167" s="3" t="s">
        <v>109</v>
      </c>
      <c r="AX167" s="3" t="s">
        <v>348</v>
      </c>
      <c r="AY167" s="3" t="s">
        <v>348</v>
      </c>
      <c r="AZ167" s="3" t="s">
        <v>348</v>
      </c>
      <c r="BA167" s="3" t="s">
        <v>348</v>
      </c>
      <c r="BB167" s="3" t="s">
        <v>348</v>
      </c>
      <c r="BC167" s="3" t="s">
        <v>348</v>
      </c>
      <c r="BD167" s="3" t="s">
        <v>348</v>
      </c>
      <c r="BE167" s="3" t="s">
        <v>111</v>
      </c>
      <c r="BF167" s="3" t="s">
        <v>111</v>
      </c>
      <c r="BG167" s="59" t="s">
        <v>533</v>
      </c>
      <c r="BH167" s="59" t="s">
        <v>90</v>
      </c>
      <c r="BI167" s="3" t="s">
        <v>111</v>
      </c>
      <c r="BJ167" s="3" t="s">
        <v>111</v>
      </c>
      <c r="BK167" s="3"/>
      <c r="BL167" s="3"/>
      <c r="BM167" s="3" t="s">
        <v>111</v>
      </c>
      <c r="BN167" s="3" t="s">
        <v>111</v>
      </c>
      <c r="BO167" s="3" t="s">
        <v>115</v>
      </c>
      <c r="BP167" s="3"/>
      <c r="BQ167" s="3"/>
      <c r="BR167" s="3"/>
      <c r="BS167" s="3"/>
      <c r="BT167" s="3"/>
      <c r="BU167" s="3"/>
      <c r="BV167" s="3"/>
      <c r="BW167" s="3" t="s">
        <v>749</v>
      </c>
      <c r="BX167" s="3"/>
      <c r="BY167" s="3"/>
      <c r="BZ167" s="3"/>
      <c r="CA167" s="3"/>
      <c r="CB167" s="112" t="s">
        <v>185</v>
      </c>
      <c r="CC167" s="112" t="s">
        <v>109</v>
      </c>
      <c r="CD167" s="3"/>
      <c r="CE167" s="3"/>
      <c r="CF167" s="112"/>
      <c r="CG167" s="112"/>
      <c r="CH167" s="133"/>
      <c r="CI167" s="112" t="str">
        <f t="shared" si="24"/>
        <v>Oct'22</v>
      </c>
      <c r="CJ167" s="112" t="s">
        <v>132</v>
      </c>
      <c r="CK167" s="112"/>
      <c r="CL167" s="192"/>
    </row>
    <row r="168" spans="1:90" s="4" customFormat="1" ht="94.5" customHeight="1" x14ac:dyDescent="0.25">
      <c r="A168" s="3">
        <v>54</v>
      </c>
      <c r="B168" s="126" t="s">
        <v>901</v>
      </c>
      <c r="C168" s="109" t="s">
        <v>902</v>
      </c>
      <c r="D168" s="3" t="s">
        <v>121</v>
      </c>
      <c r="E168" s="59"/>
      <c r="F168" s="3">
        <v>7028654145</v>
      </c>
      <c r="G168" s="3" t="s">
        <v>142</v>
      </c>
      <c r="H168" s="3" t="s">
        <v>101</v>
      </c>
      <c r="I168" s="3" t="s">
        <v>143</v>
      </c>
      <c r="J168" s="3" t="s">
        <v>162</v>
      </c>
      <c r="K168" s="3" t="s">
        <v>903</v>
      </c>
      <c r="L168" s="3" t="s">
        <v>179</v>
      </c>
      <c r="M168" s="56">
        <v>44875</v>
      </c>
      <c r="N168" s="69">
        <f t="shared" ca="1" si="21"/>
        <v>1302</v>
      </c>
      <c r="O168" s="72" t="str">
        <f t="shared" ca="1" si="22"/>
        <v>3-4Y</v>
      </c>
      <c r="P168" s="198" t="s">
        <v>106</v>
      </c>
      <c r="Q168" s="3" t="s">
        <v>107</v>
      </c>
      <c r="R168" s="3" t="s">
        <v>108</v>
      </c>
      <c r="S168" s="129">
        <v>30</v>
      </c>
      <c r="T168" s="129">
        <v>130</v>
      </c>
      <c r="U168" s="129">
        <f t="shared" si="23"/>
        <v>160</v>
      </c>
      <c r="V168" s="3"/>
      <c r="W168" s="3" t="s">
        <v>171</v>
      </c>
      <c r="X168" s="3" t="s">
        <v>394</v>
      </c>
      <c r="Y168" s="60"/>
      <c r="Z168" s="3" t="s">
        <v>274</v>
      </c>
      <c r="AA168" s="3"/>
      <c r="AB168" s="3"/>
      <c r="AC168" s="3"/>
      <c r="AD168" s="249">
        <f t="shared" si="26"/>
        <v>46905</v>
      </c>
      <c r="AE168" s="249">
        <f t="shared" si="25"/>
        <v>46997</v>
      </c>
      <c r="AF168" s="3" t="s">
        <v>394</v>
      </c>
      <c r="AG168" s="3" t="s">
        <v>581</v>
      </c>
      <c r="AH168" s="3"/>
      <c r="AI168" s="3"/>
      <c r="AJ168" s="3"/>
      <c r="AK168" s="3" t="s">
        <v>181</v>
      </c>
      <c r="AL168" s="45">
        <v>46905</v>
      </c>
      <c r="AM168" s="3"/>
      <c r="AN168" s="3"/>
      <c r="AO168" s="3"/>
      <c r="AP168" s="3"/>
      <c r="AQ168" s="3"/>
      <c r="AR168" s="109" t="s">
        <v>904</v>
      </c>
      <c r="AS168" s="249">
        <v>46997</v>
      </c>
      <c r="AT168" s="3" t="s">
        <v>109</v>
      </c>
      <c r="AU168" s="3" t="s">
        <v>171</v>
      </c>
      <c r="AV168" s="3" t="s">
        <v>905</v>
      </c>
      <c r="AW168" s="3" t="s">
        <v>109</v>
      </c>
      <c r="AX168" s="3" t="s">
        <v>171</v>
      </c>
      <c r="AY168" s="3" t="s">
        <v>171</v>
      </c>
      <c r="AZ168" s="3" t="s">
        <v>171</v>
      </c>
      <c r="BA168" s="3" t="s">
        <v>171</v>
      </c>
      <c r="BB168" s="3" t="s">
        <v>171</v>
      </c>
      <c r="BC168" s="3" t="s">
        <v>171</v>
      </c>
      <c r="BD168" s="3" t="s">
        <v>171</v>
      </c>
      <c r="BE168" s="3" t="s">
        <v>111</v>
      </c>
      <c r="BF168" s="3" t="s">
        <v>111</v>
      </c>
      <c r="BG168" s="59" t="s">
        <v>171</v>
      </c>
      <c r="BH168" s="59" t="s">
        <v>171</v>
      </c>
      <c r="BI168" s="45"/>
      <c r="BJ168" s="45"/>
      <c r="BK168" s="3"/>
      <c r="BL168" s="3"/>
      <c r="BM168" s="3"/>
      <c r="BN168" s="3"/>
      <c r="BO168" s="3"/>
      <c r="BP168" s="3"/>
      <c r="BQ168" s="3"/>
      <c r="BR168" s="3"/>
      <c r="BS168" s="3"/>
      <c r="BT168" s="3"/>
      <c r="BU168" s="3"/>
      <c r="BV168" s="3"/>
      <c r="BW168" s="3" t="s">
        <v>749</v>
      </c>
      <c r="BX168" s="3"/>
      <c r="BY168" s="3"/>
      <c r="BZ168" s="3"/>
      <c r="CA168" s="3"/>
      <c r="CB168" s="112" t="s">
        <v>185</v>
      </c>
      <c r="CC168" s="112" t="s">
        <v>109</v>
      </c>
      <c r="CD168" s="3"/>
      <c r="CE168" s="3"/>
      <c r="CF168" s="112"/>
      <c r="CG168" s="112"/>
      <c r="CH168" s="133"/>
      <c r="CI168" s="112" t="str">
        <f t="shared" si="24"/>
        <v>Nov'22</v>
      </c>
      <c r="CJ168" s="112" t="s">
        <v>107</v>
      </c>
      <c r="CK168" s="112"/>
      <c r="CL168" s="192"/>
    </row>
    <row r="169" spans="1:90" s="4" customFormat="1" ht="94.5" customHeight="1" x14ac:dyDescent="0.25">
      <c r="A169" s="3">
        <v>55</v>
      </c>
      <c r="B169" s="126" t="s">
        <v>906</v>
      </c>
      <c r="C169" s="109" t="s">
        <v>907</v>
      </c>
      <c r="D169" s="3" t="s">
        <v>220</v>
      </c>
      <c r="E169" s="59"/>
      <c r="F169" s="3">
        <v>9175168445</v>
      </c>
      <c r="G169" s="3" t="s">
        <v>142</v>
      </c>
      <c r="H169" s="3" t="s">
        <v>101</v>
      </c>
      <c r="I169" s="3" t="s">
        <v>143</v>
      </c>
      <c r="J169" s="3" t="s">
        <v>162</v>
      </c>
      <c r="K169" s="3" t="s">
        <v>908</v>
      </c>
      <c r="L169" s="3" t="s">
        <v>179</v>
      </c>
      <c r="M169" s="56">
        <v>44886</v>
      </c>
      <c r="N169" s="69">
        <f t="shared" ca="1" si="21"/>
        <v>1291</v>
      </c>
      <c r="O169" s="72" t="str">
        <f t="shared" ca="1" si="22"/>
        <v>3-4Y</v>
      </c>
      <c r="P169" s="198" t="s">
        <v>106</v>
      </c>
      <c r="Q169" s="3" t="s">
        <v>107</v>
      </c>
      <c r="R169" s="3" t="s">
        <v>164</v>
      </c>
      <c r="S169" s="129">
        <v>30</v>
      </c>
      <c r="T169" s="129">
        <v>125</v>
      </c>
      <c r="U169" s="129">
        <f t="shared" si="23"/>
        <v>155</v>
      </c>
      <c r="V169" s="3"/>
      <c r="W169" s="3" t="s">
        <v>171</v>
      </c>
      <c r="X169" s="3" t="s">
        <v>394</v>
      </c>
      <c r="Y169" s="60"/>
      <c r="Z169" s="3" t="s">
        <v>274</v>
      </c>
      <c r="AA169" s="3"/>
      <c r="AB169" s="3"/>
      <c r="AC169" s="3"/>
      <c r="AD169" s="249">
        <f t="shared" si="26"/>
        <v>46905</v>
      </c>
      <c r="AE169" s="249">
        <f t="shared" si="25"/>
        <v>46997</v>
      </c>
      <c r="AF169" s="3" t="s">
        <v>394</v>
      </c>
      <c r="AG169" s="3" t="s">
        <v>909</v>
      </c>
      <c r="AH169" s="3"/>
      <c r="AI169" s="3"/>
      <c r="AJ169" s="3"/>
      <c r="AK169" s="3" t="s">
        <v>181</v>
      </c>
      <c r="AL169" s="45">
        <v>46905</v>
      </c>
      <c r="AM169" s="3"/>
      <c r="AN169" s="3"/>
      <c r="AO169" s="3"/>
      <c r="AP169" s="3"/>
      <c r="AQ169" s="3"/>
      <c r="AR169" s="109" t="s">
        <v>779</v>
      </c>
      <c r="AS169" s="249">
        <v>46997</v>
      </c>
      <c r="AT169" s="3" t="s">
        <v>109</v>
      </c>
      <c r="AU169" s="3" t="s">
        <v>171</v>
      </c>
      <c r="AV169" s="3" t="s">
        <v>910</v>
      </c>
      <c r="AW169" s="3"/>
      <c r="AX169" s="3"/>
      <c r="AY169" s="3"/>
      <c r="AZ169" s="3"/>
      <c r="BA169" s="3"/>
      <c r="BB169" s="3"/>
      <c r="BC169" s="3"/>
      <c r="BD169" s="3"/>
      <c r="BE169" s="3"/>
      <c r="BF169" s="3"/>
      <c r="BG169" s="59"/>
      <c r="BH169" s="59"/>
      <c r="BI169" s="45"/>
      <c r="BJ169" s="45"/>
      <c r="BK169" s="3"/>
      <c r="BL169" s="3"/>
      <c r="BM169" s="3"/>
      <c r="BN169" s="3"/>
      <c r="BO169" s="3"/>
      <c r="BP169" s="3"/>
      <c r="BQ169" s="3"/>
      <c r="BR169" s="3"/>
      <c r="BS169" s="3"/>
      <c r="BT169" s="3"/>
      <c r="BU169" s="3"/>
      <c r="BV169" s="3"/>
      <c r="BW169" s="3" t="s">
        <v>184</v>
      </c>
      <c r="BX169" s="3"/>
      <c r="BY169" s="3"/>
      <c r="BZ169" s="3"/>
      <c r="CA169" s="3"/>
      <c r="CB169" s="112" t="s">
        <v>185</v>
      </c>
      <c r="CC169" s="112" t="s">
        <v>109</v>
      </c>
      <c r="CD169" s="3"/>
      <c r="CE169" s="3"/>
      <c r="CF169" s="112"/>
      <c r="CG169" s="112"/>
      <c r="CH169" s="133"/>
      <c r="CI169" s="112" t="str">
        <f t="shared" si="24"/>
        <v>Nov'22</v>
      </c>
      <c r="CJ169" s="112" t="s">
        <v>107</v>
      </c>
      <c r="CK169" s="112"/>
      <c r="CL169" s="192"/>
    </row>
    <row r="170" spans="1:90" s="4" customFormat="1" ht="94.5" customHeight="1" x14ac:dyDescent="0.25">
      <c r="A170" s="3">
        <v>57</v>
      </c>
      <c r="B170" s="126" t="s">
        <v>911</v>
      </c>
      <c r="C170" s="109" t="s">
        <v>912</v>
      </c>
      <c r="D170" s="3" t="s">
        <v>195</v>
      </c>
      <c r="E170" s="59"/>
      <c r="F170" s="3" t="s">
        <v>181</v>
      </c>
      <c r="G170" s="3" t="s">
        <v>169</v>
      </c>
      <c r="H170" s="3" t="s">
        <v>101</v>
      </c>
      <c r="I170" s="3" t="s">
        <v>143</v>
      </c>
      <c r="J170" s="3" t="s">
        <v>151</v>
      </c>
      <c r="K170" s="3" t="s">
        <v>913</v>
      </c>
      <c r="L170" s="3" t="s">
        <v>914</v>
      </c>
      <c r="M170" s="56">
        <v>44966</v>
      </c>
      <c r="N170" s="69">
        <f t="shared" ca="1" si="21"/>
        <v>1211</v>
      </c>
      <c r="O170" s="72" t="str">
        <f t="shared" ca="1" si="22"/>
        <v>3-4Y</v>
      </c>
      <c r="P170" s="198" t="s">
        <v>158</v>
      </c>
      <c r="Q170" s="3" t="s">
        <v>709</v>
      </c>
      <c r="R170" s="3" t="s">
        <v>108</v>
      </c>
      <c r="S170" s="129">
        <v>55</v>
      </c>
      <c r="T170" s="129">
        <v>110</v>
      </c>
      <c r="U170" s="129">
        <f t="shared" si="23"/>
        <v>165</v>
      </c>
      <c r="V170" s="3"/>
      <c r="W170" s="3" t="s">
        <v>171</v>
      </c>
      <c r="X170" s="3" t="s">
        <v>394</v>
      </c>
      <c r="Y170" s="60"/>
      <c r="Z170" s="3" t="s">
        <v>274</v>
      </c>
      <c r="AA170" s="3"/>
      <c r="AB170" s="3"/>
      <c r="AC170" s="3"/>
      <c r="AD170" s="249">
        <f t="shared" si="26"/>
        <v>46905</v>
      </c>
      <c r="AE170" s="249">
        <f t="shared" si="25"/>
        <v>46997</v>
      </c>
      <c r="AF170" s="3" t="s">
        <v>394</v>
      </c>
      <c r="AG170" s="109" t="s">
        <v>721</v>
      </c>
      <c r="AH170" s="3"/>
      <c r="AI170" s="3" t="s">
        <v>109</v>
      </c>
      <c r="AJ170" s="3" t="s">
        <v>184</v>
      </c>
      <c r="AK170" s="3"/>
      <c r="AL170" s="45">
        <v>46905</v>
      </c>
      <c r="AM170" s="3"/>
      <c r="AN170" s="3"/>
      <c r="AO170" s="3"/>
      <c r="AP170" s="3"/>
      <c r="AQ170" s="3"/>
      <c r="AR170" s="109" t="s">
        <v>915</v>
      </c>
      <c r="AS170" s="249">
        <v>46997</v>
      </c>
      <c r="AT170" s="3" t="s">
        <v>109</v>
      </c>
      <c r="AU170" s="3" t="s">
        <v>171</v>
      </c>
      <c r="AV170" s="109" t="s">
        <v>915</v>
      </c>
      <c r="AW170" s="3" t="s">
        <v>171</v>
      </c>
      <c r="AX170" s="3" t="s">
        <v>111</v>
      </c>
      <c r="AY170" s="3" t="s">
        <v>111</v>
      </c>
      <c r="AZ170" s="3" t="s">
        <v>111</v>
      </c>
      <c r="BA170" s="3" t="s">
        <v>111</v>
      </c>
      <c r="BB170" s="3" t="s">
        <v>111</v>
      </c>
      <c r="BC170" s="3" t="s">
        <v>111</v>
      </c>
      <c r="BD170" s="3" t="s">
        <v>111</v>
      </c>
      <c r="BE170" s="3" t="s">
        <v>111</v>
      </c>
      <c r="BF170" s="3" t="s">
        <v>111</v>
      </c>
      <c r="BG170" s="3" t="s">
        <v>111</v>
      </c>
      <c r="BH170" s="3" t="s">
        <v>111</v>
      </c>
      <c r="BI170" s="3" t="s">
        <v>111</v>
      </c>
      <c r="BJ170" s="3" t="s">
        <v>111</v>
      </c>
      <c r="BK170" s="3" t="s">
        <v>109</v>
      </c>
      <c r="BL170" s="3"/>
      <c r="BM170" s="3"/>
      <c r="BN170" s="3"/>
      <c r="BO170" s="3"/>
      <c r="BP170" s="3"/>
      <c r="BQ170" s="3"/>
      <c r="BR170" s="3"/>
      <c r="BS170" s="3"/>
      <c r="BT170" s="3"/>
      <c r="BU170" s="3"/>
      <c r="BV170" s="3"/>
      <c r="BW170" s="3" t="s">
        <v>184</v>
      </c>
      <c r="BX170" s="3"/>
      <c r="BY170" s="3"/>
      <c r="BZ170" s="3"/>
      <c r="CA170" s="3"/>
      <c r="CB170" s="112" t="s">
        <v>402</v>
      </c>
      <c r="CC170" s="112" t="s">
        <v>109</v>
      </c>
      <c r="CD170" s="3"/>
      <c r="CE170" s="3"/>
      <c r="CF170" s="112"/>
      <c r="CG170" s="112"/>
      <c r="CH170" s="133"/>
      <c r="CI170" s="112" t="str">
        <f t="shared" si="24"/>
        <v>Feb'23</v>
      </c>
      <c r="CJ170" s="112" t="s">
        <v>750</v>
      </c>
      <c r="CK170" s="112"/>
      <c r="CL170" s="192"/>
    </row>
    <row r="171" spans="1:90" s="4" customFormat="1" ht="94.5" customHeight="1" x14ac:dyDescent="0.25">
      <c r="A171" s="3">
        <v>58</v>
      </c>
      <c r="B171" s="126" t="s">
        <v>916</v>
      </c>
      <c r="C171" s="109" t="s">
        <v>917</v>
      </c>
      <c r="D171" s="3" t="s">
        <v>99</v>
      </c>
      <c r="E171" s="59"/>
      <c r="F171" s="3" t="s">
        <v>181</v>
      </c>
      <c r="G171" s="3" t="s">
        <v>142</v>
      </c>
      <c r="H171" s="3" t="s">
        <v>101</v>
      </c>
      <c r="I171" s="3" t="s">
        <v>143</v>
      </c>
      <c r="J171" s="3" t="s">
        <v>151</v>
      </c>
      <c r="K171" s="3" t="s">
        <v>918</v>
      </c>
      <c r="L171" s="3" t="s">
        <v>914</v>
      </c>
      <c r="M171" s="56">
        <v>44966</v>
      </c>
      <c r="N171" s="69">
        <f t="shared" ca="1" si="21"/>
        <v>1211</v>
      </c>
      <c r="O171" s="72" t="str">
        <f t="shared" ca="1" si="22"/>
        <v>3-4Y</v>
      </c>
      <c r="P171" s="198" t="s">
        <v>106</v>
      </c>
      <c r="Q171" s="3" t="s">
        <v>709</v>
      </c>
      <c r="R171" s="3" t="s">
        <v>108</v>
      </c>
      <c r="S171" s="129">
        <v>60</v>
      </c>
      <c r="T171" s="129">
        <v>115</v>
      </c>
      <c r="U171" s="129">
        <f t="shared" si="23"/>
        <v>175</v>
      </c>
      <c r="V171" s="3"/>
      <c r="W171" s="3" t="s">
        <v>171</v>
      </c>
      <c r="X171" s="3" t="s">
        <v>394</v>
      </c>
      <c r="Y171" s="60"/>
      <c r="Z171" s="3" t="s">
        <v>274</v>
      </c>
      <c r="AA171" s="3"/>
      <c r="AB171" s="3"/>
      <c r="AC171" s="3"/>
      <c r="AD171" s="249">
        <f t="shared" si="26"/>
        <v>46905</v>
      </c>
      <c r="AE171" s="249">
        <f t="shared" si="25"/>
        <v>46997</v>
      </c>
      <c r="AF171" s="3" t="s">
        <v>394</v>
      </c>
      <c r="AG171" s="3" t="s">
        <v>919</v>
      </c>
      <c r="AH171" s="3"/>
      <c r="AI171" s="3"/>
      <c r="AJ171" s="3"/>
      <c r="AK171" s="3" t="s">
        <v>181</v>
      </c>
      <c r="AL171" s="45">
        <v>46905</v>
      </c>
      <c r="AM171" s="3"/>
      <c r="AN171" s="3"/>
      <c r="AO171" s="3"/>
      <c r="AP171" s="3"/>
      <c r="AQ171" s="3"/>
      <c r="AR171" s="109" t="s">
        <v>721</v>
      </c>
      <c r="AS171" s="249">
        <v>46997</v>
      </c>
      <c r="AT171" s="3" t="s">
        <v>171</v>
      </c>
      <c r="AU171" s="3" t="s">
        <v>419</v>
      </c>
      <c r="AV171" s="109" t="s">
        <v>920</v>
      </c>
      <c r="AW171" s="3" t="s">
        <v>109</v>
      </c>
      <c r="AX171" s="3" t="s">
        <v>348</v>
      </c>
      <c r="AY171" s="3" t="s">
        <v>348</v>
      </c>
      <c r="AZ171" s="3" t="s">
        <v>348</v>
      </c>
      <c r="BA171" s="3" t="s">
        <v>348</v>
      </c>
      <c r="BB171" s="3" t="s">
        <v>348</v>
      </c>
      <c r="BC171" s="3" t="s">
        <v>348</v>
      </c>
      <c r="BD171" s="3" t="s">
        <v>348</v>
      </c>
      <c r="BE171" s="3" t="s">
        <v>111</v>
      </c>
      <c r="BF171" s="3" t="s">
        <v>111</v>
      </c>
      <c r="BG171" s="59" t="s">
        <v>533</v>
      </c>
      <c r="BH171" s="59" t="s">
        <v>90</v>
      </c>
      <c r="BI171" s="3" t="s">
        <v>111</v>
      </c>
      <c r="BJ171" s="3" t="s">
        <v>111</v>
      </c>
      <c r="BK171" s="3"/>
      <c r="BL171" s="3"/>
      <c r="BM171" s="3"/>
      <c r="BN171" s="3"/>
      <c r="BO171" s="3"/>
      <c r="BP171" s="3"/>
      <c r="BQ171" s="3"/>
      <c r="BR171" s="3"/>
      <c r="BS171" s="3"/>
      <c r="BT171" s="3"/>
      <c r="BU171" s="3"/>
      <c r="BV171" s="3"/>
      <c r="BW171" s="3" t="s">
        <v>184</v>
      </c>
      <c r="BX171" s="3"/>
      <c r="BY171" s="3"/>
      <c r="BZ171" s="3"/>
      <c r="CA171" s="3"/>
      <c r="CB171" s="112" t="s">
        <v>402</v>
      </c>
      <c r="CC171" s="112" t="s">
        <v>109</v>
      </c>
      <c r="CD171" s="3"/>
      <c r="CE171" s="3"/>
      <c r="CF171" s="112"/>
      <c r="CG171" s="112"/>
      <c r="CH171" s="133"/>
      <c r="CI171" s="112" t="str">
        <f t="shared" si="24"/>
        <v>Feb'23</v>
      </c>
      <c r="CJ171" s="112" t="s">
        <v>750</v>
      </c>
      <c r="CK171" s="255"/>
      <c r="CL171" s="192"/>
    </row>
    <row r="172" spans="1:90" s="4" customFormat="1" ht="94.5" customHeight="1" x14ac:dyDescent="0.25">
      <c r="A172" s="3">
        <v>59</v>
      </c>
      <c r="B172" s="126" t="s">
        <v>921</v>
      </c>
      <c r="C172" s="109" t="s">
        <v>922</v>
      </c>
      <c r="D172" s="3" t="s">
        <v>135</v>
      </c>
      <c r="E172" s="59"/>
      <c r="F172" s="3" t="s">
        <v>181</v>
      </c>
      <c r="G172" s="3" t="s">
        <v>634</v>
      </c>
      <c r="H172" s="3" t="s">
        <v>101</v>
      </c>
      <c r="I172" s="3" t="s">
        <v>143</v>
      </c>
      <c r="J172" s="3" t="s">
        <v>151</v>
      </c>
      <c r="K172" s="3" t="s">
        <v>923</v>
      </c>
      <c r="L172" s="3" t="s">
        <v>914</v>
      </c>
      <c r="M172" s="56">
        <v>44972</v>
      </c>
      <c r="N172" s="69">
        <f t="shared" ca="1" si="21"/>
        <v>1205</v>
      </c>
      <c r="O172" s="72" t="str">
        <f t="shared" ca="1" si="22"/>
        <v>3-4Y</v>
      </c>
      <c r="P172" s="198" t="s">
        <v>137</v>
      </c>
      <c r="Q172" s="3" t="s">
        <v>709</v>
      </c>
      <c r="R172" s="3" t="s">
        <v>108</v>
      </c>
      <c r="S172" s="129">
        <v>35</v>
      </c>
      <c r="T172" s="129">
        <v>60</v>
      </c>
      <c r="U172" s="129">
        <f t="shared" si="23"/>
        <v>95</v>
      </c>
      <c r="V172" s="3"/>
      <c r="W172" s="3" t="s">
        <v>171</v>
      </c>
      <c r="X172" s="3" t="s">
        <v>394</v>
      </c>
      <c r="Y172" s="60"/>
      <c r="Z172" s="3" t="s">
        <v>274</v>
      </c>
      <c r="AA172" s="3"/>
      <c r="AB172" s="3"/>
      <c r="AC172" s="3"/>
      <c r="AD172" s="249">
        <f t="shared" si="26"/>
        <v>46905</v>
      </c>
      <c r="AE172" s="249">
        <f t="shared" si="25"/>
        <v>46997</v>
      </c>
      <c r="AF172" s="3" t="s">
        <v>394</v>
      </c>
      <c r="AG172" s="3" t="s">
        <v>919</v>
      </c>
      <c r="AH172" s="3"/>
      <c r="AI172" s="3"/>
      <c r="AJ172" s="3"/>
      <c r="AK172" s="3" t="s">
        <v>181</v>
      </c>
      <c r="AL172" s="45">
        <v>46905</v>
      </c>
      <c r="AM172" s="3"/>
      <c r="AN172" s="3"/>
      <c r="AO172" s="3"/>
      <c r="AP172" s="3"/>
      <c r="AQ172" s="3"/>
      <c r="AR172" s="109" t="s">
        <v>710</v>
      </c>
      <c r="AS172" s="249">
        <v>46997</v>
      </c>
      <c r="AT172" s="3" t="s">
        <v>109</v>
      </c>
      <c r="AU172" s="3" t="s">
        <v>171</v>
      </c>
      <c r="AV172" s="109" t="s">
        <v>710</v>
      </c>
      <c r="AW172" s="3" t="s">
        <v>171</v>
      </c>
      <c r="AX172" s="3" t="s">
        <v>171</v>
      </c>
      <c r="AY172" s="3" t="s">
        <v>111</v>
      </c>
      <c r="AZ172" s="3" t="s">
        <v>111</v>
      </c>
      <c r="BA172" s="3" t="s">
        <v>111</v>
      </c>
      <c r="BB172" s="3" t="s">
        <v>111</v>
      </c>
      <c r="BC172" s="3" t="s">
        <v>111</v>
      </c>
      <c r="BD172" s="3" t="s">
        <v>111</v>
      </c>
      <c r="BE172" s="3" t="s">
        <v>111</v>
      </c>
      <c r="BF172" s="3" t="s">
        <v>111</v>
      </c>
      <c r="BG172" s="3" t="s">
        <v>111</v>
      </c>
      <c r="BH172" s="3" t="s">
        <v>171</v>
      </c>
      <c r="BI172" s="3" t="s">
        <v>111</v>
      </c>
      <c r="BJ172" s="3" t="s">
        <v>111</v>
      </c>
      <c r="BK172" s="3"/>
      <c r="BL172" s="3"/>
      <c r="BM172" s="3"/>
      <c r="BN172" s="3"/>
      <c r="BO172" s="3"/>
      <c r="BP172" s="3"/>
      <c r="BQ172" s="3"/>
      <c r="BR172" s="3"/>
      <c r="BS172" s="3"/>
      <c r="BT172" s="3"/>
      <c r="BU172" s="3"/>
      <c r="BV172" s="3"/>
      <c r="BW172" s="3" t="s">
        <v>184</v>
      </c>
      <c r="BX172" s="3"/>
      <c r="BY172" s="3"/>
      <c r="BZ172" s="3"/>
      <c r="CA172" s="3"/>
      <c r="CB172" s="112" t="s">
        <v>402</v>
      </c>
      <c r="CC172" s="112" t="s">
        <v>109</v>
      </c>
      <c r="CD172" s="3"/>
      <c r="CE172" s="3"/>
      <c r="CF172" s="112"/>
      <c r="CG172" s="112"/>
      <c r="CH172" s="133"/>
      <c r="CI172" s="112" t="str">
        <f t="shared" si="24"/>
        <v>Feb'23</v>
      </c>
      <c r="CJ172" s="112" t="s">
        <v>750</v>
      </c>
      <c r="CK172" s="112"/>
      <c r="CL172" s="112"/>
    </row>
    <row r="173" spans="1:90" s="4" customFormat="1" ht="94.5" customHeight="1" x14ac:dyDescent="0.25">
      <c r="A173" s="3">
        <v>60</v>
      </c>
      <c r="B173" s="126" t="s">
        <v>924</v>
      </c>
      <c r="C173" s="109" t="s">
        <v>925</v>
      </c>
      <c r="D173" s="3" t="s">
        <v>156</v>
      </c>
      <c r="E173" s="59"/>
      <c r="F173" s="3">
        <v>9822979166</v>
      </c>
      <c r="G173" s="3" t="s">
        <v>142</v>
      </c>
      <c r="H173" s="3" t="s">
        <v>122</v>
      </c>
      <c r="I173" s="3" t="s">
        <v>143</v>
      </c>
      <c r="J173" s="3" t="s">
        <v>144</v>
      </c>
      <c r="K173" s="3" t="s">
        <v>926</v>
      </c>
      <c r="L173" s="3" t="s">
        <v>179</v>
      </c>
      <c r="M173" s="56">
        <v>44987</v>
      </c>
      <c r="N173" s="69">
        <f t="shared" ca="1" si="21"/>
        <v>1190</v>
      </c>
      <c r="O173" s="72" t="str">
        <f t="shared" ca="1" si="22"/>
        <v>3-4Y</v>
      </c>
      <c r="P173" s="198" t="s">
        <v>158</v>
      </c>
      <c r="Q173" s="3" t="s">
        <v>125</v>
      </c>
      <c r="R173" s="3" t="s">
        <v>108</v>
      </c>
      <c r="S173" s="129">
        <v>30</v>
      </c>
      <c r="T173" s="129">
        <v>130</v>
      </c>
      <c r="U173" s="129">
        <f t="shared" si="23"/>
        <v>160</v>
      </c>
      <c r="V173" s="3"/>
      <c r="W173" s="3" t="s">
        <v>171</v>
      </c>
      <c r="X173" s="3" t="s">
        <v>394</v>
      </c>
      <c r="Y173" s="60"/>
      <c r="Z173" s="3"/>
      <c r="AA173" s="3"/>
      <c r="AB173" s="3"/>
      <c r="AC173" s="3"/>
      <c r="AD173" s="249">
        <f t="shared" si="26"/>
        <v>46905</v>
      </c>
      <c r="AE173" s="249">
        <f t="shared" si="25"/>
        <v>46997</v>
      </c>
      <c r="AF173" s="3" t="s">
        <v>394</v>
      </c>
      <c r="AG173" s="3" t="s">
        <v>581</v>
      </c>
      <c r="AH173" s="3"/>
      <c r="AI173" s="3" t="s">
        <v>115</v>
      </c>
      <c r="AJ173" s="3" t="s">
        <v>115</v>
      </c>
      <c r="AK173" s="3" t="s">
        <v>181</v>
      </c>
      <c r="AL173" s="45">
        <v>46905</v>
      </c>
      <c r="AM173" s="3" t="s">
        <v>109</v>
      </c>
      <c r="AN173" s="3" t="s">
        <v>109</v>
      </c>
      <c r="AO173" s="3"/>
      <c r="AP173" s="3"/>
      <c r="AQ173" s="3"/>
      <c r="AR173" s="109" t="s">
        <v>545</v>
      </c>
      <c r="AS173" s="249">
        <v>46997</v>
      </c>
      <c r="AT173" s="3" t="s">
        <v>109</v>
      </c>
      <c r="AU173" s="3" t="s">
        <v>171</v>
      </c>
      <c r="AV173" s="3" t="s">
        <v>927</v>
      </c>
      <c r="AW173" s="3" t="s">
        <v>109</v>
      </c>
      <c r="AX173" s="3" t="s">
        <v>111</v>
      </c>
      <c r="AY173" s="3" t="s">
        <v>111</v>
      </c>
      <c r="AZ173" s="3" t="s">
        <v>111</v>
      </c>
      <c r="BA173" s="3" t="s">
        <v>111</v>
      </c>
      <c r="BB173" s="3" t="s">
        <v>111</v>
      </c>
      <c r="BC173" s="3" t="s">
        <v>111</v>
      </c>
      <c r="BD173" s="3" t="s">
        <v>111</v>
      </c>
      <c r="BE173" s="3" t="s">
        <v>111</v>
      </c>
      <c r="BF173" s="3" t="s">
        <v>111</v>
      </c>
      <c r="BG173" s="3" t="s">
        <v>111</v>
      </c>
      <c r="BH173" s="3" t="s">
        <v>111</v>
      </c>
      <c r="BI173" s="3" t="s">
        <v>111</v>
      </c>
      <c r="BJ173" s="3" t="s">
        <v>111</v>
      </c>
      <c r="BK173" s="3" t="s">
        <v>109</v>
      </c>
      <c r="BL173" s="3" t="s">
        <v>114</v>
      </c>
      <c r="BM173" s="3" t="s">
        <v>111</v>
      </c>
      <c r="BN173" s="3" t="s">
        <v>111</v>
      </c>
      <c r="BO173" s="3" t="s">
        <v>115</v>
      </c>
      <c r="BP173" s="3"/>
      <c r="BQ173" s="3"/>
      <c r="BR173" s="3"/>
      <c r="BS173" s="3"/>
      <c r="BT173" s="3"/>
      <c r="BU173" s="3"/>
      <c r="BV173" s="3"/>
      <c r="BW173" s="3" t="s">
        <v>184</v>
      </c>
      <c r="BX173" s="3"/>
      <c r="BY173" s="3"/>
      <c r="BZ173" s="3"/>
      <c r="CA173" s="3"/>
      <c r="CB173" s="112" t="s">
        <v>185</v>
      </c>
      <c r="CC173" s="112" t="s">
        <v>109</v>
      </c>
      <c r="CD173" s="3"/>
      <c r="CE173" s="3"/>
      <c r="CF173" s="112"/>
      <c r="CG173" s="112"/>
      <c r="CH173" s="133"/>
      <c r="CI173" s="112" t="str">
        <f t="shared" si="24"/>
        <v>Mar'23</v>
      </c>
      <c r="CJ173" s="112" t="s">
        <v>132</v>
      </c>
      <c r="CK173" s="256"/>
      <c r="CL173" s="192"/>
    </row>
    <row r="174" spans="1:90" s="4" customFormat="1" ht="94.5" customHeight="1" x14ac:dyDescent="0.25">
      <c r="A174" s="3">
        <v>61</v>
      </c>
      <c r="B174" s="126" t="s">
        <v>928</v>
      </c>
      <c r="C174" s="109" t="s">
        <v>929</v>
      </c>
      <c r="D174" s="3" t="s">
        <v>121</v>
      </c>
      <c r="E174" s="59"/>
      <c r="F174" s="3">
        <v>8600400101</v>
      </c>
      <c r="G174" s="3" t="s">
        <v>100</v>
      </c>
      <c r="H174" s="3" t="s">
        <v>122</v>
      </c>
      <c r="I174" s="3" t="s">
        <v>102</v>
      </c>
      <c r="J174" s="3" t="s">
        <v>123</v>
      </c>
      <c r="K174" s="3" t="s">
        <v>930</v>
      </c>
      <c r="L174" s="3" t="s">
        <v>179</v>
      </c>
      <c r="M174" s="56">
        <v>45005</v>
      </c>
      <c r="N174" s="69">
        <f t="shared" ca="1" si="21"/>
        <v>1172</v>
      </c>
      <c r="O174" s="72" t="str">
        <f t="shared" ca="1" si="22"/>
        <v>3-4Y</v>
      </c>
      <c r="P174" s="198" t="s">
        <v>106</v>
      </c>
      <c r="Q174" s="3" t="s">
        <v>192</v>
      </c>
      <c r="R174" s="3" t="s">
        <v>164</v>
      </c>
      <c r="S174" s="129">
        <v>6</v>
      </c>
      <c r="T174" s="129">
        <v>40</v>
      </c>
      <c r="U174" s="129">
        <f t="shared" si="23"/>
        <v>46</v>
      </c>
      <c r="V174" s="3"/>
      <c r="W174" s="3" t="s">
        <v>171</v>
      </c>
      <c r="X174" s="3" t="s">
        <v>394</v>
      </c>
      <c r="Y174" s="60"/>
      <c r="Z174" s="3"/>
      <c r="AA174" s="3"/>
      <c r="AB174" s="3"/>
      <c r="AC174" s="3"/>
      <c r="AD174" s="249">
        <f t="shared" si="26"/>
        <v>46905</v>
      </c>
      <c r="AE174" s="249">
        <f t="shared" si="25"/>
        <v>46997</v>
      </c>
      <c r="AF174" s="3" t="s">
        <v>394</v>
      </c>
      <c r="AG174" s="3" t="s">
        <v>581</v>
      </c>
      <c r="AH174" s="3"/>
      <c r="AI174" s="3" t="s">
        <v>115</v>
      </c>
      <c r="AJ174" s="3" t="s">
        <v>115</v>
      </c>
      <c r="AK174" s="3" t="s">
        <v>181</v>
      </c>
      <c r="AL174" s="45">
        <v>46905</v>
      </c>
      <c r="AM174" s="3" t="s">
        <v>109</v>
      </c>
      <c r="AN174" s="3" t="s">
        <v>109</v>
      </c>
      <c r="AO174" s="3"/>
      <c r="AP174" s="3"/>
      <c r="AQ174" s="3"/>
      <c r="AR174" s="109" t="s">
        <v>931</v>
      </c>
      <c r="AS174" s="249">
        <v>46997</v>
      </c>
      <c r="AT174" s="3" t="s">
        <v>109</v>
      </c>
      <c r="AU174" s="3" t="s">
        <v>298</v>
      </c>
      <c r="AV174" s="3" t="s">
        <v>932</v>
      </c>
      <c r="AW174" s="3" t="s">
        <v>171</v>
      </c>
      <c r="AX174" s="3" t="s">
        <v>109</v>
      </c>
      <c r="AY174" s="3" t="s">
        <v>261</v>
      </c>
      <c r="AZ174" s="3" t="s">
        <v>261</v>
      </c>
      <c r="BA174" s="3" t="s">
        <v>261</v>
      </c>
      <c r="BB174" s="3" t="s">
        <v>261</v>
      </c>
      <c r="BC174" s="3" t="s">
        <v>261</v>
      </c>
      <c r="BD174" s="3" t="s">
        <v>261</v>
      </c>
      <c r="BE174" s="3" t="s">
        <v>111</v>
      </c>
      <c r="BF174" s="3" t="s">
        <v>111</v>
      </c>
      <c r="BG174" s="59" t="s">
        <v>332</v>
      </c>
      <c r="BH174" s="59" t="s">
        <v>171</v>
      </c>
      <c r="BI174" s="45">
        <v>46905</v>
      </c>
      <c r="BJ174" s="45">
        <v>46935</v>
      </c>
      <c r="BK174" s="3" t="s">
        <v>109</v>
      </c>
      <c r="BL174" s="3"/>
      <c r="BM174" s="3" t="s">
        <v>111</v>
      </c>
      <c r="BN174" s="3" t="s">
        <v>111</v>
      </c>
      <c r="BO174" s="3" t="s">
        <v>115</v>
      </c>
      <c r="BP174" s="3"/>
      <c r="BQ174" s="3"/>
      <c r="BR174" s="3"/>
      <c r="BS174" s="3"/>
      <c r="BT174" s="3"/>
      <c r="BU174" s="3"/>
      <c r="BV174" s="3"/>
      <c r="BW174" s="3" t="s">
        <v>184</v>
      </c>
      <c r="BX174" s="3"/>
      <c r="BY174" s="3"/>
      <c r="BZ174" s="3"/>
      <c r="CA174" s="3"/>
      <c r="CB174" s="112" t="s">
        <v>185</v>
      </c>
      <c r="CC174" s="112" t="s">
        <v>109</v>
      </c>
      <c r="CD174" s="3"/>
      <c r="CE174" s="3"/>
      <c r="CF174" s="112"/>
      <c r="CG174" s="112"/>
      <c r="CH174" s="133"/>
      <c r="CI174" s="112" t="str">
        <f t="shared" si="24"/>
        <v>Mar'23</v>
      </c>
      <c r="CJ174" s="112" t="s">
        <v>192</v>
      </c>
      <c r="CK174" s="255"/>
      <c r="CL174" s="192"/>
    </row>
    <row r="175" spans="1:90" s="4" customFormat="1" ht="94.5" customHeight="1" x14ac:dyDescent="0.25">
      <c r="A175" s="3">
        <v>63</v>
      </c>
      <c r="B175" s="126" t="s">
        <v>933</v>
      </c>
      <c r="C175" s="109" t="s">
        <v>934</v>
      </c>
      <c r="D175" s="3" t="s">
        <v>135</v>
      </c>
      <c r="E175" s="59"/>
      <c r="F175" s="3">
        <v>7756899321</v>
      </c>
      <c r="G175" s="3" t="s">
        <v>169</v>
      </c>
      <c r="H175" s="3" t="s">
        <v>122</v>
      </c>
      <c r="I175" s="3" t="s">
        <v>143</v>
      </c>
      <c r="J175" s="3" t="s">
        <v>144</v>
      </c>
      <c r="K175" s="3" t="s">
        <v>935</v>
      </c>
      <c r="L175" s="3" t="s">
        <v>179</v>
      </c>
      <c r="M175" s="56">
        <v>45012</v>
      </c>
      <c r="N175" s="69">
        <f t="shared" ca="1" si="21"/>
        <v>1165</v>
      </c>
      <c r="O175" s="72" t="str">
        <f t="shared" ca="1" si="22"/>
        <v>3-4Y</v>
      </c>
      <c r="P175" s="198" t="s">
        <v>137</v>
      </c>
      <c r="Q175" s="3" t="s">
        <v>192</v>
      </c>
      <c r="R175" s="3" t="s">
        <v>108</v>
      </c>
      <c r="S175" s="129">
        <v>30</v>
      </c>
      <c r="T175" s="129">
        <v>80</v>
      </c>
      <c r="U175" s="129">
        <f t="shared" si="23"/>
        <v>110</v>
      </c>
      <c r="V175" s="3"/>
      <c r="W175" s="3" t="s">
        <v>171</v>
      </c>
      <c r="X175" s="3" t="s">
        <v>394</v>
      </c>
      <c r="Y175" s="60"/>
      <c r="Z175" s="3"/>
      <c r="AA175" s="3"/>
      <c r="AB175" s="3"/>
      <c r="AC175" s="3"/>
      <c r="AD175" s="249">
        <f t="shared" si="26"/>
        <v>46905</v>
      </c>
      <c r="AE175" s="249">
        <f t="shared" ref="AE175:AE206" si="27">+AS175</f>
        <v>46997</v>
      </c>
      <c r="AF175" s="3" t="s">
        <v>394</v>
      </c>
      <c r="AG175" s="3" t="s">
        <v>581</v>
      </c>
      <c r="AH175" s="3"/>
      <c r="AI175" s="3" t="s">
        <v>115</v>
      </c>
      <c r="AJ175" s="3" t="s">
        <v>115</v>
      </c>
      <c r="AK175" s="3" t="s">
        <v>181</v>
      </c>
      <c r="AL175" s="45">
        <v>46905</v>
      </c>
      <c r="AM175" s="3" t="s">
        <v>109</v>
      </c>
      <c r="AN175" s="3" t="s">
        <v>109</v>
      </c>
      <c r="AO175" s="3"/>
      <c r="AP175" s="3"/>
      <c r="AQ175" s="3"/>
      <c r="AR175" s="109" t="s">
        <v>936</v>
      </c>
      <c r="AS175" s="249">
        <v>46997</v>
      </c>
      <c r="AT175" s="3" t="s">
        <v>109</v>
      </c>
      <c r="AU175" s="3" t="s">
        <v>171</v>
      </c>
      <c r="AV175" s="109" t="s">
        <v>936</v>
      </c>
      <c r="AW175" s="3" t="s">
        <v>171</v>
      </c>
      <c r="AX175" s="3" t="s">
        <v>171</v>
      </c>
      <c r="AY175" s="3" t="s">
        <v>111</v>
      </c>
      <c r="AZ175" s="3" t="s">
        <v>111</v>
      </c>
      <c r="BA175" s="3" t="s">
        <v>111</v>
      </c>
      <c r="BB175" s="3" t="s">
        <v>111</v>
      </c>
      <c r="BC175" s="3" t="s">
        <v>111</v>
      </c>
      <c r="BD175" s="3" t="s">
        <v>111</v>
      </c>
      <c r="BE175" s="3" t="s">
        <v>111</v>
      </c>
      <c r="BF175" s="3" t="s">
        <v>111</v>
      </c>
      <c r="BG175" s="3" t="s">
        <v>111</v>
      </c>
      <c r="BH175" s="3" t="s">
        <v>171</v>
      </c>
      <c r="BI175" s="3" t="s">
        <v>111</v>
      </c>
      <c r="BJ175" s="3" t="s">
        <v>111</v>
      </c>
      <c r="BK175" s="3"/>
      <c r="BL175" s="3"/>
      <c r="BM175" s="3" t="s">
        <v>111</v>
      </c>
      <c r="BN175" s="3" t="s">
        <v>111</v>
      </c>
      <c r="BO175" s="3" t="s">
        <v>115</v>
      </c>
      <c r="BP175" s="3"/>
      <c r="BQ175" s="3"/>
      <c r="BR175" s="3"/>
      <c r="BS175" s="3"/>
      <c r="BT175" s="3"/>
      <c r="BU175" s="3"/>
      <c r="BV175" s="3"/>
      <c r="BW175" s="3" t="s">
        <v>184</v>
      </c>
      <c r="BX175" s="3"/>
      <c r="BY175" s="3"/>
      <c r="BZ175" s="3"/>
      <c r="CA175" s="3"/>
      <c r="CB175" s="112" t="s">
        <v>185</v>
      </c>
      <c r="CC175" s="112" t="s">
        <v>109</v>
      </c>
      <c r="CD175" s="3"/>
      <c r="CE175" s="3"/>
      <c r="CF175" s="112"/>
      <c r="CG175" s="112"/>
      <c r="CH175" s="133"/>
      <c r="CI175" s="112" t="str">
        <f t="shared" si="24"/>
        <v>Mar'23</v>
      </c>
      <c r="CJ175" s="112" t="s">
        <v>192</v>
      </c>
      <c r="CK175" s="112"/>
      <c r="CL175" s="112"/>
    </row>
    <row r="176" spans="1:90" s="4" customFormat="1" ht="94.5" customHeight="1" x14ac:dyDescent="0.25">
      <c r="A176" s="3">
        <v>64</v>
      </c>
      <c r="B176" s="126" t="s">
        <v>937</v>
      </c>
      <c r="C176" s="109" t="s">
        <v>938</v>
      </c>
      <c r="D176" s="3" t="s">
        <v>99</v>
      </c>
      <c r="E176" s="59"/>
      <c r="F176" s="3">
        <v>8308704647</v>
      </c>
      <c r="G176" s="3" t="s">
        <v>100</v>
      </c>
      <c r="H176" s="3" t="s">
        <v>101</v>
      </c>
      <c r="I176" s="3" t="s">
        <v>102</v>
      </c>
      <c r="J176" s="3" t="s">
        <v>103</v>
      </c>
      <c r="K176" s="3" t="s">
        <v>939</v>
      </c>
      <c r="L176" s="3" t="s">
        <v>179</v>
      </c>
      <c r="M176" s="56">
        <v>45016</v>
      </c>
      <c r="N176" s="69">
        <f t="shared" ca="1" si="21"/>
        <v>1161</v>
      </c>
      <c r="O176" s="72" t="str">
        <f t="shared" ca="1" si="22"/>
        <v>3-4Y</v>
      </c>
      <c r="P176" s="198" t="s">
        <v>106</v>
      </c>
      <c r="Q176" s="3" t="s">
        <v>107</v>
      </c>
      <c r="R176" s="3" t="s">
        <v>164</v>
      </c>
      <c r="S176" s="129">
        <v>6</v>
      </c>
      <c r="T176" s="129">
        <v>40</v>
      </c>
      <c r="U176" s="129">
        <f t="shared" si="23"/>
        <v>46</v>
      </c>
      <c r="V176" s="3"/>
      <c r="W176" s="3" t="s">
        <v>171</v>
      </c>
      <c r="X176" s="3" t="s">
        <v>394</v>
      </c>
      <c r="Y176" s="60">
        <f>+IF(AO176="Approved","Yes",AS176)</f>
        <v>46997</v>
      </c>
      <c r="Z176" s="3" t="s">
        <v>274</v>
      </c>
      <c r="AA176" s="3"/>
      <c r="AB176" s="3"/>
      <c r="AC176" s="3"/>
      <c r="AD176" s="249">
        <f t="shared" si="26"/>
        <v>46905</v>
      </c>
      <c r="AE176" s="249">
        <f t="shared" si="27"/>
        <v>46997</v>
      </c>
      <c r="AF176" s="3" t="s">
        <v>394</v>
      </c>
      <c r="AG176" s="3"/>
      <c r="AH176" s="3"/>
      <c r="AI176" s="3" t="s">
        <v>109</v>
      </c>
      <c r="AJ176" s="3" t="s">
        <v>184</v>
      </c>
      <c r="AK176" s="3" t="s">
        <v>181</v>
      </c>
      <c r="AL176" s="45">
        <v>46905</v>
      </c>
      <c r="AM176" s="3"/>
      <c r="AN176" s="3" t="s">
        <v>184</v>
      </c>
      <c r="AO176" s="3"/>
      <c r="AP176" s="3"/>
      <c r="AQ176" s="3"/>
      <c r="AR176" s="109" t="s">
        <v>940</v>
      </c>
      <c r="AS176" s="249">
        <v>46997</v>
      </c>
      <c r="AT176" s="3" t="s">
        <v>109</v>
      </c>
      <c r="AU176" s="3" t="s">
        <v>171</v>
      </c>
      <c r="AV176" s="109" t="s">
        <v>941</v>
      </c>
      <c r="AW176" s="3" t="s">
        <v>109</v>
      </c>
      <c r="AX176" s="3" t="s">
        <v>348</v>
      </c>
      <c r="AY176" s="3" t="s">
        <v>348</v>
      </c>
      <c r="AZ176" s="3" t="s">
        <v>348</v>
      </c>
      <c r="BA176" s="3" t="s">
        <v>348</v>
      </c>
      <c r="BB176" s="3" t="s">
        <v>348</v>
      </c>
      <c r="BC176" s="3" t="s">
        <v>348</v>
      </c>
      <c r="BD176" s="3" t="s">
        <v>348</v>
      </c>
      <c r="BE176" s="3" t="s">
        <v>111</v>
      </c>
      <c r="BF176" s="3" t="s">
        <v>111</v>
      </c>
      <c r="BG176" s="59" t="s">
        <v>533</v>
      </c>
      <c r="BH176" s="59" t="s">
        <v>90</v>
      </c>
      <c r="BI176" s="3" t="s">
        <v>111</v>
      </c>
      <c r="BJ176" s="3" t="s">
        <v>111</v>
      </c>
      <c r="BK176" s="3" t="s">
        <v>109</v>
      </c>
      <c r="BL176" s="3" t="s">
        <v>114</v>
      </c>
      <c r="BM176" s="3"/>
      <c r="BN176" s="3"/>
      <c r="BO176" s="3"/>
      <c r="BP176" s="3"/>
      <c r="BQ176" s="3"/>
      <c r="BR176" s="3"/>
      <c r="BS176" s="3"/>
      <c r="BT176" s="3"/>
      <c r="BU176" s="3"/>
      <c r="BV176" s="3"/>
      <c r="BW176" s="3" t="s">
        <v>184</v>
      </c>
      <c r="BX176" s="3"/>
      <c r="BY176" s="3"/>
      <c r="BZ176" s="3"/>
      <c r="CA176" s="3"/>
      <c r="CB176" s="112" t="s">
        <v>185</v>
      </c>
      <c r="CC176" s="112" t="s">
        <v>109</v>
      </c>
      <c r="CD176" s="3"/>
      <c r="CE176" s="3"/>
      <c r="CF176" s="112"/>
      <c r="CG176" s="112"/>
      <c r="CH176" s="133"/>
      <c r="CI176" s="112" t="str">
        <f t="shared" si="24"/>
        <v>Mar'23</v>
      </c>
      <c r="CJ176" s="112" t="s">
        <v>107</v>
      </c>
      <c r="CK176" s="256"/>
      <c r="CL176" s="192"/>
    </row>
    <row r="177" spans="1:90" s="4" customFormat="1" ht="94.5" customHeight="1" x14ac:dyDescent="0.25">
      <c r="A177" s="3">
        <v>65</v>
      </c>
      <c r="B177" s="126" t="s">
        <v>942</v>
      </c>
      <c r="C177" s="109" t="s">
        <v>943</v>
      </c>
      <c r="D177" s="3" t="s">
        <v>121</v>
      </c>
      <c r="E177" s="59"/>
      <c r="F177" s="3">
        <v>9405815809</v>
      </c>
      <c r="G177" s="3" t="s">
        <v>169</v>
      </c>
      <c r="H177" s="3" t="s">
        <v>101</v>
      </c>
      <c r="I177" s="3" t="s">
        <v>143</v>
      </c>
      <c r="J177" s="3" t="s">
        <v>162</v>
      </c>
      <c r="K177" s="3" t="s">
        <v>944</v>
      </c>
      <c r="L177" s="3" t="s">
        <v>179</v>
      </c>
      <c r="M177" s="56">
        <v>45026</v>
      </c>
      <c r="N177" s="69">
        <f t="shared" ca="1" si="21"/>
        <v>1151</v>
      </c>
      <c r="O177" s="72" t="str">
        <f t="shared" ca="1" si="22"/>
        <v>3-4Y</v>
      </c>
      <c r="P177" s="198" t="s">
        <v>106</v>
      </c>
      <c r="Q177" s="3" t="s">
        <v>180</v>
      </c>
      <c r="R177" s="3" t="s">
        <v>164</v>
      </c>
      <c r="S177" s="129">
        <v>30</v>
      </c>
      <c r="T177" s="129">
        <v>75</v>
      </c>
      <c r="U177" s="129">
        <f t="shared" si="23"/>
        <v>105</v>
      </c>
      <c r="V177" s="3"/>
      <c r="W177" s="3" t="s">
        <v>171</v>
      </c>
      <c r="X177" s="3" t="s">
        <v>394</v>
      </c>
      <c r="Y177" s="60"/>
      <c r="Z177" s="3" t="s">
        <v>274</v>
      </c>
      <c r="AA177" s="3"/>
      <c r="AB177" s="3"/>
      <c r="AC177" s="3"/>
      <c r="AD177" s="249">
        <f t="shared" si="26"/>
        <v>46905</v>
      </c>
      <c r="AE177" s="249">
        <f t="shared" si="27"/>
        <v>46997</v>
      </c>
      <c r="AF177" s="3" t="s">
        <v>394</v>
      </c>
      <c r="AG177" s="3" t="s">
        <v>713</v>
      </c>
      <c r="AH177" s="3"/>
      <c r="AI177" s="3"/>
      <c r="AJ177" s="3"/>
      <c r="AK177" s="3" t="s">
        <v>181</v>
      </c>
      <c r="AL177" s="45">
        <v>46905</v>
      </c>
      <c r="AM177" s="3"/>
      <c r="AN177" s="3"/>
      <c r="AO177" s="3"/>
      <c r="AP177" s="3"/>
      <c r="AQ177" s="3"/>
      <c r="AR177" s="109" t="s">
        <v>713</v>
      </c>
      <c r="AS177" s="249">
        <v>46997</v>
      </c>
      <c r="AT177" s="3" t="s">
        <v>109</v>
      </c>
      <c r="AU177" s="3" t="s">
        <v>171</v>
      </c>
      <c r="AV177" s="3" t="s">
        <v>945</v>
      </c>
      <c r="AW177" s="3" t="s">
        <v>171</v>
      </c>
      <c r="AX177" s="3" t="s">
        <v>109</v>
      </c>
      <c r="AY177" s="3" t="s">
        <v>130</v>
      </c>
      <c r="AZ177" s="3" t="s">
        <v>130</v>
      </c>
      <c r="BA177" s="3" t="s">
        <v>130</v>
      </c>
      <c r="BB177" s="3" t="s">
        <v>130</v>
      </c>
      <c r="BC177" s="3" t="s">
        <v>130</v>
      </c>
      <c r="BD177" s="3" t="s">
        <v>130</v>
      </c>
      <c r="BE177" s="3" t="s">
        <v>111</v>
      </c>
      <c r="BF177" s="3" t="s">
        <v>111</v>
      </c>
      <c r="BG177" s="59" t="s">
        <v>332</v>
      </c>
      <c r="BH177" s="59" t="s">
        <v>171</v>
      </c>
      <c r="BI177" s="45">
        <v>46905</v>
      </c>
      <c r="BJ177" s="45">
        <v>46935</v>
      </c>
      <c r="BK177" s="3"/>
      <c r="BL177" s="3"/>
      <c r="BM177" s="3"/>
      <c r="BN177" s="3"/>
      <c r="BO177" s="3"/>
      <c r="BP177" s="3"/>
      <c r="BQ177" s="3"/>
      <c r="BR177" s="3"/>
      <c r="BS177" s="3"/>
      <c r="BT177" s="3"/>
      <c r="BU177" s="3"/>
      <c r="BV177" s="3"/>
      <c r="BW177" s="3" t="s">
        <v>184</v>
      </c>
      <c r="BX177" s="3"/>
      <c r="BY177" s="3"/>
      <c r="BZ177" s="3"/>
      <c r="CA177" s="3"/>
      <c r="CB177" s="112" t="s">
        <v>185</v>
      </c>
      <c r="CC177" s="112" t="s">
        <v>109</v>
      </c>
      <c r="CD177" s="3"/>
      <c r="CE177" s="3"/>
      <c r="CF177" s="112"/>
      <c r="CG177" s="112"/>
      <c r="CH177" s="133"/>
      <c r="CI177" s="112" t="str">
        <f t="shared" si="24"/>
        <v>Apr'23</v>
      </c>
      <c r="CJ177" s="112" t="s">
        <v>186</v>
      </c>
      <c r="CK177" s="112"/>
      <c r="CL177" s="192"/>
    </row>
    <row r="178" spans="1:90" s="4" customFormat="1" ht="94.5" customHeight="1" x14ac:dyDescent="0.25">
      <c r="A178" s="3">
        <v>67</v>
      </c>
      <c r="B178" s="126" t="s">
        <v>946</v>
      </c>
      <c r="C178" s="109" t="s">
        <v>947</v>
      </c>
      <c r="D178" s="3" t="s">
        <v>398</v>
      </c>
      <c r="E178" s="59"/>
      <c r="F178" s="3">
        <v>9822432697</v>
      </c>
      <c r="G178" s="3" t="s">
        <v>100</v>
      </c>
      <c r="H178" s="3" t="s">
        <v>101</v>
      </c>
      <c r="I178" s="3" t="s">
        <v>102</v>
      </c>
      <c r="J178" s="3" t="s">
        <v>103</v>
      </c>
      <c r="K178" s="3" t="s">
        <v>948</v>
      </c>
      <c r="L178" s="3" t="s">
        <v>179</v>
      </c>
      <c r="M178" s="56">
        <v>45069</v>
      </c>
      <c r="N178" s="69">
        <f t="shared" ca="1" si="21"/>
        <v>1108</v>
      </c>
      <c r="O178" s="72" t="str">
        <f t="shared" ca="1" si="22"/>
        <v>3-4Y</v>
      </c>
      <c r="P178" s="198" t="s">
        <v>106</v>
      </c>
      <c r="Q178" s="3" t="s">
        <v>107</v>
      </c>
      <c r="R178" s="3" t="s">
        <v>164</v>
      </c>
      <c r="S178" s="129">
        <v>6</v>
      </c>
      <c r="T178" s="129">
        <v>40</v>
      </c>
      <c r="U178" s="129">
        <f t="shared" si="23"/>
        <v>46</v>
      </c>
      <c r="V178" s="3"/>
      <c r="W178" s="3" t="s">
        <v>171</v>
      </c>
      <c r="X178" s="3" t="s">
        <v>394</v>
      </c>
      <c r="Y178" s="60"/>
      <c r="Z178" s="3" t="s">
        <v>274</v>
      </c>
      <c r="AA178" s="3"/>
      <c r="AB178" s="3"/>
      <c r="AC178" s="3"/>
      <c r="AD178" s="249">
        <f t="shared" si="26"/>
        <v>46905</v>
      </c>
      <c r="AE178" s="249">
        <f t="shared" si="27"/>
        <v>46997</v>
      </c>
      <c r="AF178" s="3" t="s">
        <v>394</v>
      </c>
      <c r="AG178" s="3" t="s">
        <v>721</v>
      </c>
      <c r="AH178" s="3"/>
      <c r="AI178" s="3"/>
      <c r="AJ178" s="3"/>
      <c r="AK178" s="3" t="s">
        <v>181</v>
      </c>
      <c r="AL178" s="45">
        <v>46905</v>
      </c>
      <c r="AM178" s="3"/>
      <c r="AN178" s="3"/>
      <c r="AO178" s="3"/>
      <c r="AP178" s="3"/>
      <c r="AQ178" s="3"/>
      <c r="AR178" s="109" t="s">
        <v>949</v>
      </c>
      <c r="AS178" s="249">
        <v>46997</v>
      </c>
      <c r="AT178" s="59"/>
      <c r="AU178" s="59" t="s">
        <v>171</v>
      </c>
      <c r="AV178" s="59"/>
      <c r="AW178" s="59" t="s">
        <v>171</v>
      </c>
      <c r="AX178" s="59"/>
      <c r="AY178" s="59"/>
      <c r="AZ178" s="59"/>
      <c r="BA178" s="59"/>
      <c r="BB178" s="59"/>
      <c r="BC178" s="59"/>
      <c r="BD178" s="59"/>
      <c r="BE178" s="59"/>
      <c r="BF178" s="59"/>
      <c r="BG178" s="59"/>
      <c r="BH178" s="59"/>
      <c r="BI178" s="243"/>
      <c r="BJ178" s="243"/>
      <c r="BK178" s="3" t="s">
        <v>109</v>
      </c>
      <c r="BL178" s="3" t="s">
        <v>199</v>
      </c>
      <c r="BM178" s="3"/>
      <c r="BN178" s="3"/>
      <c r="BO178" s="3"/>
      <c r="BP178" s="3"/>
      <c r="BQ178" s="3"/>
      <c r="BR178" s="3"/>
      <c r="BS178" s="3"/>
      <c r="BT178" s="3"/>
      <c r="BU178" s="3"/>
      <c r="BV178" s="3"/>
      <c r="BW178" s="3" t="s">
        <v>184</v>
      </c>
      <c r="BX178" s="3"/>
      <c r="BY178" s="3"/>
      <c r="BZ178" s="3"/>
      <c r="CA178" s="3"/>
      <c r="CB178" s="112" t="s">
        <v>185</v>
      </c>
      <c r="CC178" s="112" t="s">
        <v>109</v>
      </c>
      <c r="CD178" s="3"/>
      <c r="CE178" s="3"/>
      <c r="CF178" s="112"/>
      <c r="CG178" s="112"/>
      <c r="CH178" s="133"/>
      <c r="CI178" s="112" t="str">
        <f t="shared" si="24"/>
        <v>May'23</v>
      </c>
      <c r="CJ178" s="112" t="s">
        <v>107</v>
      </c>
      <c r="CK178" s="112"/>
      <c r="CL178" s="192"/>
    </row>
    <row r="179" spans="1:90" s="4" customFormat="1" ht="72" customHeight="1" x14ac:dyDescent="0.25">
      <c r="A179" s="3">
        <v>69</v>
      </c>
      <c r="B179" s="126" t="s">
        <v>950</v>
      </c>
      <c r="C179" s="109" t="s">
        <v>951</v>
      </c>
      <c r="D179" s="3" t="s">
        <v>99</v>
      </c>
      <c r="E179" s="59"/>
      <c r="F179" s="3">
        <v>8208953981</v>
      </c>
      <c r="G179" s="3" t="s">
        <v>634</v>
      </c>
      <c r="H179" s="3" t="s">
        <v>101</v>
      </c>
      <c r="I179" s="3" t="s">
        <v>143</v>
      </c>
      <c r="J179" s="3" t="s">
        <v>162</v>
      </c>
      <c r="K179" s="3" t="s">
        <v>952</v>
      </c>
      <c r="L179" s="3" t="s">
        <v>179</v>
      </c>
      <c r="M179" s="56">
        <v>45209</v>
      </c>
      <c r="N179" s="69">
        <f t="shared" ca="1" si="21"/>
        <v>968</v>
      </c>
      <c r="O179" s="72" t="str">
        <f t="shared" ca="1" si="22"/>
        <v>2-3Y</v>
      </c>
      <c r="P179" s="198" t="s">
        <v>106</v>
      </c>
      <c r="Q179" s="3" t="s">
        <v>107</v>
      </c>
      <c r="R179" s="3" t="s">
        <v>108</v>
      </c>
      <c r="S179" s="129">
        <v>80</v>
      </c>
      <c r="T179" s="129">
        <v>120</v>
      </c>
      <c r="U179" s="129">
        <f t="shared" si="23"/>
        <v>200</v>
      </c>
      <c r="V179" s="3"/>
      <c r="W179" s="3" t="s">
        <v>171</v>
      </c>
      <c r="X179" s="3" t="s">
        <v>394</v>
      </c>
      <c r="Y179" s="60"/>
      <c r="Z179" s="3" t="s">
        <v>274</v>
      </c>
      <c r="AA179" s="3"/>
      <c r="AB179" s="3"/>
      <c r="AC179" s="3"/>
      <c r="AD179" s="249">
        <f t="shared" si="26"/>
        <v>46905</v>
      </c>
      <c r="AE179" s="249">
        <f t="shared" si="27"/>
        <v>46997</v>
      </c>
      <c r="AF179" s="3" t="s">
        <v>394</v>
      </c>
      <c r="AG179" s="3" t="s">
        <v>721</v>
      </c>
      <c r="AH179" s="3"/>
      <c r="AI179" s="3"/>
      <c r="AJ179" s="3"/>
      <c r="AK179" s="3" t="s">
        <v>181</v>
      </c>
      <c r="AL179" s="45">
        <v>46905</v>
      </c>
      <c r="AM179" s="3"/>
      <c r="AN179" s="3"/>
      <c r="AO179" s="3"/>
      <c r="AP179" s="3"/>
      <c r="AQ179" s="3"/>
      <c r="AR179" s="109" t="s">
        <v>953</v>
      </c>
      <c r="AS179" s="249">
        <v>46997</v>
      </c>
      <c r="AT179" s="3" t="s">
        <v>109</v>
      </c>
      <c r="AU179" s="3" t="s">
        <v>171</v>
      </c>
      <c r="AV179" s="109" t="s">
        <v>954</v>
      </c>
      <c r="AW179" s="3" t="s">
        <v>111</v>
      </c>
      <c r="AX179" s="3" t="s">
        <v>111</v>
      </c>
      <c r="AY179" s="3" t="s">
        <v>111</v>
      </c>
      <c r="AZ179" s="3" t="s">
        <v>111</v>
      </c>
      <c r="BA179" s="3" t="s">
        <v>111</v>
      </c>
      <c r="BB179" s="3" t="s">
        <v>111</v>
      </c>
      <c r="BC179" s="3" t="s">
        <v>111</v>
      </c>
      <c r="BD179" s="3" t="s">
        <v>111</v>
      </c>
      <c r="BE179" s="3" t="s">
        <v>111</v>
      </c>
      <c r="BF179" s="3" t="s">
        <v>111</v>
      </c>
      <c r="BG179" s="3" t="s">
        <v>111</v>
      </c>
      <c r="BH179" s="3" t="s">
        <v>111</v>
      </c>
      <c r="BI179" s="3" t="s">
        <v>111</v>
      </c>
      <c r="BJ179" s="3" t="s">
        <v>111</v>
      </c>
      <c r="BK179" s="3"/>
      <c r="BL179" s="3"/>
      <c r="BM179" s="3"/>
      <c r="BN179" s="3"/>
      <c r="BO179" s="3"/>
      <c r="BP179" s="3"/>
      <c r="BQ179" s="3"/>
      <c r="BR179" s="3"/>
      <c r="BS179" s="3"/>
      <c r="BT179" s="3"/>
      <c r="BU179" s="3"/>
      <c r="BV179" s="3"/>
      <c r="BW179" s="3" t="s">
        <v>749</v>
      </c>
      <c r="BX179" s="3"/>
      <c r="BY179" s="3"/>
      <c r="BZ179" s="3"/>
      <c r="CA179" s="3"/>
      <c r="CB179" s="112" t="s">
        <v>185</v>
      </c>
      <c r="CC179" s="112" t="s">
        <v>109</v>
      </c>
      <c r="CD179" s="3"/>
      <c r="CE179" s="3"/>
      <c r="CF179" s="112"/>
      <c r="CG179" s="112"/>
      <c r="CH179" s="133"/>
      <c r="CI179" s="112" t="str">
        <f t="shared" si="24"/>
        <v>Oct'23</v>
      </c>
      <c r="CJ179" s="112" t="s">
        <v>107</v>
      </c>
      <c r="CK179" s="112"/>
      <c r="CL179" s="192"/>
    </row>
    <row r="180" spans="1:90" s="4" customFormat="1" ht="94.5" customHeight="1" x14ac:dyDescent="0.25">
      <c r="A180" s="3">
        <v>76</v>
      </c>
      <c r="B180" s="126" t="s">
        <v>955</v>
      </c>
      <c r="C180" s="109" t="s">
        <v>956</v>
      </c>
      <c r="D180" s="3" t="s">
        <v>220</v>
      </c>
      <c r="E180" s="59" t="s">
        <v>587</v>
      </c>
      <c r="F180" s="3">
        <v>9764372331</v>
      </c>
      <c r="G180" s="3" t="s">
        <v>142</v>
      </c>
      <c r="H180" s="3" t="s">
        <v>122</v>
      </c>
      <c r="I180" s="3" t="s">
        <v>143</v>
      </c>
      <c r="J180" s="3" t="s">
        <v>144</v>
      </c>
      <c r="K180" s="3" t="s">
        <v>957</v>
      </c>
      <c r="L180" s="3" t="s">
        <v>105</v>
      </c>
      <c r="M180" s="56">
        <v>45264</v>
      </c>
      <c r="N180" s="69">
        <f t="shared" ca="1" si="21"/>
        <v>913</v>
      </c>
      <c r="O180" s="72" t="str">
        <f t="shared" ca="1" si="22"/>
        <v>2-3Y</v>
      </c>
      <c r="P180" s="198" t="s">
        <v>106</v>
      </c>
      <c r="Q180" s="3" t="s">
        <v>125</v>
      </c>
      <c r="R180" s="3" t="s">
        <v>108</v>
      </c>
      <c r="S180" s="129">
        <v>30</v>
      </c>
      <c r="T180" s="129">
        <v>124</v>
      </c>
      <c r="U180" s="129">
        <f t="shared" si="23"/>
        <v>154</v>
      </c>
      <c r="V180" s="3"/>
      <c r="W180" s="3" t="s">
        <v>171</v>
      </c>
      <c r="X180" s="3" t="s">
        <v>394</v>
      </c>
      <c r="Y180" s="60"/>
      <c r="Z180" s="3"/>
      <c r="AA180" s="3"/>
      <c r="AB180" s="3"/>
      <c r="AC180" s="3"/>
      <c r="AD180" s="249">
        <f t="shared" si="26"/>
        <v>46905</v>
      </c>
      <c r="AE180" s="249">
        <f t="shared" si="27"/>
        <v>46997</v>
      </c>
      <c r="AF180" s="3" t="s">
        <v>394</v>
      </c>
      <c r="AG180" s="3" t="s">
        <v>581</v>
      </c>
      <c r="AH180" s="3"/>
      <c r="AI180" s="3" t="s">
        <v>115</v>
      </c>
      <c r="AJ180" s="3" t="s">
        <v>115</v>
      </c>
      <c r="AK180" s="3" t="s">
        <v>181</v>
      </c>
      <c r="AL180" s="45">
        <v>46905</v>
      </c>
      <c r="AM180" s="3" t="s">
        <v>109</v>
      </c>
      <c r="AN180" s="3" t="s">
        <v>109</v>
      </c>
      <c r="AO180" s="3"/>
      <c r="AP180" s="3"/>
      <c r="AQ180" s="3"/>
      <c r="AR180" s="109" t="s">
        <v>545</v>
      </c>
      <c r="AS180" s="249">
        <v>46997</v>
      </c>
      <c r="AT180" s="3" t="s">
        <v>109</v>
      </c>
      <c r="AU180" s="3" t="s">
        <v>171</v>
      </c>
      <c r="AV180" s="3" t="s">
        <v>834</v>
      </c>
      <c r="AW180" s="3" t="s">
        <v>171</v>
      </c>
      <c r="AX180" s="3"/>
      <c r="AY180" s="3"/>
      <c r="AZ180" s="3"/>
      <c r="BA180" s="3"/>
      <c r="BB180" s="3">
        <v>0</v>
      </c>
      <c r="BC180" s="3"/>
      <c r="BD180" s="3"/>
      <c r="BE180" s="3"/>
      <c r="BF180" s="3"/>
      <c r="BG180" s="59"/>
      <c r="BH180" s="59"/>
      <c r="BI180" s="45"/>
      <c r="BJ180" s="45"/>
      <c r="BK180" s="3" t="s">
        <v>109</v>
      </c>
      <c r="BL180" s="3" t="e">
        <v>#N/A</v>
      </c>
      <c r="BM180" s="3" t="s">
        <v>111</v>
      </c>
      <c r="BN180" s="3" t="s">
        <v>111</v>
      </c>
      <c r="BO180" s="3" t="s">
        <v>115</v>
      </c>
      <c r="BP180" s="3"/>
      <c r="BQ180" s="3"/>
      <c r="BR180" s="3"/>
      <c r="BS180" s="3"/>
      <c r="BT180" s="3"/>
      <c r="BU180" s="3"/>
      <c r="BV180" s="3"/>
      <c r="BW180" s="3" t="s">
        <v>184</v>
      </c>
      <c r="BX180" s="3"/>
      <c r="BY180" s="3"/>
      <c r="BZ180" s="3"/>
      <c r="CA180" s="3"/>
      <c r="CB180" s="112" t="s">
        <v>118</v>
      </c>
      <c r="CC180" s="112" t="s">
        <v>109</v>
      </c>
      <c r="CD180" s="3"/>
      <c r="CE180" s="3"/>
      <c r="CF180" s="112"/>
      <c r="CG180" s="112"/>
      <c r="CH180" s="133"/>
      <c r="CI180" s="112" t="str">
        <f t="shared" si="24"/>
        <v>Dec'23</v>
      </c>
      <c r="CJ180" s="112" t="s">
        <v>132</v>
      </c>
      <c r="CK180" s="112"/>
      <c r="CL180" s="192"/>
    </row>
    <row r="181" spans="1:90" s="4" customFormat="1" ht="94.5" customHeight="1" x14ac:dyDescent="0.25">
      <c r="A181" s="3">
        <v>78</v>
      </c>
      <c r="B181" s="3" t="s">
        <v>958</v>
      </c>
      <c r="C181" s="109" t="s">
        <v>959</v>
      </c>
      <c r="D181" s="3" t="s">
        <v>156</v>
      </c>
      <c r="E181" s="59" t="s">
        <v>156</v>
      </c>
      <c r="F181" s="3">
        <v>9172969896</v>
      </c>
      <c r="G181" s="3" t="s">
        <v>100</v>
      </c>
      <c r="H181" s="3" t="s">
        <v>122</v>
      </c>
      <c r="I181" s="3" t="s">
        <v>102</v>
      </c>
      <c r="J181" s="3" t="s">
        <v>123</v>
      </c>
      <c r="K181" s="3" t="s">
        <v>960</v>
      </c>
      <c r="L181" s="3" t="s">
        <v>105</v>
      </c>
      <c r="M181" s="56">
        <v>45267</v>
      </c>
      <c r="N181" s="69">
        <f t="shared" ca="1" si="21"/>
        <v>910</v>
      </c>
      <c r="O181" s="72" t="str">
        <f t="shared" ca="1" si="22"/>
        <v>2-3Y</v>
      </c>
      <c r="P181" s="198" t="s">
        <v>158</v>
      </c>
      <c r="Q181" s="3" t="s">
        <v>125</v>
      </c>
      <c r="R181" s="3" t="s">
        <v>108</v>
      </c>
      <c r="S181" s="129">
        <v>20</v>
      </c>
      <c r="T181" s="129">
        <v>80</v>
      </c>
      <c r="U181" s="129">
        <f t="shared" si="23"/>
        <v>100</v>
      </c>
      <c r="V181" s="3"/>
      <c r="W181" s="3" t="s">
        <v>171</v>
      </c>
      <c r="X181" s="3" t="s">
        <v>394</v>
      </c>
      <c r="Y181" s="60"/>
      <c r="Z181" s="3"/>
      <c r="AA181" s="3"/>
      <c r="AB181" s="3"/>
      <c r="AC181" s="3"/>
      <c r="AD181" s="249">
        <f t="shared" si="26"/>
        <v>46905</v>
      </c>
      <c r="AE181" s="249">
        <f t="shared" si="27"/>
        <v>46997</v>
      </c>
      <c r="AF181" s="3" t="s">
        <v>394</v>
      </c>
      <c r="AG181" s="3" t="s">
        <v>581</v>
      </c>
      <c r="AH181" s="3"/>
      <c r="AI181" s="3" t="s">
        <v>115</v>
      </c>
      <c r="AJ181" s="3" t="s">
        <v>115</v>
      </c>
      <c r="AK181" s="3" t="s">
        <v>181</v>
      </c>
      <c r="AL181" s="45">
        <v>46905</v>
      </c>
      <c r="AM181" s="3" t="s">
        <v>109</v>
      </c>
      <c r="AN181" s="3" t="s">
        <v>109</v>
      </c>
      <c r="AO181" s="3"/>
      <c r="AP181" s="3"/>
      <c r="AQ181" s="3"/>
      <c r="AR181" s="109" t="s">
        <v>545</v>
      </c>
      <c r="AS181" s="249">
        <v>46997</v>
      </c>
      <c r="AT181" s="3" t="s">
        <v>109</v>
      </c>
      <c r="AU181" s="3" t="s">
        <v>171</v>
      </c>
      <c r="AV181" s="3" t="s">
        <v>847</v>
      </c>
      <c r="AW181" s="3" t="s">
        <v>109</v>
      </c>
      <c r="AX181" s="3" t="s">
        <v>111</v>
      </c>
      <c r="AY181" s="3" t="s">
        <v>111</v>
      </c>
      <c r="AZ181" s="3" t="s">
        <v>111</v>
      </c>
      <c r="BA181" s="3" t="s">
        <v>111</v>
      </c>
      <c r="BB181" s="3" t="s">
        <v>111</v>
      </c>
      <c r="BC181" s="3" t="s">
        <v>111</v>
      </c>
      <c r="BD181" s="3" t="s">
        <v>111</v>
      </c>
      <c r="BE181" s="3" t="s">
        <v>111</v>
      </c>
      <c r="BF181" s="3" t="s">
        <v>111</v>
      </c>
      <c r="BG181" s="3" t="s">
        <v>111</v>
      </c>
      <c r="BH181" s="3" t="s">
        <v>111</v>
      </c>
      <c r="BI181" s="3" t="s">
        <v>111</v>
      </c>
      <c r="BJ181" s="3" t="s">
        <v>111</v>
      </c>
      <c r="BK181" s="3" t="s">
        <v>109</v>
      </c>
      <c r="BL181" s="3"/>
      <c r="BM181" s="3" t="s">
        <v>111</v>
      </c>
      <c r="BN181" s="3" t="s">
        <v>111</v>
      </c>
      <c r="BO181" s="3" t="s">
        <v>115</v>
      </c>
      <c r="BP181" s="3"/>
      <c r="BQ181" s="3"/>
      <c r="BR181" s="3"/>
      <c r="BS181" s="3"/>
      <c r="BT181" s="3"/>
      <c r="BU181" s="3"/>
      <c r="BV181" s="3"/>
      <c r="BW181" s="3" t="s">
        <v>184</v>
      </c>
      <c r="BX181" s="3"/>
      <c r="BY181" s="3"/>
      <c r="BZ181" s="3"/>
      <c r="CA181" s="3"/>
      <c r="CB181" s="112" t="s">
        <v>118</v>
      </c>
      <c r="CC181" s="112" t="s">
        <v>109</v>
      </c>
      <c r="CD181" s="3"/>
      <c r="CE181" s="3"/>
      <c r="CF181" s="112"/>
      <c r="CG181" s="112"/>
      <c r="CH181" s="133"/>
      <c r="CI181" s="112" t="str">
        <f t="shared" si="24"/>
        <v>Dec'23</v>
      </c>
      <c r="CJ181" s="112" t="s">
        <v>132</v>
      </c>
      <c r="CK181" s="112"/>
      <c r="CL181" s="192"/>
    </row>
    <row r="182" spans="1:90" s="4" customFormat="1" ht="94.5" customHeight="1" x14ac:dyDescent="0.25">
      <c r="A182" s="3">
        <v>83</v>
      </c>
      <c r="B182" s="126" t="s">
        <v>961</v>
      </c>
      <c r="C182" s="109" t="s">
        <v>962</v>
      </c>
      <c r="D182" s="3" t="s">
        <v>156</v>
      </c>
      <c r="E182" s="59">
        <v>1598</v>
      </c>
      <c r="F182" s="3">
        <v>8668445459</v>
      </c>
      <c r="G182" s="3" t="s">
        <v>142</v>
      </c>
      <c r="H182" s="3" t="s">
        <v>122</v>
      </c>
      <c r="I182" s="3" t="s">
        <v>143</v>
      </c>
      <c r="J182" s="3" t="s">
        <v>144</v>
      </c>
      <c r="K182" s="3" t="s">
        <v>963</v>
      </c>
      <c r="L182" s="3" t="s">
        <v>105</v>
      </c>
      <c r="M182" s="56">
        <v>45271</v>
      </c>
      <c r="N182" s="69">
        <f t="shared" ca="1" si="21"/>
        <v>906</v>
      </c>
      <c r="O182" s="72" t="str">
        <f t="shared" ca="1" si="22"/>
        <v>2-3Y</v>
      </c>
      <c r="P182" s="198" t="s">
        <v>158</v>
      </c>
      <c r="Q182" s="3" t="s">
        <v>125</v>
      </c>
      <c r="R182" s="3" t="s">
        <v>108</v>
      </c>
      <c r="S182" s="129">
        <v>30</v>
      </c>
      <c r="T182" s="129">
        <v>120</v>
      </c>
      <c r="U182" s="129">
        <f t="shared" si="23"/>
        <v>150</v>
      </c>
      <c r="V182" s="3"/>
      <c r="W182" s="3" t="s">
        <v>171</v>
      </c>
      <c r="X182" s="3" t="s">
        <v>394</v>
      </c>
      <c r="Y182" s="60"/>
      <c r="Z182" s="3"/>
      <c r="AA182" s="3"/>
      <c r="AB182" s="3"/>
      <c r="AC182" s="3"/>
      <c r="AD182" s="249">
        <f t="shared" si="26"/>
        <v>46905</v>
      </c>
      <c r="AE182" s="249">
        <f t="shared" si="27"/>
        <v>46997</v>
      </c>
      <c r="AF182" s="3" t="s">
        <v>394</v>
      </c>
      <c r="AG182" s="3" t="s">
        <v>581</v>
      </c>
      <c r="AH182" s="3"/>
      <c r="AI182" s="3" t="s">
        <v>115</v>
      </c>
      <c r="AJ182" s="3" t="s">
        <v>115</v>
      </c>
      <c r="AK182" s="3" t="s">
        <v>181</v>
      </c>
      <c r="AL182" s="45">
        <v>46905</v>
      </c>
      <c r="AM182" s="3" t="s">
        <v>109</v>
      </c>
      <c r="AN182" s="3" t="s">
        <v>109</v>
      </c>
      <c r="AO182" s="3"/>
      <c r="AP182" s="3"/>
      <c r="AQ182" s="3"/>
      <c r="AR182" s="109" t="s">
        <v>545</v>
      </c>
      <c r="AS182" s="249">
        <v>46997</v>
      </c>
      <c r="AT182" s="3" t="s">
        <v>109</v>
      </c>
      <c r="AU182" s="3" t="s">
        <v>171</v>
      </c>
      <c r="AV182" s="3" t="s">
        <v>839</v>
      </c>
      <c r="AW182" s="3" t="s">
        <v>109</v>
      </c>
      <c r="AX182" s="3" t="s">
        <v>111</v>
      </c>
      <c r="AY182" s="3" t="s">
        <v>111</v>
      </c>
      <c r="AZ182" s="3" t="s">
        <v>111</v>
      </c>
      <c r="BA182" s="3" t="s">
        <v>111</v>
      </c>
      <c r="BB182" s="3" t="s">
        <v>111</v>
      </c>
      <c r="BC182" s="3" t="s">
        <v>111</v>
      </c>
      <c r="BD182" s="3" t="s">
        <v>111</v>
      </c>
      <c r="BE182" s="3" t="s">
        <v>111</v>
      </c>
      <c r="BF182" s="3" t="s">
        <v>111</v>
      </c>
      <c r="BG182" s="3" t="s">
        <v>111</v>
      </c>
      <c r="BH182" s="3" t="s">
        <v>111</v>
      </c>
      <c r="BI182" s="3" t="s">
        <v>111</v>
      </c>
      <c r="BJ182" s="3" t="s">
        <v>111</v>
      </c>
      <c r="BK182" s="3" t="s">
        <v>109</v>
      </c>
      <c r="BL182" s="3" t="s">
        <v>114</v>
      </c>
      <c r="BM182" s="3" t="s">
        <v>111</v>
      </c>
      <c r="BN182" s="3" t="s">
        <v>111</v>
      </c>
      <c r="BO182" s="3" t="s">
        <v>115</v>
      </c>
      <c r="BP182" s="3"/>
      <c r="BQ182" s="3"/>
      <c r="BR182" s="3"/>
      <c r="BS182" s="3"/>
      <c r="BT182" s="3"/>
      <c r="BU182" s="3"/>
      <c r="BV182" s="3"/>
      <c r="BW182" s="3" t="s">
        <v>184</v>
      </c>
      <c r="BX182" s="3"/>
      <c r="BY182" s="3"/>
      <c r="BZ182" s="3"/>
      <c r="CA182" s="3"/>
      <c r="CB182" s="112" t="s">
        <v>118</v>
      </c>
      <c r="CC182" s="112" t="s">
        <v>109</v>
      </c>
      <c r="CD182" s="3"/>
      <c r="CE182" s="3"/>
      <c r="CF182" s="112"/>
      <c r="CG182" s="112"/>
      <c r="CH182" s="133"/>
      <c r="CI182" s="112" t="str">
        <f t="shared" si="24"/>
        <v>Dec'23</v>
      </c>
      <c r="CJ182" s="112" t="s">
        <v>132</v>
      </c>
      <c r="CK182" s="112"/>
      <c r="CL182" s="192"/>
    </row>
    <row r="183" spans="1:90" s="4" customFormat="1" ht="94.5" customHeight="1" x14ac:dyDescent="0.25">
      <c r="A183" s="3">
        <v>84</v>
      </c>
      <c r="B183" s="126" t="s">
        <v>964</v>
      </c>
      <c r="C183" s="109" t="s">
        <v>965</v>
      </c>
      <c r="D183" s="3" t="s">
        <v>141</v>
      </c>
      <c r="E183" s="59">
        <v>1615</v>
      </c>
      <c r="F183" s="3">
        <v>9921918171</v>
      </c>
      <c r="G183" s="3" t="s">
        <v>142</v>
      </c>
      <c r="H183" s="3" t="s">
        <v>122</v>
      </c>
      <c r="I183" s="3" t="s">
        <v>143</v>
      </c>
      <c r="J183" s="3" t="s">
        <v>144</v>
      </c>
      <c r="K183" s="3" t="s">
        <v>966</v>
      </c>
      <c r="L183" s="3" t="s">
        <v>105</v>
      </c>
      <c r="M183" s="56">
        <v>45271</v>
      </c>
      <c r="N183" s="69">
        <f t="shared" ca="1" si="21"/>
        <v>906</v>
      </c>
      <c r="O183" s="72" t="str">
        <f t="shared" ca="1" si="22"/>
        <v>2-3Y</v>
      </c>
      <c r="P183" s="198" t="s">
        <v>137</v>
      </c>
      <c r="Q183" s="3" t="s">
        <v>192</v>
      </c>
      <c r="R183" s="3" t="s">
        <v>108</v>
      </c>
      <c r="S183" s="129">
        <v>30</v>
      </c>
      <c r="T183" s="129">
        <v>120</v>
      </c>
      <c r="U183" s="129">
        <f t="shared" si="23"/>
        <v>150</v>
      </c>
      <c r="V183" s="3"/>
      <c r="W183" s="3" t="s">
        <v>171</v>
      </c>
      <c r="X183" s="3" t="s">
        <v>394</v>
      </c>
      <c r="Y183" s="60"/>
      <c r="Z183" s="3"/>
      <c r="AA183" s="3"/>
      <c r="AB183" s="3"/>
      <c r="AC183" s="3"/>
      <c r="AD183" s="249">
        <f t="shared" si="26"/>
        <v>46905</v>
      </c>
      <c r="AE183" s="249">
        <f t="shared" si="27"/>
        <v>46997</v>
      </c>
      <c r="AF183" s="3" t="s">
        <v>394</v>
      </c>
      <c r="AG183" s="3" t="s">
        <v>581</v>
      </c>
      <c r="AH183" s="3"/>
      <c r="AI183" s="3" t="s">
        <v>115</v>
      </c>
      <c r="AJ183" s="3" t="s">
        <v>115</v>
      </c>
      <c r="AK183" s="3" t="s">
        <v>181</v>
      </c>
      <c r="AL183" s="45">
        <v>46905</v>
      </c>
      <c r="AM183" s="3" t="s">
        <v>109</v>
      </c>
      <c r="AN183" s="3" t="s">
        <v>109</v>
      </c>
      <c r="AO183" s="3"/>
      <c r="AP183" s="3"/>
      <c r="AQ183" s="3"/>
      <c r="AR183" s="109" t="s">
        <v>904</v>
      </c>
      <c r="AS183" s="249">
        <v>46997</v>
      </c>
      <c r="AT183" s="3" t="s">
        <v>146</v>
      </c>
      <c r="AU183" s="3" t="s">
        <v>419</v>
      </c>
      <c r="AV183" s="109" t="s">
        <v>967</v>
      </c>
      <c r="AW183" s="109" t="s">
        <v>968</v>
      </c>
      <c r="AX183" s="3" t="s">
        <v>171</v>
      </c>
      <c r="AY183" s="3" t="s">
        <v>111</v>
      </c>
      <c r="AZ183" s="3" t="s">
        <v>111</v>
      </c>
      <c r="BA183" s="3" t="s">
        <v>111</v>
      </c>
      <c r="BB183" s="3" t="s">
        <v>111</v>
      </c>
      <c r="BC183" s="3" t="s">
        <v>111</v>
      </c>
      <c r="BD183" s="3" t="s">
        <v>111</v>
      </c>
      <c r="BE183" s="3" t="s">
        <v>111</v>
      </c>
      <c r="BF183" s="3" t="s">
        <v>111</v>
      </c>
      <c r="BG183" s="3" t="s">
        <v>111</v>
      </c>
      <c r="BH183" s="3" t="s">
        <v>111</v>
      </c>
      <c r="BI183" s="45" t="s">
        <v>111</v>
      </c>
      <c r="BJ183" s="3" t="s">
        <v>111</v>
      </c>
      <c r="BK183" s="3" t="s">
        <v>109</v>
      </c>
      <c r="BL183" s="3" t="s">
        <v>114</v>
      </c>
      <c r="BM183" s="3" t="s">
        <v>111</v>
      </c>
      <c r="BN183" s="3" t="s">
        <v>111</v>
      </c>
      <c r="BO183" s="3" t="s">
        <v>115</v>
      </c>
      <c r="BP183" s="3"/>
      <c r="BQ183" s="3"/>
      <c r="BR183" s="3"/>
      <c r="BS183" s="3"/>
      <c r="BT183" s="3"/>
      <c r="BU183" s="3"/>
      <c r="BV183" s="3"/>
      <c r="BW183" s="3" t="s">
        <v>749</v>
      </c>
      <c r="BX183" s="3"/>
      <c r="BY183" s="3"/>
      <c r="BZ183" s="3"/>
      <c r="CA183" s="3"/>
      <c r="CB183" s="112" t="s">
        <v>118</v>
      </c>
      <c r="CC183" s="112" t="s">
        <v>109</v>
      </c>
      <c r="CD183" s="3"/>
      <c r="CE183" s="3"/>
      <c r="CF183" s="112"/>
      <c r="CG183" s="112"/>
      <c r="CH183" s="133"/>
      <c r="CI183" s="112" t="str">
        <f t="shared" si="24"/>
        <v>Dec'23</v>
      </c>
      <c r="CJ183" s="112" t="s">
        <v>192</v>
      </c>
      <c r="CK183" s="112"/>
      <c r="CL183" s="192"/>
    </row>
    <row r="184" spans="1:90" s="4" customFormat="1" ht="94.5" customHeight="1" x14ac:dyDescent="0.25">
      <c r="A184" s="3">
        <v>82</v>
      </c>
      <c r="B184" s="126" t="s">
        <v>969</v>
      </c>
      <c r="C184" s="109" t="s">
        <v>970</v>
      </c>
      <c r="D184" s="3" t="s">
        <v>121</v>
      </c>
      <c r="E184" s="59">
        <v>1708</v>
      </c>
      <c r="F184" s="3">
        <v>9423575556</v>
      </c>
      <c r="G184" s="3" t="s">
        <v>142</v>
      </c>
      <c r="H184" s="3" t="s">
        <v>122</v>
      </c>
      <c r="I184" s="3" t="s">
        <v>143</v>
      </c>
      <c r="J184" s="3" t="s">
        <v>144</v>
      </c>
      <c r="K184" s="3" t="s">
        <v>971</v>
      </c>
      <c r="L184" s="3" t="s">
        <v>105</v>
      </c>
      <c r="M184" s="56">
        <v>45271</v>
      </c>
      <c r="N184" s="69">
        <f t="shared" ca="1" si="21"/>
        <v>906</v>
      </c>
      <c r="O184" s="72" t="str">
        <f t="shared" ca="1" si="22"/>
        <v>2-3Y</v>
      </c>
      <c r="P184" s="198" t="s">
        <v>106</v>
      </c>
      <c r="Q184" s="3" t="s">
        <v>125</v>
      </c>
      <c r="R184" s="3" t="s">
        <v>108</v>
      </c>
      <c r="S184" s="129">
        <v>40</v>
      </c>
      <c r="T184" s="129">
        <v>120</v>
      </c>
      <c r="U184" s="129">
        <f t="shared" si="23"/>
        <v>160</v>
      </c>
      <c r="V184" s="3"/>
      <c r="W184" s="3" t="s">
        <v>171</v>
      </c>
      <c r="X184" s="3" t="s">
        <v>394</v>
      </c>
      <c r="Y184" s="60"/>
      <c r="Z184" s="3"/>
      <c r="AA184" s="3"/>
      <c r="AB184" s="3"/>
      <c r="AC184" s="3"/>
      <c r="AD184" s="249">
        <f t="shared" si="26"/>
        <v>46905</v>
      </c>
      <c r="AE184" s="249">
        <f t="shared" si="27"/>
        <v>46997</v>
      </c>
      <c r="AF184" s="3" t="s">
        <v>394</v>
      </c>
      <c r="AG184" s="3" t="s">
        <v>581</v>
      </c>
      <c r="AH184" s="3"/>
      <c r="AI184" s="3" t="s">
        <v>115</v>
      </c>
      <c r="AJ184" s="3" t="s">
        <v>115</v>
      </c>
      <c r="AK184" s="3" t="s">
        <v>181</v>
      </c>
      <c r="AL184" s="45">
        <v>46905</v>
      </c>
      <c r="AM184" s="3" t="s">
        <v>109</v>
      </c>
      <c r="AN184" s="3" t="s">
        <v>109</v>
      </c>
      <c r="AO184" s="3"/>
      <c r="AP184" s="3"/>
      <c r="AQ184" s="3"/>
      <c r="AR184" s="109" t="s">
        <v>545</v>
      </c>
      <c r="AS184" s="249">
        <v>46997</v>
      </c>
      <c r="AT184" s="3" t="s">
        <v>171</v>
      </c>
      <c r="AU184" s="3" t="s">
        <v>171</v>
      </c>
      <c r="AV184" s="3" t="s">
        <v>972</v>
      </c>
      <c r="AW184" s="3" t="s">
        <v>109</v>
      </c>
      <c r="AX184" s="3" t="s">
        <v>171</v>
      </c>
      <c r="AY184" s="3" t="s">
        <v>171</v>
      </c>
      <c r="AZ184" s="3" t="s">
        <v>171</v>
      </c>
      <c r="BA184" s="3" t="s">
        <v>171</v>
      </c>
      <c r="BB184" s="3" t="s">
        <v>171</v>
      </c>
      <c r="BC184" s="3" t="s">
        <v>171</v>
      </c>
      <c r="BD184" s="3" t="s">
        <v>171</v>
      </c>
      <c r="BE184" s="3" t="s">
        <v>111</v>
      </c>
      <c r="BF184" s="3" t="s">
        <v>111</v>
      </c>
      <c r="BG184" s="59" t="s">
        <v>171</v>
      </c>
      <c r="BH184" s="59" t="s">
        <v>171</v>
      </c>
      <c r="BI184" s="45"/>
      <c r="BJ184" s="45"/>
      <c r="BK184" s="3" t="s">
        <v>109</v>
      </c>
      <c r="BL184" s="3" t="s">
        <v>114</v>
      </c>
      <c r="BM184" s="3" t="s">
        <v>111</v>
      </c>
      <c r="BN184" s="3" t="s">
        <v>111</v>
      </c>
      <c r="BO184" s="3" t="s">
        <v>115</v>
      </c>
      <c r="BP184" s="3"/>
      <c r="BQ184" s="3"/>
      <c r="BR184" s="3"/>
      <c r="BS184" s="3"/>
      <c r="BT184" s="3"/>
      <c r="BU184" s="3"/>
      <c r="BV184" s="3"/>
      <c r="BW184" s="3" t="s">
        <v>749</v>
      </c>
      <c r="BX184" s="3"/>
      <c r="BY184" s="3"/>
      <c r="BZ184" s="3"/>
      <c r="CA184" s="3"/>
      <c r="CB184" s="112" t="s">
        <v>118</v>
      </c>
      <c r="CC184" s="112" t="s">
        <v>109</v>
      </c>
      <c r="CD184" s="3"/>
      <c r="CE184" s="3"/>
      <c r="CF184" s="112"/>
      <c r="CG184" s="112"/>
      <c r="CH184" s="133"/>
      <c r="CI184" s="112" t="str">
        <f t="shared" si="24"/>
        <v>Dec'23</v>
      </c>
      <c r="CJ184" s="112" t="s">
        <v>132</v>
      </c>
      <c r="CK184" s="112"/>
      <c r="CL184" s="192"/>
    </row>
    <row r="185" spans="1:90" s="4" customFormat="1" ht="94.5" customHeight="1" x14ac:dyDescent="0.25">
      <c r="A185" s="3">
        <v>85</v>
      </c>
      <c r="B185" s="126" t="s">
        <v>973</v>
      </c>
      <c r="C185" s="109" t="s">
        <v>974</v>
      </c>
      <c r="D185" s="3" t="s">
        <v>220</v>
      </c>
      <c r="E185" s="59">
        <v>1867</v>
      </c>
      <c r="F185" s="3">
        <v>9890105532</v>
      </c>
      <c r="G185" s="3" t="s">
        <v>142</v>
      </c>
      <c r="H185" s="3" t="s">
        <v>122</v>
      </c>
      <c r="I185" s="3" t="s">
        <v>143</v>
      </c>
      <c r="J185" s="3" t="s">
        <v>144</v>
      </c>
      <c r="K185" s="3" t="s">
        <v>975</v>
      </c>
      <c r="L185" s="3" t="s">
        <v>105</v>
      </c>
      <c r="M185" s="56">
        <v>45272</v>
      </c>
      <c r="N185" s="69">
        <f t="shared" ca="1" si="21"/>
        <v>905</v>
      </c>
      <c r="O185" s="72" t="str">
        <f t="shared" ca="1" si="22"/>
        <v>2-3Y</v>
      </c>
      <c r="P185" s="198" t="s">
        <v>106</v>
      </c>
      <c r="Q185" s="3" t="s">
        <v>125</v>
      </c>
      <c r="R185" s="3" t="s">
        <v>108</v>
      </c>
      <c r="S185" s="129">
        <v>40</v>
      </c>
      <c r="T185" s="129">
        <v>150</v>
      </c>
      <c r="U185" s="129">
        <f t="shared" si="23"/>
        <v>190</v>
      </c>
      <c r="V185" s="3"/>
      <c r="W185" s="3" t="s">
        <v>171</v>
      </c>
      <c r="X185" s="3" t="s">
        <v>394</v>
      </c>
      <c r="Y185" s="60"/>
      <c r="Z185" s="3"/>
      <c r="AA185" s="3"/>
      <c r="AB185" s="3"/>
      <c r="AC185" s="3"/>
      <c r="AD185" s="249">
        <f t="shared" si="26"/>
        <v>46905</v>
      </c>
      <c r="AE185" s="249">
        <f t="shared" si="27"/>
        <v>46997</v>
      </c>
      <c r="AF185" s="3" t="s">
        <v>394</v>
      </c>
      <c r="AG185" s="3" t="s">
        <v>721</v>
      </c>
      <c r="AH185" s="3"/>
      <c r="AI185" s="3" t="s">
        <v>115</v>
      </c>
      <c r="AJ185" s="3" t="s">
        <v>115</v>
      </c>
      <c r="AK185" s="3" t="s">
        <v>181</v>
      </c>
      <c r="AL185" s="45">
        <v>46905</v>
      </c>
      <c r="AM185" s="3" t="s">
        <v>109</v>
      </c>
      <c r="AN185" s="3" t="s">
        <v>109</v>
      </c>
      <c r="AO185" s="3"/>
      <c r="AP185" s="3"/>
      <c r="AQ185" s="3"/>
      <c r="AR185" s="109" t="s">
        <v>599</v>
      </c>
      <c r="AS185" s="249">
        <v>46997</v>
      </c>
      <c r="AT185" s="3" t="s">
        <v>109</v>
      </c>
      <c r="AU185" s="3" t="s">
        <v>171</v>
      </c>
      <c r="AV185" s="3" t="s">
        <v>976</v>
      </c>
      <c r="AW185" s="3"/>
      <c r="AX185" s="3"/>
      <c r="AY185" s="3"/>
      <c r="AZ185" s="3"/>
      <c r="BA185" s="3"/>
      <c r="BB185" s="3">
        <v>0</v>
      </c>
      <c r="BC185" s="3"/>
      <c r="BD185" s="3"/>
      <c r="BE185" s="3"/>
      <c r="BF185" s="3"/>
      <c r="BG185" s="59"/>
      <c r="BH185" s="59"/>
      <c r="BI185" s="45"/>
      <c r="BJ185" s="45"/>
      <c r="BK185" s="3" t="s">
        <v>109</v>
      </c>
      <c r="BL185" s="3" t="s">
        <v>114</v>
      </c>
      <c r="BM185" s="3" t="s">
        <v>111</v>
      </c>
      <c r="BN185" s="3" t="s">
        <v>111</v>
      </c>
      <c r="BO185" s="3" t="s">
        <v>115</v>
      </c>
      <c r="BP185" s="3"/>
      <c r="BQ185" s="3"/>
      <c r="BR185" s="3"/>
      <c r="BS185" s="3"/>
      <c r="BT185" s="3"/>
      <c r="BU185" s="3"/>
      <c r="BV185" s="3"/>
      <c r="BW185" s="3" t="s">
        <v>184</v>
      </c>
      <c r="BX185" s="3"/>
      <c r="BY185" s="3"/>
      <c r="BZ185" s="3"/>
      <c r="CA185" s="3"/>
      <c r="CB185" s="112" t="s">
        <v>118</v>
      </c>
      <c r="CC185" s="112" t="s">
        <v>109</v>
      </c>
      <c r="CD185" s="3"/>
      <c r="CE185" s="3"/>
      <c r="CF185" s="112"/>
      <c r="CG185" s="112"/>
      <c r="CH185" s="133"/>
      <c r="CI185" s="112" t="str">
        <f t="shared" si="24"/>
        <v>Dec'23</v>
      </c>
      <c r="CJ185" s="112" t="s">
        <v>132</v>
      </c>
      <c r="CK185" s="112"/>
      <c r="CL185" s="192"/>
    </row>
    <row r="186" spans="1:90" s="4" customFormat="1" ht="94.5" customHeight="1" x14ac:dyDescent="0.25">
      <c r="A186" s="3">
        <v>88</v>
      </c>
      <c r="B186" s="126" t="s">
        <v>977</v>
      </c>
      <c r="C186" s="109" t="s">
        <v>685</v>
      </c>
      <c r="D186" s="3" t="s">
        <v>135</v>
      </c>
      <c r="E186" s="59">
        <v>1979</v>
      </c>
      <c r="F186" s="3">
        <v>9881321999</v>
      </c>
      <c r="G186" s="3" t="s">
        <v>142</v>
      </c>
      <c r="H186" s="3" t="s">
        <v>122</v>
      </c>
      <c r="I186" s="3" t="s">
        <v>143</v>
      </c>
      <c r="J186" s="3" t="s">
        <v>144</v>
      </c>
      <c r="K186" s="3" t="s">
        <v>978</v>
      </c>
      <c r="L186" s="3" t="s">
        <v>105</v>
      </c>
      <c r="M186" s="56">
        <v>45273</v>
      </c>
      <c r="N186" s="69">
        <f t="shared" ca="1" si="21"/>
        <v>904</v>
      </c>
      <c r="O186" s="72" t="str">
        <f t="shared" ca="1" si="22"/>
        <v>2-3Y</v>
      </c>
      <c r="P186" s="198" t="s">
        <v>137</v>
      </c>
      <c r="Q186" s="3" t="s">
        <v>125</v>
      </c>
      <c r="R186" s="3" t="s">
        <v>164</v>
      </c>
      <c r="S186" s="129">
        <v>30</v>
      </c>
      <c r="T186" s="129">
        <v>120</v>
      </c>
      <c r="U186" s="129">
        <f t="shared" si="23"/>
        <v>150</v>
      </c>
      <c r="V186" s="3"/>
      <c r="W186" s="3" t="s">
        <v>171</v>
      </c>
      <c r="X186" s="3" t="s">
        <v>394</v>
      </c>
      <c r="Y186" s="60">
        <f>+IF(AO186="Approved","Yes",AS186)</f>
        <v>46997</v>
      </c>
      <c r="Z186" s="3"/>
      <c r="AA186" s="3"/>
      <c r="AB186" s="3"/>
      <c r="AC186" s="3"/>
      <c r="AD186" s="249">
        <f t="shared" si="26"/>
        <v>46905</v>
      </c>
      <c r="AE186" s="249">
        <f t="shared" si="27"/>
        <v>46997</v>
      </c>
      <c r="AF186" s="3" t="s">
        <v>394</v>
      </c>
      <c r="AG186" s="3" t="s">
        <v>721</v>
      </c>
      <c r="AH186" s="3"/>
      <c r="AI186" s="3" t="s">
        <v>115</v>
      </c>
      <c r="AJ186" s="3" t="s">
        <v>115</v>
      </c>
      <c r="AK186" s="3" t="s">
        <v>181</v>
      </c>
      <c r="AL186" s="45">
        <v>46905</v>
      </c>
      <c r="AM186" s="3" t="s">
        <v>109</v>
      </c>
      <c r="AN186" s="3" t="s">
        <v>109</v>
      </c>
      <c r="AO186" s="3"/>
      <c r="AP186" s="3"/>
      <c r="AQ186" s="3"/>
      <c r="AR186" s="109" t="s">
        <v>979</v>
      </c>
      <c r="AS186" s="249">
        <v>46997</v>
      </c>
      <c r="AT186" s="3" t="s">
        <v>109</v>
      </c>
      <c r="AU186" s="3" t="s">
        <v>171</v>
      </c>
      <c r="AV186" s="109" t="s">
        <v>979</v>
      </c>
      <c r="AW186" s="3" t="s">
        <v>171</v>
      </c>
      <c r="AX186" s="3" t="s">
        <v>171</v>
      </c>
      <c r="AY186" s="3" t="s">
        <v>111</v>
      </c>
      <c r="AZ186" s="3" t="s">
        <v>111</v>
      </c>
      <c r="BA186" s="3" t="s">
        <v>111</v>
      </c>
      <c r="BB186" s="3" t="s">
        <v>111</v>
      </c>
      <c r="BC186" s="3" t="s">
        <v>111</v>
      </c>
      <c r="BD186" s="3" t="s">
        <v>111</v>
      </c>
      <c r="BE186" s="3" t="s">
        <v>111</v>
      </c>
      <c r="BF186" s="3" t="s">
        <v>111</v>
      </c>
      <c r="BG186" s="3" t="s">
        <v>111</v>
      </c>
      <c r="BH186" s="3" t="s">
        <v>171</v>
      </c>
      <c r="BI186" s="3" t="s">
        <v>111</v>
      </c>
      <c r="BJ186" s="3" t="s">
        <v>111</v>
      </c>
      <c r="BK186" s="3" t="s">
        <v>109</v>
      </c>
      <c r="BL186" s="3" t="s">
        <v>114</v>
      </c>
      <c r="BM186" s="3" t="s">
        <v>111</v>
      </c>
      <c r="BN186" s="3" t="s">
        <v>111</v>
      </c>
      <c r="BO186" s="3" t="s">
        <v>115</v>
      </c>
      <c r="BP186" s="3"/>
      <c r="BQ186" s="3"/>
      <c r="BR186" s="3"/>
      <c r="BS186" s="3"/>
      <c r="BT186" s="3"/>
      <c r="BU186" s="3"/>
      <c r="BV186" s="3"/>
      <c r="BW186" s="3" t="s">
        <v>184</v>
      </c>
      <c r="BX186" s="3"/>
      <c r="BY186" s="3"/>
      <c r="BZ186" s="3"/>
      <c r="CA186" s="3"/>
      <c r="CB186" s="112" t="s">
        <v>118</v>
      </c>
      <c r="CC186" s="112" t="s">
        <v>109</v>
      </c>
      <c r="CD186" s="3"/>
      <c r="CE186" s="3"/>
      <c r="CF186" s="112"/>
      <c r="CG186" s="112"/>
      <c r="CH186" s="133"/>
      <c r="CI186" s="112" t="str">
        <f t="shared" si="24"/>
        <v>Dec'23</v>
      </c>
      <c r="CJ186" s="112" t="s">
        <v>132</v>
      </c>
      <c r="CK186" s="255"/>
      <c r="CL186" s="192"/>
    </row>
    <row r="187" spans="1:90" s="4" customFormat="1" ht="94.5" customHeight="1" x14ac:dyDescent="0.25">
      <c r="A187" s="3">
        <v>87</v>
      </c>
      <c r="B187" s="126" t="s">
        <v>980</v>
      </c>
      <c r="C187" s="109" t="s">
        <v>981</v>
      </c>
      <c r="D187" s="3" t="s">
        <v>220</v>
      </c>
      <c r="E187" s="59">
        <v>2021</v>
      </c>
      <c r="F187" s="3">
        <v>8983987277</v>
      </c>
      <c r="G187" s="3" t="s">
        <v>634</v>
      </c>
      <c r="H187" s="3" t="s">
        <v>101</v>
      </c>
      <c r="I187" s="3" t="s">
        <v>143</v>
      </c>
      <c r="J187" s="3" t="s">
        <v>162</v>
      </c>
      <c r="K187" s="3" t="s">
        <v>982</v>
      </c>
      <c r="L187" s="3" t="s">
        <v>105</v>
      </c>
      <c r="M187" s="56">
        <v>45273</v>
      </c>
      <c r="N187" s="69">
        <f t="shared" ca="1" si="21"/>
        <v>904</v>
      </c>
      <c r="O187" s="72" t="str">
        <f t="shared" ca="1" si="22"/>
        <v>2-3Y</v>
      </c>
      <c r="P187" s="198" t="s">
        <v>106</v>
      </c>
      <c r="Q187" s="3" t="s">
        <v>180</v>
      </c>
      <c r="R187" s="3" t="s">
        <v>164</v>
      </c>
      <c r="S187" s="129">
        <v>90</v>
      </c>
      <c r="T187" s="129">
        <v>70</v>
      </c>
      <c r="U187" s="129">
        <f t="shared" si="23"/>
        <v>160</v>
      </c>
      <c r="V187" s="3"/>
      <c r="W187" s="3" t="s">
        <v>171</v>
      </c>
      <c r="X187" s="3" t="s">
        <v>394</v>
      </c>
      <c r="Y187" s="60" t="str">
        <f>+AP187</f>
        <v>Yes</v>
      </c>
      <c r="Z187" s="3" t="s">
        <v>110</v>
      </c>
      <c r="AA187" s="3" t="s">
        <v>109</v>
      </c>
      <c r="AB187" s="3" t="s">
        <v>109</v>
      </c>
      <c r="AC187" s="3"/>
      <c r="AD187" s="249">
        <f t="shared" si="26"/>
        <v>46905</v>
      </c>
      <c r="AE187" s="249">
        <f t="shared" si="27"/>
        <v>46997</v>
      </c>
      <c r="AF187" s="3" t="s">
        <v>394</v>
      </c>
      <c r="AG187" s="3" t="s">
        <v>983</v>
      </c>
      <c r="AH187" s="3"/>
      <c r="AI187" s="3" t="s">
        <v>109</v>
      </c>
      <c r="AJ187" s="3" t="s">
        <v>109</v>
      </c>
      <c r="AK187" s="3" t="s">
        <v>112</v>
      </c>
      <c r="AL187" s="45">
        <v>46905</v>
      </c>
      <c r="AM187" s="3" t="s">
        <v>109</v>
      </c>
      <c r="AN187" s="3" t="s">
        <v>109</v>
      </c>
      <c r="AO187" s="3" t="s">
        <v>984</v>
      </c>
      <c r="AP187" s="3" t="s">
        <v>109</v>
      </c>
      <c r="AQ187" s="3"/>
      <c r="AR187" s="109" t="s">
        <v>985</v>
      </c>
      <c r="AS187" s="249">
        <v>46997</v>
      </c>
      <c r="AT187" s="3" t="s">
        <v>109</v>
      </c>
      <c r="AU187" s="3" t="s">
        <v>298</v>
      </c>
      <c r="AV187" s="3" t="s">
        <v>986</v>
      </c>
      <c r="AW187" s="3" t="s">
        <v>987</v>
      </c>
      <c r="AX187" s="3"/>
      <c r="AY187" s="3"/>
      <c r="AZ187" s="3"/>
      <c r="BA187" s="3"/>
      <c r="BB187" s="3" t="s">
        <v>261</v>
      </c>
      <c r="BC187" s="3"/>
      <c r="BD187" s="3"/>
      <c r="BE187" s="3"/>
      <c r="BF187" s="3"/>
      <c r="BG187" s="59" t="s">
        <v>114</v>
      </c>
      <c r="BH187" s="59"/>
      <c r="BI187" s="45"/>
      <c r="BJ187" s="45" t="s">
        <v>261</v>
      </c>
      <c r="BK187" s="3" t="s">
        <v>109</v>
      </c>
      <c r="BL187" s="3" t="s">
        <v>114</v>
      </c>
      <c r="BM187" s="3"/>
      <c r="BN187" s="3" t="s">
        <v>109</v>
      </c>
      <c r="BO187" s="3"/>
      <c r="BP187" s="3"/>
      <c r="BQ187" s="3"/>
      <c r="BR187" s="3"/>
      <c r="BS187" s="3"/>
      <c r="BT187" s="3"/>
      <c r="BU187" s="3"/>
      <c r="BV187" s="3"/>
      <c r="BW187" s="3" t="s">
        <v>184</v>
      </c>
      <c r="BX187" s="3"/>
      <c r="BY187" s="3"/>
      <c r="BZ187" s="3"/>
      <c r="CA187" s="3"/>
      <c r="CB187" s="112" t="s">
        <v>118</v>
      </c>
      <c r="CC187" s="112" t="s">
        <v>109</v>
      </c>
      <c r="CD187" s="3"/>
      <c r="CE187" s="3"/>
      <c r="CF187" s="112"/>
      <c r="CG187" s="112"/>
      <c r="CH187" s="133"/>
      <c r="CI187" s="112" t="str">
        <f t="shared" si="24"/>
        <v>Dec'23</v>
      </c>
      <c r="CJ187" s="112" t="s">
        <v>186</v>
      </c>
      <c r="CK187" s="112"/>
      <c r="CL187" s="112"/>
    </row>
    <row r="188" spans="1:90" s="4" customFormat="1" ht="94.5" customHeight="1" x14ac:dyDescent="0.25">
      <c r="A188" s="109">
        <v>89</v>
      </c>
      <c r="B188" s="126" t="s">
        <v>988</v>
      </c>
      <c r="C188" s="109" t="s">
        <v>989</v>
      </c>
      <c r="D188" s="109" t="s">
        <v>884</v>
      </c>
      <c r="E188" s="109">
        <v>2117</v>
      </c>
      <c r="F188" s="109">
        <v>8668538688</v>
      </c>
      <c r="G188" s="109" t="s">
        <v>100</v>
      </c>
      <c r="H188" s="109" t="s">
        <v>122</v>
      </c>
      <c r="I188" s="109" t="s">
        <v>102</v>
      </c>
      <c r="J188" s="109" t="s">
        <v>123</v>
      </c>
      <c r="K188" s="109" t="s">
        <v>990</v>
      </c>
      <c r="L188" s="109" t="s">
        <v>105</v>
      </c>
      <c r="M188" s="236">
        <v>45273</v>
      </c>
      <c r="N188" s="237">
        <f t="shared" ca="1" si="21"/>
        <v>904</v>
      </c>
      <c r="O188" s="237" t="str">
        <f t="shared" ca="1" si="22"/>
        <v>2-3Y</v>
      </c>
      <c r="P188" s="198" t="s">
        <v>158</v>
      </c>
      <c r="Q188" s="109" t="s">
        <v>125</v>
      </c>
      <c r="R188" s="109" t="s">
        <v>108</v>
      </c>
      <c r="S188" s="129">
        <v>30</v>
      </c>
      <c r="T188" s="129">
        <v>70</v>
      </c>
      <c r="U188" s="129">
        <f t="shared" si="23"/>
        <v>100</v>
      </c>
      <c r="V188" s="109"/>
      <c r="W188" s="109" t="s">
        <v>171</v>
      </c>
      <c r="X188" s="109" t="s">
        <v>394</v>
      </c>
      <c r="Y188" s="238"/>
      <c r="Z188" s="109"/>
      <c r="AA188" s="109"/>
      <c r="AB188" s="109"/>
      <c r="AC188" s="109"/>
      <c r="AD188" s="249">
        <f t="shared" ref="AD188:AD219" si="28">+AL188</f>
        <v>46905</v>
      </c>
      <c r="AE188" s="249">
        <f t="shared" si="27"/>
        <v>46997</v>
      </c>
      <c r="AF188" s="109" t="s">
        <v>394</v>
      </c>
      <c r="AG188" s="109" t="s">
        <v>581</v>
      </c>
      <c r="AH188" s="109"/>
      <c r="AI188" s="109" t="s">
        <v>115</v>
      </c>
      <c r="AJ188" s="109" t="s">
        <v>115</v>
      </c>
      <c r="AK188" s="109" t="s">
        <v>181</v>
      </c>
      <c r="AL188" s="239">
        <v>46905</v>
      </c>
      <c r="AM188" s="109" t="s">
        <v>109</v>
      </c>
      <c r="AN188" s="109" t="s">
        <v>109</v>
      </c>
      <c r="AO188" s="109"/>
      <c r="AP188" s="109"/>
      <c r="AQ188" s="109"/>
      <c r="AR188" s="109" t="s">
        <v>828</v>
      </c>
      <c r="AS188" s="249">
        <v>46997</v>
      </c>
      <c r="AT188" s="109" t="s">
        <v>109</v>
      </c>
      <c r="AU188" s="109" t="s">
        <v>419</v>
      </c>
      <c r="AV188" s="109" t="s">
        <v>991</v>
      </c>
      <c r="AW188" s="109"/>
      <c r="AX188" s="109"/>
      <c r="AY188" s="109"/>
      <c r="AZ188" s="109"/>
      <c r="BA188" s="109"/>
      <c r="BB188" s="109"/>
      <c r="BC188" s="109"/>
      <c r="BD188" s="109" t="s">
        <v>111</v>
      </c>
      <c r="BE188" s="109"/>
      <c r="BF188" s="109"/>
      <c r="BG188" s="109"/>
      <c r="BH188" s="109"/>
      <c r="BI188" s="239"/>
      <c r="BJ188" s="239"/>
      <c r="BK188" s="109" t="s">
        <v>109</v>
      </c>
      <c r="BL188" s="109"/>
      <c r="BM188" s="109" t="s">
        <v>111</v>
      </c>
      <c r="BN188" s="109" t="s">
        <v>111</v>
      </c>
      <c r="BO188" s="109" t="s">
        <v>115</v>
      </c>
      <c r="BP188" s="109"/>
      <c r="BQ188" s="109"/>
      <c r="BR188" s="109"/>
      <c r="BS188" s="109"/>
      <c r="BT188" s="109"/>
      <c r="BU188" s="109"/>
      <c r="BV188" s="109"/>
      <c r="BW188" s="109" t="s">
        <v>184</v>
      </c>
      <c r="BX188" s="109"/>
      <c r="BY188" s="109"/>
      <c r="BZ188" s="109"/>
      <c r="CA188" s="109"/>
      <c r="CB188" s="112" t="s">
        <v>118</v>
      </c>
      <c r="CC188" s="112" t="s">
        <v>109</v>
      </c>
      <c r="CD188" s="3"/>
      <c r="CE188" s="3"/>
      <c r="CF188" s="112"/>
      <c r="CG188" s="112"/>
      <c r="CH188" s="133"/>
      <c r="CI188" s="112" t="str">
        <f t="shared" si="24"/>
        <v>Dec'23</v>
      </c>
      <c r="CJ188" s="112" t="s">
        <v>132</v>
      </c>
      <c r="CK188" s="256"/>
      <c r="CL188" s="192"/>
    </row>
    <row r="189" spans="1:90" s="4" customFormat="1" ht="94.5" customHeight="1" x14ac:dyDescent="0.25">
      <c r="A189" s="3">
        <v>92</v>
      </c>
      <c r="B189" s="126" t="s">
        <v>992</v>
      </c>
      <c r="C189" s="109" t="s">
        <v>993</v>
      </c>
      <c r="D189" s="3" t="s">
        <v>135</v>
      </c>
      <c r="E189" s="59" t="s">
        <v>994</v>
      </c>
      <c r="F189" s="3">
        <v>8452980100</v>
      </c>
      <c r="G189" s="3" t="s">
        <v>142</v>
      </c>
      <c r="H189" s="3" t="s">
        <v>101</v>
      </c>
      <c r="I189" s="3" t="s">
        <v>143</v>
      </c>
      <c r="J189" s="3" t="s">
        <v>162</v>
      </c>
      <c r="K189" s="3" t="s">
        <v>995</v>
      </c>
      <c r="L189" s="3" t="s">
        <v>105</v>
      </c>
      <c r="M189" s="56">
        <v>45275</v>
      </c>
      <c r="N189" s="69">
        <f t="shared" ca="1" si="21"/>
        <v>902</v>
      </c>
      <c r="O189" s="72" t="str">
        <f t="shared" ca="1" si="22"/>
        <v>2-3Y</v>
      </c>
      <c r="P189" s="198" t="s">
        <v>137</v>
      </c>
      <c r="Q189" s="3" t="s">
        <v>107</v>
      </c>
      <c r="R189" s="3" t="s">
        <v>164</v>
      </c>
      <c r="S189" s="129">
        <v>30</v>
      </c>
      <c r="T189" s="129">
        <v>120</v>
      </c>
      <c r="U189" s="129">
        <f t="shared" si="23"/>
        <v>150</v>
      </c>
      <c r="V189" s="3"/>
      <c r="W189" s="3" t="s">
        <v>171</v>
      </c>
      <c r="X189" s="3" t="s">
        <v>394</v>
      </c>
      <c r="Y189" s="60"/>
      <c r="Z189" s="3" t="s">
        <v>274</v>
      </c>
      <c r="AA189" s="3"/>
      <c r="AB189" s="3"/>
      <c r="AC189" s="3"/>
      <c r="AD189" s="249">
        <f t="shared" si="28"/>
        <v>46905</v>
      </c>
      <c r="AE189" s="249">
        <f t="shared" si="27"/>
        <v>46997</v>
      </c>
      <c r="AF189" s="3" t="s">
        <v>394</v>
      </c>
      <c r="AG189" s="3" t="s">
        <v>581</v>
      </c>
      <c r="AH189" s="3"/>
      <c r="AI189" s="3" t="s">
        <v>171</v>
      </c>
      <c r="AJ189" s="3"/>
      <c r="AK189" s="3" t="s">
        <v>181</v>
      </c>
      <c r="AL189" s="45">
        <v>46905</v>
      </c>
      <c r="AM189" s="3"/>
      <c r="AN189" s="3"/>
      <c r="AO189" s="3"/>
      <c r="AP189" s="3"/>
      <c r="AQ189" s="3"/>
      <c r="AR189" s="109" t="s">
        <v>599</v>
      </c>
      <c r="AS189" s="249">
        <v>46997</v>
      </c>
      <c r="AT189" s="3" t="s">
        <v>109</v>
      </c>
      <c r="AU189" s="3" t="s">
        <v>171</v>
      </c>
      <c r="AV189" s="109" t="s">
        <v>599</v>
      </c>
      <c r="AW189" s="3" t="s">
        <v>171</v>
      </c>
      <c r="AX189" s="3" t="s">
        <v>171</v>
      </c>
      <c r="AY189" s="3" t="s">
        <v>111</v>
      </c>
      <c r="AZ189" s="3" t="s">
        <v>111</v>
      </c>
      <c r="BA189" s="3" t="s">
        <v>111</v>
      </c>
      <c r="BB189" s="3" t="s">
        <v>111</v>
      </c>
      <c r="BC189" s="3" t="s">
        <v>111</v>
      </c>
      <c r="BD189" s="3" t="s">
        <v>111</v>
      </c>
      <c r="BE189" s="3" t="s">
        <v>111</v>
      </c>
      <c r="BF189" s="3" t="s">
        <v>111</v>
      </c>
      <c r="BG189" s="3" t="s">
        <v>111</v>
      </c>
      <c r="BH189" s="3" t="s">
        <v>171</v>
      </c>
      <c r="BI189" s="3" t="s">
        <v>111</v>
      </c>
      <c r="BJ189" s="3" t="s">
        <v>111</v>
      </c>
      <c r="BK189" s="3" t="s">
        <v>109</v>
      </c>
      <c r="BL189" s="3" t="e">
        <v>#N/A</v>
      </c>
      <c r="BM189" s="3"/>
      <c r="BN189" s="3"/>
      <c r="BO189" s="3"/>
      <c r="BP189" s="3"/>
      <c r="BQ189" s="3"/>
      <c r="BR189" s="3"/>
      <c r="BS189" s="3"/>
      <c r="BT189" s="3"/>
      <c r="BU189" s="3"/>
      <c r="BV189" s="3"/>
      <c r="BW189" s="3" t="s">
        <v>184</v>
      </c>
      <c r="BX189" s="3"/>
      <c r="BY189" s="3"/>
      <c r="BZ189" s="3"/>
      <c r="CA189" s="3"/>
      <c r="CB189" s="112" t="s">
        <v>118</v>
      </c>
      <c r="CC189" s="112" t="s">
        <v>109</v>
      </c>
      <c r="CD189" s="3"/>
      <c r="CE189" s="3"/>
      <c r="CF189" s="112"/>
      <c r="CG189" s="112"/>
      <c r="CH189" s="133"/>
      <c r="CI189" s="112" t="str">
        <f t="shared" si="24"/>
        <v>Dec'23</v>
      </c>
      <c r="CJ189" s="112" t="s">
        <v>107</v>
      </c>
      <c r="CK189" s="255"/>
      <c r="CL189" s="192"/>
    </row>
    <row r="190" spans="1:90" s="4" customFormat="1" ht="94.5" customHeight="1" x14ac:dyDescent="0.25">
      <c r="A190" s="3">
        <v>91</v>
      </c>
      <c r="B190" s="126" t="s">
        <v>996</v>
      </c>
      <c r="C190" s="109" t="s">
        <v>997</v>
      </c>
      <c r="D190" s="3" t="s">
        <v>150</v>
      </c>
      <c r="E190" s="59">
        <v>1761</v>
      </c>
      <c r="F190" s="3">
        <v>8669150105</v>
      </c>
      <c r="G190" s="3" t="s">
        <v>142</v>
      </c>
      <c r="H190" s="3" t="s">
        <v>122</v>
      </c>
      <c r="I190" s="3" t="s">
        <v>143</v>
      </c>
      <c r="J190" s="3" t="s">
        <v>144</v>
      </c>
      <c r="K190" s="3" t="s">
        <v>998</v>
      </c>
      <c r="L190" s="3" t="s">
        <v>105</v>
      </c>
      <c r="M190" s="56">
        <v>45275</v>
      </c>
      <c r="N190" s="69">
        <f t="shared" ca="1" si="21"/>
        <v>902</v>
      </c>
      <c r="O190" s="72" t="str">
        <f t="shared" ca="1" si="22"/>
        <v>2-3Y</v>
      </c>
      <c r="P190" s="198" t="s">
        <v>106</v>
      </c>
      <c r="Q190" s="3" t="s">
        <v>125</v>
      </c>
      <c r="R190" s="3" t="s">
        <v>164</v>
      </c>
      <c r="S190" s="129">
        <v>30</v>
      </c>
      <c r="T190" s="129">
        <v>120</v>
      </c>
      <c r="U190" s="129">
        <f t="shared" si="23"/>
        <v>150</v>
      </c>
      <c r="V190" s="3"/>
      <c r="W190" s="3" t="s">
        <v>171</v>
      </c>
      <c r="X190" s="3" t="s">
        <v>394</v>
      </c>
      <c r="Y190" s="60"/>
      <c r="Z190" s="3"/>
      <c r="AA190" s="3"/>
      <c r="AB190" s="3"/>
      <c r="AC190" s="3"/>
      <c r="AD190" s="249">
        <f t="shared" si="28"/>
        <v>46905</v>
      </c>
      <c r="AE190" s="249">
        <f t="shared" si="27"/>
        <v>46997</v>
      </c>
      <c r="AF190" s="3" t="s">
        <v>394</v>
      </c>
      <c r="AG190" s="3" t="s">
        <v>581</v>
      </c>
      <c r="AH190" s="3"/>
      <c r="AI190" s="3" t="s">
        <v>115</v>
      </c>
      <c r="AJ190" s="3" t="s">
        <v>115</v>
      </c>
      <c r="AK190" s="3"/>
      <c r="AL190" s="45">
        <v>46905</v>
      </c>
      <c r="AM190" s="3" t="s">
        <v>109</v>
      </c>
      <c r="AN190" s="3" t="s">
        <v>109</v>
      </c>
      <c r="AO190" s="3"/>
      <c r="AP190" s="3"/>
      <c r="AQ190" s="3"/>
      <c r="AR190" s="109" t="s">
        <v>999</v>
      </c>
      <c r="AS190" s="249">
        <v>46997</v>
      </c>
      <c r="AT190" s="3"/>
      <c r="AU190" s="59" t="s">
        <v>171</v>
      </c>
      <c r="AV190" s="3" t="s">
        <v>1000</v>
      </c>
      <c r="AW190" s="59" t="s">
        <v>171</v>
      </c>
      <c r="AX190" s="3"/>
      <c r="AY190" s="3"/>
      <c r="AZ190" s="3"/>
      <c r="BA190" s="3"/>
      <c r="BB190" s="3">
        <v>0</v>
      </c>
      <c r="BC190" s="3"/>
      <c r="BD190" s="3"/>
      <c r="BE190" s="3"/>
      <c r="BF190" s="3"/>
      <c r="BG190" s="59"/>
      <c r="BH190" s="59"/>
      <c r="BI190" s="45"/>
      <c r="BJ190" s="45"/>
      <c r="BK190" s="3" t="s">
        <v>109</v>
      </c>
      <c r="BL190" s="3" t="s">
        <v>114</v>
      </c>
      <c r="BM190" s="3" t="s">
        <v>111</v>
      </c>
      <c r="BN190" s="3" t="s">
        <v>111</v>
      </c>
      <c r="BO190" s="3" t="s">
        <v>115</v>
      </c>
      <c r="BP190" s="3"/>
      <c r="BQ190" s="3"/>
      <c r="BR190" s="3"/>
      <c r="BS190" s="3"/>
      <c r="BT190" s="3"/>
      <c r="BU190" s="3"/>
      <c r="BV190" s="3"/>
      <c r="BW190" s="3" t="s">
        <v>749</v>
      </c>
      <c r="BX190" s="3"/>
      <c r="BY190" s="3"/>
      <c r="BZ190" s="3"/>
      <c r="CA190" s="3"/>
      <c r="CB190" s="112" t="s">
        <v>118</v>
      </c>
      <c r="CC190" s="112" t="s">
        <v>109</v>
      </c>
      <c r="CD190" s="3"/>
      <c r="CE190" s="3"/>
      <c r="CF190" s="112"/>
      <c r="CG190" s="112"/>
      <c r="CH190" s="133"/>
      <c r="CI190" s="112" t="str">
        <f t="shared" si="24"/>
        <v>Dec'23</v>
      </c>
      <c r="CJ190" s="112" t="s">
        <v>132</v>
      </c>
      <c r="CK190" s="112"/>
      <c r="CL190" s="112"/>
    </row>
    <row r="191" spans="1:90" s="4" customFormat="1" ht="94.5" customHeight="1" x14ac:dyDescent="0.25">
      <c r="A191" s="109">
        <v>94</v>
      </c>
      <c r="B191" s="126" t="s">
        <v>1001</v>
      </c>
      <c r="C191" s="109" t="s">
        <v>1002</v>
      </c>
      <c r="D191" s="109" t="s">
        <v>884</v>
      </c>
      <c r="E191" s="109">
        <v>1909</v>
      </c>
      <c r="F191" s="109">
        <v>9822704949</v>
      </c>
      <c r="G191" s="109" t="s">
        <v>634</v>
      </c>
      <c r="H191" s="109" t="s">
        <v>122</v>
      </c>
      <c r="I191" s="109" t="s">
        <v>143</v>
      </c>
      <c r="J191" s="109" t="s">
        <v>144</v>
      </c>
      <c r="K191" s="109" t="s">
        <v>1003</v>
      </c>
      <c r="L191" s="109" t="s">
        <v>105</v>
      </c>
      <c r="M191" s="236">
        <v>45278</v>
      </c>
      <c r="N191" s="237">
        <f t="shared" ca="1" si="21"/>
        <v>899</v>
      </c>
      <c r="O191" s="237" t="str">
        <f t="shared" ca="1" si="22"/>
        <v>2-3Y</v>
      </c>
      <c r="P191" s="198" t="s">
        <v>158</v>
      </c>
      <c r="Q191" s="109" t="s">
        <v>125</v>
      </c>
      <c r="R191" s="109" t="s">
        <v>108</v>
      </c>
      <c r="S191" s="129">
        <v>100</v>
      </c>
      <c r="T191" s="129">
        <v>50</v>
      </c>
      <c r="U191" s="129">
        <f t="shared" si="23"/>
        <v>150</v>
      </c>
      <c r="V191" s="109"/>
      <c r="W191" s="109" t="s">
        <v>171</v>
      </c>
      <c r="X191" s="109" t="s">
        <v>394</v>
      </c>
      <c r="Y191" s="238" t="str">
        <f>+IF(AO191="Approved","Yes",AS191)</f>
        <v>Yes</v>
      </c>
      <c r="Z191" s="109" t="s">
        <v>111</v>
      </c>
      <c r="AA191" s="109"/>
      <c r="AB191" s="109"/>
      <c r="AC191" s="109"/>
      <c r="AD191" s="249">
        <f t="shared" si="28"/>
        <v>46905</v>
      </c>
      <c r="AE191" s="249">
        <f t="shared" si="27"/>
        <v>46997</v>
      </c>
      <c r="AF191" s="109" t="s">
        <v>394</v>
      </c>
      <c r="AG191" s="109" t="s">
        <v>1004</v>
      </c>
      <c r="AH191" s="109"/>
      <c r="AI191" s="109" t="s">
        <v>115</v>
      </c>
      <c r="AJ191" s="109" t="s">
        <v>115</v>
      </c>
      <c r="AK191" s="109" t="s">
        <v>181</v>
      </c>
      <c r="AL191" s="239">
        <v>46905</v>
      </c>
      <c r="AM191" s="109" t="s">
        <v>109</v>
      </c>
      <c r="AN191" s="109" t="s">
        <v>109</v>
      </c>
      <c r="AO191" s="109" t="s">
        <v>110</v>
      </c>
      <c r="AP191" s="109" t="s">
        <v>109</v>
      </c>
      <c r="AQ191" s="109">
        <v>4338118</v>
      </c>
      <c r="AR191" s="109" t="s">
        <v>1005</v>
      </c>
      <c r="AS191" s="249">
        <v>46997</v>
      </c>
      <c r="AT191" s="109" t="s">
        <v>109</v>
      </c>
      <c r="AU191" s="109" t="s">
        <v>419</v>
      </c>
      <c r="AV191" s="109" t="s">
        <v>1006</v>
      </c>
      <c r="AW191" s="109"/>
      <c r="AX191" s="109"/>
      <c r="AY191" s="109"/>
      <c r="AZ191" s="109" t="s">
        <v>109</v>
      </c>
      <c r="BA191" s="109"/>
      <c r="BB191" s="109" t="s">
        <v>115</v>
      </c>
      <c r="BC191" s="109"/>
      <c r="BD191" s="109" t="s">
        <v>111</v>
      </c>
      <c r="BE191" s="109"/>
      <c r="BF191" s="109"/>
      <c r="BG191" s="109" t="s">
        <v>114</v>
      </c>
      <c r="BH191" s="109"/>
      <c r="BI191" s="239"/>
      <c r="BJ191" s="239">
        <v>46296</v>
      </c>
      <c r="BK191" s="109" t="s">
        <v>109</v>
      </c>
      <c r="BL191" s="109"/>
      <c r="BM191" s="109" t="s">
        <v>111</v>
      </c>
      <c r="BN191" s="109" t="s">
        <v>111</v>
      </c>
      <c r="BO191" s="109" t="s">
        <v>115</v>
      </c>
      <c r="BP191" s="109"/>
      <c r="BQ191" s="109"/>
      <c r="BR191" s="109"/>
      <c r="BS191" s="109"/>
      <c r="BT191" s="109"/>
      <c r="BU191" s="109"/>
      <c r="BV191" s="109"/>
      <c r="BW191" s="109" t="s">
        <v>184</v>
      </c>
      <c r="BX191" s="109"/>
      <c r="BY191" s="109"/>
      <c r="BZ191" s="109"/>
      <c r="CA191" s="109"/>
      <c r="CB191" s="112" t="s">
        <v>118</v>
      </c>
      <c r="CC191" s="112" t="s">
        <v>109</v>
      </c>
      <c r="CD191" s="3"/>
      <c r="CE191" s="3"/>
      <c r="CF191" s="112"/>
      <c r="CG191" s="112"/>
      <c r="CH191" s="133"/>
      <c r="CI191" s="112" t="str">
        <f t="shared" si="24"/>
        <v>Dec'23</v>
      </c>
      <c r="CJ191" s="112" t="s">
        <v>132</v>
      </c>
      <c r="CK191" s="256"/>
      <c r="CL191" s="192"/>
    </row>
    <row r="192" spans="1:90" s="4" customFormat="1" ht="94.5" customHeight="1" x14ac:dyDescent="0.25">
      <c r="A192" s="3">
        <v>95</v>
      </c>
      <c r="B192" s="126" t="s">
        <v>1007</v>
      </c>
      <c r="C192" s="109" t="s">
        <v>685</v>
      </c>
      <c r="D192" s="3" t="s">
        <v>383</v>
      </c>
      <c r="E192" s="59">
        <v>1606</v>
      </c>
      <c r="F192" s="3">
        <v>9881321999</v>
      </c>
      <c r="G192" s="3" t="s">
        <v>101</v>
      </c>
      <c r="H192" s="3" t="s">
        <v>122</v>
      </c>
      <c r="I192" s="3" t="s">
        <v>143</v>
      </c>
      <c r="J192" s="3" t="s">
        <v>144</v>
      </c>
      <c r="K192" s="3" t="s">
        <v>1008</v>
      </c>
      <c r="L192" s="3" t="s">
        <v>105</v>
      </c>
      <c r="M192" s="56">
        <v>45278</v>
      </c>
      <c r="N192" s="69">
        <f t="shared" ca="1" si="21"/>
        <v>899</v>
      </c>
      <c r="O192" s="72" t="str">
        <f t="shared" ca="1" si="22"/>
        <v>2-3Y</v>
      </c>
      <c r="P192" s="198" t="s">
        <v>106</v>
      </c>
      <c r="Q192" s="3" t="s">
        <v>192</v>
      </c>
      <c r="R192" s="3" t="s">
        <v>164</v>
      </c>
      <c r="S192" s="129">
        <v>200</v>
      </c>
      <c r="T192" s="129">
        <v>80</v>
      </c>
      <c r="U192" s="129">
        <f t="shared" si="23"/>
        <v>280</v>
      </c>
      <c r="V192" s="3"/>
      <c r="W192" s="3" t="s">
        <v>171</v>
      </c>
      <c r="X192" s="3" t="s">
        <v>394</v>
      </c>
      <c r="Y192" s="60"/>
      <c r="Z192" s="3"/>
      <c r="AA192" s="3"/>
      <c r="AB192" s="3"/>
      <c r="AC192" s="3"/>
      <c r="AD192" s="249">
        <f t="shared" si="28"/>
        <v>46905</v>
      </c>
      <c r="AE192" s="249">
        <f t="shared" si="27"/>
        <v>46997</v>
      </c>
      <c r="AF192" s="3" t="s">
        <v>394</v>
      </c>
      <c r="AG192" s="3"/>
      <c r="AH192" s="3"/>
      <c r="AI192" s="3" t="s">
        <v>115</v>
      </c>
      <c r="AJ192" s="3" t="s">
        <v>115</v>
      </c>
      <c r="AK192" s="3" t="s">
        <v>419</v>
      </c>
      <c r="AL192" s="45">
        <v>46905</v>
      </c>
      <c r="AM192" s="3" t="s">
        <v>109</v>
      </c>
      <c r="AN192" s="3" t="s">
        <v>109</v>
      </c>
      <c r="AO192" s="3"/>
      <c r="AP192" s="3"/>
      <c r="AQ192" s="3"/>
      <c r="AR192" s="109" t="s">
        <v>599</v>
      </c>
      <c r="AS192" s="249">
        <v>46997</v>
      </c>
      <c r="AT192" s="3" t="s">
        <v>146</v>
      </c>
      <c r="AU192" s="3" t="s">
        <v>419</v>
      </c>
      <c r="AV192" s="109" t="s">
        <v>1009</v>
      </c>
      <c r="AW192" s="3" t="s">
        <v>171</v>
      </c>
      <c r="AX192" s="3" t="s">
        <v>111</v>
      </c>
      <c r="AY192" s="3" t="s">
        <v>111</v>
      </c>
      <c r="AZ192" s="3" t="s">
        <v>111</v>
      </c>
      <c r="BA192" s="3" t="s">
        <v>111</v>
      </c>
      <c r="BB192" s="3" t="s">
        <v>111</v>
      </c>
      <c r="BC192" s="3" t="s">
        <v>111</v>
      </c>
      <c r="BD192" s="3" t="s">
        <v>111</v>
      </c>
      <c r="BE192" s="3" t="s">
        <v>111</v>
      </c>
      <c r="BF192" s="3" t="s">
        <v>111</v>
      </c>
      <c r="BG192" s="3" t="s">
        <v>111</v>
      </c>
      <c r="BH192" s="3" t="s">
        <v>111</v>
      </c>
      <c r="BI192" s="3" t="s">
        <v>111</v>
      </c>
      <c r="BJ192" s="3" t="s">
        <v>111</v>
      </c>
      <c r="BK192" s="3" t="s">
        <v>109</v>
      </c>
      <c r="BL192" s="3" t="s">
        <v>114</v>
      </c>
      <c r="BM192" s="3" t="s">
        <v>111</v>
      </c>
      <c r="BN192" s="3" t="s">
        <v>111</v>
      </c>
      <c r="BO192" s="3" t="s">
        <v>115</v>
      </c>
      <c r="BP192" s="3"/>
      <c r="BQ192" s="3"/>
      <c r="BR192" s="3"/>
      <c r="BS192" s="3"/>
      <c r="BT192" s="3"/>
      <c r="BU192" s="3"/>
      <c r="BV192" s="3"/>
      <c r="BW192" s="3" t="s">
        <v>184</v>
      </c>
      <c r="BX192" s="3"/>
      <c r="BY192" s="3"/>
      <c r="BZ192" s="3"/>
      <c r="CA192" s="3"/>
      <c r="CB192" s="112" t="s">
        <v>118</v>
      </c>
      <c r="CC192" s="112" t="s">
        <v>109</v>
      </c>
      <c r="CD192" s="3"/>
      <c r="CE192" s="3"/>
      <c r="CF192" s="112"/>
      <c r="CG192" s="112"/>
      <c r="CH192" s="133"/>
      <c r="CI192" s="112" t="str">
        <f t="shared" si="24"/>
        <v>Dec'23</v>
      </c>
      <c r="CJ192" s="112" t="s">
        <v>192</v>
      </c>
      <c r="CK192" s="112"/>
      <c r="CL192" s="192"/>
    </row>
    <row r="193" spans="1:90" s="4" customFormat="1" ht="94.5" customHeight="1" x14ac:dyDescent="0.25">
      <c r="A193" s="3">
        <v>97</v>
      </c>
      <c r="B193" s="126" t="s">
        <v>1010</v>
      </c>
      <c r="C193" s="109" t="s">
        <v>685</v>
      </c>
      <c r="D193" s="3" t="s">
        <v>383</v>
      </c>
      <c r="E193" s="59">
        <v>2026</v>
      </c>
      <c r="F193" s="3">
        <v>9881321999</v>
      </c>
      <c r="G193" s="3" t="s">
        <v>101</v>
      </c>
      <c r="H193" s="3" t="s">
        <v>122</v>
      </c>
      <c r="I193" s="3" t="s">
        <v>143</v>
      </c>
      <c r="J193" s="3" t="s">
        <v>144</v>
      </c>
      <c r="K193" s="3" t="s">
        <v>1011</v>
      </c>
      <c r="L193" s="3" t="s">
        <v>105</v>
      </c>
      <c r="M193" s="56">
        <v>45279</v>
      </c>
      <c r="N193" s="69">
        <f t="shared" ca="1" si="21"/>
        <v>898</v>
      </c>
      <c r="O193" s="72" t="str">
        <f t="shared" ca="1" si="22"/>
        <v>2-3Y</v>
      </c>
      <c r="P193" s="198" t="s">
        <v>106</v>
      </c>
      <c r="Q193" s="3" t="s">
        <v>192</v>
      </c>
      <c r="R193" s="3" t="s">
        <v>164</v>
      </c>
      <c r="S193" s="129">
        <v>180</v>
      </c>
      <c r="T193" s="129">
        <v>150</v>
      </c>
      <c r="U193" s="129">
        <f t="shared" si="23"/>
        <v>330</v>
      </c>
      <c r="V193" s="3"/>
      <c r="W193" s="3" t="s">
        <v>171</v>
      </c>
      <c r="X193" s="3" t="s">
        <v>394</v>
      </c>
      <c r="Y193" s="60">
        <f>+IF(AO193="Approved","Yes",AS193-90)</f>
        <v>46907</v>
      </c>
      <c r="Z193" s="3"/>
      <c r="AA193" s="3"/>
      <c r="AB193" s="3"/>
      <c r="AC193" s="3"/>
      <c r="AD193" s="249">
        <f t="shared" si="28"/>
        <v>46905</v>
      </c>
      <c r="AE193" s="249">
        <f t="shared" si="27"/>
        <v>46997</v>
      </c>
      <c r="AF193" s="3" t="s">
        <v>394</v>
      </c>
      <c r="AG193" s="3"/>
      <c r="AH193" s="3"/>
      <c r="AI193" s="3" t="s">
        <v>115</v>
      </c>
      <c r="AJ193" s="3" t="s">
        <v>115</v>
      </c>
      <c r="AK193" s="3" t="s">
        <v>419</v>
      </c>
      <c r="AL193" s="45">
        <v>46905</v>
      </c>
      <c r="AM193" s="3" t="s">
        <v>109</v>
      </c>
      <c r="AN193" s="3" t="s">
        <v>109</v>
      </c>
      <c r="AO193" s="3"/>
      <c r="AP193" s="3"/>
      <c r="AQ193" s="3"/>
      <c r="AR193" s="109" t="s">
        <v>1012</v>
      </c>
      <c r="AS193" s="249">
        <v>46997</v>
      </c>
      <c r="AT193" s="3" t="s">
        <v>146</v>
      </c>
      <c r="AU193" s="3" t="s">
        <v>419</v>
      </c>
      <c r="AV193" s="109" t="s">
        <v>1013</v>
      </c>
      <c r="AW193" s="3" t="s">
        <v>171</v>
      </c>
      <c r="AX193" s="3" t="s">
        <v>111</v>
      </c>
      <c r="AY193" s="3" t="s">
        <v>111</v>
      </c>
      <c r="AZ193" s="3" t="s">
        <v>111</v>
      </c>
      <c r="BA193" s="3" t="s">
        <v>111</v>
      </c>
      <c r="BB193" s="3" t="s">
        <v>111</v>
      </c>
      <c r="BC193" s="3" t="s">
        <v>111</v>
      </c>
      <c r="BD193" s="3" t="s">
        <v>111</v>
      </c>
      <c r="BE193" s="3" t="s">
        <v>111</v>
      </c>
      <c r="BF193" s="3" t="s">
        <v>111</v>
      </c>
      <c r="BG193" s="3" t="s">
        <v>111</v>
      </c>
      <c r="BH193" s="3" t="s">
        <v>111</v>
      </c>
      <c r="BI193" s="3" t="s">
        <v>111</v>
      </c>
      <c r="BJ193" s="3" t="s">
        <v>111</v>
      </c>
      <c r="BK193" s="3" t="s">
        <v>109</v>
      </c>
      <c r="BL193" s="3" t="s">
        <v>114</v>
      </c>
      <c r="BM193" s="3" t="s">
        <v>111</v>
      </c>
      <c r="BN193" s="3" t="s">
        <v>111</v>
      </c>
      <c r="BO193" s="3" t="s">
        <v>115</v>
      </c>
      <c r="BP193" s="3"/>
      <c r="BQ193" s="3"/>
      <c r="BR193" s="3"/>
      <c r="BS193" s="3"/>
      <c r="BT193" s="3"/>
      <c r="BU193" s="3"/>
      <c r="BV193" s="3"/>
      <c r="BW193" s="3" t="s">
        <v>184</v>
      </c>
      <c r="BX193" s="3"/>
      <c r="BY193" s="3"/>
      <c r="BZ193" s="3"/>
      <c r="CA193" s="3"/>
      <c r="CB193" s="112" t="s">
        <v>118</v>
      </c>
      <c r="CC193" s="112" t="s">
        <v>109</v>
      </c>
      <c r="CD193" s="3"/>
      <c r="CE193" s="3"/>
      <c r="CF193" s="112"/>
      <c r="CG193" s="112"/>
      <c r="CH193" s="133"/>
      <c r="CI193" s="112" t="str">
        <f t="shared" si="24"/>
        <v>Dec'23</v>
      </c>
      <c r="CJ193" s="112" t="s">
        <v>192</v>
      </c>
      <c r="CK193" s="255"/>
      <c r="CL193" s="192"/>
    </row>
    <row r="194" spans="1:90" s="4" customFormat="1" ht="94.5" customHeight="1" x14ac:dyDescent="0.25">
      <c r="A194" s="3">
        <v>99</v>
      </c>
      <c r="B194" s="126" t="s">
        <v>1014</v>
      </c>
      <c r="C194" s="109" t="s">
        <v>685</v>
      </c>
      <c r="D194" s="3" t="s">
        <v>135</v>
      </c>
      <c r="E194" s="59">
        <v>1620</v>
      </c>
      <c r="F194" s="3">
        <v>9881321999</v>
      </c>
      <c r="G194" s="3" t="s">
        <v>142</v>
      </c>
      <c r="H194" s="3" t="s">
        <v>122</v>
      </c>
      <c r="I194" s="3" t="s">
        <v>143</v>
      </c>
      <c r="J194" s="3" t="s">
        <v>144</v>
      </c>
      <c r="K194" s="3" t="s">
        <v>1015</v>
      </c>
      <c r="L194" s="3" t="s">
        <v>105</v>
      </c>
      <c r="M194" s="56">
        <v>45279</v>
      </c>
      <c r="N194" s="69">
        <f t="shared" ca="1" si="21"/>
        <v>898</v>
      </c>
      <c r="O194" s="72" t="str">
        <f t="shared" ca="1" si="22"/>
        <v>2-3Y</v>
      </c>
      <c r="P194" s="198" t="s">
        <v>137</v>
      </c>
      <c r="Q194" s="3" t="s">
        <v>125</v>
      </c>
      <c r="R194" s="3" t="s">
        <v>164</v>
      </c>
      <c r="S194" s="129">
        <v>30</v>
      </c>
      <c r="T194" s="129">
        <v>120</v>
      </c>
      <c r="U194" s="129">
        <f t="shared" si="23"/>
        <v>150</v>
      </c>
      <c r="V194" s="3"/>
      <c r="W194" s="3" t="s">
        <v>171</v>
      </c>
      <c r="X194" s="3" t="s">
        <v>394</v>
      </c>
      <c r="Y194" s="60"/>
      <c r="Z194" s="3"/>
      <c r="AA194" s="3"/>
      <c r="AB194" s="3"/>
      <c r="AC194" s="3"/>
      <c r="AD194" s="249">
        <f t="shared" si="28"/>
        <v>46905</v>
      </c>
      <c r="AE194" s="249">
        <f t="shared" si="27"/>
        <v>46997</v>
      </c>
      <c r="AF194" s="3" t="s">
        <v>394</v>
      </c>
      <c r="AG194" s="3" t="s">
        <v>721</v>
      </c>
      <c r="AH194" s="3"/>
      <c r="AI194" s="3" t="s">
        <v>115</v>
      </c>
      <c r="AJ194" s="3" t="s">
        <v>115</v>
      </c>
      <c r="AK194" s="3" t="s">
        <v>181</v>
      </c>
      <c r="AL194" s="45">
        <v>46905</v>
      </c>
      <c r="AM194" s="3" t="s">
        <v>109</v>
      </c>
      <c r="AN194" s="3" t="s">
        <v>109</v>
      </c>
      <c r="AO194" s="3"/>
      <c r="AP194" s="3"/>
      <c r="AQ194" s="3"/>
      <c r="AR194" s="109" t="s">
        <v>904</v>
      </c>
      <c r="AS194" s="249">
        <v>46997</v>
      </c>
      <c r="AT194" s="3" t="s">
        <v>109</v>
      </c>
      <c r="AU194" s="3" t="s">
        <v>171</v>
      </c>
      <c r="AV194" s="109" t="s">
        <v>904</v>
      </c>
      <c r="AW194" s="3" t="s">
        <v>109</v>
      </c>
      <c r="AX194" s="3" t="s">
        <v>171</v>
      </c>
      <c r="AY194" s="3" t="s">
        <v>111</v>
      </c>
      <c r="AZ194" s="3" t="s">
        <v>111</v>
      </c>
      <c r="BA194" s="3" t="s">
        <v>111</v>
      </c>
      <c r="BB194" s="3" t="s">
        <v>111</v>
      </c>
      <c r="BC194" s="3" t="s">
        <v>111</v>
      </c>
      <c r="BD194" s="3" t="s">
        <v>111</v>
      </c>
      <c r="BE194" s="3" t="s">
        <v>111</v>
      </c>
      <c r="BF194" s="3" t="s">
        <v>111</v>
      </c>
      <c r="BG194" s="3" t="s">
        <v>111</v>
      </c>
      <c r="BH194" s="3" t="s">
        <v>171</v>
      </c>
      <c r="BI194" s="3" t="s">
        <v>111</v>
      </c>
      <c r="BJ194" s="3" t="s">
        <v>111</v>
      </c>
      <c r="BK194" s="3" t="s">
        <v>260</v>
      </c>
      <c r="BL194" s="3" t="s">
        <v>261</v>
      </c>
      <c r="BM194" s="3" t="s">
        <v>111</v>
      </c>
      <c r="BN194" s="3" t="s">
        <v>111</v>
      </c>
      <c r="BO194" s="3" t="s">
        <v>115</v>
      </c>
      <c r="BP194" s="3"/>
      <c r="BQ194" s="3"/>
      <c r="BR194" s="3"/>
      <c r="BS194" s="3"/>
      <c r="BT194" s="3"/>
      <c r="BU194" s="3"/>
      <c r="BV194" s="3"/>
      <c r="BW194" s="3" t="s">
        <v>749</v>
      </c>
      <c r="BX194" s="3"/>
      <c r="BY194" s="3"/>
      <c r="BZ194" s="3"/>
      <c r="CA194" s="3"/>
      <c r="CB194" s="112" t="s">
        <v>118</v>
      </c>
      <c r="CC194" s="112" t="s">
        <v>109</v>
      </c>
      <c r="CD194" s="3"/>
      <c r="CE194" s="3"/>
      <c r="CF194" s="112"/>
      <c r="CG194" s="112"/>
      <c r="CH194" s="133"/>
      <c r="CI194" s="112" t="str">
        <f t="shared" si="24"/>
        <v>Dec'23</v>
      </c>
      <c r="CJ194" s="112" t="s">
        <v>132</v>
      </c>
      <c r="CK194" s="112"/>
      <c r="CL194" s="112"/>
    </row>
    <row r="195" spans="1:90" s="4" customFormat="1" ht="94.5" customHeight="1" x14ac:dyDescent="0.25">
      <c r="A195" s="3">
        <v>100</v>
      </c>
      <c r="B195" s="126" t="s">
        <v>1016</v>
      </c>
      <c r="C195" s="109" t="s">
        <v>1017</v>
      </c>
      <c r="D195" s="3" t="s">
        <v>135</v>
      </c>
      <c r="E195" s="59">
        <v>2037</v>
      </c>
      <c r="F195" s="3">
        <v>9892420505</v>
      </c>
      <c r="G195" s="3" t="s">
        <v>142</v>
      </c>
      <c r="H195" s="3" t="s">
        <v>122</v>
      </c>
      <c r="I195" s="3" t="s">
        <v>143</v>
      </c>
      <c r="J195" s="3" t="s">
        <v>144</v>
      </c>
      <c r="K195" s="3" t="s">
        <v>1018</v>
      </c>
      <c r="L195" s="3" t="s">
        <v>105</v>
      </c>
      <c r="M195" s="56">
        <v>45287</v>
      </c>
      <c r="N195" s="69">
        <f t="shared" ref="N195:N258" ca="1" si="29">+TODAY()-M195</f>
        <v>890</v>
      </c>
      <c r="O195" s="72" t="str">
        <f t="shared" ref="O195:O258" ca="1" si="30">+IF(N195&lt;180,"0-6M",IF(N195&lt;365,"6-12M",IF(N195&lt;730,"1-2Y",IF(N195&lt;1095,"2-3Y",IF(N195&lt;1460,"3-4Y",IF(N195&lt;1825,"4-5Y",IF(N195&gt;1825,"&gt;5Y")))))))</f>
        <v>2-3Y</v>
      </c>
      <c r="P195" s="198" t="s">
        <v>137</v>
      </c>
      <c r="Q195" s="3" t="s">
        <v>192</v>
      </c>
      <c r="R195" s="3" t="s">
        <v>108</v>
      </c>
      <c r="S195" s="129">
        <v>30</v>
      </c>
      <c r="T195" s="129">
        <v>120</v>
      </c>
      <c r="U195" s="129">
        <f t="shared" ref="U195:U258" si="31">+S195+T195</f>
        <v>150</v>
      </c>
      <c r="V195" s="3"/>
      <c r="W195" s="3" t="s">
        <v>171</v>
      </c>
      <c r="X195" s="3" t="s">
        <v>394</v>
      </c>
      <c r="Y195" s="60"/>
      <c r="Z195" s="3"/>
      <c r="AA195" s="3"/>
      <c r="AB195" s="3"/>
      <c r="AC195" s="3"/>
      <c r="AD195" s="249">
        <f t="shared" si="28"/>
        <v>46905</v>
      </c>
      <c r="AE195" s="249">
        <f t="shared" si="27"/>
        <v>46997</v>
      </c>
      <c r="AF195" s="3" t="s">
        <v>394</v>
      </c>
      <c r="AG195" s="3" t="s">
        <v>589</v>
      </c>
      <c r="AH195" s="3"/>
      <c r="AI195" s="3" t="s">
        <v>115</v>
      </c>
      <c r="AJ195" s="3" t="s">
        <v>115</v>
      </c>
      <c r="AK195" s="3" t="s">
        <v>181</v>
      </c>
      <c r="AL195" s="45">
        <v>46905</v>
      </c>
      <c r="AM195" s="3" t="s">
        <v>109</v>
      </c>
      <c r="AN195" s="3" t="s">
        <v>109</v>
      </c>
      <c r="AO195" s="3"/>
      <c r="AP195" s="3"/>
      <c r="AQ195" s="3"/>
      <c r="AR195" s="109" t="s">
        <v>1019</v>
      </c>
      <c r="AS195" s="249">
        <v>46997</v>
      </c>
      <c r="AT195" s="3" t="s">
        <v>109</v>
      </c>
      <c r="AU195" s="3" t="s">
        <v>171</v>
      </c>
      <c r="AV195" s="109" t="s">
        <v>1019</v>
      </c>
      <c r="AW195" s="3" t="s">
        <v>109</v>
      </c>
      <c r="AX195" s="3" t="s">
        <v>171</v>
      </c>
      <c r="AY195" s="3" t="s">
        <v>111</v>
      </c>
      <c r="AZ195" s="3" t="s">
        <v>111</v>
      </c>
      <c r="BA195" s="3" t="s">
        <v>111</v>
      </c>
      <c r="BB195" s="3" t="s">
        <v>111</v>
      </c>
      <c r="BC195" s="3" t="s">
        <v>111</v>
      </c>
      <c r="BD195" s="3" t="s">
        <v>111</v>
      </c>
      <c r="BE195" s="3" t="s">
        <v>111</v>
      </c>
      <c r="BF195" s="3" t="s">
        <v>111</v>
      </c>
      <c r="BG195" s="3" t="s">
        <v>111</v>
      </c>
      <c r="BH195" s="3" t="s">
        <v>171</v>
      </c>
      <c r="BI195" s="3" t="s">
        <v>111</v>
      </c>
      <c r="BJ195" s="3" t="s">
        <v>111</v>
      </c>
      <c r="BK195" s="3" t="s">
        <v>109</v>
      </c>
      <c r="BL195" s="3" t="e">
        <v>#N/A</v>
      </c>
      <c r="BM195" s="3" t="s">
        <v>111</v>
      </c>
      <c r="BN195" s="3" t="s">
        <v>111</v>
      </c>
      <c r="BO195" s="3" t="s">
        <v>115</v>
      </c>
      <c r="BP195" s="3"/>
      <c r="BQ195" s="3"/>
      <c r="BR195" s="3"/>
      <c r="BS195" s="3"/>
      <c r="BT195" s="3"/>
      <c r="BU195" s="3"/>
      <c r="BV195" s="3"/>
      <c r="BW195" s="3" t="s">
        <v>184</v>
      </c>
      <c r="BX195" s="3"/>
      <c r="BY195" s="3"/>
      <c r="BZ195" s="3"/>
      <c r="CA195" s="3"/>
      <c r="CB195" s="112" t="s">
        <v>118</v>
      </c>
      <c r="CC195" s="112" t="s">
        <v>109</v>
      </c>
      <c r="CD195" s="3"/>
      <c r="CE195" s="3"/>
      <c r="CF195" s="112"/>
      <c r="CG195" s="112"/>
      <c r="CH195" s="133"/>
      <c r="CI195" s="112" t="str">
        <f t="shared" ref="CI195:CI258" si="32">TEXT(M195,"MMM'YY")</f>
        <v>Dec'23</v>
      </c>
      <c r="CJ195" s="112" t="s">
        <v>192</v>
      </c>
      <c r="CK195" s="112"/>
      <c r="CL195" s="112"/>
    </row>
    <row r="196" spans="1:90" s="4" customFormat="1" ht="94.5" customHeight="1" x14ac:dyDescent="0.25">
      <c r="A196" s="3">
        <v>101</v>
      </c>
      <c r="B196" s="126" t="s">
        <v>1020</v>
      </c>
      <c r="C196" s="109" t="s">
        <v>1021</v>
      </c>
      <c r="D196" s="3" t="s">
        <v>220</v>
      </c>
      <c r="E196" s="59">
        <v>1763</v>
      </c>
      <c r="F196" s="3">
        <v>9657757830</v>
      </c>
      <c r="G196" s="3" t="s">
        <v>169</v>
      </c>
      <c r="H196" s="3" t="s">
        <v>101</v>
      </c>
      <c r="I196" s="3" t="s">
        <v>143</v>
      </c>
      <c r="J196" s="3" t="s">
        <v>162</v>
      </c>
      <c r="K196" s="3" t="s">
        <v>1022</v>
      </c>
      <c r="L196" s="3" t="s">
        <v>105</v>
      </c>
      <c r="M196" s="56">
        <v>45295</v>
      </c>
      <c r="N196" s="69">
        <f t="shared" ca="1" si="29"/>
        <v>882</v>
      </c>
      <c r="O196" s="72" t="str">
        <f t="shared" ca="1" si="30"/>
        <v>2-3Y</v>
      </c>
      <c r="P196" s="198" t="s">
        <v>106</v>
      </c>
      <c r="Q196" s="3" t="s">
        <v>107</v>
      </c>
      <c r="R196" s="3" t="s">
        <v>108</v>
      </c>
      <c r="S196" s="129">
        <v>25</v>
      </c>
      <c r="T196" s="129">
        <v>80</v>
      </c>
      <c r="U196" s="129">
        <f t="shared" si="31"/>
        <v>105</v>
      </c>
      <c r="V196" s="3"/>
      <c r="W196" s="3" t="s">
        <v>171</v>
      </c>
      <c r="X196" s="3" t="s">
        <v>394</v>
      </c>
      <c r="Y196" s="60"/>
      <c r="Z196" s="3" t="s">
        <v>274</v>
      </c>
      <c r="AA196" s="3"/>
      <c r="AB196" s="3"/>
      <c r="AC196" s="3"/>
      <c r="AD196" s="249">
        <f t="shared" si="28"/>
        <v>46905</v>
      </c>
      <c r="AE196" s="249">
        <f t="shared" si="27"/>
        <v>46997</v>
      </c>
      <c r="AF196" s="3" t="s">
        <v>394</v>
      </c>
      <c r="AG196" s="3" t="s">
        <v>713</v>
      </c>
      <c r="AH196" s="3"/>
      <c r="AI196" s="3" t="s">
        <v>171</v>
      </c>
      <c r="AJ196" s="3"/>
      <c r="AK196" s="3" t="s">
        <v>181</v>
      </c>
      <c r="AL196" s="45">
        <v>46905</v>
      </c>
      <c r="AM196" s="3"/>
      <c r="AN196" s="3"/>
      <c r="AO196" s="3"/>
      <c r="AP196" s="3"/>
      <c r="AQ196" s="3"/>
      <c r="AR196" s="109" t="s">
        <v>1023</v>
      </c>
      <c r="AS196" s="249">
        <v>46997</v>
      </c>
      <c r="AT196" s="3" t="s">
        <v>109</v>
      </c>
      <c r="AU196" s="3" t="s">
        <v>171</v>
      </c>
      <c r="AV196" s="3" t="s">
        <v>1024</v>
      </c>
      <c r="AW196" s="3" t="s">
        <v>1025</v>
      </c>
      <c r="AX196" s="3"/>
      <c r="AY196" s="3"/>
      <c r="AZ196" s="3"/>
      <c r="BA196" s="3"/>
      <c r="BB196" s="3" t="s">
        <v>115</v>
      </c>
      <c r="BC196" s="3"/>
      <c r="BD196" s="3"/>
      <c r="BE196" s="3"/>
      <c r="BF196" s="3"/>
      <c r="BG196" s="59"/>
      <c r="BH196" s="59"/>
      <c r="BI196" s="45"/>
      <c r="BJ196" s="45"/>
      <c r="BK196" s="3" t="s">
        <v>109</v>
      </c>
      <c r="BL196" s="3" t="s">
        <v>114</v>
      </c>
      <c r="BM196" s="3"/>
      <c r="BN196" s="3"/>
      <c r="BO196" s="3"/>
      <c r="BP196" s="3"/>
      <c r="BQ196" s="3"/>
      <c r="BR196" s="3"/>
      <c r="BS196" s="3"/>
      <c r="BT196" s="3"/>
      <c r="BU196" s="3"/>
      <c r="BV196" s="3"/>
      <c r="BW196" s="3" t="s">
        <v>184</v>
      </c>
      <c r="BX196" s="3"/>
      <c r="BY196" s="3"/>
      <c r="BZ196" s="3"/>
      <c r="CA196" s="3"/>
      <c r="CB196" s="112" t="s">
        <v>118</v>
      </c>
      <c r="CC196" s="112" t="s">
        <v>109</v>
      </c>
      <c r="CD196" s="3"/>
      <c r="CE196" s="3"/>
      <c r="CF196" s="112"/>
      <c r="CG196" s="112"/>
      <c r="CH196" s="133"/>
      <c r="CI196" s="112" t="str">
        <f t="shared" si="32"/>
        <v>Jan'24</v>
      </c>
      <c r="CJ196" s="112" t="s">
        <v>107</v>
      </c>
      <c r="CK196" s="256"/>
      <c r="CL196" s="192"/>
    </row>
    <row r="197" spans="1:90" s="197" customFormat="1" ht="89.45" customHeight="1" x14ac:dyDescent="0.25">
      <c r="A197" s="3">
        <v>102</v>
      </c>
      <c r="B197" s="126" t="s">
        <v>1026</v>
      </c>
      <c r="C197" s="109" t="s">
        <v>1027</v>
      </c>
      <c r="D197" s="3" t="s">
        <v>383</v>
      </c>
      <c r="E197" s="59">
        <v>1637</v>
      </c>
      <c r="F197" s="3">
        <v>9975292929</v>
      </c>
      <c r="G197" s="3" t="s">
        <v>101</v>
      </c>
      <c r="H197" s="3" t="s">
        <v>122</v>
      </c>
      <c r="I197" s="3" t="s">
        <v>143</v>
      </c>
      <c r="J197" s="3" t="s">
        <v>144</v>
      </c>
      <c r="K197" s="3" t="s">
        <v>1028</v>
      </c>
      <c r="L197" s="3" t="s">
        <v>105</v>
      </c>
      <c r="M197" s="56">
        <v>45296</v>
      </c>
      <c r="N197" s="69">
        <f t="shared" ca="1" si="29"/>
        <v>881</v>
      </c>
      <c r="O197" s="72" t="str">
        <f t="shared" ca="1" si="30"/>
        <v>2-3Y</v>
      </c>
      <c r="P197" s="198" t="s">
        <v>106</v>
      </c>
      <c r="Q197" s="3" t="s">
        <v>192</v>
      </c>
      <c r="R197" s="3" t="s">
        <v>108</v>
      </c>
      <c r="S197" s="129">
        <v>200</v>
      </c>
      <c r="T197" s="129">
        <v>130</v>
      </c>
      <c r="U197" s="129">
        <f t="shared" si="31"/>
        <v>330</v>
      </c>
      <c r="V197" s="3"/>
      <c r="W197" s="3" t="s">
        <v>171</v>
      </c>
      <c r="X197" s="3" t="s">
        <v>394</v>
      </c>
      <c r="Y197" s="60"/>
      <c r="Z197" s="3"/>
      <c r="AA197" s="3"/>
      <c r="AB197" s="3"/>
      <c r="AC197" s="3"/>
      <c r="AD197" s="253">
        <f t="shared" si="28"/>
        <v>46905</v>
      </c>
      <c r="AE197" s="253">
        <f t="shared" si="27"/>
        <v>46997</v>
      </c>
      <c r="AF197" s="3" t="s">
        <v>394</v>
      </c>
      <c r="AG197" s="3" t="s">
        <v>1029</v>
      </c>
      <c r="AH197" s="3"/>
      <c r="AI197" s="3" t="s">
        <v>115</v>
      </c>
      <c r="AJ197" s="3" t="s">
        <v>115</v>
      </c>
      <c r="AK197" s="3" t="s">
        <v>419</v>
      </c>
      <c r="AL197" s="45">
        <v>46905</v>
      </c>
      <c r="AM197" s="3" t="s">
        <v>109</v>
      </c>
      <c r="AN197" s="3" t="s">
        <v>109</v>
      </c>
      <c r="AO197" s="3"/>
      <c r="AP197" s="3"/>
      <c r="AQ197" s="3"/>
      <c r="AR197" s="196" t="s">
        <v>1030</v>
      </c>
      <c r="AS197" s="253">
        <v>46997</v>
      </c>
      <c r="AT197" s="193" t="s">
        <v>146</v>
      </c>
      <c r="AU197" s="3" t="s">
        <v>419</v>
      </c>
      <c r="AV197" s="196" t="s">
        <v>1031</v>
      </c>
      <c r="AW197" s="3" t="s">
        <v>171</v>
      </c>
      <c r="AX197" s="3" t="s">
        <v>111</v>
      </c>
      <c r="AY197" s="3" t="s">
        <v>111</v>
      </c>
      <c r="AZ197" s="3" t="s">
        <v>111</v>
      </c>
      <c r="BA197" s="3" t="s">
        <v>111</v>
      </c>
      <c r="BB197" s="3" t="s">
        <v>111</v>
      </c>
      <c r="BC197" s="3" t="s">
        <v>111</v>
      </c>
      <c r="BD197" s="3" t="s">
        <v>111</v>
      </c>
      <c r="BE197" s="3" t="s">
        <v>111</v>
      </c>
      <c r="BF197" s="3" t="s">
        <v>111</v>
      </c>
      <c r="BG197" s="3" t="s">
        <v>111</v>
      </c>
      <c r="BH197" s="3" t="s">
        <v>111</v>
      </c>
      <c r="BI197" s="3" t="s">
        <v>111</v>
      </c>
      <c r="BJ197" s="3" t="s">
        <v>111</v>
      </c>
      <c r="BK197" s="193" t="s">
        <v>109</v>
      </c>
      <c r="BL197" s="193" t="s">
        <v>114</v>
      </c>
      <c r="BM197" s="193" t="s">
        <v>111</v>
      </c>
      <c r="BN197" s="3" t="s">
        <v>111</v>
      </c>
      <c r="BO197" s="193" t="s">
        <v>115</v>
      </c>
      <c r="BP197" s="193"/>
      <c r="BQ197" s="193"/>
      <c r="BR197" s="193"/>
      <c r="BS197" s="193"/>
      <c r="BT197" s="193"/>
      <c r="BU197" s="193"/>
      <c r="BV197" s="193"/>
      <c r="BW197" s="193" t="s">
        <v>184</v>
      </c>
      <c r="BX197" s="193"/>
      <c r="BY197" s="193"/>
      <c r="BZ197" s="193"/>
      <c r="CA197" s="193"/>
      <c r="CB197" s="202" t="s">
        <v>118</v>
      </c>
      <c r="CC197" s="202" t="s">
        <v>109</v>
      </c>
      <c r="CD197" s="193"/>
      <c r="CE197" s="193"/>
      <c r="CF197" s="202"/>
      <c r="CG197" s="202"/>
      <c r="CH197" s="203"/>
      <c r="CI197" s="202" t="str">
        <f t="shared" si="32"/>
        <v>Jan'24</v>
      </c>
      <c r="CJ197" s="202" t="s">
        <v>192</v>
      </c>
      <c r="CK197" s="202"/>
      <c r="CL197" s="204"/>
    </row>
    <row r="198" spans="1:90" s="4" customFormat="1" ht="94.5" customHeight="1" x14ac:dyDescent="0.25">
      <c r="A198" s="3">
        <v>108</v>
      </c>
      <c r="B198" s="126" t="s">
        <v>1032</v>
      </c>
      <c r="C198" s="109" t="s">
        <v>1033</v>
      </c>
      <c r="D198" s="3" t="s">
        <v>195</v>
      </c>
      <c r="E198" s="59">
        <v>2011</v>
      </c>
      <c r="F198" s="3">
        <v>9881882149</v>
      </c>
      <c r="G198" s="3" t="s">
        <v>142</v>
      </c>
      <c r="H198" s="3" t="s">
        <v>122</v>
      </c>
      <c r="I198" s="3" t="s">
        <v>143</v>
      </c>
      <c r="J198" s="3" t="s">
        <v>144</v>
      </c>
      <c r="K198" s="3" t="s">
        <v>1034</v>
      </c>
      <c r="L198" s="3" t="s">
        <v>105</v>
      </c>
      <c r="M198" s="56">
        <v>45307</v>
      </c>
      <c r="N198" s="69">
        <f t="shared" ca="1" si="29"/>
        <v>870</v>
      </c>
      <c r="O198" s="72" t="str">
        <f t="shared" ca="1" si="30"/>
        <v>2-3Y</v>
      </c>
      <c r="P198" s="198" t="s">
        <v>158</v>
      </c>
      <c r="Q198" s="3" t="s">
        <v>192</v>
      </c>
      <c r="R198" s="3" t="s">
        <v>108</v>
      </c>
      <c r="S198" s="129">
        <v>30</v>
      </c>
      <c r="T198" s="129">
        <v>120</v>
      </c>
      <c r="U198" s="129">
        <f t="shared" si="31"/>
        <v>150</v>
      </c>
      <c r="V198" s="3"/>
      <c r="W198" s="3" t="s">
        <v>171</v>
      </c>
      <c r="X198" s="3" t="s">
        <v>394</v>
      </c>
      <c r="Y198" s="60"/>
      <c r="Z198" s="3"/>
      <c r="AA198" s="3"/>
      <c r="AB198" s="3"/>
      <c r="AC198" s="3"/>
      <c r="AD198" s="249">
        <f t="shared" si="28"/>
        <v>46905</v>
      </c>
      <c r="AE198" s="249">
        <f t="shared" si="27"/>
        <v>46997</v>
      </c>
      <c r="AF198" s="3" t="s">
        <v>394</v>
      </c>
      <c r="AG198" s="109" t="s">
        <v>581</v>
      </c>
      <c r="AH198" s="3"/>
      <c r="AI198" s="3" t="s">
        <v>115</v>
      </c>
      <c r="AJ198" s="3" t="s">
        <v>115</v>
      </c>
      <c r="AK198" s="3" t="s">
        <v>181</v>
      </c>
      <c r="AL198" s="45">
        <v>46905</v>
      </c>
      <c r="AM198" s="3" t="s">
        <v>109</v>
      </c>
      <c r="AN198" s="3" t="s">
        <v>109</v>
      </c>
      <c r="AO198" s="3"/>
      <c r="AP198" s="3"/>
      <c r="AQ198" s="3"/>
      <c r="AR198" s="109" t="s">
        <v>1035</v>
      </c>
      <c r="AS198" s="249">
        <v>46997</v>
      </c>
      <c r="AT198" s="3" t="s">
        <v>109</v>
      </c>
      <c r="AU198" s="3" t="s">
        <v>171</v>
      </c>
      <c r="AV198" s="109" t="s">
        <v>1036</v>
      </c>
      <c r="AW198" s="3" t="s">
        <v>109</v>
      </c>
      <c r="AX198" s="3" t="s">
        <v>111</v>
      </c>
      <c r="AY198" s="3" t="s">
        <v>111</v>
      </c>
      <c r="AZ198" s="3" t="s">
        <v>111</v>
      </c>
      <c r="BA198" s="3" t="s">
        <v>111</v>
      </c>
      <c r="BB198" s="3" t="s">
        <v>111</v>
      </c>
      <c r="BC198" s="3" t="s">
        <v>111</v>
      </c>
      <c r="BD198" s="3" t="s">
        <v>111</v>
      </c>
      <c r="BE198" s="3" t="s">
        <v>111</v>
      </c>
      <c r="BF198" s="3" t="s">
        <v>111</v>
      </c>
      <c r="BG198" s="3" t="s">
        <v>111</v>
      </c>
      <c r="BH198" s="3" t="s">
        <v>111</v>
      </c>
      <c r="BI198" s="3" t="s">
        <v>111</v>
      </c>
      <c r="BJ198" s="3" t="s">
        <v>111</v>
      </c>
      <c r="BK198" s="3" t="s">
        <v>109</v>
      </c>
      <c r="BL198" s="3"/>
      <c r="BM198" s="3" t="s">
        <v>111</v>
      </c>
      <c r="BN198" s="3" t="s">
        <v>111</v>
      </c>
      <c r="BO198" s="3" t="s">
        <v>115</v>
      </c>
      <c r="BP198" s="3"/>
      <c r="BQ198" s="3"/>
      <c r="BR198" s="3"/>
      <c r="BS198" s="3"/>
      <c r="BT198" s="3"/>
      <c r="BU198" s="3"/>
      <c r="BV198" s="3"/>
      <c r="BW198" s="3" t="s">
        <v>184</v>
      </c>
      <c r="BX198" s="3"/>
      <c r="BY198" s="3"/>
      <c r="BZ198" s="3"/>
      <c r="CA198" s="3"/>
      <c r="CB198" s="112" t="s">
        <v>118</v>
      </c>
      <c r="CC198" s="112" t="s">
        <v>109</v>
      </c>
      <c r="CD198" s="3"/>
      <c r="CE198" s="3"/>
      <c r="CF198" s="112"/>
      <c r="CG198" s="112"/>
      <c r="CH198" s="133"/>
      <c r="CI198" s="112" t="str">
        <f t="shared" si="32"/>
        <v>Jan'24</v>
      </c>
      <c r="CJ198" s="179" t="s">
        <v>192</v>
      </c>
      <c r="CK198" s="112"/>
      <c r="CL198" s="192"/>
    </row>
    <row r="199" spans="1:90" s="4" customFormat="1" ht="94.5" customHeight="1" x14ac:dyDescent="0.25">
      <c r="A199" s="3">
        <v>105</v>
      </c>
      <c r="B199" s="126" t="s">
        <v>1037</v>
      </c>
      <c r="C199" s="109" t="s">
        <v>1038</v>
      </c>
      <c r="D199" s="3" t="s">
        <v>398</v>
      </c>
      <c r="E199" s="59">
        <v>2075</v>
      </c>
      <c r="F199" s="3">
        <v>9922065544</v>
      </c>
      <c r="G199" s="3" t="s">
        <v>101</v>
      </c>
      <c r="H199" s="3" t="s">
        <v>122</v>
      </c>
      <c r="I199" s="3" t="s">
        <v>143</v>
      </c>
      <c r="J199" s="3" t="s">
        <v>144</v>
      </c>
      <c r="K199" s="3" t="s">
        <v>1039</v>
      </c>
      <c r="L199" s="3" t="s">
        <v>105</v>
      </c>
      <c r="M199" s="56">
        <v>45307</v>
      </c>
      <c r="N199" s="69">
        <f t="shared" ca="1" si="29"/>
        <v>870</v>
      </c>
      <c r="O199" s="72" t="str">
        <f t="shared" ca="1" si="30"/>
        <v>2-3Y</v>
      </c>
      <c r="P199" s="198" t="s">
        <v>106</v>
      </c>
      <c r="Q199" s="3" t="s">
        <v>125</v>
      </c>
      <c r="R199" s="3" t="s">
        <v>108</v>
      </c>
      <c r="S199" s="129">
        <v>120</v>
      </c>
      <c r="T199" s="129">
        <v>80</v>
      </c>
      <c r="U199" s="129">
        <f t="shared" si="31"/>
        <v>200</v>
      </c>
      <c r="V199" s="3"/>
      <c r="W199" s="3" t="s">
        <v>171</v>
      </c>
      <c r="X199" s="3" t="s">
        <v>394</v>
      </c>
      <c r="Y199" s="60">
        <f>+IF(AO199="Approved","Yes",AS199)</f>
        <v>46997</v>
      </c>
      <c r="Z199" s="3"/>
      <c r="AA199" s="3"/>
      <c r="AB199" s="3"/>
      <c r="AC199" s="3"/>
      <c r="AD199" s="249">
        <f t="shared" si="28"/>
        <v>46905</v>
      </c>
      <c r="AE199" s="249">
        <f t="shared" si="27"/>
        <v>46997</v>
      </c>
      <c r="AF199" s="3" t="s">
        <v>394</v>
      </c>
      <c r="AG199" s="3" t="s">
        <v>581</v>
      </c>
      <c r="AH199" s="3"/>
      <c r="AI199" s="3" t="s">
        <v>115</v>
      </c>
      <c r="AJ199" s="3" t="s">
        <v>115</v>
      </c>
      <c r="AK199" s="3"/>
      <c r="AL199" s="45">
        <v>46905</v>
      </c>
      <c r="AM199" s="3" t="s">
        <v>109</v>
      </c>
      <c r="AN199" s="3" t="s">
        <v>109</v>
      </c>
      <c r="AO199" s="3"/>
      <c r="AP199" s="3"/>
      <c r="AQ199" s="3"/>
      <c r="AR199" s="109" t="s">
        <v>1040</v>
      </c>
      <c r="AS199" s="249">
        <v>46997</v>
      </c>
      <c r="AT199" s="59"/>
      <c r="AU199" s="59" t="s">
        <v>171</v>
      </c>
      <c r="AV199" s="59"/>
      <c r="AW199" s="59" t="s">
        <v>171</v>
      </c>
      <c r="AX199" s="59"/>
      <c r="AY199" s="59"/>
      <c r="AZ199" s="59"/>
      <c r="BA199" s="59"/>
      <c r="BB199" s="59"/>
      <c r="BC199" s="59"/>
      <c r="BD199" s="59"/>
      <c r="BE199" s="59"/>
      <c r="BF199" s="59"/>
      <c r="BG199" s="59"/>
      <c r="BH199" s="59"/>
      <c r="BI199" s="243"/>
      <c r="BJ199" s="243"/>
      <c r="BK199" s="3" t="s">
        <v>109</v>
      </c>
      <c r="BL199" s="3"/>
      <c r="BM199" s="3" t="s">
        <v>111</v>
      </c>
      <c r="BN199" s="3" t="s">
        <v>111</v>
      </c>
      <c r="BO199" s="3" t="s">
        <v>115</v>
      </c>
      <c r="BP199" s="3"/>
      <c r="BQ199" s="3"/>
      <c r="BR199" s="3"/>
      <c r="BS199" s="3"/>
      <c r="BT199" s="3"/>
      <c r="BU199" s="3"/>
      <c r="BV199" s="3"/>
      <c r="BW199" s="3" t="s">
        <v>184</v>
      </c>
      <c r="BX199" s="3"/>
      <c r="BY199" s="3"/>
      <c r="BZ199" s="3"/>
      <c r="CA199" s="3"/>
      <c r="CB199" s="112" t="s">
        <v>118</v>
      </c>
      <c r="CC199" s="112" t="s">
        <v>109</v>
      </c>
      <c r="CD199" s="3"/>
      <c r="CE199" s="3"/>
      <c r="CF199" s="112"/>
      <c r="CG199" s="112"/>
      <c r="CH199" s="133"/>
      <c r="CI199" s="112" t="str">
        <f t="shared" si="32"/>
        <v>Jan'24</v>
      </c>
      <c r="CJ199" s="112" t="s">
        <v>132</v>
      </c>
      <c r="CK199" s="112"/>
      <c r="CL199" s="192"/>
    </row>
    <row r="200" spans="1:90" s="4" customFormat="1" ht="94.5" customHeight="1" x14ac:dyDescent="0.25">
      <c r="A200" s="3">
        <v>110</v>
      </c>
      <c r="B200" s="126" t="s">
        <v>1041</v>
      </c>
      <c r="C200" s="109" t="s">
        <v>1042</v>
      </c>
      <c r="D200" s="3" t="s">
        <v>220</v>
      </c>
      <c r="E200" s="59">
        <v>1787</v>
      </c>
      <c r="F200" s="3">
        <v>9665261714</v>
      </c>
      <c r="G200" s="3" t="s">
        <v>169</v>
      </c>
      <c r="H200" s="3" t="s">
        <v>122</v>
      </c>
      <c r="I200" s="3" t="s">
        <v>143</v>
      </c>
      <c r="J200" s="3" t="s">
        <v>144</v>
      </c>
      <c r="K200" s="3" t="s">
        <v>1043</v>
      </c>
      <c r="L200" s="3" t="s">
        <v>105</v>
      </c>
      <c r="M200" s="56">
        <v>45309</v>
      </c>
      <c r="N200" s="69">
        <f t="shared" ca="1" si="29"/>
        <v>868</v>
      </c>
      <c r="O200" s="72" t="str">
        <f t="shared" ca="1" si="30"/>
        <v>2-3Y</v>
      </c>
      <c r="P200" s="198" t="s">
        <v>106</v>
      </c>
      <c r="Q200" s="3" t="s">
        <v>125</v>
      </c>
      <c r="R200" s="3" t="s">
        <v>108</v>
      </c>
      <c r="S200" s="129">
        <v>30</v>
      </c>
      <c r="T200" s="129">
        <v>75</v>
      </c>
      <c r="U200" s="129">
        <f t="shared" si="31"/>
        <v>105</v>
      </c>
      <c r="V200" s="3"/>
      <c r="W200" s="3" t="s">
        <v>171</v>
      </c>
      <c r="X200" s="3" t="s">
        <v>394</v>
      </c>
      <c r="Y200" s="60">
        <f>+IF(AO200="Approved","Yes",AS200)</f>
        <v>46997</v>
      </c>
      <c r="Z200" s="3"/>
      <c r="AA200" s="3"/>
      <c r="AB200" s="3"/>
      <c r="AC200" s="3"/>
      <c r="AD200" s="249">
        <f t="shared" si="28"/>
        <v>46905</v>
      </c>
      <c r="AE200" s="249">
        <f t="shared" si="27"/>
        <v>46997</v>
      </c>
      <c r="AF200" s="3" t="s">
        <v>394</v>
      </c>
      <c r="AG200" s="3"/>
      <c r="AH200" s="3"/>
      <c r="AI200" s="3" t="s">
        <v>115</v>
      </c>
      <c r="AJ200" s="3" t="s">
        <v>115</v>
      </c>
      <c r="AK200" s="3" t="s">
        <v>181</v>
      </c>
      <c r="AL200" s="45">
        <v>46905</v>
      </c>
      <c r="AM200" s="3" t="s">
        <v>109</v>
      </c>
      <c r="AN200" s="3" t="s">
        <v>109</v>
      </c>
      <c r="AO200" s="3" t="s">
        <v>594</v>
      </c>
      <c r="AP200" s="3"/>
      <c r="AQ200" s="3"/>
      <c r="AR200" s="109" t="s">
        <v>599</v>
      </c>
      <c r="AS200" s="249">
        <v>46997</v>
      </c>
      <c r="AT200" s="3" t="s">
        <v>109</v>
      </c>
      <c r="AU200" s="3" t="s">
        <v>171</v>
      </c>
      <c r="AV200" s="3" t="s">
        <v>1044</v>
      </c>
      <c r="AW200" s="3" t="s">
        <v>798</v>
      </c>
      <c r="AX200" s="3"/>
      <c r="AY200" s="3"/>
      <c r="AZ200" s="3"/>
      <c r="BA200" s="3"/>
      <c r="BB200" s="3" t="s">
        <v>261</v>
      </c>
      <c r="BC200" s="3"/>
      <c r="BD200" s="3"/>
      <c r="BE200" s="3"/>
      <c r="BF200" s="3"/>
      <c r="BG200" s="59" t="s">
        <v>332</v>
      </c>
      <c r="BH200" s="59"/>
      <c r="BI200" s="45"/>
      <c r="BJ200" s="45" t="s">
        <v>261</v>
      </c>
      <c r="BK200" s="3" t="s">
        <v>109</v>
      </c>
      <c r="BL200" s="3" t="s">
        <v>114</v>
      </c>
      <c r="BM200" s="3" t="s">
        <v>111</v>
      </c>
      <c r="BN200" s="3" t="s">
        <v>111</v>
      </c>
      <c r="BO200" s="3" t="s">
        <v>115</v>
      </c>
      <c r="BP200" s="3"/>
      <c r="BQ200" s="3"/>
      <c r="BR200" s="3"/>
      <c r="BS200" s="3"/>
      <c r="BT200" s="3"/>
      <c r="BU200" s="3"/>
      <c r="BV200" s="3"/>
      <c r="BW200" s="3" t="s">
        <v>184</v>
      </c>
      <c r="BX200" s="3"/>
      <c r="BY200" s="3"/>
      <c r="BZ200" s="3"/>
      <c r="CA200" s="3"/>
      <c r="CB200" s="112" t="s">
        <v>118</v>
      </c>
      <c r="CC200" s="112" t="s">
        <v>109</v>
      </c>
      <c r="CD200" s="3"/>
      <c r="CE200" s="3"/>
      <c r="CF200" s="112"/>
      <c r="CG200" s="112"/>
      <c r="CH200" s="133"/>
      <c r="CI200" s="112" t="str">
        <f t="shared" si="32"/>
        <v>Jan'24</v>
      </c>
      <c r="CJ200" s="112" t="s">
        <v>132</v>
      </c>
      <c r="CK200" s="112"/>
      <c r="CL200" s="192"/>
    </row>
    <row r="201" spans="1:90" s="4" customFormat="1" ht="68.45" customHeight="1" x14ac:dyDescent="0.25">
      <c r="A201" s="3">
        <v>111</v>
      </c>
      <c r="B201" s="126" t="s">
        <v>1045</v>
      </c>
      <c r="C201" s="109" t="s">
        <v>1046</v>
      </c>
      <c r="D201" s="3" t="s">
        <v>150</v>
      </c>
      <c r="E201" s="59">
        <v>1704</v>
      </c>
      <c r="F201" s="3">
        <v>9923235254</v>
      </c>
      <c r="G201" s="3" t="s">
        <v>101</v>
      </c>
      <c r="H201" s="3" t="s">
        <v>101</v>
      </c>
      <c r="I201" s="3" t="s">
        <v>143</v>
      </c>
      <c r="J201" s="3" t="s">
        <v>151</v>
      </c>
      <c r="K201" s="3" t="s">
        <v>1047</v>
      </c>
      <c r="L201" s="3" t="s">
        <v>105</v>
      </c>
      <c r="M201" s="56">
        <v>45309</v>
      </c>
      <c r="N201" s="69">
        <f t="shared" ca="1" si="29"/>
        <v>868</v>
      </c>
      <c r="O201" s="72" t="str">
        <f t="shared" ca="1" si="30"/>
        <v>2-3Y</v>
      </c>
      <c r="P201" s="198" t="s">
        <v>106</v>
      </c>
      <c r="Q201" s="3" t="s">
        <v>125</v>
      </c>
      <c r="R201" s="3" t="s">
        <v>108</v>
      </c>
      <c r="S201" s="129">
        <v>120</v>
      </c>
      <c r="T201" s="129">
        <v>40</v>
      </c>
      <c r="U201" s="129">
        <f t="shared" si="31"/>
        <v>160</v>
      </c>
      <c r="V201" s="3"/>
      <c r="W201" s="3" t="s">
        <v>171</v>
      </c>
      <c r="X201" s="3" t="s">
        <v>394</v>
      </c>
      <c r="Y201" s="60"/>
      <c r="Z201" s="3" t="s">
        <v>274</v>
      </c>
      <c r="AA201" s="3"/>
      <c r="AB201" s="3"/>
      <c r="AC201" s="3"/>
      <c r="AD201" s="249">
        <f t="shared" si="28"/>
        <v>46905</v>
      </c>
      <c r="AE201" s="249">
        <f t="shared" si="27"/>
        <v>46997</v>
      </c>
      <c r="AF201" s="3" t="s">
        <v>394</v>
      </c>
      <c r="AG201" s="3" t="s">
        <v>721</v>
      </c>
      <c r="AH201" s="3"/>
      <c r="AI201" s="3"/>
      <c r="AJ201" s="3"/>
      <c r="AK201" s="3" t="s">
        <v>181</v>
      </c>
      <c r="AL201" s="45">
        <v>46905</v>
      </c>
      <c r="AM201" s="3"/>
      <c r="AN201" s="3"/>
      <c r="AO201" s="3"/>
      <c r="AP201" s="3"/>
      <c r="AQ201" s="3"/>
      <c r="AR201" s="109" t="s">
        <v>1048</v>
      </c>
      <c r="AS201" s="249">
        <v>46997</v>
      </c>
      <c r="AT201" s="3"/>
      <c r="AU201" s="59" t="s">
        <v>171</v>
      </c>
      <c r="AV201" s="3" t="s">
        <v>1049</v>
      </c>
      <c r="AW201" s="59" t="s">
        <v>171</v>
      </c>
      <c r="AX201" s="3"/>
      <c r="AY201" s="3"/>
      <c r="AZ201" s="3"/>
      <c r="BA201" s="3"/>
      <c r="BB201" s="3" t="s">
        <v>115</v>
      </c>
      <c r="BC201" s="3"/>
      <c r="BD201" s="3"/>
      <c r="BE201" s="3"/>
      <c r="BF201" s="3"/>
      <c r="BG201" s="59"/>
      <c r="BH201" s="59"/>
      <c r="BI201" s="45"/>
      <c r="BJ201" s="45"/>
      <c r="BK201" s="3" t="s">
        <v>109</v>
      </c>
      <c r="BL201" s="3" t="s">
        <v>114</v>
      </c>
      <c r="BM201" s="3"/>
      <c r="BN201" s="3"/>
      <c r="BO201" s="3"/>
      <c r="BP201" s="3"/>
      <c r="BQ201" s="3"/>
      <c r="BR201" s="3"/>
      <c r="BS201" s="3"/>
      <c r="BT201" s="3"/>
      <c r="BU201" s="3"/>
      <c r="BV201" s="3"/>
      <c r="BW201" s="3" t="s">
        <v>184</v>
      </c>
      <c r="BX201" s="3"/>
      <c r="BY201" s="3"/>
      <c r="BZ201" s="3"/>
      <c r="CA201" s="3"/>
      <c r="CB201" s="112" t="s">
        <v>118</v>
      </c>
      <c r="CC201" s="112" t="s">
        <v>109</v>
      </c>
      <c r="CD201" s="3"/>
      <c r="CE201" s="3"/>
      <c r="CF201" s="112"/>
      <c r="CG201" s="112"/>
      <c r="CH201" s="133"/>
      <c r="CI201" s="112" t="str">
        <f t="shared" si="32"/>
        <v>Jan'24</v>
      </c>
      <c r="CJ201" s="112" t="s">
        <v>132</v>
      </c>
      <c r="CK201" s="112"/>
      <c r="CL201" s="192"/>
    </row>
    <row r="202" spans="1:90" s="4" customFormat="1" ht="62.1" customHeight="1" x14ac:dyDescent="0.25">
      <c r="A202" s="3">
        <v>112</v>
      </c>
      <c r="B202" s="126" t="s">
        <v>1050</v>
      </c>
      <c r="C202" s="109" t="s">
        <v>1051</v>
      </c>
      <c r="D202" s="3" t="s">
        <v>150</v>
      </c>
      <c r="E202" s="59">
        <v>1662</v>
      </c>
      <c r="F202" s="3">
        <v>9167860603</v>
      </c>
      <c r="G202" s="3" t="s">
        <v>101</v>
      </c>
      <c r="H202" s="3" t="s">
        <v>101</v>
      </c>
      <c r="I202" s="3" t="s">
        <v>143</v>
      </c>
      <c r="J202" s="3" t="s">
        <v>151</v>
      </c>
      <c r="K202" s="3" t="s">
        <v>1052</v>
      </c>
      <c r="L202" s="3" t="s">
        <v>105</v>
      </c>
      <c r="M202" s="56">
        <v>45309</v>
      </c>
      <c r="N202" s="69">
        <f t="shared" ca="1" si="29"/>
        <v>868</v>
      </c>
      <c r="O202" s="72" t="str">
        <f t="shared" ca="1" si="30"/>
        <v>2-3Y</v>
      </c>
      <c r="P202" s="198" t="s">
        <v>106</v>
      </c>
      <c r="Q202" s="3" t="s">
        <v>125</v>
      </c>
      <c r="R202" s="3" t="s">
        <v>108</v>
      </c>
      <c r="S202" s="129">
        <v>125</v>
      </c>
      <c r="T202" s="129">
        <v>75</v>
      </c>
      <c r="U202" s="129">
        <f t="shared" si="31"/>
        <v>200</v>
      </c>
      <c r="V202" s="3"/>
      <c r="W202" s="3" t="s">
        <v>171</v>
      </c>
      <c r="X202" s="3" t="s">
        <v>394</v>
      </c>
      <c r="Y202" s="60"/>
      <c r="Z202" s="3" t="s">
        <v>274</v>
      </c>
      <c r="AA202" s="3"/>
      <c r="AB202" s="3"/>
      <c r="AC202" s="3"/>
      <c r="AD202" s="249">
        <f t="shared" si="28"/>
        <v>46905</v>
      </c>
      <c r="AE202" s="249">
        <f t="shared" si="27"/>
        <v>46997</v>
      </c>
      <c r="AF202" s="3" t="s">
        <v>394</v>
      </c>
      <c r="AG202" s="3" t="s">
        <v>721</v>
      </c>
      <c r="AH202" s="3"/>
      <c r="AI202" s="3" t="s">
        <v>109</v>
      </c>
      <c r="AJ202" s="3" t="s">
        <v>184</v>
      </c>
      <c r="AK202" s="3" t="s">
        <v>181</v>
      </c>
      <c r="AL202" s="249">
        <v>46905</v>
      </c>
      <c r="AM202" s="3"/>
      <c r="AN202" s="3"/>
      <c r="AO202" s="3"/>
      <c r="AP202" s="3"/>
      <c r="AQ202" s="3"/>
      <c r="AR202" s="109" t="s">
        <v>721</v>
      </c>
      <c r="AS202" s="249">
        <v>46997</v>
      </c>
      <c r="AT202" s="3"/>
      <c r="AU202" s="59" t="s">
        <v>171</v>
      </c>
      <c r="AV202" s="3" t="s">
        <v>1053</v>
      </c>
      <c r="AW202" s="59" t="s">
        <v>171</v>
      </c>
      <c r="AX202" s="3"/>
      <c r="AY202" s="3"/>
      <c r="AZ202" s="3"/>
      <c r="BA202" s="3"/>
      <c r="BB202" s="3" t="s">
        <v>115</v>
      </c>
      <c r="BC202" s="3"/>
      <c r="BD202" s="3"/>
      <c r="BE202" s="3"/>
      <c r="BF202" s="3"/>
      <c r="BG202" s="59" t="s">
        <v>114</v>
      </c>
      <c r="BH202" s="59"/>
      <c r="BI202" s="45"/>
      <c r="BJ202" s="45"/>
      <c r="BK202" s="3" t="s">
        <v>109</v>
      </c>
      <c r="BL202" s="3" t="s">
        <v>114</v>
      </c>
      <c r="BM202" s="3"/>
      <c r="BN202" s="3"/>
      <c r="BO202" s="3"/>
      <c r="BP202" s="3"/>
      <c r="BQ202" s="3"/>
      <c r="BR202" s="3"/>
      <c r="BS202" s="3"/>
      <c r="BT202" s="3"/>
      <c r="BU202" s="3"/>
      <c r="BV202" s="3"/>
      <c r="BW202" s="3" t="s">
        <v>184</v>
      </c>
      <c r="BX202" s="3"/>
      <c r="BY202" s="3"/>
      <c r="BZ202" s="3"/>
      <c r="CA202" s="3"/>
      <c r="CB202" s="112" t="s">
        <v>118</v>
      </c>
      <c r="CC202" s="112" t="s">
        <v>109</v>
      </c>
      <c r="CD202" s="3"/>
      <c r="CE202" s="3"/>
      <c r="CF202" s="112"/>
      <c r="CG202" s="112"/>
      <c r="CH202" s="133"/>
      <c r="CI202" s="112" t="str">
        <f t="shared" si="32"/>
        <v>Jan'24</v>
      </c>
      <c r="CJ202" s="112" t="s">
        <v>132</v>
      </c>
      <c r="CK202" s="112"/>
      <c r="CL202" s="192"/>
    </row>
    <row r="203" spans="1:90" s="4" customFormat="1" ht="94.5" customHeight="1" x14ac:dyDescent="0.25">
      <c r="A203" s="3">
        <v>113</v>
      </c>
      <c r="B203" s="126" t="s">
        <v>1054</v>
      </c>
      <c r="C203" s="109" t="s">
        <v>1055</v>
      </c>
      <c r="D203" s="3" t="s">
        <v>220</v>
      </c>
      <c r="E203" s="59">
        <v>1768</v>
      </c>
      <c r="F203" s="3">
        <v>9823646554</v>
      </c>
      <c r="G203" s="3" t="s">
        <v>169</v>
      </c>
      <c r="H203" s="3" t="s">
        <v>122</v>
      </c>
      <c r="I203" s="3" t="s">
        <v>143</v>
      </c>
      <c r="J203" s="3" t="s">
        <v>144</v>
      </c>
      <c r="K203" s="3" t="s">
        <v>1056</v>
      </c>
      <c r="L203" s="3" t="s">
        <v>105</v>
      </c>
      <c r="M203" s="56">
        <v>45310</v>
      </c>
      <c r="N203" s="69">
        <f t="shared" ca="1" si="29"/>
        <v>867</v>
      </c>
      <c r="O203" s="72" t="str">
        <f t="shared" ca="1" si="30"/>
        <v>2-3Y</v>
      </c>
      <c r="P203" s="198" t="s">
        <v>106</v>
      </c>
      <c r="Q203" s="3" t="s">
        <v>125</v>
      </c>
      <c r="R203" s="3" t="s">
        <v>164</v>
      </c>
      <c r="S203" s="129">
        <v>27</v>
      </c>
      <c r="T203" s="129">
        <v>90</v>
      </c>
      <c r="U203" s="129">
        <f t="shared" si="31"/>
        <v>117</v>
      </c>
      <c r="V203" s="3"/>
      <c r="W203" s="3" t="s">
        <v>171</v>
      </c>
      <c r="X203" s="3" t="s">
        <v>394</v>
      </c>
      <c r="Y203" s="60"/>
      <c r="Z203" s="3"/>
      <c r="AA203" s="3"/>
      <c r="AB203" s="3"/>
      <c r="AC203" s="3"/>
      <c r="AD203" s="249">
        <f t="shared" si="28"/>
        <v>46905</v>
      </c>
      <c r="AE203" s="249">
        <f t="shared" si="27"/>
        <v>46997</v>
      </c>
      <c r="AF203" s="3" t="s">
        <v>394</v>
      </c>
      <c r="AG203" s="3" t="s">
        <v>581</v>
      </c>
      <c r="AH203" s="3"/>
      <c r="AI203" s="3" t="s">
        <v>115</v>
      </c>
      <c r="AJ203" s="3" t="s">
        <v>115</v>
      </c>
      <c r="AK203" s="3" t="s">
        <v>181</v>
      </c>
      <c r="AL203" s="45">
        <v>46905</v>
      </c>
      <c r="AM203" s="3" t="s">
        <v>109</v>
      </c>
      <c r="AN203" s="3" t="s">
        <v>109</v>
      </c>
      <c r="AO203" s="3"/>
      <c r="AP203" s="3"/>
      <c r="AQ203" s="3"/>
      <c r="AR203" s="109" t="s">
        <v>779</v>
      </c>
      <c r="AS203" s="249">
        <v>46997</v>
      </c>
      <c r="AT203" s="3" t="s">
        <v>109</v>
      </c>
      <c r="AU203" s="3" t="s">
        <v>171</v>
      </c>
      <c r="AV203" s="3" t="s">
        <v>1057</v>
      </c>
      <c r="AW203" s="3" t="s">
        <v>798</v>
      </c>
      <c r="AX203" s="3"/>
      <c r="AY203" s="3"/>
      <c r="AZ203" s="3"/>
      <c r="BA203" s="3"/>
      <c r="BB203" s="3" t="s">
        <v>115</v>
      </c>
      <c r="BC203" s="3"/>
      <c r="BD203" s="3"/>
      <c r="BE203" s="3"/>
      <c r="BF203" s="3"/>
      <c r="BG203" s="59"/>
      <c r="BH203" s="59"/>
      <c r="BI203" s="45"/>
      <c r="BJ203" s="45"/>
      <c r="BK203" s="3" t="s">
        <v>109</v>
      </c>
      <c r="BL203" s="3" t="s">
        <v>114</v>
      </c>
      <c r="BM203" s="3" t="s">
        <v>111</v>
      </c>
      <c r="BN203" s="3" t="s">
        <v>111</v>
      </c>
      <c r="BO203" s="3" t="s">
        <v>115</v>
      </c>
      <c r="BP203" s="3"/>
      <c r="BQ203" s="3"/>
      <c r="BR203" s="3"/>
      <c r="BS203" s="3"/>
      <c r="BT203" s="3"/>
      <c r="BU203" s="3"/>
      <c r="BV203" s="3"/>
      <c r="BW203" s="3" t="s">
        <v>184</v>
      </c>
      <c r="BX203" s="3"/>
      <c r="BY203" s="3"/>
      <c r="BZ203" s="3"/>
      <c r="CA203" s="3"/>
      <c r="CB203" s="112" t="s">
        <v>118</v>
      </c>
      <c r="CC203" s="112" t="s">
        <v>109</v>
      </c>
      <c r="CD203" s="3"/>
      <c r="CE203" s="3"/>
      <c r="CF203" s="112"/>
      <c r="CG203" s="112"/>
      <c r="CH203" s="133"/>
      <c r="CI203" s="112" t="str">
        <f t="shared" si="32"/>
        <v>Jan'24</v>
      </c>
      <c r="CJ203" s="112" t="s">
        <v>132</v>
      </c>
      <c r="CK203" s="112"/>
      <c r="CL203" s="192"/>
    </row>
    <row r="204" spans="1:90" s="4" customFormat="1" ht="94.5" customHeight="1" x14ac:dyDescent="0.25">
      <c r="A204" s="3">
        <v>117</v>
      </c>
      <c r="B204" s="126" t="s">
        <v>1058</v>
      </c>
      <c r="C204" s="109" t="s">
        <v>1059</v>
      </c>
      <c r="D204" s="3" t="s">
        <v>220</v>
      </c>
      <c r="E204" s="59">
        <v>1671</v>
      </c>
      <c r="F204" s="3">
        <v>9850804702</v>
      </c>
      <c r="G204" s="3" t="s">
        <v>142</v>
      </c>
      <c r="H204" s="3" t="s">
        <v>122</v>
      </c>
      <c r="I204" s="3" t="s">
        <v>143</v>
      </c>
      <c r="J204" s="3" t="s">
        <v>144</v>
      </c>
      <c r="K204" s="3" t="s">
        <v>1060</v>
      </c>
      <c r="L204" s="3" t="s">
        <v>105</v>
      </c>
      <c r="M204" s="56">
        <v>45314</v>
      </c>
      <c r="N204" s="69">
        <f t="shared" ca="1" si="29"/>
        <v>863</v>
      </c>
      <c r="O204" s="72" t="str">
        <f t="shared" ca="1" si="30"/>
        <v>2-3Y</v>
      </c>
      <c r="P204" s="198" t="s">
        <v>106</v>
      </c>
      <c r="Q204" s="3" t="s">
        <v>125</v>
      </c>
      <c r="R204" s="3" t="s">
        <v>108</v>
      </c>
      <c r="S204" s="129">
        <v>40</v>
      </c>
      <c r="T204" s="129">
        <v>140</v>
      </c>
      <c r="U204" s="129">
        <f t="shared" si="31"/>
        <v>180</v>
      </c>
      <c r="V204" s="3"/>
      <c r="W204" s="3" t="s">
        <v>171</v>
      </c>
      <c r="X204" s="3" t="s">
        <v>394</v>
      </c>
      <c r="Y204" s="60">
        <f>+IF(AO204="Approved","Yes",AS204)</f>
        <v>46997</v>
      </c>
      <c r="Z204" s="3"/>
      <c r="AA204" s="3"/>
      <c r="AB204" s="3"/>
      <c r="AC204" s="3"/>
      <c r="AD204" s="249">
        <f t="shared" si="28"/>
        <v>46905</v>
      </c>
      <c r="AE204" s="249">
        <f t="shared" si="27"/>
        <v>46997</v>
      </c>
      <c r="AF204" s="3" t="s">
        <v>394</v>
      </c>
      <c r="AG204" s="3"/>
      <c r="AH204" s="3"/>
      <c r="AI204" s="3" t="s">
        <v>115</v>
      </c>
      <c r="AJ204" s="3" t="s">
        <v>115</v>
      </c>
      <c r="AK204" s="3" t="s">
        <v>181</v>
      </c>
      <c r="AL204" s="249">
        <v>46905</v>
      </c>
      <c r="AM204" s="3" t="s">
        <v>109</v>
      </c>
      <c r="AN204" s="3" t="s">
        <v>109</v>
      </c>
      <c r="AO204" s="3"/>
      <c r="AP204" s="3"/>
      <c r="AQ204" s="3"/>
      <c r="AR204" s="109" t="s">
        <v>1061</v>
      </c>
      <c r="AS204" s="249">
        <v>46997</v>
      </c>
      <c r="AT204" s="3" t="s">
        <v>223</v>
      </c>
      <c r="AU204" s="3" t="s">
        <v>171</v>
      </c>
      <c r="AV204" s="3" t="s">
        <v>1062</v>
      </c>
      <c r="AW204" s="3" t="s">
        <v>1063</v>
      </c>
      <c r="AX204" s="3"/>
      <c r="AY204" s="3"/>
      <c r="AZ204" s="3" t="s">
        <v>109</v>
      </c>
      <c r="BA204" s="3"/>
      <c r="BB204" s="3">
        <v>45992</v>
      </c>
      <c r="BC204" s="3"/>
      <c r="BD204" s="3"/>
      <c r="BE204" s="3"/>
      <c r="BF204" s="3"/>
      <c r="BG204" s="59" t="s">
        <v>114</v>
      </c>
      <c r="BH204" s="59"/>
      <c r="BI204" s="45"/>
      <c r="BJ204" s="45">
        <v>45992</v>
      </c>
      <c r="BK204" s="3" t="s">
        <v>109</v>
      </c>
      <c r="BL204" s="3" t="s">
        <v>114</v>
      </c>
      <c r="BM204" s="3" t="s">
        <v>111</v>
      </c>
      <c r="BN204" s="3" t="s">
        <v>111</v>
      </c>
      <c r="BO204" s="3" t="s">
        <v>115</v>
      </c>
      <c r="BP204" s="3"/>
      <c r="BQ204" s="3"/>
      <c r="BR204" s="3"/>
      <c r="BS204" s="3"/>
      <c r="BT204" s="3"/>
      <c r="BU204" s="3"/>
      <c r="BV204" s="3"/>
      <c r="BW204" s="3" t="s">
        <v>184</v>
      </c>
      <c r="BX204" s="3"/>
      <c r="BY204" s="3"/>
      <c r="BZ204" s="3"/>
      <c r="CA204" s="3"/>
      <c r="CB204" s="112" t="s">
        <v>118</v>
      </c>
      <c r="CC204" s="112" t="s">
        <v>109</v>
      </c>
      <c r="CD204" s="3"/>
      <c r="CE204" s="3"/>
      <c r="CF204" s="112"/>
      <c r="CG204" s="112"/>
      <c r="CH204" s="133"/>
      <c r="CI204" s="112" t="str">
        <f t="shared" si="32"/>
        <v>Jan'24</v>
      </c>
      <c r="CJ204" s="112" t="s">
        <v>132</v>
      </c>
      <c r="CK204" s="112"/>
      <c r="CL204" s="192"/>
    </row>
    <row r="205" spans="1:90" s="4" customFormat="1" ht="94.5" customHeight="1" x14ac:dyDescent="0.25">
      <c r="A205" s="3">
        <v>116</v>
      </c>
      <c r="B205" s="126" t="s">
        <v>1064</v>
      </c>
      <c r="C205" s="109" t="s">
        <v>1065</v>
      </c>
      <c r="D205" s="3" t="s">
        <v>121</v>
      </c>
      <c r="E205" s="59">
        <v>1697</v>
      </c>
      <c r="F205" s="3">
        <v>9325605050</v>
      </c>
      <c r="G205" s="3" t="s">
        <v>142</v>
      </c>
      <c r="H205" s="3" t="s">
        <v>122</v>
      </c>
      <c r="I205" s="3" t="s">
        <v>143</v>
      </c>
      <c r="J205" s="3" t="s">
        <v>144</v>
      </c>
      <c r="K205" s="3" t="s">
        <v>1066</v>
      </c>
      <c r="L205" s="3" t="s">
        <v>105</v>
      </c>
      <c r="M205" s="56">
        <v>45314</v>
      </c>
      <c r="N205" s="69">
        <f t="shared" ca="1" si="29"/>
        <v>863</v>
      </c>
      <c r="O205" s="72" t="str">
        <f t="shared" ca="1" si="30"/>
        <v>2-3Y</v>
      </c>
      <c r="P205" s="198" t="s">
        <v>106</v>
      </c>
      <c r="Q205" s="3" t="s">
        <v>125</v>
      </c>
      <c r="R205" s="3" t="s">
        <v>108</v>
      </c>
      <c r="S205" s="129">
        <v>30</v>
      </c>
      <c r="T205" s="129">
        <v>136</v>
      </c>
      <c r="U205" s="129">
        <f t="shared" si="31"/>
        <v>166</v>
      </c>
      <c r="V205" s="3"/>
      <c r="W205" s="3" t="s">
        <v>171</v>
      </c>
      <c r="X205" s="3" t="s">
        <v>394</v>
      </c>
      <c r="Y205" s="60">
        <f>+IF(AO205="Approved","Yes",AS205)</f>
        <v>46997</v>
      </c>
      <c r="Z205" s="3"/>
      <c r="AA205" s="3"/>
      <c r="AB205" s="3"/>
      <c r="AC205" s="3"/>
      <c r="AD205" s="249">
        <f t="shared" si="28"/>
        <v>46905</v>
      </c>
      <c r="AE205" s="249">
        <f t="shared" si="27"/>
        <v>46997</v>
      </c>
      <c r="AF205" s="3" t="s">
        <v>394</v>
      </c>
      <c r="AG205" s="3"/>
      <c r="AH205" s="3"/>
      <c r="AI205" s="3" t="s">
        <v>115</v>
      </c>
      <c r="AJ205" s="3" t="s">
        <v>115</v>
      </c>
      <c r="AK205" s="3" t="s">
        <v>181</v>
      </c>
      <c r="AL205" s="45">
        <v>46905</v>
      </c>
      <c r="AM205" s="3" t="s">
        <v>109</v>
      </c>
      <c r="AN205" s="3" t="s">
        <v>109</v>
      </c>
      <c r="AO205" s="3"/>
      <c r="AP205" s="3"/>
      <c r="AQ205" s="3"/>
      <c r="AR205" s="109" t="s">
        <v>1067</v>
      </c>
      <c r="AS205" s="249">
        <v>46997</v>
      </c>
      <c r="AT205" s="3" t="s">
        <v>109</v>
      </c>
      <c r="AU205" s="3" t="s">
        <v>171</v>
      </c>
      <c r="AV205" s="3" t="s">
        <v>1068</v>
      </c>
      <c r="AW205" s="3" t="s">
        <v>171</v>
      </c>
      <c r="AX205" s="3" t="s">
        <v>109</v>
      </c>
      <c r="AY205" s="3" t="s">
        <v>130</v>
      </c>
      <c r="AZ205" s="3" t="s">
        <v>130</v>
      </c>
      <c r="BA205" s="3" t="s">
        <v>130</v>
      </c>
      <c r="BB205" s="3" t="s">
        <v>261</v>
      </c>
      <c r="BC205" s="3" t="s">
        <v>130</v>
      </c>
      <c r="BD205" s="3" t="s">
        <v>130</v>
      </c>
      <c r="BE205" s="3" t="s">
        <v>111</v>
      </c>
      <c r="BF205" s="3" t="s">
        <v>111</v>
      </c>
      <c r="BG205" s="59" t="s">
        <v>332</v>
      </c>
      <c r="BH205" s="59" t="s">
        <v>171</v>
      </c>
      <c r="BI205" s="45">
        <v>46905</v>
      </c>
      <c r="BJ205" s="45">
        <v>46935</v>
      </c>
      <c r="BK205" s="3" t="s">
        <v>109</v>
      </c>
      <c r="BL205" s="3" t="s">
        <v>114</v>
      </c>
      <c r="BM205" s="3" t="s">
        <v>111</v>
      </c>
      <c r="BN205" s="3" t="s">
        <v>111</v>
      </c>
      <c r="BO205" s="3" t="s">
        <v>115</v>
      </c>
      <c r="BP205" s="3"/>
      <c r="BQ205" s="3"/>
      <c r="BR205" s="3"/>
      <c r="BS205" s="3"/>
      <c r="BT205" s="3"/>
      <c r="BU205" s="3"/>
      <c r="BV205" s="3"/>
      <c r="BW205" s="3" t="s">
        <v>184</v>
      </c>
      <c r="BX205" s="3"/>
      <c r="BY205" s="3"/>
      <c r="BZ205" s="3"/>
      <c r="CA205" s="3"/>
      <c r="CB205" s="112" t="s">
        <v>118</v>
      </c>
      <c r="CC205" s="112" t="s">
        <v>109</v>
      </c>
      <c r="CD205" s="3"/>
      <c r="CE205" s="3"/>
      <c r="CF205" s="112"/>
      <c r="CG205" s="112"/>
      <c r="CH205" s="133"/>
      <c r="CI205" s="112" t="str">
        <f t="shared" si="32"/>
        <v>Jan'24</v>
      </c>
      <c r="CJ205" s="112" t="s">
        <v>132</v>
      </c>
      <c r="CK205" s="112"/>
      <c r="CL205" s="192"/>
    </row>
    <row r="206" spans="1:90" s="4" customFormat="1" ht="69" customHeight="1" x14ac:dyDescent="0.25">
      <c r="A206" s="3">
        <v>118</v>
      </c>
      <c r="B206" s="126" t="s">
        <v>1069</v>
      </c>
      <c r="C206" s="109" t="s">
        <v>1070</v>
      </c>
      <c r="D206" s="3" t="s">
        <v>150</v>
      </c>
      <c r="E206" s="59">
        <v>1660</v>
      </c>
      <c r="F206" s="3">
        <v>9823577177</v>
      </c>
      <c r="G206" s="3" t="s">
        <v>101</v>
      </c>
      <c r="H206" s="3" t="s">
        <v>101</v>
      </c>
      <c r="I206" s="3" t="s">
        <v>143</v>
      </c>
      <c r="J206" s="3" t="s">
        <v>151</v>
      </c>
      <c r="K206" s="3" t="s">
        <v>1071</v>
      </c>
      <c r="L206" s="3" t="s">
        <v>105</v>
      </c>
      <c r="M206" s="56">
        <v>45314</v>
      </c>
      <c r="N206" s="69">
        <f t="shared" ca="1" si="29"/>
        <v>863</v>
      </c>
      <c r="O206" s="72" t="str">
        <f t="shared" ca="1" si="30"/>
        <v>2-3Y</v>
      </c>
      <c r="P206" s="198" t="s">
        <v>106</v>
      </c>
      <c r="Q206" s="3" t="s">
        <v>125</v>
      </c>
      <c r="R206" s="3" t="s">
        <v>164</v>
      </c>
      <c r="S206" s="129">
        <v>150</v>
      </c>
      <c r="T206" s="129">
        <v>50</v>
      </c>
      <c r="U206" s="129">
        <f t="shared" si="31"/>
        <v>200</v>
      </c>
      <c r="V206" s="3"/>
      <c r="W206" s="3" t="s">
        <v>171</v>
      </c>
      <c r="X206" s="3" t="s">
        <v>394</v>
      </c>
      <c r="Y206" s="60"/>
      <c r="Z206" s="3" t="s">
        <v>274</v>
      </c>
      <c r="AA206" s="3"/>
      <c r="AB206" s="3"/>
      <c r="AC206" s="3"/>
      <c r="AD206" s="249">
        <f t="shared" si="28"/>
        <v>46905</v>
      </c>
      <c r="AE206" s="249">
        <f t="shared" si="27"/>
        <v>46997</v>
      </c>
      <c r="AF206" s="3" t="s">
        <v>394</v>
      </c>
      <c r="AG206" s="3" t="s">
        <v>589</v>
      </c>
      <c r="AH206" s="3"/>
      <c r="AI206" s="3" t="s">
        <v>109</v>
      </c>
      <c r="AJ206" s="3" t="s">
        <v>184</v>
      </c>
      <c r="AK206" s="3" t="s">
        <v>181</v>
      </c>
      <c r="AL206" s="249">
        <v>46905</v>
      </c>
      <c r="AM206" s="3"/>
      <c r="AN206" s="3"/>
      <c r="AO206" s="3"/>
      <c r="AP206" s="3"/>
      <c r="AQ206" s="3"/>
      <c r="AR206" s="109" t="s">
        <v>721</v>
      </c>
      <c r="AS206" s="249">
        <v>46997</v>
      </c>
      <c r="AT206" s="3"/>
      <c r="AU206" s="59" t="s">
        <v>171</v>
      </c>
      <c r="AV206" s="3" t="s">
        <v>1072</v>
      </c>
      <c r="AW206" s="59" t="s">
        <v>171</v>
      </c>
      <c r="AX206" s="3"/>
      <c r="AY206" s="3"/>
      <c r="AZ206" s="3"/>
      <c r="BA206" s="3"/>
      <c r="BB206" s="3" t="s">
        <v>115</v>
      </c>
      <c r="BC206" s="3"/>
      <c r="BD206" s="3"/>
      <c r="BE206" s="3"/>
      <c r="BF206" s="3"/>
      <c r="BG206" s="59" t="s">
        <v>114</v>
      </c>
      <c r="BH206" s="59"/>
      <c r="BI206" s="45"/>
      <c r="BJ206" s="45"/>
      <c r="BK206" s="3" t="s">
        <v>109</v>
      </c>
      <c r="BL206" s="3" t="e">
        <v>#N/A</v>
      </c>
      <c r="BM206" s="3"/>
      <c r="BN206" s="3"/>
      <c r="BO206" s="3"/>
      <c r="BP206" s="3"/>
      <c r="BQ206" s="3"/>
      <c r="BR206" s="3"/>
      <c r="BS206" s="3"/>
      <c r="BT206" s="3"/>
      <c r="BU206" s="3"/>
      <c r="BV206" s="3"/>
      <c r="BW206" s="3" t="s">
        <v>749</v>
      </c>
      <c r="BX206" s="3"/>
      <c r="BY206" s="3"/>
      <c r="BZ206" s="3"/>
      <c r="CA206" s="3"/>
      <c r="CB206" s="112" t="s">
        <v>118</v>
      </c>
      <c r="CC206" s="112" t="s">
        <v>109</v>
      </c>
      <c r="CD206" s="3"/>
      <c r="CE206" s="3"/>
      <c r="CF206" s="112"/>
      <c r="CG206" s="112"/>
      <c r="CH206" s="133"/>
      <c r="CI206" s="112" t="str">
        <f t="shared" si="32"/>
        <v>Jan'24</v>
      </c>
      <c r="CJ206" s="112" t="s">
        <v>132</v>
      </c>
      <c r="CK206" s="112"/>
      <c r="CL206" s="192"/>
    </row>
    <row r="207" spans="1:90" s="197" customFormat="1" ht="58.5" customHeight="1" x14ac:dyDescent="0.25">
      <c r="A207" s="3">
        <v>125</v>
      </c>
      <c r="B207" s="126" t="s">
        <v>1073</v>
      </c>
      <c r="C207" s="109" t="s">
        <v>1074</v>
      </c>
      <c r="D207" s="3" t="s">
        <v>383</v>
      </c>
      <c r="E207" s="59">
        <v>1609</v>
      </c>
      <c r="F207" s="3">
        <v>9850623755</v>
      </c>
      <c r="G207" s="3" t="s">
        <v>101</v>
      </c>
      <c r="H207" s="3" t="s">
        <v>101</v>
      </c>
      <c r="I207" s="3" t="s">
        <v>143</v>
      </c>
      <c r="J207" s="3" t="s">
        <v>151</v>
      </c>
      <c r="K207" s="3" t="s">
        <v>1075</v>
      </c>
      <c r="L207" s="3" t="s">
        <v>105</v>
      </c>
      <c r="M207" s="56">
        <v>45323</v>
      </c>
      <c r="N207" s="69">
        <f t="shared" ca="1" si="29"/>
        <v>854</v>
      </c>
      <c r="O207" s="72" t="str">
        <f t="shared" ca="1" si="30"/>
        <v>2-3Y</v>
      </c>
      <c r="P207" s="198" t="s">
        <v>106</v>
      </c>
      <c r="Q207" s="3" t="s">
        <v>125</v>
      </c>
      <c r="R207" s="3" t="s">
        <v>108</v>
      </c>
      <c r="S207" s="129">
        <v>200</v>
      </c>
      <c r="T207" s="129">
        <v>80</v>
      </c>
      <c r="U207" s="129">
        <f t="shared" si="31"/>
        <v>280</v>
      </c>
      <c r="V207" s="3"/>
      <c r="W207" s="3" t="s">
        <v>171</v>
      </c>
      <c r="X207" s="3" t="s">
        <v>394</v>
      </c>
      <c r="Y207" s="60"/>
      <c r="Z207" s="3" t="s">
        <v>274</v>
      </c>
      <c r="AA207" s="3"/>
      <c r="AB207" s="3"/>
      <c r="AC207" s="3"/>
      <c r="AD207" s="253">
        <f t="shared" si="28"/>
        <v>46905</v>
      </c>
      <c r="AE207" s="253">
        <f t="shared" ref="AE207:AE238" si="33">+AS207</f>
        <v>46997</v>
      </c>
      <c r="AF207" s="3" t="s">
        <v>394</v>
      </c>
      <c r="AG207" s="3" t="s">
        <v>1029</v>
      </c>
      <c r="AH207" s="3"/>
      <c r="AI207" s="3" t="s">
        <v>109</v>
      </c>
      <c r="AJ207" s="3" t="s">
        <v>184</v>
      </c>
      <c r="AK207" s="3" t="s">
        <v>419</v>
      </c>
      <c r="AL207" s="45">
        <v>46905</v>
      </c>
      <c r="AM207" s="3"/>
      <c r="AN207" s="3"/>
      <c r="AO207" s="3"/>
      <c r="AP207" s="3"/>
      <c r="AQ207" s="3"/>
      <c r="AR207" s="196" t="s">
        <v>1076</v>
      </c>
      <c r="AS207" s="253">
        <v>46997</v>
      </c>
      <c r="AT207" s="193" t="s">
        <v>146</v>
      </c>
      <c r="AU207" s="3" t="s">
        <v>419</v>
      </c>
      <c r="AV207" s="196" t="s">
        <v>1077</v>
      </c>
      <c r="AW207" s="3" t="s">
        <v>171</v>
      </c>
      <c r="AX207" s="3" t="s">
        <v>111</v>
      </c>
      <c r="AY207" s="3" t="s">
        <v>111</v>
      </c>
      <c r="AZ207" s="3" t="s">
        <v>111</v>
      </c>
      <c r="BA207" s="3" t="s">
        <v>111</v>
      </c>
      <c r="BB207" s="3" t="s">
        <v>111</v>
      </c>
      <c r="BC207" s="3" t="s">
        <v>111</v>
      </c>
      <c r="BD207" s="3" t="s">
        <v>111</v>
      </c>
      <c r="BE207" s="3" t="s">
        <v>111</v>
      </c>
      <c r="BF207" s="3" t="s">
        <v>111</v>
      </c>
      <c r="BG207" s="3" t="s">
        <v>111</v>
      </c>
      <c r="BH207" s="3" t="s">
        <v>111</v>
      </c>
      <c r="BI207" s="3" t="s">
        <v>111</v>
      </c>
      <c r="BJ207" s="3" t="s">
        <v>111</v>
      </c>
      <c r="BK207" s="193" t="s">
        <v>109</v>
      </c>
      <c r="BL207" s="193"/>
      <c r="BM207" s="193"/>
      <c r="BN207" s="193"/>
      <c r="BO207" s="193"/>
      <c r="BP207" s="193"/>
      <c r="BQ207" s="193"/>
      <c r="BR207" s="193"/>
      <c r="BS207" s="193"/>
      <c r="BT207" s="193"/>
      <c r="BU207" s="193"/>
      <c r="BV207" s="193"/>
      <c r="BW207" s="193" t="s">
        <v>184</v>
      </c>
      <c r="BX207" s="193"/>
      <c r="BY207" s="193"/>
      <c r="BZ207" s="193"/>
      <c r="CA207" s="193"/>
      <c r="CB207" s="202" t="s">
        <v>118</v>
      </c>
      <c r="CC207" s="202" t="s">
        <v>109</v>
      </c>
      <c r="CD207" s="193"/>
      <c r="CE207" s="193"/>
      <c r="CF207" s="202"/>
      <c r="CG207" s="202"/>
      <c r="CH207" s="203"/>
      <c r="CI207" s="202" t="str">
        <f t="shared" si="32"/>
        <v>Feb'24</v>
      </c>
      <c r="CJ207" s="202" t="s">
        <v>132</v>
      </c>
      <c r="CK207" s="202"/>
      <c r="CL207" s="204"/>
    </row>
    <row r="208" spans="1:90" s="4" customFormat="1" ht="94.5" customHeight="1" x14ac:dyDescent="0.25">
      <c r="A208" s="3">
        <v>127</v>
      </c>
      <c r="B208" s="126" t="s">
        <v>1078</v>
      </c>
      <c r="C208" s="109" t="s">
        <v>1079</v>
      </c>
      <c r="D208" s="3" t="s">
        <v>141</v>
      </c>
      <c r="E208" s="59">
        <v>1594</v>
      </c>
      <c r="F208" s="3">
        <v>9422051546</v>
      </c>
      <c r="G208" s="3" t="s">
        <v>142</v>
      </c>
      <c r="H208" s="3" t="s">
        <v>101</v>
      </c>
      <c r="I208" s="3" t="s">
        <v>143</v>
      </c>
      <c r="J208" s="3" t="s">
        <v>162</v>
      </c>
      <c r="K208" s="3" t="s">
        <v>1080</v>
      </c>
      <c r="L208" s="3" t="s">
        <v>105</v>
      </c>
      <c r="M208" s="56">
        <v>45335</v>
      </c>
      <c r="N208" s="69">
        <f t="shared" ca="1" si="29"/>
        <v>842</v>
      </c>
      <c r="O208" s="72" t="str">
        <f t="shared" ca="1" si="30"/>
        <v>2-3Y</v>
      </c>
      <c r="P208" s="198" t="s">
        <v>137</v>
      </c>
      <c r="Q208" s="3" t="s">
        <v>180</v>
      </c>
      <c r="R208" s="3" t="s">
        <v>108</v>
      </c>
      <c r="S208" s="129">
        <v>30</v>
      </c>
      <c r="T208" s="129">
        <v>120</v>
      </c>
      <c r="U208" s="129">
        <f t="shared" si="31"/>
        <v>150</v>
      </c>
      <c r="V208" s="3"/>
      <c r="W208" s="3" t="s">
        <v>171</v>
      </c>
      <c r="X208" s="3" t="s">
        <v>394</v>
      </c>
      <c r="Y208" s="60">
        <f>+IF(AO208="Approved","Yes",AS208)</f>
        <v>46997</v>
      </c>
      <c r="Z208" s="3" t="s">
        <v>274</v>
      </c>
      <c r="AA208" s="3"/>
      <c r="AB208" s="3"/>
      <c r="AC208" s="3"/>
      <c r="AD208" s="249">
        <f t="shared" si="28"/>
        <v>46905</v>
      </c>
      <c r="AE208" s="249">
        <f t="shared" si="33"/>
        <v>46997</v>
      </c>
      <c r="AF208" s="3" t="s">
        <v>394</v>
      </c>
      <c r="AG208" s="3"/>
      <c r="AH208" s="3"/>
      <c r="AI208" s="3" t="s">
        <v>109</v>
      </c>
      <c r="AJ208" s="3" t="s">
        <v>109</v>
      </c>
      <c r="AK208" s="3" t="s">
        <v>181</v>
      </c>
      <c r="AL208" s="45">
        <v>46905</v>
      </c>
      <c r="AM208" s="3" t="s">
        <v>109</v>
      </c>
      <c r="AN208" s="3" t="s">
        <v>109</v>
      </c>
      <c r="AO208" s="3" t="s">
        <v>184</v>
      </c>
      <c r="AP208" s="3"/>
      <c r="AQ208" s="3"/>
      <c r="AR208" s="109" t="s">
        <v>1081</v>
      </c>
      <c r="AS208" s="249">
        <v>46997</v>
      </c>
      <c r="AT208" s="3" t="s">
        <v>146</v>
      </c>
      <c r="AU208" s="3" t="s">
        <v>419</v>
      </c>
      <c r="AV208" s="109" t="s">
        <v>1082</v>
      </c>
      <c r="AW208" s="109" t="s">
        <v>1083</v>
      </c>
      <c r="AX208" s="3" t="s">
        <v>109</v>
      </c>
      <c r="AY208" s="3" t="s">
        <v>114</v>
      </c>
      <c r="AZ208" s="3" t="s">
        <v>130</v>
      </c>
      <c r="BA208" s="3" t="s">
        <v>130</v>
      </c>
      <c r="BB208" s="3" t="s">
        <v>261</v>
      </c>
      <c r="BC208" s="3" t="s">
        <v>114</v>
      </c>
      <c r="BD208" s="3" t="s">
        <v>111</v>
      </c>
      <c r="BE208" s="3" t="s">
        <v>111</v>
      </c>
      <c r="BF208" s="3" t="s">
        <v>111</v>
      </c>
      <c r="BG208" s="59" t="s">
        <v>114</v>
      </c>
      <c r="BH208" s="59" t="s">
        <v>419</v>
      </c>
      <c r="BI208" s="45" t="s">
        <v>111</v>
      </c>
      <c r="BJ208" s="45" t="s">
        <v>111</v>
      </c>
      <c r="BK208" s="3" t="s">
        <v>109</v>
      </c>
      <c r="BL208" s="3" t="s">
        <v>114</v>
      </c>
      <c r="BM208" s="3"/>
      <c r="BN208" s="3" t="s">
        <v>184</v>
      </c>
      <c r="BO208" s="3"/>
      <c r="BP208" s="3"/>
      <c r="BQ208" s="3"/>
      <c r="BR208" s="3"/>
      <c r="BS208" s="3"/>
      <c r="BT208" s="3"/>
      <c r="BU208" s="3"/>
      <c r="BV208" s="3"/>
      <c r="BW208" s="3" t="s">
        <v>184</v>
      </c>
      <c r="BX208" s="3"/>
      <c r="BY208" s="3"/>
      <c r="BZ208" s="3"/>
      <c r="CA208" s="3"/>
      <c r="CB208" s="112" t="s">
        <v>118</v>
      </c>
      <c r="CC208" s="112" t="s">
        <v>109</v>
      </c>
      <c r="CD208" s="3"/>
      <c r="CE208" s="3"/>
      <c r="CF208" s="112"/>
      <c r="CG208" s="112"/>
      <c r="CH208" s="133"/>
      <c r="CI208" s="112" t="str">
        <f t="shared" si="32"/>
        <v>Feb'24</v>
      </c>
      <c r="CJ208" s="112" t="s">
        <v>186</v>
      </c>
      <c r="CK208" s="112"/>
      <c r="CL208" s="192"/>
    </row>
    <row r="209" spans="1:92" s="4" customFormat="1" ht="94.5" customHeight="1" x14ac:dyDescent="0.25">
      <c r="A209" s="3">
        <v>128</v>
      </c>
      <c r="B209" s="126" t="s">
        <v>1084</v>
      </c>
      <c r="C209" s="109" t="s">
        <v>1085</v>
      </c>
      <c r="D209" s="3" t="s">
        <v>383</v>
      </c>
      <c r="E209" s="59">
        <v>1685</v>
      </c>
      <c r="F209" s="3">
        <v>9021662667</v>
      </c>
      <c r="G209" s="3" t="s">
        <v>101</v>
      </c>
      <c r="H209" s="3" t="s">
        <v>101</v>
      </c>
      <c r="I209" s="3" t="s">
        <v>143</v>
      </c>
      <c r="J209" s="3" t="s">
        <v>151</v>
      </c>
      <c r="K209" s="3" t="s">
        <v>1086</v>
      </c>
      <c r="L209" s="3" t="s">
        <v>105</v>
      </c>
      <c r="M209" s="56">
        <v>45335</v>
      </c>
      <c r="N209" s="69">
        <f t="shared" ca="1" si="29"/>
        <v>842</v>
      </c>
      <c r="O209" s="72" t="str">
        <f t="shared" ca="1" si="30"/>
        <v>2-3Y</v>
      </c>
      <c r="P209" s="198" t="s">
        <v>106</v>
      </c>
      <c r="Q209" s="3" t="s">
        <v>192</v>
      </c>
      <c r="R209" s="3" t="s">
        <v>108</v>
      </c>
      <c r="S209" s="129">
        <v>110</v>
      </c>
      <c r="T209" s="129">
        <v>45</v>
      </c>
      <c r="U209" s="129">
        <f t="shared" si="31"/>
        <v>155</v>
      </c>
      <c r="V209" s="3"/>
      <c r="W209" s="3" t="s">
        <v>171</v>
      </c>
      <c r="X209" s="3" t="s">
        <v>394</v>
      </c>
      <c r="Y209" s="60"/>
      <c r="Z209" s="3" t="s">
        <v>274</v>
      </c>
      <c r="AA209" s="3"/>
      <c r="AB209" s="3"/>
      <c r="AC209" s="3"/>
      <c r="AD209" s="249">
        <f t="shared" si="28"/>
        <v>46905</v>
      </c>
      <c r="AE209" s="249">
        <f t="shared" si="33"/>
        <v>46997</v>
      </c>
      <c r="AF209" s="3" t="s">
        <v>394</v>
      </c>
      <c r="AG209" s="3" t="s">
        <v>581</v>
      </c>
      <c r="AH209" s="3"/>
      <c r="AI209" s="3"/>
      <c r="AJ209" s="3"/>
      <c r="AK209" s="3" t="s">
        <v>419</v>
      </c>
      <c r="AL209" s="45">
        <v>46905</v>
      </c>
      <c r="AM209" s="3"/>
      <c r="AN209" s="3"/>
      <c r="AO209" s="3"/>
      <c r="AP209" s="3"/>
      <c r="AQ209" s="3"/>
      <c r="AR209" s="109" t="s">
        <v>599</v>
      </c>
      <c r="AS209" s="249">
        <v>46997</v>
      </c>
      <c r="AT209" s="3" t="s">
        <v>419</v>
      </c>
      <c r="AU209" s="3" t="s">
        <v>419</v>
      </c>
      <c r="AV209" s="109" t="s">
        <v>1087</v>
      </c>
      <c r="AW209" s="3" t="s">
        <v>171</v>
      </c>
      <c r="AX209" s="3" t="s">
        <v>111</v>
      </c>
      <c r="AY209" s="3" t="s">
        <v>111</v>
      </c>
      <c r="AZ209" s="3" t="s">
        <v>111</v>
      </c>
      <c r="BA209" s="3" t="s">
        <v>111</v>
      </c>
      <c r="BB209" s="3" t="s">
        <v>111</v>
      </c>
      <c r="BC209" s="3" t="s">
        <v>111</v>
      </c>
      <c r="BD209" s="3" t="s">
        <v>111</v>
      </c>
      <c r="BE209" s="3" t="s">
        <v>111</v>
      </c>
      <c r="BF209" s="3" t="s">
        <v>111</v>
      </c>
      <c r="BG209" s="3" t="s">
        <v>111</v>
      </c>
      <c r="BH209" s="3" t="s">
        <v>111</v>
      </c>
      <c r="BI209" s="3" t="s">
        <v>111</v>
      </c>
      <c r="BJ209" s="3" t="s">
        <v>111</v>
      </c>
      <c r="BK209" s="3" t="s">
        <v>109</v>
      </c>
      <c r="BL209" s="3"/>
      <c r="BM209" s="3"/>
      <c r="BN209" s="3"/>
      <c r="BO209" s="3"/>
      <c r="BP209" s="3"/>
      <c r="BQ209" s="3"/>
      <c r="BR209" s="3"/>
      <c r="BS209" s="3"/>
      <c r="BT209" s="3"/>
      <c r="BU209" s="3"/>
      <c r="BV209" s="3"/>
      <c r="BW209" s="3" t="s">
        <v>184</v>
      </c>
      <c r="BX209" s="3"/>
      <c r="BY209" s="3"/>
      <c r="BZ209" s="3"/>
      <c r="CA209" s="3"/>
      <c r="CB209" s="112" t="s">
        <v>118</v>
      </c>
      <c r="CC209" s="112" t="s">
        <v>109</v>
      </c>
      <c r="CD209" s="3"/>
      <c r="CE209" s="3"/>
      <c r="CF209" s="112"/>
      <c r="CG209" s="112"/>
      <c r="CH209" s="133"/>
      <c r="CI209" s="112" t="str">
        <f t="shared" si="32"/>
        <v>Feb'24</v>
      </c>
      <c r="CJ209" s="112" t="s">
        <v>192</v>
      </c>
      <c r="CK209" s="112"/>
      <c r="CL209" s="192"/>
    </row>
    <row r="210" spans="1:92" s="4" customFormat="1" ht="81.75" customHeight="1" x14ac:dyDescent="0.25">
      <c r="A210" s="3">
        <v>129</v>
      </c>
      <c r="B210" s="126" t="s">
        <v>1088</v>
      </c>
      <c r="C210" s="109" t="s">
        <v>1089</v>
      </c>
      <c r="D210" s="3" t="s">
        <v>99</v>
      </c>
      <c r="E210" s="59">
        <v>1833</v>
      </c>
      <c r="F210" s="3">
        <v>8275417502</v>
      </c>
      <c r="G210" s="3" t="s">
        <v>142</v>
      </c>
      <c r="H210" s="3" t="s">
        <v>122</v>
      </c>
      <c r="I210" s="3" t="s">
        <v>143</v>
      </c>
      <c r="J210" s="3" t="s">
        <v>144</v>
      </c>
      <c r="K210" s="3" t="s">
        <v>1090</v>
      </c>
      <c r="L210" s="3" t="s">
        <v>105</v>
      </c>
      <c r="M210" s="56">
        <v>45335</v>
      </c>
      <c r="N210" s="69">
        <f t="shared" ca="1" si="29"/>
        <v>842</v>
      </c>
      <c r="O210" s="72" t="str">
        <f t="shared" ca="1" si="30"/>
        <v>2-3Y</v>
      </c>
      <c r="P210" s="198" t="s">
        <v>106</v>
      </c>
      <c r="Q210" s="3" t="s">
        <v>192</v>
      </c>
      <c r="R210" s="3" t="s">
        <v>108</v>
      </c>
      <c r="S210" s="129">
        <v>30</v>
      </c>
      <c r="T210" s="129">
        <v>120</v>
      </c>
      <c r="U210" s="129">
        <f t="shared" si="31"/>
        <v>150</v>
      </c>
      <c r="V210" s="3"/>
      <c r="W210" s="3" t="s">
        <v>171</v>
      </c>
      <c r="X210" s="3" t="s">
        <v>394</v>
      </c>
      <c r="Y210" s="60"/>
      <c r="Z210" s="3"/>
      <c r="AA210" s="3"/>
      <c r="AB210" s="3"/>
      <c r="AC210" s="3"/>
      <c r="AD210" s="249">
        <f t="shared" si="28"/>
        <v>46905</v>
      </c>
      <c r="AE210" s="249">
        <f t="shared" si="33"/>
        <v>46997</v>
      </c>
      <c r="AF210" s="3" t="s">
        <v>394</v>
      </c>
      <c r="AG210" s="3" t="s">
        <v>581</v>
      </c>
      <c r="AH210" s="3"/>
      <c r="AI210" s="3" t="s">
        <v>115</v>
      </c>
      <c r="AJ210" s="3" t="s">
        <v>115</v>
      </c>
      <c r="AK210" s="3" t="s">
        <v>181</v>
      </c>
      <c r="AL210" s="45">
        <v>46905</v>
      </c>
      <c r="AM210" s="3" t="s">
        <v>109</v>
      </c>
      <c r="AN210" s="3" t="s">
        <v>109</v>
      </c>
      <c r="AO210" s="3"/>
      <c r="AP210" s="3"/>
      <c r="AQ210" s="3"/>
      <c r="AR210" s="109" t="s">
        <v>1091</v>
      </c>
      <c r="AS210" s="249">
        <v>46997</v>
      </c>
      <c r="AT210" s="3" t="s">
        <v>109</v>
      </c>
      <c r="AU210" s="3" t="s">
        <v>171</v>
      </c>
      <c r="AV210" s="109" t="s">
        <v>1092</v>
      </c>
      <c r="AW210" s="3" t="s">
        <v>109</v>
      </c>
      <c r="AX210" s="3" t="s">
        <v>348</v>
      </c>
      <c r="AY210" s="3" t="s">
        <v>348</v>
      </c>
      <c r="AZ210" s="3" t="s">
        <v>348</v>
      </c>
      <c r="BA210" s="3" t="s">
        <v>348</v>
      </c>
      <c r="BB210" s="3" t="s">
        <v>348</v>
      </c>
      <c r="BC210" s="3" t="s">
        <v>348</v>
      </c>
      <c r="BD210" s="3" t="s">
        <v>348</v>
      </c>
      <c r="BE210" s="3" t="s">
        <v>111</v>
      </c>
      <c r="BF210" s="3" t="s">
        <v>111</v>
      </c>
      <c r="BG210" s="59" t="s">
        <v>533</v>
      </c>
      <c r="BH210" s="59" t="s">
        <v>90</v>
      </c>
      <c r="BI210" s="3" t="s">
        <v>111</v>
      </c>
      <c r="BJ210" s="3" t="s">
        <v>111</v>
      </c>
      <c r="BK210" s="3" t="s">
        <v>109</v>
      </c>
      <c r="BL210" s="3"/>
      <c r="BM210" s="3" t="s">
        <v>111</v>
      </c>
      <c r="BN210" s="3" t="s">
        <v>111</v>
      </c>
      <c r="BO210" s="3" t="s">
        <v>115</v>
      </c>
      <c r="BP210" s="3"/>
      <c r="BQ210" s="3"/>
      <c r="BR210" s="3"/>
      <c r="BS210" s="3"/>
      <c r="BT210" s="3"/>
      <c r="BU210" s="3"/>
      <c r="BV210" s="3"/>
      <c r="BW210" s="3" t="s">
        <v>184</v>
      </c>
      <c r="BX210" s="3"/>
      <c r="BY210" s="3"/>
      <c r="BZ210" s="3"/>
      <c r="CA210" s="3"/>
      <c r="CB210" s="112" t="s">
        <v>118</v>
      </c>
      <c r="CC210" s="112" t="s">
        <v>109</v>
      </c>
      <c r="CD210" s="3"/>
      <c r="CE210" s="3"/>
      <c r="CF210" s="112"/>
      <c r="CG210" s="112"/>
      <c r="CH210" s="133"/>
      <c r="CI210" s="112" t="str">
        <f t="shared" si="32"/>
        <v>Feb'24</v>
      </c>
      <c r="CJ210" s="112" t="s">
        <v>192</v>
      </c>
      <c r="CK210" s="112"/>
      <c r="CL210" s="192"/>
    </row>
    <row r="211" spans="1:92" s="4" customFormat="1" ht="94.5" customHeight="1" x14ac:dyDescent="0.25">
      <c r="A211" s="3">
        <v>130</v>
      </c>
      <c r="B211" s="126" t="s">
        <v>1093</v>
      </c>
      <c r="C211" s="109" t="s">
        <v>1094</v>
      </c>
      <c r="D211" s="3" t="s">
        <v>141</v>
      </c>
      <c r="E211" s="59">
        <v>1948</v>
      </c>
      <c r="F211" s="3">
        <v>9022917388</v>
      </c>
      <c r="G211" s="3" t="s">
        <v>169</v>
      </c>
      <c r="H211" s="3" t="s">
        <v>101</v>
      </c>
      <c r="I211" s="3" t="s">
        <v>143</v>
      </c>
      <c r="J211" s="3" t="s">
        <v>151</v>
      </c>
      <c r="K211" s="3" t="s">
        <v>1095</v>
      </c>
      <c r="L211" s="3" t="s">
        <v>105</v>
      </c>
      <c r="M211" s="56">
        <v>45335</v>
      </c>
      <c r="N211" s="69">
        <f t="shared" ca="1" si="29"/>
        <v>842</v>
      </c>
      <c r="O211" s="72" t="str">
        <f t="shared" ca="1" si="30"/>
        <v>2-3Y</v>
      </c>
      <c r="P211" s="198" t="s">
        <v>137</v>
      </c>
      <c r="Q211" s="3" t="s">
        <v>192</v>
      </c>
      <c r="R211" s="3" t="s">
        <v>108</v>
      </c>
      <c r="S211" s="129">
        <v>50</v>
      </c>
      <c r="T211" s="129">
        <v>150</v>
      </c>
      <c r="U211" s="129">
        <f t="shared" si="31"/>
        <v>200</v>
      </c>
      <c r="V211" s="3"/>
      <c r="W211" s="3" t="s">
        <v>171</v>
      </c>
      <c r="X211" s="3" t="s">
        <v>394</v>
      </c>
      <c r="Y211" s="60"/>
      <c r="Z211" s="3" t="s">
        <v>274</v>
      </c>
      <c r="AA211" s="3"/>
      <c r="AB211" s="3"/>
      <c r="AC211" s="3"/>
      <c r="AD211" s="249">
        <f t="shared" si="28"/>
        <v>46905</v>
      </c>
      <c r="AE211" s="249">
        <f t="shared" si="33"/>
        <v>46997</v>
      </c>
      <c r="AF211" s="3" t="s">
        <v>394</v>
      </c>
      <c r="AG211" s="3" t="s">
        <v>581</v>
      </c>
      <c r="AH211" s="3"/>
      <c r="AI211" s="3" t="s">
        <v>171</v>
      </c>
      <c r="AJ211" s="3"/>
      <c r="AK211" s="3" t="s">
        <v>181</v>
      </c>
      <c r="AL211" s="45">
        <v>46905</v>
      </c>
      <c r="AM211" s="3"/>
      <c r="AN211" s="3"/>
      <c r="AO211" s="3"/>
      <c r="AP211" s="3"/>
      <c r="AQ211" s="3"/>
      <c r="AR211" s="109" t="s">
        <v>599</v>
      </c>
      <c r="AS211" s="249">
        <v>46997</v>
      </c>
      <c r="AT211" s="3" t="s">
        <v>1096</v>
      </c>
      <c r="AU211" s="3" t="s">
        <v>419</v>
      </c>
      <c r="AV211" s="109" t="s">
        <v>1097</v>
      </c>
      <c r="AW211" s="109" t="s">
        <v>1098</v>
      </c>
      <c r="AX211" s="3" t="s">
        <v>171</v>
      </c>
      <c r="AY211" s="3" t="s">
        <v>111</v>
      </c>
      <c r="AZ211" s="3" t="s">
        <v>111</v>
      </c>
      <c r="BA211" s="3" t="s">
        <v>111</v>
      </c>
      <c r="BB211" s="3" t="s">
        <v>111</v>
      </c>
      <c r="BC211" s="3" t="s">
        <v>111</v>
      </c>
      <c r="BD211" s="3" t="s">
        <v>111</v>
      </c>
      <c r="BE211" s="3" t="s">
        <v>111</v>
      </c>
      <c r="BF211" s="3" t="s">
        <v>111</v>
      </c>
      <c r="BG211" s="3" t="s">
        <v>111</v>
      </c>
      <c r="BH211" s="3" t="s">
        <v>111</v>
      </c>
      <c r="BI211" s="45" t="s">
        <v>111</v>
      </c>
      <c r="BJ211" s="3" t="s">
        <v>111</v>
      </c>
      <c r="BK211" s="3" t="s">
        <v>109</v>
      </c>
      <c r="BL211" s="3" t="s">
        <v>1099</v>
      </c>
      <c r="BM211" s="3"/>
      <c r="BN211" s="3"/>
      <c r="BO211" s="3"/>
      <c r="BP211" s="3"/>
      <c r="BQ211" s="3"/>
      <c r="BR211" s="3"/>
      <c r="BS211" s="3"/>
      <c r="BT211" s="3"/>
      <c r="BU211" s="3"/>
      <c r="BV211" s="3"/>
      <c r="BW211" s="3" t="s">
        <v>184</v>
      </c>
      <c r="BX211" s="3"/>
      <c r="BY211" s="3"/>
      <c r="BZ211" s="3"/>
      <c r="CA211" s="3"/>
      <c r="CB211" s="112" t="s">
        <v>118</v>
      </c>
      <c r="CC211" s="112" t="s">
        <v>109</v>
      </c>
      <c r="CD211" s="3"/>
      <c r="CE211" s="3"/>
      <c r="CF211" s="112"/>
      <c r="CG211" s="112"/>
      <c r="CH211" s="133"/>
      <c r="CI211" s="112" t="str">
        <f t="shared" si="32"/>
        <v>Feb'24</v>
      </c>
      <c r="CJ211" s="112" t="s">
        <v>192</v>
      </c>
      <c r="CK211" s="112"/>
      <c r="CL211" s="192"/>
    </row>
    <row r="212" spans="1:92" s="4" customFormat="1" ht="94.5" customHeight="1" x14ac:dyDescent="0.25">
      <c r="A212" s="5">
        <v>134</v>
      </c>
      <c r="B212" s="125" t="s">
        <v>1100</v>
      </c>
      <c r="C212" s="78" t="s">
        <v>1101</v>
      </c>
      <c r="D212" s="5" t="s">
        <v>121</v>
      </c>
      <c r="E212" s="58">
        <v>1684</v>
      </c>
      <c r="F212" s="5">
        <v>8369774966</v>
      </c>
      <c r="G212" s="5" t="s">
        <v>169</v>
      </c>
      <c r="H212" s="5" t="s">
        <v>101</v>
      </c>
      <c r="I212" s="5" t="s">
        <v>143</v>
      </c>
      <c r="J212" s="5" t="s">
        <v>151</v>
      </c>
      <c r="K212" s="5" t="s">
        <v>1102</v>
      </c>
      <c r="L212" s="5" t="s">
        <v>105</v>
      </c>
      <c r="M212" s="55">
        <v>45338</v>
      </c>
      <c r="N212" s="68">
        <f t="shared" ca="1" si="29"/>
        <v>839</v>
      </c>
      <c r="O212" s="71" t="str">
        <f t="shared" ca="1" si="30"/>
        <v>2-3Y</v>
      </c>
      <c r="P212" s="132" t="s">
        <v>106</v>
      </c>
      <c r="Q212" s="5" t="s">
        <v>125</v>
      </c>
      <c r="R212" s="5" t="s">
        <v>108</v>
      </c>
      <c r="S212" s="111">
        <v>30</v>
      </c>
      <c r="T212" s="111">
        <v>90</v>
      </c>
      <c r="U212" s="111">
        <f t="shared" si="31"/>
        <v>120</v>
      </c>
      <c r="V212" s="5"/>
      <c r="W212" s="5" t="s">
        <v>171</v>
      </c>
      <c r="X212" s="5" t="s">
        <v>394</v>
      </c>
      <c r="Y212" s="131" t="str">
        <f>+IF(AO212="Approved","Yes",AS212)</f>
        <v>Yes</v>
      </c>
      <c r="Z212" s="5" t="s">
        <v>274</v>
      </c>
      <c r="AA212" s="5"/>
      <c r="AB212" s="5"/>
      <c r="AC212" s="5"/>
      <c r="AD212" s="248">
        <f t="shared" si="28"/>
        <v>46266</v>
      </c>
      <c r="AE212" s="248">
        <f t="shared" si="33"/>
        <v>46997</v>
      </c>
      <c r="AF212" s="5" t="s">
        <v>394</v>
      </c>
      <c r="AG212" s="5"/>
      <c r="AH212" s="5"/>
      <c r="AI212" s="5" t="s">
        <v>109</v>
      </c>
      <c r="AJ212" s="5" t="s">
        <v>109</v>
      </c>
      <c r="AK212" s="5" t="s">
        <v>181</v>
      </c>
      <c r="AL212" s="7">
        <v>46266</v>
      </c>
      <c r="AM212" s="5" t="s">
        <v>109</v>
      </c>
      <c r="AN212" s="5" t="s">
        <v>109</v>
      </c>
      <c r="AO212" s="5" t="s">
        <v>110</v>
      </c>
      <c r="AP212" s="5" t="s">
        <v>109</v>
      </c>
      <c r="AQ212" s="5">
        <v>4338614</v>
      </c>
      <c r="AR212" s="78" t="s">
        <v>1040</v>
      </c>
      <c r="AS212" s="248">
        <v>46997</v>
      </c>
      <c r="AT212" s="5" t="s">
        <v>109</v>
      </c>
      <c r="AU212" s="5" t="s">
        <v>298</v>
      </c>
      <c r="AV212" s="5" t="s">
        <v>502</v>
      </c>
      <c r="AW212" s="5" t="s">
        <v>111</v>
      </c>
      <c r="AX212" s="5" t="s">
        <v>109</v>
      </c>
      <c r="AY212" s="5" t="s">
        <v>109</v>
      </c>
      <c r="AZ212" s="5" t="s">
        <v>130</v>
      </c>
      <c r="BA212" s="5" t="s">
        <v>130</v>
      </c>
      <c r="BB212" s="5" t="s">
        <v>130</v>
      </c>
      <c r="BC212" s="5" t="s">
        <v>130</v>
      </c>
      <c r="BD212" s="5" t="s">
        <v>130</v>
      </c>
      <c r="BE212" s="5" t="s">
        <v>111</v>
      </c>
      <c r="BF212" s="5" t="s">
        <v>111</v>
      </c>
      <c r="BG212" s="58" t="s">
        <v>114</v>
      </c>
      <c r="BH212" s="58" t="s">
        <v>90</v>
      </c>
      <c r="BI212" s="7">
        <v>46905</v>
      </c>
      <c r="BJ212" s="7">
        <v>46935</v>
      </c>
      <c r="BK212" s="5" t="s">
        <v>109</v>
      </c>
      <c r="BL212" s="5" t="s">
        <v>114</v>
      </c>
      <c r="BM212" s="5"/>
      <c r="BN212" s="5" t="s">
        <v>184</v>
      </c>
      <c r="BO212" s="5"/>
      <c r="BP212" s="5"/>
      <c r="BQ212" s="5"/>
      <c r="BR212" s="5"/>
      <c r="BS212" s="5"/>
      <c r="BT212" s="5"/>
      <c r="BU212" s="5"/>
      <c r="BV212" s="5"/>
      <c r="BW212" s="5" t="s">
        <v>184</v>
      </c>
      <c r="BX212" s="5"/>
      <c r="BY212" s="5"/>
      <c r="BZ212" s="5"/>
      <c r="CA212" s="5"/>
      <c r="CB212" s="179" t="s">
        <v>118</v>
      </c>
      <c r="CC212" s="179" t="s">
        <v>109</v>
      </c>
      <c r="CD212" s="5"/>
      <c r="CE212" s="5"/>
      <c r="CF212" s="179"/>
      <c r="CG212" s="179"/>
      <c r="CH212" s="199"/>
      <c r="CI212" s="179" t="str">
        <f t="shared" si="32"/>
        <v>Feb'24</v>
      </c>
      <c r="CJ212" s="179" t="s">
        <v>132</v>
      </c>
      <c r="CK212" s="179"/>
      <c r="CL212" s="8"/>
      <c r="CM212" s="6"/>
      <c r="CN212" s="6"/>
    </row>
    <row r="213" spans="1:92" s="6" customFormat="1" ht="94.5" customHeight="1" x14ac:dyDescent="0.25">
      <c r="A213" s="3">
        <v>133</v>
      </c>
      <c r="B213" s="126" t="s">
        <v>1103</v>
      </c>
      <c r="C213" s="109" t="s">
        <v>1104</v>
      </c>
      <c r="D213" s="3" t="s">
        <v>141</v>
      </c>
      <c r="E213" s="59">
        <v>1973</v>
      </c>
      <c r="F213" s="3">
        <v>9881321999</v>
      </c>
      <c r="G213" s="3" t="s">
        <v>142</v>
      </c>
      <c r="H213" s="3" t="s">
        <v>122</v>
      </c>
      <c r="I213" s="3" t="s">
        <v>143</v>
      </c>
      <c r="J213" s="3" t="s">
        <v>144</v>
      </c>
      <c r="K213" s="3" t="s">
        <v>1105</v>
      </c>
      <c r="L213" s="3" t="s">
        <v>105</v>
      </c>
      <c r="M213" s="56">
        <v>45338</v>
      </c>
      <c r="N213" s="69">
        <f t="shared" ca="1" si="29"/>
        <v>839</v>
      </c>
      <c r="O213" s="72" t="str">
        <f t="shared" ca="1" si="30"/>
        <v>2-3Y</v>
      </c>
      <c r="P213" s="198" t="s">
        <v>137</v>
      </c>
      <c r="Q213" s="3" t="s">
        <v>125</v>
      </c>
      <c r="R213" s="3" t="s">
        <v>108</v>
      </c>
      <c r="S213" s="129">
        <v>40</v>
      </c>
      <c r="T213" s="129">
        <v>150</v>
      </c>
      <c r="U213" s="129">
        <f t="shared" si="31"/>
        <v>190</v>
      </c>
      <c r="V213" s="3"/>
      <c r="W213" s="3" t="s">
        <v>171</v>
      </c>
      <c r="X213" s="3" t="s">
        <v>394</v>
      </c>
      <c r="Y213" s="60">
        <f>+IF(AO213="Approved","Yes",AS213)</f>
        <v>46997</v>
      </c>
      <c r="Z213" s="3"/>
      <c r="AA213" s="3"/>
      <c r="AB213" s="3"/>
      <c r="AC213" s="3"/>
      <c r="AD213" s="249">
        <f t="shared" si="28"/>
        <v>46905</v>
      </c>
      <c r="AE213" s="249">
        <f t="shared" si="33"/>
        <v>46997</v>
      </c>
      <c r="AF213" s="3" t="s">
        <v>394</v>
      </c>
      <c r="AG213" s="3" t="s">
        <v>1029</v>
      </c>
      <c r="AH213" s="3"/>
      <c r="AI213" s="3" t="s">
        <v>115</v>
      </c>
      <c r="AJ213" s="3" t="s">
        <v>115</v>
      </c>
      <c r="AK213" s="3" t="s">
        <v>181</v>
      </c>
      <c r="AL213" s="45">
        <v>46905</v>
      </c>
      <c r="AM213" s="3" t="s">
        <v>109</v>
      </c>
      <c r="AN213" s="3" t="s">
        <v>109</v>
      </c>
      <c r="AO213" s="3" t="s">
        <v>594</v>
      </c>
      <c r="AP213" s="3"/>
      <c r="AQ213" s="3"/>
      <c r="AR213" s="109" t="s">
        <v>1106</v>
      </c>
      <c r="AS213" s="249">
        <v>46997</v>
      </c>
      <c r="AT213" s="3" t="s">
        <v>146</v>
      </c>
      <c r="AU213" s="3" t="s">
        <v>419</v>
      </c>
      <c r="AV213" s="109" t="s">
        <v>1107</v>
      </c>
      <c r="AW213" s="109" t="s">
        <v>1108</v>
      </c>
      <c r="AX213" s="3" t="s">
        <v>146</v>
      </c>
      <c r="AY213" s="3" t="s">
        <v>114</v>
      </c>
      <c r="AZ213" s="3" t="s">
        <v>130</v>
      </c>
      <c r="BA213" s="3" t="s">
        <v>130</v>
      </c>
      <c r="BB213" s="3" t="s">
        <v>261</v>
      </c>
      <c r="BC213" s="3" t="s">
        <v>114</v>
      </c>
      <c r="BD213" s="3" t="s">
        <v>111</v>
      </c>
      <c r="BE213" s="3" t="s">
        <v>111</v>
      </c>
      <c r="BF213" s="3" t="s">
        <v>111</v>
      </c>
      <c r="BG213" s="59" t="s">
        <v>332</v>
      </c>
      <c r="BH213" s="59" t="s">
        <v>171</v>
      </c>
      <c r="BI213" s="45" t="s">
        <v>111</v>
      </c>
      <c r="BJ213" s="45" t="s">
        <v>111</v>
      </c>
      <c r="BK213" s="3" t="s">
        <v>109</v>
      </c>
      <c r="BL213" s="3" t="s">
        <v>114</v>
      </c>
      <c r="BM213" s="3" t="s">
        <v>111</v>
      </c>
      <c r="BN213" s="3" t="s">
        <v>111</v>
      </c>
      <c r="BO213" s="3" t="s">
        <v>115</v>
      </c>
      <c r="BP213" s="3"/>
      <c r="BQ213" s="3"/>
      <c r="BR213" s="3"/>
      <c r="BS213" s="3"/>
      <c r="BT213" s="3"/>
      <c r="BU213" s="3"/>
      <c r="BV213" s="3"/>
      <c r="BW213" s="3" t="s">
        <v>184</v>
      </c>
      <c r="BX213" s="3"/>
      <c r="BY213" s="3"/>
      <c r="BZ213" s="3"/>
      <c r="CA213" s="3"/>
      <c r="CB213" s="112" t="s">
        <v>118</v>
      </c>
      <c r="CC213" s="112" t="s">
        <v>109</v>
      </c>
      <c r="CD213" s="3"/>
      <c r="CE213" s="3"/>
      <c r="CF213" s="112"/>
      <c r="CG213" s="112"/>
      <c r="CH213" s="133"/>
      <c r="CI213" s="112" t="str">
        <f t="shared" si="32"/>
        <v>Feb'24</v>
      </c>
      <c r="CJ213" s="112" t="s">
        <v>132</v>
      </c>
      <c r="CK213" s="112"/>
      <c r="CL213" s="192"/>
      <c r="CM213" s="4"/>
      <c r="CN213" s="4"/>
    </row>
    <row r="214" spans="1:92" s="4" customFormat="1" ht="94.5" customHeight="1" x14ac:dyDescent="0.25">
      <c r="A214" s="3">
        <v>135</v>
      </c>
      <c r="B214" s="126" t="s">
        <v>1109</v>
      </c>
      <c r="C214" s="109" t="s">
        <v>1110</v>
      </c>
      <c r="D214" s="3" t="s">
        <v>141</v>
      </c>
      <c r="E214" s="59">
        <v>1953</v>
      </c>
      <c r="F214" s="3">
        <v>8080371009</v>
      </c>
      <c r="G214" s="3" t="s">
        <v>142</v>
      </c>
      <c r="H214" s="3" t="s">
        <v>122</v>
      </c>
      <c r="I214" s="3" t="s">
        <v>143</v>
      </c>
      <c r="J214" s="3" t="s">
        <v>144</v>
      </c>
      <c r="K214" s="3" t="s">
        <v>1111</v>
      </c>
      <c r="L214" s="3" t="s">
        <v>105</v>
      </c>
      <c r="M214" s="56">
        <v>45338</v>
      </c>
      <c r="N214" s="69">
        <f t="shared" ca="1" si="29"/>
        <v>839</v>
      </c>
      <c r="O214" s="72" t="str">
        <f t="shared" ca="1" si="30"/>
        <v>2-3Y</v>
      </c>
      <c r="P214" s="198" t="s">
        <v>137</v>
      </c>
      <c r="Q214" s="3" t="s">
        <v>125</v>
      </c>
      <c r="R214" s="3" t="s">
        <v>164</v>
      </c>
      <c r="S214" s="129">
        <v>30</v>
      </c>
      <c r="T214" s="129">
        <v>130</v>
      </c>
      <c r="U214" s="129">
        <f t="shared" si="31"/>
        <v>160</v>
      </c>
      <c r="V214" s="3"/>
      <c r="W214" s="3" t="s">
        <v>171</v>
      </c>
      <c r="X214" s="3" t="s">
        <v>394</v>
      </c>
      <c r="Y214" s="60"/>
      <c r="Z214" s="3"/>
      <c r="AA214" s="3"/>
      <c r="AB214" s="3"/>
      <c r="AC214" s="3"/>
      <c r="AD214" s="249">
        <f t="shared" si="28"/>
        <v>46905</v>
      </c>
      <c r="AE214" s="249">
        <f t="shared" si="33"/>
        <v>46997</v>
      </c>
      <c r="AF214" s="3" t="s">
        <v>394</v>
      </c>
      <c r="AG214" s="3" t="s">
        <v>721</v>
      </c>
      <c r="AH214" s="3"/>
      <c r="AI214" s="3" t="s">
        <v>115</v>
      </c>
      <c r="AJ214" s="3" t="s">
        <v>115</v>
      </c>
      <c r="AK214" s="3" t="s">
        <v>181</v>
      </c>
      <c r="AL214" s="45">
        <v>46905</v>
      </c>
      <c r="AM214" s="3" t="s">
        <v>109</v>
      </c>
      <c r="AN214" s="3" t="s">
        <v>109</v>
      </c>
      <c r="AO214" s="3"/>
      <c r="AP214" s="3"/>
      <c r="AQ214" s="3"/>
      <c r="AR214" s="109" t="s">
        <v>779</v>
      </c>
      <c r="AS214" s="249">
        <v>46997</v>
      </c>
      <c r="AT214" s="3" t="s">
        <v>1096</v>
      </c>
      <c r="AU214" s="3" t="s">
        <v>419</v>
      </c>
      <c r="AV214" s="109" t="s">
        <v>1112</v>
      </c>
      <c r="AW214" s="109" t="s">
        <v>1098</v>
      </c>
      <c r="AX214" s="3" t="s">
        <v>171</v>
      </c>
      <c r="AY214" s="3" t="s">
        <v>111</v>
      </c>
      <c r="AZ214" s="3" t="s">
        <v>111</v>
      </c>
      <c r="BA214" s="3" t="s">
        <v>111</v>
      </c>
      <c r="BB214" s="3" t="s">
        <v>111</v>
      </c>
      <c r="BC214" s="3" t="s">
        <v>111</v>
      </c>
      <c r="BD214" s="3" t="s">
        <v>111</v>
      </c>
      <c r="BE214" s="3" t="s">
        <v>111</v>
      </c>
      <c r="BF214" s="3" t="s">
        <v>111</v>
      </c>
      <c r="BG214" s="3" t="s">
        <v>111</v>
      </c>
      <c r="BH214" s="3" t="s">
        <v>111</v>
      </c>
      <c r="BI214" s="45" t="s">
        <v>111</v>
      </c>
      <c r="BJ214" s="3" t="s">
        <v>111</v>
      </c>
      <c r="BK214" s="3" t="s">
        <v>109</v>
      </c>
      <c r="BL214" s="3" t="s">
        <v>114</v>
      </c>
      <c r="BM214" s="3" t="s">
        <v>111</v>
      </c>
      <c r="BN214" s="3" t="s">
        <v>111</v>
      </c>
      <c r="BO214" s="3" t="s">
        <v>115</v>
      </c>
      <c r="BP214" s="3"/>
      <c r="BQ214" s="3"/>
      <c r="BR214" s="3"/>
      <c r="BS214" s="3"/>
      <c r="BT214" s="3"/>
      <c r="BU214" s="3"/>
      <c r="BV214" s="3"/>
      <c r="BW214" s="3" t="s">
        <v>184</v>
      </c>
      <c r="BX214" s="3"/>
      <c r="BY214" s="3"/>
      <c r="BZ214" s="3"/>
      <c r="CA214" s="3"/>
      <c r="CB214" s="112" t="s">
        <v>118</v>
      </c>
      <c r="CC214" s="112" t="s">
        <v>109</v>
      </c>
      <c r="CD214" s="3"/>
      <c r="CE214" s="3"/>
      <c r="CF214" s="112"/>
      <c r="CG214" s="112"/>
      <c r="CH214" s="133"/>
      <c r="CI214" s="112" t="str">
        <f t="shared" si="32"/>
        <v>Feb'24</v>
      </c>
      <c r="CJ214" s="112" t="s">
        <v>132</v>
      </c>
      <c r="CK214" s="112"/>
      <c r="CL214" s="192"/>
    </row>
    <row r="215" spans="1:92" s="4" customFormat="1" ht="94.5" customHeight="1" x14ac:dyDescent="0.25">
      <c r="A215" s="3">
        <v>147</v>
      </c>
      <c r="B215" s="126" t="s">
        <v>1113</v>
      </c>
      <c r="C215" s="109" t="s">
        <v>1114</v>
      </c>
      <c r="D215" s="3" t="s">
        <v>220</v>
      </c>
      <c r="E215" s="59">
        <v>1625</v>
      </c>
      <c r="F215" s="3">
        <v>9657234343</v>
      </c>
      <c r="G215" s="3" t="s">
        <v>142</v>
      </c>
      <c r="H215" s="3" t="s">
        <v>101</v>
      </c>
      <c r="I215" s="3" t="s">
        <v>143</v>
      </c>
      <c r="J215" s="3" t="s">
        <v>162</v>
      </c>
      <c r="K215" s="3" t="s">
        <v>1115</v>
      </c>
      <c r="L215" s="3" t="s">
        <v>105</v>
      </c>
      <c r="M215" s="56">
        <v>45366</v>
      </c>
      <c r="N215" s="69">
        <f t="shared" ca="1" si="29"/>
        <v>811</v>
      </c>
      <c r="O215" s="72" t="str">
        <f t="shared" ca="1" si="30"/>
        <v>2-3Y</v>
      </c>
      <c r="P215" s="198" t="s">
        <v>106</v>
      </c>
      <c r="Q215" s="3" t="s">
        <v>107</v>
      </c>
      <c r="R215" s="3" t="s">
        <v>164</v>
      </c>
      <c r="S215" s="129">
        <v>50</v>
      </c>
      <c r="T215" s="129">
        <v>101</v>
      </c>
      <c r="U215" s="129">
        <f t="shared" si="31"/>
        <v>151</v>
      </c>
      <c r="V215" s="3"/>
      <c r="W215" s="3" t="s">
        <v>171</v>
      </c>
      <c r="X215" s="3" t="s">
        <v>394</v>
      </c>
      <c r="Y215" s="60">
        <f>+IF(AO215="Approved","Yes",AS215)</f>
        <v>46997</v>
      </c>
      <c r="Z215" s="3" t="s">
        <v>274</v>
      </c>
      <c r="AA215" s="3"/>
      <c r="AB215" s="3"/>
      <c r="AC215" s="3"/>
      <c r="AD215" s="249">
        <f t="shared" si="28"/>
        <v>46905</v>
      </c>
      <c r="AE215" s="249">
        <f t="shared" si="33"/>
        <v>46997</v>
      </c>
      <c r="AF215" s="3" t="s">
        <v>394</v>
      </c>
      <c r="AG215" s="3" t="s">
        <v>721</v>
      </c>
      <c r="AH215" s="3"/>
      <c r="AI215" s="3" t="s">
        <v>109</v>
      </c>
      <c r="AJ215" s="3" t="s">
        <v>184</v>
      </c>
      <c r="AK215" s="3" t="s">
        <v>181</v>
      </c>
      <c r="AL215" s="45">
        <v>46905</v>
      </c>
      <c r="AM215" s="3"/>
      <c r="AN215" s="3" t="s">
        <v>184</v>
      </c>
      <c r="AO215" s="3"/>
      <c r="AP215" s="3"/>
      <c r="AQ215" s="3"/>
      <c r="AR215" s="109" t="s">
        <v>1116</v>
      </c>
      <c r="AS215" s="249">
        <v>46997</v>
      </c>
      <c r="AT215" s="3" t="s">
        <v>223</v>
      </c>
      <c r="AU215" s="3" t="s">
        <v>171</v>
      </c>
      <c r="AV215" s="3" t="s">
        <v>1117</v>
      </c>
      <c r="AW215" s="3"/>
      <c r="AX215" s="3"/>
      <c r="AY215" s="3"/>
      <c r="AZ215" s="3" t="s">
        <v>109</v>
      </c>
      <c r="BA215" s="3"/>
      <c r="BB215" s="3">
        <v>45962</v>
      </c>
      <c r="BC215" s="3"/>
      <c r="BD215" s="3"/>
      <c r="BE215" s="3"/>
      <c r="BF215" s="3"/>
      <c r="BG215" s="59">
        <v>45962</v>
      </c>
      <c r="BH215" s="59"/>
      <c r="BI215" s="45"/>
      <c r="BJ215" s="45">
        <v>45962</v>
      </c>
      <c r="BK215" s="3" t="s">
        <v>109</v>
      </c>
      <c r="BL215" s="3" t="s">
        <v>114</v>
      </c>
      <c r="BM215" s="3"/>
      <c r="BN215" s="3"/>
      <c r="BO215" s="3"/>
      <c r="BP215" s="3"/>
      <c r="BQ215" s="3"/>
      <c r="BR215" s="3"/>
      <c r="BS215" s="3"/>
      <c r="BT215" s="3"/>
      <c r="BU215" s="3"/>
      <c r="BV215" s="3"/>
      <c r="BW215" s="3" t="s">
        <v>184</v>
      </c>
      <c r="BX215" s="3"/>
      <c r="BY215" s="3"/>
      <c r="BZ215" s="3"/>
      <c r="CA215" s="3"/>
      <c r="CB215" s="112" t="s">
        <v>118</v>
      </c>
      <c r="CC215" s="112" t="s">
        <v>109</v>
      </c>
      <c r="CD215" s="3"/>
      <c r="CE215" s="3"/>
      <c r="CF215" s="112"/>
      <c r="CG215" s="112"/>
      <c r="CH215" s="133"/>
      <c r="CI215" s="112" t="str">
        <f t="shared" si="32"/>
        <v>Mar'24</v>
      </c>
      <c r="CJ215" s="112" t="s">
        <v>107</v>
      </c>
      <c r="CK215" s="255"/>
      <c r="CL215" s="192"/>
    </row>
    <row r="216" spans="1:92" s="4" customFormat="1" ht="94.5" customHeight="1" x14ac:dyDescent="0.25">
      <c r="A216" s="3">
        <v>148</v>
      </c>
      <c r="B216" s="126" t="s">
        <v>1118</v>
      </c>
      <c r="C216" s="109" t="s">
        <v>1119</v>
      </c>
      <c r="D216" s="3" t="s">
        <v>195</v>
      </c>
      <c r="E216" s="59">
        <v>1588</v>
      </c>
      <c r="F216" s="3">
        <v>9763481411</v>
      </c>
      <c r="G216" s="3" t="s">
        <v>142</v>
      </c>
      <c r="H216" s="3" t="s">
        <v>122</v>
      </c>
      <c r="I216" s="3" t="s">
        <v>143</v>
      </c>
      <c r="J216" s="3" t="s">
        <v>144</v>
      </c>
      <c r="K216" s="3" t="s">
        <v>1120</v>
      </c>
      <c r="L216" s="3" t="s">
        <v>105</v>
      </c>
      <c r="M216" s="56">
        <v>45366</v>
      </c>
      <c r="N216" s="69">
        <f t="shared" ca="1" si="29"/>
        <v>811</v>
      </c>
      <c r="O216" s="72" t="str">
        <f t="shared" ca="1" si="30"/>
        <v>2-3Y</v>
      </c>
      <c r="P216" s="198" t="s">
        <v>158</v>
      </c>
      <c r="Q216" s="3" t="s">
        <v>125</v>
      </c>
      <c r="R216" s="3" t="s">
        <v>108</v>
      </c>
      <c r="S216" s="129">
        <v>30</v>
      </c>
      <c r="T216" s="129">
        <v>120</v>
      </c>
      <c r="U216" s="129">
        <f t="shared" si="31"/>
        <v>150</v>
      </c>
      <c r="V216" s="3"/>
      <c r="W216" s="3" t="s">
        <v>171</v>
      </c>
      <c r="X216" s="3" t="s">
        <v>394</v>
      </c>
      <c r="Y216" s="60"/>
      <c r="Z216" s="3"/>
      <c r="AA216" s="3"/>
      <c r="AB216" s="3"/>
      <c r="AC216" s="3"/>
      <c r="AD216" s="249">
        <f t="shared" si="28"/>
        <v>46905</v>
      </c>
      <c r="AE216" s="249">
        <f t="shared" si="33"/>
        <v>46997</v>
      </c>
      <c r="AF216" s="3" t="s">
        <v>394</v>
      </c>
      <c r="AG216" s="109" t="s">
        <v>581</v>
      </c>
      <c r="AH216" s="3"/>
      <c r="AI216" s="3" t="s">
        <v>115</v>
      </c>
      <c r="AJ216" s="3" t="s">
        <v>115</v>
      </c>
      <c r="AK216" s="3" t="s">
        <v>181</v>
      </c>
      <c r="AL216" s="45">
        <v>46905</v>
      </c>
      <c r="AM216" s="3" t="s">
        <v>109</v>
      </c>
      <c r="AN216" s="3" t="s">
        <v>109</v>
      </c>
      <c r="AO216" s="3"/>
      <c r="AP216" s="3"/>
      <c r="AQ216" s="3"/>
      <c r="AR216" s="109" t="s">
        <v>545</v>
      </c>
      <c r="AS216" s="249">
        <v>46997</v>
      </c>
      <c r="AT216" s="3" t="s">
        <v>109</v>
      </c>
      <c r="AU216" s="3" t="s">
        <v>298</v>
      </c>
      <c r="AV216" s="109" t="s">
        <v>502</v>
      </c>
      <c r="AW216" s="3" t="s">
        <v>111</v>
      </c>
      <c r="AX216" s="3" t="s">
        <v>109</v>
      </c>
      <c r="AY216" s="3" t="s">
        <v>198</v>
      </c>
      <c r="AZ216" s="3" t="s">
        <v>130</v>
      </c>
      <c r="BA216" s="3" t="s">
        <v>130</v>
      </c>
      <c r="BB216" s="3" t="s">
        <v>130</v>
      </c>
      <c r="BC216" s="3" t="s">
        <v>199</v>
      </c>
      <c r="BD216" s="3" t="s">
        <v>111</v>
      </c>
      <c r="BE216" s="3" t="s">
        <v>130</v>
      </c>
      <c r="BF216" s="3" t="s">
        <v>130</v>
      </c>
      <c r="BG216" s="59" t="s">
        <v>332</v>
      </c>
      <c r="BH216" s="59" t="s">
        <v>171</v>
      </c>
      <c r="BI216" s="45">
        <v>46446</v>
      </c>
      <c r="BJ216" s="45">
        <v>46873</v>
      </c>
      <c r="BK216" s="3" t="s">
        <v>109</v>
      </c>
      <c r="BL216" s="3"/>
      <c r="BM216" s="3" t="s">
        <v>111</v>
      </c>
      <c r="BN216" s="3" t="s">
        <v>111</v>
      </c>
      <c r="BO216" s="3" t="s">
        <v>115</v>
      </c>
      <c r="BP216" s="3"/>
      <c r="BQ216" s="3"/>
      <c r="BR216" s="3"/>
      <c r="BS216" s="3"/>
      <c r="BT216" s="3"/>
      <c r="BU216" s="3"/>
      <c r="BV216" s="3"/>
      <c r="BW216" s="3" t="s">
        <v>184</v>
      </c>
      <c r="BX216" s="3"/>
      <c r="BY216" s="3"/>
      <c r="BZ216" s="3"/>
      <c r="CA216" s="3"/>
      <c r="CB216" s="112" t="s">
        <v>118</v>
      </c>
      <c r="CC216" s="112" t="s">
        <v>109</v>
      </c>
      <c r="CD216" s="3"/>
      <c r="CE216" s="3"/>
      <c r="CF216" s="112"/>
      <c r="CG216" s="112"/>
      <c r="CH216" s="133"/>
      <c r="CI216" s="112" t="str">
        <f t="shared" si="32"/>
        <v>Mar'24</v>
      </c>
      <c r="CJ216" s="112" t="s">
        <v>132</v>
      </c>
      <c r="CK216" s="112"/>
      <c r="CL216" s="112"/>
    </row>
    <row r="217" spans="1:92" s="4" customFormat="1" ht="94.5" customHeight="1" x14ac:dyDescent="0.25">
      <c r="A217" s="3">
        <v>143</v>
      </c>
      <c r="B217" s="126" t="s">
        <v>1121</v>
      </c>
      <c r="C217" s="109" t="s">
        <v>1122</v>
      </c>
      <c r="D217" s="3" t="s">
        <v>135</v>
      </c>
      <c r="E217" s="59">
        <v>1614</v>
      </c>
      <c r="F217" s="3">
        <v>7057052340</v>
      </c>
      <c r="G217" s="3" t="s">
        <v>169</v>
      </c>
      <c r="H217" s="3" t="s">
        <v>122</v>
      </c>
      <c r="I217" s="3" t="s">
        <v>143</v>
      </c>
      <c r="J217" s="3" t="s">
        <v>144</v>
      </c>
      <c r="K217" s="3" t="s">
        <v>1123</v>
      </c>
      <c r="L217" s="3" t="s">
        <v>105</v>
      </c>
      <c r="M217" s="56">
        <v>45366</v>
      </c>
      <c r="N217" s="69">
        <f t="shared" ca="1" si="29"/>
        <v>811</v>
      </c>
      <c r="O217" s="72" t="str">
        <f t="shared" ca="1" si="30"/>
        <v>2-3Y</v>
      </c>
      <c r="P217" s="198" t="s">
        <v>137</v>
      </c>
      <c r="Q217" s="3" t="s">
        <v>431</v>
      </c>
      <c r="R217" s="3" t="s">
        <v>108</v>
      </c>
      <c r="S217" s="129">
        <v>20</v>
      </c>
      <c r="T217" s="129">
        <v>80</v>
      </c>
      <c r="U217" s="129">
        <f t="shared" si="31"/>
        <v>100</v>
      </c>
      <c r="V217" s="3"/>
      <c r="W217" s="3" t="s">
        <v>171</v>
      </c>
      <c r="X217" s="3" t="s">
        <v>394</v>
      </c>
      <c r="Y217" s="60">
        <f>+IF(AO217="Approved","Yes",AS217)</f>
        <v>46997</v>
      </c>
      <c r="Z217" s="3"/>
      <c r="AA217" s="3"/>
      <c r="AB217" s="3"/>
      <c r="AC217" s="3"/>
      <c r="AD217" s="249">
        <f t="shared" si="28"/>
        <v>46905</v>
      </c>
      <c r="AE217" s="249">
        <f t="shared" si="33"/>
        <v>46997</v>
      </c>
      <c r="AF217" s="3" t="s">
        <v>394</v>
      </c>
      <c r="AG217" s="3" t="s">
        <v>581</v>
      </c>
      <c r="AH217" s="3"/>
      <c r="AI217" s="3" t="s">
        <v>115</v>
      </c>
      <c r="AJ217" s="3" t="s">
        <v>115</v>
      </c>
      <c r="AK217" s="3" t="s">
        <v>181</v>
      </c>
      <c r="AL217" s="45">
        <v>46905</v>
      </c>
      <c r="AM217" s="3" t="s">
        <v>109</v>
      </c>
      <c r="AN217" s="3" t="s">
        <v>109</v>
      </c>
      <c r="AO217" s="3"/>
      <c r="AP217" s="3"/>
      <c r="AQ217" s="3"/>
      <c r="AR217" s="109" t="s">
        <v>1124</v>
      </c>
      <c r="AS217" s="249">
        <v>46997</v>
      </c>
      <c r="AT217" s="3" t="s">
        <v>109</v>
      </c>
      <c r="AU217" s="3" t="s">
        <v>171</v>
      </c>
      <c r="AV217" s="109" t="s">
        <v>1124</v>
      </c>
      <c r="AW217" s="3" t="s">
        <v>171</v>
      </c>
      <c r="AX217" s="3" t="s">
        <v>171</v>
      </c>
      <c r="AY217" s="3" t="s">
        <v>111</v>
      </c>
      <c r="AZ217" s="3" t="s">
        <v>111</v>
      </c>
      <c r="BA217" s="3" t="s">
        <v>111</v>
      </c>
      <c r="BB217" s="3" t="s">
        <v>111</v>
      </c>
      <c r="BC217" s="3" t="s">
        <v>111</v>
      </c>
      <c r="BD217" s="3" t="s">
        <v>111</v>
      </c>
      <c r="BE217" s="3" t="s">
        <v>111</v>
      </c>
      <c r="BF217" s="3" t="s">
        <v>111</v>
      </c>
      <c r="BG217" s="3" t="s">
        <v>111</v>
      </c>
      <c r="BH217" s="3" t="s">
        <v>171</v>
      </c>
      <c r="BI217" s="3" t="s">
        <v>111</v>
      </c>
      <c r="BJ217" s="3" t="s">
        <v>111</v>
      </c>
      <c r="BK217" s="3" t="s">
        <v>109</v>
      </c>
      <c r="BL217" s="3" t="s">
        <v>114</v>
      </c>
      <c r="BM217" s="3" t="s">
        <v>111</v>
      </c>
      <c r="BN217" s="3" t="s">
        <v>111</v>
      </c>
      <c r="BO217" s="3" t="s">
        <v>115</v>
      </c>
      <c r="BP217" s="3"/>
      <c r="BQ217" s="3"/>
      <c r="BR217" s="3"/>
      <c r="BS217" s="3"/>
      <c r="BT217" s="3"/>
      <c r="BU217" s="3"/>
      <c r="BV217" s="3"/>
      <c r="BW217" s="3" t="s">
        <v>184</v>
      </c>
      <c r="BX217" s="3"/>
      <c r="BY217" s="3"/>
      <c r="BZ217" s="3"/>
      <c r="CA217" s="3"/>
      <c r="CB217" s="112" t="s">
        <v>118</v>
      </c>
      <c r="CC217" s="112" t="s">
        <v>109</v>
      </c>
      <c r="CD217" s="3"/>
      <c r="CE217" s="3"/>
      <c r="CF217" s="112"/>
      <c r="CG217" s="112"/>
      <c r="CH217" s="133"/>
      <c r="CI217" s="112" t="str">
        <f t="shared" si="32"/>
        <v>Mar'24</v>
      </c>
      <c r="CJ217" s="112" t="s">
        <v>132</v>
      </c>
      <c r="CK217" s="257"/>
      <c r="CL217" s="192"/>
    </row>
    <row r="218" spans="1:92" s="4" customFormat="1" ht="94.5" customHeight="1" x14ac:dyDescent="0.25">
      <c r="A218" s="3">
        <v>144</v>
      </c>
      <c r="B218" s="126" t="s">
        <v>1125</v>
      </c>
      <c r="C218" s="109" t="s">
        <v>1126</v>
      </c>
      <c r="D218" s="3" t="s">
        <v>156</v>
      </c>
      <c r="E218" s="59">
        <v>1778</v>
      </c>
      <c r="F218" s="3">
        <v>9890915500</v>
      </c>
      <c r="G218" s="3" t="s">
        <v>169</v>
      </c>
      <c r="H218" s="3" t="s">
        <v>122</v>
      </c>
      <c r="I218" s="3" t="s">
        <v>143</v>
      </c>
      <c r="J218" s="3" t="s">
        <v>144</v>
      </c>
      <c r="K218" s="3" t="s">
        <v>1127</v>
      </c>
      <c r="L218" s="3" t="s">
        <v>105</v>
      </c>
      <c r="M218" s="56">
        <v>45366</v>
      </c>
      <c r="N218" s="69">
        <f t="shared" ca="1" si="29"/>
        <v>811</v>
      </c>
      <c r="O218" s="72" t="str">
        <f t="shared" ca="1" si="30"/>
        <v>2-3Y</v>
      </c>
      <c r="P218" s="198" t="s">
        <v>158</v>
      </c>
      <c r="Q218" s="3" t="s">
        <v>125</v>
      </c>
      <c r="R218" s="3" t="s">
        <v>108</v>
      </c>
      <c r="S218" s="129">
        <v>20</v>
      </c>
      <c r="T218" s="129">
        <v>90</v>
      </c>
      <c r="U218" s="129">
        <f t="shared" si="31"/>
        <v>110</v>
      </c>
      <c r="V218" s="3"/>
      <c r="W218" s="3" t="s">
        <v>171</v>
      </c>
      <c r="X218" s="3" t="s">
        <v>394</v>
      </c>
      <c r="Y218" s="60">
        <f>+IF(AO218="Approved","Yes",AS218)</f>
        <v>46997</v>
      </c>
      <c r="Z218" s="3"/>
      <c r="AA218" s="3"/>
      <c r="AB218" s="3"/>
      <c r="AC218" s="3"/>
      <c r="AD218" s="249">
        <f t="shared" si="28"/>
        <v>46905</v>
      </c>
      <c r="AE218" s="249">
        <f t="shared" si="33"/>
        <v>46997</v>
      </c>
      <c r="AF218" s="3" t="s">
        <v>394</v>
      </c>
      <c r="AG218" s="3" t="s">
        <v>721</v>
      </c>
      <c r="AH218" s="3"/>
      <c r="AI218" s="3" t="s">
        <v>115</v>
      </c>
      <c r="AJ218" s="3" t="s">
        <v>115</v>
      </c>
      <c r="AK218" s="3" t="s">
        <v>181</v>
      </c>
      <c r="AL218" s="45">
        <v>46905</v>
      </c>
      <c r="AM218" s="3" t="s">
        <v>109</v>
      </c>
      <c r="AN218" s="3" t="s">
        <v>109</v>
      </c>
      <c r="AO218" s="3" t="s">
        <v>594</v>
      </c>
      <c r="AP218" s="3"/>
      <c r="AQ218" s="3"/>
      <c r="AR218" s="109" t="s">
        <v>1128</v>
      </c>
      <c r="AS218" s="249">
        <v>46997</v>
      </c>
      <c r="AT218" s="3" t="s">
        <v>109</v>
      </c>
      <c r="AU218" s="3" t="s">
        <v>171</v>
      </c>
      <c r="AV218" s="3" t="s">
        <v>1129</v>
      </c>
      <c r="AW218" s="3" t="s">
        <v>109</v>
      </c>
      <c r="AX218" s="3" t="s">
        <v>111</v>
      </c>
      <c r="AY218" s="3" t="s">
        <v>111</v>
      </c>
      <c r="AZ218" s="3" t="s">
        <v>111</v>
      </c>
      <c r="BA218" s="3" t="s">
        <v>111</v>
      </c>
      <c r="BB218" s="3" t="s">
        <v>111</v>
      </c>
      <c r="BC218" s="3" t="s">
        <v>111</v>
      </c>
      <c r="BD218" s="3" t="s">
        <v>111</v>
      </c>
      <c r="BE218" s="3" t="s">
        <v>111</v>
      </c>
      <c r="BF218" s="3" t="s">
        <v>111</v>
      </c>
      <c r="BG218" s="3" t="s">
        <v>111</v>
      </c>
      <c r="BH218" s="3" t="s">
        <v>111</v>
      </c>
      <c r="BI218" s="3" t="s">
        <v>111</v>
      </c>
      <c r="BJ218" s="3" t="s">
        <v>111</v>
      </c>
      <c r="BK218" s="3" t="s">
        <v>109</v>
      </c>
      <c r="BL218" s="3"/>
      <c r="BM218" s="3" t="s">
        <v>111</v>
      </c>
      <c r="BN218" s="3" t="s">
        <v>111</v>
      </c>
      <c r="BO218" s="3" t="s">
        <v>115</v>
      </c>
      <c r="BP218" s="3"/>
      <c r="BQ218" s="3"/>
      <c r="BR218" s="3"/>
      <c r="BS218" s="3"/>
      <c r="BT218" s="3"/>
      <c r="BU218" s="3"/>
      <c r="BV218" s="3"/>
      <c r="BW218" s="3" t="s">
        <v>184</v>
      </c>
      <c r="BX218" s="3"/>
      <c r="BY218" s="3"/>
      <c r="BZ218" s="3"/>
      <c r="CA218" s="3"/>
      <c r="CB218" s="112" t="s">
        <v>118</v>
      </c>
      <c r="CC218" s="112" t="s">
        <v>109</v>
      </c>
      <c r="CD218" s="3"/>
      <c r="CE218" s="3"/>
      <c r="CF218" s="112"/>
      <c r="CG218" s="112"/>
      <c r="CH218" s="133"/>
      <c r="CI218" s="112" t="str">
        <f t="shared" si="32"/>
        <v>Mar'24</v>
      </c>
      <c r="CJ218" s="112" t="s">
        <v>132</v>
      </c>
      <c r="CK218" s="112"/>
      <c r="CL218" s="112"/>
    </row>
    <row r="219" spans="1:92" s="4" customFormat="1" ht="94.5" customHeight="1" x14ac:dyDescent="0.25">
      <c r="A219" s="3">
        <v>145</v>
      </c>
      <c r="B219" s="126" t="s">
        <v>1130</v>
      </c>
      <c r="C219" s="109" t="s">
        <v>1131</v>
      </c>
      <c r="D219" s="3" t="s">
        <v>135</v>
      </c>
      <c r="E219" s="59">
        <v>1960</v>
      </c>
      <c r="F219" s="3">
        <v>9960008377</v>
      </c>
      <c r="G219" s="3" t="s">
        <v>169</v>
      </c>
      <c r="H219" s="3" t="s">
        <v>122</v>
      </c>
      <c r="I219" s="3" t="s">
        <v>143</v>
      </c>
      <c r="J219" s="3" t="s">
        <v>144</v>
      </c>
      <c r="K219" s="3" t="s">
        <v>1132</v>
      </c>
      <c r="L219" s="3" t="s">
        <v>105</v>
      </c>
      <c r="M219" s="56">
        <v>45366</v>
      </c>
      <c r="N219" s="69">
        <f t="shared" ca="1" si="29"/>
        <v>811</v>
      </c>
      <c r="O219" s="72" t="str">
        <f t="shared" ca="1" si="30"/>
        <v>2-3Y</v>
      </c>
      <c r="P219" s="198" t="s">
        <v>137</v>
      </c>
      <c r="Q219" s="3" t="s">
        <v>125</v>
      </c>
      <c r="R219" s="3" t="s">
        <v>108</v>
      </c>
      <c r="S219" s="129">
        <v>30</v>
      </c>
      <c r="T219" s="129">
        <v>130</v>
      </c>
      <c r="U219" s="129">
        <f t="shared" si="31"/>
        <v>160</v>
      </c>
      <c r="V219" s="3"/>
      <c r="W219" s="3" t="s">
        <v>171</v>
      </c>
      <c r="X219" s="3" t="s">
        <v>394</v>
      </c>
      <c r="Y219" s="60" t="str">
        <f>+AP219</f>
        <v>Yes</v>
      </c>
      <c r="Z219" s="3"/>
      <c r="AA219" s="3"/>
      <c r="AB219" s="3"/>
      <c r="AC219" s="3"/>
      <c r="AD219" s="249">
        <f t="shared" si="28"/>
        <v>46905</v>
      </c>
      <c r="AE219" s="249">
        <f t="shared" si="33"/>
        <v>46997</v>
      </c>
      <c r="AF219" s="3" t="s">
        <v>394</v>
      </c>
      <c r="AG219" s="3" t="s">
        <v>589</v>
      </c>
      <c r="AH219" s="3"/>
      <c r="AI219" s="3" t="s">
        <v>115</v>
      </c>
      <c r="AJ219" s="3" t="s">
        <v>115</v>
      </c>
      <c r="AK219" s="3"/>
      <c r="AL219" s="45">
        <v>46905</v>
      </c>
      <c r="AM219" s="3" t="s">
        <v>109</v>
      </c>
      <c r="AN219" s="3" t="s">
        <v>109</v>
      </c>
      <c r="AO219" s="3" t="s">
        <v>110</v>
      </c>
      <c r="AP219" s="3" t="s">
        <v>109</v>
      </c>
      <c r="AQ219" s="3">
        <v>4337314</v>
      </c>
      <c r="AR219" s="109" t="s">
        <v>1133</v>
      </c>
      <c r="AS219" s="249">
        <v>46997</v>
      </c>
      <c r="AT219" s="3" t="s">
        <v>109</v>
      </c>
      <c r="AU219" s="3" t="s">
        <v>171</v>
      </c>
      <c r="AV219" s="109" t="s">
        <v>1133</v>
      </c>
      <c r="AW219" s="3" t="s">
        <v>171</v>
      </c>
      <c r="AX219" s="3" t="s">
        <v>171</v>
      </c>
      <c r="AY219" s="3" t="s">
        <v>111</v>
      </c>
      <c r="AZ219" s="3" t="s">
        <v>111</v>
      </c>
      <c r="BA219" s="3" t="s">
        <v>111</v>
      </c>
      <c r="BB219" s="3" t="s">
        <v>111</v>
      </c>
      <c r="BC219" s="3" t="s">
        <v>111</v>
      </c>
      <c r="BD219" s="3" t="s">
        <v>111</v>
      </c>
      <c r="BE219" s="3" t="s">
        <v>111</v>
      </c>
      <c r="BF219" s="3" t="s">
        <v>111</v>
      </c>
      <c r="BG219" s="3" t="s">
        <v>111</v>
      </c>
      <c r="BH219" s="3" t="s">
        <v>171</v>
      </c>
      <c r="BI219" s="3" t="s">
        <v>111</v>
      </c>
      <c r="BJ219" s="3" t="s">
        <v>111</v>
      </c>
      <c r="BK219" s="3" t="s">
        <v>109</v>
      </c>
      <c r="BL219" s="3" t="s">
        <v>114</v>
      </c>
      <c r="BM219" s="3" t="s">
        <v>111</v>
      </c>
      <c r="BN219" s="3" t="s">
        <v>111</v>
      </c>
      <c r="BO219" s="3" t="s">
        <v>115</v>
      </c>
      <c r="BP219" s="3"/>
      <c r="BQ219" s="3"/>
      <c r="BR219" s="3"/>
      <c r="BS219" s="3"/>
      <c r="BT219" s="3"/>
      <c r="BU219" s="3"/>
      <c r="BV219" s="3"/>
      <c r="BW219" s="3" t="s">
        <v>184</v>
      </c>
      <c r="BX219" s="3"/>
      <c r="BY219" s="3"/>
      <c r="BZ219" s="3"/>
      <c r="CA219" s="3"/>
      <c r="CB219" s="112" t="s">
        <v>118</v>
      </c>
      <c r="CC219" s="112" t="s">
        <v>109</v>
      </c>
      <c r="CD219" s="3"/>
      <c r="CE219" s="3"/>
      <c r="CF219" s="112"/>
      <c r="CG219" s="112"/>
      <c r="CH219" s="133"/>
      <c r="CI219" s="112" t="str">
        <f t="shared" si="32"/>
        <v>Mar'24</v>
      </c>
      <c r="CJ219" s="112" t="s">
        <v>132</v>
      </c>
      <c r="CK219" s="256"/>
      <c r="CL219" s="192"/>
    </row>
    <row r="220" spans="1:92" s="4" customFormat="1" ht="94.5" customHeight="1" x14ac:dyDescent="0.25">
      <c r="A220" s="3">
        <v>146</v>
      </c>
      <c r="B220" s="126" t="s">
        <v>1134</v>
      </c>
      <c r="C220" s="109" t="s">
        <v>1135</v>
      </c>
      <c r="D220" s="3" t="s">
        <v>383</v>
      </c>
      <c r="E220" s="59">
        <v>1586</v>
      </c>
      <c r="F220" s="3">
        <v>9322269661</v>
      </c>
      <c r="G220" s="3" t="s">
        <v>169</v>
      </c>
      <c r="H220" s="3" t="s">
        <v>122</v>
      </c>
      <c r="I220" s="3" t="s">
        <v>143</v>
      </c>
      <c r="J220" s="3" t="s">
        <v>144</v>
      </c>
      <c r="K220" s="3" t="s">
        <v>1136</v>
      </c>
      <c r="L220" s="3" t="s">
        <v>105</v>
      </c>
      <c r="M220" s="56">
        <v>45366</v>
      </c>
      <c r="N220" s="69">
        <f t="shared" ca="1" si="29"/>
        <v>811</v>
      </c>
      <c r="O220" s="72" t="str">
        <f t="shared" ca="1" si="30"/>
        <v>2-3Y</v>
      </c>
      <c r="P220" s="198" t="s">
        <v>106</v>
      </c>
      <c r="Q220" s="3" t="s">
        <v>125</v>
      </c>
      <c r="R220" s="3" t="s">
        <v>164</v>
      </c>
      <c r="S220" s="129">
        <v>100</v>
      </c>
      <c r="T220" s="129">
        <v>80</v>
      </c>
      <c r="U220" s="129">
        <f t="shared" si="31"/>
        <v>180</v>
      </c>
      <c r="V220" s="3"/>
      <c r="W220" s="3" t="s">
        <v>171</v>
      </c>
      <c r="X220" s="3" t="s">
        <v>394</v>
      </c>
      <c r="Y220" s="60">
        <f>+IF(AO220="Approved","Yes",AS220)</f>
        <v>46997</v>
      </c>
      <c r="Z220" s="3"/>
      <c r="AA220" s="3"/>
      <c r="AB220" s="3"/>
      <c r="AC220" s="3"/>
      <c r="AD220" s="249">
        <f t="shared" ref="AD220:AD255" si="34">+AL220</f>
        <v>46905</v>
      </c>
      <c r="AE220" s="249">
        <f t="shared" si="33"/>
        <v>46997</v>
      </c>
      <c r="AF220" s="3" t="s">
        <v>394</v>
      </c>
      <c r="AG220" s="3" t="s">
        <v>581</v>
      </c>
      <c r="AH220" s="3"/>
      <c r="AI220" s="3" t="s">
        <v>115</v>
      </c>
      <c r="AJ220" s="3" t="s">
        <v>115</v>
      </c>
      <c r="AK220" s="3" t="s">
        <v>419</v>
      </c>
      <c r="AL220" s="45">
        <v>46905</v>
      </c>
      <c r="AM220" s="3" t="s">
        <v>109</v>
      </c>
      <c r="AN220" s="3" t="s">
        <v>109</v>
      </c>
      <c r="AO220" s="3" t="s">
        <v>594</v>
      </c>
      <c r="AP220" s="3"/>
      <c r="AQ220" s="3"/>
      <c r="AR220" s="109" t="s">
        <v>599</v>
      </c>
      <c r="AS220" s="249">
        <v>46997</v>
      </c>
      <c r="AT220" s="3" t="s">
        <v>146</v>
      </c>
      <c r="AU220" s="3" t="s">
        <v>419</v>
      </c>
      <c r="AV220" s="109" t="s">
        <v>1137</v>
      </c>
      <c r="AW220" s="3" t="s">
        <v>171</v>
      </c>
      <c r="AX220" s="3" t="s">
        <v>111</v>
      </c>
      <c r="AY220" s="3" t="s">
        <v>111</v>
      </c>
      <c r="AZ220" s="3" t="s">
        <v>111</v>
      </c>
      <c r="BA220" s="3" t="s">
        <v>111</v>
      </c>
      <c r="BB220" s="3" t="s">
        <v>111</v>
      </c>
      <c r="BC220" s="3" t="s">
        <v>111</v>
      </c>
      <c r="BD220" s="3" t="s">
        <v>111</v>
      </c>
      <c r="BE220" s="3" t="s">
        <v>111</v>
      </c>
      <c r="BF220" s="3" t="s">
        <v>111</v>
      </c>
      <c r="BG220" s="3" t="s">
        <v>111</v>
      </c>
      <c r="BH220" s="3" t="s">
        <v>111</v>
      </c>
      <c r="BI220" s="3" t="s">
        <v>111</v>
      </c>
      <c r="BJ220" s="3" t="s">
        <v>111</v>
      </c>
      <c r="BK220" s="3" t="s">
        <v>260</v>
      </c>
      <c r="BL220" s="3" t="s">
        <v>261</v>
      </c>
      <c r="BM220" s="3" t="s">
        <v>111</v>
      </c>
      <c r="BN220" s="3" t="s">
        <v>111</v>
      </c>
      <c r="BO220" s="3" t="s">
        <v>115</v>
      </c>
      <c r="BP220" s="3"/>
      <c r="BQ220" s="3"/>
      <c r="BR220" s="3"/>
      <c r="BS220" s="3"/>
      <c r="BT220" s="3"/>
      <c r="BU220" s="3"/>
      <c r="BV220" s="3"/>
      <c r="BW220" s="3" t="s">
        <v>184</v>
      </c>
      <c r="BX220" s="3"/>
      <c r="BY220" s="3"/>
      <c r="BZ220" s="3"/>
      <c r="CA220" s="3"/>
      <c r="CB220" s="112" t="s">
        <v>118</v>
      </c>
      <c r="CC220" s="112" t="s">
        <v>109</v>
      </c>
      <c r="CD220" s="3"/>
      <c r="CE220" s="3"/>
      <c r="CF220" s="112"/>
      <c r="CG220" s="112"/>
      <c r="CH220" s="133"/>
      <c r="CI220" s="112" t="str">
        <f t="shared" si="32"/>
        <v>Mar'24</v>
      </c>
      <c r="CJ220" s="112" t="s">
        <v>132</v>
      </c>
      <c r="CK220" s="112"/>
      <c r="CL220" s="192"/>
    </row>
    <row r="221" spans="1:92" s="4" customFormat="1" ht="94.5" customHeight="1" x14ac:dyDescent="0.25">
      <c r="A221" s="3">
        <v>151</v>
      </c>
      <c r="B221" s="126" t="s">
        <v>1138</v>
      </c>
      <c r="C221" s="109" t="s">
        <v>1139</v>
      </c>
      <c r="D221" s="3" t="s">
        <v>135</v>
      </c>
      <c r="E221" s="59">
        <v>1577</v>
      </c>
      <c r="F221" s="3">
        <v>8277181818</v>
      </c>
      <c r="G221" s="3" t="s">
        <v>169</v>
      </c>
      <c r="H221" s="3" t="s">
        <v>122</v>
      </c>
      <c r="I221" s="3" t="s">
        <v>143</v>
      </c>
      <c r="J221" s="3" t="s">
        <v>144</v>
      </c>
      <c r="K221" s="3" t="s">
        <v>1140</v>
      </c>
      <c r="L221" s="3" t="s">
        <v>105</v>
      </c>
      <c r="M221" s="56">
        <v>45366</v>
      </c>
      <c r="N221" s="69">
        <f t="shared" ca="1" si="29"/>
        <v>811</v>
      </c>
      <c r="O221" s="72" t="str">
        <f t="shared" ca="1" si="30"/>
        <v>2-3Y</v>
      </c>
      <c r="P221" s="198" t="s">
        <v>137</v>
      </c>
      <c r="Q221" s="3" t="s">
        <v>1141</v>
      </c>
      <c r="R221" s="3" t="s">
        <v>164</v>
      </c>
      <c r="S221" s="129">
        <v>20</v>
      </c>
      <c r="T221" s="129">
        <v>80</v>
      </c>
      <c r="U221" s="129">
        <f t="shared" si="31"/>
        <v>100</v>
      </c>
      <c r="V221" s="3"/>
      <c r="W221" s="3" t="s">
        <v>171</v>
      </c>
      <c r="X221" s="3" t="s">
        <v>394</v>
      </c>
      <c r="Y221" s="60"/>
      <c r="Z221" s="3"/>
      <c r="AA221" s="3"/>
      <c r="AB221" s="3"/>
      <c r="AC221" s="3"/>
      <c r="AD221" s="249">
        <f t="shared" si="34"/>
        <v>46905</v>
      </c>
      <c r="AE221" s="249">
        <f t="shared" si="33"/>
        <v>46997</v>
      </c>
      <c r="AF221" s="3" t="s">
        <v>394</v>
      </c>
      <c r="AG221" s="3" t="s">
        <v>721</v>
      </c>
      <c r="AH221" s="3"/>
      <c r="AI221" s="3" t="s">
        <v>115</v>
      </c>
      <c r="AJ221" s="3" t="s">
        <v>115</v>
      </c>
      <c r="AK221" s="3" t="s">
        <v>181</v>
      </c>
      <c r="AL221" s="45">
        <v>46905</v>
      </c>
      <c r="AM221" s="3" t="s">
        <v>109</v>
      </c>
      <c r="AN221" s="3" t="s">
        <v>109</v>
      </c>
      <c r="AO221" s="3"/>
      <c r="AP221" s="3"/>
      <c r="AQ221" s="3"/>
      <c r="AR221" s="109" t="s">
        <v>1142</v>
      </c>
      <c r="AS221" s="249">
        <v>46997</v>
      </c>
      <c r="AT221" s="3" t="s">
        <v>171</v>
      </c>
      <c r="AU221" s="3" t="s">
        <v>171</v>
      </c>
      <c r="AV221" s="109" t="s">
        <v>1142</v>
      </c>
      <c r="AW221" s="3" t="s">
        <v>109</v>
      </c>
      <c r="AX221" s="3" t="s">
        <v>171</v>
      </c>
      <c r="AY221" s="3" t="s">
        <v>111</v>
      </c>
      <c r="AZ221" s="3" t="s">
        <v>111</v>
      </c>
      <c r="BA221" s="3" t="s">
        <v>111</v>
      </c>
      <c r="BB221" s="3" t="s">
        <v>111</v>
      </c>
      <c r="BC221" s="3" t="s">
        <v>111</v>
      </c>
      <c r="BD221" s="3" t="s">
        <v>111</v>
      </c>
      <c r="BE221" s="3" t="s">
        <v>111</v>
      </c>
      <c r="BF221" s="3" t="s">
        <v>111</v>
      </c>
      <c r="BG221" s="3" t="s">
        <v>111</v>
      </c>
      <c r="BH221" s="3" t="s">
        <v>171</v>
      </c>
      <c r="BI221" s="3" t="s">
        <v>111</v>
      </c>
      <c r="BJ221" s="3" t="s">
        <v>111</v>
      </c>
      <c r="BK221" s="3"/>
      <c r="BL221" s="3"/>
      <c r="BM221" s="3" t="s">
        <v>111</v>
      </c>
      <c r="BN221" s="3" t="s">
        <v>111</v>
      </c>
      <c r="BO221" s="3" t="s">
        <v>115</v>
      </c>
      <c r="BP221" s="3"/>
      <c r="BQ221" s="3"/>
      <c r="BR221" s="3"/>
      <c r="BS221" s="3"/>
      <c r="BT221" s="3"/>
      <c r="BU221" s="3"/>
      <c r="BV221" s="3"/>
      <c r="BW221" s="3" t="s">
        <v>184</v>
      </c>
      <c r="BX221" s="3"/>
      <c r="BY221" s="3"/>
      <c r="BZ221" s="3"/>
      <c r="CA221" s="3"/>
      <c r="CB221" s="112" t="s">
        <v>118</v>
      </c>
      <c r="CC221" s="112" t="s">
        <v>109</v>
      </c>
      <c r="CD221" s="3"/>
      <c r="CE221" s="3"/>
      <c r="CF221" s="112"/>
      <c r="CG221" s="112"/>
      <c r="CH221" s="133"/>
      <c r="CI221" s="112" t="str">
        <f t="shared" si="32"/>
        <v>Mar'24</v>
      </c>
      <c r="CJ221" s="112" t="s">
        <v>192</v>
      </c>
      <c r="CK221" s="255"/>
      <c r="CL221" s="192"/>
    </row>
    <row r="222" spans="1:92" s="4" customFormat="1" ht="94.5" customHeight="1" x14ac:dyDescent="0.25">
      <c r="A222" s="3">
        <v>142</v>
      </c>
      <c r="B222" s="126" t="s">
        <v>1143</v>
      </c>
      <c r="C222" s="109" t="s">
        <v>1144</v>
      </c>
      <c r="D222" s="3" t="s">
        <v>220</v>
      </c>
      <c r="E222" s="59">
        <v>1886</v>
      </c>
      <c r="F222" s="3">
        <v>8600019603</v>
      </c>
      <c r="G222" s="3" t="s">
        <v>142</v>
      </c>
      <c r="H222" s="3" t="s">
        <v>122</v>
      </c>
      <c r="I222" s="3" t="s">
        <v>143</v>
      </c>
      <c r="J222" s="3" t="s">
        <v>144</v>
      </c>
      <c r="K222" s="3" t="s">
        <v>1145</v>
      </c>
      <c r="L222" s="3" t="s">
        <v>105</v>
      </c>
      <c r="M222" s="56">
        <v>45366</v>
      </c>
      <c r="N222" s="69">
        <f t="shared" ca="1" si="29"/>
        <v>811</v>
      </c>
      <c r="O222" s="72" t="str">
        <f t="shared" ca="1" si="30"/>
        <v>2-3Y</v>
      </c>
      <c r="P222" s="198" t="s">
        <v>106</v>
      </c>
      <c r="Q222" s="3" t="s">
        <v>125</v>
      </c>
      <c r="R222" s="3" t="s">
        <v>108</v>
      </c>
      <c r="S222" s="129">
        <v>55</v>
      </c>
      <c r="T222" s="129">
        <v>100</v>
      </c>
      <c r="U222" s="129">
        <f t="shared" si="31"/>
        <v>155</v>
      </c>
      <c r="V222" s="3"/>
      <c r="W222" s="3" t="s">
        <v>171</v>
      </c>
      <c r="X222" s="3" t="s">
        <v>394</v>
      </c>
      <c r="Y222" s="60">
        <f>+IF(AO222="Approved","Yes",AS222)</f>
        <v>46997</v>
      </c>
      <c r="Z222" s="3"/>
      <c r="AA222" s="3"/>
      <c r="AB222" s="3"/>
      <c r="AC222" s="3"/>
      <c r="AD222" s="249">
        <f t="shared" si="34"/>
        <v>46905</v>
      </c>
      <c r="AE222" s="249">
        <f t="shared" si="33"/>
        <v>46997</v>
      </c>
      <c r="AF222" s="3" t="s">
        <v>394</v>
      </c>
      <c r="AG222" s="3" t="s">
        <v>721</v>
      </c>
      <c r="AH222" s="3"/>
      <c r="AI222" s="3" t="s">
        <v>115</v>
      </c>
      <c r="AJ222" s="3" t="s">
        <v>115</v>
      </c>
      <c r="AK222" s="3" t="s">
        <v>181</v>
      </c>
      <c r="AL222" s="45">
        <v>46905</v>
      </c>
      <c r="AM222" s="3" t="s">
        <v>109</v>
      </c>
      <c r="AN222" s="3" t="s">
        <v>109</v>
      </c>
      <c r="AO222" s="3" t="s">
        <v>594</v>
      </c>
      <c r="AP222" s="3"/>
      <c r="AQ222" s="3"/>
      <c r="AR222" s="109" t="s">
        <v>1146</v>
      </c>
      <c r="AS222" s="249">
        <v>46997</v>
      </c>
      <c r="AT222" s="3" t="s">
        <v>109</v>
      </c>
      <c r="AU222" s="3" t="s">
        <v>109</v>
      </c>
      <c r="AV222" s="3" t="s">
        <v>1147</v>
      </c>
      <c r="AW222" s="3"/>
      <c r="AX222" s="3" t="s">
        <v>171</v>
      </c>
      <c r="AY222" s="3" t="s">
        <v>240</v>
      </c>
      <c r="AZ222" s="3" t="s">
        <v>388</v>
      </c>
      <c r="BA222" s="3" t="s">
        <v>388</v>
      </c>
      <c r="BB222" s="3" t="s">
        <v>261</v>
      </c>
      <c r="BC222" s="3" t="s">
        <v>388</v>
      </c>
      <c r="BD222" s="3" t="s">
        <v>388</v>
      </c>
      <c r="BE222" s="3"/>
      <c r="BF222" s="3"/>
      <c r="BG222" s="59" t="s">
        <v>353</v>
      </c>
      <c r="BH222" s="59" t="s">
        <v>240</v>
      </c>
      <c r="BI222" s="45">
        <v>46473</v>
      </c>
      <c r="BJ222" s="45" t="s">
        <v>261</v>
      </c>
      <c r="BK222" s="3" t="s">
        <v>109</v>
      </c>
      <c r="BL222" s="3" t="s">
        <v>114</v>
      </c>
      <c r="BM222" s="3" t="s">
        <v>111</v>
      </c>
      <c r="BN222" s="3" t="s">
        <v>111</v>
      </c>
      <c r="BO222" s="3" t="s">
        <v>115</v>
      </c>
      <c r="BP222" s="3"/>
      <c r="BQ222" s="3"/>
      <c r="BR222" s="3"/>
      <c r="BS222" s="3"/>
      <c r="BT222" s="3"/>
      <c r="BU222" s="3"/>
      <c r="BV222" s="3"/>
      <c r="BW222" s="3" t="s">
        <v>184</v>
      </c>
      <c r="BX222" s="3"/>
      <c r="BY222" s="3"/>
      <c r="BZ222" s="3"/>
      <c r="CA222" s="3"/>
      <c r="CB222" s="112" t="s">
        <v>118</v>
      </c>
      <c r="CC222" s="112" t="s">
        <v>109</v>
      </c>
      <c r="CD222" s="3"/>
      <c r="CE222" s="3"/>
      <c r="CF222" s="112"/>
      <c r="CG222" s="112"/>
      <c r="CH222" s="133"/>
      <c r="CI222" s="112" t="str">
        <f t="shared" si="32"/>
        <v>Mar'24</v>
      </c>
      <c r="CJ222" s="112" t="s">
        <v>132</v>
      </c>
      <c r="CK222" s="112"/>
      <c r="CL222" s="112"/>
    </row>
    <row r="223" spans="1:92" s="197" customFormat="1" ht="94.5" customHeight="1" x14ac:dyDescent="0.25">
      <c r="A223" s="193">
        <v>152</v>
      </c>
      <c r="B223" s="194" t="s">
        <v>1148</v>
      </c>
      <c r="C223" s="196" t="s">
        <v>1149</v>
      </c>
      <c r="D223" s="193" t="s">
        <v>383</v>
      </c>
      <c r="E223" s="59">
        <v>2010</v>
      </c>
      <c r="F223" s="3">
        <v>9975095747</v>
      </c>
      <c r="G223" s="193" t="s">
        <v>101</v>
      </c>
      <c r="H223" s="193" t="s">
        <v>122</v>
      </c>
      <c r="I223" s="3" t="s">
        <v>143</v>
      </c>
      <c r="J223" s="3" t="s">
        <v>144</v>
      </c>
      <c r="K223" s="3" t="s">
        <v>1150</v>
      </c>
      <c r="L223" s="193" t="s">
        <v>105</v>
      </c>
      <c r="M223" s="195">
        <v>45367</v>
      </c>
      <c r="N223" s="69">
        <f t="shared" ca="1" si="29"/>
        <v>810</v>
      </c>
      <c r="O223" s="72" t="str">
        <f t="shared" ca="1" si="30"/>
        <v>2-3Y</v>
      </c>
      <c r="P223" s="198" t="s">
        <v>106</v>
      </c>
      <c r="Q223" s="3" t="s">
        <v>125</v>
      </c>
      <c r="R223" s="193" t="s">
        <v>164</v>
      </c>
      <c r="S223" s="129">
        <v>200</v>
      </c>
      <c r="T223" s="129">
        <v>80</v>
      </c>
      <c r="U223" s="129">
        <f t="shared" si="31"/>
        <v>280</v>
      </c>
      <c r="V223" s="3"/>
      <c r="W223" s="193" t="s">
        <v>171</v>
      </c>
      <c r="X223" s="193" t="s">
        <v>394</v>
      </c>
      <c r="Y223" s="60"/>
      <c r="Z223" s="3"/>
      <c r="AA223" s="3"/>
      <c r="AB223" s="3"/>
      <c r="AC223" s="3"/>
      <c r="AD223" s="253">
        <f t="shared" si="34"/>
        <v>46905</v>
      </c>
      <c r="AE223" s="253">
        <f t="shared" si="33"/>
        <v>46997</v>
      </c>
      <c r="AF223" s="3" t="s">
        <v>394</v>
      </c>
      <c r="AG223" s="3" t="s">
        <v>581</v>
      </c>
      <c r="AH223" s="3"/>
      <c r="AI223" s="3" t="s">
        <v>115</v>
      </c>
      <c r="AJ223" s="3" t="s">
        <v>115</v>
      </c>
      <c r="AK223" s="3" t="s">
        <v>419</v>
      </c>
      <c r="AL223" s="45">
        <v>46905</v>
      </c>
      <c r="AM223" s="3" t="s">
        <v>109</v>
      </c>
      <c r="AN223" s="3" t="s">
        <v>109</v>
      </c>
      <c r="AO223" s="3"/>
      <c r="AP223" s="3"/>
      <c r="AQ223" s="3"/>
      <c r="AR223" s="196" t="s">
        <v>599</v>
      </c>
      <c r="AS223" s="253">
        <v>46997</v>
      </c>
      <c r="AT223" s="193" t="s">
        <v>146</v>
      </c>
      <c r="AU223" s="3" t="s">
        <v>419</v>
      </c>
      <c r="AV223" s="196" t="s">
        <v>1151</v>
      </c>
      <c r="AW223" s="3" t="s">
        <v>171</v>
      </c>
      <c r="AX223" s="3" t="s">
        <v>111</v>
      </c>
      <c r="AY223" s="3" t="s">
        <v>111</v>
      </c>
      <c r="AZ223" s="3" t="s">
        <v>111</v>
      </c>
      <c r="BA223" s="3" t="s">
        <v>111</v>
      </c>
      <c r="BB223" s="3" t="s">
        <v>111</v>
      </c>
      <c r="BC223" s="3" t="s">
        <v>111</v>
      </c>
      <c r="BD223" s="3" t="s">
        <v>111</v>
      </c>
      <c r="BE223" s="3" t="s">
        <v>111</v>
      </c>
      <c r="BF223" s="3" t="s">
        <v>111</v>
      </c>
      <c r="BG223" s="3" t="s">
        <v>111</v>
      </c>
      <c r="BH223" s="3" t="s">
        <v>111</v>
      </c>
      <c r="BI223" s="3" t="s">
        <v>111</v>
      </c>
      <c r="BJ223" s="3" t="s">
        <v>111</v>
      </c>
      <c r="BK223" s="3" t="s">
        <v>260</v>
      </c>
      <c r="BL223" s="3" t="s">
        <v>261</v>
      </c>
      <c r="BM223" s="193" t="s">
        <v>111</v>
      </c>
      <c r="BN223" s="3" t="s">
        <v>111</v>
      </c>
      <c r="BO223" s="193" t="s">
        <v>115</v>
      </c>
      <c r="BP223" s="193"/>
      <c r="BQ223" s="193"/>
      <c r="BR223" s="193"/>
      <c r="BS223" s="193"/>
      <c r="BT223" s="193"/>
      <c r="BU223" s="193"/>
      <c r="BV223" s="193"/>
      <c r="BW223" s="193" t="s">
        <v>184</v>
      </c>
      <c r="BX223" s="193"/>
      <c r="BY223" s="193"/>
      <c r="BZ223" s="193"/>
      <c r="CA223" s="193"/>
      <c r="CB223" s="202" t="s">
        <v>118</v>
      </c>
      <c r="CC223" s="202" t="s">
        <v>109</v>
      </c>
      <c r="CD223" s="193"/>
      <c r="CE223" s="193"/>
      <c r="CF223" s="202"/>
      <c r="CG223" s="202"/>
      <c r="CH223" s="203"/>
      <c r="CI223" s="202" t="str">
        <f t="shared" si="32"/>
        <v>Mar'24</v>
      </c>
      <c r="CJ223" s="202" t="s">
        <v>132</v>
      </c>
      <c r="CK223" s="263"/>
      <c r="CL223" s="204"/>
    </row>
    <row r="224" spans="1:92" s="4" customFormat="1" ht="94.5" customHeight="1" x14ac:dyDescent="0.25">
      <c r="A224" s="3">
        <v>153</v>
      </c>
      <c r="B224" s="126" t="s">
        <v>1152</v>
      </c>
      <c r="C224" s="109" t="s">
        <v>685</v>
      </c>
      <c r="D224" s="3" t="s">
        <v>141</v>
      </c>
      <c r="E224" s="59">
        <v>1640</v>
      </c>
      <c r="F224" s="3">
        <v>9881321999</v>
      </c>
      <c r="G224" s="3" t="s">
        <v>142</v>
      </c>
      <c r="H224" s="3" t="s">
        <v>122</v>
      </c>
      <c r="I224" s="3" t="s">
        <v>143</v>
      </c>
      <c r="J224" s="3" t="s">
        <v>144</v>
      </c>
      <c r="K224" s="3" t="s">
        <v>1153</v>
      </c>
      <c r="L224" s="3" t="s">
        <v>105</v>
      </c>
      <c r="M224" s="56">
        <v>45367</v>
      </c>
      <c r="N224" s="69">
        <f t="shared" ca="1" si="29"/>
        <v>810</v>
      </c>
      <c r="O224" s="72" t="str">
        <f t="shared" ca="1" si="30"/>
        <v>2-3Y</v>
      </c>
      <c r="P224" s="198" t="s">
        <v>137</v>
      </c>
      <c r="Q224" s="3" t="s">
        <v>192</v>
      </c>
      <c r="R224" s="3" t="s">
        <v>108</v>
      </c>
      <c r="S224" s="129">
        <v>50</v>
      </c>
      <c r="T224" s="129">
        <v>150</v>
      </c>
      <c r="U224" s="129">
        <f t="shared" si="31"/>
        <v>200</v>
      </c>
      <c r="V224" s="3"/>
      <c r="W224" s="3" t="s">
        <v>171</v>
      </c>
      <c r="X224" s="3" t="s">
        <v>394</v>
      </c>
      <c r="Y224" s="60"/>
      <c r="Z224" s="3"/>
      <c r="AA224" s="3"/>
      <c r="AB224" s="3"/>
      <c r="AC224" s="3"/>
      <c r="AD224" s="249">
        <f t="shared" si="34"/>
        <v>46905</v>
      </c>
      <c r="AE224" s="249">
        <f t="shared" si="33"/>
        <v>46997</v>
      </c>
      <c r="AF224" s="3" t="s">
        <v>394</v>
      </c>
      <c r="AG224" s="3"/>
      <c r="AH224" s="3"/>
      <c r="AI224" s="3" t="s">
        <v>115</v>
      </c>
      <c r="AJ224" s="3" t="s">
        <v>115</v>
      </c>
      <c r="AK224" s="3" t="s">
        <v>181</v>
      </c>
      <c r="AL224" s="45">
        <v>46905</v>
      </c>
      <c r="AM224" s="3" t="s">
        <v>109</v>
      </c>
      <c r="AN224" s="3" t="s">
        <v>109</v>
      </c>
      <c r="AO224" s="3"/>
      <c r="AP224" s="3"/>
      <c r="AQ224" s="3"/>
      <c r="AR224" s="109" t="s">
        <v>545</v>
      </c>
      <c r="AS224" s="249">
        <v>46997</v>
      </c>
      <c r="AT224" s="3" t="s">
        <v>146</v>
      </c>
      <c r="AU224" s="3" t="s">
        <v>419</v>
      </c>
      <c r="AV224" s="109" t="s">
        <v>1154</v>
      </c>
      <c r="AW224" s="109" t="s">
        <v>1155</v>
      </c>
      <c r="AX224" s="3" t="s">
        <v>171</v>
      </c>
      <c r="AY224" s="3" t="s">
        <v>111</v>
      </c>
      <c r="AZ224" s="3" t="s">
        <v>111</v>
      </c>
      <c r="BA224" s="3" t="s">
        <v>111</v>
      </c>
      <c r="BB224" s="3" t="s">
        <v>111</v>
      </c>
      <c r="BC224" s="3" t="s">
        <v>111</v>
      </c>
      <c r="BD224" s="3" t="s">
        <v>111</v>
      </c>
      <c r="BE224" s="3" t="s">
        <v>111</v>
      </c>
      <c r="BF224" s="3" t="s">
        <v>111</v>
      </c>
      <c r="BG224" s="3" t="s">
        <v>111</v>
      </c>
      <c r="BH224" s="3" t="s">
        <v>111</v>
      </c>
      <c r="BI224" s="45" t="s">
        <v>111</v>
      </c>
      <c r="BJ224" s="3" t="s">
        <v>111</v>
      </c>
      <c r="BK224" s="3" t="s">
        <v>260</v>
      </c>
      <c r="BL224" s="3" t="s">
        <v>261</v>
      </c>
      <c r="BM224" s="3" t="s">
        <v>111</v>
      </c>
      <c r="BN224" s="3" t="s">
        <v>111</v>
      </c>
      <c r="BO224" s="3" t="s">
        <v>115</v>
      </c>
      <c r="BP224" s="3"/>
      <c r="BQ224" s="3"/>
      <c r="BR224" s="3"/>
      <c r="BS224" s="3"/>
      <c r="BT224" s="3"/>
      <c r="BU224" s="3"/>
      <c r="BV224" s="3"/>
      <c r="BW224" s="3" t="s">
        <v>184</v>
      </c>
      <c r="BX224" s="3"/>
      <c r="BY224" s="3"/>
      <c r="BZ224" s="3"/>
      <c r="CA224" s="3"/>
      <c r="CB224" s="112" t="s">
        <v>118</v>
      </c>
      <c r="CC224" s="112" t="s">
        <v>109</v>
      </c>
      <c r="CD224" s="3"/>
      <c r="CE224" s="3"/>
      <c r="CF224" s="112"/>
      <c r="CG224" s="112"/>
      <c r="CH224" s="133"/>
      <c r="CI224" s="112" t="str">
        <f t="shared" si="32"/>
        <v>Mar'24</v>
      </c>
      <c r="CJ224" s="112" t="s">
        <v>192</v>
      </c>
      <c r="CK224" s="112"/>
      <c r="CL224" s="192"/>
    </row>
    <row r="225" spans="1:90" s="4" customFormat="1" ht="94.5" customHeight="1" x14ac:dyDescent="0.25">
      <c r="A225" s="3">
        <v>159</v>
      </c>
      <c r="B225" s="126" t="s">
        <v>1156</v>
      </c>
      <c r="C225" s="109" t="s">
        <v>1157</v>
      </c>
      <c r="D225" s="3" t="s">
        <v>156</v>
      </c>
      <c r="E225" s="59">
        <v>1732</v>
      </c>
      <c r="F225" s="3">
        <v>9561766650</v>
      </c>
      <c r="G225" s="3" t="s">
        <v>169</v>
      </c>
      <c r="H225" s="3" t="s">
        <v>101</v>
      </c>
      <c r="I225" s="3" t="s">
        <v>143</v>
      </c>
      <c r="J225" s="3" t="s">
        <v>162</v>
      </c>
      <c r="K225" s="3" t="s">
        <v>1158</v>
      </c>
      <c r="L225" s="3" t="s">
        <v>105</v>
      </c>
      <c r="M225" s="56">
        <v>45456</v>
      </c>
      <c r="N225" s="69">
        <f t="shared" ca="1" si="29"/>
        <v>721</v>
      </c>
      <c r="O225" s="72" t="str">
        <f t="shared" ca="1" si="30"/>
        <v>1-2Y</v>
      </c>
      <c r="P225" s="198" t="s">
        <v>158</v>
      </c>
      <c r="Q225" s="3" t="s">
        <v>180</v>
      </c>
      <c r="R225" s="3" t="s">
        <v>108</v>
      </c>
      <c r="S225" s="129">
        <v>20</v>
      </c>
      <c r="T225" s="129">
        <v>95</v>
      </c>
      <c r="U225" s="129">
        <f t="shared" si="31"/>
        <v>115</v>
      </c>
      <c r="V225" s="3"/>
      <c r="W225" s="3" t="s">
        <v>171</v>
      </c>
      <c r="X225" s="3" t="s">
        <v>394</v>
      </c>
      <c r="Y225" s="60"/>
      <c r="Z225" s="3" t="s">
        <v>274</v>
      </c>
      <c r="AA225" s="3"/>
      <c r="AB225" s="3"/>
      <c r="AC225" s="3"/>
      <c r="AD225" s="249">
        <f t="shared" si="34"/>
        <v>46905</v>
      </c>
      <c r="AE225" s="249">
        <f t="shared" si="33"/>
        <v>46997</v>
      </c>
      <c r="AF225" s="3" t="s">
        <v>394</v>
      </c>
      <c r="AG225" s="3" t="s">
        <v>581</v>
      </c>
      <c r="AH225" s="3"/>
      <c r="AI225" s="3"/>
      <c r="AJ225" s="3"/>
      <c r="AK225" s="3" t="s">
        <v>181</v>
      </c>
      <c r="AL225" s="45">
        <v>46905</v>
      </c>
      <c r="AM225" s="3"/>
      <c r="AN225" s="3"/>
      <c r="AO225" s="3"/>
      <c r="AP225" s="3"/>
      <c r="AQ225" s="3"/>
      <c r="AR225" s="109" t="s">
        <v>1159</v>
      </c>
      <c r="AS225" s="249">
        <v>46997</v>
      </c>
      <c r="AT225" s="3" t="s">
        <v>109</v>
      </c>
      <c r="AU225" s="3" t="s">
        <v>171</v>
      </c>
      <c r="AV225" s="3" t="s">
        <v>839</v>
      </c>
      <c r="AW225" s="3" t="s">
        <v>109</v>
      </c>
      <c r="AX225" s="3" t="s">
        <v>111</v>
      </c>
      <c r="AY225" s="3" t="s">
        <v>111</v>
      </c>
      <c r="AZ225" s="3" t="s">
        <v>111</v>
      </c>
      <c r="BA225" s="3" t="s">
        <v>111</v>
      </c>
      <c r="BB225" s="3" t="s">
        <v>111</v>
      </c>
      <c r="BC225" s="3" t="s">
        <v>111</v>
      </c>
      <c r="BD225" s="3" t="s">
        <v>111</v>
      </c>
      <c r="BE225" s="3" t="s">
        <v>111</v>
      </c>
      <c r="BF225" s="3" t="s">
        <v>111</v>
      </c>
      <c r="BG225" s="3" t="s">
        <v>111</v>
      </c>
      <c r="BH225" s="3" t="s">
        <v>111</v>
      </c>
      <c r="BI225" s="3" t="s">
        <v>111</v>
      </c>
      <c r="BJ225" s="3" t="s">
        <v>111</v>
      </c>
      <c r="BK225" s="3" t="s">
        <v>109</v>
      </c>
      <c r="BL225" s="3"/>
      <c r="BM225" s="3"/>
      <c r="BN225" s="3"/>
      <c r="BO225" s="3"/>
      <c r="BP225" s="3"/>
      <c r="BQ225" s="3"/>
      <c r="BR225" s="3"/>
      <c r="BS225" s="3"/>
      <c r="BT225" s="3"/>
      <c r="BU225" s="3"/>
      <c r="BV225" s="3"/>
      <c r="BW225" s="3" t="s">
        <v>184</v>
      </c>
      <c r="BX225" s="3"/>
      <c r="BY225" s="3"/>
      <c r="BZ225" s="3"/>
      <c r="CA225" s="3"/>
      <c r="CB225" s="112" t="s">
        <v>118</v>
      </c>
      <c r="CC225" s="112" t="s">
        <v>109</v>
      </c>
      <c r="CD225" s="3"/>
      <c r="CE225" s="3"/>
      <c r="CF225" s="112"/>
      <c r="CG225" s="112"/>
      <c r="CH225" s="133"/>
      <c r="CI225" s="112" t="str">
        <f t="shared" si="32"/>
        <v>Jun'24</v>
      </c>
      <c r="CJ225" s="112" t="s">
        <v>186</v>
      </c>
      <c r="CK225" s="112"/>
      <c r="CL225" s="192"/>
    </row>
    <row r="226" spans="1:90" s="4" customFormat="1" ht="94.5" customHeight="1" x14ac:dyDescent="0.25">
      <c r="A226" s="3">
        <v>160</v>
      </c>
      <c r="B226" s="126" t="s">
        <v>1160</v>
      </c>
      <c r="C226" s="109" t="s">
        <v>1161</v>
      </c>
      <c r="D226" s="3" t="s">
        <v>141</v>
      </c>
      <c r="E226" s="59">
        <v>1583</v>
      </c>
      <c r="F226" s="3">
        <v>9284615858</v>
      </c>
      <c r="G226" s="3" t="s">
        <v>142</v>
      </c>
      <c r="H226" s="3" t="s">
        <v>122</v>
      </c>
      <c r="I226" s="3" t="s">
        <v>143</v>
      </c>
      <c r="J226" s="3" t="s">
        <v>144</v>
      </c>
      <c r="K226" s="3" t="s">
        <v>1162</v>
      </c>
      <c r="L226" s="3" t="s">
        <v>105</v>
      </c>
      <c r="M226" s="56">
        <v>45456</v>
      </c>
      <c r="N226" s="69">
        <f t="shared" ca="1" si="29"/>
        <v>721</v>
      </c>
      <c r="O226" s="72" t="str">
        <f t="shared" ca="1" si="30"/>
        <v>1-2Y</v>
      </c>
      <c r="P226" s="198" t="s">
        <v>137</v>
      </c>
      <c r="Q226" s="3" t="s">
        <v>125</v>
      </c>
      <c r="R226" s="3" t="s">
        <v>108</v>
      </c>
      <c r="S226" s="129">
        <v>30</v>
      </c>
      <c r="T226" s="129">
        <v>120</v>
      </c>
      <c r="U226" s="129">
        <f t="shared" si="31"/>
        <v>150</v>
      </c>
      <c r="V226" s="3"/>
      <c r="W226" s="3" t="s">
        <v>171</v>
      </c>
      <c r="X226" s="3" t="s">
        <v>394</v>
      </c>
      <c r="Y226" s="60"/>
      <c r="Z226" s="3"/>
      <c r="AA226" s="3"/>
      <c r="AB226" s="3"/>
      <c r="AC226" s="3"/>
      <c r="AD226" s="249">
        <f t="shared" si="34"/>
        <v>46905</v>
      </c>
      <c r="AE226" s="249">
        <f t="shared" si="33"/>
        <v>46997</v>
      </c>
      <c r="AF226" s="3" t="s">
        <v>394</v>
      </c>
      <c r="AG226" s="3" t="s">
        <v>581</v>
      </c>
      <c r="AH226" s="3"/>
      <c r="AI226" s="3" t="s">
        <v>115</v>
      </c>
      <c r="AJ226" s="3" t="s">
        <v>115</v>
      </c>
      <c r="AK226" s="3" t="s">
        <v>181</v>
      </c>
      <c r="AL226" s="45">
        <v>46905</v>
      </c>
      <c r="AM226" s="3" t="s">
        <v>109</v>
      </c>
      <c r="AN226" s="3" t="s">
        <v>109</v>
      </c>
      <c r="AO226" s="3"/>
      <c r="AP226" s="3"/>
      <c r="AQ226" s="3"/>
      <c r="AR226" s="109" t="s">
        <v>545</v>
      </c>
      <c r="AS226" s="249">
        <v>46997</v>
      </c>
      <c r="AT226" s="3" t="s">
        <v>419</v>
      </c>
      <c r="AU226" s="3" t="s">
        <v>419</v>
      </c>
      <c r="AV226" s="109" t="s">
        <v>1163</v>
      </c>
      <c r="AW226" s="109" t="s">
        <v>1164</v>
      </c>
      <c r="AX226" s="3" t="s">
        <v>171</v>
      </c>
      <c r="AY226" s="3" t="s">
        <v>111</v>
      </c>
      <c r="AZ226" s="3" t="s">
        <v>111</v>
      </c>
      <c r="BA226" s="3" t="s">
        <v>111</v>
      </c>
      <c r="BB226" s="3" t="s">
        <v>111</v>
      </c>
      <c r="BC226" s="3" t="s">
        <v>111</v>
      </c>
      <c r="BD226" s="3" t="s">
        <v>111</v>
      </c>
      <c r="BE226" s="3" t="s">
        <v>111</v>
      </c>
      <c r="BF226" s="3" t="s">
        <v>111</v>
      </c>
      <c r="BG226" s="3" t="s">
        <v>111</v>
      </c>
      <c r="BH226" s="3" t="s">
        <v>111</v>
      </c>
      <c r="BI226" s="45" t="s">
        <v>111</v>
      </c>
      <c r="BJ226" s="3" t="s">
        <v>111</v>
      </c>
      <c r="BK226" s="3" t="s">
        <v>109</v>
      </c>
      <c r="BL226" s="3" t="s">
        <v>114</v>
      </c>
      <c r="BM226" s="3" t="s">
        <v>111</v>
      </c>
      <c r="BN226" s="3" t="s">
        <v>111</v>
      </c>
      <c r="BO226" s="3" t="s">
        <v>115</v>
      </c>
      <c r="BP226" s="3"/>
      <c r="BQ226" s="3"/>
      <c r="BR226" s="3"/>
      <c r="BS226" s="3"/>
      <c r="BT226" s="3"/>
      <c r="BU226" s="3"/>
      <c r="BV226" s="3"/>
      <c r="BW226" s="3" t="s">
        <v>184</v>
      </c>
      <c r="BX226" s="3"/>
      <c r="BY226" s="3"/>
      <c r="BZ226" s="3"/>
      <c r="CA226" s="3"/>
      <c r="CB226" s="112" t="s">
        <v>118</v>
      </c>
      <c r="CC226" s="112" t="s">
        <v>109</v>
      </c>
      <c r="CD226" s="3"/>
      <c r="CE226" s="3"/>
      <c r="CF226" s="112"/>
      <c r="CG226" s="112"/>
      <c r="CH226" s="133"/>
      <c r="CI226" s="112" t="str">
        <f t="shared" si="32"/>
        <v>Jun'24</v>
      </c>
      <c r="CJ226" s="112" t="s">
        <v>132</v>
      </c>
      <c r="CK226" s="112"/>
      <c r="CL226" s="192"/>
    </row>
    <row r="227" spans="1:90" s="4" customFormat="1" ht="94.5" customHeight="1" x14ac:dyDescent="0.25">
      <c r="A227" s="3">
        <v>167</v>
      </c>
      <c r="B227" s="126" t="s">
        <v>1165</v>
      </c>
      <c r="C227" s="109" t="s">
        <v>1166</v>
      </c>
      <c r="D227" s="3" t="s">
        <v>220</v>
      </c>
      <c r="E227" s="59">
        <v>2098</v>
      </c>
      <c r="F227" s="3">
        <v>9922175403</v>
      </c>
      <c r="G227" s="3" t="s">
        <v>100</v>
      </c>
      <c r="H227" s="3" t="s">
        <v>122</v>
      </c>
      <c r="I227" s="3" t="s">
        <v>102</v>
      </c>
      <c r="J227" s="3" t="s">
        <v>123</v>
      </c>
      <c r="K227" s="3" t="s">
        <v>1167</v>
      </c>
      <c r="L227" s="3" t="s">
        <v>105</v>
      </c>
      <c r="M227" s="56">
        <v>45458</v>
      </c>
      <c r="N227" s="69">
        <f t="shared" ca="1" si="29"/>
        <v>719</v>
      </c>
      <c r="O227" s="72" t="str">
        <f t="shared" ca="1" si="30"/>
        <v>1-2Y</v>
      </c>
      <c r="P227" s="198" t="s">
        <v>106</v>
      </c>
      <c r="Q227" s="3" t="s">
        <v>125</v>
      </c>
      <c r="R227" s="3" t="s">
        <v>108</v>
      </c>
      <c r="S227" s="129">
        <v>25</v>
      </c>
      <c r="T227" s="129">
        <v>75</v>
      </c>
      <c r="U227" s="129">
        <f t="shared" si="31"/>
        <v>100</v>
      </c>
      <c r="V227" s="3"/>
      <c r="W227" s="3" t="s">
        <v>171</v>
      </c>
      <c r="X227" s="3" t="s">
        <v>394</v>
      </c>
      <c r="Y227" s="60"/>
      <c r="Z227" s="3"/>
      <c r="AA227" s="3"/>
      <c r="AB227" s="3"/>
      <c r="AC227" s="3"/>
      <c r="AD227" s="249">
        <f t="shared" si="34"/>
        <v>46905</v>
      </c>
      <c r="AE227" s="249">
        <f t="shared" si="33"/>
        <v>46997</v>
      </c>
      <c r="AF227" s="3" t="s">
        <v>394</v>
      </c>
      <c r="AG227" s="3" t="s">
        <v>581</v>
      </c>
      <c r="AH227" s="3"/>
      <c r="AI227" s="3" t="s">
        <v>115</v>
      </c>
      <c r="AJ227" s="3" t="s">
        <v>115</v>
      </c>
      <c r="AK227" s="3" t="s">
        <v>181</v>
      </c>
      <c r="AL227" s="45">
        <v>46905</v>
      </c>
      <c r="AM227" s="3" t="s">
        <v>109</v>
      </c>
      <c r="AN227" s="3" t="s">
        <v>109</v>
      </c>
      <c r="AO227" s="3"/>
      <c r="AP227" s="3"/>
      <c r="AQ227" s="3"/>
      <c r="AR227" s="109" t="s">
        <v>1159</v>
      </c>
      <c r="AS227" s="249">
        <v>46997</v>
      </c>
      <c r="AT227" s="3" t="s">
        <v>109</v>
      </c>
      <c r="AU227" s="3" t="s">
        <v>1168</v>
      </c>
      <c r="AV227" s="3" t="s">
        <v>1169</v>
      </c>
      <c r="AW227" s="3"/>
      <c r="AX227" s="3" t="s">
        <v>171</v>
      </c>
      <c r="AY227" s="3" t="s">
        <v>1170</v>
      </c>
      <c r="AZ227" s="3" t="s">
        <v>388</v>
      </c>
      <c r="BA227" s="3" t="s">
        <v>388</v>
      </c>
      <c r="BB227" s="3" t="s">
        <v>388</v>
      </c>
      <c r="BC227" s="3" t="s">
        <v>388</v>
      </c>
      <c r="BD227" s="3" t="s">
        <v>388</v>
      </c>
      <c r="BE227" s="3" t="s">
        <v>111</v>
      </c>
      <c r="BF227" s="3" t="s">
        <v>111</v>
      </c>
      <c r="BG227" s="59" t="s">
        <v>353</v>
      </c>
      <c r="BH227" s="59" t="s">
        <v>419</v>
      </c>
      <c r="BI227" s="45">
        <v>46544</v>
      </c>
      <c r="BJ227" s="45">
        <v>46575</v>
      </c>
      <c r="BK227" s="3" t="s">
        <v>109</v>
      </c>
      <c r="BL227" s="3" t="s">
        <v>198</v>
      </c>
      <c r="BM227" s="3" t="s">
        <v>111</v>
      </c>
      <c r="BN227" s="3" t="s">
        <v>111</v>
      </c>
      <c r="BO227" s="3" t="s">
        <v>115</v>
      </c>
      <c r="BP227" s="3"/>
      <c r="BQ227" s="3"/>
      <c r="BR227" s="3"/>
      <c r="BS227" s="3"/>
      <c r="BT227" s="3"/>
      <c r="BU227" s="3"/>
      <c r="BV227" s="3"/>
      <c r="BW227" s="3" t="s">
        <v>184</v>
      </c>
      <c r="BX227" s="3"/>
      <c r="BY227" s="3"/>
      <c r="BZ227" s="3"/>
      <c r="CA227" s="3"/>
      <c r="CB227" s="112" t="s">
        <v>118</v>
      </c>
      <c r="CC227" s="112" t="s">
        <v>109</v>
      </c>
      <c r="CD227" s="3"/>
      <c r="CE227" s="3"/>
      <c r="CF227" s="112"/>
      <c r="CG227" s="112"/>
      <c r="CH227" s="133"/>
      <c r="CI227" s="112" t="str">
        <f t="shared" si="32"/>
        <v>Jun'24</v>
      </c>
      <c r="CJ227" s="112" t="s">
        <v>132</v>
      </c>
      <c r="CK227" s="112"/>
      <c r="CL227" s="192"/>
    </row>
    <row r="228" spans="1:90" s="4" customFormat="1" ht="94.5" customHeight="1" x14ac:dyDescent="0.25">
      <c r="A228" s="3">
        <v>170</v>
      </c>
      <c r="B228" s="126" t="s">
        <v>1171</v>
      </c>
      <c r="C228" s="109" t="s">
        <v>1172</v>
      </c>
      <c r="D228" s="3" t="s">
        <v>141</v>
      </c>
      <c r="E228" s="59">
        <v>1644</v>
      </c>
      <c r="F228" s="3">
        <v>9145578555</v>
      </c>
      <c r="G228" s="3" t="s">
        <v>142</v>
      </c>
      <c r="H228" s="3" t="s">
        <v>122</v>
      </c>
      <c r="I228" s="3" t="s">
        <v>143</v>
      </c>
      <c r="J228" s="3" t="s">
        <v>144</v>
      </c>
      <c r="K228" s="3" t="s">
        <v>1173</v>
      </c>
      <c r="L228" s="3" t="s">
        <v>105</v>
      </c>
      <c r="M228" s="56">
        <v>45458</v>
      </c>
      <c r="N228" s="69">
        <f t="shared" ca="1" si="29"/>
        <v>719</v>
      </c>
      <c r="O228" s="72" t="str">
        <f t="shared" ca="1" si="30"/>
        <v>1-2Y</v>
      </c>
      <c r="P228" s="198" t="s">
        <v>137</v>
      </c>
      <c r="Q228" s="3" t="s">
        <v>192</v>
      </c>
      <c r="R228" s="3" t="s">
        <v>108</v>
      </c>
      <c r="S228" s="129">
        <v>90</v>
      </c>
      <c r="T228" s="129">
        <v>110</v>
      </c>
      <c r="U228" s="129">
        <f t="shared" si="31"/>
        <v>200</v>
      </c>
      <c r="V228" s="3"/>
      <c r="W228" s="3" t="s">
        <v>171</v>
      </c>
      <c r="X228" s="3" t="s">
        <v>394</v>
      </c>
      <c r="Y228" s="60"/>
      <c r="Z228" s="3"/>
      <c r="AA228" s="3"/>
      <c r="AB228" s="3"/>
      <c r="AC228" s="3"/>
      <c r="AD228" s="249">
        <f t="shared" si="34"/>
        <v>46905</v>
      </c>
      <c r="AE228" s="249">
        <f t="shared" si="33"/>
        <v>46997</v>
      </c>
      <c r="AF228" s="3" t="s">
        <v>394</v>
      </c>
      <c r="AG228" s="3" t="s">
        <v>581</v>
      </c>
      <c r="AH228" s="3"/>
      <c r="AI228" s="3" t="s">
        <v>115</v>
      </c>
      <c r="AJ228" s="3" t="s">
        <v>115</v>
      </c>
      <c r="AK228" s="3" t="s">
        <v>181</v>
      </c>
      <c r="AL228" s="45">
        <v>46905</v>
      </c>
      <c r="AM228" s="3" t="s">
        <v>109</v>
      </c>
      <c r="AN228" s="3" t="s">
        <v>109</v>
      </c>
      <c r="AO228" s="3"/>
      <c r="AP228" s="3"/>
      <c r="AQ228" s="3"/>
      <c r="AR228" s="109" t="s">
        <v>545</v>
      </c>
      <c r="AS228" s="249">
        <v>46997</v>
      </c>
      <c r="AT228" s="3" t="s">
        <v>419</v>
      </c>
      <c r="AU228" s="3" t="s">
        <v>419</v>
      </c>
      <c r="AV228" s="109" t="s">
        <v>1174</v>
      </c>
      <c r="AW228" s="109" t="s">
        <v>1155</v>
      </c>
      <c r="AX228" s="3" t="s">
        <v>171</v>
      </c>
      <c r="AY228" s="3" t="s">
        <v>111</v>
      </c>
      <c r="AZ228" s="3" t="s">
        <v>111</v>
      </c>
      <c r="BA228" s="3" t="s">
        <v>111</v>
      </c>
      <c r="BB228" s="3" t="s">
        <v>111</v>
      </c>
      <c r="BC228" s="3" t="s">
        <v>111</v>
      </c>
      <c r="BD228" s="3" t="s">
        <v>111</v>
      </c>
      <c r="BE228" s="3" t="s">
        <v>111</v>
      </c>
      <c r="BF228" s="3" t="s">
        <v>111</v>
      </c>
      <c r="BG228" s="3" t="s">
        <v>111</v>
      </c>
      <c r="BH228" s="3" t="s">
        <v>111</v>
      </c>
      <c r="BI228" s="45" t="s">
        <v>111</v>
      </c>
      <c r="BJ228" s="3" t="s">
        <v>111</v>
      </c>
      <c r="BK228" s="3"/>
      <c r="BL228" s="3"/>
      <c r="BM228" s="3" t="s">
        <v>111</v>
      </c>
      <c r="BN228" s="3" t="s">
        <v>111</v>
      </c>
      <c r="BO228" s="3" t="s">
        <v>115</v>
      </c>
      <c r="BP228" s="3"/>
      <c r="BQ228" s="3"/>
      <c r="BR228" s="3"/>
      <c r="BS228" s="3"/>
      <c r="BT228" s="3"/>
      <c r="BU228" s="3"/>
      <c r="BV228" s="3"/>
      <c r="BW228" s="3" t="s">
        <v>184</v>
      </c>
      <c r="BX228" s="3"/>
      <c r="BY228" s="3"/>
      <c r="BZ228" s="3"/>
      <c r="CA228" s="3"/>
      <c r="CB228" s="112" t="s">
        <v>118</v>
      </c>
      <c r="CC228" s="112" t="s">
        <v>109</v>
      </c>
      <c r="CD228" s="3"/>
      <c r="CE228" s="3"/>
      <c r="CF228" s="112"/>
      <c r="CG228" s="112"/>
      <c r="CH228" s="133"/>
      <c r="CI228" s="112" t="str">
        <f t="shared" si="32"/>
        <v>Jun'24</v>
      </c>
      <c r="CJ228" s="112" t="s">
        <v>192</v>
      </c>
      <c r="CK228" s="112"/>
      <c r="CL228" s="192"/>
    </row>
    <row r="229" spans="1:90" s="4" customFormat="1" ht="94.5" customHeight="1" x14ac:dyDescent="0.25">
      <c r="A229" s="3">
        <v>166</v>
      </c>
      <c r="B229" s="126" t="s">
        <v>1175</v>
      </c>
      <c r="C229" s="109" t="s">
        <v>1176</v>
      </c>
      <c r="D229" s="3" t="s">
        <v>150</v>
      </c>
      <c r="E229" s="59">
        <v>1578</v>
      </c>
      <c r="F229" s="3">
        <v>9881211227</v>
      </c>
      <c r="G229" s="3" t="s">
        <v>142</v>
      </c>
      <c r="H229" s="3" t="s">
        <v>101</v>
      </c>
      <c r="I229" s="3" t="s">
        <v>143</v>
      </c>
      <c r="J229" s="3" t="s">
        <v>151</v>
      </c>
      <c r="K229" s="3" t="s">
        <v>1177</v>
      </c>
      <c r="L229" s="3" t="s">
        <v>105</v>
      </c>
      <c r="M229" s="56">
        <v>45458</v>
      </c>
      <c r="N229" s="69">
        <f t="shared" ca="1" si="29"/>
        <v>719</v>
      </c>
      <c r="O229" s="72" t="str">
        <f t="shared" ca="1" si="30"/>
        <v>1-2Y</v>
      </c>
      <c r="P229" s="198" t="s">
        <v>106</v>
      </c>
      <c r="Q229" s="3" t="s">
        <v>125</v>
      </c>
      <c r="R229" s="3" t="s">
        <v>108</v>
      </c>
      <c r="S229" s="129">
        <v>90</v>
      </c>
      <c r="T229" s="129">
        <v>150</v>
      </c>
      <c r="U229" s="129">
        <f t="shared" si="31"/>
        <v>240</v>
      </c>
      <c r="V229" s="3"/>
      <c r="W229" s="3" t="s">
        <v>171</v>
      </c>
      <c r="X229" s="3" t="s">
        <v>394</v>
      </c>
      <c r="Y229" s="60"/>
      <c r="Z229" s="3" t="s">
        <v>274</v>
      </c>
      <c r="AA229" s="3"/>
      <c r="AB229" s="3"/>
      <c r="AC229" s="3"/>
      <c r="AD229" s="249">
        <f t="shared" si="34"/>
        <v>46905</v>
      </c>
      <c r="AE229" s="249">
        <f t="shared" si="33"/>
        <v>46997</v>
      </c>
      <c r="AF229" s="3" t="s">
        <v>394</v>
      </c>
      <c r="AG229" s="3" t="s">
        <v>721</v>
      </c>
      <c r="AH229" s="3"/>
      <c r="AI229" s="3"/>
      <c r="AJ229" s="3"/>
      <c r="AK229" s="3"/>
      <c r="AL229" s="45">
        <v>46905</v>
      </c>
      <c r="AM229" s="3"/>
      <c r="AN229" s="3"/>
      <c r="AO229" s="3"/>
      <c r="AP229" s="3"/>
      <c r="AQ229" s="3"/>
      <c r="AR229" s="109" t="s">
        <v>713</v>
      </c>
      <c r="AS229" s="249">
        <v>46997</v>
      </c>
      <c r="AT229" s="3"/>
      <c r="AU229" s="59" t="s">
        <v>171</v>
      </c>
      <c r="AV229" s="3" t="s">
        <v>1178</v>
      </c>
      <c r="AW229" s="59" t="s">
        <v>171</v>
      </c>
      <c r="AX229" s="3"/>
      <c r="AY229" s="3"/>
      <c r="AZ229" s="3"/>
      <c r="BA229" s="3"/>
      <c r="BB229" s="3">
        <v>0</v>
      </c>
      <c r="BC229" s="3"/>
      <c r="BD229" s="3"/>
      <c r="BE229" s="3"/>
      <c r="BF229" s="3"/>
      <c r="BG229" s="59"/>
      <c r="BH229" s="59"/>
      <c r="BI229" s="45"/>
      <c r="BJ229" s="45"/>
      <c r="BK229" s="3" t="s">
        <v>109</v>
      </c>
      <c r="BL229" s="3" t="s">
        <v>114</v>
      </c>
      <c r="BM229" s="3"/>
      <c r="BN229" s="3"/>
      <c r="BO229" s="3"/>
      <c r="BP229" s="3"/>
      <c r="BQ229" s="3"/>
      <c r="BR229" s="3"/>
      <c r="BS229" s="3"/>
      <c r="BT229" s="3"/>
      <c r="BU229" s="3"/>
      <c r="BV229" s="3"/>
      <c r="BW229" s="3" t="s">
        <v>184</v>
      </c>
      <c r="BX229" s="3"/>
      <c r="BY229" s="3"/>
      <c r="BZ229" s="3"/>
      <c r="CA229" s="3"/>
      <c r="CB229" s="112" t="s">
        <v>118</v>
      </c>
      <c r="CC229" s="112" t="s">
        <v>109</v>
      </c>
      <c r="CD229" s="3"/>
      <c r="CE229" s="3"/>
      <c r="CF229" s="112"/>
      <c r="CG229" s="112"/>
      <c r="CH229" s="133"/>
      <c r="CI229" s="112" t="str">
        <f t="shared" si="32"/>
        <v>Jun'24</v>
      </c>
      <c r="CJ229" s="112" t="s">
        <v>132</v>
      </c>
      <c r="CK229" s="112"/>
      <c r="CL229" s="192"/>
    </row>
    <row r="230" spans="1:90" s="4" customFormat="1" ht="94.5" customHeight="1" x14ac:dyDescent="0.25">
      <c r="A230" s="109">
        <v>171</v>
      </c>
      <c r="B230" s="126" t="s">
        <v>1179</v>
      </c>
      <c r="C230" s="109" t="s">
        <v>1180</v>
      </c>
      <c r="D230" s="109" t="s">
        <v>884</v>
      </c>
      <c r="E230" s="109">
        <v>1659</v>
      </c>
      <c r="F230" s="109">
        <v>7038689909</v>
      </c>
      <c r="G230" s="109" t="s">
        <v>142</v>
      </c>
      <c r="H230" s="109" t="s">
        <v>122</v>
      </c>
      <c r="I230" s="109" t="s">
        <v>143</v>
      </c>
      <c r="J230" s="109" t="s">
        <v>144</v>
      </c>
      <c r="K230" s="109" t="s">
        <v>1181</v>
      </c>
      <c r="L230" s="109" t="s">
        <v>105</v>
      </c>
      <c r="M230" s="236">
        <v>45458</v>
      </c>
      <c r="N230" s="237">
        <f t="shared" ca="1" si="29"/>
        <v>719</v>
      </c>
      <c r="O230" s="237" t="str">
        <f t="shared" ca="1" si="30"/>
        <v>1-2Y</v>
      </c>
      <c r="P230" s="198" t="s">
        <v>158</v>
      </c>
      <c r="Q230" s="109" t="s">
        <v>192</v>
      </c>
      <c r="R230" s="109" t="s">
        <v>108</v>
      </c>
      <c r="S230" s="129">
        <v>62</v>
      </c>
      <c r="T230" s="129">
        <v>110</v>
      </c>
      <c r="U230" s="129">
        <f t="shared" si="31"/>
        <v>172</v>
      </c>
      <c r="V230" s="109"/>
      <c r="W230" s="109" t="s">
        <v>171</v>
      </c>
      <c r="X230" s="109" t="s">
        <v>394</v>
      </c>
      <c r="Y230" s="238"/>
      <c r="Z230" s="109"/>
      <c r="AA230" s="109"/>
      <c r="AB230" s="109"/>
      <c r="AC230" s="109"/>
      <c r="AD230" s="249">
        <f t="shared" si="34"/>
        <v>46905</v>
      </c>
      <c r="AE230" s="249">
        <f t="shared" si="33"/>
        <v>46997</v>
      </c>
      <c r="AF230" s="109" t="s">
        <v>394</v>
      </c>
      <c r="AG230" s="109" t="s">
        <v>581</v>
      </c>
      <c r="AH230" s="109"/>
      <c r="AI230" s="109" t="s">
        <v>115</v>
      </c>
      <c r="AJ230" s="109" t="s">
        <v>115</v>
      </c>
      <c r="AK230" s="109" t="s">
        <v>181</v>
      </c>
      <c r="AL230" s="239">
        <v>46905</v>
      </c>
      <c r="AM230" s="109" t="s">
        <v>109</v>
      </c>
      <c r="AN230" s="109" t="s">
        <v>109</v>
      </c>
      <c r="AO230" s="109"/>
      <c r="AP230" s="109"/>
      <c r="AQ230" s="109"/>
      <c r="AR230" s="109" t="s">
        <v>1182</v>
      </c>
      <c r="AS230" s="249">
        <v>46997</v>
      </c>
      <c r="AT230" s="109" t="s">
        <v>109</v>
      </c>
      <c r="AU230" s="109" t="s">
        <v>419</v>
      </c>
      <c r="AV230" s="109" t="s">
        <v>991</v>
      </c>
      <c r="AW230" s="109"/>
      <c r="AX230" s="109"/>
      <c r="AY230" s="109"/>
      <c r="AZ230" s="109"/>
      <c r="BA230" s="109"/>
      <c r="BB230" s="109"/>
      <c r="BC230" s="109"/>
      <c r="BD230" s="109" t="s">
        <v>111</v>
      </c>
      <c r="BE230" s="109"/>
      <c r="BF230" s="109"/>
      <c r="BG230" s="109"/>
      <c r="BH230" s="109"/>
      <c r="BI230" s="239"/>
      <c r="BJ230" s="239"/>
      <c r="BK230" s="3" t="s">
        <v>260</v>
      </c>
      <c r="BL230" s="3" t="s">
        <v>261</v>
      </c>
      <c r="BM230" s="109" t="s">
        <v>111</v>
      </c>
      <c r="BN230" s="109" t="s">
        <v>111</v>
      </c>
      <c r="BO230" s="109" t="s">
        <v>115</v>
      </c>
      <c r="BP230" s="109"/>
      <c r="BQ230" s="109"/>
      <c r="BR230" s="109"/>
      <c r="BS230" s="109"/>
      <c r="BT230" s="109"/>
      <c r="BU230" s="109"/>
      <c r="BV230" s="109"/>
      <c r="BW230" s="109" t="s">
        <v>184</v>
      </c>
      <c r="BX230" s="109"/>
      <c r="BY230" s="109"/>
      <c r="BZ230" s="109"/>
      <c r="CA230" s="109"/>
      <c r="CB230" s="112" t="s">
        <v>118</v>
      </c>
      <c r="CC230" s="112" t="s">
        <v>109</v>
      </c>
      <c r="CD230" s="3"/>
      <c r="CE230" s="3"/>
      <c r="CF230" s="112"/>
      <c r="CG230" s="112"/>
      <c r="CH230" s="133"/>
      <c r="CI230" s="112" t="str">
        <f t="shared" si="32"/>
        <v>Jun'24</v>
      </c>
      <c r="CJ230" s="112" t="s">
        <v>192</v>
      </c>
      <c r="CK230" s="112"/>
      <c r="CL230" s="192"/>
    </row>
    <row r="231" spans="1:90" s="4" customFormat="1" ht="94.5" customHeight="1" x14ac:dyDescent="0.25">
      <c r="A231" s="3">
        <v>180</v>
      </c>
      <c r="B231" s="126" t="s">
        <v>1183</v>
      </c>
      <c r="C231" s="109" t="s">
        <v>1184</v>
      </c>
      <c r="D231" s="3" t="s">
        <v>121</v>
      </c>
      <c r="E231" s="59">
        <v>1656</v>
      </c>
      <c r="F231" s="3">
        <v>8239301003</v>
      </c>
      <c r="G231" s="3" t="s">
        <v>142</v>
      </c>
      <c r="H231" s="3" t="s">
        <v>101</v>
      </c>
      <c r="I231" s="3" t="s">
        <v>143</v>
      </c>
      <c r="J231" s="3" t="s">
        <v>162</v>
      </c>
      <c r="K231" s="3" t="s">
        <v>1185</v>
      </c>
      <c r="L231" s="3" t="s">
        <v>105</v>
      </c>
      <c r="M231" s="56">
        <v>45460</v>
      </c>
      <c r="N231" s="69">
        <f t="shared" ca="1" si="29"/>
        <v>717</v>
      </c>
      <c r="O231" s="72" t="str">
        <f t="shared" ca="1" si="30"/>
        <v>1-2Y</v>
      </c>
      <c r="P231" s="198" t="s">
        <v>106</v>
      </c>
      <c r="Q231" s="3" t="s">
        <v>107</v>
      </c>
      <c r="R231" s="3" t="s">
        <v>108</v>
      </c>
      <c r="S231" s="129">
        <v>35</v>
      </c>
      <c r="T231" s="129">
        <v>150</v>
      </c>
      <c r="U231" s="129">
        <f t="shared" si="31"/>
        <v>185</v>
      </c>
      <c r="V231" s="3"/>
      <c r="W231" s="3" t="s">
        <v>171</v>
      </c>
      <c r="X231" s="3" t="s">
        <v>394</v>
      </c>
      <c r="Y231" s="60"/>
      <c r="Z231" s="3" t="s">
        <v>274</v>
      </c>
      <c r="AA231" s="3"/>
      <c r="AB231" s="3"/>
      <c r="AC231" s="3"/>
      <c r="AD231" s="249">
        <f t="shared" si="34"/>
        <v>46905</v>
      </c>
      <c r="AE231" s="249">
        <f t="shared" si="33"/>
        <v>46997</v>
      </c>
      <c r="AF231" s="3" t="s">
        <v>394</v>
      </c>
      <c r="AG231" s="3" t="s">
        <v>581</v>
      </c>
      <c r="AH231" s="3"/>
      <c r="AI231" s="3"/>
      <c r="AJ231" s="3"/>
      <c r="AK231" s="3" t="s">
        <v>181</v>
      </c>
      <c r="AL231" s="45">
        <v>46905</v>
      </c>
      <c r="AM231" s="3"/>
      <c r="AN231" s="3"/>
      <c r="AO231" s="3"/>
      <c r="AP231" s="3"/>
      <c r="AQ231" s="3"/>
      <c r="AR231" s="109" t="s">
        <v>599</v>
      </c>
      <c r="AS231" s="249">
        <v>46997</v>
      </c>
      <c r="AT231" s="3" t="s">
        <v>171</v>
      </c>
      <c r="AU231" s="3" t="s">
        <v>298</v>
      </c>
      <c r="AV231" s="3" t="s">
        <v>662</v>
      </c>
      <c r="AW231" s="3" t="s">
        <v>171</v>
      </c>
      <c r="AX231" s="3" t="s">
        <v>171</v>
      </c>
      <c r="AY231" s="3" t="s">
        <v>261</v>
      </c>
      <c r="AZ231" s="3" t="s">
        <v>261</v>
      </c>
      <c r="BA231" s="3" t="s">
        <v>261</v>
      </c>
      <c r="BB231" s="3" t="s">
        <v>261</v>
      </c>
      <c r="BC231" s="3" t="s">
        <v>261</v>
      </c>
      <c r="BD231" s="3" t="s">
        <v>261</v>
      </c>
      <c r="BE231" s="3" t="s">
        <v>111</v>
      </c>
      <c r="BF231" s="3" t="s">
        <v>111</v>
      </c>
      <c r="BG231" s="59" t="s">
        <v>332</v>
      </c>
      <c r="BH231" s="59" t="s">
        <v>171</v>
      </c>
      <c r="BI231" s="45">
        <v>46905</v>
      </c>
      <c r="BJ231" s="45">
        <v>46935</v>
      </c>
      <c r="BK231" s="3" t="s">
        <v>109</v>
      </c>
      <c r="BL231" s="3" t="s">
        <v>114</v>
      </c>
      <c r="BM231" s="3"/>
      <c r="BN231" s="3"/>
      <c r="BO231" s="3"/>
      <c r="BP231" s="3"/>
      <c r="BQ231" s="3"/>
      <c r="BR231" s="3"/>
      <c r="BS231" s="3"/>
      <c r="BT231" s="3"/>
      <c r="BU231" s="3"/>
      <c r="BV231" s="3"/>
      <c r="BW231" s="3" t="s">
        <v>184</v>
      </c>
      <c r="BX231" s="3"/>
      <c r="BY231" s="3"/>
      <c r="BZ231" s="3"/>
      <c r="CA231" s="3"/>
      <c r="CB231" s="112" t="s">
        <v>118</v>
      </c>
      <c r="CC231" s="112" t="s">
        <v>109</v>
      </c>
      <c r="CD231" s="3"/>
      <c r="CE231" s="3"/>
      <c r="CF231" s="112"/>
      <c r="CG231" s="112"/>
      <c r="CH231" s="133"/>
      <c r="CI231" s="112" t="str">
        <f t="shared" si="32"/>
        <v>Jun'24</v>
      </c>
      <c r="CJ231" s="112" t="s">
        <v>107</v>
      </c>
      <c r="CK231" s="112"/>
      <c r="CL231" s="192"/>
    </row>
    <row r="232" spans="1:90" s="4" customFormat="1" ht="66.75" customHeight="1" x14ac:dyDescent="0.25">
      <c r="A232" s="3">
        <v>175</v>
      </c>
      <c r="B232" s="126" t="s">
        <v>1186</v>
      </c>
      <c r="C232" s="109" t="s">
        <v>1187</v>
      </c>
      <c r="D232" s="3" t="s">
        <v>156</v>
      </c>
      <c r="E232" s="59">
        <v>1746</v>
      </c>
      <c r="F232" s="3">
        <v>9579167940</v>
      </c>
      <c r="G232" s="3" t="s">
        <v>142</v>
      </c>
      <c r="H232" s="3" t="s">
        <v>122</v>
      </c>
      <c r="I232" s="3" t="s">
        <v>143</v>
      </c>
      <c r="J232" s="3" t="s">
        <v>144</v>
      </c>
      <c r="K232" s="3" t="s">
        <v>1188</v>
      </c>
      <c r="L232" s="3" t="s">
        <v>105</v>
      </c>
      <c r="M232" s="56">
        <v>45460</v>
      </c>
      <c r="N232" s="69">
        <f t="shared" ca="1" si="29"/>
        <v>717</v>
      </c>
      <c r="O232" s="72" t="str">
        <f t="shared" ca="1" si="30"/>
        <v>1-2Y</v>
      </c>
      <c r="P232" s="198" t="s">
        <v>158</v>
      </c>
      <c r="Q232" s="3" t="s">
        <v>125</v>
      </c>
      <c r="R232" s="3" t="s">
        <v>108</v>
      </c>
      <c r="S232" s="129">
        <v>50</v>
      </c>
      <c r="T232" s="129">
        <v>100</v>
      </c>
      <c r="U232" s="129">
        <f t="shared" si="31"/>
        <v>150</v>
      </c>
      <c r="V232" s="3"/>
      <c r="W232" s="3" t="s">
        <v>171</v>
      </c>
      <c r="X232" s="3" t="s">
        <v>394</v>
      </c>
      <c r="Y232" s="60">
        <f>+IF(AO232="Approved","Yes",AS232)</f>
        <v>46997</v>
      </c>
      <c r="Z232" s="3"/>
      <c r="AA232" s="3"/>
      <c r="AB232" s="3"/>
      <c r="AC232" s="3"/>
      <c r="AD232" s="249">
        <f t="shared" si="34"/>
        <v>46905</v>
      </c>
      <c r="AE232" s="249">
        <f t="shared" si="33"/>
        <v>46997</v>
      </c>
      <c r="AF232" s="3" t="s">
        <v>394</v>
      </c>
      <c r="AG232" s="3"/>
      <c r="AH232" s="3"/>
      <c r="AI232" s="3" t="s">
        <v>115</v>
      </c>
      <c r="AJ232" s="3" t="s">
        <v>115</v>
      </c>
      <c r="AK232" s="3" t="s">
        <v>181</v>
      </c>
      <c r="AL232" s="45">
        <v>46905</v>
      </c>
      <c r="AM232" s="3" t="s">
        <v>109</v>
      </c>
      <c r="AN232" s="3" t="s">
        <v>109</v>
      </c>
      <c r="AO232" s="3"/>
      <c r="AP232" s="3"/>
      <c r="AQ232" s="3"/>
      <c r="AR232" s="109" t="s">
        <v>352</v>
      </c>
      <c r="AS232" s="249">
        <v>46997</v>
      </c>
      <c r="AT232" s="3" t="s">
        <v>109</v>
      </c>
      <c r="AU232" s="3" t="s">
        <v>171</v>
      </c>
      <c r="AV232" s="3" t="s">
        <v>1189</v>
      </c>
      <c r="AW232" s="3" t="s">
        <v>109</v>
      </c>
      <c r="AX232" s="3" t="s">
        <v>111</v>
      </c>
      <c r="AY232" s="3" t="s">
        <v>111</v>
      </c>
      <c r="AZ232" s="3" t="s">
        <v>111</v>
      </c>
      <c r="BA232" s="3" t="s">
        <v>111</v>
      </c>
      <c r="BB232" s="3" t="s">
        <v>111</v>
      </c>
      <c r="BC232" s="3" t="s">
        <v>111</v>
      </c>
      <c r="BD232" s="3" t="s">
        <v>111</v>
      </c>
      <c r="BE232" s="3" t="s">
        <v>111</v>
      </c>
      <c r="BF232" s="3" t="s">
        <v>111</v>
      </c>
      <c r="BG232" s="3" t="s">
        <v>111</v>
      </c>
      <c r="BH232" s="3" t="s">
        <v>111</v>
      </c>
      <c r="BI232" s="3" t="s">
        <v>111</v>
      </c>
      <c r="BJ232" s="3" t="s">
        <v>111</v>
      </c>
      <c r="BK232" s="3" t="s">
        <v>109</v>
      </c>
      <c r="BL232" s="3"/>
      <c r="BM232" s="3" t="s">
        <v>111</v>
      </c>
      <c r="BN232" s="3" t="s">
        <v>111</v>
      </c>
      <c r="BO232" s="3" t="s">
        <v>115</v>
      </c>
      <c r="BP232" s="3"/>
      <c r="BQ232" s="3"/>
      <c r="BR232" s="3"/>
      <c r="BS232" s="3"/>
      <c r="BT232" s="3"/>
      <c r="BU232" s="3"/>
      <c r="BV232" s="3"/>
      <c r="BW232" s="3" t="s">
        <v>184</v>
      </c>
      <c r="BX232" s="3"/>
      <c r="BY232" s="3"/>
      <c r="BZ232" s="3"/>
      <c r="CA232" s="3"/>
      <c r="CB232" s="112" t="s">
        <v>118</v>
      </c>
      <c r="CC232" s="112" t="s">
        <v>109</v>
      </c>
      <c r="CD232" s="3"/>
      <c r="CE232" s="3"/>
      <c r="CF232" s="112"/>
      <c r="CG232" s="112"/>
      <c r="CH232" s="133"/>
      <c r="CI232" s="112" t="str">
        <f t="shared" si="32"/>
        <v>Jun'24</v>
      </c>
      <c r="CJ232" s="112" t="s">
        <v>132</v>
      </c>
      <c r="CK232" s="112"/>
      <c r="CL232" s="192"/>
    </row>
    <row r="233" spans="1:90" s="4" customFormat="1" ht="94.5" customHeight="1" x14ac:dyDescent="0.25">
      <c r="A233" s="3">
        <v>179</v>
      </c>
      <c r="B233" s="126" t="s">
        <v>1190</v>
      </c>
      <c r="C233" s="109" t="s">
        <v>1191</v>
      </c>
      <c r="D233" s="3" t="s">
        <v>99</v>
      </c>
      <c r="E233" s="59">
        <v>1760</v>
      </c>
      <c r="F233" s="3">
        <v>9922414791</v>
      </c>
      <c r="G233" s="3" t="s">
        <v>169</v>
      </c>
      <c r="H233" s="3" t="s">
        <v>122</v>
      </c>
      <c r="I233" s="3" t="s">
        <v>143</v>
      </c>
      <c r="J233" s="3" t="s">
        <v>144</v>
      </c>
      <c r="K233" s="3" t="s">
        <v>1192</v>
      </c>
      <c r="L233" s="3" t="s">
        <v>105</v>
      </c>
      <c r="M233" s="56">
        <v>45460</v>
      </c>
      <c r="N233" s="69">
        <f t="shared" ca="1" si="29"/>
        <v>717</v>
      </c>
      <c r="O233" s="72" t="str">
        <f t="shared" ca="1" si="30"/>
        <v>1-2Y</v>
      </c>
      <c r="P233" s="198" t="s">
        <v>106</v>
      </c>
      <c r="Q233" s="3" t="s">
        <v>125</v>
      </c>
      <c r="R233" s="3" t="s">
        <v>108</v>
      </c>
      <c r="S233" s="129">
        <v>35</v>
      </c>
      <c r="T233" s="129">
        <v>90</v>
      </c>
      <c r="U233" s="129">
        <f t="shared" si="31"/>
        <v>125</v>
      </c>
      <c r="V233" s="3"/>
      <c r="W233" s="3" t="s">
        <v>171</v>
      </c>
      <c r="X233" s="3" t="s">
        <v>394</v>
      </c>
      <c r="Y233" s="60">
        <f>+IF(AO233="Approved","Yes",AS233)</f>
        <v>46997</v>
      </c>
      <c r="Z233" s="3"/>
      <c r="AA233" s="3"/>
      <c r="AB233" s="3"/>
      <c r="AC233" s="3"/>
      <c r="AD233" s="249">
        <f t="shared" si="34"/>
        <v>46905</v>
      </c>
      <c r="AE233" s="249">
        <f t="shared" si="33"/>
        <v>46997</v>
      </c>
      <c r="AF233" s="3" t="s">
        <v>394</v>
      </c>
      <c r="AG233" s="3" t="s">
        <v>919</v>
      </c>
      <c r="AH233" s="3"/>
      <c r="AI233" s="3" t="s">
        <v>115</v>
      </c>
      <c r="AJ233" s="3" t="s">
        <v>115</v>
      </c>
      <c r="AK233" s="3" t="s">
        <v>181</v>
      </c>
      <c r="AL233" s="249">
        <v>46905</v>
      </c>
      <c r="AM233" s="3" t="s">
        <v>109</v>
      </c>
      <c r="AN233" s="3" t="s">
        <v>109</v>
      </c>
      <c r="AO233" s="3"/>
      <c r="AP233" s="3"/>
      <c r="AQ233" s="3"/>
      <c r="AR233" s="109" t="s">
        <v>1193</v>
      </c>
      <c r="AS233" s="249">
        <v>46997</v>
      </c>
      <c r="AT233" s="3" t="s">
        <v>109</v>
      </c>
      <c r="AU233" s="3" t="s">
        <v>197</v>
      </c>
      <c r="AV233" s="109" t="s">
        <v>1194</v>
      </c>
      <c r="AW233" s="3" t="s">
        <v>171</v>
      </c>
      <c r="AX233" s="3" t="s">
        <v>109</v>
      </c>
      <c r="AY233" s="3" t="s">
        <v>173</v>
      </c>
      <c r="AZ233" s="3" t="s">
        <v>173</v>
      </c>
      <c r="BA233" s="3" t="s">
        <v>109</v>
      </c>
      <c r="BB233" s="3" t="s">
        <v>285</v>
      </c>
      <c r="BC233" s="3" t="s">
        <v>173</v>
      </c>
      <c r="BD233" s="3" t="s">
        <v>173</v>
      </c>
      <c r="BE233" s="3" t="s">
        <v>111</v>
      </c>
      <c r="BF233" s="3" t="s">
        <v>111</v>
      </c>
      <c r="BG233" s="59" t="s">
        <v>114</v>
      </c>
      <c r="BH233" s="59" t="s">
        <v>109</v>
      </c>
      <c r="BI233" s="45" t="s">
        <v>111</v>
      </c>
      <c r="BJ233" s="45" t="s">
        <v>111</v>
      </c>
      <c r="BK233" s="3" t="s">
        <v>109</v>
      </c>
      <c r="BL233" s="3" t="s">
        <v>114</v>
      </c>
      <c r="BM233" s="3" t="s">
        <v>111</v>
      </c>
      <c r="BN233" s="3" t="s">
        <v>111</v>
      </c>
      <c r="BO233" s="3" t="s">
        <v>115</v>
      </c>
      <c r="BP233" s="3"/>
      <c r="BQ233" s="3"/>
      <c r="BR233" s="3"/>
      <c r="BS233" s="3"/>
      <c r="BT233" s="3"/>
      <c r="BU233" s="3"/>
      <c r="BV233" s="3"/>
      <c r="BW233" s="3" t="s">
        <v>184</v>
      </c>
      <c r="BX233" s="3"/>
      <c r="BY233" s="3"/>
      <c r="BZ233" s="3"/>
      <c r="CA233" s="3"/>
      <c r="CB233" s="112" t="s">
        <v>118</v>
      </c>
      <c r="CC233" s="112" t="s">
        <v>109</v>
      </c>
      <c r="CD233" s="3"/>
      <c r="CE233" s="3"/>
      <c r="CF233" s="112"/>
      <c r="CG233" s="112"/>
      <c r="CH233" s="133"/>
      <c r="CI233" s="112" t="str">
        <f t="shared" si="32"/>
        <v>Jun'24</v>
      </c>
      <c r="CJ233" s="112" t="s">
        <v>132</v>
      </c>
      <c r="CK233" s="112"/>
      <c r="CL233" s="192"/>
    </row>
    <row r="234" spans="1:90" s="4" customFormat="1" ht="71.099999999999994" customHeight="1" x14ac:dyDescent="0.25">
      <c r="A234" s="3">
        <v>181</v>
      </c>
      <c r="B234" s="126" t="s">
        <v>1195</v>
      </c>
      <c r="C234" s="109" t="s">
        <v>1196</v>
      </c>
      <c r="D234" s="3" t="s">
        <v>383</v>
      </c>
      <c r="E234" s="59">
        <v>1630</v>
      </c>
      <c r="F234" s="3">
        <v>7607760712</v>
      </c>
      <c r="G234" s="3" t="s">
        <v>101</v>
      </c>
      <c r="H234" s="3" t="s">
        <v>101</v>
      </c>
      <c r="I234" s="3" t="s">
        <v>143</v>
      </c>
      <c r="J234" s="3" t="s">
        <v>162</v>
      </c>
      <c r="K234" s="3" t="s">
        <v>1197</v>
      </c>
      <c r="L234" s="3" t="s">
        <v>105</v>
      </c>
      <c r="M234" s="56">
        <v>45460</v>
      </c>
      <c r="N234" s="69">
        <f t="shared" ca="1" si="29"/>
        <v>717</v>
      </c>
      <c r="O234" s="72" t="str">
        <f t="shared" ca="1" si="30"/>
        <v>1-2Y</v>
      </c>
      <c r="P234" s="198" t="s">
        <v>106</v>
      </c>
      <c r="Q234" s="3" t="s">
        <v>107</v>
      </c>
      <c r="R234" s="3" t="s">
        <v>108</v>
      </c>
      <c r="S234" s="129">
        <v>160</v>
      </c>
      <c r="T234" s="129">
        <v>100</v>
      </c>
      <c r="U234" s="129">
        <f t="shared" si="31"/>
        <v>260</v>
      </c>
      <c r="V234" s="3"/>
      <c r="W234" s="3" t="s">
        <v>171</v>
      </c>
      <c r="X234" s="3" t="s">
        <v>394</v>
      </c>
      <c r="Y234" s="60"/>
      <c r="Z234" s="3" t="s">
        <v>274</v>
      </c>
      <c r="AA234" s="3"/>
      <c r="AB234" s="3"/>
      <c r="AC234" s="3"/>
      <c r="AD234" s="249">
        <f t="shared" si="34"/>
        <v>46905</v>
      </c>
      <c r="AE234" s="249">
        <f t="shared" si="33"/>
        <v>46997</v>
      </c>
      <c r="AF234" s="3" t="s">
        <v>394</v>
      </c>
      <c r="AG234" s="3" t="s">
        <v>581</v>
      </c>
      <c r="AH234" s="3"/>
      <c r="AI234" s="3"/>
      <c r="AJ234" s="3"/>
      <c r="AK234" s="3" t="s">
        <v>419</v>
      </c>
      <c r="AL234" s="45">
        <v>46905</v>
      </c>
      <c r="AM234" s="3"/>
      <c r="AN234" s="3"/>
      <c r="AO234" s="3"/>
      <c r="AP234" s="3"/>
      <c r="AQ234" s="3"/>
      <c r="AR234" s="109" t="s">
        <v>1076</v>
      </c>
      <c r="AS234" s="249">
        <v>46997</v>
      </c>
      <c r="AT234" s="3" t="s">
        <v>146</v>
      </c>
      <c r="AU234" s="3" t="s">
        <v>419</v>
      </c>
      <c r="AV234" s="109" t="s">
        <v>1198</v>
      </c>
      <c r="AW234" s="3" t="s">
        <v>171</v>
      </c>
      <c r="AX234" s="3" t="s">
        <v>111</v>
      </c>
      <c r="AY234" s="3" t="s">
        <v>111</v>
      </c>
      <c r="AZ234" s="3" t="s">
        <v>111</v>
      </c>
      <c r="BA234" s="3" t="s">
        <v>111</v>
      </c>
      <c r="BB234" s="3" t="s">
        <v>111</v>
      </c>
      <c r="BC234" s="3" t="s">
        <v>111</v>
      </c>
      <c r="BD234" s="3" t="s">
        <v>111</v>
      </c>
      <c r="BE234" s="3" t="s">
        <v>111</v>
      </c>
      <c r="BF234" s="3" t="s">
        <v>111</v>
      </c>
      <c r="BG234" s="3" t="s">
        <v>111</v>
      </c>
      <c r="BH234" s="3" t="s">
        <v>111</v>
      </c>
      <c r="BI234" s="3" t="s">
        <v>111</v>
      </c>
      <c r="BJ234" s="3" t="s">
        <v>111</v>
      </c>
      <c r="BK234" s="3" t="s">
        <v>109</v>
      </c>
      <c r="BL234" s="3" t="s">
        <v>114</v>
      </c>
      <c r="BM234" s="3"/>
      <c r="BN234" s="3"/>
      <c r="BO234" s="3"/>
      <c r="BP234" s="3"/>
      <c r="BQ234" s="3"/>
      <c r="BR234" s="3"/>
      <c r="BS234" s="3"/>
      <c r="BT234" s="3"/>
      <c r="BU234" s="3"/>
      <c r="BV234" s="3"/>
      <c r="BW234" s="3" t="s">
        <v>184</v>
      </c>
      <c r="BX234" s="3"/>
      <c r="BY234" s="3"/>
      <c r="BZ234" s="3"/>
      <c r="CA234" s="3"/>
      <c r="CB234" s="112" t="s">
        <v>118</v>
      </c>
      <c r="CC234" s="112" t="s">
        <v>109</v>
      </c>
      <c r="CD234" s="3"/>
      <c r="CE234" s="3"/>
      <c r="CF234" s="112"/>
      <c r="CG234" s="112"/>
      <c r="CH234" s="133"/>
      <c r="CI234" s="112" t="str">
        <f t="shared" si="32"/>
        <v>Jun'24</v>
      </c>
      <c r="CJ234" s="112" t="s">
        <v>107</v>
      </c>
      <c r="CK234" s="112"/>
      <c r="CL234" s="192"/>
    </row>
    <row r="235" spans="1:90" s="4" customFormat="1" ht="94.5" customHeight="1" x14ac:dyDescent="0.25">
      <c r="A235" s="3">
        <v>182</v>
      </c>
      <c r="B235" s="126" t="s">
        <v>1199</v>
      </c>
      <c r="C235" s="109" t="s">
        <v>1200</v>
      </c>
      <c r="D235" s="3" t="s">
        <v>156</v>
      </c>
      <c r="E235" s="59">
        <v>2094</v>
      </c>
      <c r="F235" s="3">
        <v>9561955578</v>
      </c>
      <c r="G235" s="3" t="s">
        <v>100</v>
      </c>
      <c r="H235" s="3" t="s">
        <v>101</v>
      </c>
      <c r="I235" s="3" t="s">
        <v>102</v>
      </c>
      <c r="J235" s="3" t="s">
        <v>103</v>
      </c>
      <c r="K235" s="3" t="s">
        <v>1201</v>
      </c>
      <c r="L235" s="3" t="s">
        <v>105</v>
      </c>
      <c r="M235" s="56">
        <v>45460</v>
      </c>
      <c r="N235" s="69">
        <f t="shared" ca="1" si="29"/>
        <v>717</v>
      </c>
      <c r="O235" s="72" t="str">
        <f t="shared" ca="1" si="30"/>
        <v>1-2Y</v>
      </c>
      <c r="P235" s="198" t="s">
        <v>158</v>
      </c>
      <c r="Q235" s="3" t="s">
        <v>180</v>
      </c>
      <c r="R235" s="3" t="s">
        <v>108</v>
      </c>
      <c r="S235" s="129">
        <v>20</v>
      </c>
      <c r="T235" s="129">
        <v>32</v>
      </c>
      <c r="U235" s="129">
        <f t="shared" si="31"/>
        <v>52</v>
      </c>
      <c r="V235" s="3"/>
      <c r="W235" s="3" t="s">
        <v>171</v>
      </c>
      <c r="X235" s="3" t="s">
        <v>394</v>
      </c>
      <c r="Y235" s="60"/>
      <c r="Z235" s="3" t="s">
        <v>274</v>
      </c>
      <c r="AA235" s="3"/>
      <c r="AB235" s="3"/>
      <c r="AC235" s="3"/>
      <c r="AD235" s="249">
        <f t="shared" si="34"/>
        <v>46905</v>
      </c>
      <c r="AE235" s="249">
        <f t="shared" si="33"/>
        <v>46997</v>
      </c>
      <c r="AF235" s="3" t="s">
        <v>394</v>
      </c>
      <c r="AG235" s="3" t="s">
        <v>581</v>
      </c>
      <c r="AH235" s="3"/>
      <c r="AI235" s="3"/>
      <c r="AJ235" s="3"/>
      <c r="AK235" s="3" t="s">
        <v>181</v>
      </c>
      <c r="AL235" s="45">
        <v>46905</v>
      </c>
      <c r="AM235" s="3"/>
      <c r="AN235" s="3"/>
      <c r="AO235" s="3"/>
      <c r="AP235" s="3"/>
      <c r="AQ235" s="3"/>
      <c r="AR235" s="109" t="s">
        <v>545</v>
      </c>
      <c r="AS235" s="249">
        <v>46997</v>
      </c>
      <c r="AT235" s="3" t="s">
        <v>109</v>
      </c>
      <c r="AU235" s="3" t="s">
        <v>171</v>
      </c>
      <c r="AV235" s="3" t="s">
        <v>1202</v>
      </c>
      <c r="AW235" s="3" t="s">
        <v>109</v>
      </c>
      <c r="AX235" s="3" t="s">
        <v>111</v>
      </c>
      <c r="AY235" s="3" t="s">
        <v>111</v>
      </c>
      <c r="AZ235" s="3" t="s">
        <v>111</v>
      </c>
      <c r="BA235" s="3" t="s">
        <v>111</v>
      </c>
      <c r="BB235" s="3" t="s">
        <v>111</v>
      </c>
      <c r="BC235" s="3" t="s">
        <v>111</v>
      </c>
      <c r="BD235" s="3" t="s">
        <v>111</v>
      </c>
      <c r="BE235" s="3" t="s">
        <v>111</v>
      </c>
      <c r="BF235" s="3" t="s">
        <v>111</v>
      </c>
      <c r="BG235" s="3" t="s">
        <v>111</v>
      </c>
      <c r="BH235" s="3" t="s">
        <v>111</v>
      </c>
      <c r="BI235" s="3" t="s">
        <v>111</v>
      </c>
      <c r="BJ235" s="3" t="s">
        <v>111</v>
      </c>
      <c r="BK235" s="3" t="s">
        <v>171</v>
      </c>
      <c r="BL235" s="3" t="s">
        <v>1203</v>
      </c>
      <c r="BM235" s="3"/>
      <c r="BN235" s="3"/>
      <c r="BO235" s="3"/>
      <c r="BP235" s="3"/>
      <c r="BQ235" s="3"/>
      <c r="BR235" s="3"/>
      <c r="BS235" s="3"/>
      <c r="BT235" s="3"/>
      <c r="BU235" s="3"/>
      <c r="BV235" s="3"/>
      <c r="BW235" s="3" t="s">
        <v>184</v>
      </c>
      <c r="BX235" s="3"/>
      <c r="BY235" s="3"/>
      <c r="BZ235" s="3"/>
      <c r="CA235" s="3"/>
      <c r="CB235" s="112" t="s">
        <v>118</v>
      </c>
      <c r="CC235" s="112" t="s">
        <v>109</v>
      </c>
      <c r="CD235" s="3"/>
      <c r="CE235" s="3"/>
      <c r="CF235" s="112"/>
      <c r="CG235" s="112"/>
      <c r="CH235" s="133"/>
      <c r="CI235" s="112" t="str">
        <f t="shared" si="32"/>
        <v>Jun'24</v>
      </c>
      <c r="CJ235" s="112" t="s">
        <v>186</v>
      </c>
      <c r="CK235" s="112"/>
      <c r="CL235" s="192"/>
    </row>
    <row r="236" spans="1:90" s="4" customFormat="1" ht="94.5" customHeight="1" x14ac:dyDescent="0.25">
      <c r="A236" s="3">
        <v>183</v>
      </c>
      <c r="B236" s="126" t="s">
        <v>1204</v>
      </c>
      <c r="C236" s="109" t="s">
        <v>1205</v>
      </c>
      <c r="D236" s="3" t="s">
        <v>156</v>
      </c>
      <c r="E236" s="59">
        <v>1703</v>
      </c>
      <c r="F236" s="3">
        <v>7218716824</v>
      </c>
      <c r="G236" s="3" t="s">
        <v>169</v>
      </c>
      <c r="H236" s="3" t="s">
        <v>122</v>
      </c>
      <c r="I236" s="3" t="s">
        <v>143</v>
      </c>
      <c r="J236" s="3" t="s">
        <v>144</v>
      </c>
      <c r="K236" s="3" t="s">
        <v>1206</v>
      </c>
      <c r="L236" s="3" t="s">
        <v>105</v>
      </c>
      <c r="M236" s="56">
        <v>45460</v>
      </c>
      <c r="N236" s="69">
        <f t="shared" ca="1" si="29"/>
        <v>717</v>
      </c>
      <c r="O236" s="72" t="str">
        <f t="shared" ca="1" si="30"/>
        <v>1-2Y</v>
      </c>
      <c r="P236" s="198" t="s">
        <v>158</v>
      </c>
      <c r="Q236" s="3" t="s">
        <v>192</v>
      </c>
      <c r="R236" s="3" t="s">
        <v>108</v>
      </c>
      <c r="S236" s="129">
        <v>30</v>
      </c>
      <c r="T236" s="129">
        <v>120</v>
      </c>
      <c r="U236" s="129">
        <f t="shared" si="31"/>
        <v>150</v>
      </c>
      <c r="V236" s="3"/>
      <c r="W236" s="3" t="s">
        <v>171</v>
      </c>
      <c r="X236" s="3" t="s">
        <v>394</v>
      </c>
      <c r="Y236" s="60"/>
      <c r="Z236" s="3"/>
      <c r="AA236" s="3"/>
      <c r="AB236" s="3"/>
      <c r="AC236" s="3"/>
      <c r="AD236" s="249">
        <f t="shared" si="34"/>
        <v>46905</v>
      </c>
      <c r="AE236" s="249">
        <f t="shared" si="33"/>
        <v>46997</v>
      </c>
      <c r="AF236" s="3" t="s">
        <v>394</v>
      </c>
      <c r="AG236" s="3" t="s">
        <v>581</v>
      </c>
      <c r="AH236" s="3"/>
      <c r="AI236" s="3" t="s">
        <v>115</v>
      </c>
      <c r="AJ236" s="3" t="s">
        <v>115</v>
      </c>
      <c r="AK236" s="3" t="s">
        <v>181</v>
      </c>
      <c r="AL236" s="45">
        <v>46905</v>
      </c>
      <c r="AM236" s="3" t="s">
        <v>109</v>
      </c>
      <c r="AN236" s="3" t="s">
        <v>109</v>
      </c>
      <c r="AO236" s="3"/>
      <c r="AP236" s="3"/>
      <c r="AQ236" s="3"/>
      <c r="AR236" s="109" t="s">
        <v>545</v>
      </c>
      <c r="AS236" s="249">
        <v>46997</v>
      </c>
      <c r="AT236" s="3" t="s">
        <v>109</v>
      </c>
      <c r="AU236" s="3" t="s">
        <v>171</v>
      </c>
      <c r="AV236" s="3" t="s">
        <v>1207</v>
      </c>
      <c r="AW236" s="3" t="s">
        <v>109</v>
      </c>
      <c r="AX236" s="3" t="s">
        <v>111</v>
      </c>
      <c r="AY236" s="3" t="s">
        <v>111</v>
      </c>
      <c r="AZ236" s="3" t="s">
        <v>111</v>
      </c>
      <c r="BA236" s="3" t="s">
        <v>111</v>
      </c>
      <c r="BB236" s="3" t="s">
        <v>111</v>
      </c>
      <c r="BC236" s="3" t="s">
        <v>111</v>
      </c>
      <c r="BD236" s="3" t="s">
        <v>111</v>
      </c>
      <c r="BE236" s="3" t="s">
        <v>111</v>
      </c>
      <c r="BF236" s="3" t="s">
        <v>111</v>
      </c>
      <c r="BG236" s="3" t="s">
        <v>111</v>
      </c>
      <c r="BH236" s="3" t="s">
        <v>111</v>
      </c>
      <c r="BI236" s="3" t="s">
        <v>111</v>
      </c>
      <c r="BJ236" s="3" t="s">
        <v>111</v>
      </c>
      <c r="BK236" s="3" t="s">
        <v>171</v>
      </c>
      <c r="BL236" s="3"/>
      <c r="BM236" s="3" t="s">
        <v>111</v>
      </c>
      <c r="BN236" s="3" t="s">
        <v>111</v>
      </c>
      <c r="BO236" s="3" t="s">
        <v>115</v>
      </c>
      <c r="BP236" s="3"/>
      <c r="BQ236" s="3"/>
      <c r="BR236" s="3"/>
      <c r="BS236" s="3"/>
      <c r="BT236" s="3"/>
      <c r="BU236" s="3"/>
      <c r="BV236" s="3"/>
      <c r="BW236" s="3" t="s">
        <v>184</v>
      </c>
      <c r="BX236" s="3"/>
      <c r="BY236" s="3"/>
      <c r="BZ236" s="3"/>
      <c r="CA236" s="3"/>
      <c r="CB236" s="112" t="s">
        <v>118</v>
      </c>
      <c r="CC236" s="112" t="s">
        <v>109</v>
      </c>
      <c r="CD236" s="3"/>
      <c r="CE236" s="3"/>
      <c r="CF236" s="112"/>
      <c r="CG236" s="112"/>
      <c r="CH236" s="133"/>
      <c r="CI236" s="112" t="str">
        <f t="shared" si="32"/>
        <v>Jun'24</v>
      </c>
      <c r="CJ236" s="112" t="s">
        <v>192</v>
      </c>
      <c r="CK236" s="112"/>
      <c r="CL236" s="192"/>
    </row>
    <row r="237" spans="1:90" s="4" customFormat="1" ht="72.75" customHeight="1" x14ac:dyDescent="0.25">
      <c r="A237" s="3">
        <v>184</v>
      </c>
      <c r="B237" s="126" t="s">
        <v>1208</v>
      </c>
      <c r="C237" s="109" t="s">
        <v>965</v>
      </c>
      <c r="D237" s="3" t="s">
        <v>99</v>
      </c>
      <c r="E237" s="59">
        <v>1740</v>
      </c>
      <c r="F237" s="3">
        <v>9921918171</v>
      </c>
      <c r="G237" s="3" t="s">
        <v>142</v>
      </c>
      <c r="H237" s="3" t="s">
        <v>122</v>
      </c>
      <c r="I237" s="3" t="s">
        <v>143</v>
      </c>
      <c r="J237" s="3" t="s">
        <v>144</v>
      </c>
      <c r="K237" s="3" t="s">
        <v>1209</v>
      </c>
      <c r="L237" s="3" t="s">
        <v>105</v>
      </c>
      <c r="M237" s="56">
        <v>45460</v>
      </c>
      <c r="N237" s="69">
        <f t="shared" ca="1" si="29"/>
        <v>717</v>
      </c>
      <c r="O237" s="72" t="str">
        <f t="shared" ca="1" si="30"/>
        <v>1-2Y</v>
      </c>
      <c r="P237" s="198" t="s">
        <v>106</v>
      </c>
      <c r="Q237" s="3" t="s">
        <v>192</v>
      </c>
      <c r="R237" s="3" t="s">
        <v>108</v>
      </c>
      <c r="S237" s="129">
        <v>60</v>
      </c>
      <c r="T237" s="129">
        <v>100</v>
      </c>
      <c r="U237" s="129">
        <f t="shared" si="31"/>
        <v>160</v>
      </c>
      <c r="V237" s="3"/>
      <c r="W237" s="3" t="s">
        <v>171</v>
      </c>
      <c r="X237" s="3" t="s">
        <v>394</v>
      </c>
      <c r="Y237" s="60"/>
      <c r="Z237" s="3"/>
      <c r="AA237" s="3"/>
      <c r="AB237" s="3"/>
      <c r="AC237" s="3"/>
      <c r="AD237" s="249">
        <f t="shared" si="34"/>
        <v>46905</v>
      </c>
      <c r="AE237" s="249">
        <f t="shared" si="33"/>
        <v>46997</v>
      </c>
      <c r="AF237" s="3" t="s">
        <v>394</v>
      </c>
      <c r="AG237" s="3" t="s">
        <v>581</v>
      </c>
      <c r="AH237" s="3"/>
      <c r="AI237" s="3" t="s">
        <v>115</v>
      </c>
      <c r="AJ237" s="3" t="s">
        <v>115</v>
      </c>
      <c r="AK237" s="3" t="s">
        <v>181</v>
      </c>
      <c r="AL237" s="45">
        <v>46905</v>
      </c>
      <c r="AM237" s="3" t="s">
        <v>109</v>
      </c>
      <c r="AN237" s="3" t="s">
        <v>109</v>
      </c>
      <c r="AO237" s="3"/>
      <c r="AP237" s="3"/>
      <c r="AQ237" s="3"/>
      <c r="AR237" s="109" t="s">
        <v>545</v>
      </c>
      <c r="AS237" s="249">
        <v>46997</v>
      </c>
      <c r="AT237" s="3" t="s">
        <v>109</v>
      </c>
      <c r="AU237" s="3" t="s">
        <v>171</v>
      </c>
      <c r="AV237" s="109" t="s">
        <v>1210</v>
      </c>
      <c r="AW237" s="3" t="s">
        <v>109</v>
      </c>
      <c r="AX237" s="3" t="s">
        <v>348</v>
      </c>
      <c r="AY237" s="3" t="s">
        <v>348</v>
      </c>
      <c r="AZ237" s="3" t="s">
        <v>348</v>
      </c>
      <c r="BA237" s="3" t="s">
        <v>348</v>
      </c>
      <c r="BB237" s="3" t="s">
        <v>348</v>
      </c>
      <c r="BC237" s="3" t="s">
        <v>348</v>
      </c>
      <c r="BD237" s="3" t="s">
        <v>348</v>
      </c>
      <c r="BE237" s="3" t="s">
        <v>111</v>
      </c>
      <c r="BF237" s="3" t="s">
        <v>111</v>
      </c>
      <c r="BG237" s="59" t="s">
        <v>533</v>
      </c>
      <c r="BH237" s="59" t="s">
        <v>90</v>
      </c>
      <c r="BI237" s="3" t="s">
        <v>111</v>
      </c>
      <c r="BJ237" s="3" t="s">
        <v>111</v>
      </c>
      <c r="BK237" s="3" t="s">
        <v>109</v>
      </c>
      <c r="BL237" s="3" t="s">
        <v>114</v>
      </c>
      <c r="BM237" s="3" t="s">
        <v>111</v>
      </c>
      <c r="BN237" s="3" t="s">
        <v>111</v>
      </c>
      <c r="BO237" s="3" t="s">
        <v>115</v>
      </c>
      <c r="BP237" s="3"/>
      <c r="BQ237" s="3"/>
      <c r="BR237" s="3"/>
      <c r="BS237" s="3"/>
      <c r="BT237" s="3"/>
      <c r="BU237" s="3"/>
      <c r="BV237" s="3"/>
      <c r="BW237" s="3" t="s">
        <v>184</v>
      </c>
      <c r="BX237" s="3"/>
      <c r="BY237" s="3"/>
      <c r="BZ237" s="3"/>
      <c r="CA237" s="3"/>
      <c r="CB237" s="112" t="s">
        <v>118</v>
      </c>
      <c r="CC237" s="112" t="s">
        <v>109</v>
      </c>
      <c r="CD237" s="3"/>
      <c r="CE237" s="3"/>
      <c r="CF237" s="112"/>
      <c r="CG237" s="112"/>
      <c r="CH237" s="133"/>
      <c r="CI237" s="112" t="str">
        <f t="shared" si="32"/>
        <v>Jun'24</v>
      </c>
      <c r="CJ237" s="112" t="s">
        <v>192</v>
      </c>
      <c r="CK237" s="112"/>
      <c r="CL237" s="192"/>
    </row>
    <row r="238" spans="1:90" s="4" customFormat="1" ht="94.5" customHeight="1" x14ac:dyDescent="0.25">
      <c r="A238" s="109">
        <v>187</v>
      </c>
      <c r="B238" s="126" t="s">
        <v>1211</v>
      </c>
      <c r="C238" s="109" t="s">
        <v>1212</v>
      </c>
      <c r="D238" s="109" t="s">
        <v>884</v>
      </c>
      <c r="E238" s="109">
        <v>1924</v>
      </c>
      <c r="F238" s="109">
        <v>8378837080</v>
      </c>
      <c r="G238" s="109" t="s">
        <v>169</v>
      </c>
      <c r="H238" s="109" t="s">
        <v>122</v>
      </c>
      <c r="I238" s="109" t="s">
        <v>143</v>
      </c>
      <c r="J238" s="109" t="s">
        <v>144</v>
      </c>
      <c r="K238" s="109" t="s">
        <v>1213</v>
      </c>
      <c r="L238" s="109" t="s">
        <v>105</v>
      </c>
      <c r="M238" s="236">
        <v>45461</v>
      </c>
      <c r="N238" s="237">
        <f t="shared" ca="1" si="29"/>
        <v>716</v>
      </c>
      <c r="O238" s="237" t="str">
        <f t="shared" ca="1" si="30"/>
        <v>1-2Y</v>
      </c>
      <c r="P238" s="198" t="s">
        <v>158</v>
      </c>
      <c r="Q238" s="109" t="s">
        <v>125</v>
      </c>
      <c r="R238" s="109" t="s">
        <v>108</v>
      </c>
      <c r="S238" s="129">
        <v>35</v>
      </c>
      <c r="T238" s="129">
        <v>90</v>
      </c>
      <c r="U238" s="129">
        <f t="shared" si="31"/>
        <v>125</v>
      </c>
      <c r="V238" s="109"/>
      <c r="W238" s="109" t="s">
        <v>171</v>
      </c>
      <c r="X238" s="109" t="s">
        <v>394</v>
      </c>
      <c r="Y238" s="238">
        <f>+IF(AO238="Approved","Yes",AS238)</f>
        <v>46997</v>
      </c>
      <c r="Z238" s="109"/>
      <c r="AA238" s="109"/>
      <c r="AB238" s="109"/>
      <c r="AC238" s="109"/>
      <c r="AD238" s="249">
        <f t="shared" si="34"/>
        <v>46905</v>
      </c>
      <c r="AE238" s="249">
        <f t="shared" si="33"/>
        <v>46997</v>
      </c>
      <c r="AF238" s="109" t="s">
        <v>394</v>
      </c>
      <c r="AG238" s="109" t="s">
        <v>1214</v>
      </c>
      <c r="AH238" s="109"/>
      <c r="AI238" s="109" t="s">
        <v>115</v>
      </c>
      <c r="AJ238" s="109" t="s">
        <v>115</v>
      </c>
      <c r="AK238" s="109" t="s">
        <v>181</v>
      </c>
      <c r="AL238" s="239">
        <v>46905</v>
      </c>
      <c r="AM238" s="109" t="s">
        <v>109</v>
      </c>
      <c r="AN238" s="109" t="s">
        <v>109</v>
      </c>
      <c r="AO238" s="109"/>
      <c r="AP238" s="109"/>
      <c r="AQ238" s="109"/>
      <c r="AR238" s="109" t="s">
        <v>1215</v>
      </c>
      <c r="AS238" s="249">
        <v>46997</v>
      </c>
      <c r="AT238" s="109" t="s">
        <v>109</v>
      </c>
      <c r="AU238" s="109" t="s">
        <v>419</v>
      </c>
      <c r="AV238" s="109" t="s">
        <v>1216</v>
      </c>
      <c r="AW238" s="109"/>
      <c r="AX238" s="109"/>
      <c r="AY238" s="109"/>
      <c r="AZ238" s="109" t="s">
        <v>109</v>
      </c>
      <c r="BA238" s="109"/>
      <c r="BB238" s="109">
        <v>45962</v>
      </c>
      <c r="BC238" s="109"/>
      <c r="BD238" s="109" t="s">
        <v>111</v>
      </c>
      <c r="BE238" s="109"/>
      <c r="BF238" s="109"/>
      <c r="BG238" s="109">
        <v>45962</v>
      </c>
      <c r="BH238" s="109"/>
      <c r="BI238" s="239"/>
      <c r="BJ238" s="239">
        <v>45962</v>
      </c>
      <c r="BK238" s="109" t="s">
        <v>109</v>
      </c>
      <c r="BL238" s="109"/>
      <c r="BM238" s="109" t="s">
        <v>111</v>
      </c>
      <c r="BN238" s="109" t="s">
        <v>111</v>
      </c>
      <c r="BO238" s="109" t="s">
        <v>115</v>
      </c>
      <c r="BP238" s="109"/>
      <c r="BQ238" s="109"/>
      <c r="BR238" s="109"/>
      <c r="BS238" s="109"/>
      <c r="BT238" s="109"/>
      <c r="BU238" s="109"/>
      <c r="BV238" s="109"/>
      <c r="BW238" s="109" t="s">
        <v>184</v>
      </c>
      <c r="BX238" s="109"/>
      <c r="BY238" s="109"/>
      <c r="BZ238" s="109"/>
      <c r="CA238" s="109"/>
      <c r="CB238" s="112" t="s">
        <v>118</v>
      </c>
      <c r="CC238" s="112" t="s">
        <v>109</v>
      </c>
      <c r="CD238" s="3"/>
      <c r="CE238" s="3"/>
      <c r="CF238" s="112"/>
      <c r="CG238" s="112"/>
      <c r="CH238" s="133"/>
      <c r="CI238" s="112" t="str">
        <f t="shared" si="32"/>
        <v>Jun'24</v>
      </c>
      <c r="CJ238" s="112" t="s">
        <v>132</v>
      </c>
      <c r="CK238" s="112"/>
      <c r="CL238" s="192"/>
    </row>
    <row r="239" spans="1:90" s="4" customFormat="1" ht="94.5" customHeight="1" x14ac:dyDescent="0.25">
      <c r="A239" s="3">
        <v>186</v>
      </c>
      <c r="B239" s="126" t="s">
        <v>1217</v>
      </c>
      <c r="C239" s="109" t="s">
        <v>1218</v>
      </c>
      <c r="D239" s="3" t="s">
        <v>383</v>
      </c>
      <c r="E239" s="59">
        <v>1921</v>
      </c>
      <c r="F239" s="3">
        <v>9822542525</v>
      </c>
      <c r="G239" s="3" t="s">
        <v>142</v>
      </c>
      <c r="H239" s="3" t="s">
        <v>122</v>
      </c>
      <c r="I239" s="3" t="s">
        <v>143</v>
      </c>
      <c r="J239" s="3" t="s">
        <v>144</v>
      </c>
      <c r="K239" s="3" t="s">
        <v>1219</v>
      </c>
      <c r="L239" s="3" t="s">
        <v>105</v>
      </c>
      <c r="M239" s="56">
        <v>45461</v>
      </c>
      <c r="N239" s="69">
        <f t="shared" ca="1" si="29"/>
        <v>716</v>
      </c>
      <c r="O239" s="72" t="str">
        <f t="shared" ca="1" si="30"/>
        <v>1-2Y</v>
      </c>
      <c r="P239" s="198" t="s">
        <v>106</v>
      </c>
      <c r="Q239" s="3" t="s">
        <v>125</v>
      </c>
      <c r="R239" s="3" t="s">
        <v>108</v>
      </c>
      <c r="S239" s="129">
        <v>50</v>
      </c>
      <c r="T239" s="129">
        <v>110</v>
      </c>
      <c r="U239" s="129">
        <f t="shared" si="31"/>
        <v>160</v>
      </c>
      <c r="V239" s="3"/>
      <c r="W239" s="3" t="s">
        <v>171</v>
      </c>
      <c r="X239" s="3" t="s">
        <v>394</v>
      </c>
      <c r="Y239" s="60">
        <f>+IF(AO239="Approved","Yes",AS239)</f>
        <v>46997</v>
      </c>
      <c r="Z239" s="3"/>
      <c r="AA239" s="3"/>
      <c r="AB239" s="3"/>
      <c r="AC239" s="3"/>
      <c r="AD239" s="249">
        <f t="shared" si="34"/>
        <v>46905</v>
      </c>
      <c r="AE239" s="249">
        <f t="shared" ref="AE239:AE269" si="35">+AS239</f>
        <v>46997</v>
      </c>
      <c r="AF239" s="3" t="s">
        <v>394</v>
      </c>
      <c r="AG239" s="3" t="s">
        <v>581</v>
      </c>
      <c r="AH239" s="3"/>
      <c r="AI239" s="3" t="s">
        <v>115</v>
      </c>
      <c r="AJ239" s="3" t="s">
        <v>115</v>
      </c>
      <c r="AK239" s="3" t="s">
        <v>419</v>
      </c>
      <c r="AL239" s="45">
        <v>46905</v>
      </c>
      <c r="AM239" s="3" t="s">
        <v>109</v>
      </c>
      <c r="AN239" s="3" t="s">
        <v>109</v>
      </c>
      <c r="AO239" s="3"/>
      <c r="AP239" s="3"/>
      <c r="AQ239" s="3"/>
      <c r="AR239" s="109" t="s">
        <v>599</v>
      </c>
      <c r="AS239" s="249">
        <v>46997</v>
      </c>
      <c r="AT239" s="3" t="s">
        <v>146</v>
      </c>
      <c r="AU239" s="3" t="s">
        <v>419</v>
      </c>
      <c r="AV239" s="109" t="s">
        <v>1220</v>
      </c>
      <c r="AW239" s="3" t="s">
        <v>171</v>
      </c>
      <c r="AX239" s="3" t="s">
        <v>111</v>
      </c>
      <c r="AY239" s="3" t="s">
        <v>111</v>
      </c>
      <c r="AZ239" s="3" t="s">
        <v>111</v>
      </c>
      <c r="BA239" s="3" t="s">
        <v>111</v>
      </c>
      <c r="BB239" s="3" t="s">
        <v>111</v>
      </c>
      <c r="BC239" s="3" t="s">
        <v>111</v>
      </c>
      <c r="BD239" s="3" t="s">
        <v>111</v>
      </c>
      <c r="BE239" s="3" t="s">
        <v>111</v>
      </c>
      <c r="BF239" s="3" t="s">
        <v>111</v>
      </c>
      <c r="BG239" s="3" t="s">
        <v>111</v>
      </c>
      <c r="BH239" s="3" t="s">
        <v>111</v>
      </c>
      <c r="BI239" s="3" t="s">
        <v>111</v>
      </c>
      <c r="BJ239" s="3" t="s">
        <v>111</v>
      </c>
      <c r="BK239" s="3" t="s">
        <v>109</v>
      </c>
      <c r="BL239" s="3" t="s">
        <v>114</v>
      </c>
      <c r="BM239" s="3" t="s">
        <v>111</v>
      </c>
      <c r="BN239" s="3" t="s">
        <v>111</v>
      </c>
      <c r="BO239" s="3" t="s">
        <v>115</v>
      </c>
      <c r="BP239" s="3"/>
      <c r="BQ239" s="3"/>
      <c r="BR239" s="3"/>
      <c r="BS239" s="3"/>
      <c r="BT239" s="3"/>
      <c r="BU239" s="3"/>
      <c r="BV239" s="3"/>
      <c r="BW239" s="3" t="s">
        <v>184</v>
      </c>
      <c r="BX239" s="3"/>
      <c r="BY239" s="3"/>
      <c r="BZ239" s="3"/>
      <c r="CA239" s="3"/>
      <c r="CB239" s="112" t="s">
        <v>118</v>
      </c>
      <c r="CC239" s="112" t="s">
        <v>109</v>
      </c>
      <c r="CD239" s="3"/>
      <c r="CE239" s="3"/>
      <c r="CF239" s="112"/>
      <c r="CG239" s="112"/>
      <c r="CH239" s="133"/>
      <c r="CI239" s="112" t="str">
        <f t="shared" si="32"/>
        <v>Jun'24</v>
      </c>
      <c r="CJ239" s="112" t="s">
        <v>132</v>
      </c>
      <c r="CK239" s="255"/>
      <c r="CL239" s="192"/>
    </row>
    <row r="240" spans="1:90" s="4" customFormat="1" ht="94.5" customHeight="1" x14ac:dyDescent="0.25">
      <c r="A240" s="3">
        <v>189</v>
      </c>
      <c r="B240" s="126" t="s">
        <v>1221</v>
      </c>
      <c r="C240" s="109" t="s">
        <v>1222</v>
      </c>
      <c r="D240" s="3" t="s">
        <v>135</v>
      </c>
      <c r="E240" s="59">
        <v>1603</v>
      </c>
      <c r="F240" s="3">
        <v>7507330220</v>
      </c>
      <c r="G240" s="3" t="s">
        <v>142</v>
      </c>
      <c r="H240" s="3" t="s">
        <v>101</v>
      </c>
      <c r="I240" s="3" t="s">
        <v>143</v>
      </c>
      <c r="J240" s="3" t="s">
        <v>162</v>
      </c>
      <c r="K240" s="3" t="s">
        <v>1223</v>
      </c>
      <c r="L240" s="3" t="s">
        <v>105</v>
      </c>
      <c r="M240" s="56">
        <v>45461</v>
      </c>
      <c r="N240" s="69">
        <f t="shared" ca="1" si="29"/>
        <v>716</v>
      </c>
      <c r="O240" s="72" t="str">
        <f t="shared" ca="1" si="30"/>
        <v>1-2Y</v>
      </c>
      <c r="P240" s="198" t="s">
        <v>137</v>
      </c>
      <c r="Q240" s="3" t="s">
        <v>107</v>
      </c>
      <c r="R240" s="3" t="s">
        <v>108</v>
      </c>
      <c r="S240" s="129">
        <v>30</v>
      </c>
      <c r="T240" s="129">
        <v>120</v>
      </c>
      <c r="U240" s="129">
        <f t="shared" si="31"/>
        <v>150</v>
      </c>
      <c r="V240" s="3"/>
      <c r="W240" s="3" t="s">
        <v>171</v>
      </c>
      <c r="X240" s="3" t="s">
        <v>394</v>
      </c>
      <c r="Y240" s="60"/>
      <c r="Z240" s="3" t="s">
        <v>274</v>
      </c>
      <c r="AA240" s="3"/>
      <c r="AB240" s="3"/>
      <c r="AC240" s="3"/>
      <c r="AD240" s="249">
        <f t="shared" si="34"/>
        <v>46905</v>
      </c>
      <c r="AE240" s="249">
        <f t="shared" si="35"/>
        <v>46997</v>
      </c>
      <c r="AF240" s="3" t="s">
        <v>394</v>
      </c>
      <c r="AG240" s="3" t="s">
        <v>581</v>
      </c>
      <c r="AH240" s="3"/>
      <c r="AI240" s="3"/>
      <c r="AJ240" s="3"/>
      <c r="AK240" s="3" t="s">
        <v>181</v>
      </c>
      <c r="AL240" s="45">
        <v>46905</v>
      </c>
      <c r="AM240" s="3"/>
      <c r="AN240" s="3"/>
      <c r="AO240" s="3"/>
      <c r="AP240" s="3"/>
      <c r="AQ240" s="3"/>
      <c r="AR240" s="109" t="s">
        <v>545</v>
      </c>
      <c r="AS240" s="249">
        <v>46997</v>
      </c>
      <c r="AT240" s="3" t="s">
        <v>109</v>
      </c>
      <c r="AU240" s="3" t="s">
        <v>171</v>
      </c>
      <c r="AV240" s="109" t="s">
        <v>545</v>
      </c>
      <c r="AW240" s="3" t="s">
        <v>171</v>
      </c>
      <c r="AX240" s="3" t="s">
        <v>171</v>
      </c>
      <c r="AY240" s="3" t="s">
        <v>111</v>
      </c>
      <c r="AZ240" s="3" t="s">
        <v>111</v>
      </c>
      <c r="BA240" s="3" t="s">
        <v>111</v>
      </c>
      <c r="BB240" s="3" t="s">
        <v>111</v>
      </c>
      <c r="BC240" s="3" t="s">
        <v>111</v>
      </c>
      <c r="BD240" s="3" t="s">
        <v>111</v>
      </c>
      <c r="BE240" s="3" t="s">
        <v>111</v>
      </c>
      <c r="BF240" s="3" t="s">
        <v>111</v>
      </c>
      <c r="BG240" s="3" t="s">
        <v>111</v>
      </c>
      <c r="BH240" s="3" t="s">
        <v>171</v>
      </c>
      <c r="BI240" s="3" t="s">
        <v>111</v>
      </c>
      <c r="BJ240" s="3" t="s">
        <v>111</v>
      </c>
      <c r="BK240" s="3" t="s">
        <v>109</v>
      </c>
      <c r="BL240" s="3" t="s">
        <v>114</v>
      </c>
      <c r="BM240" s="3"/>
      <c r="BN240" s="3"/>
      <c r="BO240" s="3"/>
      <c r="BP240" s="3"/>
      <c r="BQ240" s="3"/>
      <c r="BR240" s="3"/>
      <c r="BS240" s="3"/>
      <c r="BT240" s="3"/>
      <c r="BU240" s="3"/>
      <c r="BV240" s="3"/>
      <c r="BW240" s="3" t="s">
        <v>184</v>
      </c>
      <c r="BX240" s="3"/>
      <c r="BY240" s="3"/>
      <c r="BZ240" s="3"/>
      <c r="CA240" s="3"/>
      <c r="CB240" s="112" t="s">
        <v>118</v>
      </c>
      <c r="CC240" s="112" t="s">
        <v>109</v>
      </c>
      <c r="CD240" s="3"/>
      <c r="CE240" s="3"/>
      <c r="CF240" s="112"/>
      <c r="CG240" s="112"/>
      <c r="CH240" s="133"/>
      <c r="CI240" s="112" t="str">
        <f t="shared" si="32"/>
        <v>Jun'24</v>
      </c>
      <c r="CJ240" s="112" t="s">
        <v>107</v>
      </c>
      <c r="CK240" s="112"/>
      <c r="CL240" s="112"/>
    </row>
    <row r="241" spans="1:90" s="4" customFormat="1" ht="72.75" customHeight="1" x14ac:dyDescent="0.25">
      <c r="A241" s="3" t="s">
        <v>181</v>
      </c>
      <c r="B241" s="126" t="s">
        <v>1224</v>
      </c>
      <c r="C241" s="109" t="s">
        <v>1225</v>
      </c>
      <c r="D241" s="3" t="s">
        <v>99</v>
      </c>
      <c r="E241" s="59">
        <v>1816</v>
      </c>
      <c r="F241" s="3">
        <v>9021069420</v>
      </c>
      <c r="G241" s="3" t="s">
        <v>142</v>
      </c>
      <c r="H241" s="3" t="s">
        <v>101</v>
      </c>
      <c r="I241" s="3" t="s">
        <v>143</v>
      </c>
      <c r="J241" s="3" t="s">
        <v>162</v>
      </c>
      <c r="K241" s="3" t="s">
        <v>1226</v>
      </c>
      <c r="L241" s="3" t="s">
        <v>105</v>
      </c>
      <c r="M241" s="56">
        <v>45461</v>
      </c>
      <c r="N241" s="69">
        <f t="shared" ca="1" si="29"/>
        <v>716</v>
      </c>
      <c r="O241" s="72" t="str">
        <f t="shared" ca="1" si="30"/>
        <v>1-2Y</v>
      </c>
      <c r="P241" s="198" t="s">
        <v>106</v>
      </c>
      <c r="Q241" s="3" t="s">
        <v>107</v>
      </c>
      <c r="R241" s="3" t="s">
        <v>108</v>
      </c>
      <c r="S241" s="129">
        <v>40</v>
      </c>
      <c r="T241" s="129">
        <v>180</v>
      </c>
      <c r="U241" s="129">
        <f t="shared" si="31"/>
        <v>220</v>
      </c>
      <c r="V241" s="3"/>
      <c r="W241" s="3" t="s">
        <v>171</v>
      </c>
      <c r="X241" s="3" t="s">
        <v>394</v>
      </c>
      <c r="Y241" s="60"/>
      <c r="Z241" s="3" t="s">
        <v>274</v>
      </c>
      <c r="AA241" s="3"/>
      <c r="AB241" s="3"/>
      <c r="AC241" s="3"/>
      <c r="AD241" s="249">
        <f t="shared" si="34"/>
        <v>46905</v>
      </c>
      <c r="AE241" s="249">
        <f t="shared" si="35"/>
        <v>46997</v>
      </c>
      <c r="AF241" s="3" t="s">
        <v>394</v>
      </c>
      <c r="AG241" s="3" t="s">
        <v>581</v>
      </c>
      <c r="AH241" s="3"/>
      <c r="AI241" s="3"/>
      <c r="AJ241" s="3"/>
      <c r="AK241" s="3" t="s">
        <v>181</v>
      </c>
      <c r="AL241" s="45">
        <v>46905</v>
      </c>
      <c r="AM241" s="3"/>
      <c r="AN241" s="3"/>
      <c r="AO241" s="3"/>
      <c r="AP241" s="3"/>
      <c r="AQ241" s="3"/>
      <c r="AR241" s="109" t="s">
        <v>599</v>
      </c>
      <c r="AS241" s="249">
        <v>46997</v>
      </c>
      <c r="AT241" s="3" t="s">
        <v>171</v>
      </c>
      <c r="AU241" s="3" t="s">
        <v>171</v>
      </c>
      <c r="AV241" s="109" t="s">
        <v>1227</v>
      </c>
      <c r="AW241" s="3" t="s">
        <v>109</v>
      </c>
      <c r="AX241" s="3" t="s">
        <v>348</v>
      </c>
      <c r="AY241" s="3" t="s">
        <v>348</v>
      </c>
      <c r="AZ241" s="3" t="s">
        <v>348</v>
      </c>
      <c r="BA241" s="3" t="s">
        <v>348</v>
      </c>
      <c r="BB241" s="3" t="s">
        <v>348</v>
      </c>
      <c r="BC241" s="3" t="s">
        <v>348</v>
      </c>
      <c r="BD241" s="3" t="s">
        <v>348</v>
      </c>
      <c r="BE241" s="3" t="s">
        <v>111</v>
      </c>
      <c r="BF241" s="3" t="s">
        <v>111</v>
      </c>
      <c r="BG241" s="59" t="s">
        <v>533</v>
      </c>
      <c r="BH241" s="59" t="s">
        <v>90</v>
      </c>
      <c r="BI241" s="3" t="s">
        <v>111</v>
      </c>
      <c r="BJ241" s="3" t="s">
        <v>111</v>
      </c>
      <c r="BK241" s="3" t="s">
        <v>109</v>
      </c>
      <c r="BL241" s="3" t="e">
        <v>#N/A</v>
      </c>
      <c r="BM241" s="3"/>
      <c r="BN241" s="3"/>
      <c r="BO241" s="3"/>
      <c r="BP241" s="3"/>
      <c r="BQ241" s="3"/>
      <c r="BR241" s="3"/>
      <c r="BS241" s="3"/>
      <c r="BT241" s="3"/>
      <c r="BU241" s="3"/>
      <c r="BV241" s="3"/>
      <c r="BW241" s="3" t="s">
        <v>184</v>
      </c>
      <c r="BX241" s="3"/>
      <c r="BY241" s="3"/>
      <c r="BZ241" s="3"/>
      <c r="CA241" s="3"/>
      <c r="CB241" s="112" t="s">
        <v>118</v>
      </c>
      <c r="CC241" s="112" t="s">
        <v>109</v>
      </c>
      <c r="CD241" s="3"/>
      <c r="CE241" s="3"/>
      <c r="CF241" s="112"/>
      <c r="CG241" s="112"/>
      <c r="CH241" s="133"/>
      <c r="CI241" s="112" t="str">
        <f t="shared" si="32"/>
        <v>Jun'24</v>
      </c>
      <c r="CJ241" s="112" t="s">
        <v>107</v>
      </c>
      <c r="CK241" s="256"/>
      <c r="CL241" s="192"/>
    </row>
    <row r="242" spans="1:90" s="4" customFormat="1" ht="94.5" customHeight="1" x14ac:dyDescent="0.25">
      <c r="A242" s="3">
        <v>192</v>
      </c>
      <c r="B242" s="126" t="s">
        <v>1228</v>
      </c>
      <c r="C242" s="109" t="s">
        <v>1229</v>
      </c>
      <c r="D242" s="3" t="s">
        <v>135</v>
      </c>
      <c r="E242" s="59">
        <v>1898</v>
      </c>
      <c r="F242" s="3">
        <v>7020096202</v>
      </c>
      <c r="G242" s="3" t="s">
        <v>142</v>
      </c>
      <c r="H242" s="3" t="s">
        <v>122</v>
      </c>
      <c r="I242" s="3" t="s">
        <v>143</v>
      </c>
      <c r="J242" s="3" t="s">
        <v>144</v>
      </c>
      <c r="K242" s="3" t="s">
        <v>1230</v>
      </c>
      <c r="L242" s="3" t="s">
        <v>105</v>
      </c>
      <c r="M242" s="56">
        <v>45461</v>
      </c>
      <c r="N242" s="69">
        <f t="shared" ca="1" si="29"/>
        <v>716</v>
      </c>
      <c r="O242" s="72" t="str">
        <f t="shared" ca="1" si="30"/>
        <v>1-2Y</v>
      </c>
      <c r="P242" s="198" t="s">
        <v>137</v>
      </c>
      <c r="Q242" s="3" t="s">
        <v>125</v>
      </c>
      <c r="R242" s="3" t="s">
        <v>108</v>
      </c>
      <c r="S242" s="129">
        <v>40</v>
      </c>
      <c r="T242" s="129">
        <v>110</v>
      </c>
      <c r="U242" s="129">
        <f t="shared" si="31"/>
        <v>150</v>
      </c>
      <c r="V242" s="3"/>
      <c r="W242" s="3" t="s">
        <v>171</v>
      </c>
      <c r="X242" s="3" t="s">
        <v>394</v>
      </c>
      <c r="Y242" s="60"/>
      <c r="Z242" s="3"/>
      <c r="AA242" s="3"/>
      <c r="AB242" s="3"/>
      <c r="AC242" s="3"/>
      <c r="AD242" s="249">
        <f t="shared" si="34"/>
        <v>46905</v>
      </c>
      <c r="AE242" s="249">
        <f t="shared" si="35"/>
        <v>46997</v>
      </c>
      <c r="AF242" s="3" t="s">
        <v>394</v>
      </c>
      <c r="AG242" s="3" t="s">
        <v>721</v>
      </c>
      <c r="AH242" s="3"/>
      <c r="AI242" s="3" t="s">
        <v>115</v>
      </c>
      <c r="AJ242" s="3" t="s">
        <v>115</v>
      </c>
      <c r="AK242" s="3" t="s">
        <v>181</v>
      </c>
      <c r="AL242" s="45">
        <v>46905</v>
      </c>
      <c r="AM242" s="3" t="s">
        <v>109</v>
      </c>
      <c r="AN242" s="3" t="s">
        <v>109</v>
      </c>
      <c r="AO242" s="3"/>
      <c r="AP242" s="3"/>
      <c r="AQ242" s="3"/>
      <c r="AR242" s="109" t="s">
        <v>545</v>
      </c>
      <c r="AS242" s="249">
        <v>46997</v>
      </c>
      <c r="AT242" s="3" t="s">
        <v>109</v>
      </c>
      <c r="AU242" s="3" t="s">
        <v>171</v>
      </c>
      <c r="AV242" s="109" t="s">
        <v>545</v>
      </c>
      <c r="AW242" s="3" t="s">
        <v>171</v>
      </c>
      <c r="AX242" s="3" t="s">
        <v>171</v>
      </c>
      <c r="AY242" s="3" t="s">
        <v>111</v>
      </c>
      <c r="AZ242" s="3" t="s">
        <v>111</v>
      </c>
      <c r="BA242" s="3" t="s">
        <v>111</v>
      </c>
      <c r="BB242" s="3" t="s">
        <v>111</v>
      </c>
      <c r="BC242" s="3" t="s">
        <v>111</v>
      </c>
      <c r="BD242" s="3" t="s">
        <v>111</v>
      </c>
      <c r="BE242" s="3" t="s">
        <v>111</v>
      </c>
      <c r="BF242" s="3" t="s">
        <v>111</v>
      </c>
      <c r="BG242" s="3" t="s">
        <v>111</v>
      </c>
      <c r="BH242" s="3" t="s">
        <v>171</v>
      </c>
      <c r="BI242" s="3" t="s">
        <v>111</v>
      </c>
      <c r="BJ242" s="3" t="s">
        <v>111</v>
      </c>
      <c r="BK242" s="3"/>
      <c r="BL242" s="3"/>
      <c r="BM242" s="3" t="s">
        <v>111</v>
      </c>
      <c r="BN242" s="3" t="s">
        <v>111</v>
      </c>
      <c r="BO242" s="3" t="s">
        <v>115</v>
      </c>
      <c r="BP242" s="3"/>
      <c r="BQ242" s="3"/>
      <c r="BR242" s="3"/>
      <c r="BS242" s="3"/>
      <c r="BT242" s="3"/>
      <c r="BU242" s="3"/>
      <c r="BV242" s="3"/>
      <c r="BW242" s="3" t="s">
        <v>184</v>
      </c>
      <c r="BX242" s="3"/>
      <c r="BY242" s="3"/>
      <c r="BZ242" s="3"/>
      <c r="CA242" s="3"/>
      <c r="CB242" s="112" t="s">
        <v>118</v>
      </c>
      <c r="CC242" s="112" t="s">
        <v>109</v>
      </c>
      <c r="CD242" s="3"/>
      <c r="CE242" s="3"/>
      <c r="CF242" s="112"/>
      <c r="CG242" s="112"/>
      <c r="CH242" s="133"/>
      <c r="CI242" s="112" t="str">
        <f t="shared" si="32"/>
        <v>Jun'24</v>
      </c>
      <c r="CJ242" s="112" t="s">
        <v>132</v>
      </c>
      <c r="CK242" s="255"/>
      <c r="CL242" s="192"/>
    </row>
    <row r="243" spans="1:90" s="4" customFormat="1" ht="94.5" customHeight="1" x14ac:dyDescent="0.25">
      <c r="A243" s="3">
        <v>193</v>
      </c>
      <c r="B243" s="126" t="s">
        <v>1231</v>
      </c>
      <c r="C243" s="109" t="s">
        <v>1232</v>
      </c>
      <c r="D243" s="3" t="s">
        <v>141</v>
      </c>
      <c r="E243" s="59">
        <v>1903</v>
      </c>
      <c r="F243" s="3">
        <v>9881513221</v>
      </c>
      <c r="G243" s="3" t="s">
        <v>142</v>
      </c>
      <c r="H243" s="3" t="s">
        <v>122</v>
      </c>
      <c r="I243" s="3" t="s">
        <v>143</v>
      </c>
      <c r="J243" s="3" t="s">
        <v>144</v>
      </c>
      <c r="K243" s="3" t="s">
        <v>1233</v>
      </c>
      <c r="L243" s="3" t="s">
        <v>105</v>
      </c>
      <c r="M243" s="56">
        <v>45461</v>
      </c>
      <c r="N243" s="69">
        <f t="shared" ca="1" si="29"/>
        <v>716</v>
      </c>
      <c r="O243" s="72" t="str">
        <f t="shared" ca="1" si="30"/>
        <v>1-2Y</v>
      </c>
      <c r="P243" s="198" t="s">
        <v>137</v>
      </c>
      <c r="Q243" s="3" t="s">
        <v>192</v>
      </c>
      <c r="R243" s="3" t="s">
        <v>164</v>
      </c>
      <c r="S243" s="129">
        <v>57</v>
      </c>
      <c r="T243" s="129">
        <v>100</v>
      </c>
      <c r="U243" s="129">
        <f t="shared" si="31"/>
        <v>157</v>
      </c>
      <c r="V243" s="3"/>
      <c r="W243" s="3" t="s">
        <v>171</v>
      </c>
      <c r="X243" s="3" t="s">
        <v>394</v>
      </c>
      <c r="Y243" s="60"/>
      <c r="Z243" s="3"/>
      <c r="AA243" s="3"/>
      <c r="AB243" s="3"/>
      <c r="AC243" s="3"/>
      <c r="AD243" s="249">
        <f t="shared" si="34"/>
        <v>46905</v>
      </c>
      <c r="AE243" s="249">
        <f t="shared" si="35"/>
        <v>46997</v>
      </c>
      <c r="AF243" s="3" t="s">
        <v>394</v>
      </c>
      <c r="AG243" s="3" t="s">
        <v>581</v>
      </c>
      <c r="AH243" s="3"/>
      <c r="AI243" s="3" t="s">
        <v>115</v>
      </c>
      <c r="AJ243" s="3" t="s">
        <v>115</v>
      </c>
      <c r="AK243" s="3" t="s">
        <v>181</v>
      </c>
      <c r="AL243" s="45">
        <v>46905</v>
      </c>
      <c r="AM243" s="3" t="s">
        <v>109</v>
      </c>
      <c r="AN243" s="3" t="s">
        <v>109</v>
      </c>
      <c r="AO243" s="3"/>
      <c r="AP243" s="3"/>
      <c r="AQ243" s="3"/>
      <c r="AR243" s="109" t="s">
        <v>904</v>
      </c>
      <c r="AS243" s="249">
        <v>46997</v>
      </c>
      <c r="AT243" s="3" t="s">
        <v>419</v>
      </c>
      <c r="AU243" s="3" t="s">
        <v>419</v>
      </c>
      <c r="AV243" s="109" t="s">
        <v>1234</v>
      </c>
      <c r="AW243" s="109" t="s">
        <v>1235</v>
      </c>
      <c r="AX243" s="3" t="s">
        <v>171</v>
      </c>
      <c r="AY243" s="3" t="s">
        <v>111</v>
      </c>
      <c r="AZ243" s="3" t="s">
        <v>111</v>
      </c>
      <c r="BA243" s="3" t="s">
        <v>111</v>
      </c>
      <c r="BB243" s="3" t="s">
        <v>111</v>
      </c>
      <c r="BC243" s="3" t="s">
        <v>111</v>
      </c>
      <c r="BD243" s="3" t="s">
        <v>111</v>
      </c>
      <c r="BE243" s="3" t="s">
        <v>111</v>
      </c>
      <c r="BF243" s="3" t="s">
        <v>111</v>
      </c>
      <c r="BG243" s="3" t="s">
        <v>111</v>
      </c>
      <c r="BH243" s="3" t="s">
        <v>111</v>
      </c>
      <c r="BI243" s="45" t="s">
        <v>111</v>
      </c>
      <c r="BJ243" s="3" t="s">
        <v>111</v>
      </c>
      <c r="BK243" s="3" t="s">
        <v>109</v>
      </c>
      <c r="BL243" s="3" t="s">
        <v>114</v>
      </c>
      <c r="BM243" s="3" t="s">
        <v>111</v>
      </c>
      <c r="BN243" s="3" t="s">
        <v>111</v>
      </c>
      <c r="BO243" s="3" t="s">
        <v>115</v>
      </c>
      <c r="BP243" s="3"/>
      <c r="BQ243" s="3"/>
      <c r="BR243" s="3"/>
      <c r="BS243" s="3"/>
      <c r="BT243" s="3"/>
      <c r="BU243" s="3"/>
      <c r="BV243" s="3"/>
      <c r="BW243" s="3" t="s">
        <v>749</v>
      </c>
      <c r="BX243" s="3"/>
      <c r="BY243" s="3"/>
      <c r="BZ243" s="3"/>
      <c r="CA243" s="3"/>
      <c r="CB243" s="112" t="s">
        <v>118</v>
      </c>
      <c r="CC243" s="112" t="s">
        <v>109</v>
      </c>
      <c r="CD243" s="3"/>
      <c r="CE243" s="3"/>
      <c r="CF243" s="112"/>
      <c r="CG243" s="112"/>
      <c r="CH243" s="133"/>
      <c r="CI243" s="112" t="str">
        <f t="shared" si="32"/>
        <v>Jun'24</v>
      </c>
      <c r="CJ243" s="112" t="s">
        <v>192</v>
      </c>
      <c r="CK243" s="112"/>
      <c r="CL243" s="112"/>
    </row>
    <row r="244" spans="1:90" s="4" customFormat="1" ht="94.5" customHeight="1" x14ac:dyDescent="0.25">
      <c r="A244" s="3">
        <v>191</v>
      </c>
      <c r="B244" s="126" t="s">
        <v>1236</v>
      </c>
      <c r="C244" s="109" t="s">
        <v>1237</v>
      </c>
      <c r="D244" s="3" t="s">
        <v>150</v>
      </c>
      <c r="E244" s="59">
        <v>2057</v>
      </c>
      <c r="F244" s="3">
        <v>9545822822</v>
      </c>
      <c r="G244" s="3" t="s">
        <v>634</v>
      </c>
      <c r="H244" s="3" t="s">
        <v>122</v>
      </c>
      <c r="I244" s="3" t="s">
        <v>143</v>
      </c>
      <c r="J244" s="3" t="s">
        <v>144</v>
      </c>
      <c r="K244" s="3" t="s">
        <v>1238</v>
      </c>
      <c r="L244" s="3" t="s">
        <v>105</v>
      </c>
      <c r="M244" s="56">
        <v>45461</v>
      </c>
      <c r="N244" s="69">
        <f t="shared" ca="1" si="29"/>
        <v>716</v>
      </c>
      <c r="O244" s="72" t="str">
        <f t="shared" ca="1" si="30"/>
        <v>1-2Y</v>
      </c>
      <c r="P244" s="198" t="s">
        <v>106</v>
      </c>
      <c r="Q244" s="3" t="s">
        <v>125</v>
      </c>
      <c r="R244" s="3" t="s">
        <v>108</v>
      </c>
      <c r="S244" s="129">
        <v>40</v>
      </c>
      <c r="T244" s="129">
        <v>110</v>
      </c>
      <c r="U244" s="129">
        <f t="shared" si="31"/>
        <v>150</v>
      </c>
      <c r="V244" s="3"/>
      <c r="W244" s="3" t="s">
        <v>171</v>
      </c>
      <c r="X244" s="3" t="s">
        <v>394</v>
      </c>
      <c r="Y244" s="60"/>
      <c r="Z244" s="3"/>
      <c r="AA244" s="3"/>
      <c r="AB244" s="3"/>
      <c r="AC244" s="3"/>
      <c r="AD244" s="249">
        <f t="shared" si="34"/>
        <v>46905</v>
      </c>
      <c r="AE244" s="249">
        <f t="shared" si="35"/>
        <v>46997</v>
      </c>
      <c r="AF244" s="3" t="s">
        <v>394</v>
      </c>
      <c r="AG244" s="3" t="s">
        <v>581</v>
      </c>
      <c r="AH244" s="3"/>
      <c r="AI244" s="3" t="s">
        <v>115</v>
      </c>
      <c r="AJ244" s="3" t="s">
        <v>115</v>
      </c>
      <c r="AK244" s="3"/>
      <c r="AL244" s="45">
        <v>46905</v>
      </c>
      <c r="AM244" s="3" t="s">
        <v>109</v>
      </c>
      <c r="AN244" s="3" t="s">
        <v>109</v>
      </c>
      <c r="AO244" s="3"/>
      <c r="AP244" s="3"/>
      <c r="AQ244" s="3"/>
      <c r="AR244" s="3" t="s">
        <v>1239</v>
      </c>
      <c r="AS244" s="249">
        <v>46997</v>
      </c>
      <c r="AT244" s="3"/>
      <c r="AU244" s="59" t="s">
        <v>171</v>
      </c>
      <c r="AV244" s="3" t="s">
        <v>1240</v>
      </c>
      <c r="AW244" s="59" t="s">
        <v>171</v>
      </c>
      <c r="AX244" s="3"/>
      <c r="AY244" s="3"/>
      <c r="AZ244" s="3"/>
      <c r="BA244" s="3"/>
      <c r="BB244" s="3" t="s">
        <v>115</v>
      </c>
      <c r="BC244" s="3"/>
      <c r="BD244" s="3"/>
      <c r="BE244" s="3"/>
      <c r="BF244" s="3"/>
      <c r="BG244" s="59"/>
      <c r="BH244" s="59"/>
      <c r="BI244" s="45"/>
      <c r="BJ244" s="45"/>
      <c r="BK244" s="3" t="s">
        <v>109</v>
      </c>
      <c r="BL244" s="3" t="e">
        <v>#N/A</v>
      </c>
      <c r="BM244" s="3" t="s">
        <v>111</v>
      </c>
      <c r="BN244" s="3" t="s">
        <v>111</v>
      </c>
      <c r="BO244" s="3" t="s">
        <v>115</v>
      </c>
      <c r="BP244" s="3"/>
      <c r="BQ244" s="3"/>
      <c r="BR244" s="3"/>
      <c r="BS244" s="3"/>
      <c r="BT244" s="3"/>
      <c r="BU244" s="3"/>
      <c r="BV244" s="3"/>
      <c r="BW244" s="3" t="s">
        <v>184</v>
      </c>
      <c r="BX244" s="3"/>
      <c r="BY244" s="3"/>
      <c r="BZ244" s="3"/>
      <c r="CA244" s="3"/>
      <c r="CB244" s="112" t="s">
        <v>118</v>
      </c>
      <c r="CC244" s="112" t="s">
        <v>109</v>
      </c>
      <c r="CD244" s="3"/>
      <c r="CE244" s="3"/>
      <c r="CF244" s="112"/>
      <c r="CG244" s="112"/>
      <c r="CH244" s="133"/>
      <c r="CI244" s="112" t="str">
        <f t="shared" si="32"/>
        <v>Jun'24</v>
      </c>
      <c r="CJ244" s="112" t="s">
        <v>132</v>
      </c>
      <c r="CK244" s="256"/>
      <c r="CL244" s="192"/>
    </row>
    <row r="245" spans="1:90" s="4" customFormat="1" ht="94.5" customHeight="1" x14ac:dyDescent="0.25">
      <c r="A245" s="3">
        <v>199</v>
      </c>
      <c r="B245" s="126" t="s">
        <v>1241</v>
      </c>
      <c r="C245" s="109" t="s">
        <v>685</v>
      </c>
      <c r="D245" s="3" t="s">
        <v>383</v>
      </c>
      <c r="E245" s="59">
        <v>1629</v>
      </c>
      <c r="F245" s="3">
        <v>9881321999</v>
      </c>
      <c r="G245" s="3" t="s">
        <v>101</v>
      </c>
      <c r="H245" s="3" t="s">
        <v>122</v>
      </c>
      <c r="I245" s="3" t="s">
        <v>143</v>
      </c>
      <c r="J245" s="3" t="s">
        <v>144</v>
      </c>
      <c r="K245" s="3" t="s">
        <v>1242</v>
      </c>
      <c r="L245" s="3" t="s">
        <v>105</v>
      </c>
      <c r="M245" s="56">
        <v>45462</v>
      </c>
      <c r="N245" s="69">
        <f t="shared" ca="1" si="29"/>
        <v>715</v>
      </c>
      <c r="O245" s="72" t="str">
        <f t="shared" ca="1" si="30"/>
        <v>1-2Y</v>
      </c>
      <c r="P245" s="198" t="s">
        <v>106</v>
      </c>
      <c r="Q245" s="3" t="s">
        <v>192</v>
      </c>
      <c r="R245" s="3" t="s">
        <v>108</v>
      </c>
      <c r="S245" s="129">
        <v>250</v>
      </c>
      <c r="T245" s="129">
        <v>100</v>
      </c>
      <c r="U245" s="129">
        <f t="shared" si="31"/>
        <v>350</v>
      </c>
      <c r="V245" s="3"/>
      <c r="W245" s="3" t="s">
        <v>171</v>
      </c>
      <c r="X245" s="3" t="s">
        <v>394</v>
      </c>
      <c r="Y245" s="60">
        <f>+IF(AO245="Approved","Yes",AS245-90)</f>
        <v>46907</v>
      </c>
      <c r="Z245" s="3"/>
      <c r="AA245" s="3"/>
      <c r="AB245" s="3"/>
      <c r="AC245" s="3"/>
      <c r="AD245" s="249">
        <f t="shared" si="34"/>
        <v>46905</v>
      </c>
      <c r="AE245" s="249">
        <f t="shared" si="35"/>
        <v>46997</v>
      </c>
      <c r="AF245" s="3" t="s">
        <v>394</v>
      </c>
      <c r="AG245" s="3" t="s">
        <v>721</v>
      </c>
      <c r="AH245" s="3"/>
      <c r="AI245" s="3" t="s">
        <v>115</v>
      </c>
      <c r="AJ245" s="3" t="s">
        <v>115</v>
      </c>
      <c r="AK245" s="3" t="s">
        <v>419</v>
      </c>
      <c r="AL245" s="45">
        <v>46905</v>
      </c>
      <c r="AM245" s="3" t="s">
        <v>109</v>
      </c>
      <c r="AN245" s="3" t="s">
        <v>109</v>
      </c>
      <c r="AO245" s="3"/>
      <c r="AP245" s="3"/>
      <c r="AQ245" s="3"/>
      <c r="AR245" s="109" t="s">
        <v>904</v>
      </c>
      <c r="AS245" s="249">
        <v>46997</v>
      </c>
      <c r="AT245" s="3" t="s">
        <v>146</v>
      </c>
      <c r="AU245" s="3" t="s">
        <v>419</v>
      </c>
      <c r="AV245" s="109" t="s">
        <v>369</v>
      </c>
      <c r="AW245" s="3" t="s">
        <v>146</v>
      </c>
      <c r="AX245" s="3" t="s">
        <v>111</v>
      </c>
      <c r="AY245" s="3" t="s">
        <v>111</v>
      </c>
      <c r="AZ245" s="3" t="s">
        <v>111</v>
      </c>
      <c r="BA245" s="3" t="s">
        <v>111</v>
      </c>
      <c r="BB245" s="3" t="s">
        <v>111</v>
      </c>
      <c r="BC245" s="3" t="s">
        <v>111</v>
      </c>
      <c r="BD245" s="3" t="s">
        <v>111</v>
      </c>
      <c r="BE245" s="3" t="s">
        <v>111</v>
      </c>
      <c r="BF245" s="3" t="s">
        <v>111</v>
      </c>
      <c r="BG245" s="3" t="s">
        <v>111</v>
      </c>
      <c r="BH245" s="3" t="s">
        <v>111</v>
      </c>
      <c r="BI245" s="3" t="s">
        <v>111</v>
      </c>
      <c r="BJ245" s="3" t="s">
        <v>111</v>
      </c>
      <c r="BK245" s="3" t="s">
        <v>260</v>
      </c>
      <c r="BL245" s="3" t="s">
        <v>261</v>
      </c>
      <c r="BM245" s="3" t="s">
        <v>111</v>
      </c>
      <c r="BN245" s="3" t="s">
        <v>111</v>
      </c>
      <c r="BO245" s="3" t="s">
        <v>115</v>
      </c>
      <c r="BP245" s="3"/>
      <c r="BQ245" s="3"/>
      <c r="BR245" s="3"/>
      <c r="BS245" s="3"/>
      <c r="BT245" s="3"/>
      <c r="BU245" s="3"/>
      <c r="BV245" s="3"/>
      <c r="BW245" s="3" t="s">
        <v>749</v>
      </c>
      <c r="BX245" s="3"/>
      <c r="BY245" s="3"/>
      <c r="BZ245" s="3"/>
      <c r="CA245" s="3"/>
      <c r="CB245" s="112" t="s">
        <v>118</v>
      </c>
      <c r="CC245" s="112" t="s">
        <v>109</v>
      </c>
      <c r="CD245" s="3"/>
      <c r="CE245" s="3"/>
      <c r="CF245" s="112"/>
      <c r="CG245" s="112"/>
      <c r="CH245" s="133"/>
      <c r="CI245" s="112" t="str">
        <f t="shared" si="32"/>
        <v>Jun'24</v>
      </c>
      <c r="CJ245" s="112" t="s">
        <v>192</v>
      </c>
      <c r="CK245" s="112"/>
      <c r="CL245" s="192"/>
    </row>
    <row r="246" spans="1:90" s="4" customFormat="1" ht="82.5" customHeight="1" x14ac:dyDescent="0.25">
      <c r="A246" s="3">
        <v>205</v>
      </c>
      <c r="B246" s="126" t="s">
        <v>1243</v>
      </c>
      <c r="C246" s="109" t="s">
        <v>1244</v>
      </c>
      <c r="D246" s="3" t="s">
        <v>121</v>
      </c>
      <c r="E246" s="59">
        <v>1683</v>
      </c>
      <c r="F246" s="3">
        <v>8329641001</v>
      </c>
      <c r="G246" s="3" t="s">
        <v>169</v>
      </c>
      <c r="H246" s="3" t="s">
        <v>101</v>
      </c>
      <c r="I246" s="3" t="s">
        <v>143</v>
      </c>
      <c r="J246" s="3" t="s">
        <v>162</v>
      </c>
      <c r="K246" s="3" t="s">
        <v>1245</v>
      </c>
      <c r="L246" s="3" t="s">
        <v>105</v>
      </c>
      <c r="M246" s="56">
        <v>45463</v>
      </c>
      <c r="N246" s="69">
        <f t="shared" ca="1" si="29"/>
        <v>714</v>
      </c>
      <c r="O246" s="72" t="str">
        <f t="shared" ca="1" si="30"/>
        <v>1-2Y</v>
      </c>
      <c r="P246" s="198" t="s">
        <v>106</v>
      </c>
      <c r="Q246" s="3" t="s">
        <v>180</v>
      </c>
      <c r="R246" s="3" t="s">
        <v>108</v>
      </c>
      <c r="S246" s="129">
        <v>20</v>
      </c>
      <c r="T246" s="129">
        <v>83</v>
      </c>
      <c r="U246" s="129">
        <f t="shared" si="31"/>
        <v>103</v>
      </c>
      <c r="V246" s="3"/>
      <c r="W246" s="3" t="s">
        <v>171</v>
      </c>
      <c r="X246" s="3" t="s">
        <v>394</v>
      </c>
      <c r="Y246" s="60"/>
      <c r="Z246" s="3" t="s">
        <v>274</v>
      </c>
      <c r="AA246" s="3"/>
      <c r="AB246" s="3"/>
      <c r="AC246" s="3"/>
      <c r="AD246" s="249">
        <f t="shared" si="34"/>
        <v>46905</v>
      </c>
      <c r="AE246" s="249">
        <f t="shared" si="35"/>
        <v>46997</v>
      </c>
      <c r="AF246" s="3" t="s">
        <v>394</v>
      </c>
      <c r="AG246" s="3" t="s">
        <v>721</v>
      </c>
      <c r="AH246" s="3"/>
      <c r="AI246" s="3"/>
      <c r="AJ246" s="3"/>
      <c r="AK246" s="3" t="s">
        <v>181</v>
      </c>
      <c r="AL246" s="45">
        <v>46905</v>
      </c>
      <c r="AM246" s="3"/>
      <c r="AN246" s="3"/>
      <c r="AO246" s="3"/>
      <c r="AP246" s="3"/>
      <c r="AQ246" s="3"/>
      <c r="AR246" s="109" t="s">
        <v>1246</v>
      </c>
      <c r="AS246" s="249">
        <v>46997</v>
      </c>
      <c r="AT246" s="3" t="s">
        <v>109</v>
      </c>
      <c r="AU246" s="3" t="s">
        <v>171</v>
      </c>
      <c r="AV246" s="3" t="s">
        <v>1247</v>
      </c>
      <c r="AW246" s="3" t="s">
        <v>171</v>
      </c>
      <c r="AX246" s="3" t="s">
        <v>171</v>
      </c>
      <c r="AY246" s="3" t="s">
        <v>261</v>
      </c>
      <c r="AZ246" s="3" t="s">
        <v>261</v>
      </c>
      <c r="BA246" s="3" t="s">
        <v>261</v>
      </c>
      <c r="BB246" s="3" t="s">
        <v>261</v>
      </c>
      <c r="BC246" s="3" t="s">
        <v>261</v>
      </c>
      <c r="BD246" s="3" t="s">
        <v>261</v>
      </c>
      <c r="BE246" s="3" t="s">
        <v>111</v>
      </c>
      <c r="BF246" s="3" t="s">
        <v>111</v>
      </c>
      <c r="BG246" s="59" t="s">
        <v>332</v>
      </c>
      <c r="BH246" s="59" t="s">
        <v>171</v>
      </c>
      <c r="BI246" s="45">
        <v>46905</v>
      </c>
      <c r="BJ246" s="45">
        <v>46935</v>
      </c>
      <c r="BK246" s="3" t="s">
        <v>109</v>
      </c>
      <c r="BL246" s="3" t="s">
        <v>114</v>
      </c>
      <c r="BM246" s="3"/>
      <c r="BN246" s="3"/>
      <c r="BO246" s="3"/>
      <c r="BP246" s="3"/>
      <c r="BQ246" s="3"/>
      <c r="BR246" s="3"/>
      <c r="BS246" s="3"/>
      <c r="BT246" s="3"/>
      <c r="BU246" s="3"/>
      <c r="BV246" s="3"/>
      <c r="BW246" s="3" t="s">
        <v>184</v>
      </c>
      <c r="BX246" s="3"/>
      <c r="BY246" s="3"/>
      <c r="BZ246" s="3"/>
      <c r="CA246" s="3"/>
      <c r="CB246" s="112" t="s">
        <v>118</v>
      </c>
      <c r="CC246" s="112" t="s">
        <v>109</v>
      </c>
      <c r="CD246" s="3"/>
      <c r="CE246" s="3"/>
      <c r="CF246" s="112"/>
      <c r="CG246" s="112"/>
      <c r="CH246" s="133"/>
      <c r="CI246" s="112" t="str">
        <f t="shared" si="32"/>
        <v>Jun'24</v>
      </c>
      <c r="CJ246" s="112" t="s">
        <v>186</v>
      </c>
      <c r="CK246" s="112"/>
      <c r="CL246" s="192"/>
    </row>
    <row r="247" spans="1:90" s="4" customFormat="1" ht="94.5" customHeight="1" x14ac:dyDescent="0.25">
      <c r="A247" s="3">
        <v>204</v>
      </c>
      <c r="B247" s="126" t="s">
        <v>1248</v>
      </c>
      <c r="C247" s="109" t="s">
        <v>1249</v>
      </c>
      <c r="D247" s="3" t="s">
        <v>150</v>
      </c>
      <c r="E247" s="59">
        <v>1639</v>
      </c>
      <c r="F247" s="3">
        <v>7020939868</v>
      </c>
      <c r="G247" s="3" t="s">
        <v>101</v>
      </c>
      <c r="H247" s="3" t="s">
        <v>101</v>
      </c>
      <c r="I247" s="3" t="s">
        <v>143</v>
      </c>
      <c r="J247" s="3" t="s">
        <v>162</v>
      </c>
      <c r="K247" s="3" t="s">
        <v>1250</v>
      </c>
      <c r="L247" s="3" t="s">
        <v>105</v>
      </c>
      <c r="M247" s="56">
        <v>45463</v>
      </c>
      <c r="N247" s="69">
        <f t="shared" ca="1" si="29"/>
        <v>714</v>
      </c>
      <c r="O247" s="72" t="str">
        <f t="shared" ca="1" si="30"/>
        <v>1-2Y</v>
      </c>
      <c r="P247" s="198" t="s">
        <v>106</v>
      </c>
      <c r="Q247" s="3" t="s">
        <v>107</v>
      </c>
      <c r="R247" s="3" t="s">
        <v>164</v>
      </c>
      <c r="S247" s="129">
        <v>130</v>
      </c>
      <c r="T247" s="129">
        <v>70</v>
      </c>
      <c r="U247" s="129">
        <f t="shared" si="31"/>
        <v>200</v>
      </c>
      <c r="V247" s="3"/>
      <c r="W247" s="3" t="s">
        <v>171</v>
      </c>
      <c r="X247" s="3" t="s">
        <v>394</v>
      </c>
      <c r="Y247" s="60">
        <f>+IF(AO247="Approved","Yes",AS247-90)</f>
        <v>46907</v>
      </c>
      <c r="Z247" s="3" t="s">
        <v>274</v>
      </c>
      <c r="AA247" s="3"/>
      <c r="AB247" s="3"/>
      <c r="AC247" s="3"/>
      <c r="AD247" s="249">
        <f t="shared" si="34"/>
        <v>46905</v>
      </c>
      <c r="AE247" s="249">
        <f t="shared" si="35"/>
        <v>46997</v>
      </c>
      <c r="AF247" s="3" t="s">
        <v>394</v>
      </c>
      <c r="AG247" s="3" t="s">
        <v>721</v>
      </c>
      <c r="AH247" s="3"/>
      <c r="AI247" s="3"/>
      <c r="AJ247" s="3"/>
      <c r="AK247" s="3" t="s">
        <v>181</v>
      </c>
      <c r="AL247" s="45">
        <v>46905</v>
      </c>
      <c r="AM247" s="3"/>
      <c r="AN247" s="3"/>
      <c r="AO247" s="3"/>
      <c r="AP247" s="3"/>
      <c r="AQ247" s="3"/>
      <c r="AR247" s="109" t="s">
        <v>1251</v>
      </c>
      <c r="AS247" s="249">
        <v>46997</v>
      </c>
      <c r="AT247" s="3"/>
      <c r="AU247" s="59" t="s">
        <v>171</v>
      </c>
      <c r="AV247" s="3" t="s">
        <v>1029</v>
      </c>
      <c r="AW247" s="59" t="s">
        <v>171</v>
      </c>
      <c r="AX247" s="3"/>
      <c r="AY247" s="3"/>
      <c r="AZ247" s="3"/>
      <c r="BA247" s="3"/>
      <c r="BB247" s="3" t="s">
        <v>115</v>
      </c>
      <c r="BC247" s="3"/>
      <c r="BD247" s="3"/>
      <c r="BE247" s="3"/>
      <c r="BF247" s="3"/>
      <c r="BG247" s="59"/>
      <c r="BH247" s="59"/>
      <c r="BI247" s="45"/>
      <c r="BJ247" s="45"/>
      <c r="BK247" s="3" t="s">
        <v>109</v>
      </c>
      <c r="BL247" s="3" t="s">
        <v>114</v>
      </c>
      <c r="BM247" s="3"/>
      <c r="BN247" s="3"/>
      <c r="BO247" s="3"/>
      <c r="BP247" s="3"/>
      <c r="BQ247" s="3"/>
      <c r="BR247" s="3"/>
      <c r="BS247" s="3"/>
      <c r="BT247" s="3"/>
      <c r="BU247" s="3"/>
      <c r="BV247" s="3"/>
      <c r="BW247" s="3" t="s">
        <v>184</v>
      </c>
      <c r="BX247" s="3"/>
      <c r="BY247" s="3"/>
      <c r="BZ247" s="3"/>
      <c r="CA247" s="3"/>
      <c r="CB247" s="112" t="s">
        <v>118</v>
      </c>
      <c r="CC247" s="112" t="s">
        <v>109</v>
      </c>
      <c r="CD247" s="3"/>
      <c r="CE247" s="3"/>
      <c r="CF247" s="112"/>
      <c r="CG247" s="112"/>
      <c r="CH247" s="133"/>
      <c r="CI247" s="112" t="str">
        <f t="shared" si="32"/>
        <v>Jun'24</v>
      </c>
      <c r="CJ247" s="112" t="s">
        <v>107</v>
      </c>
      <c r="CK247" s="112"/>
      <c r="CL247" s="192"/>
    </row>
    <row r="248" spans="1:90" s="4" customFormat="1" ht="94.5" customHeight="1" x14ac:dyDescent="0.25">
      <c r="A248" s="3">
        <v>207</v>
      </c>
      <c r="B248" s="126" t="s">
        <v>1252</v>
      </c>
      <c r="C248" s="109" t="s">
        <v>1253</v>
      </c>
      <c r="D248" s="3" t="s">
        <v>220</v>
      </c>
      <c r="E248" s="59">
        <v>1991</v>
      </c>
      <c r="F248" s="3">
        <v>9834737806</v>
      </c>
      <c r="G248" s="3" t="s">
        <v>169</v>
      </c>
      <c r="H248" s="3" t="s">
        <v>122</v>
      </c>
      <c r="I248" s="3" t="s">
        <v>143</v>
      </c>
      <c r="J248" s="3" t="s">
        <v>144</v>
      </c>
      <c r="K248" s="3" t="s">
        <v>1254</v>
      </c>
      <c r="L248" s="3" t="s">
        <v>105</v>
      </c>
      <c r="M248" s="56">
        <v>45464</v>
      </c>
      <c r="N248" s="69">
        <f t="shared" ca="1" si="29"/>
        <v>713</v>
      </c>
      <c r="O248" s="72" t="str">
        <f t="shared" ca="1" si="30"/>
        <v>1-2Y</v>
      </c>
      <c r="P248" s="198" t="s">
        <v>106</v>
      </c>
      <c r="Q248" s="3" t="s">
        <v>431</v>
      </c>
      <c r="R248" s="3" t="s">
        <v>164</v>
      </c>
      <c r="S248" s="129">
        <v>30</v>
      </c>
      <c r="T248" s="129">
        <v>70</v>
      </c>
      <c r="U248" s="129">
        <f t="shared" si="31"/>
        <v>100</v>
      </c>
      <c r="V248" s="3"/>
      <c r="W248" s="3" t="s">
        <v>171</v>
      </c>
      <c r="X248" s="3" t="s">
        <v>394</v>
      </c>
      <c r="Y248" s="60"/>
      <c r="Z248" s="3"/>
      <c r="AA248" s="3"/>
      <c r="AB248" s="3"/>
      <c r="AC248" s="3"/>
      <c r="AD248" s="249">
        <f t="shared" si="34"/>
        <v>46905</v>
      </c>
      <c r="AE248" s="249">
        <f t="shared" si="35"/>
        <v>46997</v>
      </c>
      <c r="AF248" s="3" t="s">
        <v>394</v>
      </c>
      <c r="AG248" s="3" t="s">
        <v>721</v>
      </c>
      <c r="AH248" s="3"/>
      <c r="AI248" s="3" t="s">
        <v>115</v>
      </c>
      <c r="AJ248" s="3" t="s">
        <v>115</v>
      </c>
      <c r="AK248" s="3" t="s">
        <v>181</v>
      </c>
      <c r="AL248" s="45">
        <v>46905</v>
      </c>
      <c r="AM248" s="3" t="s">
        <v>109</v>
      </c>
      <c r="AN248" s="3" t="s">
        <v>109</v>
      </c>
      <c r="AO248" s="3"/>
      <c r="AP248" s="3"/>
      <c r="AQ248" s="3"/>
      <c r="AR248" s="109" t="s">
        <v>779</v>
      </c>
      <c r="AS248" s="249">
        <v>46997</v>
      </c>
      <c r="AT248" s="3" t="s">
        <v>171</v>
      </c>
      <c r="AU248" s="3" t="s">
        <v>171</v>
      </c>
      <c r="AV248" s="3" t="s">
        <v>1255</v>
      </c>
      <c r="AW248" s="3" t="s">
        <v>798</v>
      </c>
      <c r="AX248" s="3"/>
      <c r="AY248" s="3"/>
      <c r="AZ248" s="3"/>
      <c r="BA248" s="3"/>
      <c r="BB248" s="3" t="s">
        <v>115</v>
      </c>
      <c r="BC248" s="3"/>
      <c r="BD248" s="3"/>
      <c r="BE248" s="3"/>
      <c r="BF248" s="3"/>
      <c r="BG248" s="59"/>
      <c r="BH248" s="59"/>
      <c r="BI248" s="45"/>
      <c r="BJ248" s="45"/>
      <c r="BK248" s="3" t="s">
        <v>260</v>
      </c>
      <c r="BL248" s="3" t="s">
        <v>261</v>
      </c>
      <c r="BM248" s="3" t="s">
        <v>111</v>
      </c>
      <c r="BN248" s="3" t="s">
        <v>111</v>
      </c>
      <c r="BO248" s="3" t="s">
        <v>115</v>
      </c>
      <c r="BP248" s="3"/>
      <c r="BQ248" s="3"/>
      <c r="BR248" s="3"/>
      <c r="BS248" s="3"/>
      <c r="BT248" s="3"/>
      <c r="BU248" s="3"/>
      <c r="BV248" s="3"/>
      <c r="BW248" s="3" t="s">
        <v>184</v>
      </c>
      <c r="BX248" s="3"/>
      <c r="BY248" s="3"/>
      <c r="BZ248" s="3"/>
      <c r="CA248" s="3"/>
      <c r="CB248" s="112" t="s">
        <v>118</v>
      </c>
      <c r="CC248" s="112" t="s">
        <v>109</v>
      </c>
      <c r="CD248" s="3"/>
      <c r="CE248" s="3"/>
      <c r="CF248" s="112"/>
      <c r="CG248" s="112"/>
      <c r="CH248" s="133"/>
      <c r="CI248" s="112" t="str">
        <f t="shared" si="32"/>
        <v>Jun'24</v>
      </c>
      <c r="CJ248" s="112" t="s">
        <v>132</v>
      </c>
      <c r="CK248" s="112"/>
      <c r="CL248" s="192"/>
    </row>
    <row r="249" spans="1:90" s="4" customFormat="1" ht="94.5" customHeight="1" x14ac:dyDescent="0.25">
      <c r="A249" s="3">
        <v>213</v>
      </c>
      <c r="B249" s="126" t="s">
        <v>1256</v>
      </c>
      <c r="C249" s="109" t="s">
        <v>1257</v>
      </c>
      <c r="D249" s="3" t="s">
        <v>195</v>
      </c>
      <c r="E249" s="59">
        <v>2018</v>
      </c>
      <c r="F249" s="3">
        <v>9822773671</v>
      </c>
      <c r="G249" s="3" t="s">
        <v>142</v>
      </c>
      <c r="H249" s="3" t="s">
        <v>122</v>
      </c>
      <c r="I249" s="3" t="s">
        <v>143</v>
      </c>
      <c r="J249" s="3" t="s">
        <v>144</v>
      </c>
      <c r="K249" s="3" t="s">
        <v>1258</v>
      </c>
      <c r="L249" s="3" t="s">
        <v>105</v>
      </c>
      <c r="M249" s="56">
        <v>45479</v>
      </c>
      <c r="N249" s="69">
        <f t="shared" ca="1" si="29"/>
        <v>698</v>
      </c>
      <c r="O249" s="72" t="str">
        <f t="shared" ca="1" si="30"/>
        <v>1-2Y</v>
      </c>
      <c r="P249" s="198" t="s">
        <v>158</v>
      </c>
      <c r="Q249" s="3" t="s">
        <v>192</v>
      </c>
      <c r="R249" s="3" t="s">
        <v>108</v>
      </c>
      <c r="S249" s="129">
        <v>40</v>
      </c>
      <c r="T249" s="129">
        <v>110</v>
      </c>
      <c r="U249" s="129">
        <f t="shared" si="31"/>
        <v>150</v>
      </c>
      <c r="V249" s="3"/>
      <c r="W249" s="3" t="s">
        <v>171</v>
      </c>
      <c r="X249" s="3" t="s">
        <v>394</v>
      </c>
      <c r="Y249" s="60"/>
      <c r="Z249" s="3"/>
      <c r="AA249" s="3"/>
      <c r="AB249" s="3"/>
      <c r="AC249" s="3"/>
      <c r="AD249" s="249">
        <f t="shared" si="34"/>
        <v>46905</v>
      </c>
      <c r="AE249" s="249">
        <f t="shared" si="35"/>
        <v>46997</v>
      </c>
      <c r="AF249" s="3" t="s">
        <v>394</v>
      </c>
      <c r="AG249" s="109" t="s">
        <v>581</v>
      </c>
      <c r="AH249" s="3"/>
      <c r="AI249" s="3" t="s">
        <v>115</v>
      </c>
      <c r="AJ249" s="3" t="s">
        <v>115</v>
      </c>
      <c r="AK249" s="3" t="s">
        <v>181</v>
      </c>
      <c r="AL249" s="45">
        <v>46905</v>
      </c>
      <c r="AM249" s="3" t="s">
        <v>109</v>
      </c>
      <c r="AN249" s="3" t="s">
        <v>109</v>
      </c>
      <c r="AO249" s="3"/>
      <c r="AP249" s="3"/>
      <c r="AQ249" s="3"/>
      <c r="AR249" s="109" t="s">
        <v>1259</v>
      </c>
      <c r="AS249" s="249">
        <v>46997</v>
      </c>
      <c r="AT249" s="3" t="s">
        <v>109</v>
      </c>
      <c r="AU249" s="3" t="s">
        <v>298</v>
      </c>
      <c r="AV249" s="109" t="s">
        <v>1260</v>
      </c>
      <c r="AW249" s="3" t="s">
        <v>111</v>
      </c>
      <c r="AX249" s="3" t="s">
        <v>109</v>
      </c>
      <c r="AY249" s="3" t="s">
        <v>198</v>
      </c>
      <c r="AZ249" s="3" t="s">
        <v>130</v>
      </c>
      <c r="BA249" s="3" t="s">
        <v>198</v>
      </c>
      <c r="BB249" s="3" t="s">
        <v>261</v>
      </c>
      <c r="BC249" s="3" t="s">
        <v>130</v>
      </c>
      <c r="BD249" s="3" t="s">
        <v>111</v>
      </c>
      <c r="BE249" s="3" t="s">
        <v>130</v>
      </c>
      <c r="BF249" s="3" t="s">
        <v>130</v>
      </c>
      <c r="BG249" s="59" t="s">
        <v>332</v>
      </c>
      <c r="BH249" s="59" t="s">
        <v>171</v>
      </c>
      <c r="BI249" s="45">
        <v>46721</v>
      </c>
      <c r="BJ249" s="45">
        <v>46812</v>
      </c>
      <c r="BK249" s="3" t="s">
        <v>109</v>
      </c>
      <c r="BL249" s="3"/>
      <c r="BM249" s="3" t="s">
        <v>111</v>
      </c>
      <c r="BN249" s="3" t="s">
        <v>111</v>
      </c>
      <c r="BO249" s="3" t="s">
        <v>115</v>
      </c>
      <c r="BP249" s="3"/>
      <c r="BQ249" s="3"/>
      <c r="BR249" s="3"/>
      <c r="BS249" s="3"/>
      <c r="BT249" s="3"/>
      <c r="BU249" s="3"/>
      <c r="BV249" s="3"/>
      <c r="BW249" s="3" t="s">
        <v>184</v>
      </c>
      <c r="BX249" s="3"/>
      <c r="BY249" s="3"/>
      <c r="BZ249" s="3"/>
      <c r="CA249" s="3"/>
      <c r="CB249" s="112" t="s">
        <v>118</v>
      </c>
      <c r="CC249" s="112" t="s">
        <v>109</v>
      </c>
      <c r="CD249" s="3"/>
      <c r="CE249" s="3"/>
      <c r="CF249" s="112"/>
      <c r="CG249" s="112"/>
      <c r="CH249" s="133"/>
      <c r="CI249" s="112" t="str">
        <f t="shared" si="32"/>
        <v>Jul'24</v>
      </c>
      <c r="CJ249" s="112" t="s">
        <v>192</v>
      </c>
      <c r="CK249" s="112"/>
      <c r="CL249" s="192"/>
    </row>
    <row r="250" spans="1:90" s="4" customFormat="1" ht="94.5" customHeight="1" x14ac:dyDescent="0.25">
      <c r="A250" s="3">
        <v>211</v>
      </c>
      <c r="B250" s="126" t="s">
        <v>1261</v>
      </c>
      <c r="C250" s="109" t="s">
        <v>1262</v>
      </c>
      <c r="D250" s="3" t="s">
        <v>156</v>
      </c>
      <c r="E250" s="59">
        <v>2050</v>
      </c>
      <c r="F250" s="3">
        <v>9767222999</v>
      </c>
      <c r="G250" s="3" t="s">
        <v>169</v>
      </c>
      <c r="H250" s="3" t="s">
        <v>122</v>
      </c>
      <c r="I250" s="3" t="s">
        <v>143</v>
      </c>
      <c r="J250" s="3" t="s">
        <v>144</v>
      </c>
      <c r="K250" s="3" t="s">
        <v>1263</v>
      </c>
      <c r="L250" s="3" t="s">
        <v>105</v>
      </c>
      <c r="M250" s="56">
        <v>45479</v>
      </c>
      <c r="N250" s="69">
        <f t="shared" ca="1" si="29"/>
        <v>698</v>
      </c>
      <c r="O250" s="72" t="str">
        <f t="shared" ca="1" si="30"/>
        <v>1-2Y</v>
      </c>
      <c r="P250" s="198" t="s">
        <v>158</v>
      </c>
      <c r="Q250" s="3" t="s">
        <v>1264</v>
      </c>
      <c r="R250" s="3" t="s">
        <v>164</v>
      </c>
      <c r="S250" s="129">
        <v>30</v>
      </c>
      <c r="T250" s="129">
        <v>70</v>
      </c>
      <c r="U250" s="129">
        <f t="shared" si="31"/>
        <v>100</v>
      </c>
      <c r="V250" s="3"/>
      <c r="W250" s="3" t="s">
        <v>171</v>
      </c>
      <c r="X250" s="3" t="s">
        <v>394</v>
      </c>
      <c r="Y250" s="60"/>
      <c r="Z250" s="3"/>
      <c r="AA250" s="3"/>
      <c r="AB250" s="3"/>
      <c r="AC250" s="3"/>
      <c r="AD250" s="249">
        <f t="shared" si="34"/>
        <v>46905</v>
      </c>
      <c r="AE250" s="249">
        <f t="shared" si="35"/>
        <v>46997</v>
      </c>
      <c r="AF250" s="3" t="s">
        <v>394</v>
      </c>
      <c r="AG250" s="3" t="s">
        <v>581</v>
      </c>
      <c r="AH250" s="3"/>
      <c r="AI250" s="3" t="s">
        <v>115</v>
      </c>
      <c r="AJ250" s="3" t="s">
        <v>115</v>
      </c>
      <c r="AK250" s="3" t="s">
        <v>181</v>
      </c>
      <c r="AL250" s="45">
        <v>46905</v>
      </c>
      <c r="AM250" s="3" t="s">
        <v>109</v>
      </c>
      <c r="AN250" s="3" t="s">
        <v>109</v>
      </c>
      <c r="AO250" s="3"/>
      <c r="AP250" s="3"/>
      <c r="AQ250" s="3"/>
      <c r="AR250" s="109" t="s">
        <v>352</v>
      </c>
      <c r="AS250" s="249">
        <v>46997</v>
      </c>
      <c r="AT250" s="3" t="s">
        <v>109</v>
      </c>
      <c r="AU250" s="3" t="s">
        <v>171</v>
      </c>
      <c r="AV250" s="3" t="s">
        <v>1265</v>
      </c>
      <c r="AW250" s="3" t="s">
        <v>111</v>
      </c>
      <c r="AX250" s="3" t="s">
        <v>111</v>
      </c>
      <c r="AY250" s="3" t="s">
        <v>111</v>
      </c>
      <c r="AZ250" s="3" t="s">
        <v>111</v>
      </c>
      <c r="BA250" s="3" t="s">
        <v>111</v>
      </c>
      <c r="BB250" s="3" t="s">
        <v>111</v>
      </c>
      <c r="BC250" s="3" t="s">
        <v>111</v>
      </c>
      <c r="BD250" s="3" t="s">
        <v>111</v>
      </c>
      <c r="BE250" s="3" t="s">
        <v>111</v>
      </c>
      <c r="BF250" s="3" t="s">
        <v>111</v>
      </c>
      <c r="BG250" s="3" t="s">
        <v>111</v>
      </c>
      <c r="BH250" s="3" t="s">
        <v>111</v>
      </c>
      <c r="BI250" s="3" t="s">
        <v>111</v>
      </c>
      <c r="BJ250" s="3" t="s">
        <v>111</v>
      </c>
      <c r="BK250" s="3" t="s">
        <v>260</v>
      </c>
      <c r="BL250" s="3" t="s">
        <v>261</v>
      </c>
      <c r="BM250" s="3" t="s">
        <v>111</v>
      </c>
      <c r="BN250" s="3" t="s">
        <v>111</v>
      </c>
      <c r="BO250" s="3" t="s">
        <v>115</v>
      </c>
      <c r="BP250" s="3"/>
      <c r="BQ250" s="3"/>
      <c r="BR250" s="3"/>
      <c r="BS250" s="3"/>
      <c r="BT250" s="3"/>
      <c r="BU250" s="3"/>
      <c r="BV250" s="3"/>
      <c r="BW250" s="3" t="s">
        <v>184</v>
      </c>
      <c r="BX250" s="3"/>
      <c r="BY250" s="3"/>
      <c r="BZ250" s="3"/>
      <c r="CA250" s="3"/>
      <c r="CB250" s="112" t="s">
        <v>118</v>
      </c>
      <c r="CC250" s="112" t="s">
        <v>109</v>
      </c>
      <c r="CD250" s="3"/>
      <c r="CE250" s="3"/>
      <c r="CF250" s="112"/>
      <c r="CG250" s="112"/>
      <c r="CH250" s="133"/>
      <c r="CI250" s="112" t="str">
        <f t="shared" si="32"/>
        <v>Jul'24</v>
      </c>
      <c r="CJ250" s="112" t="s">
        <v>132</v>
      </c>
      <c r="CK250" s="112"/>
      <c r="CL250" s="192"/>
    </row>
    <row r="251" spans="1:90" s="4" customFormat="1" ht="94.5" customHeight="1" x14ac:dyDescent="0.25">
      <c r="A251" s="3">
        <v>212</v>
      </c>
      <c r="B251" s="126" t="s">
        <v>1266</v>
      </c>
      <c r="C251" s="109" t="s">
        <v>1267</v>
      </c>
      <c r="D251" s="3" t="s">
        <v>156</v>
      </c>
      <c r="E251" s="59">
        <v>2115</v>
      </c>
      <c r="F251" s="3">
        <v>8055750844</v>
      </c>
      <c r="G251" s="3" t="s">
        <v>100</v>
      </c>
      <c r="H251" s="3" t="s">
        <v>122</v>
      </c>
      <c r="I251" s="3" t="s">
        <v>102</v>
      </c>
      <c r="J251" s="3" t="s">
        <v>123</v>
      </c>
      <c r="K251" s="3" t="s">
        <v>1268</v>
      </c>
      <c r="L251" s="3" t="s">
        <v>105</v>
      </c>
      <c r="M251" s="56">
        <v>45479</v>
      </c>
      <c r="N251" s="69">
        <f t="shared" ca="1" si="29"/>
        <v>698</v>
      </c>
      <c r="O251" s="72" t="str">
        <f t="shared" ca="1" si="30"/>
        <v>1-2Y</v>
      </c>
      <c r="P251" s="198" t="s">
        <v>158</v>
      </c>
      <c r="Q251" s="3" t="s">
        <v>192</v>
      </c>
      <c r="R251" s="3" t="s">
        <v>108</v>
      </c>
      <c r="S251" s="129">
        <v>20</v>
      </c>
      <c r="T251" s="129">
        <v>55</v>
      </c>
      <c r="U251" s="129">
        <f t="shared" si="31"/>
        <v>75</v>
      </c>
      <c r="V251" s="3"/>
      <c r="W251" s="3" t="s">
        <v>171</v>
      </c>
      <c r="X251" s="3" t="s">
        <v>394</v>
      </c>
      <c r="Y251" s="60"/>
      <c r="Z251" s="3"/>
      <c r="AA251" s="3"/>
      <c r="AB251" s="3"/>
      <c r="AC251" s="3"/>
      <c r="AD251" s="249">
        <f t="shared" si="34"/>
        <v>46905</v>
      </c>
      <c r="AE251" s="249">
        <f t="shared" si="35"/>
        <v>46997</v>
      </c>
      <c r="AF251" s="3" t="s">
        <v>394</v>
      </c>
      <c r="AG251" s="3" t="s">
        <v>721</v>
      </c>
      <c r="AH251" s="3"/>
      <c r="AI251" s="3" t="s">
        <v>115</v>
      </c>
      <c r="AJ251" s="3" t="s">
        <v>115</v>
      </c>
      <c r="AK251" s="3" t="s">
        <v>181</v>
      </c>
      <c r="AL251" s="45">
        <v>46905</v>
      </c>
      <c r="AM251" s="3" t="s">
        <v>109</v>
      </c>
      <c r="AN251" s="3" t="s">
        <v>109</v>
      </c>
      <c r="AO251" s="3"/>
      <c r="AP251" s="3"/>
      <c r="AQ251" s="3"/>
      <c r="AR251" s="109" t="s">
        <v>713</v>
      </c>
      <c r="AS251" s="249">
        <v>46997</v>
      </c>
      <c r="AT251" s="3" t="s">
        <v>109</v>
      </c>
      <c r="AU251" s="3" t="s">
        <v>171</v>
      </c>
      <c r="AV251" s="3" t="s">
        <v>1269</v>
      </c>
      <c r="AW251" s="3" t="s">
        <v>109</v>
      </c>
      <c r="AX251" s="3" t="s">
        <v>111</v>
      </c>
      <c r="AY251" s="3" t="s">
        <v>111</v>
      </c>
      <c r="AZ251" s="3" t="s">
        <v>111</v>
      </c>
      <c r="BA251" s="3" t="s">
        <v>111</v>
      </c>
      <c r="BB251" s="3" t="s">
        <v>111</v>
      </c>
      <c r="BC251" s="3" t="s">
        <v>111</v>
      </c>
      <c r="BD251" s="3" t="s">
        <v>111</v>
      </c>
      <c r="BE251" s="3" t="s">
        <v>111</v>
      </c>
      <c r="BF251" s="3" t="s">
        <v>111</v>
      </c>
      <c r="BG251" s="3" t="s">
        <v>111</v>
      </c>
      <c r="BH251" s="3" t="s">
        <v>111</v>
      </c>
      <c r="BI251" s="3" t="s">
        <v>111</v>
      </c>
      <c r="BJ251" s="3" t="s">
        <v>111</v>
      </c>
      <c r="BK251" s="3" t="s">
        <v>109</v>
      </c>
      <c r="BL251" s="3" t="s">
        <v>114</v>
      </c>
      <c r="BM251" s="3" t="s">
        <v>111</v>
      </c>
      <c r="BN251" s="3" t="s">
        <v>111</v>
      </c>
      <c r="BO251" s="3" t="s">
        <v>115</v>
      </c>
      <c r="BP251" s="3"/>
      <c r="BQ251" s="3"/>
      <c r="BR251" s="3"/>
      <c r="BS251" s="3"/>
      <c r="BT251" s="3"/>
      <c r="BU251" s="3"/>
      <c r="BV251" s="3"/>
      <c r="BW251" s="3" t="s">
        <v>184</v>
      </c>
      <c r="BX251" s="3"/>
      <c r="BY251" s="3"/>
      <c r="BZ251" s="3"/>
      <c r="CA251" s="3"/>
      <c r="CB251" s="112" t="s">
        <v>118</v>
      </c>
      <c r="CC251" s="112" t="s">
        <v>109</v>
      </c>
      <c r="CD251" s="3"/>
      <c r="CE251" s="3"/>
      <c r="CF251" s="112"/>
      <c r="CG251" s="112"/>
      <c r="CH251" s="133"/>
      <c r="CI251" s="112" t="str">
        <f t="shared" si="32"/>
        <v>Jul'24</v>
      </c>
      <c r="CJ251" s="112" t="s">
        <v>192</v>
      </c>
      <c r="CK251" s="112"/>
      <c r="CL251" s="192"/>
    </row>
    <row r="252" spans="1:90" s="4" customFormat="1" ht="94.5" customHeight="1" x14ac:dyDescent="0.25">
      <c r="A252" s="3">
        <v>215</v>
      </c>
      <c r="B252" s="126" t="s">
        <v>1270</v>
      </c>
      <c r="C252" s="109" t="s">
        <v>1271</v>
      </c>
      <c r="D252" s="3" t="s">
        <v>121</v>
      </c>
      <c r="E252" s="59">
        <v>1719</v>
      </c>
      <c r="F252" s="3">
        <v>9420916471</v>
      </c>
      <c r="G252" s="3" t="s">
        <v>169</v>
      </c>
      <c r="H252" s="3" t="s">
        <v>101</v>
      </c>
      <c r="I252" s="3" t="s">
        <v>143</v>
      </c>
      <c r="J252" s="3" t="s">
        <v>162</v>
      </c>
      <c r="K252" s="3" t="s">
        <v>1272</v>
      </c>
      <c r="L252" s="3" t="s">
        <v>105</v>
      </c>
      <c r="M252" s="56">
        <v>45483</v>
      </c>
      <c r="N252" s="69">
        <f t="shared" ca="1" si="29"/>
        <v>694</v>
      </c>
      <c r="O252" s="72" t="str">
        <f t="shared" ca="1" si="30"/>
        <v>1-2Y</v>
      </c>
      <c r="P252" s="198" t="s">
        <v>106</v>
      </c>
      <c r="Q252" s="3" t="s">
        <v>107</v>
      </c>
      <c r="R252" s="3" t="s">
        <v>108</v>
      </c>
      <c r="S252" s="129">
        <v>20</v>
      </c>
      <c r="T252" s="129">
        <v>96</v>
      </c>
      <c r="U252" s="129">
        <f t="shared" si="31"/>
        <v>116</v>
      </c>
      <c r="V252" s="3"/>
      <c r="W252" s="3" t="s">
        <v>171</v>
      </c>
      <c r="X252" s="3" t="s">
        <v>394</v>
      </c>
      <c r="Y252" s="60"/>
      <c r="Z252" s="3" t="s">
        <v>274</v>
      </c>
      <c r="AA252" s="3"/>
      <c r="AB252" s="3"/>
      <c r="AC252" s="3"/>
      <c r="AD252" s="249">
        <f t="shared" si="34"/>
        <v>46905</v>
      </c>
      <c r="AE252" s="249">
        <f t="shared" si="35"/>
        <v>46997</v>
      </c>
      <c r="AF252" s="3" t="s">
        <v>394</v>
      </c>
      <c r="AG252" s="3" t="s">
        <v>581</v>
      </c>
      <c r="AH252" s="3"/>
      <c r="AI252" s="3"/>
      <c r="AJ252" s="3"/>
      <c r="AK252" s="3" t="s">
        <v>181</v>
      </c>
      <c r="AL252" s="45">
        <v>46905</v>
      </c>
      <c r="AM252" s="3"/>
      <c r="AN252" s="3"/>
      <c r="AO252" s="3"/>
      <c r="AP252" s="3"/>
      <c r="AQ252" s="3"/>
      <c r="AR252" s="109" t="s">
        <v>851</v>
      </c>
      <c r="AS252" s="249">
        <v>46997</v>
      </c>
      <c r="AT252" s="3" t="s">
        <v>109</v>
      </c>
      <c r="AU252" s="3" t="s">
        <v>171</v>
      </c>
      <c r="AV252" s="3" t="s">
        <v>1247</v>
      </c>
      <c r="AW252" s="3" t="s">
        <v>171</v>
      </c>
      <c r="AX252" s="3" t="s">
        <v>109</v>
      </c>
      <c r="AY252" s="3" t="s">
        <v>130</v>
      </c>
      <c r="AZ252" s="3" t="s">
        <v>130</v>
      </c>
      <c r="BA252" s="3" t="s">
        <v>130</v>
      </c>
      <c r="BB252" s="3" t="s">
        <v>130</v>
      </c>
      <c r="BC252" s="3" t="s">
        <v>130</v>
      </c>
      <c r="BD252" s="3" t="s">
        <v>130</v>
      </c>
      <c r="BE252" s="3" t="s">
        <v>111</v>
      </c>
      <c r="BF252" s="3" t="s">
        <v>111</v>
      </c>
      <c r="BG252" s="59" t="s">
        <v>332</v>
      </c>
      <c r="BH252" s="59" t="s">
        <v>171</v>
      </c>
      <c r="BI252" s="45">
        <v>46905</v>
      </c>
      <c r="BJ252" s="45">
        <v>46935</v>
      </c>
      <c r="BK252" s="3" t="s">
        <v>171</v>
      </c>
      <c r="BL252" s="3" t="s">
        <v>1273</v>
      </c>
      <c r="BM252" s="3"/>
      <c r="BN252" s="3"/>
      <c r="BO252" s="3"/>
      <c r="BP252" s="3"/>
      <c r="BQ252" s="3"/>
      <c r="BR252" s="3"/>
      <c r="BS252" s="3"/>
      <c r="BT252" s="3"/>
      <c r="BU252" s="3"/>
      <c r="BV252" s="3"/>
      <c r="BW252" s="3" t="s">
        <v>184</v>
      </c>
      <c r="BX252" s="3"/>
      <c r="BY252" s="3"/>
      <c r="BZ252" s="3"/>
      <c r="CA252" s="3"/>
      <c r="CB252" s="112" t="s">
        <v>118</v>
      </c>
      <c r="CC252" s="112" t="s">
        <v>109</v>
      </c>
      <c r="CD252" s="3"/>
      <c r="CE252" s="3"/>
      <c r="CF252" s="112"/>
      <c r="CG252" s="112"/>
      <c r="CH252" s="133"/>
      <c r="CI252" s="112" t="str">
        <f t="shared" si="32"/>
        <v>Jul'24</v>
      </c>
      <c r="CJ252" s="112" t="s">
        <v>107</v>
      </c>
      <c r="CK252" s="112"/>
      <c r="CL252" s="192"/>
    </row>
    <row r="253" spans="1:90" s="4" customFormat="1" ht="94.5" customHeight="1" x14ac:dyDescent="0.25">
      <c r="A253" s="3">
        <v>216</v>
      </c>
      <c r="B253" s="126" t="s">
        <v>1274</v>
      </c>
      <c r="C253" s="109" t="s">
        <v>1275</v>
      </c>
      <c r="D253" s="3" t="s">
        <v>220</v>
      </c>
      <c r="E253" s="59">
        <v>1747</v>
      </c>
      <c r="F253" s="3">
        <v>7083272929</v>
      </c>
      <c r="G253" s="3" t="s">
        <v>142</v>
      </c>
      <c r="H253" s="3" t="s">
        <v>122</v>
      </c>
      <c r="I253" s="3" t="s">
        <v>143</v>
      </c>
      <c r="J253" s="3" t="s">
        <v>144</v>
      </c>
      <c r="K253" s="3" t="s">
        <v>1276</v>
      </c>
      <c r="L253" s="3" t="s">
        <v>105</v>
      </c>
      <c r="M253" s="56">
        <v>45483</v>
      </c>
      <c r="N253" s="69">
        <f t="shared" ca="1" si="29"/>
        <v>694</v>
      </c>
      <c r="O253" s="72" t="str">
        <f t="shared" ca="1" si="30"/>
        <v>1-2Y</v>
      </c>
      <c r="P253" s="198" t="s">
        <v>106</v>
      </c>
      <c r="Q253" s="3" t="s">
        <v>125</v>
      </c>
      <c r="R253" s="3" t="s">
        <v>108</v>
      </c>
      <c r="S253" s="129">
        <v>30</v>
      </c>
      <c r="T253" s="129">
        <v>120</v>
      </c>
      <c r="U253" s="129">
        <f t="shared" si="31"/>
        <v>150</v>
      </c>
      <c r="V253" s="3"/>
      <c r="W253" s="3" t="s">
        <v>171</v>
      </c>
      <c r="X253" s="3" t="s">
        <v>394</v>
      </c>
      <c r="Y253" s="60"/>
      <c r="Z253" s="3"/>
      <c r="AA253" s="3"/>
      <c r="AB253" s="3"/>
      <c r="AC253" s="3"/>
      <c r="AD253" s="249">
        <f t="shared" si="34"/>
        <v>46905</v>
      </c>
      <c r="AE253" s="249">
        <f t="shared" si="35"/>
        <v>46997</v>
      </c>
      <c r="AF253" s="3" t="s">
        <v>394</v>
      </c>
      <c r="AG253" s="3" t="s">
        <v>581</v>
      </c>
      <c r="AH253" s="3"/>
      <c r="AI253" s="3" t="s">
        <v>115</v>
      </c>
      <c r="AJ253" s="3" t="s">
        <v>115</v>
      </c>
      <c r="AK253" s="3" t="s">
        <v>181</v>
      </c>
      <c r="AL253" s="45">
        <v>46905</v>
      </c>
      <c r="AM253" s="3" t="s">
        <v>109</v>
      </c>
      <c r="AN253" s="3" t="s">
        <v>109</v>
      </c>
      <c r="AO253" s="3"/>
      <c r="AP253" s="3"/>
      <c r="AQ253" s="3"/>
      <c r="AR253" s="109" t="s">
        <v>851</v>
      </c>
      <c r="AS253" s="249">
        <v>46997</v>
      </c>
      <c r="AT253" s="3"/>
      <c r="AU253" s="59" t="s">
        <v>171</v>
      </c>
      <c r="AV253" s="3" t="s">
        <v>1277</v>
      </c>
      <c r="AW253" s="59" t="s">
        <v>171</v>
      </c>
      <c r="AX253" s="3"/>
      <c r="AY253" s="3"/>
      <c r="AZ253" s="3"/>
      <c r="BA253" s="3"/>
      <c r="BB253" s="3"/>
      <c r="BC253" s="3"/>
      <c r="BD253" s="3"/>
      <c r="BE253" s="3"/>
      <c r="BF253" s="3"/>
      <c r="BG253" s="59"/>
      <c r="BH253" s="59"/>
      <c r="BI253" s="45"/>
      <c r="BJ253" s="45"/>
      <c r="BK253" s="3" t="s">
        <v>260</v>
      </c>
      <c r="BL253" s="3" t="s">
        <v>261</v>
      </c>
      <c r="BM253" s="3" t="s">
        <v>111</v>
      </c>
      <c r="BN253" s="3" t="s">
        <v>111</v>
      </c>
      <c r="BO253" s="3" t="s">
        <v>115</v>
      </c>
      <c r="BP253" s="3"/>
      <c r="BQ253" s="3"/>
      <c r="BR253" s="3"/>
      <c r="BS253" s="3"/>
      <c r="BT253" s="3"/>
      <c r="BU253" s="3"/>
      <c r="BV253" s="3"/>
      <c r="BW253" s="3" t="s">
        <v>184</v>
      </c>
      <c r="BX253" s="3"/>
      <c r="BY253" s="3"/>
      <c r="BZ253" s="3"/>
      <c r="CA253" s="3"/>
      <c r="CB253" s="112" t="s">
        <v>118</v>
      </c>
      <c r="CC253" s="112" t="s">
        <v>109</v>
      </c>
      <c r="CD253" s="3"/>
      <c r="CE253" s="3"/>
      <c r="CF253" s="112"/>
      <c r="CG253" s="112"/>
      <c r="CH253" s="133"/>
      <c r="CI253" s="112" t="str">
        <f t="shared" si="32"/>
        <v>Jul'24</v>
      </c>
      <c r="CJ253" s="112" t="s">
        <v>132</v>
      </c>
      <c r="CK253" s="112"/>
      <c r="CL253" s="192"/>
    </row>
    <row r="254" spans="1:90" s="4" customFormat="1" ht="94.5" customHeight="1" x14ac:dyDescent="0.25">
      <c r="A254" s="109">
        <v>219</v>
      </c>
      <c r="B254" s="126" t="s">
        <v>1278</v>
      </c>
      <c r="C254" s="109" t="s">
        <v>1279</v>
      </c>
      <c r="D254" s="109" t="s">
        <v>884</v>
      </c>
      <c r="E254" s="109"/>
      <c r="F254" s="109">
        <v>9423126607</v>
      </c>
      <c r="G254" s="109" t="s">
        <v>169</v>
      </c>
      <c r="H254" s="109" t="s">
        <v>101</v>
      </c>
      <c r="I254" s="109" t="s">
        <v>143</v>
      </c>
      <c r="J254" s="109" t="s">
        <v>162</v>
      </c>
      <c r="K254" s="109" t="s">
        <v>1280</v>
      </c>
      <c r="L254" s="109" t="s">
        <v>179</v>
      </c>
      <c r="M254" s="236">
        <v>45547</v>
      </c>
      <c r="N254" s="237">
        <f t="shared" ca="1" si="29"/>
        <v>630</v>
      </c>
      <c r="O254" s="237" t="str">
        <f t="shared" ca="1" si="30"/>
        <v>1-2Y</v>
      </c>
      <c r="P254" s="198" t="s">
        <v>158</v>
      </c>
      <c r="Q254" s="109" t="s">
        <v>180</v>
      </c>
      <c r="R254" s="109" t="s">
        <v>164</v>
      </c>
      <c r="S254" s="129">
        <v>20</v>
      </c>
      <c r="T254" s="129">
        <v>80</v>
      </c>
      <c r="U254" s="129">
        <f t="shared" si="31"/>
        <v>100</v>
      </c>
      <c r="V254" s="109"/>
      <c r="W254" s="109" t="s">
        <v>171</v>
      </c>
      <c r="X254" s="109" t="s">
        <v>394</v>
      </c>
      <c r="Y254" s="238"/>
      <c r="Z254" s="3" t="s">
        <v>274</v>
      </c>
      <c r="AA254" s="109"/>
      <c r="AB254" s="109"/>
      <c r="AC254" s="109"/>
      <c r="AD254" s="249">
        <f t="shared" si="34"/>
        <v>46905</v>
      </c>
      <c r="AE254" s="249">
        <f t="shared" si="35"/>
        <v>46997</v>
      </c>
      <c r="AF254" s="109" t="s">
        <v>394</v>
      </c>
      <c r="AG254" s="109" t="s">
        <v>1214</v>
      </c>
      <c r="AH254" s="109"/>
      <c r="AI254" s="109"/>
      <c r="AJ254" s="109"/>
      <c r="AK254" s="109" t="s">
        <v>181</v>
      </c>
      <c r="AL254" s="239">
        <v>46905</v>
      </c>
      <c r="AM254" s="109"/>
      <c r="AN254" s="109"/>
      <c r="AO254" s="109"/>
      <c r="AP254" s="109"/>
      <c r="AQ254" s="109"/>
      <c r="AR254" s="109" t="s">
        <v>1281</v>
      </c>
      <c r="AS254" s="249">
        <v>46997</v>
      </c>
      <c r="AT254" s="109" t="s">
        <v>109</v>
      </c>
      <c r="AU254" s="109" t="s">
        <v>419</v>
      </c>
      <c r="AV254" s="109" t="s">
        <v>1282</v>
      </c>
      <c r="AW254" s="109"/>
      <c r="AX254" s="109"/>
      <c r="AY254" s="109"/>
      <c r="AZ254" s="109"/>
      <c r="BA254" s="109"/>
      <c r="BB254" s="109"/>
      <c r="BC254" s="109"/>
      <c r="BD254" s="109" t="s">
        <v>111</v>
      </c>
      <c r="BE254" s="109"/>
      <c r="BF254" s="109"/>
      <c r="BG254" s="109"/>
      <c r="BH254" s="109"/>
      <c r="BI254" s="239"/>
      <c r="BJ254" s="239"/>
      <c r="BK254" s="109" t="s">
        <v>109</v>
      </c>
      <c r="BL254" s="109"/>
      <c r="BM254" s="109"/>
      <c r="BN254" s="109"/>
      <c r="BO254" s="109"/>
      <c r="BP254" s="109"/>
      <c r="BQ254" s="109"/>
      <c r="BR254" s="109"/>
      <c r="BS254" s="109"/>
      <c r="BT254" s="109"/>
      <c r="BU254" s="109"/>
      <c r="BV254" s="109"/>
      <c r="BW254" s="109" t="s">
        <v>184</v>
      </c>
      <c r="BX254" s="109"/>
      <c r="BY254" s="109"/>
      <c r="BZ254" s="109"/>
      <c r="CA254" s="109"/>
      <c r="CB254" s="112" t="s">
        <v>185</v>
      </c>
      <c r="CC254" s="112" t="s">
        <v>109</v>
      </c>
      <c r="CD254" s="3"/>
      <c r="CE254" s="3"/>
      <c r="CF254" s="112"/>
      <c r="CG254" s="112"/>
      <c r="CH254" s="133"/>
      <c r="CI254" s="112" t="str">
        <f t="shared" si="32"/>
        <v>Sep'24</v>
      </c>
      <c r="CJ254" s="112" t="s">
        <v>186</v>
      </c>
      <c r="CK254" s="255"/>
      <c r="CL254" s="192"/>
    </row>
    <row r="255" spans="1:90" s="4" customFormat="1" ht="94.5" customHeight="1" x14ac:dyDescent="0.25">
      <c r="A255" s="3">
        <v>222</v>
      </c>
      <c r="B255" s="126" t="s">
        <v>1283</v>
      </c>
      <c r="C255" s="109" t="s">
        <v>1284</v>
      </c>
      <c r="D255" s="3" t="s">
        <v>121</v>
      </c>
      <c r="E255" s="59"/>
      <c r="F255" s="3" t="s">
        <v>181</v>
      </c>
      <c r="G255" s="3" t="s">
        <v>142</v>
      </c>
      <c r="H255" s="3" t="s">
        <v>122</v>
      </c>
      <c r="I255" s="3" t="s">
        <v>143</v>
      </c>
      <c r="J255" s="3" t="s">
        <v>144</v>
      </c>
      <c r="K255" s="3" t="s">
        <v>1285</v>
      </c>
      <c r="L255" s="3" t="s">
        <v>179</v>
      </c>
      <c r="M255" s="56">
        <v>45573</v>
      </c>
      <c r="N255" s="69">
        <f t="shared" ca="1" si="29"/>
        <v>604</v>
      </c>
      <c r="O255" s="72" t="str">
        <f t="shared" ca="1" si="30"/>
        <v>1-2Y</v>
      </c>
      <c r="P255" s="198" t="s">
        <v>106</v>
      </c>
      <c r="Q255" s="3" t="s">
        <v>125</v>
      </c>
      <c r="R255" s="3" t="s">
        <v>108</v>
      </c>
      <c r="S255" s="129">
        <v>30</v>
      </c>
      <c r="T255" s="129">
        <v>125</v>
      </c>
      <c r="U255" s="129">
        <f t="shared" si="31"/>
        <v>155</v>
      </c>
      <c r="V255" s="3"/>
      <c r="W255" s="3" t="s">
        <v>171</v>
      </c>
      <c r="X255" s="3" t="s">
        <v>394</v>
      </c>
      <c r="Y255" s="60"/>
      <c r="Z255" s="3"/>
      <c r="AA255" s="3"/>
      <c r="AB255" s="3"/>
      <c r="AC255" s="3"/>
      <c r="AD255" s="249">
        <f t="shared" si="34"/>
        <v>46905</v>
      </c>
      <c r="AE255" s="249">
        <f t="shared" si="35"/>
        <v>46997</v>
      </c>
      <c r="AF255" s="3" t="s">
        <v>394</v>
      </c>
      <c r="AG255" s="3" t="s">
        <v>721</v>
      </c>
      <c r="AH255" s="3"/>
      <c r="AI255" s="3" t="s">
        <v>115</v>
      </c>
      <c r="AJ255" s="3" t="s">
        <v>115</v>
      </c>
      <c r="AK255" s="3" t="s">
        <v>181</v>
      </c>
      <c r="AL255" s="45">
        <v>46905</v>
      </c>
      <c r="AM255" s="3" t="s">
        <v>109</v>
      </c>
      <c r="AN255" s="3" t="s">
        <v>109</v>
      </c>
      <c r="AO255" s="3"/>
      <c r="AP255" s="3"/>
      <c r="AQ255" s="3"/>
      <c r="AR255" s="109" t="s">
        <v>1286</v>
      </c>
      <c r="AS255" s="249">
        <v>46997</v>
      </c>
      <c r="AT255" s="3" t="s">
        <v>109</v>
      </c>
      <c r="AU255" s="3" t="s">
        <v>171</v>
      </c>
      <c r="AV255" s="3" t="s">
        <v>369</v>
      </c>
      <c r="AW255" s="3" t="s">
        <v>171</v>
      </c>
      <c r="AX255" s="3" t="s">
        <v>109</v>
      </c>
      <c r="AY255" s="3" t="s">
        <v>130</v>
      </c>
      <c r="AZ255" s="3" t="s">
        <v>130</v>
      </c>
      <c r="BA255" s="3" t="s">
        <v>130</v>
      </c>
      <c r="BB255" s="3" t="s">
        <v>130</v>
      </c>
      <c r="BC255" s="3" t="s">
        <v>130</v>
      </c>
      <c r="BD255" s="3" t="s">
        <v>130</v>
      </c>
      <c r="BE255" s="3" t="s">
        <v>111</v>
      </c>
      <c r="BF255" s="3" t="s">
        <v>111</v>
      </c>
      <c r="BG255" s="59" t="s">
        <v>332</v>
      </c>
      <c r="BH255" s="59" t="s">
        <v>171</v>
      </c>
      <c r="BI255" s="45">
        <v>46905</v>
      </c>
      <c r="BJ255" s="45">
        <v>46935</v>
      </c>
      <c r="BK255" s="3" t="s">
        <v>109</v>
      </c>
      <c r="BL255" s="3"/>
      <c r="BM255" s="3" t="s">
        <v>111</v>
      </c>
      <c r="BN255" s="3" t="s">
        <v>111</v>
      </c>
      <c r="BO255" s="3" t="s">
        <v>115</v>
      </c>
      <c r="BP255" s="3"/>
      <c r="BQ255" s="3"/>
      <c r="BR255" s="3"/>
      <c r="BS255" s="3"/>
      <c r="BT255" s="3"/>
      <c r="BU255" s="3"/>
      <c r="BV255" s="3"/>
      <c r="BW255" s="3" t="s">
        <v>184</v>
      </c>
      <c r="BX255" s="3"/>
      <c r="BY255" s="3"/>
      <c r="BZ255" s="3"/>
      <c r="CA255" s="3"/>
      <c r="CB255" s="112" t="s">
        <v>185</v>
      </c>
      <c r="CC255" s="112" t="s">
        <v>109</v>
      </c>
      <c r="CD255" s="3"/>
      <c r="CE255" s="3"/>
      <c r="CF255" s="112"/>
      <c r="CG255" s="112"/>
      <c r="CH255" s="133"/>
      <c r="CI255" s="112" t="str">
        <f t="shared" si="32"/>
        <v>Oct'24</v>
      </c>
      <c r="CJ255" s="112" t="s">
        <v>132</v>
      </c>
      <c r="CK255" s="112"/>
      <c r="CL255" s="112"/>
    </row>
    <row r="256" spans="1:90" s="4" customFormat="1" ht="94.5" customHeight="1" x14ac:dyDescent="0.25">
      <c r="A256" s="3">
        <v>221</v>
      </c>
      <c r="B256" s="126" t="s">
        <v>1287</v>
      </c>
      <c r="C256" s="109" t="s">
        <v>1288</v>
      </c>
      <c r="D256" s="3" t="s">
        <v>135</v>
      </c>
      <c r="E256" s="59">
        <v>101</v>
      </c>
      <c r="F256" s="3" t="s">
        <v>1289</v>
      </c>
      <c r="G256" s="3" t="s">
        <v>169</v>
      </c>
      <c r="H256" s="3" t="s">
        <v>101</v>
      </c>
      <c r="I256" s="3" t="s">
        <v>143</v>
      </c>
      <c r="J256" s="3" t="s">
        <v>162</v>
      </c>
      <c r="K256" s="3" t="s">
        <v>1290</v>
      </c>
      <c r="L256" s="3" t="s">
        <v>105</v>
      </c>
      <c r="M256" s="56">
        <v>45573</v>
      </c>
      <c r="N256" s="69">
        <f t="shared" ca="1" si="29"/>
        <v>604</v>
      </c>
      <c r="O256" s="72" t="str">
        <f t="shared" ca="1" si="30"/>
        <v>1-2Y</v>
      </c>
      <c r="P256" s="198" t="s">
        <v>137</v>
      </c>
      <c r="Q256" s="3" t="s">
        <v>180</v>
      </c>
      <c r="R256" s="3" t="s">
        <v>108</v>
      </c>
      <c r="S256" s="129">
        <v>30</v>
      </c>
      <c r="T256" s="129">
        <v>120</v>
      </c>
      <c r="U256" s="129">
        <f t="shared" si="31"/>
        <v>150</v>
      </c>
      <c r="V256" s="3"/>
      <c r="W256" s="3" t="s">
        <v>171</v>
      </c>
      <c r="X256" s="3" t="s">
        <v>394</v>
      </c>
      <c r="Y256" s="60"/>
      <c r="Z256" s="3" t="s">
        <v>274</v>
      </c>
      <c r="AA256" s="3"/>
      <c r="AB256" s="3"/>
      <c r="AC256" s="3"/>
      <c r="AD256" s="249">
        <v>46905</v>
      </c>
      <c r="AE256" s="249">
        <f t="shared" si="35"/>
        <v>46997</v>
      </c>
      <c r="AF256" s="3" t="s">
        <v>394</v>
      </c>
      <c r="AG256" s="3" t="s">
        <v>111</v>
      </c>
      <c r="AH256" s="3" t="s">
        <v>111</v>
      </c>
      <c r="AI256" s="3" t="s">
        <v>1291</v>
      </c>
      <c r="AJ256" s="3"/>
      <c r="AK256" s="3" t="s">
        <v>181</v>
      </c>
      <c r="AL256" s="45">
        <v>46905</v>
      </c>
      <c r="AM256" s="3"/>
      <c r="AN256" s="3"/>
      <c r="AO256" s="3"/>
      <c r="AP256" s="3"/>
      <c r="AQ256" s="3"/>
      <c r="AR256" s="109" t="s">
        <v>1292</v>
      </c>
      <c r="AS256" s="249">
        <v>46997</v>
      </c>
      <c r="AT256" s="3" t="s">
        <v>109</v>
      </c>
      <c r="AU256" s="3" t="s">
        <v>298</v>
      </c>
      <c r="AV256" s="109" t="s">
        <v>1293</v>
      </c>
      <c r="AW256" s="3"/>
      <c r="AX256" s="3" t="s">
        <v>171</v>
      </c>
      <c r="AY256" s="3" t="s">
        <v>388</v>
      </c>
      <c r="AZ256" s="3" t="s">
        <v>388</v>
      </c>
      <c r="BA256" s="3" t="s">
        <v>388</v>
      </c>
      <c r="BB256" s="3" t="s">
        <v>388</v>
      </c>
      <c r="BC256" s="3" t="s">
        <v>388</v>
      </c>
      <c r="BD256" s="3" t="s">
        <v>111</v>
      </c>
      <c r="BE256" s="3" t="s">
        <v>111</v>
      </c>
      <c r="BF256" s="3" t="s">
        <v>111</v>
      </c>
      <c r="BG256" s="3" t="s">
        <v>332</v>
      </c>
      <c r="BH256" s="3" t="s">
        <v>171</v>
      </c>
      <c r="BI256" s="3" t="s">
        <v>111</v>
      </c>
      <c r="BJ256" s="3" t="s">
        <v>111</v>
      </c>
      <c r="BK256" s="3" t="s">
        <v>109</v>
      </c>
      <c r="BL256" s="3" t="s">
        <v>114</v>
      </c>
      <c r="BM256" s="3"/>
      <c r="BN256" s="3" t="s">
        <v>184</v>
      </c>
      <c r="BO256" s="3"/>
      <c r="BP256" s="3"/>
      <c r="BQ256" s="3"/>
      <c r="BR256" s="3"/>
      <c r="BS256" s="3"/>
      <c r="BT256" s="3"/>
      <c r="BU256" s="3"/>
      <c r="BV256" s="3"/>
      <c r="BW256" s="3" t="s">
        <v>184</v>
      </c>
      <c r="BX256" s="3"/>
      <c r="BY256" s="3"/>
      <c r="BZ256" s="3"/>
      <c r="CA256" s="3"/>
      <c r="CB256" s="112" t="s">
        <v>118</v>
      </c>
      <c r="CC256" s="112" t="s">
        <v>109</v>
      </c>
      <c r="CD256" s="3"/>
      <c r="CE256" s="3"/>
      <c r="CF256" s="112"/>
      <c r="CG256" s="112"/>
      <c r="CH256" s="133"/>
      <c r="CI256" s="112" t="str">
        <f t="shared" si="32"/>
        <v>Oct'24</v>
      </c>
      <c r="CJ256" s="112" t="s">
        <v>186</v>
      </c>
      <c r="CK256" s="257"/>
      <c r="CL256" s="192"/>
    </row>
    <row r="257" spans="1:90" s="4" customFormat="1" ht="94.5" customHeight="1" x14ac:dyDescent="0.25">
      <c r="A257" s="3">
        <v>224</v>
      </c>
      <c r="B257" s="126" t="s">
        <v>1294</v>
      </c>
      <c r="C257" s="109" t="s">
        <v>1295</v>
      </c>
      <c r="D257" s="3" t="s">
        <v>135</v>
      </c>
      <c r="E257" s="59">
        <v>2025</v>
      </c>
      <c r="F257" s="3">
        <v>9595033304</v>
      </c>
      <c r="G257" s="3" t="s">
        <v>142</v>
      </c>
      <c r="H257" s="3" t="s">
        <v>101</v>
      </c>
      <c r="I257" s="3" t="s">
        <v>143</v>
      </c>
      <c r="J257" s="3" t="s">
        <v>162</v>
      </c>
      <c r="K257" s="3" t="s">
        <v>1296</v>
      </c>
      <c r="L257" s="3" t="s">
        <v>105</v>
      </c>
      <c r="M257" s="56">
        <v>45575</v>
      </c>
      <c r="N257" s="69">
        <f t="shared" ca="1" si="29"/>
        <v>602</v>
      </c>
      <c r="O257" s="72" t="str">
        <f t="shared" ca="1" si="30"/>
        <v>1-2Y</v>
      </c>
      <c r="P257" s="198" t="s">
        <v>137</v>
      </c>
      <c r="Q257" s="3" t="s">
        <v>107</v>
      </c>
      <c r="R257" s="3" t="s">
        <v>164</v>
      </c>
      <c r="S257" s="129">
        <v>30</v>
      </c>
      <c r="T257" s="129">
        <v>120</v>
      </c>
      <c r="U257" s="129">
        <f t="shared" si="31"/>
        <v>150</v>
      </c>
      <c r="V257" s="3"/>
      <c r="W257" s="3" t="s">
        <v>171</v>
      </c>
      <c r="X257" s="3" t="s">
        <v>394</v>
      </c>
      <c r="Y257" s="60"/>
      <c r="Z257" s="3" t="s">
        <v>274</v>
      </c>
      <c r="AA257" s="3"/>
      <c r="AB257" s="3"/>
      <c r="AC257" s="3"/>
      <c r="AD257" s="249">
        <f t="shared" ref="AD257:AD269" si="36">+AL257</f>
        <v>46905</v>
      </c>
      <c r="AE257" s="249">
        <f t="shared" si="35"/>
        <v>46997</v>
      </c>
      <c r="AF257" s="3" t="s">
        <v>394</v>
      </c>
      <c r="AG257" s="3"/>
      <c r="AH257" s="3"/>
      <c r="AI257" s="3"/>
      <c r="AJ257" s="3"/>
      <c r="AK257" s="3" t="s">
        <v>181</v>
      </c>
      <c r="AL257" s="45">
        <v>46905</v>
      </c>
      <c r="AM257" s="3"/>
      <c r="AN257" s="3"/>
      <c r="AO257" s="3"/>
      <c r="AP257" s="3"/>
      <c r="AQ257" s="3"/>
      <c r="AR257" s="109" t="s">
        <v>1297</v>
      </c>
      <c r="AS257" s="249">
        <v>46997</v>
      </c>
      <c r="AT257" s="3" t="s">
        <v>109</v>
      </c>
      <c r="AU257" s="3" t="s">
        <v>171</v>
      </c>
      <c r="AV257" s="109" t="s">
        <v>1297</v>
      </c>
      <c r="AW257" s="3" t="s">
        <v>171</v>
      </c>
      <c r="AX257" s="3" t="s">
        <v>171</v>
      </c>
      <c r="AY257" s="3" t="s">
        <v>111</v>
      </c>
      <c r="AZ257" s="3" t="s">
        <v>111</v>
      </c>
      <c r="BA257" s="3" t="s">
        <v>111</v>
      </c>
      <c r="BB257" s="3" t="s">
        <v>111</v>
      </c>
      <c r="BC257" s="3" t="s">
        <v>111</v>
      </c>
      <c r="BD257" s="3" t="s">
        <v>111</v>
      </c>
      <c r="BE257" s="3" t="s">
        <v>111</v>
      </c>
      <c r="BF257" s="3" t="s">
        <v>111</v>
      </c>
      <c r="BG257" s="3" t="s">
        <v>111</v>
      </c>
      <c r="BH257" s="3" t="s">
        <v>111</v>
      </c>
      <c r="BI257" s="3" t="s">
        <v>111</v>
      </c>
      <c r="BJ257" s="3" t="s">
        <v>111</v>
      </c>
      <c r="BK257" s="3" t="s">
        <v>109</v>
      </c>
      <c r="BL257" s="3"/>
      <c r="BM257" s="3"/>
      <c r="BN257" s="3"/>
      <c r="BO257" s="3"/>
      <c r="BP257" s="3"/>
      <c r="BQ257" s="3"/>
      <c r="BR257" s="3"/>
      <c r="BS257" s="3"/>
      <c r="BT257" s="3"/>
      <c r="BU257" s="3"/>
      <c r="BV257" s="3"/>
      <c r="BW257" s="3" t="s">
        <v>184</v>
      </c>
      <c r="BX257" s="3"/>
      <c r="BY257" s="3"/>
      <c r="BZ257" s="3"/>
      <c r="CA257" s="3"/>
      <c r="CB257" s="112" t="s">
        <v>118</v>
      </c>
      <c r="CC257" s="112" t="s">
        <v>109</v>
      </c>
      <c r="CD257" s="3"/>
      <c r="CE257" s="3"/>
      <c r="CF257" s="112"/>
      <c r="CG257" s="112"/>
      <c r="CH257" s="133"/>
      <c r="CI257" s="112" t="str">
        <f t="shared" si="32"/>
        <v>Oct'24</v>
      </c>
      <c r="CJ257" s="112" t="s">
        <v>107</v>
      </c>
      <c r="CK257" s="112"/>
      <c r="CL257" s="112"/>
    </row>
    <row r="258" spans="1:90" s="4" customFormat="1" ht="94.5" customHeight="1" x14ac:dyDescent="0.25">
      <c r="A258" s="3">
        <v>226</v>
      </c>
      <c r="B258" s="126" t="s">
        <v>1298</v>
      </c>
      <c r="C258" s="109" t="s">
        <v>1299</v>
      </c>
      <c r="D258" s="3" t="s">
        <v>141</v>
      </c>
      <c r="E258" s="59">
        <v>2055</v>
      </c>
      <c r="F258" s="3">
        <v>9921902612</v>
      </c>
      <c r="G258" s="3" t="s">
        <v>142</v>
      </c>
      <c r="H258" s="3" t="s">
        <v>122</v>
      </c>
      <c r="I258" s="3" t="s">
        <v>143</v>
      </c>
      <c r="J258" s="3" t="s">
        <v>144</v>
      </c>
      <c r="K258" s="3" t="s">
        <v>1300</v>
      </c>
      <c r="L258" s="3" t="s">
        <v>105</v>
      </c>
      <c r="M258" s="56">
        <v>45624</v>
      </c>
      <c r="N258" s="69">
        <f t="shared" ca="1" si="29"/>
        <v>553</v>
      </c>
      <c r="O258" s="72" t="str">
        <f t="shared" ca="1" si="30"/>
        <v>1-2Y</v>
      </c>
      <c r="P258" s="198" t="s">
        <v>137</v>
      </c>
      <c r="Q258" s="3" t="s">
        <v>192</v>
      </c>
      <c r="R258" s="3" t="s">
        <v>164</v>
      </c>
      <c r="S258" s="129">
        <v>30</v>
      </c>
      <c r="T258" s="129">
        <v>120</v>
      </c>
      <c r="U258" s="129">
        <f t="shared" si="31"/>
        <v>150</v>
      </c>
      <c r="V258" s="3"/>
      <c r="W258" s="3" t="s">
        <v>171</v>
      </c>
      <c r="X258" s="3" t="s">
        <v>394</v>
      </c>
      <c r="Y258" s="60"/>
      <c r="Z258" s="3"/>
      <c r="AA258" s="3"/>
      <c r="AB258" s="3"/>
      <c r="AC258" s="3"/>
      <c r="AD258" s="249">
        <f t="shared" si="36"/>
        <v>46905</v>
      </c>
      <c r="AE258" s="249">
        <f t="shared" si="35"/>
        <v>46997</v>
      </c>
      <c r="AF258" s="3" t="s">
        <v>394</v>
      </c>
      <c r="AG258" s="3" t="s">
        <v>581</v>
      </c>
      <c r="AH258" s="3"/>
      <c r="AI258" s="3" t="s">
        <v>115</v>
      </c>
      <c r="AJ258" s="3" t="s">
        <v>115</v>
      </c>
      <c r="AK258" s="3" t="s">
        <v>181</v>
      </c>
      <c r="AL258" s="45">
        <v>46905</v>
      </c>
      <c r="AM258" s="3" t="s">
        <v>109</v>
      </c>
      <c r="AN258" s="3" t="s">
        <v>109</v>
      </c>
      <c r="AO258" s="3"/>
      <c r="AP258" s="3"/>
      <c r="AQ258" s="3"/>
      <c r="AR258" s="109" t="s">
        <v>931</v>
      </c>
      <c r="AS258" s="249">
        <v>46997</v>
      </c>
      <c r="AT258" s="3" t="s">
        <v>419</v>
      </c>
      <c r="AU258" s="3" t="s">
        <v>419</v>
      </c>
      <c r="AV258" s="109" t="s">
        <v>1234</v>
      </c>
      <c r="AW258" s="109" t="s">
        <v>1301</v>
      </c>
      <c r="AX258" s="3" t="s">
        <v>171</v>
      </c>
      <c r="AY258" s="3" t="s">
        <v>111</v>
      </c>
      <c r="AZ258" s="3" t="s">
        <v>111</v>
      </c>
      <c r="BA258" s="3" t="s">
        <v>111</v>
      </c>
      <c r="BB258" s="3" t="s">
        <v>111</v>
      </c>
      <c r="BC258" s="3" t="s">
        <v>111</v>
      </c>
      <c r="BD258" s="3" t="s">
        <v>111</v>
      </c>
      <c r="BE258" s="3" t="s">
        <v>111</v>
      </c>
      <c r="BF258" s="3" t="s">
        <v>111</v>
      </c>
      <c r="BG258" s="3" t="s">
        <v>111</v>
      </c>
      <c r="BH258" s="3" t="s">
        <v>111</v>
      </c>
      <c r="BI258" s="45" t="s">
        <v>111</v>
      </c>
      <c r="BJ258" s="3" t="s">
        <v>111</v>
      </c>
      <c r="BK258" s="241" t="s">
        <v>260</v>
      </c>
      <c r="BL258" s="241" t="s">
        <v>261</v>
      </c>
      <c r="BM258" s="3" t="s">
        <v>111</v>
      </c>
      <c r="BN258" s="3" t="s">
        <v>111</v>
      </c>
      <c r="BO258" s="3" t="s">
        <v>115</v>
      </c>
      <c r="BP258" s="3"/>
      <c r="BQ258" s="3"/>
      <c r="BR258" s="3"/>
      <c r="BS258" s="3"/>
      <c r="BT258" s="3"/>
      <c r="BU258" s="3"/>
      <c r="BV258" s="3"/>
      <c r="BW258" s="3" t="s">
        <v>184</v>
      </c>
      <c r="BX258" s="3"/>
      <c r="BY258" s="3"/>
      <c r="BZ258" s="3"/>
      <c r="CA258" s="3"/>
      <c r="CB258" s="112" t="s">
        <v>118</v>
      </c>
      <c r="CC258" s="112" t="s">
        <v>109</v>
      </c>
      <c r="CD258" s="3"/>
      <c r="CE258" s="3"/>
      <c r="CF258" s="112"/>
      <c r="CG258" s="112"/>
      <c r="CH258" s="133"/>
      <c r="CI258" s="112" t="str">
        <f t="shared" si="32"/>
        <v>Nov'24</v>
      </c>
      <c r="CJ258" s="112" t="s">
        <v>192</v>
      </c>
      <c r="CK258" s="256"/>
      <c r="CL258" s="192"/>
    </row>
    <row r="259" spans="1:90" s="4" customFormat="1" ht="94.5" customHeight="1" x14ac:dyDescent="0.25">
      <c r="A259" s="3">
        <v>230</v>
      </c>
      <c r="B259" s="126" t="s">
        <v>1302</v>
      </c>
      <c r="C259" s="109" t="s">
        <v>1303</v>
      </c>
      <c r="D259" s="3" t="s">
        <v>398</v>
      </c>
      <c r="E259" s="59">
        <v>1604</v>
      </c>
      <c r="F259" s="3">
        <v>9822667378</v>
      </c>
      <c r="G259" s="3" t="s">
        <v>142</v>
      </c>
      <c r="H259" s="3" t="s">
        <v>122</v>
      </c>
      <c r="I259" s="3" t="s">
        <v>143</v>
      </c>
      <c r="J259" s="3" t="s">
        <v>144</v>
      </c>
      <c r="K259" s="3" t="s">
        <v>1304</v>
      </c>
      <c r="L259" s="3" t="s">
        <v>105</v>
      </c>
      <c r="M259" s="56">
        <v>45659</v>
      </c>
      <c r="N259" s="69">
        <f t="shared" ref="N259:N269" ca="1" si="37">+TODAY()-M259</f>
        <v>518</v>
      </c>
      <c r="O259" s="72" t="str">
        <f t="shared" ref="O259:O269" ca="1" si="38">+IF(N259&lt;180,"0-6M",IF(N259&lt;365,"6-12M",IF(N259&lt;730,"1-2Y",IF(N259&lt;1095,"2-3Y",IF(N259&lt;1460,"3-4Y",IF(N259&lt;1825,"4-5Y",IF(N259&gt;1825,"&gt;5Y")))))))</f>
        <v>1-2Y</v>
      </c>
      <c r="P259" s="198" t="s">
        <v>106</v>
      </c>
      <c r="Q259" s="3" t="s">
        <v>192</v>
      </c>
      <c r="R259" s="3" t="s">
        <v>164</v>
      </c>
      <c r="S259" s="129">
        <v>40</v>
      </c>
      <c r="T259" s="129">
        <v>180</v>
      </c>
      <c r="U259" s="129">
        <f t="shared" ref="U259:U269" si="39">+S259+T259</f>
        <v>220</v>
      </c>
      <c r="V259" s="3"/>
      <c r="W259" s="3" t="s">
        <v>171</v>
      </c>
      <c r="X259" s="3" t="s">
        <v>394</v>
      </c>
      <c r="Y259" s="60"/>
      <c r="Z259" s="3"/>
      <c r="AA259" s="3"/>
      <c r="AB259" s="3"/>
      <c r="AC259" s="3"/>
      <c r="AD259" s="249">
        <f t="shared" si="36"/>
        <v>46905</v>
      </c>
      <c r="AE259" s="249">
        <f t="shared" si="35"/>
        <v>46997</v>
      </c>
      <c r="AF259" s="3" t="s">
        <v>394</v>
      </c>
      <c r="AG259" s="3" t="s">
        <v>581</v>
      </c>
      <c r="AH259" s="3"/>
      <c r="AI259" s="3" t="s">
        <v>115</v>
      </c>
      <c r="AJ259" s="3" t="s">
        <v>115</v>
      </c>
      <c r="AK259" s="3" t="s">
        <v>181</v>
      </c>
      <c r="AL259" s="45">
        <v>46905</v>
      </c>
      <c r="AM259" s="3" t="s">
        <v>109</v>
      </c>
      <c r="AN259" s="3" t="s">
        <v>109</v>
      </c>
      <c r="AO259" s="3"/>
      <c r="AP259" s="3"/>
      <c r="AQ259" s="3"/>
      <c r="AR259" s="109" t="s">
        <v>1305</v>
      </c>
      <c r="AS259" s="249">
        <v>46997</v>
      </c>
      <c r="AT259" s="59"/>
      <c r="AU259" s="59" t="s">
        <v>171</v>
      </c>
      <c r="AV259" s="59"/>
      <c r="AW259" s="59" t="s">
        <v>171</v>
      </c>
      <c r="AX259" s="59"/>
      <c r="AY259" s="59"/>
      <c r="AZ259" s="59"/>
      <c r="BA259" s="59"/>
      <c r="BB259" s="59"/>
      <c r="BC259" s="59"/>
      <c r="BD259" s="59"/>
      <c r="BE259" s="59"/>
      <c r="BF259" s="59"/>
      <c r="BG259" s="59"/>
      <c r="BH259" s="59"/>
      <c r="BI259" s="243"/>
      <c r="BJ259" s="243"/>
      <c r="BK259" s="3"/>
      <c r="BL259" s="3"/>
      <c r="BM259" s="3" t="s">
        <v>111</v>
      </c>
      <c r="BN259" s="3" t="s">
        <v>111</v>
      </c>
      <c r="BO259" s="3" t="s">
        <v>115</v>
      </c>
      <c r="BP259" s="3"/>
      <c r="BQ259" s="3"/>
      <c r="BR259" s="3"/>
      <c r="BS259" s="3"/>
      <c r="BT259" s="3"/>
      <c r="BU259" s="3"/>
      <c r="BV259" s="3"/>
      <c r="BW259" s="3" t="s">
        <v>184</v>
      </c>
      <c r="BX259" s="3"/>
      <c r="BY259" s="3"/>
      <c r="BZ259" s="3"/>
      <c r="CA259" s="3"/>
      <c r="CB259" s="112" t="s">
        <v>118</v>
      </c>
      <c r="CC259" s="112" t="s">
        <v>109</v>
      </c>
      <c r="CD259" s="3"/>
      <c r="CE259" s="3"/>
      <c r="CF259" s="112"/>
      <c r="CG259" s="112"/>
      <c r="CH259" s="133"/>
      <c r="CI259" s="112" t="str">
        <f t="shared" ref="CI259:CI269" si="40">TEXT(M259,"MMM'YY")</f>
        <v>Jan'25</v>
      </c>
      <c r="CJ259" s="112" t="s">
        <v>192</v>
      </c>
      <c r="CK259" s="112"/>
      <c r="CL259" s="192"/>
    </row>
    <row r="260" spans="1:90" s="4" customFormat="1" ht="94.5" customHeight="1" x14ac:dyDescent="0.25">
      <c r="A260" s="3">
        <v>232</v>
      </c>
      <c r="B260" s="126" t="s">
        <v>1306</v>
      </c>
      <c r="C260" s="109" t="s">
        <v>1307</v>
      </c>
      <c r="D260" s="3" t="s">
        <v>121</v>
      </c>
      <c r="E260" s="59">
        <v>1994</v>
      </c>
      <c r="F260" s="3">
        <v>8600373330</v>
      </c>
      <c r="G260" s="3" t="s">
        <v>142</v>
      </c>
      <c r="H260" s="3" t="s">
        <v>101</v>
      </c>
      <c r="I260" s="3" t="s">
        <v>143</v>
      </c>
      <c r="J260" s="3" t="s">
        <v>162</v>
      </c>
      <c r="K260" s="3" t="s">
        <v>1308</v>
      </c>
      <c r="L260" s="3" t="s">
        <v>105</v>
      </c>
      <c r="M260" s="56">
        <v>45660</v>
      </c>
      <c r="N260" s="69">
        <f t="shared" ca="1" si="37"/>
        <v>517</v>
      </c>
      <c r="O260" s="72" t="str">
        <f t="shared" ca="1" si="38"/>
        <v>1-2Y</v>
      </c>
      <c r="P260" s="198" t="s">
        <v>106</v>
      </c>
      <c r="Q260" s="3" t="s">
        <v>180</v>
      </c>
      <c r="R260" s="3" t="s">
        <v>164</v>
      </c>
      <c r="S260" s="129">
        <v>30</v>
      </c>
      <c r="T260" s="129">
        <v>120</v>
      </c>
      <c r="U260" s="129">
        <f t="shared" si="39"/>
        <v>150</v>
      </c>
      <c r="V260" s="3"/>
      <c r="W260" s="3" t="s">
        <v>171</v>
      </c>
      <c r="X260" s="3" t="s">
        <v>394</v>
      </c>
      <c r="Y260" s="60"/>
      <c r="Z260" s="3" t="s">
        <v>274</v>
      </c>
      <c r="AA260" s="3"/>
      <c r="AB260" s="3"/>
      <c r="AC260" s="3"/>
      <c r="AD260" s="249">
        <f t="shared" si="36"/>
        <v>46905</v>
      </c>
      <c r="AE260" s="249">
        <f t="shared" si="35"/>
        <v>46997</v>
      </c>
      <c r="AF260" s="3" t="s">
        <v>394</v>
      </c>
      <c r="AG260" s="3" t="s">
        <v>721</v>
      </c>
      <c r="AH260" s="3"/>
      <c r="AI260" s="3"/>
      <c r="AJ260" s="3"/>
      <c r="AK260" s="3" t="s">
        <v>181</v>
      </c>
      <c r="AL260" s="45">
        <v>46905</v>
      </c>
      <c r="AM260" s="3"/>
      <c r="AN260" s="3"/>
      <c r="AO260" s="3"/>
      <c r="AP260" s="3"/>
      <c r="AQ260" s="3"/>
      <c r="AR260" s="109" t="s">
        <v>1309</v>
      </c>
      <c r="AS260" s="249">
        <v>46997</v>
      </c>
      <c r="AT260" s="3" t="s">
        <v>109</v>
      </c>
      <c r="AU260" s="3" t="s">
        <v>171</v>
      </c>
      <c r="AV260" s="3" t="s">
        <v>1247</v>
      </c>
      <c r="AW260" s="3" t="s">
        <v>171</v>
      </c>
      <c r="AX260" s="3" t="s">
        <v>109</v>
      </c>
      <c r="AY260" s="3" t="s">
        <v>114</v>
      </c>
      <c r="AZ260" s="3" t="s">
        <v>130</v>
      </c>
      <c r="BA260" s="3" t="s">
        <v>130</v>
      </c>
      <c r="BB260" s="3" t="s">
        <v>130</v>
      </c>
      <c r="BC260" s="3" t="s">
        <v>130</v>
      </c>
      <c r="BD260" s="3" t="s">
        <v>130</v>
      </c>
      <c r="BE260" s="3" t="s">
        <v>111</v>
      </c>
      <c r="BF260" s="3" t="s">
        <v>111</v>
      </c>
      <c r="BG260" s="59" t="s">
        <v>332</v>
      </c>
      <c r="BH260" s="59" t="s">
        <v>171</v>
      </c>
      <c r="BI260" s="45">
        <v>46905</v>
      </c>
      <c r="BJ260" s="45">
        <v>46935</v>
      </c>
      <c r="BK260" s="3"/>
      <c r="BL260" s="3"/>
      <c r="BM260" s="3"/>
      <c r="BN260" s="3"/>
      <c r="BO260" s="3"/>
      <c r="BP260" s="3"/>
      <c r="BQ260" s="3"/>
      <c r="BR260" s="3"/>
      <c r="BS260" s="3"/>
      <c r="BT260" s="3"/>
      <c r="BU260" s="3"/>
      <c r="BV260" s="3"/>
      <c r="BW260" s="3" t="s">
        <v>184</v>
      </c>
      <c r="BX260" s="3"/>
      <c r="BY260" s="3"/>
      <c r="BZ260" s="3"/>
      <c r="CA260" s="3"/>
      <c r="CB260" s="112" t="s">
        <v>118</v>
      </c>
      <c r="CC260" s="112" t="s">
        <v>109</v>
      </c>
      <c r="CD260" s="3"/>
      <c r="CE260" s="3"/>
      <c r="CF260" s="112"/>
      <c r="CG260" s="112"/>
      <c r="CH260" s="133"/>
      <c r="CI260" s="112" t="str">
        <f t="shared" si="40"/>
        <v>Jan'25</v>
      </c>
      <c r="CJ260" s="112" t="s">
        <v>186</v>
      </c>
      <c r="CK260" s="112"/>
      <c r="CL260" s="192"/>
    </row>
    <row r="261" spans="1:90" s="4" customFormat="1" ht="94.5" customHeight="1" x14ac:dyDescent="0.25">
      <c r="A261" s="3">
        <v>234</v>
      </c>
      <c r="B261" s="126" t="s">
        <v>1310</v>
      </c>
      <c r="C261" s="109" t="s">
        <v>1311</v>
      </c>
      <c r="D261" s="3" t="s">
        <v>150</v>
      </c>
      <c r="E261" s="59">
        <v>1896</v>
      </c>
      <c r="F261" s="3">
        <v>9545200200</v>
      </c>
      <c r="G261" s="3" t="s">
        <v>101</v>
      </c>
      <c r="H261" s="3" t="s">
        <v>101</v>
      </c>
      <c r="I261" s="3" t="s">
        <v>143</v>
      </c>
      <c r="J261" s="3" t="s">
        <v>162</v>
      </c>
      <c r="K261" s="3" t="s">
        <v>1312</v>
      </c>
      <c r="L261" s="3" t="s">
        <v>105</v>
      </c>
      <c r="M261" s="56">
        <v>45712</v>
      </c>
      <c r="N261" s="69">
        <f t="shared" ca="1" si="37"/>
        <v>465</v>
      </c>
      <c r="O261" s="72" t="str">
        <f t="shared" ca="1" si="38"/>
        <v>1-2Y</v>
      </c>
      <c r="P261" s="198" t="s">
        <v>106</v>
      </c>
      <c r="Q261" s="3" t="s">
        <v>180</v>
      </c>
      <c r="R261" s="3" t="s">
        <v>164</v>
      </c>
      <c r="S261" s="129">
        <v>150</v>
      </c>
      <c r="T261" s="129">
        <v>50</v>
      </c>
      <c r="U261" s="129">
        <f t="shared" si="39"/>
        <v>200</v>
      </c>
      <c r="V261" s="3"/>
      <c r="W261" s="3" t="s">
        <v>171</v>
      </c>
      <c r="X261" s="3" t="s">
        <v>394</v>
      </c>
      <c r="Y261" s="60">
        <f>+IF(AO261="Approved","Yes",AS261-90)</f>
        <v>46907</v>
      </c>
      <c r="Z261" s="3" t="s">
        <v>274</v>
      </c>
      <c r="AA261" s="3"/>
      <c r="AB261" s="3"/>
      <c r="AC261" s="3"/>
      <c r="AD261" s="249">
        <f t="shared" si="36"/>
        <v>46905</v>
      </c>
      <c r="AE261" s="249">
        <f t="shared" si="35"/>
        <v>46997</v>
      </c>
      <c r="AF261" s="3" t="s">
        <v>394</v>
      </c>
      <c r="AG261" s="3"/>
      <c r="AH261" s="3"/>
      <c r="AI261" s="3" t="s">
        <v>494</v>
      </c>
      <c r="AJ261" s="3" t="s">
        <v>184</v>
      </c>
      <c r="AK261" s="3"/>
      <c r="AL261" s="45">
        <v>46905</v>
      </c>
      <c r="AM261" s="3"/>
      <c r="AN261" s="3" t="s">
        <v>184</v>
      </c>
      <c r="AO261" s="3"/>
      <c r="AP261" s="3"/>
      <c r="AQ261" s="3"/>
      <c r="AR261" s="109" t="s">
        <v>1313</v>
      </c>
      <c r="AS261" s="249">
        <v>46997</v>
      </c>
      <c r="AT261" s="3"/>
      <c r="AU261" s="59" t="s">
        <v>171</v>
      </c>
      <c r="AV261" s="3" t="s">
        <v>1314</v>
      </c>
      <c r="AW261" s="59" t="s">
        <v>171</v>
      </c>
      <c r="AX261" s="3"/>
      <c r="AY261" s="3"/>
      <c r="AZ261" s="3"/>
      <c r="BA261" s="3"/>
      <c r="BB261" s="3" t="s">
        <v>115</v>
      </c>
      <c r="BC261" s="3"/>
      <c r="BD261" s="3"/>
      <c r="BE261" s="3"/>
      <c r="BF261" s="3"/>
      <c r="BG261" s="59"/>
      <c r="BH261" s="59"/>
      <c r="BI261" s="45"/>
      <c r="BJ261" s="45"/>
      <c r="BK261" s="241" t="s">
        <v>260</v>
      </c>
      <c r="BL261" s="241" t="s">
        <v>261</v>
      </c>
      <c r="BM261" s="3"/>
      <c r="BN261" s="3"/>
      <c r="BO261" s="3"/>
      <c r="BP261" s="3"/>
      <c r="BQ261" s="3"/>
      <c r="BR261" s="3"/>
      <c r="BS261" s="3"/>
      <c r="BT261" s="3"/>
      <c r="BU261" s="3"/>
      <c r="BV261" s="3"/>
      <c r="BW261" s="3" t="s">
        <v>184</v>
      </c>
      <c r="BX261" s="3"/>
      <c r="BY261" s="3"/>
      <c r="BZ261" s="3"/>
      <c r="CA261" s="3"/>
      <c r="CB261" s="112" t="s">
        <v>118</v>
      </c>
      <c r="CC261" s="112" t="s">
        <v>109</v>
      </c>
      <c r="CD261" s="3"/>
      <c r="CE261" s="3"/>
      <c r="CF261" s="112"/>
      <c r="CG261" s="112"/>
      <c r="CH261" s="133"/>
      <c r="CI261" s="112" t="str">
        <f t="shared" si="40"/>
        <v>Feb'25</v>
      </c>
      <c r="CJ261" s="112" t="s">
        <v>186</v>
      </c>
      <c r="CK261" s="112"/>
      <c r="CL261" s="192"/>
    </row>
    <row r="262" spans="1:90" s="4" customFormat="1" ht="94.5" customHeight="1" x14ac:dyDescent="0.25">
      <c r="A262" s="3">
        <v>237</v>
      </c>
      <c r="B262" s="126" t="s">
        <v>1315</v>
      </c>
      <c r="C262" s="109" t="s">
        <v>1316</v>
      </c>
      <c r="D262" s="3" t="s">
        <v>121</v>
      </c>
      <c r="E262" s="59">
        <v>1741</v>
      </c>
      <c r="F262" s="3">
        <v>7745061111</v>
      </c>
      <c r="G262" s="3" t="s">
        <v>142</v>
      </c>
      <c r="H262" s="3" t="s">
        <v>101</v>
      </c>
      <c r="I262" s="3" t="s">
        <v>143</v>
      </c>
      <c r="J262" s="3" t="s">
        <v>162</v>
      </c>
      <c r="K262" s="3" t="s">
        <v>1317</v>
      </c>
      <c r="L262" s="3" t="s">
        <v>105</v>
      </c>
      <c r="M262" s="56">
        <v>45777</v>
      </c>
      <c r="N262" s="69">
        <f t="shared" ca="1" si="37"/>
        <v>400</v>
      </c>
      <c r="O262" s="72" t="str">
        <f t="shared" ca="1" si="38"/>
        <v>1-2Y</v>
      </c>
      <c r="P262" s="198" t="s">
        <v>239</v>
      </c>
      <c r="Q262" s="3" t="s">
        <v>107</v>
      </c>
      <c r="R262" s="3" t="s">
        <v>108</v>
      </c>
      <c r="S262" s="129">
        <v>30</v>
      </c>
      <c r="T262" s="129">
        <v>120</v>
      </c>
      <c r="U262" s="129">
        <f t="shared" si="39"/>
        <v>150</v>
      </c>
      <c r="V262" s="3"/>
      <c r="W262" s="3" t="s">
        <v>171</v>
      </c>
      <c r="X262" s="3" t="s">
        <v>394</v>
      </c>
      <c r="Y262" s="60"/>
      <c r="Z262" s="3" t="s">
        <v>274</v>
      </c>
      <c r="AA262" s="3"/>
      <c r="AB262" s="3"/>
      <c r="AC262" s="3"/>
      <c r="AD262" s="249">
        <f t="shared" si="36"/>
        <v>46905</v>
      </c>
      <c r="AE262" s="249">
        <f t="shared" si="35"/>
        <v>46997</v>
      </c>
      <c r="AF262" s="3" t="s">
        <v>394</v>
      </c>
      <c r="AG262" s="3" t="s">
        <v>721</v>
      </c>
      <c r="AH262" s="3"/>
      <c r="AI262" s="3"/>
      <c r="AJ262" s="3"/>
      <c r="AK262" s="3"/>
      <c r="AL262" s="45">
        <v>46905</v>
      </c>
      <c r="AM262" s="3"/>
      <c r="AN262" s="3"/>
      <c r="AO262" s="3"/>
      <c r="AP262" s="3"/>
      <c r="AQ262" s="3"/>
      <c r="AR262" s="109" t="s">
        <v>1318</v>
      </c>
      <c r="AS262" s="249">
        <v>46997</v>
      </c>
      <c r="AT262" s="3" t="s">
        <v>171</v>
      </c>
      <c r="AU262" s="3" t="s">
        <v>298</v>
      </c>
      <c r="AV262" s="3"/>
      <c r="AW262" s="3" t="s">
        <v>171</v>
      </c>
      <c r="AX262" s="3" t="s">
        <v>171</v>
      </c>
      <c r="AY262" s="3" t="s">
        <v>261</v>
      </c>
      <c r="AZ262" s="3" t="s">
        <v>261</v>
      </c>
      <c r="BA262" s="3" t="s">
        <v>261</v>
      </c>
      <c r="BB262" s="3" t="s">
        <v>261</v>
      </c>
      <c r="BC262" s="3" t="s">
        <v>261</v>
      </c>
      <c r="BD262" s="3" t="s">
        <v>261</v>
      </c>
      <c r="BE262" s="3" t="s">
        <v>111</v>
      </c>
      <c r="BF262" s="3" t="s">
        <v>111</v>
      </c>
      <c r="BG262" s="59" t="s">
        <v>332</v>
      </c>
      <c r="BH262" s="59" t="s">
        <v>171</v>
      </c>
      <c r="BI262" s="45">
        <v>46905</v>
      </c>
      <c r="BJ262" s="45">
        <v>46935</v>
      </c>
      <c r="BK262" s="3" t="s">
        <v>109</v>
      </c>
      <c r="BL262" s="3" t="s">
        <v>198</v>
      </c>
      <c r="BM262" s="3"/>
      <c r="BN262" s="3"/>
      <c r="BO262" s="3"/>
      <c r="BP262" s="3"/>
      <c r="BQ262" s="3"/>
      <c r="BR262" s="3"/>
      <c r="BS262" s="3"/>
      <c r="BT262" s="3"/>
      <c r="BU262" s="3"/>
      <c r="BV262" s="3"/>
      <c r="BW262" s="3" t="s">
        <v>184</v>
      </c>
      <c r="BX262" s="3"/>
      <c r="BY262" s="3"/>
      <c r="BZ262" s="3"/>
      <c r="CA262" s="3"/>
      <c r="CB262" s="112" t="s">
        <v>118</v>
      </c>
      <c r="CC262" s="112" t="s">
        <v>109</v>
      </c>
      <c r="CD262" s="3"/>
      <c r="CE262" s="3"/>
      <c r="CF262" s="112"/>
      <c r="CG262" s="112"/>
      <c r="CH262" s="133"/>
      <c r="CI262" s="112" t="str">
        <f t="shared" si="40"/>
        <v>Apr'25</v>
      </c>
      <c r="CJ262" s="112" t="s">
        <v>107</v>
      </c>
      <c r="CK262" s="112"/>
      <c r="CL262" s="192"/>
    </row>
    <row r="263" spans="1:90" s="4" customFormat="1" ht="94.5" customHeight="1" x14ac:dyDescent="0.25">
      <c r="A263" s="3">
        <v>238</v>
      </c>
      <c r="B263" s="126" t="s">
        <v>1319</v>
      </c>
      <c r="C263" s="109" t="s">
        <v>1320</v>
      </c>
      <c r="D263" s="3" t="s">
        <v>156</v>
      </c>
      <c r="E263" s="59">
        <v>1824</v>
      </c>
      <c r="F263" s="3">
        <v>9730976692</v>
      </c>
      <c r="G263" s="3" t="s">
        <v>169</v>
      </c>
      <c r="H263" s="3" t="s">
        <v>122</v>
      </c>
      <c r="I263" s="3" t="s">
        <v>143</v>
      </c>
      <c r="J263" s="3" t="s">
        <v>144</v>
      </c>
      <c r="K263" s="3" t="s">
        <v>1321</v>
      </c>
      <c r="L263" s="3" t="s">
        <v>105</v>
      </c>
      <c r="M263" s="56">
        <v>45783</v>
      </c>
      <c r="N263" s="69">
        <f t="shared" ca="1" si="37"/>
        <v>394</v>
      </c>
      <c r="O263" s="72" t="str">
        <f t="shared" ca="1" si="38"/>
        <v>1-2Y</v>
      </c>
      <c r="P263" s="198" t="s">
        <v>158</v>
      </c>
      <c r="Q263" s="3" t="s">
        <v>125</v>
      </c>
      <c r="R263" s="3" t="s">
        <v>108</v>
      </c>
      <c r="S263" s="129">
        <v>20</v>
      </c>
      <c r="T263" s="129">
        <v>80</v>
      </c>
      <c r="U263" s="129">
        <f t="shared" si="39"/>
        <v>100</v>
      </c>
      <c r="V263" s="3"/>
      <c r="W263" s="3" t="s">
        <v>171</v>
      </c>
      <c r="X263" s="3" t="s">
        <v>394</v>
      </c>
      <c r="Y263" s="60"/>
      <c r="Z263" s="3"/>
      <c r="AA263" s="3"/>
      <c r="AB263" s="3"/>
      <c r="AC263" s="3"/>
      <c r="AD263" s="249">
        <f t="shared" si="36"/>
        <v>46905</v>
      </c>
      <c r="AE263" s="249">
        <f t="shared" si="35"/>
        <v>46997</v>
      </c>
      <c r="AF263" s="3" t="s">
        <v>394</v>
      </c>
      <c r="AG263" s="3" t="s">
        <v>581</v>
      </c>
      <c r="AH263" s="3"/>
      <c r="AI263" s="3"/>
      <c r="AJ263" s="3"/>
      <c r="AK263" s="3"/>
      <c r="AL263" s="45">
        <v>46905</v>
      </c>
      <c r="AM263" s="3" t="s">
        <v>109</v>
      </c>
      <c r="AN263" s="3" t="s">
        <v>109</v>
      </c>
      <c r="AO263" s="3"/>
      <c r="AP263" s="3"/>
      <c r="AQ263" s="3"/>
      <c r="AR263" s="109" t="s">
        <v>904</v>
      </c>
      <c r="AS263" s="249">
        <v>46997</v>
      </c>
      <c r="AT263" s="3" t="s">
        <v>109</v>
      </c>
      <c r="AU263" s="3" t="s">
        <v>171</v>
      </c>
      <c r="AV263" s="3" t="s">
        <v>847</v>
      </c>
      <c r="AW263" s="3" t="s">
        <v>1322</v>
      </c>
      <c r="AX263" s="3" t="s">
        <v>111</v>
      </c>
      <c r="AY263" s="3" t="s">
        <v>111</v>
      </c>
      <c r="AZ263" s="3" t="s">
        <v>111</v>
      </c>
      <c r="BA263" s="3" t="s">
        <v>111</v>
      </c>
      <c r="BB263" s="3" t="s">
        <v>111</v>
      </c>
      <c r="BC263" s="3" t="s">
        <v>111</v>
      </c>
      <c r="BD263" s="3" t="s">
        <v>111</v>
      </c>
      <c r="BE263" s="3" t="s">
        <v>111</v>
      </c>
      <c r="BF263" s="3" t="s">
        <v>111</v>
      </c>
      <c r="BG263" s="3" t="s">
        <v>111</v>
      </c>
      <c r="BH263" s="3" t="s">
        <v>111</v>
      </c>
      <c r="BI263" s="3" t="s">
        <v>111</v>
      </c>
      <c r="BJ263" s="3" t="s">
        <v>111</v>
      </c>
      <c r="BK263" s="3"/>
      <c r="BL263" s="3"/>
      <c r="BM263" s="3"/>
      <c r="BN263" s="3"/>
      <c r="BO263" s="3"/>
      <c r="BP263" s="3"/>
      <c r="BQ263" s="3"/>
      <c r="BR263" s="3"/>
      <c r="BS263" s="3"/>
      <c r="BT263" s="3"/>
      <c r="BU263" s="3"/>
      <c r="BV263" s="3"/>
      <c r="BW263" s="3" t="s">
        <v>749</v>
      </c>
      <c r="BX263" s="3"/>
      <c r="BY263" s="3"/>
      <c r="BZ263" s="3"/>
      <c r="CA263" s="3"/>
      <c r="CB263" s="112" t="s">
        <v>118</v>
      </c>
      <c r="CC263" s="112" t="s">
        <v>109</v>
      </c>
      <c r="CD263" s="3"/>
      <c r="CE263" s="3"/>
      <c r="CF263" s="112"/>
      <c r="CG263" s="112"/>
      <c r="CH263" s="133"/>
      <c r="CI263" s="112" t="str">
        <f t="shared" si="40"/>
        <v>May'25</v>
      </c>
      <c r="CJ263" s="112" t="s">
        <v>132</v>
      </c>
      <c r="CK263" s="112"/>
      <c r="CL263" s="192"/>
    </row>
    <row r="264" spans="1:90" s="4" customFormat="1" ht="15.75" customHeight="1" x14ac:dyDescent="0.25">
      <c r="A264" s="3">
        <v>239</v>
      </c>
      <c r="B264" s="126" t="s">
        <v>1323</v>
      </c>
      <c r="C264" s="109" t="s">
        <v>1324</v>
      </c>
      <c r="D264" s="3" t="s">
        <v>156</v>
      </c>
      <c r="E264" s="59">
        <v>1769</v>
      </c>
      <c r="F264" s="3">
        <v>9890191470</v>
      </c>
      <c r="G264" s="3" t="s">
        <v>169</v>
      </c>
      <c r="H264" s="3" t="s">
        <v>122</v>
      </c>
      <c r="I264" s="3" t="s">
        <v>143</v>
      </c>
      <c r="J264" s="3" t="s">
        <v>144</v>
      </c>
      <c r="K264" s="3" t="s">
        <v>1325</v>
      </c>
      <c r="L264" s="3" t="s">
        <v>105</v>
      </c>
      <c r="M264" s="56">
        <v>45783</v>
      </c>
      <c r="N264" s="69">
        <f t="shared" ca="1" si="37"/>
        <v>394</v>
      </c>
      <c r="O264" s="72" t="str">
        <f t="shared" ca="1" si="38"/>
        <v>1-2Y</v>
      </c>
      <c r="P264" s="198" t="s">
        <v>158</v>
      </c>
      <c r="Q264" s="3" t="s">
        <v>125</v>
      </c>
      <c r="R264" s="3" t="s">
        <v>108</v>
      </c>
      <c r="S264" s="129">
        <v>30</v>
      </c>
      <c r="T264" s="129">
        <v>85</v>
      </c>
      <c r="U264" s="129">
        <f t="shared" si="39"/>
        <v>115</v>
      </c>
      <c r="V264" s="3"/>
      <c r="W264" s="3" t="s">
        <v>171</v>
      </c>
      <c r="X264" s="3" t="s">
        <v>394</v>
      </c>
      <c r="Y264" s="60"/>
      <c r="Z264" s="3"/>
      <c r="AA264" s="3"/>
      <c r="AB264" s="3"/>
      <c r="AC264" s="3"/>
      <c r="AD264" s="249">
        <f t="shared" si="36"/>
        <v>46905</v>
      </c>
      <c r="AE264" s="249">
        <f t="shared" si="35"/>
        <v>46997</v>
      </c>
      <c r="AF264" s="3" t="s">
        <v>394</v>
      </c>
      <c r="AG264" s="3" t="s">
        <v>581</v>
      </c>
      <c r="AH264" s="3"/>
      <c r="AI264" s="3"/>
      <c r="AJ264" s="3"/>
      <c r="AK264" s="3"/>
      <c r="AL264" s="45">
        <v>46905</v>
      </c>
      <c r="AM264" s="3" t="s">
        <v>109</v>
      </c>
      <c r="AN264" s="3" t="s">
        <v>109</v>
      </c>
      <c r="AO264" s="3"/>
      <c r="AP264" s="3"/>
      <c r="AQ264" s="3"/>
      <c r="AR264" s="109" t="s">
        <v>545</v>
      </c>
      <c r="AS264" s="249">
        <v>46997</v>
      </c>
      <c r="AT264" s="3" t="s">
        <v>109</v>
      </c>
      <c r="AU264" s="3" t="s">
        <v>171</v>
      </c>
      <c r="AV264" s="3" t="s">
        <v>839</v>
      </c>
      <c r="AW264" s="3" t="s">
        <v>109</v>
      </c>
      <c r="AX264" s="3" t="s">
        <v>111</v>
      </c>
      <c r="AY264" s="3" t="s">
        <v>111</v>
      </c>
      <c r="AZ264" s="3" t="s">
        <v>111</v>
      </c>
      <c r="BA264" s="3" t="s">
        <v>111</v>
      </c>
      <c r="BB264" s="3" t="s">
        <v>111</v>
      </c>
      <c r="BC264" s="3" t="s">
        <v>111</v>
      </c>
      <c r="BD264" s="3" t="s">
        <v>111</v>
      </c>
      <c r="BE264" s="3" t="s">
        <v>111</v>
      </c>
      <c r="BF264" s="3" t="s">
        <v>111</v>
      </c>
      <c r="BG264" s="3" t="s">
        <v>111</v>
      </c>
      <c r="BH264" s="3" t="s">
        <v>111</v>
      </c>
      <c r="BI264" s="3" t="s">
        <v>111</v>
      </c>
      <c r="BJ264" s="3" t="s">
        <v>111</v>
      </c>
      <c r="BK264" s="3"/>
      <c r="BL264" s="3"/>
      <c r="BM264" s="3"/>
      <c r="BN264" s="3"/>
      <c r="BO264" s="3"/>
      <c r="BP264" s="3"/>
      <c r="BQ264" s="3"/>
      <c r="BR264" s="3"/>
      <c r="BS264" s="3"/>
      <c r="BT264" s="3"/>
      <c r="BU264" s="3"/>
      <c r="BV264" s="3"/>
      <c r="BW264" s="3" t="s">
        <v>184</v>
      </c>
      <c r="BX264" s="3"/>
      <c r="BY264" s="3"/>
      <c r="BZ264" s="3"/>
      <c r="CA264" s="3"/>
      <c r="CB264" s="112" t="s">
        <v>118</v>
      </c>
      <c r="CC264" s="112" t="s">
        <v>109</v>
      </c>
      <c r="CD264" s="3"/>
      <c r="CE264" s="3"/>
      <c r="CF264" s="112"/>
      <c r="CG264" s="112"/>
      <c r="CH264" s="133"/>
      <c r="CI264" s="112" t="str">
        <f t="shared" si="40"/>
        <v>May'25</v>
      </c>
      <c r="CJ264" s="112" t="s">
        <v>132</v>
      </c>
      <c r="CK264" s="112"/>
      <c r="CL264" s="192"/>
    </row>
    <row r="265" spans="1:90" s="4" customFormat="1" ht="15.75" customHeight="1" x14ac:dyDescent="0.25">
      <c r="A265" s="109">
        <v>245</v>
      </c>
      <c r="B265" s="126" t="s">
        <v>1326</v>
      </c>
      <c r="C265" s="109" t="s">
        <v>1327</v>
      </c>
      <c r="D265" s="109" t="s">
        <v>884</v>
      </c>
      <c r="E265" s="109">
        <v>2088</v>
      </c>
      <c r="F265" s="109">
        <v>9325454101</v>
      </c>
      <c r="G265" s="109" t="s">
        <v>142</v>
      </c>
      <c r="H265" s="109" t="s">
        <v>122</v>
      </c>
      <c r="I265" s="109" t="s">
        <v>143</v>
      </c>
      <c r="J265" s="109" t="s">
        <v>144</v>
      </c>
      <c r="K265" s="109" t="s">
        <v>1328</v>
      </c>
      <c r="L265" s="109" t="s">
        <v>105</v>
      </c>
      <c r="M265" s="236">
        <v>45839</v>
      </c>
      <c r="N265" s="237">
        <f t="shared" ca="1" si="37"/>
        <v>338</v>
      </c>
      <c r="O265" s="237" t="str">
        <f t="shared" ca="1" si="38"/>
        <v>6-12M</v>
      </c>
      <c r="P265" s="198" t="s">
        <v>158</v>
      </c>
      <c r="Q265" s="109" t="s">
        <v>192</v>
      </c>
      <c r="R265" s="109" t="s">
        <v>164</v>
      </c>
      <c r="S265" s="129">
        <v>30</v>
      </c>
      <c r="T265" s="129">
        <v>120</v>
      </c>
      <c r="U265" s="129">
        <f t="shared" si="39"/>
        <v>150</v>
      </c>
      <c r="V265" s="109"/>
      <c r="W265" s="109" t="s">
        <v>171</v>
      </c>
      <c r="X265" s="109" t="s">
        <v>394</v>
      </c>
      <c r="Y265" s="238"/>
      <c r="Z265" s="109"/>
      <c r="AA265" s="109"/>
      <c r="AB265" s="109"/>
      <c r="AC265" s="109"/>
      <c r="AD265" s="249">
        <f t="shared" si="36"/>
        <v>46905</v>
      </c>
      <c r="AE265" s="249">
        <f t="shared" si="35"/>
        <v>46997</v>
      </c>
      <c r="AF265" s="109" t="s">
        <v>394</v>
      </c>
      <c r="AG265" s="109" t="s">
        <v>581</v>
      </c>
      <c r="AH265" s="109"/>
      <c r="AI265" s="109"/>
      <c r="AJ265" s="109"/>
      <c r="AK265" s="109"/>
      <c r="AL265" s="239">
        <v>46905</v>
      </c>
      <c r="AM265" s="109"/>
      <c r="AN265" s="109"/>
      <c r="AO265" s="109"/>
      <c r="AP265" s="109"/>
      <c r="AQ265" s="109"/>
      <c r="AR265" s="109" t="s">
        <v>904</v>
      </c>
      <c r="AS265" s="249">
        <v>46997</v>
      </c>
      <c r="AT265" s="109" t="s">
        <v>171</v>
      </c>
      <c r="AU265" s="109" t="s">
        <v>419</v>
      </c>
      <c r="AV265" s="109" t="s">
        <v>1329</v>
      </c>
      <c r="AW265" s="109"/>
      <c r="AX265" s="109"/>
      <c r="AY265" s="109"/>
      <c r="AZ265" s="109"/>
      <c r="BA265" s="109"/>
      <c r="BB265" s="109"/>
      <c r="BC265" s="109"/>
      <c r="BD265" s="109" t="s">
        <v>111</v>
      </c>
      <c r="BE265" s="109"/>
      <c r="BF265" s="109"/>
      <c r="BG265" s="109"/>
      <c r="BH265" s="109"/>
      <c r="BI265" s="239"/>
      <c r="BJ265" s="239"/>
      <c r="BK265" s="109"/>
      <c r="BL265" s="109"/>
      <c r="BM265" s="109"/>
      <c r="BN265" s="109"/>
      <c r="BO265" s="109"/>
      <c r="BP265" s="109"/>
      <c r="BQ265" s="109"/>
      <c r="BR265" s="109"/>
      <c r="BS265" s="109"/>
      <c r="BT265" s="109"/>
      <c r="BU265" s="109"/>
      <c r="BV265" s="109"/>
      <c r="BW265" s="3" t="s">
        <v>749</v>
      </c>
      <c r="BX265" s="3"/>
      <c r="BY265" s="3"/>
      <c r="BZ265" s="109"/>
      <c r="CA265" s="109"/>
      <c r="CB265" s="112" t="s">
        <v>118</v>
      </c>
      <c r="CC265" s="112" t="s">
        <v>109</v>
      </c>
      <c r="CD265" s="3"/>
      <c r="CE265" s="3"/>
      <c r="CF265" s="112"/>
      <c r="CG265" s="112"/>
      <c r="CH265" s="133"/>
      <c r="CI265" s="112" t="str">
        <f t="shared" si="40"/>
        <v>Jul'25</v>
      </c>
      <c r="CJ265" s="112" t="s">
        <v>192</v>
      </c>
      <c r="CK265" s="112"/>
      <c r="CL265" s="192"/>
    </row>
    <row r="266" spans="1:90" s="4" customFormat="1" ht="15.75" customHeight="1" x14ac:dyDescent="0.25">
      <c r="A266" s="3">
        <v>247</v>
      </c>
      <c r="B266" s="126" t="s">
        <v>1330</v>
      </c>
      <c r="C266" s="109" t="s">
        <v>1331</v>
      </c>
      <c r="D266" s="3" t="s">
        <v>156</v>
      </c>
      <c r="E266" s="59">
        <v>1951</v>
      </c>
      <c r="F266" s="3">
        <v>9096171111</v>
      </c>
      <c r="G266" s="3" t="s">
        <v>169</v>
      </c>
      <c r="H266" s="3" t="s">
        <v>122</v>
      </c>
      <c r="I266" s="3" t="s">
        <v>143</v>
      </c>
      <c r="J266" s="3" t="s">
        <v>144</v>
      </c>
      <c r="K266" s="3" t="s">
        <v>1332</v>
      </c>
      <c r="L266" s="3" t="s">
        <v>105</v>
      </c>
      <c r="M266" s="56">
        <v>45868</v>
      </c>
      <c r="N266" s="69">
        <f t="shared" ca="1" si="37"/>
        <v>309</v>
      </c>
      <c r="O266" s="72" t="str">
        <f t="shared" ca="1" si="38"/>
        <v>6-12M</v>
      </c>
      <c r="P266" s="198" t="s">
        <v>158</v>
      </c>
      <c r="Q266" s="3" t="s">
        <v>1264</v>
      </c>
      <c r="R266" s="3" t="s">
        <v>164</v>
      </c>
      <c r="S266" s="129">
        <v>20</v>
      </c>
      <c r="T266" s="129">
        <v>80</v>
      </c>
      <c r="U266" s="129">
        <f t="shared" si="39"/>
        <v>100</v>
      </c>
      <c r="V266" s="3"/>
      <c r="W266" s="3" t="s">
        <v>171</v>
      </c>
      <c r="X266" s="3" t="s">
        <v>394</v>
      </c>
      <c r="Y266" s="60"/>
      <c r="Z266" s="3"/>
      <c r="AA266" s="3"/>
      <c r="AB266" s="3"/>
      <c r="AC266" s="3"/>
      <c r="AD266" s="249">
        <f t="shared" si="36"/>
        <v>46905</v>
      </c>
      <c r="AE266" s="249">
        <f t="shared" si="35"/>
        <v>46997</v>
      </c>
      <c r="AF266" s="3" t="s">
        <v>394</v>
      </c>
      <c r="AG266" s="3" t="s">
        <v>721</v>
      </c>
      <c r="AH266" s="3"/>
      <c r="AI266" s="3"/>
      <c r="AJ266" s="3"/>
      <c r="AK266" s="3"/>
      <c r="AL266" s="45">
        <v>46905</v>
      </c>
      <c r="AM266" s="3"/>
      <c r="AN266" s="3"/>
      <c r="AO266" s="3"/>
      <c r="AP266" s="3"/>
      <c r="AQ266" s="3"/>
      <c r="AR266" s="109" t="s">
        <v>352</v>
      </c>
      <c r="AS266" s="249">
        <v>46997</v>
      </c>
      <c r="AT266" s="3" t="s">
        <v>109</v>
      </c>
      <c r="AU266" s="3" t="s">
        <v>171</v>
      </c>
      <c r="AV266" s="3" t="s">
        <v>1333</v>
      </c>
      <c r="AW266" s="3" t="s">
        <v>111</v>
      </c>
      <c r="AX266" s="3" t="s">
        <v>111</v>
      </c>
      <c r="AY266" s="3" t="s">
        <v>111</v>
      </c>
      <c r="AZ266" s="3" t="s">
        <v>111</v>
      </c>
      <c r="BA266" s="3" t="s">
        <v>111</v>
      </c>
      <c r="BB266" s="3" t="s">
        <v>111</v>
      </c>
      <c r="BC266" s="3" t="s">
        <v>111</v>
      </c>
      <c r="BD266" s="3" t="s">
        <v>111</v>
      </c>
      <c r="BE266" s="3" t="s">
        <v>111</v>
      </c>
      <c r="BF266" s="3" t="s">
        <v>111</v>
      </c>
      <c r="BG266" s="3" t="s">
        <v>111</v>
      </c>
      <c r="BH266" s="3" t="s">
        <v>111</v>
      </c>
      <c r="BI266" s="3" t="s">
        <v>111</v>
      </c>
      <c r="BJ266" s="3" t="s">
        <v>111</v>
      </c>
      <c r="BK266" s="3"/>
      <c r="BL266" s="3"/>
      <c r="BM266" s="3"/>
      <c r="BN266" s="3"/>
      <c r="BO266" s="3"/>
      <c r="BP266" s="3"/>
      <c r="BQ266" s="3"/>
      <c r="BR266" s="3"/>
      <c r="BS266" s="3"/>
      <c r="BT266" s="3"/>
      <c r="BU266" s="3"/>
      <c r="BV266" s="3"/>
      <c r="BW266" s="3" t="s">
        <v>184</v>
      </c>
      <c r="BX266" s="3"/>
      <c r="BY266" s="3"/>
      <c r="BZ266" s="3"/>
      <c r="CA266" s="3"/>
      <c r="CB266" s="112" t="s">
        <v>118</v>
      </c>
      <c r="CC266" s="112" t="s">
        <v>109</v>
      </c>
      <c r="CD266" s="3"/>
      <c r="CE266" s="3"/>
      <c r="CF266" s="112"/>
      <c r="CG266" s="112"/>
      <c r="CH266" s="133"/>
      <c r="CI266" s="112" t="str">
        <f t="shared" si="40"/>
        <v>Jul'25</v>
      </c>
      <c r="CJ266" s="112" t="s">
        <v>132</v>
      </c>
      <c r="CK266" s="255"/>
      <c r="CL266" s="192"/>
    </row>
    <row r="267" spans="1:90" s="4" customFormat="1" ht="15.75" customHeight="1" x14ac:dyDescent="0.25">
      <c r="A267" s="3">
        <v>249</v>
      </c>
      <c r="B267" s="126" t="s">
        <v>1334</v>
      </c>
      <c r="C267" s="109" t="s">
        <v>1335</v>
      </c>
      <c r="D267" s="3" t="s">
        <v>135</v>
      </c>
      <c r="E267" s="59">
        <v>2003</v>
      </c>
      <c r="F267" s="3">
        <v>7744899095</v>
      </c>
      <c r="G267" s="3" t="s">
        <v>169</v>
      </c>
      <c r="H267" s="3" t="s">
        <v>101</v>
      </c>
      <c r="I267" s="3" t="s">
        <v>143</v>
      </c>
      <c r="J267" s="3" t="s">
        <v>162</v>
      </c>
      <c r="K267" s="3" t="s">
        <v>1336</v>
      </c>
      <c r="L267" s="3" t="s">
        <v>105</v>
      </c>
      <c r="M267" s="56">
        <v>45889</v>
      </c>
      <c r="N267" s="69">
        <f t="shared" ca="1" si="37"/>
        <v>288</v>
      </c>
      <c r="O267" s="72" t="str">
        <f t="shared" ca="1" si="38"/>
        <v>6-12M</v>
      </c>
      <c r="P267" s="198" t="s">
        <v>137</v>
      </c>
      <c r="Q267" s="3" t="s">
        <v>107</v>
      </c>
      <c r="R267" s="3" t="s">
        <v>164</v>
      </c>
      <c r="S267" s="129">
        <v>30</v>
      </c>
      <c r="T267" s="129">
        <v>70</v>
      </c>
      <c r="U267" s="129">
        <f t="shared" si="39"/>
        <v>100</v>
      </c>
      <c r="V267" s="3"/>
      <c r="W267" s="3" t="s">
        <v>171</v>
      </c>
      <c r="X267" s="3" t="s">
        <v>394</v>
      </c>
      <c r="Y267" s="60"/>
      <c r="Z267" s="3" t="s">
        <v>274</v>
      </c>
      <c r="AA267" s="3"/>
      <c r="AB267" s="3"/>
      <c r="AC267" s="3"/>
      <c r="AD267" s="249">
        <f t="shared" si="36"/>
        <v>46905</v>
      </c>
      <c r="AE267" s="249">
        <f t="shared" si="35"/>
        <v>46997</v>
      </c>
      <c r="AF267" s="3" t="s">
        <v>394</v>
      </c>
      <c r="AG267" s="3" t="s">
        <v>581</v>
      </c>
      <c r="AH267" s="3"/>
      <c r="AI267" s="3"/>
      <c r="AJ267" s="3"/>
      <c r="AK267" s="3"/>
      <c r="AL267" s="45">
        <v>46905</v>
      </c>
      <c r="AM267" s="3"/>
      <c r="AN267" s="3"/>
      <c r="AO267" s="3"/>
      <c r="AP267" s="3"/>
      <c r="AQ267" s="3"/>
      <c r="AR267" s="109" t="s">
        <v>1337</v>
      </c>
      <c r="AS267" s="249">
        <v>46997</v>
      </c>
      <c r="AT267" s="3" t="s">
        <v>109</v>
      </c>
      <c r="AU267" s="3" t="s">
        <v>171</v>
      </c>
      <c r="AV267" s="109" t="s">
        <v>1337</v>
      </c>
      <c r="AW267" s="3" t="s">
        <v>171</v>
      </c>
      <c r="AX267" s="3" t="s">
        <v>171</v>
      </c>
      <c r="AY267" s="3" t="s">
        <v>111</v>
      </c>
      <c r="AZ267" s="3" t="s">
        <v>111</v>
      </c>
      <c r="BA267" s="3" t="s">
        <v>111</v>
      </c>
      <c r="BB267" s="3" t="s">
        <v>111</v>
      </c>
      <c r="BC267" s="3" t="s">
        <v>111</v>
      </c>
      <c r="BD267" s="3" t="s">
        <v>111</v>
      </c>
      <c r="BE267" s="3" t="s">
        <v>111</v>
      </c>
      <c r="BF267" s="3" t="s">
        <v>111</v>
      </c>
      <c r="BG267" s="3" t="s">
        <v>111</v>
      </c>
      <c r="BH267" s="3" t="s">
        <v>171</v>
      </c>
      <c r="BI267" s="3" t="s">
        <v>111</v>
      </c>
      <c r="BJ267" s="3" t="s">
        <v>111</v>
      </c>
      <c r="BK267" s="3"/>
      <c r="BL267" s="3"/>
      <c r="BM267" s="3"/>
      <c r="BN267" s="3"/>
      <c r="BO267" s="3"/>
      <c r="BP267" s="3"/>
      <c r="BQ267" s="3"/>
      <c r="BR267" s="3"/>
      <c r="BS267" s="3"/>
      <c r="BT267" s="3"/>
      <c r="BU267" s="3"/>
      <c r="BV267" s="3"/>
      <c r="BW267" s="3" t="s">
        <v>184</v>
      </c>
      <c r="BX267" s="3"/>
      <c r="BY267" s="3"/>
      <c r="BZ267" s="3"/>
      <c r="CA267" s="3"/>
      <c r="CB267" s="112" t="s">
        <v>118</v>
      </c>
      <c r="CC267" s="112" t="s">
        <v>109</v>
      </c>
      <c r="CD267" s="3"/>
      <c r="CE267" s="3"/>
      <c r="CF267" s="112"/>
      <c r="CG267" s="112"/>
      <c r="CH267" s="133"/>
      <c r="CI267" s="112" t="str">
        <f t="shared" si="40"/>
        <v>Aug'25</v>
      </c>
      <c r="CJ267" s="112" t="s">
        <v>107</v>
      </c>
      <c r="CK267" s="112"/>
      <c r="CL267" s="112"/>
    </row>
    <row r="268" spans="1:90" s="6" customFormat="1" ht="34.5" customHeight="1" x14ac:dyDescent="0.25">
      <c r="A268" s="3">
        <v>250</v>
      </c>
      <c r="B268" s="126" t="s">
        <v>1338</v>
      </c>
      <c r="C268" s="109" t="s">
        <v>1339</v>
      </c>
      <c r="D268" s="3" t="s">
        <v>135</v>
      </c>
      <c r="E268" s="59">
        <v>109</v>
      </c>
      <c r="F268" s="3">
        <v>8698598404</v>
      </c>
      <c r="G268" s="3" t="s">
        <v>169</v>
      </c>
      <c r="H268" s="3" t="s">
        <v>101</v>
      </c>
      <c r="I268" s="3" t="s">
        <v>143</v>
      </c>
      <c r="J268" s="3" t="s">
        <v>162</v>
      </c>
      <c r="K268" s="3" t="s">
        <v>1340</v>
      </c>
      <c r="L268" s="3" t="s">
        <v>105</v>
      </c>
      <c r="M268" s="56">
        <v>45902</v>
      </c>
      <c r="N268" s="69">
        <f t="shared" ca="1" si="37"/>
        <v>275</v>
      </c>
      <c r="O268" s="72" t="str">
        <f t="shared" ca="1" si="38"/>
        <v>6-12M</v>
      </c>
      <c r="P268" s="198" t="s">
        <v>137</v>
      </c>
      <c r="Q268" s="3" t="s">
        <v>180</v>
      </c>
      <c r="R268" s="3" t="s">
        <v>164</v>
      </c>
      <c r="S268" s="129">
        <v>30</v>
      </c>
      <c r="T268" s="129">
        <v>120</v>
      </c>
      <c r="U268" s="129">
        <f t="shared" si="39"/>
        <v>150</v>
      </c>
      <c r="V268" s="3"/>
      <c r="W268" s="3" t="s">
        <v>171</v>
      </c>
      <c r="X268" s="3" t="s">
        <v>394</v>
      </c>
      <c r="Y268" s="60"/>
      <c r="Z268" s="3" t="s">
        <v>274</v>
      </c>
      <c r="AA268" s="3"/>
      <c r="AB268" s="3"/>
      <c r="AC268" s="3"/>
      <c r="AD268" s="249">
        <f t="shared" si="36"/>
        <v>46905</v>
      </c>
      <c r="AE268" s="249">
        <f t="shared" si="35"/>
        <v>46997</v>
      </c>
      <c r="AF268" s="3" t="s">
        <v>394</v>
      </c>
      <c r="AG268" s="3" t="s">
        <v>581</v>
      </c>
      <c r="AH268" s="3"/>
      <c r="AI268" s="3"/>
      <c r="AJ268" s="3"/>
      <c r="AK268" s="3"/>
      <c r="AL268" s="45">
        <v>46905</v>
      </c>
      <c r="AM268" s="3"/>
      <c r="AN268" s="3"/>
      <c r="AO268" s="3"/>
      <c r="AP268" s="3"/>
      <c r="AQ268" s="3"/>
      <c r="AR268" s="109" t="s">
        <v>1337</v>
      </c>
      <c r="AS268" s="249">
        <v>46997</v>
      </c>
      <c r="AT268" s="3" t="s">
        <v>109</v>
      </c>
      <c r="AU268" s="3" t="s">
        <v>171</v>
      </c>
      <c r="AV268" s="109" t="s">
        <v>1337</v>
      </c>
      <c r="AW268" s="3" t="s">
        <v>171</v>
      </c>
      <c r="AX268" s="3" t="s">
        <v>171</v>
      </c>
      <c r="AY268" s="3" t="s">
        <v>111</v>
      </c>
      <c r="AZ268" s="3" t="s">
        <v>111</v>
      </c>
      <c r="BA268" s="3" t="s">
        <v>111</v>
      </c>
      <c r="BB268" s="3" t="s">
        <v>111</v>
      </c>
      <c r="BC268" s="3" t="s">
        <v>111</v>
      </c>
      <c r="BD268" s="3" t="s">
        <v>111</v>
      </c>
      <c r="BE268" s="3" t="s">
        <v>111</v>
      </c>
      <c r="BF268" s="3" t="s">
        <v>111</v>
      </c>
      <c r="BG268" s="3" t="s">
        <v>111</v>
      </c>
      <c r="BH268" s="3" t="s">
        <v>171</v>
      </c>
      <c r="BI268" s="3" t="s">
        <v>111</v>
      </c>
      <c r="BJ268" s="3" t="s">
        <v>111</v>
      </c>
      <c r="BK268" s="3"/>
      <c r="BL268" s="3"/>
      <c r="BM268" s="3"/>
      <c r="BN268" s="3"/>
      <c r="BO268" s="3"/>
      <c r="BP268" s="3"/>
      <c r="BQ268" s="3"/>
      <c r="BR268" s="3"/>
      <c r="BS268" s="3"/>
      <c r="BT268" s="3"/>
      <c r="BU268" s="3"/>
      <c r="BV268" s="3"/>
      <c r="BW268" s="3" t="s">
        <v>184</v>
      </c>
      <c r="BX268" s="3"/>
      <c r="BY268" s="3"/>
      <c r="BZ268" s="3"/>
      <c r="CA268" s="3"/>
      <c r="CB268" s="112" t="s">
        <v>118</v>
      </c>
      <c r="CC268" s="112" t="s">
        <v>109</v>
      </c>
      <c r="CD268" s="3"/>
      <c r="CE268" s="3"/>
      <c r="CF268" s="112"/>
      <c r="CG268" s="112"/>
      <c r="CH268" s="133"/>
      <c r="CI268" s="112" t="str">
        <f t="shared" si="40"/>
        <v>Sep'25</v>
      </c>
      <c r="CJ268" s="112" t="s">
        <v>186</v>
      </c>
      <c r="CK268" s="112"/>
      <c r="CL268" s="112"/>
    </row>
    <row r="269" spans="1:90" s="6" customFormat="1" ht="70.5" customHeight="1" x14ac:dyDescent="0.25">
      <c r="A269" s="3">
        <v>262</v>
      </c>
      <c r="B269" s="126" t="s">
        <v>1341</v>
      </c>
      <c r="C269" s="109" t="s">
        <v>1342</v>
      </c>
      <c r="D269" s="3" t="s">
        <v>135</v>
      </c>
      <c r="E269" s="59">
        <v>2047</v>
      </c>
      <c r="F269" s="3">
        <v>9821646488</v>
      </c>
      <c r="G269" s="3" t="s">
        <v>142</v>
      </c>
      <c r="H269" s="3" t="s">
        <v>101</v>
      </c>
      <c r="I269" s="3" t="s">
        <v>143</v>
      </c>
      <c r="J269" s="3" t="s">
        <v>162</v>
      </c>
      <c r="K269" s="3" t="s">
        <v>1343</v>
      </c>
      <c r="L269" s="3" t="s">
        <v>105</v>
      </c>
      <c r="M269" s="56">
        <v>46071</v>
      </c>
      <c r="N269" s="69">
        <f t="shared" ca="1" si="37"/>
        <v>106</v>
      </c>
      <c r="O269" s="72" t="str">
        <f t="shared" ca="1" si="38"/>
        <v>0-6M</v>
      </c>
      <c r="P269" s="198" t="s">
        <v>137</v>
      </c>
      <c r="Q269" s="3" t="s">
        <v>107</v>
      </c>
      <c r="R269" s="3" t="s">
        <v>164</v>
      </c>
      <c r="S269" s="129">
        <v>40</v>
      </c>
      <c r="T269" s="129">
        <v>110</v>
      </c>
      <c r="U269" s="129">
        <f t="shared" si="39"/>
        <v>150</v>
      </c>
      <c r="V269" s="3"/>
      <c r="W269" s="3" t="s">
        <v>171</v>
      </c>
      <c r="X269" s="3" t="s">
        <v>394</v>
      </c>
      <c r="Y269" s="60"/>
      <c r="Z269" s="3" t="s">
        <v>274</v>
      </c>
      <c r="AA269" s="3"/>
      <c r="AB269" s="3"/>
      <c r="AC269" s="3"/>
      <c r="AD269" s="249">
        <f t="shared" si="36"/>
        <v>46905</v>
      </c>
      <c r="AE269" s="249">
        <f t="shared" si="35"/>
        <v>46997</v>
      </c>
      <c r="AF269" s="3" t="s">
        <v>394</v>
      </c>
      <c r="AG269" s="3" t="s">
        <v>581</v>
      </c>
      <c r="AH269" s="3"/>
      <c r="AI269" s="3"/>
      <c r="AJ269" s="3"/>
      <c r="AK269" s="3"/>
      <c r="AL269" s="45">
        <v>46905</v>
      </c>
      <c r="AM269" s="3"/>
      <c r="AN269" s="3"/>
      <c r="AO269" s="3"/>
      <c r="AP269" s="3"/>
      <c r="AQ269" s="3"/>
      <c r="AR269" s="109" t="s">
        <v>1337</v>
      </c>
      <c r="AS269" s="249">
        <v>46997</v>
      </c>
      <c r="AT269" s="3" t="s">
        <v>109</v>
      </c>
      <c r="AU269" s="3" t="s">
        <v>171</v>
      </c>
      <c r="AV269" s="109" t="s">
        <v>1337</v>
      </c>
      <c r="AW269" s="3" t="s">
        <v>171</v>
      </c>
      <c r="AX269" s="3" t="s">
        <v>171</v>
      </c>
      <c r="AY269" s="3" t="s">
        <v>111</v>
      </c>
      <c r="AZ269" s="3" t="s">
        <v>111</v>
      </c>
      <c r="BA269" s="3" t="s">
        <v>111</v>
      </c>
      <c r="BB269" s="3" t="s">
        <v>111</v>
      </c>
      <c r="BC269" s="3" t="s">
        <v>111</v>
      </c>
      <c r="BD269" s="3" t="s">
        <v>111</v>
      </c>
      <c r="BE269" s="3" t="s">
        <v>111</v>
      </c>
      <c r="BF269" s="3" t="s">
        <v>111</v>
      </c>
      <c r="BG269" s="3" t="s">
        <v>111</v>
      </c>
      <c r="BH269" s="3" t="s">
        <v>171</v>
      </c>
      <c r="BI269" s="3" t="s">
        <v>111</v>
      </c>
      <c r="BJ269" s="3" t="s">
        <v>111</v>
      </c>
      <c r="BK269" s="3"/>
      <c r="BL269" s="3"/>
      <c r="BM269" s="3"/>
      <c r="BN269" s="3"/>
      <c r="BO269" s="3"/>
      <c r="BP269" s="3"/>
      <c r="BQ269" s="3"/>
      <c r="BR269" s="3"/>
      <c r="BS269" s="3"/>
      <c r="BT269" s="3"/>
      <c r="BU269" s="3"/>
      <c r="BV269" s="3"/>
      <c r="BW269" s="3" t="s">
        <v>184</v>
      </c>
      <c r="BX269" s="3"/>
      <c r="BY269" s="3"/>
      <c r="BZ269" s="3"/>
      <c r="CA269" s="3"/>
      <c r="CB269" s="112" t="s">
        <v>118</v>
      </c>
      <c r="CC269" s="112" t="s">
        <v>109</v>
      </c>
      <c r="CD269" s="3"/>
      <c r="CE269" s="3"/>
      <c r="CF269" s="112"/>
      <c r="CG269" s="112"/>
      <c r="CH269" s="133"/>
      <c r="CI269" s="112" t="str">
        <f t="shared" si="40"/>
        <v>Feb'26</v>
      </c>
      <c r="CJ269" s="112" t="s">
        <v>107</v>
      </c>
    </row>
    <row r="270" spans="1:90" ht="15.75" customHeight="1" x14ac:dyDescent="0.25">
      <c r="BW270" s="135" t="s">
        <v>181</v>
      </c>
    </row>
  </sheetData>
  <autoFilter ref="A2:CN270" xr:uid="{1054CC5F-344F-4BB2-8881-13C5A92ACC36}"/>
  <sortState xmlns:xlrd2="http://schemas.microsoft.com/office/spreadsheetml/2017/richdata2" ref="A3:BL236">
    <sortCondition ref="B3:B236"/>
  </sortState>
  <mergeCells count="5">
    <mergeCell ref="A1:V1"/>
    <mergeCell ref="W1:AE1"/>
    <mergeCell ref="AF1:AS1"/>
    <mergeCell ref="AT1:BJ1"/>
    <mergeCell ref="BK1:BV1"/>
  </mergeCells>
  <phoneticPr fontId="20" type="noConversion"/>
  <pageMargins left="0.70866141732283472" right="0.70866141732283472" top="0.74803149606299213" bottom="0.74803149606299213" header="0.31496062992125984" footer="0.31496062992125984"/>
  <pageSetup paperSize="9" scale="13" orientation="portrait" blackAndWhite="1"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5FFCB-6121-4199-AFAF-93FC8EE7B9B3}">
  <sheetPr>
    <pageSetUpPr fitToPage="1"/>
  </sheetPr>
  <dimension ref="A1:BR228"/>
  <sheetViews>
    <sheetView topLeftCell="A184" zoomScale="85" zoomScaleNormal="85" zoomScaleSheetLayoutView="130" workbookViewId="0">
      <selection activeCell="I160" sqref="I160:O209"/>
    </sheetView>
  </sheetViews>
  <sheetFormatPr defaultRowHeight="15" x14ac:dyDescent="0.25"/>
  <cols>
    <col min="1" max="1" width="25.85546875" style="2" customWidth="1"/>
    <col min="2" max="2" width="6.28515625" style="10" bestFit="1" customWidth="1"/>
    <col min="3" max="3" width="7" style="10" bestFit="1" customWidth="1"/>
    <col min="4" max="4" width="7.5703125" style="10" bestFit="1" customWidth="1"/>
    <col min="5" max="5" width="10.5703125" style="10" bestFit="1" customWidth="1"/>
    <col min="6" max="6" width="9" style="10" bestFit="1" customWidth="1"/>
    <col min="7" max="7" width="9.28515625" style="10" bestFit="1" customWidth="1"/>
    <col min="8" max="8" width="6.140625" style="10" bestFit="1" customWidth="1"/>
    <col min="9" max="9" width="26" style="268" customWidth="1"/>
    <col min="10" max="10" width="10.5703125" style="10" bestFit="1" customWidth="1"/>
    <col min="11" max="11" width="7" style="10" bestFit="1" customWidth="1"/>
    <col min="12" max="12" width="11.42578125" style="10" customWidth="1"/>
    <col min="13" max="14" width="5.42578125" style="10" bestFit="1" customWidth="1"/>
    <col min="15" max="15" width="7.42578125" style="10" bestFit="1" customWidth="1"/>
    <col min="16" max="58" width="5.7109375" style="10" customWidth="1"/>
    <col min="59" max="69" width="3.85546875" style="10" customWidth="1"/>
    <col min="70" max="70" width="8.28515625" style="10" customWidth="1"/>
    <col min="71" max="71" width="7.5703125" customWidth="1"/>
  </cols>
  <sheetData>
    <row r="1" spans="1:70" ht="20.45" customHeight="1" x14ac:dyDescent="0.25">
      <c r="A1" s="299"/>
      <c r="B1" s="300"/>
      <c r="C1" s="296" t="s">
        <v>1344</v>
      </c>
      <c r="D1" s="297"/>
      <c r="E1" s="297"/>
      <c r="F1" s="297"/>
      <c r="G1" s="297"/>
      <c r="H1" s="297"/>
      <c r="I1" s="297"/>
      <c r="J1" s="297"/>
      <c r="K1" s="297"/>
      <c r="L1" s="298"/>
      <c r="M1" s="29" t="s">
        <v>101</v>
      </c>
      <c r="N1" s="29" t="s">
        <v>101</v>
      </c>
      <c r="O1" s="29" t="s">
        <v>101</v>
      </c>
      <c r="P1" s="29" t="s">
        <v>101</v>
      </c>
      <c r="Q1" s="29" t="s">
        <v>101</v>
      </c>
      <c r="R1" s="29" t="s">
        <v>101</v>
      </c>
      <c r="S1" s="29" t="s">
        <v>101</v>
      </c>
      <c r="T1" s="29" t="s">
        <v>101</v>
      </c>
      <c r="U1" s="29" t="s">
        <v>101</v>
      </c>
      <c r="V1" s="30" t="s">
        <v>142</v>
      </c>
      <c r="W1" s="30" t="s">
        <v>142</v>
      </c>
      <c r="X1" s="30" t="s">
        <v>142</v>
      </c>
      <c r="Y1" s="30" t="s">
        <v>142</v>
      </c>
      <c r="Z1" s="30" t="s">
        <v>142</v>
      </c>
      <c r="AA1" s="30" t="s">
        <v>142</v>
      </c>
      <c r="AB1" s="30" t="s">
        <v>142</v>
      </c>
      <c r="AC1" s="30" t="s">
        <v>142</v>
      </c>
      <c r="AD1" s="30" t="s">
        <v>142</v>
      </c>
      <c r="AE1" s="31" t="s">
        <v>169</v>
      </c>
      <c r="AF1" s="31" t="s">
        <v>169</v>
      </c>
      <c r="AG1" s="31" t="s">
        <v>169</v>
      </c>
      <c r="AH1" s="31" t="s">
        <v>169</v>
      </c>
      <c r="AI1" s="31" t="s">
        <v>169</v>
      </c>
      <c r="AJ1" s="31" t="s">
        <v>169</v>
      </c>
      <c r="AK1" s="31" t="s">
        <v>169</v>
      </c>
      <c r="AL1" s="31" t="s">
        <v>169</v>
      </c>
      <c r="AM1" s="31" t="s">
        <v>169</v>
      </c>
      <c r="AN1" s="32" t="s">
        <v>634</v>
      </c>
      <c r="AO1" s="32" t="s">
        <v>634</v>
      </c>
      <c r="AP1" s="32" t="s">
        <v>634</v>
      </c>
      <c r="AQ1" s="32" t="s">
        <v>634</v>
      </c>
      <c r="AR1" s="32" t="s">
        <v>634</v>
      </c>
      <c r="AS1" s="32" t="s">
        <v>634</v>
      </c>
      <c r="AT1" s="32" t="s">
        <v>634</v>
      </c>
      <c r="AU1" s="32" t="s">
        <v>634</v>
      </c>
      <c r="AV1" s="32" t="s">
        <v>634</v>
      </c>
      <c r="AW1" s="33" t="s">
        <v>100</v>
      </c>
      <c r="AX1" s="33" t="s">
        <v>100</v>
      </c>
      <c r="AY1" s="33" t="s">
        <v>100</v>
      </c>
      <c r="AZ1" s="33" t="s">
        <v>100</v>
      </c>
      <c r="BA1" s="33" t="s">
        <v>100</v>
      </c>
      <c r="BB1" s="33" t="s">
        <v>100</v>
      </c>
      <c r="BC1" s="33" t="s">
        <v>100</v>
      </c>
      <c r="BD1" s="33" t="s">
        <v>100</v>
      </c>
      <c r="BE1" s="33" t="s">
        <v>100</v>
      </c>
      <c r="BF1" s="293" t="s">
        <v>1345</v>
      </c>
      <c r="BG1" s="294"/>
      <c r="BH1" s="294"/>
      <c r="BI1" s="294"/>
      <c r="BJ1" s="294"/>
      <c r="BK1" s="294"/>
      <c r="BL1" s="294"/>
      <c r="BM1" s="294"/>
      <c r="BN1" s="294"/>
      <c r="BO1" s="294"/>
      <c r="BP1" s="294"/>
      <c r="BQ1" s="295"/>
      <c r="BR1" s="33" t="s">
        <v>1344</v>
      </c>
    </row>
    <row r="2" spans="1:70" s="2" customFormat="1" x14ac:dyDescent="0.25">
      <c r="A2" s="301"/>
      <c r="B2" s="301"/>
      <c r="C2" s="326" t="s">
        <v>1346</v>
      </c>
      <c r="D2" s="327"/>
      <c r="E2" s="328"/>
      <c r="F2" s="70" t="s">
        <v>1347</v>
      </c>
      <c r="G2" s="326" t="s">
        <v>42</v>
      </c>
      <c r="H2" s="327"/>
      <c r="I2" s="328"/>
      <c r="J2" s="326" t="s">
        <v>47</v>
      </c>
      <c r="K2" s="327"/>
      <c r="L2" s="328"/>
      <c r="M2" s="302" t="s">
        <v>1346</v>
      </c>
      <c r="N2" s="303"/>
      <c r="O2" s="304"/>
      <c r="P2" s="302" t="s">
        <v>42</v>
      </c>
      <c r="Q2" s="303"/>
      <c r="R2" s="304"/>
      <c r="S2" s="302" t="s">
        <v>47</v>
      </c>
      <c r="T2" s="303"/>
      <c r="U2" s="304"/>
      <c r="V2" s="314" t="s">
        <v>1346</v>
      </c>
      <c r="W2" s="315"/>
      <c r="X2" s="316"/>
      <c r="Y2" s="314" t="s">
        <v>42</v>
      </c>
      <c r="Z2" s="315"/>
      <c r="AA2" s="316"/>
      <c r="AB2" s="314" t="s">
        <v>47</v>
      </c>
      <c r="AC2" s="315"/>
      <c r="AD2" s="316"/>
      <c r="AE2" s="311" t="s">
        <v>1346</v>
      </c>
      <c r="AF2" s="312"/>
      <c r="AG2" s="313"/>
      <c r="AH2" s="311" t="s">
        <v>42</v>
      </c>
      <c r="AI2" s="312"/>
      <c r="AJ2" s="313"/>
      <c r="AK2" s="311" t="s">
        <v>47</v>
      </c>
      <c r="AL2" s="312"/>
      <c r="AM2" s="313"/>
      <c r="AN2" s="305" t="s">
        <v>1346</v>
      </c>
      <c r="AO2" s="306"/>
      <c r="AP2" s="307"/>
      <c r="AQ2" s="305" t="s">
        <v>42</v>
      </c>
      <c r="AR2" s="306"/>
      <c r="AS2" s="307"/>
      <c r="AT2" s="305" t="s">
        <v>47</v>
      </c>
      <c r="AU2" s="306"/>
      <c r="AV2" s="307"/>
      <c r="AW2" s="308" t="s">
        <v>1346</v>
      </c>
      <c r="AX2" s="309"/>
      <c r="AY2" s="310"/>
      <c r="AZ2" s="308" t="s">
        <v>42</v>
      </c>
      <c r="BA2" s="309"/>
      <c r="BB2" s="310"/>
      <c r="BC2" s="308" t="s">
        <v>47</v>
      </c>
      <c r="BD2" s="309"/>
      <c r="BE2" s="310"/>
      <c r="BF2" s="34" t="s">
        <v>101</v>
      </c>
      <c r="BG2" s="34" t="s">
        <v>101</v>
      </c>
      <c r="BH2" s="34" t="s">
        <v>122</v>
      </c>
      <c r="BI2" s="34" t="s">
        <v>122</v>
      </c>
      <c r="BJ2" s="34" t="s">
        <v>634</v>
      </c>
      <c r="BK2" s="34" t="s">
        <v>634</v>
      </c>
      <c r="BL2" s="34" t="s">
        <v>142</v>
      </c>
      <c r="BM2" s="34" t="s">
        <v>142</v>
      </c>
      <c r="BN2" s="34" t="s">
        <v>169</v>
      </c>
      <c r="BO2" s="34" t="s">
        <v>169</v>
      </c>
      <c r="BP2" s="34" t="s">
        <v>100</v>
      </c>
      <c r="BQ2" s="34" t="s">
        <v>100</v>
      </c>
      <c r="BR2" s="42" t="s">
        <v>1348</v>
      </c>
    </row>
    <row r="3" spans="1:70" x14ac:dyDescent="0.25">
      <c r="A3" s="86" t="s">
        <v>1349</v>
      </c>
      <c r="B3" s="19" t="s">
        <v>1344</v>
      </c>
      <c r="C3" s="13" t="s">
        <v>101</v>
      </c>
      <c r="D3" s="13" t="s">
        <v>122</v>
      </c>
      <c r="E3" s="13" t="s">
        <v>1344</v>
      </c>
      <c r="F3" s="13" t="s">
        <v>1350</v>
      </c>
      <c r="G3" s="13" t="s">
        <v>101</v>
      </c>
      <c r="H3" s="13" t="s">
        <v>122</v>
      </c>
      <c r="I3" s="267" t="s">
        <v>1344</v>
      </c>
      <c r="J3" s="13" t="s">
        <v>101</v>
      </c>
      <c r="K3" s="13" t="s">
        <v>122</v>
      </c>
      <c r="L3" s="13" t="s">
        <v>1344</v>
      </c>
      <c r="M3" s="15" t="s">
        <v>101</v>
      </c>
      <c r="N3" s="15" t="s">
        <v>122</v>
      </c>
      <c r="O3" s="15" t="s">
        <v>1351</v>
      </c>
      <c r="P3" s="15" t="s">
        <v>101</v>
      </c>
      <c r="Q3" s="15" t="s">
        <v>122</v>
      </c>
      <c r="R3" s="15" t="s">
        <v>1344</v>
      </c>
      <c r="S3" s="15" t="s">
        <v>101</v>
      </c>
      <c r="T3" s="15" t="s">
        <v>122</v>
      </c>
      <c r="U3" s="15" t="s">
        <v>1344</v>
      </c>
      <c r="V3" s="17" t="s">
        <v>101</v>
      </c>
      <c r="W3" s="17" t="s">
        <v>122</v>
      </c>
      <c r="X3" s="17" t="s">
        <v>1344</v>
      </c>
      <c r="Y3" s="17" t="s">
        <v>101</v>
      </c>
      <c r="Z3" s="17" t="s">
        <v>122</v>
      </c>
      <c r="AA3" s="17" t="s">
        <v>1344</v>
      </c>
      <c r="AB3" s="17" t="s">
        <v>101</v>
      </c>
      <c r="AC3" s="17" t="s">
        <v>122</v>
      </c>
      <c r="AD3" s="17" t="s">
        <v>1344</v>
      </c>
      <c r="AE3" s="19" t="s">
        <v>101</v>
      </c>
      <c r="AF3" s="19" t="s">
        <v>122</v>
      </c>
      <c r="AG3" s="19" t="s">
        <v>1344</v>
      </c>
      <c r="AH3" s="19" t="s">
        <v>101</v>
      </c>
      <c r="AI3" s="19" t="s">
        <v>122</v>
      </c>
      <c r="AJ3" s="19" t="s">
        <v>1344</v>
      </c>
      <c r="AK3" s="19" t="s">
        <v>101</v>
      </c>
      <c r="AL3" s="19" t="s">
        <v>122</v>
      </c>
      <c r="AM3" s="19" t="s">
        <v>1344</v>
      </c>
      <c r="AN3" s="21" t="s">
        <v>101</v>
      </c>
      <c r="AO3" s="21" t="s">
        <v>122</v>
      </c>
      <c r="AP3" s="21" t="s">
        <v>1344</v>
      </c>
      <c r="AQ3" s="21" t="s">
        <v>101</v>
      </c>
      <c r="AR3" s="21" t="s">
        <v>122</v>
      </c>
      <c r="AS3" s="21" t="s">
        <v>1344</v>
      </c>
      <c r="AT3" s="21" t="s">
        <v>101</v>
      </c>
      <c r="AU3" s="21" t="s">
        <v>122</v>
      </c>
      <c r="AV3" s="21" t="s">
        <v>1344</v>
      </c>
      <c r="AW3" s="23" t="s">
        <v>101</v>
      </c>
      <c r="AX3" s="23" t="s">
        <v>122</v>
      </c>
      <c r="AY3" s="23" t="s">
        <v>1344</v>
      </c>
      <c r="AZ3" s="23" t="s">
        <v>101</v>
      </c>
      <c r="BA3" s="23" t="s">
        <v>122</v>
      </c>
      <c r="BB3" s="23" t="s">
        <v>1344</v>
      </c>
      <c r="BC3" s="23" t="s">
        <v>101</v>
      </c>
      <c r="BD3" s="23" t="s">
        <v>122</v>
      </c>
      <c r="BE3" s="23" t="s">
        <v>1344</v>
      </c>
      <c r="BF3" s="35" t="s">
        <v>101</v>
      </c>
      <c r="BG3" s="35" t="s">
        <v>122</v>
      </c>
      <c r="BH3" s="35" t="s">
        <v>101</v>
      </c>
      <c r="BI3" s="35" t="s">
        <v>122</v>
      </c>
      <c r="BJ3" s="35" t="s">
        <v>101</v>
      </c>
      <c r="BK3" s="35" t="s">
        <v>122</v>
      </c>
      <c r="BL3" s="35" t="s">
        <v>101</v>
      </c>
      <c r="BM3" s="35" t="s">
        <v>122</v>
      </c>
      <c r="BN3" s="35" t="s">
        <v>101</v>
      </c>
      <c r="BO3" s="35" t="s">
        <v>122</v>
      </c>
      <c r="BP3" s="35" t="s">
        <v>101</v>
      </c>
      <c r="BQ3" s="35" t="s">
        <v>122</v>
      </c>
      <c r="BR3" s="43"/>
    </row>
    <row r="4" spans="1:70" x14ac:dyDescent="0.25">
      <c r="A4" s="86" t="s">
        <v>190</v>
      </c>
      <c r="B4" s="19">
        <f>COUNTIFS('LOI and Commissioning Master Sh'!D:D,Summary!A4)</f>
        <v>22</v>
      </c>
      <c r="C4" s="13">
        <f>COUNTIFS('LOI and Commissioning Master Sh'!$D:$D,Summary!$A4,'LOI and Commissioning Master Sh'!$X:$X,"Yes",'LOI and Commissioning Master Sh'!$H:$H,"A")</f>
        <v>4</v>
      </c>
      <c r="D4" s="13">
        <f>COUNTIFS('LOI and Commissioning Master Sh'!$D:$D,Summary!$A4,'LOI and Commissioning Master Sh'!$X:$X,"Yes",'LOI and Commissioning Master Sh'!$H:$H,"B")</f>
        <v>4</v>
      </c>
      <c r="E4" s="13">
        <f t="shared" ref="E4:E15" si="0">C4+D4</f>
        <v>8</v>
      </c>
      <c r="F4" s="13">
        <f>+COUNTIFS('LOI and Commissioning Master Sh'!$D:$D,Summary!$A4,'LOI and Commissioning Master Sh'!$X:$X, "Yes",'LOI and Commissioning Master Sh'!$BK:$BK, "Yes")</f>
        <v>7</v>
      </c>
      <c r="G4" s="13">
        <f>COUNTIFS('LOI and Commissioning Master Sh'!$D:$D,Summary!$A4,'LOI and Commissioning Master Sh'!$X:$X,"Yes",'LOI and Commissioning Master Sh'!$H:$H,"A",'LOI and Commissioning Master Sh'!$AC:$AC,"Yes")</f>
        <v>1</v>
      </c>
      <c r="H4" s="13">
        <f>COUNTIFS('LOI and Commissioning Master Sh'!$D:$D,Summary!$A4,'LOI and Commissioning Master Sh'!$X:$X,"Yes",'LOI and Commissioning Master Sh'!$H:$H,"B",'LOI and Commissioning Master Sh'!$AC:$AC,"Yes")</f>
        <v>0</v>
      </c>
      <c r="I4" s="267">
        <f t="shared" ref="I4:I15" si="1">G4+H4</f>
        <v>1</v>
      </c>
      <c r="J4" s="13">
        <f>COUNTIFS('LOI and Commissioning Master Sh'!$D:$D,Summary!$A4,'LOI and Commissioning Master Sh'!$X:$X,"Yes",'LOI and Commissioning Master Sh'!$H:$H,"A",'LOI and Commissioning Master Sh'!$Y:$Y,"Yes")</f>
        <v>0</v>
      </c>
      <c r="K4" s="13">
        <f>COUNTIFS('LOI and Commissioning Master Sh'!$D:$D,Summary!$A4,'LOI and Commissioning Master Sh'!$X:$X,"Yes",'LOI and Commissioning Master Sh'!$H:$H,"B",'LOI and Commissioning Master Sh'!$Y:$Y,"Yes")</f>
        <v>1</v>
      </c>
      <c r="L4" s="13">
        <f t="shared" ref="L4:L15" si="2">J4+K4</f>
        <v>1</v>
      </c>
      <c r="M4" s="15">
        <f>COUNTIFS('LOI and Commissioning Master Sh'!$D:$D,Summary!$A4, 'LOI and Commissioning Master Sh'!$G:$G,M$1,'LOI and Commissioning Master Sh'!$X:$X,"Yes",'LOI and Commissioning Master Sh'!$H:$H,M$3)</f>
        <v>0</v>
      </c>
      <c r="N4" s="15">
        <f>COUNTIFS('LOI and Commissioning Master Sh'!$D:$D,Summary!$A4, 'LOI and Commissioning Master Sh'!$G:$G,N$1,'LOI and Commissioning Master Sh'!$X:$X,"Yes",'LOI and Commissioning Master Sh'!$H:$H,N$3)</f>
        <v>0</v>
      </c>
      <c r="O4" s="15">
        <f t="shared" ref="O4:O15" si="3">M4+N4</f>
        <v>0</v>
      </c>
      <c r="P4" s="15">
        <f>COUNTIFS('LOI and Commissioning Master Sh'!$D:$D,Summary!$A4, 'LOI and Commissioning Master Sh'!$G:$G,P$1,'LOI and Commissioning Master Sh'!$X:$X,"Yes",'LOI and Commissioning Master Sh'!$H:$H,P$3,'LOI and Commissioning Master Sh'!$AC:$AC,"Yes")</f>
        <v>0</v>
      </c>
      <c r="Q4" s="15">
        <f>COUNTIFS('LOI and Commissioning Master Sh'!$D:$D,Summary!$A4, 'LOI and Commissioning Master Sh'!$G:$G,Q$1,'LOI and Commissioning Master Sh'!$X:$X,"Yes",'LOI and Commissioning Master Sh'!$H:$H,Q$3,'LOI and Commissioning Master Sh'!$AC:$AC,"Yes")</f>
        <v>0</v>
      </c>
      <c r="R4" s="15">
        <f t="shared" ref="R4:R15" si="4">P4+Q4</f>
        <v>0</v>
      </c>
      <c r="S4" s="15">
        <f>COUNTIFS('LOI and Commissioning Master Sh'!$D:$D,Summary!$A4, 'LOI and Commissioning Master Sh'!$G:$G,S$1,'LOI and Commissioning Master Sh'!$X:$X,"Yes",'LOI and Commissioning Master Sh'!$H:$H,S$3,'LOI and Commissioning Master Sh'!$Y:$Y,"Yes")</f>
        <v>0</v>
      </c>
      <c r="T4" s="15">
        <f>COUNTIFS('LOI and Commissioning Master Sh'!$D:$D,Summary!$A4, 'LOI and Commissioning Master Sh'!$G:$G,T$1,'LOI and Commissioning Master Sh'!$X:$X,"Yes",'LOI and Commissioning Master Sh'!$H:$H,T$3,'LOI and Commissioning Master Sh'!$Y:$Y,"Yes")</f>
        <v>0</v>
      </c>
      <c r="U4" s="15">
        <f t="shared" ref="U4:U15" si="5">S4+T4</f>
        <v>0</v>
      </c>
      <c r="V4" s="17">
        <f>COUNTIFS('LOI and Commissioning Master Sh'!$D:$D,Summary!$A4, 'LOI and Commissioning Master Sh'!$G:$G,V$1,'LOI and Commissioning Master Sh'!$X:$X,"Yes",'LOI and Commissioning Master Sh'!$H:$H,V$3)</f>
        <v>3</v>
      </c>
      <c r="W4" s="17">
        <f>COUNTIFS('LOI and Commissioning Master Sh'!$D:$D,Summary!$A4, 'LOI and Commissioning Master Sh'!$G:$G,W$1,'LOI and Commissioning Master Sh'!$X:$X,"Yes",'LOI and Commissioning Master Sh'!$H:$H,W$3)</f>
        <v>0</v>
      </c>
      <c r="X4" s="17">
        <f>V4+W4</f>
        <v>3</v>
      </c>
      <c r="Y4" s="17">
        <f>COUNTIFS('LOI and Commissioning Master Sh'!$D:$D,Summary!$A4, 'LOI and Commissioning Master Sh'!$G:$G,Y$1,'LOI and Commissioning Master Sh'!$X:$X,"Yes",'LOI and Commissioning Master Sh'!$H:$H,Y$3,'LOI and Commissioning Master Sh'!$AC:$AC,"Yes")</f>
        <v>0</v>
      </c>
      <c r="Z4" s="17">
        <f>COUNTIFS('LOI and Commissioning Master Sh'!$D:$D,Summary!$A4, 'LOI and Commissioning Master Sh'!$G:$G,Z$1,'LOI and Commissioning Master Sh'!$X:$X,"Yes",'LOI and Commissioning Master Sh'!$H:$H,Z$3,'LOI and Commissioning Master Sh'!$AC:$AC,"Yes")</f>
        <v>0</v>
      </c>
      <c r="AA4" s="17">
        <f>Y4+Z4</f>
        <v>0</v>
      </c>
      <c r="AB4" s="17">
        <f>COUNTIFS('LOI and Commissioning Master Sh'!$D:$D,Summary!$A4, 'LOI and Commissioning Master Sh'!$G:$G,AB$1,'LOI and Commissioning Master Sh'!$X:$X,"Yes",'LOI and Commissioning Master Sh'!$H:$H,AB$3,'LOI and Commissioning Master Sh'!$Y:$Y,"Yes")</f>
        <v>0</v>
      </c>
      <c r="AC4" s="17">
        <f>COUNTIFS('LOI and Commissioning Master Sh'!$D:$D,Summary!$A4, 'LOI and Commissioning Master Sh'!$G:$G,AC$1,'LOI and Commissioning Master Sh'!$X:$X,"Yes",'LOI and Commissioning Master Sh'!$H:$H,AC$3,'LOI and Commissioning Master Sh'!$Y:$Y,"Yes")</f>
        <v>0</v>
      </c>
      <c r="AD4" s="17">
        <f>AB4+AC4</f>
        <v>0</v>
      </c>
      <c r="AE4" s="19">
        <f>COUNTIFS('LOI and Commissioning Master Sh'!$D:$D,Summary!$A4, 'LOI and Commissioning Master Sh'!$G:$G,AE$1,'LOI and Commissioning Master Sh'!$X:$X,"Yes",'LOI and Commissioning Master Sh'!$H:$H,AE$3)</f>
        <v>1</v>
      </c>
      <c r="AF4" s="19">
        <f>COUNTIFS('LOI and Commissioning Master Sh'!$D:$D,Summary!$A4, 'LOI and Commissioning Master Sh'!$G:$G,AF$1,'LOI and Commissioning Master Sh'!$X:$X,"Yes",'LOI and Commissioning Master Sh'!$H:$H,AF$3)</f>
        <v>3</v>
      </c>
      <c r="AG4" s="19">
        <f>AE4+AF4</f>
        <v>4</v>
      </c>
      <c r="AH4" s="19">
        <f>COUNTIFS('LOI and Commissioning Master Sh'!$D:$D,Summary!$A4, 'LOI and Commissioning Master Sh'!$G:$G,AH$1,'LOI and Commissioning Master Sh'!$X:$X,"Yes",'LOI and Commissioning Master Sh'!$H:$H,AH$3,'LOI and Commissioning Master Sh'!$AC:$AC,"Yes")</f>
        <v>1</v>
      </c>
      <c r="AI4" s="19">
        <f>COUNTIFS('LOI and Commissioning Master Sh'!$D:$D,Summary!$A4, 'LOI and Commissioning Master Sh'!$G:$G,AI$1,'LOI and Commissioning Master Sh'!$X:$X,"Yes",'LOI and Commissioning Master Sh'!$H:$H,AI$3,'LOI and Commissioning Master Sh'!$AC:$AC,"Yes")</f>
        <v>0</v>
      </c>
      <c r="AJ4" s="19">
        <f>AH4+AI4</f>
        <v>1</v>
      </c>
      <c r="AK4" s="19">
        <f>COUNTIFS('LOI and Commissioning Master Sh'!$D:$D,Summary!$A4, 'LOI and Commissioning Master Sh'!$G:$G,AK$1,'LOI and Commissioning Master Sh'!$X:$X,"Yes",'LOI and Commissioning Master Sh'!$H:$H,AK$3,'LOI and Commissioning Master Sh'!$Y:$Y,"Yes")</f>
        <v>0</v>
      </c>
      <c r="AL4" s="19">
        <f>COUNTIFS('LOI and Commissioning Master Sh'!$D:$D,Summary!$A4, 'LOI and Commissioning Master Sh'!$G:$G,AL$1,'LOI and Commissioning Master Sh'!$X:$X,"Yes",'LOI and Commissioning Master Sh'!$H:$H,AL$3,'LOI and Commissioning Master Sh'!$Y:$Y,"Yes")</f>
        <v>1</v>
      </c>
      <c r="AM4" s="19">
        <f>AK4+AL4</f>
        <v>1</v>
      </c>
      <c r="AN4" s="21">
        <f>COUNTIFS('LOI and Commissioning Master Sh'!$D:$D,Summary!$A4, 'LOI and Commissioning Master Sh'!$G:$G,AN$1,'LOI and Commissioning Master Sh'!$X:$X,"Yes",'LOI and Commissioning Master Sh'!$H:$H,AN$3)</f>
        <v>0</v>
      </c>
      <c r="AO4" s="21">
        <f>COUNTIFS('LOI and Commissioning Master Sh'!$D:$D,Summary!$A4, 'LOI and Commissioning Master Sh'!$G:$G,AO$1,'LOI and Commissioning Master Sh'!$X:$X,"Yes",'LOI and Commissioning Master Sh'!$H:$H,AO$3)</f>
        <v>0</v>
      </c>
      <c r="AP4" s="21">
        <f>AN4+AO4</f>
        <v>0</v>
      </c>
      <c r="AQ4" s="21">
        <f>COUNTIFS('LOI and Commissioning Master Sh'!$D:$D,Summary!$A4, 'LOI and Commissioning Master Sh'!$G:$G,AQ$1,'LOI and Commissioning Master Sh'!$X:$X,"Yes",'LOI and Commissioning Master Sh'!$H:$H,AQ$3,'LOI and Commissioning Master Sh'!$AC:$AC,"Yes")</f>
        <v>0</v>
      </c>
      <c r="AR4" s="21">
        <f>COUNTIFS('LOI and Commissioning Master Sh'!$D:$D,Summary!$A4, 'LOI and Commissioning Master Sh'!$G:$G,AR$1,'LOI and Commissioning Master Sh'!$X:$X,"Yes",'LOI and Commissioning Master Sh'!$H:$H,AR$3,'LOI and Commissioning Master Sh'!$AC:$AC,"Yes")</f>
        <v>0</v>
      </c>
      <c r="AS4" s="21">
        <f>AQ4+AR4</f>
        <v>0</v>
      </c>
      <c r="AT4" s="21">
        <f>COUNTIFS('LOI and Commissioning Master Sh'!$D:$D,Summary!$A4, 'LOI and Commissioning Master Sh'!$G:$G,AT$1,'LOI and Commissioning Master Sh'!$X:$X,"Yes",'LOI and Commissioning Master Sh'!$H:$H,AT$3,'LOI and Commissioning Master Sh'!$Y:$Y,"Yes")</f>
        <v>0</v>
      </c>
      <c r="AU4" s="21">
        <f>COUNTIFS('LOI and Commissioning Master Sh'!$D:$D,Summary!$A4, 'LOI and Commissioning Master Sh'!$G:$G,AU$1,'LOI and Commissioning Master Sh'!$X:$X,"Yes",'LOI and Commissioning Master Sh'!$H:$H,AU$3,'LOI and Commissioning Master Sh'!$Y:$Y,"Yes")</f>
        <v>0</v>
      </c>
      <c r="AV4" s="21">
        <f>AT4+AU4</f>
        <v>0</v>
      </c>
      <c r="AW4" s="23">
        <f>COUNTIFS('LOI and Commissioning Master Sh'!$D:$D,Summary!$A4, 'LOI and Commissioning Master Sh'!$G:$G,AW$1,'LOI and Commissioning Master Sh'!$X:$X,"Yes",'LOI and Commissioning Master Sh'!$H:$H,AW$3)</f>
        <v>0</v>
      </c>
      <c r="AX4" s="23">
        <f>COUNTIFS('LOI and Commissioning Master Sh'!$D:$D,Summary!$A4, 'LOI and Commissioning Master Sh'!$G:$G,AX$1,'LOI and Commissioning Master Sh'!$X:$X,"Yes",'LOI and Commissioning Master Sh'!$H:$H,AX$3)</f>
        <v>1</v>
      </c>
      <c r="AY4" s="23">
        <f>+AW4+AX4</f>
        <v>1</v>
      </c>
      <c r="AZ4" s="23">
        <f>COUNTIFS('LOI and Commissioning Master Sh'!$D:$D,Summary!$A4, 'LOI and Commissioning Master Sh'!$G:$G,AZ$1,'LOI and Commissioning Master Sh'!$X:$X,"Yes",'LOI and Commissioning Master Sh'!$H:$H,AZ$3,'LOI and Commissioning Master Sh'!$AC:$AC,"Yes")</f>
        <v>0</v>
      </c>
      <c r="BA4" s="23">
        <f>COUNTIFS('LOI and Commissioning Master Sh'!$D:$D,Summary!$A4, 'LOI and Commissioning Master Sh'!$G:$G,BA$1,'LOI and Commissioning Master Sh'!$X:$X,"Yes",'LOI and Commissioning Master Sh'!$H:$H,BA$3,'LOI and Commissioning Master Sh'!$AC:$AC,"Yes")</f>
        <v>0</v>
      </c>
      <c r="BB4" s="23">
        <f>+AZ4+BA4</f>
        <v>0</v>
      </c>
      <c r="BC4" s="23">
        <f>COUNTIFS('LOI and Commissioning Master Sh'!$D:$D,Summary!$A4, 'LOI and Commissioning Master Sh'!$G:$G,BC$1,'LOI and Commissioning Master Sh'!$X:$X,"Yes",'LOI and Commissioning Master Sh'!$H:$H,BC$3,'LOI and Commissioning Master Sh'!$Y:$Y,"Yes")</f>
        <v>0</v>
      </c>
      <c r="BD4" s="23">
        <f>COUNTIFS('LOI and Commissioning Master Sh'!$D:$D,Summary!$A4, 'LOI and Commissioning Master Sh'!$G:$G,BD$1,'LOI and Commissioning Master Sh'!$X:$X,"Yes",'LOI and Commissioning Master Sh'!$H:$H,BD$3,'LOI and Commissioning Master Sh'!$Y:$Y,"Yes")</f>
        <v>0</v>
      </c>
      <c r="BE4" s="23">
        <f>+BC4+BD4</f>
        <v>0</v>
      </c>
      <c r="BF4" s="35">
        <f>COUNTIFS('LOI and Commissioning Master Sh'!$D:$D,Summary!$A4,'LOI and Commissioning Master Sh'!$G:$G,Summary!BF$2,'LOI and Commissioning Master Sh'!$H:$H,Summary!BF$3,'LOI and Commissioning Master Sh'!$BW:$BW, "Commissioned")</f>
        <v>0</v>
      </c>
      <c r="BG4" s="35">
        <f>COUNTIFS('LOI and Commissioning Master Sh'!$D:$D,Summary!$A4,'LOI and Commissioning Master Sh'!$G:$G,Summary!BG$2,'LOI and Commissioning Master Sh'!$H:$H,Summary!BG$3,'LOI and Commissioning Master Sh'!$BW:$BW, "Commissioned")</f>
        <v>0</v>
      </c>
      <c r="BH4" s="35">
        <f>COUNTIFS('LOI and Commissioning Master Sh'!$D:$D,Summary!$A4,'LOI and Commissioning Master Sh'!$G:$G,Summary!BH$2,'LOI and Commissioning Master Sh'!$H:$H,Summary!BH$3,'LOI and Commissioning Master Sh'!$BW:$BW, "Commissioned")</f>
        <v>0</v>
      </c>
      <c r="BI4" s="35">
        <f>COUNTIFS('LOI and Commissioning Master Sh'!$D:$D,Summary!$A4,'LOI and Commissioning Master Sh'!$G:$G,Summary!BI$2,'LOI and Commissioning Master Sh'!$H:$H,Summary!BI$3,'LOI and Commissioning Master Sh'!$BW:$BW, "Commissioned")</f>
        <v>0</v>
      </c>
      <c r="BJ4" s="35">
        <f>COUNTIFS('LOI and Commissioning Master Sh'!$D:$D,Summary!$A4,'LOI and Commissioning Master Sh'!$G:$G,Summary!BJ$2,'LOI and Commissioning Master Sh'!$H:$H,Summary!BJ$3,'LOI and Commissioning Master Sh'!$BW:$BW, "Commissioned")</f>
        <v>0</v>
      </c>
      <c r="BK4" s="35">
        <f>COUNTIFS('LOI and Commissioning Master Sh'!$D:$D,Summary!$A4,'LOI and Commissioning Master Sh'!$G:$G,Summary!BK$2,'LOI and Commissioning Master Sh'!$H:$H,Summary!BK$3,'LOI and Commissioning Master Sh'!$BW:$BW, "Commissioned")</f>
        <v>0</v>
      </c>
      <c r="BL4" s="35">
        <f>COUNTIFS('LOI and Commissioning Master Sh'!$D:$D,Summary!$A4,'LOI and Commissioning Master Sh'!$G:$G,Summary!BL$2,'LOI and Commissioning Master Sh'!$H:$H,Summary!BL$3,'LOI and Commissioning Master Sh'!$BW:$BW, "Commissioned")</f>
        <v>0</v>
      </c>
      <c r="BM4" s="35">
        <f>COUNTIFS('LOI and Commissioning Master Sh'!$D:$D,Summary!$A4,'LOI and Commissioning Master Sh'!$G:$G,Summary!BM$2,'LOI and Commissioning Master Sh'!$H:$H,Summary!BM$3,'LOI and Commissioning Master Sh'!$BW:$BW, "Commissioned")</f>
        <v>0</v>
      </c>
      <c r="BN4" s="35">
        <f>COUNTIFS('LOI and Commissioning Master Sh'!$D:$D,Summary!$A4,'LOI and Commissioning Master Sh'!$G:$G,Summary!BN$2,'LOI and Commissioning Master Sh'!$H:$H,Summary!BN$3,'LOI and Commissioning Master Sh'!$BW:$BW, "Commissioned")</f>
        <v>0</v>
      </c>
      <c r="BO4" s="35">
        <f>COUNTIFS('LOI and Commissioning Master Sh'!$D:$D,Summary!$A4,'LOI and Commissioning Master Sh'!$G:$G,Summary!BO$2,'LOI and Commissioning Master Sh'!$H:$H,Summary!BO$3,'LOI and Commissioning Master Sh'!$BW:$BW, "Commissioned")</f>
        <v>0</v>
      </c>
      <c r="BP4" s="35">
        <f>COUNTIFS('LOI and Commissioning Master Sh'!$D:$D,Summary!$A4,'LOI and Commissioning Master Sh'!$G:$G,Summary!BP$2,'LOI and Commissioning Master Sh'!$H:$H,Summary!BP$3,'LOI and Commissioning Master Sh'!$BW:$BW, "Commissioned")</f>
        <v>0</v>
      </c>
      <c r="BQ4" s="35">
        <f>COUNTIFS('LOI and Commissioning Master Sh'!$D:$D,Summary!$A4,'LOI and Commissioning Master Sh'!$G:$G,Summary!BQ$2,'LOI and Commissioning Master Sh'!$H:$H,Summary!BQ$3,'LOI and Commissioning Master Sh'!$BW:$BW, "Commissioned")</f>
        <v>0</v>
      </c>
      <c r="BR4" s="43">
        <f t="shared" ref="BR4:BR14" si="6">+SUM(BF4:BQ4)</f>
        <v>0</v>
      </c>
    </row>
    <row r="5" spans="1:70" x14ac:dyDescent="0.25">
      <c r="A5" s="86" t="s">
        <v>156</v>
      </c>
      <c r="B5" s="19">
        <f>COUNTIFS('LOI and Commissioning Master Sh'!D:D,Summary!A5)</f>
        <v>33</v>
      </c>
      <c r="C5" s="13">
        <f>COUNTIFS('LOI and Commissioning Master Sh'!$D:$D,Summary!$A5,'LOI and Commissioning Master Sh'!$X:$X,"Yes",'LOI and Commissioning Master Sh'!$H:$H,"A")</f>
        <v>1</v>
      </c>
      <c r="D5" s="13">
        <f>COUNTIFS('LOI and Commissioning Master Sh'!$D:$D,Summary!$A5,'LOI and Commissioning Master Sh'!$X:$X,"Yes",'LOI and Commissioning Master Sh'!$H:$H,"B")</f>
        <v>10</v>
      </c>
      <c r="E5" s="13">
        <f t="shared" si="0"/>
        <v>11</v>
      </c>
      <c r="F5" s="13">
        <f>+COUNTIFS('LOI and Commissioning Master Sh'!$D:$D,Summary!$A5,'LOI and Commissioning Master Sh'!$X:$X, "Yes",'LOI and Commissioning Master Sh'!$BK:$BK, "Yes")</f>
        <v>10</v>
      </c>
      <c r="G5" s="13">
        <f>COUNTIFS('LOI and Commissioning Master Sh'!$D:$D,Summary!$A5,'LOI and Commissioning Master Sh'!$X:$X,"Yes",'LOI and Commissioning Master Sh'!$H:$H,"A",'LOI and Commissioning Master Sh'!$AC:$AC,"Yes")</f>
        <v>1</v>
      </c>
      <c r="H5" s="13">
        <f>COUNTIFS('LOI and Commissioning Master Sh'!$D:$D,Summary!$A5,'LOI and Commissioning Master Sh'!$X:$X,"Yes",'LOI and Commissioning Master Sh'!$H:$H,"B",'LOI and Commissioning Master Sh'!$AC:$AC,"Yes")</f>
        <v>0</v>
      </c>
      <c r="I5" s="267">
        <f t="shared" si="1"/>
        <v>1</v>
      </c>
      <c r="J5" s="13">
        <f>COUNTIFS('LOI and Commissioning Master Sh'!$D:$D,Summary!$A5,'LOI and Commissioning Master Sh'!$X:$X,"Yes",'LOI and Commissioning Master Sh'!$H:$H,"A",'LOI and Commissioning Master Sh'!$Y:$Y,"Yes")</f>
        <v>0</v>
      </c>
      <c r="K5" s="13">
        <f>COUNTIFS('LOI and Commissioning Master Sh'!$D:$D,Summary!$A5,'LOI and Commissioning Master Sh'!$X:$X,"Yes",'LOI and Commissioning Master Sh'!$H:$H,"B",'LOI and Commissioning Master Sh'!$Y:$Y,"Yes")</f>
        <v>4</v>
      </c>
      <c r="L5" s="13">
        <f t="shared" si="2"/>
        <v>4</v>
      </c>
      <c r="M5" s="15">
        <f>COUNTIFS('LOI and Commissioning Master Sh'!$D:$D,Summary!$A5, 'LOI and Commissioning Master Sh'!$G:$G,M$1,'LOI and Commissioning Master Sh'!$X:$X,"Yes",'LOI and Commissioning Master Sh'!$H:$H,M$3)</f>
        <v>0</v>
      </c>
      <c r="N5" s="15">
        <f>COUNTIFS('LOI and Commissioning Master Sh'!$D:$D,Summary!$A5, 'LOI and Commissioning Master Sh'!$G:$G,N$1,'LOI and Commissioning Master Sh'!$X:$X,"Yes",'LOI and Commissioning Master Sh'!$H:$H,N$3)</f>
        <v>0</v>
      </c>
      <c r="O5" s="15">
        <f t="shared" si="3"/>
        <v>0</v>
      </c>
      <c r="P5" s="15">
        <f>COUNTIFS('LOI and Commissioning Master Sh'!$D:$D,Summary!$A5, 'LOI and Commissioning Master Sh'!$G:$G,P$1,'LOI and Commissioning Master Sh'!$X:$X,"Yes",'LOI and Commissioning Master Sh'!$H:$H,P$3,'LOI and Commissioning Master Sh'!$AC:$AC,"Yes")</f>
        <v>0</v>
      </c>
      <c r="Q5" s="15">
        <f>COUNTIFS('LOI and Commissioning Master Sh'!$D:$D,Summary!$A5, 'LOI and Commissioning Master Sh'!$G:$G,Q$1,'LOI and Commissioning Master Sh'!$X:$X,"Yes",'LOI and Commissioning Master Sh'!$H:$H,Q$3,'LOI and Commissioning Master Sh'!$AC:$AC,"Yes")</f>
        <v>0</v>
      </c>
      <c r="R5" s="15">
        <f t="shared" si="4"/>
        <v>0</v>
      </c>
      <c r="S5" s="15">
        <f>COUNTIFS('LOI and Commissioning Master Sh'!$D:$D,Summary!$A5, 'LOI and Commissioning Master Sh'!$G:$G,S$1,'LOI and Commissioning Master Sh'!$X:$X,"Yes",'LOI and Commissioning Master Sh'!$H:$H,S$3,'LOI and Commissioning Master Sh'!$Y:$Y,"Yes")</f>
        <v>0</v>
      </c>
      <c r="T5" s="15">
        <f>COUNTIFS('LOI and Commissioning Master Sh'!$D:$D,Summary!$A5, 'LOI and Commissioning Master Sh'!$G:$G,T$1,'LOI and Commissioning Master Sh'!$X:$X,"Yes",'LOI and Commissioning Master Sh'!$H:$H,T$3,'LOI and Commissioning Master Sh'!$Y:$Y,"Yes")</f>
        <v>0</v>
      </c>
      <c r="U5" s="15">
        <f t="shared" si="5"/>
        <v>0</v>
      </c>
      <c r="V5" s="17">
        <f>COUNTIFS('LOI and Commissioning Master Sh'!$D:$D,Summary!$A5, 'LOI and Commissioning Master Sh'!$G:$G,V$1,'LOI and Commissioning Master Sh'!$X:$X,"Yes",'LOI and Commissioning Master Sh'!$H:$H,V$3)</f>
        <v>0</v>
      </c>
      <c r="W5" s="17">
        <f>COUNTIFS('LOI and Commissioning Master Sh'!$D:$D,Summary!$A5, 'LOI and Commissioning Master Sh'!$G:$G,W$1,'LOI and Commissioning Master Sh'!$X:$X,"Yes",'LOI and Commissioning Master Sh'!$H:$H,W$3)</f>
        <v>5</v>
      </c>
      <c r="X5" s="17">
        <f t="shared" ref="X5:X15" si="7">V5+W5</f>
        <v>5</v>
      </c>
      <c r="Y5" s="17">
        <f>COUNTIFS('LOI and Commissioning Master Sh'!$D:$D,Summary!$A5, 'LOI and Commissioning Master Sh'!$G:$G,Y$1,'LOI and Commissioning Master Sh'!$X:$X,"Yes",'LOI and Commissioning Master Sh'!$H:$H,Y$3,'LOI and Commissioning Master Sh'!$AC:$AC,"Yes")</f>
        <v>0</v>
      </c>
      <c r="Z5" s="17">
        <f>COUNTIFS('LOI and Commissioning Master Sh'!$D:$D,Summary!$A5, 'LOI and Commissioning Master Sh'!$G:$G,Z$1,'LOI and Commissioning Master Sh'!$X:$X,"Yes",'LOI and Commissioning Master Sh'!$H:$H,Z$3,'LOI and Commissioning Master Sh'!$AC:$AC,"Yes")</f>
        <v>0</v>
      </c>
      <c r="AA5" s="17">
        <f t="shared" ref="AA5:AA15" si="8">Y5+Z5</f>
        <v>0</v>
      </c>
      <c r="AB5" s="17">
        <f>COUNTIFS('LOI and Commissioning Master Sh'!$D:$D,Summary!$A5, 'LOI and Commissioning Master Sh'!$G:$G,AB$1,'LOI and Commissioning Master Sh'!$X:$X,"Yes",'LOI and Commissioning Master Sh'!$H:$H,AB$3,'LOI and Commissioning Master Sh'!$Y:$Y,"Yes")</f>
        <v>0</v>
      </c>
      <c r="AC5" s="17">
        <f>COUNTIFS('LOI and Commissioning Master Sh'!$D:$D,Summary!$A5, 'LOI and Commissioning Master Sh'!$G:$G,AC$1,'LOI and Commissioning Master Sh'!$X:$X,"Yes",'LOI and Commissioning Master Sh'!$H:$H,AC$3,'LOI and Commissioning Master Sh'!$Y:$Y,"Yes")</f>
        <v>3</v>
      </c>
      <c r="AD5" s="17">
        <f t="shared" ref="AD5:AD15" si="9">AB5+AC5</f>
        <v>3</v>
      </c>
      <c r="AE5" s="19">
        <f>COUNTIFS('LOI and Commissioning Master Sh'!$D:$D,Summary!$A5, 'LOI and Commissioning Master Sh'!$G:$G,AE$1,'LOI and Commissioning Master Sh'!$X:$X,"Yes",'LOI and Commissioning Master Sh'!$H:$H,AE$3)</f>
        <v>1</v>
      </c>
      <c r="AF5" s="19">
        <f>COUNTIFS('LOI and Commissioning Master Sh'!$D:$D,Summary!$A5, 'LOI and Commissioning Master Sh'!$G:$G,AF$1,'LOI and Commissioning Master Sh'!$X:$X,"Yes",'LOI and Commissioning Master Sh'!$H:$H,AF$3)</f>
        <v>2</v>
      </c>
      <c r="AG5" s="19">
        <f t="shared" ref="AG5:AG15" si="10">AE5+AF5</f>
        <v>3</v>
      </c>
      <c r="AH5" s="19">
        <f>COUNTIFS('LOI and Commissioning Master Sh'!$D:$D,Summary!$A5, 'LOI and Commissioning Master Sh'!$G:$G,AH$1,'LOI and Commissioning Master Sh'!$X:$X,"Yes",'LOI and Commissioning Master Sh'!$H:$H,AH$3,'LOI and Commissioning Master Sh'!$AC:$AC,"Yes")</f>
        <v>1</v>
      </c>
      <c r="AI5" s="19">
        <f>COUNTIFS('LOI and Commissioning Master Sh'!$D:$D,Summary!$A5, 'LOI and Commissioning Master Sh'!$G:$G,AI$1,'LOI and Commissioning Master Sh'!$X:$X,"Yes",'LOI and Commissioning Master Sh'!$H:$H,AI$3,'LOI and Commissioning Master Sh'!$AC:$AC,"Yes")</f>
        <v>0</v>
      </c>
      <c r="AJ5" s="19">
        <f t="shared" ref="AJ5:AJ15" si="11">AH5+AI5</f>
        <v>1</v>
      </c>
      <c r="AK5" s="19">
        <f>COUNTIFS('LOI and Commissioning Master Sh'!$D:$D,Summary!$A5, 'LOI and Commissioning Master Sh'!$G:$G,AK$1,'LOI and Commissioning Master Sh'!$X:$X,"Yes",'LOI and Commissioning Master Sh'!$H:$H,AK$3,'LOI and Commissioning Master Sh'!$Y:$Y,"Yes")</f>
        <v>0</v>
      </c>
      <c r="AL5" s="19">
        <f>COUNTIFS('LOI and Commissioning Master Sh'!$D:$D,Summary!$A5, 'LOI and Commissioning Master Sh'!$G:$G,AL$1,'LOI and Commissioning Master Sh'!$X:$X,"Yes",'LOI and Commissioning Master Sh'!$H:$H,AL$3,'LOI and Commissioning Master Sh'!$Y:$Y,"Yes")</f>
        <v>1</v>
      </c>
      <c r="AM5" s="19">
        <f t="shared" ref="AM5:AM15" si="12">AK5+AL5</f>
        <v>1</v>
      </c>
      <c r="AN5" s="21">
        <f>COUNTIFS('LOI and Commissioning Master Sh'!$D:$D,Summary!$A5, 'LOI and Commissioning Master Sh'!$G:$G,AN$1,'LOI and Commissioning Master Sh'!$X:$X,"Yes",'LOI and Commissioning Master Sh'!$H:$H,AN$3)</f>
        <v>0</v>
      </c>
      <c r="AO5" s="21">
        <f>COUNTIFS('LOI and Commissioning Master Sh'!$D:$D,Summary!$A5, 'LOI and Commissioning Master Sh'!$G:$G,AO$1,'LOI and Commissioning Master Sh'!$X:$X,"Yes",'LOI and Commissioning Master Sh'!$H:$H,AO$3)</f>
        <v>0</v>
      </c>
      <c r="AP5" s="21">
        <f t="shared" ref="AP5:AP15" si="13">AN5+AO5</f>
        <v>0</v>
      </c>
      <c r="AQ5" s="21">
        <f>COUNTIFS('LOI and Commissioning Master Sh'!$D:$D,Summary!$A5, 'LOI and Commissioning Master Sh'!$G:$G,AQ$1,'LOI and Commissioning Master Sh'!$X:$X,"Yes",'LOI and Commissioning Master Sh'!$H:$H,AQ$3,'LOI and Commissioning Master Sh'!$AC:$AC,"Yes")</f>
        <v>0</v>
      </c>
      <c r="AR5" s="21">
        <f>COUNTIFS('LOI and Commissioning Master Sh'!$D:$D,Summary!$A5, 'LOI and Commissioning Master Sh'!$G:$G,AR$1,'LOI and Commissioning Master Sh'!$X:$X,"Yes",'LOI and Commissioning Master Sh'!$H:$H,AR$3,'LOI and Commissioning Master Sh'!$AC:$AC,"Yes")</f>
        <v>0</v>
      </c>
      <c r="AS5" s="21">
        <f t="shared" ref="AS5:AS15" si="14">AQ5+AR5</f>
        <v>0</v>
      </c>
      <c r="AT5" s="21">
        <f>COUNTIFS('LOI and Commissioning Master Sh'!$D:$D,Summary!$A5, 'LOI and Commissioning Master Sh'!$G:$G,AT$1,'LOI and Commissioning Master Sh'!$X:$X,"Yes",'LOI and Commissioning Master Sh'!$H:$H,AT$3,'LOI and Commissioning Master Sh'!$Y:$Y,"Yes")</f>
        <v>0</v>
      </c>
      <c r="AU5" s="21">
        <f>COUNTIFS('LOI and Commissioning Master Sh'!$D:$D,Summary!$A5, 'LOI and Commissioning Master Sh'!$G:$G,AU$1,'LOI and Commissioning Master Sh'!$X:$X,"Yes",'LOI and Commissioning Master Sh'!$H:$H,AU$3,'LOI and Commissioning Master Sh'!$Y:$Y,"Yes")</f>
        <v>0</v>
      </c>
      <c r="AV5" s="21">
        <f t="shared" ref="AV5:AV15" si="15">AT5+AU5</f>
        <v>0</v>
      </c>
      <c r="AW5" s="23">
        <f>COUNTIFS('LOI and Commissioning Master Sh'!$D:$D,Summary!$A5, 'LOI and Commissioning Master Sh'!$G:$G,AW$1,'LOI and Commissioning Master Sh'!$X:$X,"Yes",'LOI and Commissioning Master Sh'!$H:$H,AW$3)</f>
        <v>0</v>
      </c>
      <c r="AX5" s="23">
        <f>COUNTIFS('LOI and Commissioning Master Sh'!$D:$D,Summary!$A5, 'LOI and Commissioning Master Sh'!$G:$G,AX$1,'LOI and Commissioning Master Sh'!$X:$X,"Yes",'LOI and Commissioning Master Sh'!$H:$H,AX$3)</f>
        <v>3</v>
      </c>
      <c r="AY5" s="23">
        <f t="shared" ref="AY5:AY15" si="16">+AW5+AX5</f>
        <v>3</v>
      </c>
      <c r="AZ5" s="23">
        <f>COUNTIFS('LOI and Commissioning Master Sh'!$D:$D,Summary!$A5, 'LOI and Commissioning Master Sh'!$G:$G,AZ$1,'LOI and Commissioning Master Sh'!$X:$X,"Yes",'LOI and Commissioning Master Sh'!$H:$H,AZ$3,'LOI and Commissioning Master Sh'!$AC:$AC,"Yes")</f>
        <v>0</v>
      </c>
      <c r="BA5" s="23">
        <f>COUNTIFS('LOI and Commissioning Master Sh'!$D:$D,Summary!$A5, 'LOI and Commissioning Master Sh'!$G:$G,BA$1,'LOI and Commissioning Master Sh'!$X:$X,"Yes",'LOI and Commissioning Master Sh'!$H:$H,BA$3,'LOI and Commissioning Master Sh'!$AC:$AC,"Yes")</f>
        <v>0</v>
      </c>
      <c r="BB5" s="23">
        <f t="shared" ref="BB5:BB15" si="17">+AZ5+BA5</f>
        <v>0</v>
      </c>
      <c r="BC5" s="23">
        <f>COUNTIFS('LOI and Commissioning Master Sh'!$D:$D,Summary!$A5, 'LOI and Commissioning Master Sh'!$G:$G,BC$1,'LOI and Commissioning Master Sh'!$X:$X,"Yes",'LOI and Commissioning Master Sh'!$H:$H,BC$3,'LOI and Commissioning Master Sh'!$Y:$Y,"Yes")</f>
        <v>0</v>
      </c>
      <c r="BD5" s="23">
        <f>COUNTIFS('LOI and Commissioning Master Sh'!$D:$D,Summary!$A5, 'LOI and Commissioning Master Sh'!$G:$G,BD$1,'LOI and Commissioning Master Sh'!$X:$X,"Yes",'LOI and Commissioning Master Sh'!$H:$H,BD$3,'LOI and Commissioning Master Sh'!$Y:$Y,"Yes")</f>
        <v>0</v>
      </c>
      <c r="BE5" s="23">
        <f t="shared" ref="BE5:BE15" si="18">+BC5+BD5</f>
        <v>0</v>
      </c>
      <c r="BF5" s="35">
        <f>COUNTIFS('LOI and Commissioning Master Sh'!$D:$D,Summary!$A5,'LOI and Commissioning Master Sh'!$G:$G,Summary!BF$2,'LOI and Commissioning Master Sh'!$H:$H,Summary!BF$3,'LOI and Commissioning Master Sh'!$BW:$BW, "Commissioned")</f>
        <v>0</v>
      </c>
      <c r="BG5" s="35">
        <f>COUNTIFS('LOI and Commissioning Master Sh'!$D:$D,Summary!$A5,'LOI and Commissioning Master Sh'!$G:$G,Summary!BG$2,'LOI and Commissioning Master Sh'!$H:$H,Summary!BG$3,'LOI and Commissioning Master Sh'!$BW:$BW, "Commissioned")</f>
        <v>0</v>
      </c>
      <c r="BH5" s="35">
        <f>COUNTIFS('LOI and Commissioning Master Sh'!$D:$D,Summary!$A5,'LOI and Commissioning Master Sh'!$G:$G,Summary!BH$2,'LOI and Commissioning Master Sh'!$H:$H,Summary!BH$3,'LOI and Commissioning Master Sh'!$BW:$BW, "Commissioned")</f>
        <v>0</v>
      </c>
      <c r="BI5" s="35">
        <f>COUNTIFS('LOI and Commissioning Master Sh'!$D:$D,Summary!$A5,'LOI and Commissioning Master Sh'!$G:$G,Summary!BI$2,'LOI and Commissioning Master Sh'!$H:$H,Summary!BI$3,'LOI and Commissioning Master Sh'!$BW:$BW, "Commissioned")</f>
        <v>0</v>
      </c>
      <c r="BJ5" s="35">
        <f>COUNTIFS('LOI and Commissioning Master Sh'!$D:$D,Summary!$A5,'LOI and Commissioning Master Sh'!$G:$G,Summary!BJ$2,'LOI and Commissioning Master Sh'!$H:$H,Summary!BJ$3,'LOI and Commissioning Master Sh'!$BW:$BW, "Commissioned")</f>
        <v>0</v>
      </c>
      <c r="BK5" s="35">
        <f>COUNTIFS('LOI and Commissioning Master Sh'!$D:$D,Summary!$A5,'LOI and Commissioning Master Sh'!$G:$G,Summary!BK$2,'LOI and Commissioning Master Sh'!$H:$H,Summary!BK$3,'LOI and Commissioning Master Sh'!$BW:$BW, "Commissioned")</f>
        <v>0</v>
      </c>
      <c r="BL5" s="35">
        <f>COUNTIFS('LOI and Commissioning Master Sh'!$D:$D,Summary!$A5,'LOI and Commissioning Master Sh'!$G:$G,Summary!BL$2,'LOI and Commissioning Master Sh'!$H:$H,Summary!BL$3,'LOI and Commissioning Master Sh'!$BW:$BW, "Commissioned")</f>
        <v>0</v>
      </c>
      <c r="BM5" s="35">
        <f>COUNTIFS('LOI and Commissioning Master Sh'!$D:$D,Summary!$A5,'LOI and Commissioning Master Sh'!$G:$G,Summary!BM$2,'LOI and Commissioning Master Sh'!$H:$H,Summary!BM$3,'LOI and Commissioning Master Sh'!$BW:$BW, "Commissioned")</f>
        <v>1</v>
      </c>
      <c r="BN5" s="35">
        <f>COUNTIFS('LOI and Commissioning Master Sh'!$D:$D,Summary!$A5,'LOI and Commissioning Master Sh'!$G:$G,Summary!BN$2,'LOI and Commissioning Master Sh'!$H:$H,Summary!BN$3,'LOI and Commissioning Master Sh'!$BW:$BW, "Commissioned")</f>
        <v>0</v>
      </c>
      <c r="BO5" s="35">
        <f>COUNTIFS('LOI and Commissioning Master Sh'!$D:$D,Summary!$A5,'LOI and Commissioning Master Sh'!$G:$G,Summary!BO$2,'LOI and Commissioning Master Sh'!$H:$H,Summary!BO$3,'LOI and Commissioning Master Sh'!$BW:$BW, "Commissioned")</f>
        <v>0</v>
      </c>
      <c r="BP5" s="35">
        <f>COUNTIFS('LOI and Commissioning Master Sh'!$D:$D,Summary!$A5,'LOI and Commissioning Master Sh'!$G:$G,Summary!BP$2,'LOI and Commissioning Master Sh'!$H:$H,Summary!BP$3,'LOI and Commissioning Master Sh'!$BW:$BW, "Commissioned")</f>
        <v>0</v>
      </c>
      <c r="BQ5" s="35">
        <f>COUNTIFS('LOI and Commissioning Master Sh'!$D:$D,Summary!$A5,'LOI and Commissioning Master Sh'!$G:$G,Summary!BQ$2,'LOI and Commissioning Master Sh'!$H:$H,Summary!BQ$3,'LOI and Commissioning Master Sh'!$BW:$BW, "Commissioned")</f>
        <v>0</v>
      </c>
      <c r="BR5" s="43">
        <f t="shared" si="6"/>
        <v>1</v>
      </c>
    </row>
    <row r="6" spans="1:70" x14ac:dyDescent="0.25">
      <c r="A6" s="86" t="s">
        <v>383</v>
      </c>
      <c r="B6" s="19">
        <f>COUNTIFS('LOI and Commissioning Master Sh'!D:D,Summary!A6)</f>
        <v>16</v>
      </c>
      <c r="C6" s="13">
        <f>COUNTIFS('LOI and Commissioning Master Sh'!$D:$D,Summary!$A6,'LOI and Commissioning Master Sh'!$X:$X,"Yes",'LOI and Commissioning Master Sh'!$H:$H,"A")</f>
        <v>2</v>
      </c>
      <c r="D6" s="13">
        <f>COUNTIFS('LOI and Commissioning Master Sh'!$D:$D,Summary!$A6,'LOI and Commissioning Master Sh'!$X:$X,"Yes",'LOI and Commissioning Master Sh'!$H:$H,"B")</f>
        <v>1</v>
      </c>
      <c r="E6" s="13">
        <f t="shared" si="0"/>
        <v>3</v>
      </c>
      <c r="F6" s="13">
        <f>+COUNTIFS('LOI and Commissioning Master Sh'!$D:$D,Summary!$A6,'LOI and Commissioning Master Sh'!$X:$X, "Yes",'LOI and Commissioning Master Sh'!$BK:$BK, "Yes")</f>
        <v>2</v>
      </c>
      <c r="G6" s="13">
        <f>COUNTIFS('LOI and Commissioning Master Sh'!$D:$D,Summary!$A6,'LOI and Commissioning Master Sh'!$X:$X,"Yes",'LOI and Commissioning Master Sh'!$H:$H,"A",'LOI and Commissioning Master Sh'!$AC:$AC,"Yes")</f>
        <v>0</v>
      </c>
      <c r="H6" s="13">
        <f>COUNTIFS('LOI and Commissioning Master Sh'!$D:$D,Summary!$A6,'LOI and Commissioning Master Sh'!$X:$X,"Yes",'LOI and Commissioning Master Sh'!$H:$H,"B",'LOI and Commissioning Master Sh'!$AC:$AC,"Yes")</f>
        <v>0</v>
      </c>
      <c r="I6" s="267">
        <f t="shared" si="1"/>
        <v>0</v>
      </c>
      <c r="J6" s="13">
        <f>COUNTIFS('LOI and Commissioning Master Sh'!$D:$D,Summary!$A6,'LOI and Commissioning Master Sh'!$X:$X,"Yes",'LOI and Commissioning Master Sh'!$H:$H,"A",'LOI and Commissioning Master Sh'!$Y:$Y,"Yes")</f>
        <v>1</v>
      </c>
      <c r="K6" s="13">
        <f>COUNTIFS('LOI and Commissioning Master Sh'!$D:$D,Summary!$A6,'LOI and Commissioning Master Sh'!$X:$X,"Yes",'LOI and Commissioning Master Sh'!$H:$H,"B",'LOI and Commissioning Master Sh'!$Y:$Y,"Yes")</f>
        <v>0</v>
      </c>
      <c r="L6" s="13">
        <f t="shared" si="2"/>
        <v>1</v>
      </c>
      <c r="M6" s="15">
        <f>COUNTIFS('LOI and Commissioning Master Sh'!$D:$D,Summary!$A6, 'LOI and Commissioning Master Sh'!$G:$G,M$1,'LOI and Commissioning Master Sh'!$X:$X,"Yes",'LOI and Commissioning Master Sh'!$H:$H,M$3)</f>
        <v>1</v>
      </c>
      <c r="N6" s="15">
        <f>COUNTIFS('LOI and Commissioning Master Sh'!$D:$D,Summary!$A6, 'LOI and Commissioning Master Sh'!$G:$G,N$1,'LOI and Commissioning Master Sh'!$X:$X,"Yes",'LOI and Commissioning Master Sh'!$H:$H,N$3)</f>
        <v>1</v>
      </c>
      <c r="O6" s="15">
        <f t="shared" si="3"/>
        <v>2</v>
      </c>
      <c r="P6" s="15">
        <f>COUNTIFS('LOI and Commissioning Master Sh'!$D:$D,Summary!$A6, 'LOI and Commissioning Master Sh'!$G:$G,P$1,'LOI and Commissioning Master Sh'!$X:$X,"Yes",'LOI and Commissioning Master Sh'!$H:$H,P$3,'LOI and Commissioning Master Sh'!$AC:$AC,"Yes")</f>
        <v>0</v>
      </c>
      <c r="Q6" s="15">
        <f>COUNTIFS('LOI and Commissioning Master Sh'!$D:$D,Summary!$A6, 'LOI and Commissioning Master Sh'!$G:$G,Q$1,'LOI and Commissioning Master Sh'!$X:$X,"Yes",'LOI and Commissioning Master Sh'!$H:$H,Q$3,'LOI and Commissioning Master Sh'!$AC:$AC,"Yes")</f>
        <v>0</v>
      </c>
      <c r="R6" s="15">
        <f t="shared" si="4"/>
        <v>0</v>
      </c>
      <c r="S6" s="15">
        <f>COUNTIFS('LOI and Commissioning Master Sh'!$D:$D,Summary!$A6, 'LOI and Commissioning Master Sh'!$G:$G,S$1,'LOI and Commissioning Master Sh'!$X:$X,"Yes",'LOI and Commissioning Master Sh'!$H:$H,S$3,'LOI and Commissioning Master Sh'!$Y:$Y,"Yes")</f>
        <v>1</v>
      </c>
      <c r="T6" s="15">
        <f>COUNTIFS('LOI and Commissioning Master Sh'!$D:$D,Summary!$A6, 'LOI and Commissioning Master Sh'!$G:$G,T$1,'LOI and Commissioning Master Sh'!$X:$X,"Yes",'LOI and Commissioning Master Sh'!$H:$H,T$3,'LOI and Commissioning Master Sh'!$Y:$Y,"Yes")</f>
        <v>0</v>
      </c>
      <c r="U6" s="15">
        <f t="shared" si="5"/>
        <v>1</v>
      </c>
      <c r="V6" s="17">
        <f>COUNTIFS('LOI and Commissioning Master Sh'!$D:$D,Summary!$A6, 'LOI and Commissioning Master Sh'!$G:$G,V$1,'LOI and Commissioning Master Sh'!$X:$X,"Yes",'LOI and Commissioning Master Sh'!$H:$H,V$3)</f>
        <v>1</v>
      </c>
      <c r="W6" s="17">
        <f>COUNTIFS('LOI and Commissioning Master Sh'!$D:$D,Summary!$A6, 'LOI and Commissioning Master Sh'!$G:$G,W$1,'LOI and Commissioning Master Sh'!$X:$X,"Yes",'LOI and Commissioning Master Sh'!$H:$H,W$3)</f>
        <v>0</v>
      </c>
      <c r="X6" s="17">
        <f t="shared" si="7"/>
        <v>1</v>
      </c>
      <c r="Y6" s="17">
        <f>COUNTIFS('LOI and Commissioning Master Sh'!$D:$D,Summary!$A6, 'LOI and Commissioning Master Sh'!$G:$G,Y$1,'LOI and Commissioning Master Sh'!$X:$X,"Yes",'LOI and Commissioning Master Sh'!$H:$H,Y$3,'LOI and Commissioning Master Sh'!$AC:$AC,"Yes")</f>
        <v>0</v>
      </c>
      <c r="Z6" s="17">
        <f>COUNTIFS('LOI and Commissioning Master Sh'!$D:$D,Summary!$A6, 'LOI and Commissioning Master Sh'!$G:$G,Z$1,'LOI and Commissioning Master Sh'!$X:$X,"Yes",'LOI and Commissioning Master Sh'!$H:$H,Z$3,'LOI and Commissioning Master Sh'!$AC:$AC,"Yes")</f>
        <v>0</v>
      </c>
      <c r="AA6" s="17">
        <f t="shared" si="8"/>
        <v>0</v>
      </c>
      <c r="AB6" s="17">
        <f>COUNTIFS('LOI and Commissioning Master Sh'!$D:$D,Summary!$A6, 'LOI and Commissioning Master Sh'!$G:$G,AB$1,'LOI and Commissioning Master Sh'!$X:$X,"Yes",'LOI and Commissioning Master Sh'!$H:$H,AB$3,'LOI and Commissioning Master Sh'!$Y:$Y,"Yes")</f>
        <v>0</v>
      </c>
      <c r="AC6" s="17">
        <f>COUNTIFS('LOI and Commissioning Master Sh'!$D:$D,Summary!$A6, 'LOI and Commissioning Master Sh'!$G:$G,AC$1,'LOI and Commissioning Master Sh'!$X:$X,"Yes",'LOI and Commissioning Master Sh'!$H:$H,AC$3,'LOI and Commissioning Master Sh'!$Y:$Y,"Yes")</f>
        <v>0</v>
      </c>
      <c r="AD6" s="17">
        <f t="shared" si="9"/>
        <v>0</v>
      </c>
      <c r="AE6" s="19">
        <f>COUNTIFS('LOI and Commissioning Master Sh'!$D:$D,Summary!$A6, 'LOI and Commissioning Master Sh'!$G:$G,AE$1,'LOI and Commissioning Master Sh'!$X:$X,"Yes",'LOI and Commissioning Master Sh'!$H:$H,AE$3)</f>
        <v>0</v>
      </c>
      <c r="AF6" s="19">
        <f>COUNTIFS('LOI and Commissioning Master Sh'!$D:$D,Summary!$A6, 'LOI and Commissioning Master Sh'!$G:$G,AF$1,'LOI and Commissioning Master Sh'!$X:$X,"Yes",'LOI and Commissioning Master Sh'!$H:$H,AF$3)</f>
        <v>0</v>
      </c>
      <c r="AG6" s="19">
        <f t="shared" si="10"/>
        <v>0</v>
      </c>
      <c r="AH6" s="19">
        <f>COUNTIFS('LOI and Commissioning Master Sh'!$D:$D,Summary!$A6, 'LOI and Commissioning Master Sh'!$G:$G,AH$1,'LOI and Commissioning Master Sh'!$X:$X,"Yes",'LOI and Commissioning Master Sh'!$H:$H,AH$3,'LOI and Commissioning Master Sh'!$AC:$AC,"Yes")</f>
        <v>0</v>
      </c>
      <c r="AI6" s="19">
        <f>COUNTIFS('LOI and Commissioning Master Sh'!$D:$D,Summary!$A6, 'LOI and Commissioning Master Sh'!$G:$G,AI$1,'LOI and Commissioning Master Sh'!$X:$X,"Yes",'LOI and Commissioning Master Sh'!$H:$H,AI$3,'LOI and Commissioning Master Sh'!$AC:$AC,"Yes")</f>
        <v>0</v>
      </c>
      <c r="AJ6" s="19">
        <f t="shared" si="11"/>
        <v>0</v>
      </c>
      <c r="AK6" s="19">
        <f>COUNTIFS('LOI and Commissioning Master Sh'!$D:$D,Summary!$A6, 'LOI and Commissioning Master Sh'!$G:$G,AK$1,'LOI and Commissioning Master Sh'!$X:$X,"Yes",'LOI and Commissioning Master Sh'!$H:$H,AK$3,'LOI and Commissioning Master Sh'!$Y:$Y,"Yes")</f>
        <v>0</v>
      </c>
      <c r="AL6" s="19">
        <f>COUNTIFS('LOI and Commissioning Master Sh'!$D:$D,Summary!$A6, 'LOI and Commissioning Master Sh'!$G:$G,AL$1,'LOI and Commissioning Master Sh'!$X:$X,"Yes",'LOI and Commissioning Master Sh'!$H:$H,AL$3,'LOI and Commissioning Master Sh'!$Y:$Y,"Yes")</f>
        <v>0</v>
      </c>
      <c r="AM6" s="19">
        <f t="shared" si="12"/>
        <v>0</v>
      </c>
      <c r="AN6" s="21">
        <f>COUNTIFS('LOI and Commissioning Master Sh'!$D:$D,Summary!$A6, 'LOI and Commissioning Master Sh'!$G:$G,AN$1,'LOI and Commissioning Master Sh'!$X:$X,"Yes",'LOI and Commissioning Master Sh'!$H:$H,AN$3)</f>
        <v>0</v>
      </c>
      <c r="AO6" s="21">
        <f>COUNTIFS('LOI and Commissioning Master Sh'!$D:$D,Summary!$A6, 'LOI and Commissioning Master Sh'!$G:$G,AO$1,'LOI and Commissioning Master Sh'!$X:$X,"Yes",'LOI and Commissioning Master Sh'!$H:$H,AO$3)</f>
        <v>0</v>
      </c>
      <c r="AP6" s="21">
        <f t="shared" si="13"/>
        <v>0</v>
      </c>
      <c r="AQ6" s="21">
        <f>COUNTIFS('LOI and Commissioning Master Sh'!$D:$D,Summary!$A6, 'LOI and Commissioning Master Sh'!$G:$G,AQ$1,'LOI and Commissioning Master Sh'!$X:$X,"Yes",'LOI and Commissioning Master Sh'!$H:$H,AQ$3,'LOI and Commissioning Master Sh'!$AC:$AC,"Yes")</f>
        <v>0</v>
      </c>
      <c r="AR6" s="21">
        <f>COUNTIFS('LOI and Commissioning Master Sh'!$D:$D,Summary!$A6, 'LOI and Commissioning Master Sh'!$G:$G,AR$1,'LOI and Commissioning Master Sh'!$X:$X,"Yes",'LOI and Commissioning Master Sh'!$H:$H,AR$3,'LOI and Commissioning Master Sh'!$AC:$AC,"Yes")</f>
        <v>0</v>
      </c>
      <c r="AS6" s="21">
        <f t="shared" si="14"/>
        <v>0</v>
      </c>
      <c r="AT6" s="21">
        <f>COUNTIFS('LOI and Commissioning Master Sh'!$D:$D,Summary!$A6, 'LOI and Commissioning Master Sh'!$G:$G,AT$1,'LOI and Commissioning Master Sh'!$X:$X,"Yes",'LOI and Commissioning Master Sh'!$H:$H,AT$3,'LOI and Commissioning Master Sh'!$Y:$Y,"Yes")</f>
        <v>0</v>
      </c>
      <c r="AU6" s="21">
        <f>COUNTIFS('LOI and Commissioning Master Sh'!$D:$D,Summary!$A6, 'LOI and Commissioning Master Sh'!$G:$G,AU$1,'LOI and Commissioning Master Sh'!$X:$X,"Yes",'LOI and Commissioning Master Sh'!$H:$H,AU$3,'LOI and Commissioning Master Sh'!$Y:$Y,"Yes")</f>
        <v>0</v>
      </c>
      <c r="AV6" s="21">
        <f t="shared" si="15"/>
        <v>0</v>
      </c>
      <c r="AW6" s="23">
        <f>COUNTIFS('LOI and Commissioning Master Sh'!$D:$D,Summary!$A6, 'LOI and Commissioning Master Sh'!$G:$G,AW$1,'LOI and Commissioning Master Sh'!$X:$X,"Yes",'LOI and Commissioning Master Sh'!$H:$H,AW$3)</f>
        <v>0</v>
      </c>
      <c r="AX6" s="23">
        <f>COUNTIFS('LOI and Commissioning Master Sh'!$D:$D,Summary!$A6, 'LOI and Commissioning Master Sh'!$G:$G,AX$1,'LOI and Commissioning Master Sh'!$X:$X,"Yes",'LOI and Commissioning Master Sh'!$H:$H,AX$3)</f>
        <v>0</v>
      </c>
      <c r="AY6" s="23">
        <f t="shared" si="16"/>
        <v>0</v>
      </c>
      <c r="AZ6" s="23">
        <f>COUNTIFS('LOI and Commissioning Master Sh'!$D:$D,Summary!$A6, 'LOI and Commissioning Master Sh'!$G:$G,AZ$1,'LOI and Commissioning Master Sh'!$X:$X,"Yes",'LOI and Commissioning Master Sh'!$H:$H,AZ$3,'LOI and Commissioning Master Sh'!$AC:$AC,"Yes")</f>
        <v>0</v>
      </c>
      <c r="BA6" s="23">
        <f>COUNTIFS('LOI and Commissioning Master Sh'!$D:$D,Summary!$A6, 'LOI and Commissioning Master Sh'!$G:$G,BA$1,'LOI and Commissioning Master Sh'!$X:$X,"Yes",'LOI and Commissioning Master Sh'!$H:$H,BA$3,'LOI and Commissioning Master Sh'!$AC:$AC,"Yes")</f>
        <v>0</v>
      </c>
      <c r="BB6" s="23">
        <f t="shared" si="17"/>
        <v>0</v>
      </c>
      <c r="BC6" s="23">
        <f>COUNTIFS('LOI and Commissioning Master Sh'!$D:$D,Summary!$A6, 'LOI and Commissioning Master Sh'!$G:$G,BC$1,'LOI and Commissioning Master Sh'!$X:$X,"Yes",'LOI and Commissioning Master Sh'!$H:$H,BC$3,'LOI and Commissioning Master Sh'!$Y:$Y,"Yes")</f>
        <v>0</v>
      </c>
      <c r="BD6" s="23">
        <f>COUNTIFS('LOI and Commissioning Master Sh'!$D:$D,Summary!$A6, 'LOI and Commissioning Master Sh'!$G:$G,BD$1,'LOI and Commissioning Master Sh'!$X:$X,"Yes",'LOI and Commissioning Master Sh'!$H:$H,BD$3,'LOI and Commissioning Master Sh'!$Y:$Y,"Yes")</f>
        <v>0</v>
      </c>
      <c r="BE6" s="23">
        <f t="shared" si="18"/>
        <v>0</v>
      </c>
      <c r="BF6" s="35">
        <f>COUNTIFS('LOI and Commissioning Master Sh'!$D:$D,Summary!$A6,'LOI and Commissioning Master Sh'!$G:$G,Summary!BF$2,'LOI and Commissioning Master Sh'!$H:$H,Summary!BF$3,'LOI and Commissioning Master Sh'!$BW:$BW, "Commissioned")</f>
        <v>0</v>
      </c>
      <c r="BG6" s="35">
        <f>COUNTIFS('LOI and Commissioning Master Sh'!$D:$D,Summary!$A6,'LOI and Commissioning Master Sh'!$G:$G,Summary!BG$2,'LOI and Commissioning Master Sh'!$H:$H,Summary!BG$3,'LOI and Commissioning Master Sh'!$BW:$BW, "Commissioned")</f>
        <v>0</v>
      </c>
      <c r="BH6" s="35">
        <f>COUNTIFS('LOI and Commissioning Master Sh'!$D:$D,Summary!$A6,'LOI and Commissioning Master Sh'!$G:$G,Summary!BH$2,'LOI and Commissioning Master Sh'!$H:$H,Summary!BH$3,'LOI and Commissioning Master Sh'!$BW:$BW, "Commissioned")</f>
        <v>0</v>
      </c>
      <c r="BI6" s="35">
        <f>COUNTIFS('LOI and Commissioning Master Sh'!$D:$D,Summary!$A6,'LOI and Commissioning Master Sh'!$G:$G,Summary!BI$2,'LOI and Commissioning Master Sh'!$H:$H,Summary!BI$3,'LOI and Commissioning Master Sh'!$BW:$BW, "Commissioned")</f>
        <v>0</v>
      </c>
      <c r="BJ6" s="35">
        <f>COUNTIFS('LOI and Commissioning Master Sh'!$D:$D,Summary!$A6,'LOI and Commissioning Master Sh'!$G:$G,Summary!BJ$2,'LOI and Commissioning Master Sh'!$H:$H,Summary!BJ$3,'LOI and Commissioning Master Sh'!$BW:$BW, "Commissioned")</f>
        <v>0</v>
      </c>
      <c r="BK6" s="35">
        <f>COUNTIFS('LOI and Commissioning Master Sh'!$D:$D,Summary!$A6,'LOI and Commissioning Master Sh'!$G:$G,Summary!BK$2,'LOI and Commissioning Master Sh'!$H:$H,Summary!BK$3,'LOI and Commissioning Master Sh'!$BW:$BW, "Commissioned")</f>
        <v>0</v>
      </c>
      <c r="BL6" s="35">
        <f>COUNTIFS('LOI and Commissioning Master Sh'!$D:$D,Summary!$A6,'LOI and Commissioning Master Sh'!$G:$G,Summary!BL$2,'LOI and Commissioning Master Sh'!$H:$H,Summary!BL$3,'LOI and Commissioning Master Sh'!$BW:$BW, "Commissioned")</f>
        <v>0</v>
      </c>
      <c r="BM6" s="35">
        <f>COUNTIFS('LOI and Commissioning Master Sh'!$D:$D,Summary!$A6,'LOI and Commissioning Master Sh'!$G:$G,Summary!BM$2,'LOI and Commissioning Master Sh'!$H:$H,Summary!BM$3,'LOI and Commissioning Master Sh'!$BW:$BW, "Commissioned")</f>
        <v>0</v>
      </c>
      <c r="BN6" s="35">
        <f>COUNTIFS('LOI and Commissioning Master Sh'!$D:$D,Summary!$A6,'LOI and Commissioning Master Sh'!$G:$G,Summary!BN$2,'LOI and Commissioning Master Sh'!$H:$H,Summary!BN$3,'LOI and Commissioning Master Sh'!$BW:$BW, "Commissioned")</f>
        <v>0</v>
      </c>
      <c r="BO6" s="35">
        <f>COUNTIFS('LOI and Commissioning Master Sh'!$D:$D,Summary!$A6,'LOI and Commissioning Master Sh'!$G:$G,Summary!BO$2,'LOI and Commissioning Master Sh'!$H:$H,Summary!BO$3,'LOI and Commissioning Master Sh'!$BW:$BW, "Commissioned")</f>
        <v>0</v>
      </c>
      <c r="BP6" s="35">
        <f>COUNTIFS('LOI and Commissioning Master Sh'!$D:$D,Summary!$A6,'LOI and Commissioning Master Sh'!$G:$G,Summary!BP$2,'LOI and Commissioning Master Sh'!$H:$H,Summary!BP$3,'LOI and Commissioning Master Sh'!$BW:$BW, "Commissioned")</f>
        <v>0</v>
      </c>
      <c r="BQ6" s="35">
        <f>COUNTIFS('LOI and Commissioning Master Sh'!$D:$D,Summary!$A6,'LOI and Commissioning Master Sh'!$G:$G,Summary!BQ$2,'LOI and Commissioning Master Sh'!$H:$H,Summary!BQ$3,'LOI and Commissioning Master Sh'!$BW:$BW, "Commissioned")</f>
        <v>0</v>
      </c>
      <c r="BR6" s="43">
        <f t="shared" si="6"/>
        <v>0</v>
      </c>
    </row>
    <row r="7" spans="1:70" x14ac:dyDescent="0.25">
      <c r="A7" s="86" t="s">
        <v>150</v>
      </c>
      <c r="B7" s="19">
        <f>COUNTIFS('LOI and Commissioning Master Sh'!D:D,Summary!A7)</f>
        <v>16</v>
      </c>
      <c r="C7" s="13">
        <f>COUNTIFS('LOI and Commissioning Master Sh'!$D:$D,Summary!$A7,'LOI and Commissioning Master Sh'!$X:$X,"Yes",'LOI and Commissioning Master Sh'!$H:$H,"A")</f>
        <v>5</v>
      </c>
      <c r="D7" s="13">
        <f>COUNTIFS('LOI and Commissioning Master Sh'!$D:$D,Summary!$A7,'LOI and Commissioning Master Sh'!$X:$X,"Yes",'LOI and Commissioning Master Sh'!$H:$H,"B")</f>
        <v>1</v>
      </c>
      <c r="E7" s="13">
        <f t="shared" si="0"/>
        <v>6</v>
      </c>
      <c r="F7" s="13">
        <f>+COUNTIFS('LOI and Commissioning Master Sh'!$D:$D,Summary!$A7,'LOI and Commissioning Master Sh'!$X:$X, "Yes",'LOI and Commissioning Master Sh'!$BK:$BK, "Yes")</f>
        <v>5</v>
      </c>
      <c r="G7" s="13">
        <f>COUNTIFS('LOI and Commissioning Master Sh'!$D:$D,Summary!$A7,'LOI and Commissioning Master Sh'!$X:$X,"Yes",'LOI and Commissioning Master Sh'!$H:$H,"A",'LOI and Commissioning Master Sh'!$AC:$AC,"Yes")</f>
        <v>1</v>
      </c>
      <c r="H7" s="13">
        <f>COUNTIFS('LOI and Commissioning Master Sh'!$D:$D,Summary!$A7,'LOI and Commissioning Master Sh'!$X:$X,"Yes",'LOI and Commissioning Master Sh'!$H:$H,"B",'LOI and Commissioning Master Sh'!$AC:$AC,"Yes")</f>
        <v>0</v>
      </c>
      <c r="I7" s="267">
        <f t="shared" si="1"/>
        <v>1</v>
      </c>
      <c r="J7" s="13">
        <f>COUNTIFS('LOI and Commissioning Master Sh'!$D:$D,Summary!$A7,'LOI and Commissioning Master Sh'!$X:$X,"Yes",'LOI and Commissioning Master Sh'!$H:$H,"A",'LOI and Commissioning Master Sh'!$Y:$Y,"Yes")</f>
        <v>2</v>
      </c>
      <c r="K7" s="13">
        <f>COUNTIFS('LOI and Commissioning Master Sh'!$D:$D,Summary!$A7,'LOI and Commissioning Master Sh'!$X:$X,"Yes",'LOI and Commissioning Master Sh'!$H:$H,"B",'LOI and Commissioning Master Sh'!$Y:$Y,"Yes")</f>
        <v>1</v>
      </c>
      <c r="L7" s="13">
        <f t="shared" si="2"/>
        <v>3</v>
      </c>
      <c r="M7" s="15">
        <f>COUNTIFS('LOI and Commissioning Master Sh'!$D:$D,Summary!$A7, 'LOI and Commissioning Master Sh'!$G:$G,M$1,'LOI and Commissioning Master Sh'!$X:$X,"Yes",'LOI and Commissioning Master Sh'!$H:$H,M$3)</f>
        <v>4</v>
      </c>
      <c r="N7" s="15">
        <f>COUNTIFS('LOI and Commissioning Master Sh'!$D:$D,Summary!$A7, 'LOI and Commissioning Master Sh'!$G:$G,N$1,'LOI and Commissioning Master Sh'!$X:$X,"Yes",'LOI and Commissioning Master Sh'!$H:$H,N$3)</f>
        <v>1</v>
      </c>
      <c r="O7" s="15">
        <f t="shared" si="3"/>
        <v>5</v>
      </c>
      <c r="P7" s="15">
        <f>COUNTIFS('LOI and Commissioning Master Sh'!$D:$D,Summary!$A7, 'LOI and Commissioning Master Sh'!$G:$G,P$1,'LOI and Commissioning Master Sh'!$X:$X,"Yes",'LOI and Commissioning Master Sh'!$H:$H,P$3,'LOI and Commissioning Master Sh'!$AC:$AC,"Yes")</f>
        <v>1</v>
      </c>
      <c r="Q7" s="15">
        <f>COUNTIFS('LOI and Commissioning Master Sh'!$D:$D,Summary!$A7, 'LOI and Commissioning Master Sh'!$G:$G,Q$1,'LOI and Commissioning Master Sh'!$X:$X,"Yes",'LOI and Commissioning Master Sh'!$H:$H,Q$3,'LOI and Commissioning Master Sh'!$AC:$AC,"Yes")</f>
        <v>0</v>
      </c>
      <c r="R7" s="15">
        <f t="shared" si="4"/>
        <v>1</v>
      </c>
      <c r="S7" s="15">
        <f>COUNTIFS('LOI and Commissioning Master Sh'!$D:$D,Summary!$A7, 'LOI and Commissioning Master Sh'!$G:$G,S$1,'LOI and Commissioning Master Sh'!$X:$X,"Yes",'LOI and Commissioning Master Sh'!$H:$H,S$3,'LOI and Commissioning Master Sh'!$Y:$Y,"Yes")</f>
        <v>1</v>
      </c>
      <c r="T7" s="15">
        <f>COUNTIFS('LOI and Commissioning Master Sh'!$D:$D,Summary!$A7, 'LOI and Commissioning Master Sh'!$G:$G,T$1,'LOI and Commissioning Master Sh'!$X:$X,"Yes",'LOI and Commissioning Master Sh'!$H:$H,T$3,'LOI and Commissioning Master Sh'!$Y:$Y,"Yes")</f>
        <v>1</v>
      </c>
      <c r="U7" s="15">
        <f t="shared" si="5"/>
        <v>2</v>
      </c>
      <c r="V7" s="17">
        <f>COUNTIFS('LOI and Commissioning Master Sh'!$D:$D,Summary!$A7, 'LOI and Commissioning Master Sh'!$G:$G,V$1,'LOI and Commissioning Master Sh'!$X:$X,"Yes",'LOI and Commissioning Master Sh'!$H:$H,V$3)</f>
        <v>1</v>
      </c>
      <c r="W7" s="17">
        <f>COUNTIFS('LOI and Commissioning Master Sh'!$D:$D,Summary!$A7, 'LOI and Commissioning Master Sh'!$G:$G,W$1,'LOI and Commissioning Master Sh'!$X:$X,"Yes",'LOI and Commissioning Master Sh'!$H:$H,W$3)</f>
        <v>0</v>
      </c>
      <c r="X7" s="17">
        <f t="shared" si="7"/>
        <v>1</v>
      </c>
      <c r="Y7" s="17">
        <f>COUNTIFS('LOI and Commissioning Master Sh'!$D:$D,Summary!$A7, 'LOI and Commissioning Master Sh'!$G:$G,Y$1,'LOI and Commissioning Master Sh'!$X:$X,"Yes",'LOI and Commissioning Master Sh'!$H:$H,Y$3,'LOI and Commissioning Master Sh'!$AC:$AC,"Yes")</f>
        <v>0</v>
      </c>
      <c r="Z7" s="17">
        <f>COUNTIFS('LOI and Commissioning Master Sh'!$D:$D,Summary!$A7, 'LOI and Commissioning Master Sh'!$G:$G,Z$1,'LOI and Commissioning Master Sh'!$X:$X,"Yes",'LOI and Commissioning Master Sh'!$H:$H,Z$3,'LOI and Commissioning Master Sh'!$AC:$AC,"Yes")</f>
        <v>0</v>
      </c>
      <c r="AA7" s="17">
        <f t="shared" si="8"/>
        <v>0</v>
      </c>
      <c r="AB7" s="17">
        <f>COUNTIFS('LOI and Commissioning Master Sh'!$D:$D,Summary!$A7, 'LOI and Commissioning Master Sh'!$G:$G,AB$1,'LOI and Commissioning Master Sh'!$X:$X,"Yes",'LOI and Commissioning Master Sh'!$H:$H,AB$3,'LOI and Commissioning Master Sh'!$Y:$Y,"Yes")</f>
        <v>1</v>
      </c>
      <c r="AC7" s="17">
        <f>COUNTIFS('LOI and Commissioning Master Sh'!$D:$D,Summary!$A7, 'LOI and Commissioning Master Sh'!$G:$G,AC$1,'LOI and Commissioning Master Sh'!$X:$X,"Yes",'LOI and Commissioning Master Sh'!$H:$H,AC$3,'LOI and Commissioning Master Sh'!$Y:$Y,"Yes")</f>
        <v>0</v>
      </c>
      <c r="AD7" s="17">
        <f t="shared" si="9"/>
        <v>1</v>
      </c>
      <c r="AE7" s="19">
        <f>COUNTIFS('LOI and Commissioning Master Sh'!$D:$D,Summary!$A7, 'LOI and Commissioning Master Sh'!$G:$G,AE$1,'LOI and Commissioning Master Sh'!$X:$X,"Yes",'LOI and Commissioning Master Sh'!$H:$H,AE$3)</f>
        <v>0</v>
      </c>
      <c r="AF7" s="19">
        <f>COUNTIFS('LOI and Commissioning Master Sh'!$D:$D,Summary!$A7, 'LOI and Commissioning Master Sh'!$G:$G,AF$1,'LOI and Commissioning Master Sh'!$X:$X,"Yes",'LOI and Commissioning Master Sh'!$H:$H,AF$3)</f>
        <v>0</v>
      </c>
      <c r="AG7" s="19">
        <f t="shared" si="10"/>
        <v>0</v>
      </c>
      <c r="AH7" s="19">
        <f>COUNTIFS('LOI and Commissioning Master Sh'!$D:$D,Summary!$A7, 'LOI and Commissioning Master Sh'!$G:$G,AH$1,'LOI and Commissioning Master Sh'!$X:$X,"Yes",'LOI and Commissioning Master Sh'!$H:$H,AH$3,'LOI and Commissioning Master Sh'!$AC:$AC,"Yes")</f>
        <v>0</v>
      </c>
      <c r="AI7" s="19">
        <f>COUNTIFS('LOI and Commissioning Master Sh'!$D:$D,Summary!$A7, 'LOI and Commissioning Master Sh'!$G:$G,AI$1,'LOI and Commissioning Master Sh'!$X:$X,"Yes",'LOI and Commissioning Master Sh'!$H:$H,AI$3,'LOI and Commissioning Master Sh'!$AC:$AC,"Yes")</f>
        <v>0</v>
      </c>
      <c r="AJ7" s="19">
        <f t="shared" si="11"/>
        <v>0</v>
      </c>
      <c r="AK7" s="19">
        <f>COUNTIFS('LOI and Commissioning Master Sh'!$D:$D,Summary!$A7, 'LOI and Commissioning Master Sh'!$G:$G,AK$1,'LOI and Commissioning Master Sh'!$X:$X,"Yes",'LOI and Commissioning Master Sh'!$H:$H,AK$3,'LOI and Commissioning Master Sh'!$Y:$Y,"Yes")</f>
        <v>0</v>
      </c>
      <c r="AL7" s="19">
        <f>COUNTIFS('LOI and Commissioning Master Sh'!$D:$D,Summary!$A7, 'LOI and Commissioning Master Sh'!$G:$G,AL$1,'LOI and Commissioning Master Sh'!$X:$X,"Yes",'LOI and Commissioning Master Sh'!$H:$H,AL$3,'LOI and Commissioning Master Sh'!$Y:$Y,"Yes")</f>
        <v>0</v>
      </c>
      <c r="AM7" s="19">
        <f t="shared" si="12"/>
        <v>0</v>
      </c>
      <c r="AN7" s="21">
        <f>COUNTIFS('LOI and Commissioning Master Sh'!$D:$D,Summary!$A7, 'LOI and Commissioning Master Sh'!$G:$G,AN$1,'LOI and Commissioning Master Sh'!$X:$X,"Yes",'LOI and Commissioning Master Sh'!$H:$H,AN$3)</f>
        <v>0</v>
      </c>
      <c r="AO7" s="21">
        <f>COUNTIFS('LOI and Commissioning Master Sh'!$D:$D,Summary!$A7, 'LOI and Commissioning Master Sh'!$G:$G,AO$1,'LOI and Commissioning Master Sh'!$X:$X,"Yes",'LOI and Commissioning Master Sh'!$H:$H,AO$3)</f>
        <v>0</v>
      </c>
      <c r="AP7" s="21">
        <f t="shared" si="13"/>
        <v>0</v>
      </c>
      <c r="AQ7" s="21">
        <f>COUNTIFS('LOI and Commissioning Master Sh'!$D:$D,Summary!$A7, 'LOI and Commissioning Master Sh'!$G:$G,AQ$1,'LOI and Commissioning Master Sh'!$X:$X,"Yes",'LOI and Commissioning Master Sh'!$H:$H,AQ$3,'LOI and Commissioning Master Sh'!$AC:$AC,"Yes")</f>
        <v>0</v>
      </c>
      <c r="AR7" s="21">
        <f>COUNTIFS('LOI and Commissioning Master Sh'!$D:$D,Summary!$A7, 'LOI and Commissioning Master Sh'!$G:$G,AR$1,'LOI and Commissioning Master Sh'!$X:$X,"Yes",'LOI and Commissioning Master Sh'!$H:$H,AR$3,'LOI and Commissioning Master Sh'!$AC:$AC,"Yes")</f>
        <v>0</v>
      </c>
      <c r="AS7" s="21">
        <f t="shared" si="14"/>
        <v>0</v>
      </c>
      <c r="AT7" s="21">
        <f>COUNTIFS('LOI and Commissioning Master Sh'!$D:$D,Summary!$A7, 'LOI and Commissioning Master Sh'!$G:$G,AT$1,'LOI and Commissioning Master Sh'!$X:$X,"Yes",'LOI and Commissioning Master Sh'!$H:$H,AT$3,'LOI and Commissioning Master Sh'!$Y:$Y,"Yes")</f>
        <v>0</v>
      </c>
      <c r="AU7" s="21">
        <f>COUNTIFS('LOI and Commissioning Master Sh'!$D:$D,Summary!$A7, 'LOI and Commissioning Master Sh'!$G:$G,AU$1,'LOI and Commissioning Master Sh'!$X:$X,"Yes",'LOI and Commissioning Master Sh'!$H:$H,AU$3,'LOI and Commissioning Master Sh'!$Y:$Y,"Yes")</f>
        <v>0</v>
      </c>
      <c r="AV7" s="21">
        <f t="shared" si="15"/>
        <v>0</v>
      </c>
      <c r="AW7" s="23">
        <f>COUNTIFS('LOI and Commissioning Master Sh'!$D:$D,Summary!$A7, 'LOI and Commissioning Master Sh'!$G:$G,AW$1,'LOI and Commissioning Master Sh'!$X:$X,"Yes",'LOI and Commissioning Master Sh'!$H:$H,AW$3)</f>
        <v>0</v>
      </c>
      <c r="AX7" s="23">
        <f>COUNTIFS('LOI and Commissioning Master Sh'!$D:$D,Summary!$A7, 'LOI and Commissioning Master Sh'!$G:$G,AX$1,'LOI and Commissioning Master Sh'!$X:$X,"Yes",'LOI and Commissioning Master Sh'!$H:$H,AX$3)</f>
        <v>0</v>
      </c>
      <c r="AY7" s="23">
        <f t="shared" si="16"/>
        <v>0</v>
      </c>
      <c r="AZ7" s="23">
        <f>COUNTIFS('LOI and Commissioning Master Sh'!$D:$D,Summary!$A7, 'LOI and Commissioning Master Sh'!$G:$G,AZ$1,'LOI and Commissioning Master Sh'!$X:$X,"Yes",'LOI and Commissioning Master Sh'!$H:$H,AZ$3,'LOI and Commissioning Master Sh'!$AC:$AC,"Yes")</f>
        <v>0</v>
      </c>
      <c r="BA7" s="23">
        <f>COUNTIFS('LOI and Commissioning Master Sh'!$D:$D,Summary!$A7, 'LOI and Commissioning Master Sh'!$G:$G,BA$1,'LOI and Commissioning Master Sh'!$X:$X,"Yes",'LOI and Commissioning Master Sh'!$H:$H,BA$3,'LOI and Commissioning Master Sh'!$AC:$AC,"Yes")</f>
        <v>0</v>
      </c>
      <c r="BB7" s="23">
        <f t="shared" si="17"/>
        <v>0</v>
      </c>
      <c r="BC7" s="23">
        <f>COUNTIFS('LOI and Commissioning Master Sh'!$D:$D,Summary!$A7, 'LOI and Commissioning Master Sh'!$G:$G,BC$1,'LOI and Commissioning Master Sh'!$X:$X,"Yes",'LOI and Commissioning Master Sh'!$H:$H,BC$3,'LOI and Commissioning Master Sh'!$Y:$Y,"Yes")</f>
        <v>0</v>
      </c>
      <c r="BD7" s="23">
        <f>COUNTIFS('LOI and Commissioning Master Sh'!$D:$D,Summary!$A7, 'LOI and Commissioning Master Sh'!$G:$G,BD$1,'LOI and Commissioning Master Sh'!$X:$X,"Yes",'LOI and Commissioning Master Sh'!$H:$H,BD$3,'LOI and Commissioning Master Sh'!$Y:$Y,"Yes")</f>
        <v>0</v>
      </c>
      <c r="BE7" s="23">
        <f t="shared" si="18"/>
        <v>0</v>
      </c>
      <c r="BF7" s="35">
        <f>COUNTIFS('LOI and Commissioning Master Sh'!$D:$D,Summary!$A7,'LOI and Commissioning Master Sh'!$G:$G,Summary!BF$2,'LOI and Commissioning Master Sh'!$H:$H,Summary!BF$3,'LOI and Commissioning Master Sh'!$BW:$BW, "Commissioned")</f>
        <v>1</v>
      </c>
      <c r="BG7" s="35">
        <f>COUNTIFS('LOI and Commissioning Master Sh'!$D:$D,Summary!$A7,'LOI and Commissioning Master Sh'!$G:$G,Summary!BG$2,'LOI and Commissioning Master Sh'!$H:$H,Summary!BG$3,'LOI and Commissioning Master Sh'!$BW:$BW, "Commissioned")</f>
        <v>0</v>
      </c>
      <c r="BH7" s="35">
        <f>COUNTIFS('LOI and Commissioning Master Sh'!$D:$D,Summary!$A7,'LOI and Commissioning Master Sh'!$G:$G,Summary!BH$2,'LOI and Commissioning Master Sh'!$H:$H,Summary!BH$3,'LOI and Commissioning Master Sh'!$BW:$BW, "Commissioned")</f>
        <v>0</v>
      </c>
      <c r="BI7" s="35">
        <f>COUNTIFS('LOI and Commissioning Master Sh'!$D:$D,Summary!$A7,'LOI and Commissioning Master Sh'!$G:$G,Summary!BI$2,'LOI and Commissioning Master Sh'!$H:$H,Summary!BI$3,'LOI and Commissioning Master Sh'!$BW:$BW, "Commissioned")</f>
        <v>0</v>
      </c>
      <c r="BJ7" s="35">
        <f>COUNTIFS('LOI and Commissioning Master Sh'!$D:$D,Summary!$A7,'LOI and Commissioning Master Sh'!$G:$G,Summary!BJ$2,'LOI and Commissioning Master Sh'!$H:$H,Summary!BJ$3,'LOI and Commissioning Master Sh'!$BW:$BW, "Commissioned")</f>
        <v>0</v>
      </c>
      <c r="BK7" s="35">
        <f>COUNTIFS('LOI and Commissioning Master Sh'!$D:$D,Summary!$A7,'LOI and Commissioning Master Sh'!$G:$G,Summary!BK$2,'LOI and Commissioning Master Sh'!$H:$H,Summary!BK$3,'LOI and Commissioning Master Sh'!$BW:$BW, "Commissioned")</f>
        <v>0</v>
      </c>
      <c r="BL7" s="35">
        <f>COUNTIFS('LOI and Commissioning Master Sh'!$D:$D,Summary!$A7,'LOI and Commissioning Master Sh'!$G:$G,Summary!BL$2,'LOI and Commissioning Master Sh'!$H:$H,Summary!BL$3,'LOI and Commissioning Master Sh'!$BW:$BW, "Commissioned")</f>
        <v>0</v>
      </c>
      <c r="BM7" s="35">
        <f>COUNTIFS('LOI and Commissioning Master Sh'!$D:$D,Summary!$A7,'LOI and Commissioning Master Sh'!$G:$G,Summary!BM$2,'LOI and Commissioning Master Sh'!$H:$H,Summary!BM$3,'LOI and Commissioning Master Sh'!$BW:$BW, "Commissioned")</f>
        <v>0</v>
      </c>
      <c r="BN7" s="35">
        <f>COUNTIFS('LOI and Commissioning Master Sh'!$D:$D,Summary!$A7,'LOI and Commissioning Master Sh'!$G:$G,Summary!BN$2,'LOI and Commissioning Master Sh'!$H:$H,Summary!BN$3,'LOI and Commissioning Master Sh'!$BW:$BW, "Commissioned")</f>
        <v>0</v>
      </c>
      <c r="BO7" s="35">
        <f>COUNTIFS('LOI and Commissioning Master Sh'!$D:$D,Summary!$A7,'LOI and Commissioning Master Sh'!$G:$G,Summary!BO$2,'LOI and Commissioning Master Sh'!$H:$H,Summary!BO$3,'LOI and Commissioning Master Sh'!$BW:$BW, "Commissioned")</f>
        <v>0</v>
      </c>
      <c r="BP7" s="35">
        <f>COUNTIFS('LOI and Commissioning Master Sh'!$D:$D,Summary!$A7,'LOI and Commissioning Master Sh'!$G:$G,Summary!BP$2,'LOI and Commissioning Master Sh'!$H:$H,Summary!BP$3,'LOI and Commissioning Master Sh'!$BW:$BW, "Commissioned")</f>
        <v>0</v>
      </c>
      <c r="BQ7" s="35">
        <f>COUNTIFS('LOI and Commissioning Master Sh'!$D:$D,Summary!$A7,'LOI and Commissioning Master Sh'!$G:$G,Summary!BQ$2,'LOI and Commissioning Master Sh'!$H:$H,Summary!BQ$3,'LOI and Commissioning Master Sh'!$BW:$BW, "Commissioned")</f>
        <v>0</v>
      </c>
      <c r="BR7" s="43">
        <f t="shared" si="6"/>
        <v>1</v>
      </c>
    </row>
    <row r="8" spans="1:70" x14ac:dyDescent="0.25">
      <c r="A8" s="86" t="s">
        <v>121</v>
      </c>
      <c r="B8" s="19">
        <f>COUNTIFS('LOI and Commissioning Master Sh'!D:D,Summary!A8)</f>
        <v>28</v>
      </c>
      <c r="C8" s="13">
        <f>COUNTIFS('LOI and Commissioning Master Sh'!$D:$D,Summary!$A8,'LOI and Commissioning Master Sh'!$X:$X,"Yes",'LOI and Commissioning Master Sh'!$H:$H,"A")</f>
        <v>4</v>
      </c>
      <c r="D8" s="13">
        <f>COUNTIFS('LOI and Commissioning Master Sh'!$D:$D,Summary!$A8,'LOI and Commissioning Master Sh'!$X:$X,"Yes",'LOI and Commissioning Master Sh'!$H:$H,"B")</f>
        <v>5</v>
      </c>
      <c r="E8" s="13">
        <f t="shared" si="0"/>
        <v>9</v>
      </c>
      <c r="F8" s="13">
        <f>+COUNTIFS('LOI and Commissioning Master Sh'!$D:$D,Summary!$A8,'LOI and Commissioning Master Sh'!$X:$X, "Yes",'LOI and Commissioning Master Sh'!$BK:$BK, "Yes")</f>
        <v>9</v>
      </c>
      <c r="G8" s="13">
        <f>COUNTIFS('LOI and Commissioning Master Sh'!$D:$D,Summary!$A8,'LOI and Commissioning Master Sh'!$X:$X,"Yes",'LOI and Commissioning Master Sh'!$H:$H,"A",'LOI and Commissioning Master Sh'!$AC:$AC,"Yes")</f>
        <v>1</v>
      </c>
      <c r="H8" s="13">
        <f>COUNTIFS('LOI and Commissioning Master Sh'!$D:$D,Summary!$A8,'LOI and Commissioning Master Sh'!$X:$X,"Yes",'LOI and Commissioning Master Sh'!$H:$H,"B",'LOI and Commissioning Master Sh'!$AC:$AC,"Yes")</f>
        <v>1</v>
      </c>
      <c r="I8" s="267">
        <f t="shared" si="1"/>
        <v>2</v>
      </c>
      <c r="J8" s="13">
        <f>COUNTIFS('LOI and Commissioning Master Sh'!$D:$D,Summary!$A8,'LOI and Commissioning Master Sh'!$X:$X,"Yes",'LOI and Commissioning Master Sh'!$H:$H,"A",'LOI and Commissioning Master Sh'!$Y:$Y,"Yes")</f>
        <v>2</v>
      </c>
      <c r="K8" s="13">
        <f>COUNTIFS('LOI and Commissioning Master Sh'!$D:$D,Summary!$A8,'LOI and Commissioning Master Sh'!$X:$X,"Yes",'LOI and Commissioning Master Sh'!$H:$H,"B",'LOI and Commissioning Master Sh'!$Y:$Y,"Yes")</f>
        <v>1</v>
      </c>
      <c r="L8" s="13">
        <f t="shared" si="2"/>
        <v>3</v>
      </c>
      <c r="M8" s="15">
        <f>COUNTIFS('LOI and Commissioning Master Sh'!$D:$D,Summary!$A8, 'LOI and Commissioning Master Sh'!$G:$G,M$1,'LOI and Commissioning Master Sh'!$X:$X,"Yes",'LOI and Commissioning Master Sh'!$H:$H,M$3)</f>
        <v>0</v>
      </c>
      <c r="N8" s="15">
        <f>COUNTIFS('LOI and Commissioning Master Sh'!$D:$D,Summary!$A8, 'LOI and Commissioning Master Sh'!$G:$G,N$1,'LOI and Commissioning Master Sh'!$X:$X,"Yes",'LOI and Commissioning Master Sh'!$H:$H,N$3)</f>
        <v>0</v>
      </c>
      <c r="O8" s="15">
        <f t="shared" si="3"/>
        <v>0</v>
      </c>
      <c r="P8" s="15">
        <f>COUNTIFS('LOI and Commissioning Master Sh'!$D:$D,Summary!$A8, 'LOI and Commissioning Master Sh'!$G:$G,P$1,'LOI and Commissioning Master Sh'!$X:$X,"Yes",'LOI and Commissioning Master Sh'!$H:$H,P$3,'LOI and Commissioning Master Sh'!$AC:$AC,"Yes")</f>
        <v>0</v>
      </c>
      <c r="Q8" s="15">
        <f>COUNTIFS('LOI and Commissioning Master Sh'!$D:$D,Summary!$A8, 'LOI and Commissioning Master Sh'!$G:$G,Q$1,'LOI and Commissioning Master Sh'!$X:$X,"Yes",'LOI and Commissioning Master Sh'!$H:$H,Q$3,'LOI and Commissioning Master Sh'!$AC:$AC,"Yes")</f>
        <v>0</v>
      </c>
      <c r="R8" s="15">
        <f t="shared" si="4"/>
        <v>0</v>
      </c>
      <c r="S8" s="15">
        <f>COUNTIFS('LOI and Commissioning Master Sh'!$D:$D,Summary!$A8, 'LOI and Commissioning Master Sh'!$G:$G,S$1,'LOI and Commissioning Master Sh'!$X:$X,"Yes",'LOI and Commissioning Master Sh'!$H:$H,S$3,'LOI and Commissioning Master Sh'!$Y:$Y,"Yes")</f>
        <v>0</v>
      </c>
      <c r="T8" s="15">
        <f>COUNTIFS('LOI and Commissioning Master Sh'!$D:$D,Summary!$A8, 'LOI and Commissioning Master Sh'!$G:$G,T$1,'LOI and Commissioning Master Sh'!$X:$X,"Yes",'LOI and Commissioning Master Sh'!$H:$H,T$3,'LOI and Commissioning Master Sh'!$Y:$Y,"Yes")</f>
        <v>0</v>
      </c>
      <c r="U8" s="15">
        <f t="shared" si="5"/>
        <v>0</v>
      </c>
      <c r="V8" s="17">
        <f>COUNTIFS('LOI and Commissioning Master Sh'!$D:$D,Summary!$A8, 'LOI and Commissioning Master Sh'!$G:$G,V$1,'LOI and Commissioning Master Sh'!$X:$X,"Yes",'LOI and Commissioning Master Sh'!$H:$H,V$3)</f>
        <v>4</v>
      </c>
      <c r="W8" s="17">
        <f>COUNTIFS('LOI and Commissioning Master Sh'!$D:$D,Summary!$A8, 'LOI and Commissioning Master Sh'!$G:$G,W$1,'LOI and Commissioning Master Sh'!$X:$X,"Yes",'LOI and Commissioning Master Sh'!$H:$H,W$3)</f>
        <v>3</v>
      </c>
      <c r="X8" s="17">
        <f t="shared" si="7"/>
        <v>7</v>
      </c>
      <c r="Y8" s="17">
        <f>COUNTIFS('LOI and Commissioning Master Sh'!$D:$D,Summary!$A8, 'LOI and Commissioning Master Sh'!$G:$G,Y$1,'LOI and Commissioning Master Sh'!$X:$X,"Yes",'LOI and Commissioning Master Sh'!$H:$H,Y$3,'LOI and Commissioning Master Sh'!$AC:$AC,"Yes")</f>
        <v>1</v>
      </c>
      <c r="Z8" s="17">
        <f>COUNTIFS('LOI and Commissioning Master Sh'!$D:$D,Summary!$A8, 'LOI and Commissioning Master Sh'!$G:$G,Z$1,'LOI and Commissioning Master Sh'!$X:$X,"Yes",'LOI and Commissioning Master Sh'!$H:$H,Z$3,'LOI and Commissioning Master Sh'!$AC:$AC,"Yes")</f>
        <v>0</v>
      </c>
      <c r="AA8" s="17">
        <f t="shared" si="8"/>
        <v>1</v>
      </c>
      <c r="AB8" s="17">
        <f>COUNTIFS('LOI and Commissioning Master Sh'!$D:$D,Summary!$A8, 'LOI and Commissioning Master Sh'!$G:$G,AB$1,'LOI and Commissioning Master Sh'!$X:$X,"Yes",'LOI and Commissioning Master Sh'!$H:$H,AB$3,'LOI and Commissioning Master Sh'!$Y:$Y,"Yes")</f>
        <v>2</v>
      </c>
      <c r="AC8" s="17">
        <f>COUNTIFS('LOI and Commissioning Master Sh'!$D:$D,Summary!$A8, 'LOI and Commissioning Master Sh'!$G:$G,AC$1,'LOI and Commissioning Master Sh'!$X:$X,"Yes",'LOI and Commissioning Master Sh'!$H:$H,AC$3,'LOI and Commissioning Master Sh'!$Y:$Y,"Yes")</f>
        <v>0</v>
      </c>
      <c r="AD8" s="17">
        <f t="shared" si="9"/>
        <v>2</v>
      </c>
      <c r="AE8" s="19">
        <f>COUNTIFS('LOI and Commissioning Master Sh'!$D:$D,Summary!$A8, 'LOI and Commissioning Master Sh'!$G:$G,AE$1,'LOI and Commissioning Master Sh'!$X:$X,"Yes",'LOI and Commissioning Master Sh'!$H:$H,AE$3)</f>
        <v>0</v>
      </c>
      <c r="AF8" s="19">
        <f>COUNTIFS('LOI and Commissioning Master Sh'!$D:$D,Summary!$A8, 'LOI and Commissioning Master Sh'!$G:$G,AF$1,'LOI and Commissioning Master Sh'!$X:$X,"Yes",'LOI and Commissioning Master Sh'!$H:$H,AF$3)</f>
        <v>0</v>
      </c>
      <c r="AG8" s="19">
        <f t="shared" si="10"/>
        <v>0</v>
      </c>
      <c r="AH8" s="19">
        <f>COUNTIFS('LOI and Commissioning Master Sh'!$D:$D,Summary!$A8, 'LOI and Commissioning Master Sh'!$G:$G,AH$1,'LOI and Commissioning Master Sh'!$X:$X,"Yes",'LOI and Commissioning Master Sh'!$H:$H,AH$3,'LOI and Commissioning Master Sh'!$AC:$AC,"Yes")</f>
        <v>0</v>
      </c>
      <c r="AI8" s="19">
        <f>COUNTIFS('LOI and Commissioning Master Sh'!$D:$D,Summary!$A8, 'LOI and Commissioning Master Sh'!$G:$G,AI$1,'LOI and Commissioning Master Sh'!$X:$X,"Yes",'LOI and Commissioning Master Sh'!$H:$H,AI$3,'LOI and Commissioning Master Sh'!$AC:$AC,"Yes")</f>
        <v>0</v>
      </c>
      <c r="AJ8" s="19">
        <f t="shared" si="11"/>
        <v>0</v>
      </c>
      <c r="AK8" s="19">
        <f>COUNTIFS('LOI and Commissioning Master Sh'!$D:$D,Summary!$A8, 'LOI and Commissioning Master Sh'!$G:$G,AK$1,'LOI and Commissioning Master Sh'!$X:$X,"Yes",'LOI and Commissioning Master Sh'!$H:$H,AK$3,'LOI and Commissioning Master Sh'!$Y:$Y,"Yes")</f>
        <v>0</v>
      </c>
      <c r="AL8" s="19">
        <f>COUNTIFS('LOI and Commissioning Master Sh'!$D:$D,Summary!$A8, 'LOI and Commissioning Master Sh'!$G:$G,AL$1,'LOI and Commissioning Master Sh'!$X:$X,"Yes",'LOI and Commissioning Master Sh'!$H:$H,AL$3,'LOI and Commissioning Master Sh'!$Y:$Y,"Yes")</f>
        <v>0</v>
      </c>
      <c r="AM8" s="19">
        <f t="shared" si="12"/>
        <v>0</v>
      </c>
      <c r="AN8" s="21">
        <f>COUNTIFS('LOI and Commissioning Master Sh'!$D:$D,Summary!$A8, 'LOI and Commissioning Master Sh'!$G:$G,AN$1,'LOI and Commissioning Master Sh'!$X:$X,"Yes",'LOI and Commissioning Master Sh'!$H:$H,AN$3)</f>
        <v>0</v>
      </c>
      <c r="AO8" s="21">
        <f>COUNTIFS('LOI and Commissioning Master Sh'!$D:$D,Summary!$A8, 'LOI and Commissioning Master Sh'!$G:$G,AO$1,'LOI and Commissioning Master Sh'!$X:$X,"Yes",'LOI and Commissioning Master Sh'!$H:$H,AO$3)</f>
        <v>0</v>
      </c>
      <c r="AP8" s="21">
        <f t="shared" si="13"/>
        <v>0</v>
      </c>
      <c r="AQ8" s="21">
        <f>COUNTIFS('LOI and Commissioning Master Sh'!$D:$D,Summary!$A8, 'LOI and Commissioning Master Sh'!$G:$G,AQ$1,'LOI and Commissioning Master Sh'!$X:$X,"Yes",'LOI and Commissioning Master Sh'!$H:$H,AQ$3,'LOI and Commissioning Master Sh'!$AC:$AC,"Yes")</f>
        <v>0</v>
      </c>
      <c r="AR8" s="21">
        <f>COUNTIFS('LOI and Commissioning Master Sh'!$D:$D,Summary!$A8, 'LOI and Commissioning Master Sh'!$G:$G,AR$1,'LOI and Commissioning Master Sh'!$X:$X,"Yes",'LOI and Commissioning Master Sh'!$H:$H,AR$3,'LOI and Commissioning Master Sh'!$AC:$AC,"Yes")</f>
        <v>0</v>
      </c>
      <c r="AS8" s="21">
        <f t="shared" si="14"/>
        <v>0</v>
      </c>
      <c r="AT8" s="21">
        <f>COUNTIFS('LOI and Commissioning Master Sh'!$D:$D,Summary!$A8, 'LOI and Commissioning Master Sh'!$G:$G,AT$1,'LOI and Commissioning Master Sh'!$X:$X,"Yes",'LOI and Commissioning Master Sh'!$H:$H,AT$3,'LOI and Commissioning Master Sh'!$Y:$Y,"Yes")</f>
        <v>0</v>
      </c>
      <c r="AU8" s="21">
        <f>COUNTIFS('LOI and Commissioning Master Sh'!$D:$D,Summary!$A8, 'LOI and Commissioning Master Sh'!$G:$G,AU$1,'LOI and Commissioning Master Sh'!$X:$X,"Yes",'LOI and Commissioning Master Sh'!$H:$H,AU$3,'LOI and Commissioning Master Sh'!$Y:$Y,"Yes")</f>
        <v>0</v>
      </c>
      <c r="AV8" s="21">
        <f t="shared" si="15"/>
        <v>0</v>
      </c>
      <c r="AW8" s="23">
        <f>COUNTIFS('LOI and Commissioning Master Sh'!$D:$D,Summary!$A8, 'LOI and Commissioning Master Sh'!$G:$G,AW$1,'LOI and Commissioning Master Sh'!$X:$X,"Yes",'LOI and Commissioning Master Sh'!$H:$H,AW$3)</f>
        <v>0</v>
      </c>
      <c r="AX8" s="23">
        <f>COUNTIFS('LOI and Commissioning Master Sh'!$D:$D,Summary!$A8, 'LOI and Commissioning Master Sh'!$G:$G,AX$1,'LOI and Commissioning Master Sh'!$X:$X,"Yes",'LOI and Commissioning Master Sh'!$H:$H,AX$3)</f>
        <v>2</v>
      </c>
      <c r="AY8" s="23">
        <f t="shared" si="16"/>
        <v>2</v>
      </c>
      <c r="AZ8" s="23">
        <f>COUNTIFS('LOI and Commissioning Master Sh'!$D:$D,Summary!$A8, 'LOI and Commissioning Master Sh'!$G:$G,AZ$1,'LOI and Commissioning Master Sh'!$X:$X,"Yes",'LOI and Commissioning Master Sh'!$H:$H,AZ$3,'LOI and Commissioning Master Sh'!$AC:$AC,"Yes")</f>
        <v>0</v>
      </c>
      <c r="BA8" s="23">
        <f>COUNTIFS('LOI and Commissioning Master Sh'!$D:$D,Summary!$A8, 'LOI and Commissioning Master Sh'!$G:$G,BA$1,'LOI and Commissioning Master Sh'!$X:$X,"Yes",'LOI and Commissioning Master Sh'!$H:$H,BA$3,'LOI and Commissioning Master Sh'!$AC:$AC,"Yes")</f>
        <v>1</v>
      </c>
      <c r="BB8" s="23">
        <f t="shared" si="17"/>
        <v>1</v>
      </c>
      <c r="BC8" s="23">
        <f>COUNTIFS('LOI and Commissioning Master Sh'!$D:$D,Summary!$A8, 'LOI and Commissioning Master Sh'!$G:$G,BC$1,'LOI and Commissioning Master Sh'!$X:$X,"Yes",'LOI and Commissioning Master Sh'!$H:$H,BC$3,'LOI and Commissioning Master Sh'!$Y:$Y,"Yes")</f>
        <v>0</v>
      </c>
      <c r="BD8" s="23">
        <f>COUNTIFS('LOI and Commissioning Master Sh'!$D:$D,Summary!$A8, 'LOI and Commissioning Master Sh'!$G:$G,BD$1,'LOI and Commissioning Master Sh'!$X:$X,"Yes",'LOI and Commissioning Master Sh'!$H:$H,BD$3,'LOI and Commissioning Master Sh'!$Y:$Y,"Yes")</f>
        <v>1</v>
      </c>
      <c r="BE8" s="23">
        <f t="shared" si="18"/>
        <v>1</v>
      </c>
      <c r="BF8" s="35">
        <f>COUNTIFS('LOI and Commissioning Master Sh'!$D:$D,Summary!$A8,'LOI and Commissioning Master Sh'!$G:$G,Summary!BF$2,'LOI and Commissioning Master Sh'!$H:$H,Summary!BF$3,'LOI and Commissioning Master Sh'!$BW:$BW, "Commissioned")</f>
        <v>0</v>
      </c>
      <c r="BG8" s="35">
        <f>COUNTIFS('LOI and Commissioning Master Sh'!$D:$D,Summary!$A8,'LOI and Commissioning Master Sh'!$G:$G,Summary!BG$2,'LOI and Commissioning Master Sh'!$H:$H,Summary!BG$3,'LOI and Commissioning Master Sh'!$BW:$BW, "Commissioned")</f>
        <v>0</v>
      </c>
      <c r="BH8" s="35">
        <f>COUNTIFS('LOI and Commissioning Master Sh'!$D:$D,Summary!$A8,'LOI and Commissioning Master Sh'!$G:$G,Summary!BH$2,'LOI and Commissioning Master Sh'!$H:$H,Summary!BH$3,'LOI and Commissioning Master Sh'!$BW:$BW, "Commissioned")</f>
        <v>0</v>
      </c>
      <c r="BI8" s="35">
        <f>COUNTIFS('LOI and Commissioning Master Sh'!$D:$D,Summary!$A8,'LOI and Commissioning Master Sh'!$G:$G,Summary!BI$2,'LOI and Commissioning Master Sh'!$H:$H,Summary!BI$3,'LOI and Commissioning Master Sh'!$BW:$BW, "Commissioned")</f>
        <v>0</v>
      </c>
      <c r="BJ8" s="35">
        <f>COUNTIFS('LOI and Commissioning Master Sh'!$D:$D,Summary!$A8,'LOI and Commissioning Master Sh'!$G:$G,Summary!BJ$2,'LOI and Commissioning Master Sh'!$H:$H,Summary!BJ$3,'LOI and Commissioning Master Sh'!$BW:$BW, "Commissioned")</f>
        <v>0</v>
      </c>
      <c r="BK8" s="35">
        <f>COUNTIFS('LOI and Commissioning Master Sh'!$D:$D,Summary!$A8,'LOI and Commissioning Master Sh'!$G:$G,Summary!BK$2,'LOI and Commissioning Master Sh'!$H:$H,Summary!BK$3,'LOI and Commissioning Master Sh'!$BW:$BW, "Commissioned")</f>
        <v>0</v>
      </c>
      <c r="BL8" s="35">
        <f>COUNTIFS('LOI and Commissioning Master Sh'!$D:$D,Summary!$A8,'LOI and Commissioning Master Sh'!$G:$G,Summary!BL$2,'LOI and Commissioning Master Sh'!$H:$H,Summary!BL$3,'LOI and Commissioning Master Sh'!$BW:$BW, "Commissioned")</f>
        <v>1</v>
      </c>
      <c r="BM8" s="35">
        <f>COUNTIFS('LOI and Commissioning Master Sh'!$D:$D,Summary!$A8,'LOI and Commissioning Master Sh'!$G:$G,Summary!BM$2,'LOI and Commissioning Master Sh'!$H:$H,Summary!BM$3,'LOI and Commissioning Master Sh'!$BW:$BW, "Commissioned")</f>
        <v>0</v>
      </c>
      <c r="BN8" s="35">
        <f>COUNTIFS('LOI and Commissioning Master Sh'!$D:$D,Summary!$A8,'LOI and Commissioning Master Sh'!$G:$G,Summary!BN$2,'LOI and Commissioning Master Sh'!$H:$H,Summary!BN$3,'LOI and Commissioning Master Sh'!$BW:$BW, "Commissioned")</f>
        <v>0</v>
      </c>
      <c r="BO8" s="35">
        <f>COUNTIFS('LOI and Commissioning Master Sh'!$D:$D,Summary!$A8,'LOI and Commissioning Master Sh'!$G:$G,Summary!BO$2,'LOI and Commissioning Master Sh'!$H:$H,Summary!BO$3,'LOI and Commissioning Master Sh'!$BW:$BW, "Commissioned")</f>
        <v>0</v>
      </c>
      <c r="BP8" s="35">
        <f>COUNTIFS('LOI and Commissioning Master Sh'!$D:$D,Summary!$A8,'LOI and Commissioning Master Sh'!$G:$G,Summary!BP$2,'LOI and Commissioning Master Sh'!$H:$H,Summary!BP$3,'LOI and Commissioning Master Sh'!$BW:$BW, "Commissioned")</f>
        <v>0</v>
      </c>
      <c r="BQ8" s="35">
        <f>COUNTIFS('LOI and Commissioning Master Sh'!$D:$D,Summary!$A8,'LOI and Commissioning Master Sh'!$G:$G,Summary!BQ$2,'LOI and Commissioning Master Sh'!$H:$H,Summary!BQ$3,'LOI and Commissioning Master Sh'!$BW:$BW, "Commissioned")</f>
        <v>1</v>
      </c>
      <c r="BR8" s="43">
        <f t="shared" si="6"/>
        <v>2</v>
      </c>
    </row>
    <row r="9" spans="1:70" x14ac:dyDescent="0.25">
      <c r="A9" s="86" t="s">
        <v>220</v>
      </c>
      <c r="B9" s="19">
        <f>COUNTIFS('LOI and Commissioning Master Sh'!D:D,Summary!A9)</f>
        <v>34</v>
      </c>
      <c r="C9" s="13">
        <f>COUNTIFS('LOI and Commissioning Master Sh'!$D:$D,Summary!$A9,'LOI and Commissioning Master Sh'!$X:$X,"Yes",'LOI and Commissioning Master Sh'!$H:$H,"A")</f>
        <v>2</v>
      </c>
      <c r="D9" s="13">
        <f>COUNTIFS('LOI and Commissioning Master Sh'!$D:$D,Summary!$A9,'LOI and Commissioning Master Sh'!$X:$X,"Yes",'LOI and Commissioning Master Sh'!$H:$H,"B")</f>
        <v>6</v>
      </c>
      <c r="E9" s="13">
        <f t="shared" si="0"/>
        <v>8</v>
      </c>
      <c r="F9" s="13">
        <f>+COUNTIFS('LOI and Commissioning Master Sh'!$D:$D,Summary!$A9,'LOI and Commissioning Master Sh'!$X:$X, "Yes",'LOI and Commissioning Master Sh'!$BK:$BK, "Yes")</f>
        <v>7</v>
      </c>
      <c r="G9" s="13">
        <f>COUNTIFS('LOI and Commissioning Master Sh'!$D:$D,Summary!$A9,'LOI and Commissioning Master Sh'!$X:$X,"Yes",'LOI and Commissioning Master Sh'!$H:$H,"A",'LOI and Commissioning Master Sh'!$AC:$AC,"Yes")</f>
        <v>0</v>
      </c>
      <c r="H9" s="13">
        <f>COUNTIFS('LOI and Commissioning Master Sh'!$D:$D,Summary!$A9,'LOI and Commissioning Master Sh'!$X:$X,"Yes",'LOI and Commissioning Master Sh'!$H:$H,"B",'LOI and Commissioning Master Sh'!$AC:$AC,"Yes")</f>
        <v>1</v>
      </c>
      <c r="I9" s="267">
        <f t="shared" si="1"/>
        <v>1</v>
      </c>
      <c r="J9" s="13">
        <f>COUNTIFS('LOI and Commissioning Master Sh'!$D:$D,Summary!$A9,'LOI and Commissioning Master Sh'!$X:$X,"Yes",'LOI and Commissioning Master Sh'!$H:$H,"A",'LOI and Commissioning Master Sh'!$Y:$Y,"Yes")</f>
        <v>0</v>
      </c>
      <c r="K9" s="13">
        <f>COUNTIFS('LOI and Commissioning Master Sh'!$D:$D,Summary!$A9,'LOI and Commissioning Master Sh'!$X:$X,"Yes",'LOI and Commissioning Master Sh'!$H:$H,"B",'LOI and Commissioning Master Sh'!$Y:$Y,"Yes")</f>
        <v>2</v>
      </c>
      <c r="L9" s="13">
        <f t="shared" si="2"/>
        <v>2</v>
      </c>
      <c r="M9" s="15">
        <f>COUNTIFS('LOI and Commissioning Master Sh'!$D:$D,Summary!$A9, 'LOI and Commissioning Master Sh'!$G:$G,M$1,'LOI and Commissioning Master Sh'!$X:$X,"Yes",'LOI and Commissioning Master Sh'!$H:$H,M$3)</f>
        <v>0</v>
      </c>
      <c r="N9" s="15">
        <f>COUNTIFS('LOI and Commissioning Master Sh'!$D:$D,Summary!$A9, 'LOI and Commissioning Master Sh'!$G:$G,N$1,'LOI and Commissioning Master Sh'!$X:$X,"Yes",'LOI and Commissioning Master Sh'!$H:$H,N$3)</f>
        <v>0</v>
      </c>
      <c r="O9" s="15">
        <f t="shared" si="3"/>
        <v>0</v>
      </c>
      <c r="P9" s="15">
        <f>COUNTIFS('LOI and Commissioning Master Sh'!$D:$D,Summary!$A9, 'LOI and Commissioning Master Sh'!$G:$G,P$1,'LOI and Commissioning Master Sh'!$X:$X,"Yes",'LOI and Commissioning Master Sh'!$H:$H,P$3,'LOI and Commissioning Master Sh'!$AC:$AC,"Yes")</f>
        <v>0</v>
      </c>
      <c r="Q9" s="15">
        <f>COUNTIFS('LOI and Commissioning Master Sh'!$D:$D,Summary!$A9, 'LOI and Commissioning Master Sh'!$G:$G,Q$1,'LOI and Commissioning Master Sh'!$X:$X,"Yes",'LOI and Commissioning Master Sh'!$H:$H,Q$3,'LOI and Commissioning Master Sh'!$AC:$AC,"Yes")</f>
        <v>0</v>
      </c>
      <c r="R9" s="15">
        <f t="shared" si="4"/>
        <v>0</v>
      </c>
      <c r="S9" s="15">
        <f>COUNTIFS('LOI and Commissioning Master Sh'!$D:$D,Summary!$A9, 'LOI and Commissioning Master Sh'!$G:$G,S$1,'LOI and Commissioning Master Sh'!$X:$X,"Yes",'LOI and Commissioning Master Sh'!$H:$H,S$3,'LOI and Commissioning Master Sh'!$Y:$Y,"Yes")</f>
        <v>0</v>
      </c>
      <c r="T9" s="15">
        <f>COUNTIFS('LOI and Commissioning Master Sh'!$D:$D,Summary!$A9, 'LOI and Commissioning Master Sh'!$G:$G,T$1,'LOI and Commissioning Master Sh'!$X:$X,"Yes",'LOI and Commissioning Master Sh'!$H:$H,T$3,'LOI and Commissioning Master Sh'!$Y:$Y,"Yes")</f>
        <v>0</v>
      </c>
      <c r="U9" s="15">
        <f t="shared" si="5"/>
        <v>0</v>
      </c>
      <c r="V9" s="17">
        <f>COUNTIFS('LOI and Commissioning Master Sh'!$D:$D,Summary!$A9, 'LOI and Commissioning Master Sh'!$G:$G,V$1,'LOI and Commissioning Master Sh'!$X:$X,"Yes",'LOI and Commissioning Master Sh'!$H:$H,V$3)</f>
        <v>1</v>
      </c>
      <c r="W9" s="17">
        <f>COUNTIFS('LOI and Commissioning Master Sh'!$D:$D,Summary!$A9, 'LOI and Commissioning Master Sh'!$G:$G,W$1,'LOI and Commissioning Master Sh'!$X:$X,"Yes",'LOI and Commissioning Master Sh'!$H:$H,W$3)</f>
        <v>2</v>
      </c>
      <c r="X9" s="17">
        <f t="shared" si="7"/>
        <v>3</v>
      </c>
      <c r="Y9" s="17">
        <f>COUNTIFS('LOI and Commissioning Master Sh'!$D:$D,Summary!$A9, 'LOI and Commissioning Master Sh'!$G:$G,Y$1,'LOI and Commissioning Master Sh'!$X:$X,"Yes",'LOI and Commissioning Master Sh'!$H:$H,Y$3,'LOI and Commissioning Master Sh'!$AC:$AC,"Yes")</f>
        <v>0</v>
      </c>
      <c r="Z9" s="17">
        <f>COUNTIFS('LOI and Commissioning Master Sh'!$D:$D,Summary!$A9, 'LOI and Commissioning Master Sh'!$G:$G,Z$1,'LOI and Commissioning Master Sh'!$X:$X,"Yes",'LOI and Commissioning Master Sh'!$H:$H,Z$3,'LOI and Commissioning Master Sh'!$AC:$AC,"Yes")</f>
        <v>0</v>
      </c>
      <c r="AA9" s="17">
        <f t="shared" si="8"/>
        <v>0</v>
      </c>
      <c r="AB9" s="17">
        <f>COUNTIFS('LOI and Commissioning Master Sh'!$D:$D,Summary!$A9, 'LOI and Commissioning Master Sh'!$G:$G,AB$1,'LOI and Commissioning Master Sh'!$X:$X,"Yes",'LOI and Commissioning Master Sh'!$H:$H,AB$3,'LOI and Commissioning Master Sh'!$Y:$Y,"Yes")</f>
        <v>0</v>
      </c>
      <c r="AC9" s="17">
        <f>COUNTIFS('LOI and Commissioning Master Sh'!$D:$D,Summary!$A9, 'LOI and Commissioning Master Sh'!$G:$G,AC$1,'LOI and Commissioning Master Sh'!$X:$X,"Yes",'LOI and Commissioning Master Sh'!$H:$H,AC$3,'LOI and Commissioning Master Sh'!$Y:$Y,"Yes")</f>
        <v>1</v>
      </c>
      <c r="AD9" s="17">
        <f t="shared" si="9"/>
        <v>1</v>
      </c>
      <c r="AE9" s="19">
        <f>COUNTIFS('LOI and Commissioning Master Sh'!$D:$D,Summary!$A9, 'LOI and Commissioning Master Sh'!$G:$G,AE$1,'LOI and Commissioning Master Sh'!$X:$X,"Yes",'LOI and Commissioning Master Sh'!$H:$H,AE$3)</f>
        <v>1</v>
      </c>
      <c r="AF9" s="19">
        <f>COUNTIFS('LOI and Commissioning Master Sh'!$D:$D,Summary!$A9, 'LOI and Commissioning Master Sh'!$G:$G,AF$1,'LOI and Commissioning Master Sh'!$X:$X,"Yes",'LOI and Commissioning Master Sh'!$H:$H,AF$3)</f>
        <v>4</v>
      </c>
      <c r="AG9" s="19">
        <f t="shared" si="10"/>
        <v>5</v>
      </c>
      <c r="AH9" s="19">
        <f>COUNTIFS('LOI and Commissioning Master Sh'!$D:$D,Summary!$A9, 'LOI and Commissioning Master Sh'!$G:$G,AH$1,'LOI and Commissioning Master Sh'!$X:$X,"Yes",'LOI and Commissioning Master Sh'!$H:$H,AH$3,'LOI and Commissioning Master Sh'!$AC:$AC,"Yes")</f>
        <v>0</v>
      </c>
      <c r="AI9" s="19">
        <f>COUNTIFS('LOI and Commissioning Master Sh'!$D:$D,Summary!$A9, 'LOI and Commissioning Master Sh'!$G:$G,AI$1,'LOI and Commissioning Master Sh'!$X:$X,"Yes",'LOI and Commissioning Master Sh'!$H:$H,AI$3,'LOI and Commissioning Master Sh'!$AC:$AC,"Yes")</f>
        <v>1</v>
      </c>
      <c r="AJ9" s="19">
        <f t="shared" si="11"/>
        <v>1</v>
      </c>
      <c r="AK9" s="19">
        <f>COUNTIFS('LOI and Commissioning Master Sh'!$D:$D,Summary!$A9, 'LOI and Commissioning Master Sh'!$G:$G,AK$1,'LOI and Commissioning Master Sh'!$X:$X,"Yes",'LOI and Commissioning Master Sh'!$H:$H,AK$3,'LOI and Commissioning Master Sh'!$Y:$Y,"Yes")</f>
        <v>0</v>
      </c>
      <c r="AL9" s="19">
        <f>COUNTIFS('LOI and Commissioning Master Sh'!$D:$D,Summary!$A9, 'LOI and Commissioning Master Sh'!$G:$G,AL$1,'LOI and Commissioning Master Sh'!$X:$X,"Yes",'LOI and Commissioning Master Sh'!$H:$H,AL$3,'LOI and Commissioning Master Sh'!$Y:$Y,"Yes")</f>
        <v>1</v>
      </c>
      <c r="AM9" s="19">
        <f t="shared" si="12"/>
        <v>1</v>
      </c>
      <c r="AN9" s="21">
        <f>COUNTIFS('LOI and Commissioning Master Sh'!$D:$D,Summary!$A9, 'LOI and Commissioning Master Sh'!$G:$G,AN$1,'LOI and Commissioning Master Sh'!$X:$X,"Yes",'LOI and Commissioning Master Sh'!$H:$H,AN$3)</f>
        <v>0</v>
      </c>
      <c r="AO9" s="21">
        <f>COUNTIFS('LOI and Commissioning Master Sh'!$D:$D,Summary!$A9, 'LOI and Commissioning Master Sh'!$G:$G,AO$1,'LOI and Commissioning Master Sh'!$X:$X,"Yes",'LOI and Commissioning Master Sh'!$H:$H,AO$3)</f>
        <v>0</v>
      </c>
      <c r="AP9" s="21">
        <f t="shared" si="13"/>
        <v>0</v>
      </c>
      <c r="AQ9" s="21">
        <f>COUNTIFS('LOI and Commissioning Master Sh'!$D:$D,Summary!$A9, 'LOI and Commissioning Master Sh'!$G:$G,AQ$1,'LOI and Commissioning Master Sh'!$X:$X,"Yes",'LOI and Commissioning Master Sh'!$H:$H,AQ$3,'LOI and Commissioning Master Sh'!$AC:$AC,"Yes")</f>
        <v>0</v>
      </c>
      <c r="AR9" s="21">
        <f>COUNTIFS('LOI and Commissioning Master Sh'!$D:$D,Summary!$A9, 'LOI and Commissioning Master Sh'!$G:$G,AR$1,'LOI and Commissioning Master Sh'!$X:$X,"Yes",'LOI and Commissioning Master Sh'!$H:$H,AR$3,'LOI and Commissioning Master Sh'!$AC:$AC,"Yes")</f>
        <v>0</v>
      </c>
      <c r="AS9" s="21">
        <f t="shared" si="14"/>
        <v>0</v>
      </c>
      <c r="AT9" s="21">
        <f>COUNTIFS('LOI and Commissioning Master Sh'!$D:$D,Summary!$A9, 'LOI and Commissioning Master Sh'!$G:$G,AT$1,'LOI and Commissioning Master Sh'!$X:$X,"Yes",'LOI and Commissioning Master Sh'!$H:$H,AT$3,'LOI and Commissioning Master Sh'!$Y:$Y,"Yes")</f>
        <v>0</v>
      </c>
      <c r="AU9" s="21">
        <f>COUNTIFS('LOI and Commissioning Master Sh'!$D:$D,Summary!$A9, 'LOI and Commissioning Master Sh'!$G:$G,AU$1,'LOI and Commissioning Master Sh'!$X:$X,"Yes",'LOI and Commissioning Master Sh'!$H:$H,AU$3,'LOI and Commissioning Master Sh'!$Y:$Y,"Yes")</f>
        <v>0</v>
      </c>
      <c r="AV9" s="21">
        <f t="shared" si="15"/>
        <v>0</v>
      </c>
      <c r="AW9" s="23">
        <f>COUNTIFS('LOI and Commissioning Master Sh'!$D:$D,Summary!$A9, 'LOI and Commissioning Master Sh'!$G:$G,AW$1,'LOI and Commissioning Master Sh'!$X:$X,"Yes",'LOI and Commissioning Master Sh'!$H:$H,AW$3)</f>
        <v>0</v>
      </c>
      <c r="AX9" s="23">
        <f>COUNTIFS('LOI and Commissioning Master Sh'!$D:$D,Summary!$A9, 'LOI and Commissioning Master Sh'!$G:$G,AX$1,'LOI and Commissioning Master Sh'!$X:$X,"Yes",'LOI and Commissioning Master Sh'!$H:$H,AX$3)</f>
        <v>0</v>
      </c>
      <c r="AY9" s="23">
        <f t="shared" si="16"/>
        <v>0</v>
      </c>
      <c r="AZ9" s="23">
        <f>COUNTIFS('LOI and Commissioning Master Sh'!$D:$D,Summary!$A9, 'LOI and Commissioning Master Sh'!$G:$G,AZ$1,'LOI and Commissioning Master Sh'!$X:$X,"Yes",'LOI and Commissioning Master Sh'!$H:$H,AZ$3,'LOI and Commissioning Master Sh'!$AC:$AC,"Yes")</f>
        <v>0</v>
      </c>
      <c r="BA9" s="23">
        <f>COUNTIFS('LOI and Commissioning Master Sh'!$D:$D,Summary!$A9, 'LOI and Commissioning Master Sh'!$G:$G,BA$1,'LOI and Commissioning Master Sh'!$X:$X,"Yes",'LOI and Commissioning Master Sh'!$H:$H,BA$3,'LOI and Commissioning Master Sh'!$AC:$AC,"Yes")</f>
        <v>0</v>
      </c>
      <c r="BB9" s="23">
        <f t="shared" si="17"/>
        <v>0</v>
      </c>
      <c r="BC9" s="23">
        <f>COUNTIFS('LOI and Commissioning Master Sh'!$D:$D,Summary!$A9, 'LOI and Commissioning Master Sh'!$G:$G,BC$1,'LOI and Commissioning Master Sh'!$X:$X,"Yes",'LOI and Commissioning Master Sh'!$H:$H,BC$3,'LOI and Commissioning Master Sh'!$Y:$Y,"Yes")</f>
        <v>0</v>
      </c>
      <c r="BD9" s="23">
        <f>COUNTIFS('LOI and Commissioning Master Sh'!$D:$D,Summary!$A9, 'LOI and Commissioning Master Sh'!$G:$G,BD$1,'LOI and Commissioning Master Sh'!$X:$X,"Yes",'LOI and Commissioning Master Sh'!$H:$H,BD$3,'LOI and Commissioning Master Sh'!$Y:$Y,"Yes")</f>
        <v>0</v>
      </c>
      <c r="BE9" s="23">
        <f t="shared" si="18"/>
        <v>0</v>
      </c>
      <c r="BF9" s="35">
        <f>COUNTIFS('LOI and Commissioning Master Sh'!$D:$D,Summary!$A9,'LOI and Commissioning Master Sh'!$G:$G,Summary!BF$2,'LOI and Commissioning Master Sh'!$H:$H,Summary!BF$3,'LOI and Commissioning Master Sh'!$BW:$BW, "Commissioned")</f>
        <v>0</v>
      </c>
      <c r="BG9" s="35">
        <f>COUNTIFS('LOI and Commissioning Master Sh'!$D:$D,Summary!$A9,'LOI and Commissioning Master Sh'!$G:$G,Summary!BG$2,'LOI and Commissioning Master Sh'!$H:$H,Summary!BG$3,'LOI and Commissioning Master Sh'!$BW:$BW, "Commissioned")</f>
        <v>0</v>
      </c>
      <c r="BH9" s="35">
        <f>COUNTIFS('LOI and Commissioning Master Sh'!$D:$D,Summary!$A9,'LOI and Commissioning Master Sh'!$G:$G,Summary!BH$2,'LOI and Commissioning Master Sh'!$H:$H,Summary!BH$3,'LOI and Commissioning Master Sh'!$BW:$BW, "Commissioned")</f>
        <v>0</v>
      </c>
      <c r="BI9" s="35">
        <f>COUNTIFS('LOI and Commissioning Master Sh'!$D:$D,Summary!$A9,'LOI and Commissioning Master Sh'!$G:$G,Summary!BI$2,'LOI and Commissioning Master Sh'!$H:$H,Summary!BI$3,'LOI and Commissioning Master Sh'!$BW:$BW, "Commissioned")</f>
        <v>0</v>
      </c>
      <c r="BJ9" s="35">
        <f>COUNTIFS('LOI and Commissioning Master Sh'!$D:$D,Summary!$A9,'LOI and Commissioning Master Sh'!$G:$G,Summary!BJ$2,'LOI and Commissioning Master Sh'!$H:$H,Summary!BJ$3,'LOI and Commissioning Master Sh'!$BW:$BW, "Commissioned")</f>
        <v>0</v>
      </c>
      <c r="BK9" s="35">
        <f>COUNTIFS('LOI and Commissioning Master Sh'!$D:$D,Summary!$A9,'LOI and Commissioning Master Sh'!$G:$G,Summary!BK$2,'LOI and Commissioning Master Sh'!$H:$H,Summary!BK$3,'LOI and Commissioning Master Sh'!$BW:$BW, "Commissioned")</f>
        <v>0</v>
      </c>
      <c r="BL9" s="35">
        <f>COUNTIFS('LOI and Commissioning Master Sh'!$D:$D,Summary!$A9,'LOI and Commissioning Master Sh'!$G:$G,Summary!BL$2,'LOI and Commissioning Master Sh'!$H:$H,Summary!BL$3,'LOI and Commissioning Master Sh'!$BW:$BW, "Commissioned")</f>
        <v>0</v>
      </c>
      <c r="BM9" s="35">
        <f>COUNTIFS('LOI and Commissioning Master Sh'!$D:$D,Summary!$A9,'LOI and Commissioning Master Sh'!$G:$G,Summary!BM$2,'LOI and Commissioning Master Sh'!$H:$H,Summary!BM$3,'LOI and Commissioning Master Sh'!$BW:$BW, "Commissioned")</f>
        <v>0</v>
      </c>
      <c r="BN9" s="35">
        <f>COUNTIFS('LOI and Commissioning Master Sh'!$D:$D,Summary!$A9,'LOI and Commissioning Master Sh'!$G:$G,Summary!BN$2,'LOI and Commissioning Master Sh'!$H:$H,Summary!BN$3,'LOI and Commissioning Master Sh'!$BW:$BW, "Commissioned")</f>
        <v>0</v>
      </c>
      <c r="BO9" s="35">
        <f>COUNTIFS('LOI and Commissioning Master Sh'!$D:$D,Summary!$A9,'LOI and Commissioning Master Sh'!$G:$G,Summary!BO$2,'LOI and Commissioning Master Sh'!$H:$H,Summary!BO$3,'LOI and Commissioning Master Sh'!$BW:$BW, "Commissioned")</f>
        <v>0</v>
      </c>
      <c r="BP9" s="35">
        <f>COUNTIFS('LOI and Commissioning Master Sh'!$D:$D,Summary!$A9,'LOI and Commissioning Master Sh'!$G:$G,Summary!BP$2,'LOI and Commissioning Master Sh'!$H:$H,Summary!BP$3,'LOI and Commissioning Master Sh'!$BW:$BW, "Commissioned")</f>
        <v>0</v>
      </c>
      <c r="BQ9" s="35">
        <f>COUNTIFS('LOI and Commissioning Master Sh'!$D:$D,Summary!$A9,'LOI and Commissioning Master Sh'!$G:$G,Summary!BQ$2,'LOI and Commissioning Master Sh'!$H:$H,Summary!BQ$3,'LOI and Commissioning Master Sh'!$BW:$BW, "Commissioned")</f>
        <v>0</v>
      </c>
      <c r="BR9" s="43">
        <f t="shared" si="6"/>
        <v>0</v>
      </c>
    </row>
    <row r="10" spans="1:70" x14ac:dyDescent="0.25">
      <c r="A10" s="86" t="s">
        <v>398</v>
      </c>
      <c r="B10" s="19">
        <f>COUNTIFS('LOI and Commissioning Master Sh'!D:D,Summary!A10)</f>
        <v>17</v>
      </c>
      <c r="C10" s="13">
        <f>COUNTIFS('LOI and Commissioning Master Sh'!$D:$D,Summary!$A10,'LOI and Commissioning Master Sh'!$X:$X,"Yes",'LOI and Commissioning Master Sh'!$H:$H,"A")</f>
        <v>3</v>
      </c>
      <c r="D10" s="13">
        <f>COUNTIFS('LOI and Commissioning Master Sh'!$D:$D,Summary!$A10,'LOI and Commissioning Master Sh'!$X:$X,"Yes",'LOI and Commissioning Master Sh'!$H:$H,"B")</f>
        <v>0</v>
      </c>
      <c r="E10" s="13">
        <f t="shared" si="0"/>
        <v>3</v>
      </c>
      <c r="F10" s="13">
        <f>+COUNTIFS('LOI and Commissioning Master Sh'!$D:$D,Summary!$A10,'LOI and Commissioning Master Sh'!$X:$X, "Yes",'LOI and Commissioning Master Sh'!$BK:$BK, "Yes")</f>
        <v>2</v>
      </c>
      <c r="G10" s="13">
        <f>COUNTIFS('LOI and Commissioning Master Sh'!$D:$D,Summary!$A10,'LOI and Commissioning Master Sh'!$X:$X,"Yes",'LOI and Commissioning Master Sh'!$H:$H,"A",'LOI and Commissioning Master Sh'!$AC:$AC,"Yes")</f>
        <v>0</v>
      </c>
      <c r="H10" s="13">
        <f>COUNTIFS('LOI and Commissioning Master Sh'!$D:$D,Summary!$A10,'LOI and Commissioning Master Sh'!$X:$X,"Yes",'LOI and Commissioning Master Sh'!$H:$H,"B",'LOI and Commissioning Master Sh'!$AC:$AC,"Yes")</f>
        <v>0</v>
      </c>
      <c r="I10" s="267">
        <f t="shared" si="1"/>
        <v>0</v>
      </c>
      <c r="J10" s="13">
        <f>COUNTIFS('LOI and Commissioning Master Sh'!$D:$D,Summary!$A10,'LOI and Commissioning Master Sh'!$X:$X,"Yes",'LOI and Commissioning Master Sh'!$H:$H,"A",'LOI and Commissioning Master Sh'!$Y:$Y,"Yes")</f>
        <v>1</v>
      </c>
      <c r="K10" s="13">
        <f>COUNTIFS('LOI and Commissioning Master Sh'!$D:$D,Summary!$A10,'LOI and Commissioning Master Sh'!$X:$X,"Yes",'LOI and Commissioning Master Sh'!$H:$H,"B",'LOI and Commissioning Master Sh'!$Y:$Y,"Yes")</f>
        <v>0</v>
      </c>
      <c r="L10" s="13">
        <f t="shared" si="2"/>
        <v>1</v>
      </c>
      <c r="M10" s="15">
        <f>COUNTIFS('LOI and Commissioning Master Sh'!$D:$D,Summary!$A10, 'LOI and Commissioning Master Sh'!$G:$G,M$1,'LOI and Commissioning Master Sh'!$X:$X,"Yes",'LOI and Commissioning Master Sh'!$H:$H,M$3)</f>
        <v>0</v>
      </c>
      <c r="N10" s="15">
        <f>COUNTIFS('LOI and Commissioning Master Sh'!$D:$D,Summary!$A10, 'LOI and Commissioning Master Sh'!$G:$G,N$1,'LOI and Commissioning Master Sh'!$X:$X,"Yes",'LOI and Commissioning Master Sh'!$H:$H,N$3)</f>
        <v>0</v>
      </c>
      <c r="O10" s="15">
        <f t="shared" si="3"/>
        <v>0</v>
      </c>
      <c r="P10" s="15">
        <f>COUNTIFS('LOI and Commissioning Master Sh'!$D:$D,Summary!$A10, 'LOI and Commissioning Master Sh'!$G:$G,P$1,'LOI and Commissioning Master Sh'!$X:$X,"Yes",'LOI and Commissioning Master Sh'!$H:$H,P$3,'LOI and Commissioning Master Sh'!$AC:$AC,"Yes")</f>
        <v>0</v>
      </c>
      <c r="Q10" s="15">
        <f>COUNTIFS('LOI and Commissioning Master Sh'!$D:$D,Summary!$A10, 'LOI and Commissioning Master Sh'!$G:$G,Q$1,'LOI and Commissioning Master Sh'!$X:$X,"Yes",'LOI and Commissioning Master Sh'!$H:$H,Q$3,'LOI and Commissioning Master Sh'!$AC:$AC,"Yes")</f>
        <v>0</v>
      </c>
      <c r="R10" s="15">
        <f t="shared" si="4"/>
        <v>0</v>
      </c>
      <c r="S10" s="15">
        <f>COUNTIFS('LOI and Commissioning Master Sh'!$D:$D,Summary!$A10, 'LOI and Commissioning Master Sh'!$G:$G,S$1,'LOI and Commissioning Master Sh'!$X:$X,"Yes",'LOI and Commissioning Master Sh'!$H:$H,S$3,'LOI and Commissioning Master Sh'!$Y:$Y,"Yes")</f>
        <v>0</v>
      </c>
      <c r="T10" s="15">
        <f>COUNTIFS('LOI and Commissioning Master Sh'!$D:$D,Summary!$A10, 'LOI and Commissioning Master Sh'!$G:$G,T$1,'LOI and Commissioning Master Sh'!$X:$X,"Yes",'LOI and Commissioning Master Sh'!$H:$H,T$3,'LOI and Commissioning Master Sh'!$Y:$Y,"Yes")</f>
        <v>0</v>
      </c>
      <c r="U10" s="15">
        <f t="shared" si="5"/>
        <v>0</v>
      </c>
      <c r="V10" s="17">
        <f>COUNTIFS('LOI and Commissioning Master Sh'!$D:$D,Summary!$A10, 'LOI and Commissioning Master Sh'!$G:$G,V$1,'LOI and Commissioning Master Sh'!$X:$X,"Yes",'LOI and Commissioning Master Sh'!$H:$H,V$3)</f>
        <v>2</v>
      </c>
      <c r="W10" s="17">
        <f>COUNTIFS('LOI and Commissioning Master Sh'!$D:$D,Summary!$A10, 'LOI and Commissioning Master Sh'!$G:$G,W$1,'LOI and Commissioning Master Sh'!$X:$X,"Yes",'LOI and Commissioning Master Sh'!$H:$H,W$3)</f>
        <v>0</v>
      </c>
      <c r="X10" s="17">
        <f t="shared" si="7"/>
        <v>2</v>
      </c>
      <c r="Y10" s="17">
        <f>COUNTIFS('LOI and Commissioning Master Sh'!$D:$D,Summary!$A10, 'LOI and Commissioning Master Sh'!$G:$G,Y$1,'LOI and Commissioning Master Sh'!$X:$X,"Yes",'LOI and Commissioning Master Sh'!$H:$H,Y$3,'LOI and Commissioning Master Sh'!$AC:$AC,"Yes")</f>
        <v>0</v>
      </c>
      <c r="Z10" s="17">
        <f>COUNTIFS('LOI and Commissioning Master Sh'!$D:$D,Summary!$A10, 'LOI and Commissioning Master Sh'!$G:$G,Z$1,'LOI and Commissioning Master Sh'!$X:$X,"Yes",'LOI and Commissioning Master Sh'!$H:$H,Z$3,'LOI and Commissioning Master Sh'!$AC:$AC,"Yes")</f>
        <v>0</v>
      </c>
      <c r="AA10" s="17">
        <f t="shared" si="8"/>
        <v>0</v>
      </c>
      <c r="AB10" s="17">
        <f>COUNTIFS('LOI and Commissioning Master Sh'!$D:$D,Summary!$A10, 'LOI and Commissioning Master Sh'!$G:$G,AB$1,'LOI and Commissioning Master Sh'!$X:$X,"Yes",'LOI and Commissioning Master Sh'!$H:$H,AB$3,'LOI and Commissioning Master Sh'!$Y:$Y,"Yes")</f>
        <v>1</v>
      </c>
      <c r="AC10" s="17">
        <f>COUNTIFS('LOI and Commissioning Master Sh'!$D:$D,Summary!$A10, 'LOI and Commissioning Master Sh'!$G:$G,AC$1,'LOI and Commissioning Master Sh'!$X:$X,"Yes",'LOI and Commissioning Master Sh'!$H:$H,AC$3,'LOI and Commissioning Master Sh'!$Y:$Y,"Yes")</f>
        <v>0</v>
      </c>
      <c r="AD10" s="17">
        <f t="shared" si="9"/>
        <v>1</v>
      </c>
      <c r="AE10" s="19">
        <f>COUNTIFS('LOI and Commissioning Master Sh'!$D:$D,Summary!$A10, 'LOI and Commissioning Master Sh'!$G:$G,AE$1,'LOI and Commissioning Master Sh'!$X:$X,"Yes",'LOI and Commissioning Master Sh'!$H:$H,AE$3)</f>
        <v>0</v>
      </c>
      <c r="AF10" s="19">
        <f>COUNTIFS('LOI and Commissioning Master Sh'!$D:$D,Summary!$A10, 'LOI and Commissioning Master Sh'!$G:$G,AF$1,'LOI and Commissioning Master Sh'!$X:$X,"Yes",'LOI and Commissioning Master Sh'!$H:$H,AF$3)</f>
        <v>0</v>
      </c>
      <c r="AG10" s="19">
        <f t="shared" si="10"/>
        <v>0</v>
      </c>
      <c r="AH10" s="19">
        <f>COUNTIFS('LOI and Commissioning Master Sh'!$D:$D,Summary!$A10, 'LOI and Commissioning Master Sh'!$G:$G,AH$1,'LOI and Commissioning Master Sh'!$X:$X,"Yes",'LOI and Commissioning Master Sh'!$H:$H,AH$3,'LOI and Commissioning Master Sh'!$AC:$AC,"Yes")</f>
        <v>0</v>
      </c>
      <c r="AI10" s="19">
        <f>COUNTIFS('LOI and Commissioning Master Sh'!$D:$D,Summary!$A10, 'LOI and Commissioning Master Sh'!$G:$G,AI$1,'LOI and Commissioning Master Sh'!$X:$X,"Yes",'LOI and Commissioning Master Sh'!$H:$H,AI$3,'LOI and Commissioning Master Sh'!$AC:$AC,"Yes")</f>
        <v>0</v>
      </c>
      <c r="AJ10" s="19">
        <f t="shared" si="11"/>
        <v>0</v>
      </c>
      <c r="AK10" s="19">
        <f>COUNTIFS('LOI and Commissioning Master Sh'!$D:$D,Summary!$A10, 'LOI and Commissioning Master Sh'!$G:$G,AK$1,'LOI and Commissioning Master Sh'!$X:$X,"Yes",'LOI and Commissioning Master Sh'!$H:$H,AK$3,'LOI and Commissioning Master Sh'!$Y:$Y,"Yes")</f>
        <v>0</v>
      </c>
      <c r="AL10" s="19">
        <f>COUNTIFS('LOI and Commissioning Master Sh'!$D:$D,Summary!$A10, 'LOI and Commissioning Master Sh'!$G:$G,AL$1,'LOI and Commissioning Master Sh'!$X:$X,"Yes",'LOI and Commissioning Master Sh'!$H:$H,AL$3,'LOI and Commissioning Master Sh'!$Y:$Y,"Yes")</f>
        <v>0</v>
      </c>
      <c r="AM10" s="19">
        <f t="shared" si="12"/>
        <v>0</v>
      </c>
      <c r="AN10" s="21">
        <f>COUNTIFS('LOI and Commissioning Master Sh'!$D:$D,Summary!$A10, 'LOI and Commissioning Master Sh'!$G:$G,AN$1,'LOI and Commissioning Master Sh'!$X:$X,"Yes",'LOI and Commissioning Master Sh'!$H:$H,AN$3)</f>
        <v>0</v>
      </c>
      <c r="AO10" s="21">
        <f>COUNTIFS('LOI and Commissioning Master Sh'!$D:$D,Summary!$A10, 'LOI and Commissioning Master Sh'!$G:$G,AO$1,'LOI and Commissioning Master Sh'!$X:$X,"Yes",'LOI and Commissioning Master Sh'!$H:$H,AO$3)</f>
        <v>0</v>
      </c>
      <c r="AP10" s="21">
        <f t="shared" si="13"/>
        <v>0</v>
      </c>
      <c r="AQ10" s="21">
        <f>COUNTIFS('LOI and Commissioning Master Sh'!$D:$D,Summary!$A10, 'LOI and Commissioning Master Sh'!$G:$G,AQ$1,'LOI and Commissioning Master Sh'!$X:$X,"Yes",'LOI and Commissioning Master Sh'!$H:$H,AQ$3,'LOI and Commissioning Master Sh'!$AC:$AC,"Yes")</f>
        <v>0</v>
      </c>
      <c r="AR10" s="21">
        <f>COUNTIFS('LOI and Commissioning Master Sh'!$D:$D,Summary!$A10, 'LOI and Commissioning Master Sh'!$G:$G,AR$1,'LOI and Commissioning Master Sh'!$X:$X,"Yes",'LOI and Commissioning Master Sh'!$H:$H,AR$3,'LOI and Commissioning Master Sh'!$AC:$AC,"Yes")</f>
        <v>0</v>
      </c>
      <c r="AS10" s="21">
        <f t="shared" si="14"/>
        <v>0</v>
      </c>
      <c r="AT10" s="21">
        <f>COUNTIFS('LOI and Commissioning Master Sh'!$D:$D,Summary!$A10, 'LOI and Commissioning Master Sh'!$G:$G,AT$1,'LOI and Commissioning Master Sh'!$X:$X,"Yes",'LOI and Commissioning Master Sh'!$H:$H,AT$3,'LOI and Commissioning Master Sh'!$Y:$Y,"Yes")</f>
        <v>0</v>
      </c>
      <c r="AU10" s="21">
        <f>COUNTIFS('LOI and Commissioning Master Sh'!$D:$D,Summary!$A10, 'LOI and Commissioning Master Sh'!$G:$G,AU$1,'LOI and Commissioning Master Sh'!$X:$X,"Yes",'LOI and Commissioning Master Sh'!$H:$H,AU$3,'LOI and Commissioning Master Sh'!$Y:$Y,"Yes")</f>
        <v>0</v>
      </c>
      <c r="AV10" s="21">
        <f t="shared" si="15"/>
        <v>0</v>
      </c>
      <c r="AW10" s="23">
        <f>COUNTIFS('LOI and Commissioning Master Sh'!$D:$D,Summary!$A10, 'LOI and Commissioning Master Sh'!$G:$G,AW$1,'LOI and Commissioning Master Sh'!$X:$X,"Yes",'LOI and Commissioning Master Sh'!$H:$H,AW$3)</f>
        <v>1</v>
      </c>
      <c r="AX10" s="23">
        <f>COUNTIFS('LOI and Commissioning Master Sh'!$D:$D,Summary!$A10, 'LOI and Commissioning Master Sh'!$G:$G,AX$1,'LOI and Commissioning Master Sh'!$X:$X,"Yes",'LOI and Commissioning Master Sh'!$H:$H,AX$3)</f>
        <v>0</v>
      </c>
      <c r="AY10" s="23">
        <f t="shared" si="16"/>
        <v>1</v>
      </c>
      <c r="AZ10" s="23">
        <f>COUNTIFS('LOI and Commissioning Master Sh'!$D:$D,Summary!$A10, 'LOI and Commissioning Master Sh'!$G:$G,AZ$1,'LOI and Commissioning Master Sh'!$X:$X,"Yes",'LOI and Commissioning Master Sh'!$H:$H,AZ$3,'LOI and Commissioning Master Sh'!$AC:$AC,"Yes")</f>
        <v>0</v>
      </c>
      <c r="BA10" s="23">
        <f>COUNTIFS('LOI and Commissioning Master Sh'!$D:$D,Summary!$A10, 'LOI and Commissioning Master Sh'!$G:$G,BA$1,'LOI and Commissioning Master Sh'!$X:$X,"Yes",'LOI and Commissioning Master Sh'!$H:$H,BA$3,'LOI and Commissioning Master Sh'!$AC:$AC,"Yes")</f>
        <v>0</v>
      </c>
      <c r="BB10" s="23">
        <f t="shared" si="17"/>
        <v>0</v>
      </c>
      <c r="BC10" s="23">
        <f>COUNTIFS('LOI and Commissioning Master Sh'!$D:$D,Summary!$A10, 'LOI and Commissioning Master Sh'!$G:$G,BC$1,'LOI and Commissioning Master Sh'!$X:$X,"Yes",'LOI and Commissioning Master Sh'!$H:$H,BC$3,'LOI and Commissioning Master Sh'!$Y:$Y,"Yes")</f>
        <v>0</v>
      </c>
      <c r="BD10" s="23">
        <f>COUNTIFS('LOI and Commissioning Master Sh'!$D:$D,Summary!$A10, 'LOI and Commissioning Master Sh'!$G:$G,BD$1,'LOI and Commissioning Master Sh'!$X:$X,"Yes",'LOI and Commissioning Master Sh'!$H:$H,BD$3,'LOI and Commissioning Master Sh'!$Y:$Y,"Yes")</f>
        <v>0</v>
      </c>
      <c r="BE10" s="23">
        <f t="shared" si="18"/>
        <v>0</v>
      </c>
      <c r="BF10" s="35">
        <f>COUNTIFS('LOI and Commissioning Master Sh'!$D:$D,Summary!$A10,'LOI and Commissioning Master Sh'!$G:$G,Summary!BF$2,'LOI and Commissioning Master Sh'!$H:$H,Summary!BF$3,'LOI and Commissioning Master Sh'!$BW:$BW, "Commissioned")</f>
        <v>0</v>
      </c>
      <c r="BG10" s="35">
        <f>COUNTIFS('LOI and Commissioning Master Sh'!$D:$D,Summary!$A10,'LOI and Commissioning Master Sh'!$G:$G,Summary!BG$2,'LOI and Commissioning Master Sh'!$H:$H,Summary!BG$3,'LOI and Commissioning Master Sh'!$BW:$BW, "Commissioned")</f>
        <v>0</v>
      </c>
      <c r="BH10" s="35">
        <f>COUNTIFS('LOI and Commissioning Master Sh'!$D:$D,Summary!$A10,'LOI and Commissioning Master Sh'!$G:$G,Summary!BH$2,'LOI and Commissioning Master Sh'!$H:$H,Summary!BH$3,'LOI and Commissioning Master Sh'!$BW:$BW, "Commissioned")</f>
        <v>0</v>
      </c>
      <c r="BI10" s="35">
        <f>COUNTIFS('LOI and Commissioning Master Sh'!$D:$D,Summary!$A10,'LOI and Commissioning Master Sh'!$G:$G,Summary!BI$2,'LOI and Commissioning Master Sh'!$H:$H,Summary!BI$3,'LOI and Commissioning Master Sh'!$BW:$BW, "Commissioned")</f>
        <v>0</v>
      </c>
      <c r="BJ10" s="35">
        <f>COUNTIFS('LOI and Commissioning Master Sh'!$D:$D,Summary!$A10,'LOI and Commissioning Master Sh'!$G:$G,Summary!BJ$2,'LOI and Commissioning Master Sh'!$H:$H,Summary!BJ$3,'LOI and Commissioning Master Sh'!$BW:$BW, "Commissioned")</f>
        <v>0</v>
      </c>
      <c r="BK10" s="35">
        <f>COUNTIFS('LOI and Commissioning Master Sh'!$D:$D,Summary!$A10,'LOI and Commissioning Master Sh'!$G:$G,Summary!BK$2,'LOI and Commissioning Master Sh'!$H:$H,Summary!BK$3,'LOI and Commissioning Master Sh'!$BW:$BW, "Commissioned")</f>
        <v>0</v>
      </c>
      <c r="BL10" s="35">
        <f>COUNTIFS('LOI and Commissioning Master Sh'!$D:$D,Summary!$A10,'LOI and Commissioning Master Sh'!$G:$G,Summary!BL$2,'LOI and Commissioning Master Sh'!$H:$H,Summary!BL$3,'LOI and Commissioning Master Sh'!$BW:$BW, "Commissioned")</f>
        <v>0</v>
      </c>
      <c r="BM10" s="35">
        <f>COUNTIFS('LOI and Commissioning Master Sh'!$D:$D,Summary!$A10,'LOI and Commissioning Master Sh'!$G:$G,Summary!BM$2,'LOI and Commissioning Master Sh'!$H:$H,Summary!BM$3,'LOI and Commissioning Master Sh'!$BW:$BW, "Commissioned")</f>
        <v>0</v>
      </c>
      <c r="BN10" s="35">
        <f>COUNTIFS('LOI and Commissioning Master Sh'!$D:$D,Summary!$A10,'LOI and Commissioning Master Sh'!$G:$G,Summary!BN$2,'LOI and Commissioning Master Sh'!$H:$H,Summary!BN$3,'LOI and Commissioning Master Sh'!$BW:$BW, "Commissioned")</f>
        <v>0</v>
      </c>
      <c r="BO10" s="35">
        <f>COUNTIFS('LOI and Commissioning Master Sh'!$D:$D,Summary!$A10,'LOI and Commissioning Master Sh'!$G:$G,Summary!BO$2,'LOI and Commissioning Master Sh'!$H:$H,Summary!BO$3,'LOI and Commissioning Master Sh'!$BW:$BW, "Commissioned")</f>
        <v>0</v>
      </c>
      <c r="BP10" s="35">
        <f>COUNTIFS('LOI and Commissioning Master Sh'!$D:$D,Summary!$A10,'LOI and Commissioning Master Sh'!$G:$G,Summary!BP$2,'LOI and Commissioning Master Sh'!$H:$H,Summary!BP$3,'LOI and Commissioning Master Sh'!$BW:$BW, "Commissioned")</f>
        <v>0</v>
      </c>
      <c r="BQ10" s="35">
        <f>COUNTIFS('LOI and Commissioning Master Sh'!$D:$D,Summary!$A10,'LOI and Commissioning Master Sh'!$G:$G,Summary!BQ$2,'LOI and Commissioning Master Sh'!$H:$H,Summary!BQ$3,'LOI and Commissioning Master Sh'!$BW:$BW, "Commissioned")</f>
        <v>0</v>
      </c>
      <c r="BR10" s="43">
        <f t="shared" si="6"/>
        <v>0</v>
      </c>
    </row>
    <row r="11" spans="1:70" x14ac:dyDescent="0.25">
      <c r="A11" s="86" t="s">
        <v>99</v>
      </c>
      <c r="B11" s="19">
        <f>COUNTIFS('LOI and Commissioning Master Sh'!D:D,Summary!A11)</f>
        <v>29</v>
      </c>
      <c r="C11" s="13">
        <f>COUNTIFS('LOI and Commissioning Master Sh'!$D:$D,Summary!$A11,'LOI and Commissioning Master Sh'!$X:$X,"Yes",'LOI and Commissioning Master Sh'!$H:$H,"A")</f>
        <v>7</v>
      </c>
      <c r="D11" s="13">
        <f>COUNTIFS('LOI and Commissioning Master Sh'!$D:$D,Summary!$A11,'LOI and Commissioning Master Sh'!$X:$X,"Yes",'LOI and Commissioning Master Sh'!$H:$H,"B")</f>
        <v>4</v>
      </c>
      <c r="E11" s="13">
        <f t="shared" si="0"/>
        <v>11</v>
      </c>
      <c r="F11" s="13">
        <f>+COUNTIFS('LOI and Commissioning Master Sh'!$D:$D,Summary!$A11,'LOI and Commissioning Master Sh'!$X:$X, "Yes",'LOI and Commissioning Master Sh'!$BK:$BK, "Yes")</f>
        <v>11</v>
      </c>
      <c r="G11" s="13">
        <f>COUNTIFS('LOI and Commissioning Master Sh'!$D:$D,Summary!$A11,'LOI and Commissioning Master Sh'!$X:$X,"Yes",'LOI and Commissioning Master Sh'!$H:$H,"A",'LOI and Commissioning Master Sh'!$AC:$AC,"Yes")</f>
        <v>2</v>
      </c>
      <c r="H11" s="13">
        <f>COUNTIFS('LOI and Commissioning Master Sh'!$D:$D,Summary!$A11,'LOI and Commissioning Master Sh'!$X:$X,"Yes",'LOI and Commissioning Master Sh'!$H:$H,"B",'LOI and Commissioning Master Sh'!$AC:$AC,"Yes")</f>
        <v>0</v>
      </c>
      <c r="I11" s="267">
        <f t="shared" si="1"/>
        <v>2</v>
      </c>
      <c r="J11" s="13">
        <f>COUNTIFS('LOI and Commissioning Master Sh'!$D:$D,Summary!$A11,'LOI and Commissioning Master Sh'!$X:$X,"Yes",'LOI and Commissioning Master Sh'!$H:$H,"A",'LOI and Commissioning Master Sh'!$Y:$Y,"Yes")</f>
        <v>2</v>
      </c>
      <c r="K11" s="13">
        <f>COUNTIFS('LOI and Commissioning Master Sh'!$D:$D,Summary!$A11,'LOI and Commissioning Master Sh'!$X:$X,"Yes",'LOI and Commissioning Master Sh'!$H:$H,"B",'LOI and Commissioning Master Sh'!$Y:$Y,"Yes")</f>
        <v>1</v>
      </c>
      <c r="L11" s="13">
        <f t="shared" si="2"/>
        <v>3</v>
      </c>
      <c r="M11" s="15">
        <f>COUNTIFS('LOI and Commissioning Master Sh'!$D:$D,Summary!$A11, 'LOI and Commissioning Master Sh'!$G:$G,M$1,'LOI and Commissioning Master Sh'!$X:$X,"Yes",'LOI and Commissioning Master Sh'!$H:$H,M$3)</f>
        <v>1</v>
      </c>
      <c r="N11" s="15">
        <f>COUNTIFS('LOI and Commissioning Master Sh'!$D:$D,Summary!$A11, 'LOI and Commissioning Master Sh'!$G:$G,N$1,'LOI and Commissioning Master Sh'!$X:$X,"Yes",'LOI and Commissioning Master Sh'!$H:$H,N$3)</f>
        <v>0</v>
      </c>
      <c r="O11" s="15">
        <f t="shared" si="3"/>
        <v>1</v>
      </c>
      <c r="P11" s="15">
        <f>COUNTIFS('LOI and Commissioning Master Sh'!$D:$D,Summary!$A11, 'LOI and Commissioning Master Sh'!$G:$G,P$1,'LOI and Commissioning Master Sh'!$X:$X,"Yes",'LOI and Commissioning Master Sh'!$H:$H,P$3,'LOI and Commissioning Master Sh'!$AC:$AC,"Yes")</f>
        <v>0</v>
      </c>
      <c r="Q11" s="15">
        <f>COUNTIFS('LOI and Commissioning Master Sh'!$D:$D,Summary!$A11, 'LOI and Commissioning Master Sh'!$G:$G,Q$1,'LOI and Commissioning Master Sh'!$X:$X,"Yes",'LOI and Commissioning Master Sh'!$H:$H,Q$3,'LOI and Commissioning Master Sh'!$AC:$AC,"Yes")</f>
        <v>0</v>
      </c>
      <c r="R11" s="15">
        <f t="shared" si="4"/>
        <v>0</v>
      </c>
      <c r="S11" s="15">
        <f>COUNTIFS('LOI and Commissioning Master Sh'!$D:$D,Summary!$A11, 'LOI and Commissioning Master Sh'!$G:$G,S$1,'LOI and Commissioning Master Sh'!$X:$X,"Yes",'LOI and Commissioning Master Sh'!$H:$H,S$3,'LOI and Commissioning Master Sh'!$Y:$Y,"Yes")</f>
        <v>0</v>
      </c>
      <c r="T11" s="15">
        <f>COUNTIFS('LOI and Commissioning Master Sh'!$D:$D,Summary!$A11, 'LOI and Commissioning Master Sh'!$G:$G,T$1,'LOI and Commissioning Master Sh'!$X:$X,"Yes",'LOI and Commissioning Master Sh'!$H:$H,T$3,'LOI and Commissioning Master Sh'!$Y:$Y,"Yes")</f>
        <v>0</v>
      </c>
      <c r="U11" s="15">
        <f t="shared" si="5"/>
        <v>0</v>
      </c>
      <c r="V11" s="17">
        <f>COUNTIFS('LOI and Commissioning Master Sh'!$D:$D,Summary!$A11, 'LOI and Commissioning Master Sh'!$G:$G,V$1,'LOI and Commissioning Master Sh'!$X:$X,"Yes",'LOI and Commissioning Master Sh'!$H:$H,V$3)</f>
        <v>3</v>
      </c>
      <c r="W11" s="17">
        <f>COUNTIFS('LOI and Commissioning Master Sh'!$D:$D,Summary!$A11, 'LOI and Commissioning Master Sh'!$G:$G,W$1,'LOI and Commissioning Master Sh'!$X:$X,"Yes",'LOI and Commissioning Master Sh'!$H:$H,W$3)</f>
        <v>3</v>
      </c>
      <c r="X11" s="17">
        <f t="shared" si="7"/>
        <v>6</v>
      </c>
      <c r="Y11" s="17">
        <f>COUNTIFS('LOI and Commissioning Master Sh'!$D:$D,Summary!$A11, 'LOI and Commissioning Master Sh'!$G:$G,Y$1,'LOI and Commissioning Master Sh'!$X:$X,"Yes",'LOI and Commissioning Master Sh'!$H:$H,Y$3,'LOI and Commissioning Master Sh'!$AC:$AC,"Yes")</f>
        <v>0</v>
      </c>
      <c r="Z11" s="17">
        <f>COUNTIFS('LOI and Commissioning Master Sh'!$D:$D,Summary!$A11, 'LOI and Commissioning Master Sh'!$G:$G,Z$1,'LOI and Commissioning Master Sh'!$X:$X,"Yes",'LOI and Commissioning Master Sh'!$H:$H,Z$3,'LOI and Commissioning Master Sh'!$AC:$AC,"Yes")</f>
        <v>0</v>
      </c>
      <c r="AA11" s="17">
        <f t="shared" si="8"/>
        <v>0</v>
      </c>
      <c r="AB11" s="17">
        <f>COUNTIFS('LOI and Commissioning Master Sh'!$D:$D,Summary!$A11, 'LOI and Commissioning Master Sh'!$G:$G,AB$1,'LOI and Commissioning Master Sh'!$X:$X,"Yes",'LOI and Commissioning Master Sh'!$H:$H,AB$3,'LOI and Commissioning Master Sh'!$Y:$Y,"Yes")</f>
        <v>0</v>
      </c>
      <c r="AC11" s="17">
        <f>COUNTIFS('LOI and Commissioning Master Sh'!$D:$D,Summary!$A11, 'LOI and Commissioning Master Sh'!$G:$G,AC$1,'LOI and Commissioning Master Sh'!$X:$X,"Yes",'LOI and Commissioning Master Sh'!$H:$H,AC$3,'LOI and Commissioning Master Sh'!$Y:$Y,"Yes")</f>
        <v>1</v>
      </c>
      <c r="AD11" s="17">
        <f t="shared" si="9"/>
        <v>1</v>
      </c>
      <c r="AE11" s="19">
        <f>COUNTIFS('LOI and Commissioning Master Sh'!$D:$D,Summary!$A11, 'LOI and Commissioning Master Sh'!$G:$G,AE$1,'LOI and Commissioning Master Sh'!$X:$X,"Yes",'LOI and Commissioning Master Sh'!$H:$H,AE$3)</f>
        <v>2</v>
      </c>
      <c r="AF11" s="19">
        <f>COUNTIFS('LOI and Commissioning Master Sh'!$D:$D,Summary!$A11, 'LOI and Commissioning Master Sh'!$G:$G,AF$1,'LOI and Commissioning Master Sh'!$X:$X,"Yes",'LOI and Commissioning Master Sh'!$H:$H,AF$3)</f>
        <v>0</v>
      </c>
      <c r="AG11" s="19">
        <f t="shared" si="10"/>
        <v>2</v>
      </c>
      <c r="AH11" s="19">
        <f>COUNTIFS('LOI and Commissioning Master Sh'!$D:$D,Summary!$A11, 'LOI and Commissioning Master Sh'!$G:$G,AH$1,'LOI and Commissioning Master Sh'!$X:$X,"Yes",'LOI and Commissioning Master Sh'!$H:$H,AH$3,'LOI and Commissioning Master Sh'!$AC:$AC,"Yes")</f>
        <v>1</v>
      </c>
      <c r="AI11" s="19">
        <f>COUNTIFS('LOI and Commissioning Master Sh'!$D:$D,Summary!$A11, 'LOI and Commissioning Master Sh'!$G:$G,AI$1,'LOI and Commissioning Master Sh'!$X:$X,"Yes",'LOI and Commissioning Master Sh'!$H:$H,AI$3,'LOI and Commissioning Master Sh'!$AC:$AC,"Yes")</f>
        <v>0</v>
      </c>
      <c r="AJ11" s="19">
        <f t="shared" si="11"/>
        <v>1</v>
      </c>
      <c r="AK11" s="19">
        <f>COUNTIFS('LOI and Commissioning Master Sh'!$D:$D,Summary!$A11, 'LOI and Commissioning Master Sh'!$G:$G,AK$1,'LOI and Commissioning Master Sh'!$X:$X,"Yes",'LOI and Commissioning Master Sh'!$H:$H,AK$3,'LOI and Commissioning Master Sh'!$Y:$Y,"Yes")</f>
        <v>1</v>
      </c>
      <c r="AL11" s="19">
        <f>COUNTIFS('LOI and Commissioning Master Sh'!$D:$D,Summary!$A11, 'LOI and Commissioning Master Sh'!$G:$G,AL$1,'LOI and Commissioning Master Sh'!$X:$X,"Yes",'LOI and Commissioning Master Sh'!$H:$H,AL$3,'LOI and Commissioning Master Sh'!$Y:$Y,"Yes")</f>
        <v>0</v>
      </c>
      <c r="AM11" s="19">
        <f t="shared" si="12"/>
        <v>1</v>
      </c>
      <c r="AN11" s="21">
        <f>COUNTIFS('LOI and Commissioning Master Sh'!$D:$D,Summary!$A11, 'LOI and Commissioning Master Sh'!$G:$G,AN$1,'LOI and Commissioning Master Sh'!$X:$X,"Yes",'LOI and Commissioning Master Sh'!$H:$H,AN$3)</f>
        <v>0</v>
      </c>
      <c r="AO11" s="21">
        <f>COUNTIFS('LOI and Commissioning Master Sh'!$D:$D,Summary!$A11, 'LOI and Commissioning Master Sh'!$G:$G,AO$1,'LOI and Commissioning Master Sh'!$X:$X,"Yes",'LOI and Commissioning Master Sh'!$H:$H,AO$3)</f>
        <v>0</v>
      </c>
      <c r="AP11" s="21">
        <f t="shared" si="13"/>
        <v>0</v>
      </c>
      <c r="AQ11" s="21">
        <f>COUNTIFS('LOI and Commissioning Master Sh'!$D:$D,Summary!$A11, 'LOI and Commissioning Master Sh'!$G:$G,AQ$1,'LOI and Commissioning Master Sh'!$X:$X,"Yes",'LOI and Commissioning Master Sh'!$H:$H,AQ$3,'LOI and Commissioning Master Sh'!$AC:$AC,"Yes")</f>
        <v>0</v>
      </c>
      <c r="AR11" s="21">
        <f>COUNTIFS('LOI and Commissioning Master Sh'!$D:$D,Summary!$A11, 'LOI and Commissioning Master Sh'!$G:$G,AR$1,'LOI and Commissioning Master Sh'!$X:$X,"Yes",'LOI and Commissioning Master Sh'!$H:$H,AR$3,'LOI and Commissioning Master Sh'!$AC:$AC,"Yes")</f>
        <v>0</v>
      </c>
      <c r="AS11" s="21">
        <f t="shared" si="14"/>
        <v>0</v>
      </c>
      <c r="AT11" s="21">
        <f>COUNTIFS('LOI and Commissioning Master Sh'!$D:$D,Summary!$A11, 'LOI and Commissioning Master Sh'!$G:$G,AT$1,'LOI and Commissioning Master Sh'!$X:$X,"Yes",'LOI and Commissioning Master Sh'!$H:$H,AT$3,'LOI and Commissioning Master Sh'!$Y:$Y,"Yes")</f>
        <v>0</v>
      </c>
      <c r="AU11" s="21">
        <f>COUNTIFS('LOI and Commissioning Master Sh'!$D:$D,Summary!$A11, 'LOI and Commissioning Master Sh'!$G:$G,AU$1,'LOI and Commissioning Master Sh'!$X:$X,"Yes",'LOI and Commissioning Master Sh'!$H:$H,AU$3,'LOI and Commissioning Master Sh'!$Y:$Y,"Yes")</f>
        <v>0</v>
      </c>
      <c r="AV11" s="21">
        <f t="shared" si="15"/>
        <v>0</v>
      </c>
      <c r="AW11" s="23">
        <f>COUNTIFS('LOI and Commissioning Master Sh'!$D:$D,Summary!$A11, 'LOI and Commissioning Master Sh'!$G:$G,AW$1,'LOI and Commissioning Master Sh'!$X:$X,"Yes",'LOI and Commissioning Master Sh'!$H:$H,AW$3)</f>
        <v>1</v>
      </c>
      <c r="AX11" s="23">
        <f>COUNTIFS('LOI and Commissioning Master Sh'!$D:$D,Summary!$A11, 'LOI and Commissioning Master Sh'!$G:$G,AX$1,'LOI and Commissioning Master Sh'!$X:$X,"Yes",'LOI and Commissioning Master Sh'!$H:$H,AX$3)</f>
        <v>1</v>
      </c>
      <c r="AY11" s="23">
        <f t="shared" si="16"/>
        <v>2</v>
      </c>
      <c r="AZ11" s="23">
        <f>COUNTIFS('LOI and Commissioning Master Sh'!$D:$D,Summary!$A11, 'LOI and Commissioning Master Sh'!$G:$G,AZ$1,'LOI and Commissioning Master Sh'!$X:$X,"Yes",'LOI and Commissioning Master Sh'!$H:$H,AZ$3,'LOI and Commissioning Master Sh'!$AC:$AC,"Yes")</f>
        <v>1</v>
      </c>
      <c r="BA11" s="23">
        <f>COUNTIFS('LOI and Commissioning Master Sh'!$D:$D,Summary!$A11, 'LOI and Commissioning Master Sh'!$G:$G,BA$1,'LOI and Commissioning Master Sh'!$X:$X,"Yes",'LOI and Commissioning Master Sh'!$H:$H,BA$3,'LOI and Commissioning Master Sh'!$AC:$AC,"Yes")</f>
        <v>0</v>
      </c>
      <c r="BB11" s="23">
        <f t="shared" si="17"/>
        <v>1</v>
      </c>
      <c r="BC11" s="23">
        <f>COUNTIFS('LOI and Commissioning Master Sh'!$D:$D,Summary!$A11, 'LOI and Commissioning Master Sh'!$G:$G,BC$1,'LOI and Commissioning Master Sh'!$X:$X,"Yes",'LOI and Commissioning Master Sh'!$H:$H,BC$3,'LOI and Commissioning Master Sh'!$Y:$Y,"Yes")</f>
        <v>1</v>
      </c>
      <c r="BD11" s="23">
        <f>COUNTIFS('LOI and Commissioning Master Sh'!$D:$D,Summary!$A11, 'LOI and Commissioning Master Sh'!$G:$G,BD$1,'LOI and Commissioning Master Sh'!$X:$X,"Yes",'LOI and Commissioning Master Sh'!$H:$H,BD$3,'LOI and Commissioning Master Sh'!$Y:$Y,"Yes")</f>
        <v>0</v>
      </c>
      <c r="BE11" s="23">
        <f t="shared" si="18"/>
        <v>1</v>
      </c>
      <c r="BF11" s="35">
        <f>COUNTIFS('LOI and Commissioning Master Sh'!$D:$D,Summary!$A11,'LOI and Commissioning Master Sh'!$G:$G,Summary!BF$2,'LOI and Commissioning Master Sh'!$H:$H,Summary!BF$3,'LOI and Commissioning Master Sh'!$BW:$BW, "Commissioned")</f>
        <v>0</v>
      </c>
      <c r="BG11" s="35">
        <f>COUNTIFS('LOI and Commissioning Master Sh'!$D:$D,Summary!$A11,'LOI and Commissioning Master Sh'!$G:$G,Summary!BG$2,'LOI and Commissioning Master Sh'!$H:$H,Summary!BG$3,'LOI and Commissioning Master Sh'!$BW:$BW, "Commissioned")</f>
        <v>0</v>
      </c>
      <c r="BH11" s="35">
        <f>COUNTIFS('LOI and Commissioning Master Sh'!$D:$D,Summary!$A11,'LOI and Commissioning Master Sh'!$G:$G,Summary!BH$2,'LOI and Commissioning Master Sh'!$H:$H,Summary!BH$3,'LOI and Commissioning Master Sh'!$BW:$BW, "Commissioned")</f>
        <v>0</v>
      </c>
      <c r="BI11" s="35">
        <f>COUNTIFS('LOI and Commissioning Master Sh'!$D:$D,Summary!$A11,'LOI and Commissioning Master Sh'!$G:$G,Summary!BI$2,'LOI and Commissioning Master Sh'!$H:$H,Summary!BI$3,'LOI and Commissioning Master Sh'!$BW:$BW, "Commissioned")</f>
        <v>0</v>
      </c>
      <c r="BJ11" s="35">
        <f>COUNTIFS('LOI and Commissioning Master Sh'!$D:$D,Summary!$A11,'LOI and Commissioning Master Sh'!$G:$G,Summary!BJ$2,'LOI and Commissioning Master Sh'!$H:$H,Summary!BJ$3,'LOI and Commissioning Master Sh'!$BW:$BW, "Commissioned")</f>
        <v>0</v>
      </c>
      <c r="BK11" s="35">
        <f>COUNTIFS('LOI and Commissioning Master Sh'!$D:$D,Summary!$A11,'LOI and Commissioning Master Sh'!$G:$G,Summary!BK$2,'LOI and Commissioning Master Sh'!$H:$H,Summary!BK$3,'LOI and Commissioning Master Sh'!$BW:$BW, "Commissioned")</f>
        <v>0</v>
      </c>
      <c r="BL11" s="35">
        <f>COUNTIFS('LOI and Commissioning Master Sh'!$D:$D,Summary!$A11,'LOI and Commissioning Master Sh'!$G:$G,Summary!BL$2,'LOI and Commissioning Master Sh'!$H:$H,Summary!BL$3,'LOI and Commissioning Master Sh'!$BW:$BW, "Commissioned")</f>
        <v>0</v>
      </c>
      <c r="BM11" s="35">
        <f>COUNTIFS('LOI and Commissioning Master Sh'!$D:$D,Summary!$A11,'LOI and Commissioning Master Sh'!$G:$G,Summary!BM$2,'LOI and Commissioning Master Sh'!$H:$H,Summary!BM$3,'LOI and Commissioning Master Sh'!$BW:$BW, "Commissioned")</f>
        <v>0</v>
      </c>
      <c r="BN11" s="35">
        <f>COUNTIFS('LOI and Commissioning Master Sh'!$D:$D,Summary!$A11,'LOI and Commissioning Master Sh'!$G:$G,Summary!BN$2,'LOI and Commissioning Master Sh'!$H:$H,Summary!BN$3,'LOI and Commissioning Master Sh'!$BW:$BW, "Commissioned")</f>
        <v>1</v>
      </c>
      <c r="BO11" s="35">
        <f>COUNTIFS('LOI and Commissioning Master Sh'!$D:$D,Summary!$A11,'LOI and Commissioning Master Sh'!$G:$G,Summary!BO$2,'LOI and Commissioning Master Sh'!$H:$H,Summary!BO$3,'LOI and Commissioning Master Sh'!$BW:$BW, "Commissioned")</f>
        <v>0</v>
      </c>
      <c r="BP11" s="35">
        <f>COUNTIFS('LOI and Commissioning Master Sh'!$D:$D,Summary!$A11,'LOI and Commissioning Master Sh'!$G:$G,Summary!BP$2,'LOI and Commissioning Master Sh'!$H:$H,Summary!BP$3,'LOI and Commissioning Master Sh'!$BW:$BW, "Commissioned")</f>
        <v>1</v>
      </c>
      <c r="BQ11" s="35">
        <f>COUNTIFS('LOI and Commissioning Master Sh'!$D:$D,Summary!$A11,'LOI and Commissioning Master Sh'!$G:$G,Summary!BQ$2,'LOI and Commissioning Master Sh'!$H:$H,Summary!BQ$3,'LOI and Commissioning Master Sh'!$BW:$BW, "Commissioned")</f>
        <v>0</v>
      </c>
      <c r="BR11" s="43">
        <f t="shared" si="6"/>
        <v>2</v>
      </c>
    </row>
    <row r="12" spans="1:70" x14ac:dyDescent="0.25">
      <c r="A12" s="86" t="s">
        <v>141</v>
      </c>
      <c r="B12" s="19">
        <f>COUNTIFS('LOI and Commissioning Master Sh'!D:D,Summary!A12)</f>
        <v>25</v>
      </c>
      <c r="C12" s="13">
        <f>COUNTIFS('LOI and Commissioning Master Sh'!$D:$D,Summary!$A12,'LOI and Commissioning Master Sh'!$X:$X,"Yes",'LOI and Commissioning Master Sh'!$H:$H,"A")</f>
        <v>2</v>
      </c>
      <c r="D12" s="13">
        <f>COUNTIFS('LOI and Commissioning Master Sh'!$D:$D,Summary!$A12,'LOI and Commissioning Master Sh'!$X:$X,"Yes",'LOI and Commissioning Master Sh'!$H:$H,"B")</f>
        <v>3</v>
      </c>
      <c r="E12" s="13">
        <f t="shared" si="0"/>
        <v>5</v>
      </c>
      <c r="F12" s="13">
        <f>+COUNTIFS('LOI and Commissioning Master Sh'!$D:$D,Summary!$A12,'LOI and Commissioning Master Sh'!$X:$X, "Yes",'LOI and Commissioning Master Sh'!$BK:$BK, "Yes")</f>
        <v>4</v>
      </c>
      <c r="G12" s="13">
        <f>COUNTIFS('LOI and Commissioning Master Sh'!$D:$D,Summary!$A12,'LOI and Commissioning Master Sh'!$X:$X,"Yes",'LOI and Commissioning Master Sh'!$H:$H,"A",'LOI and Commissioning Master Sh'!$AC:$AC,"Yes")</f>
        <v>0</v>
      </c>
      <c r="H12" s="13">
        <f>COUNTIFS('LOI and Commissioning Master Sh'!$D:$D,Summary!$A12,'LOI and Commissioning Master Sh'!$X:$X,"Yes",'LOI and Commissioning Master Sh'!$H:$H,"B",'LOI and Commissioning Master Sh'!$AC:$AC,"Yes")</f>
        <v>1</v>
      </c>
      <c r="I12" s="267">
        <f t="shared" si="1"/>
        <v>1</v>
      </c>
      <c r="J12" s="13">
        <f>COUNTIFS('LOI and Commissioning Master Sh'!$D:$D,Summary!$A12,'LOI and Commissioning Master Sh'!$X:$X,"Yes",'LOI and Commissioning Master Sh'!$H:$H,"A",'LOI and Commissioning Master Sh'!$Y:$Y,"Yes")</f>
        <v>0</v>
      </c>
      <c r="K12" s="13">
        <f>COUNTIFS('LOI and Commissioning Master Sh'!$D:$D,Summary!$A12,'LOI and Commissioning Master Sh'!$X:$X,"Yes",'LOI and Commissioning Master Sh'!$H:$H,"B",'LOI and Commissioning Master Sh'!$Y:$Y,"Yes")</f>
        <v>2</v>
      </c>
      <c r="L12" s="13">
        <f t="shared" si="2"/>
        <v>2</v>
      </c>
      <c r="M12" s="15">
        <f>COUNTIFS('LOI and Commissioning Master Sh'!$D:$D,Summary!$A12, 'LOI and Commissioning Master Sh'!$G:$G,M$1,'LOI and Commissioning Master Sh'!$X:$X,"Yes",'LOI and Commissioning Master Sh'!$H:$H,M$3)</f>
        <v>0</v>
      </c>
      <c r="N12" s="15">
        <f>COUNTIFS('LOI and Commissioning Master Sh'!$D:$D,Summary!$A12, 'LOI and Commissioning Master Sh'!$G:$G,N$1,'LOI and Commissioning Master Sh'!$X:$X,"Yes",'LOI and Commissioning Master Sh'!$H:$H,N$3)</f>
        <v>0</v>
      </c>
      <c r="O12" s="15">
        <f t="shared" si="3"/>
        <v>0</v>
      </c>
      <c r="P12" s="15">
        <f>COUNTIFS('LOI and Commissioning Master Sh'!$D:$D,Summary!$A12, 'LOI and Commissioning Master Sh'!$G:$G,P$1,'LOI and Commissioning Master Sh'!$X:$X,"Yes",'LOI and Commissioning Master Sh'!$H:$H,P$3,'LOI and Commissioning Master Sh'!$AC:$AC,"Yes")</f>
        <v>0</v>
      </c>
      <c r="Q12" s="15">
        <f>COUNTIFS('LOI and Commissioning Master Sh'!$D:$D,Summary!$A12, 'LOI and Commissioning Master Sh'!$G:$G,Q$1,'LOI and Commissioning Master Sh'!$X:$X,"Yes",'LOI and Commissioning Master Sh'!$H:$H,Q$3,'LOI and Commissioning Master Sh'!$AC:$AC,"Yes")</f>
        <v>0</v>
      </c>
      <c r="R12" s="15">
        <f t="shared" si="4"/>
        <v>0</v>
      </c>
      <c r="S12" s="15">
        <f>COUNTIFS('LOI and Commissioning Master Sh'!$D:$D,Summary!$A12, 'LOI and Commissioning Master Sh'!$G:$G,S$1,'LOI and Commissioning Master Sh'!$X:$X,"Yes",'LOI and Commissioning Master Sh'!$H:$H,S$3,'LOI and Commissioning Master Sh'!$Y:$Y,"Yes")</f>
        <v>0</v>
      </c>
      <c r="T12" s="15">
        <f>COUNTIFS('LOI and Commissioning Master Sh'!$D:$D,Summary!$A12, 'LOI and Commissioning Master Sh'!$G:$G,T$1,'LOI and Commissioning Master Sh'!$X:$X,"Yes",'LOI and Commissioning Master Sh'!$H:$H,T$3,'LOI and Commissioning Master Sh'!$Y:$Y,"Yes")</f>
        <v>0</v>
      </c>
      <c r="U12" s="15">
        <f t="shared" si="5"/>
        <v>0</v>
      </c>
      <c r="V12" s="17">
        <f>COUNTIFS('LOI and Commissioning Master Sh'!$D:$D,Summary!$A12, 'LOI and Commissioning Master Sh'!$G:$G,V$1,'LOI and Commissioning Master Sh'!$X:$X,"Yes",'LOI and Commissioning Master Sh'!$H:$H,V$3)</f>
        <v>1</v>
      </c>
      <c r="W12" s="17">
        <f>COUNTIFS('LOI and Commissioning Master Sh'!$D:$D,Summary!$A12, 'LOI and Commissioning Master Sh'!$G:$G,W$1,'LOI and Commissioning Master Sh'!$X:$X,"Yes",'LOI and Commissioning Master Sh'!$H:$H,W$3)</f>
        <v>3</v>
      </c>
      <c r="X12" s="17">
        <f t="shared" si="7"/>
        <v>4</v>
      </c>
      <c r="Y12" s="17">
        <f>COUNTIFS('LOI and Commissioning Master Sh'!$D:$D,Summary!$A12, 'LOI and Commissioning Master Sh'!$G:$G,Y$1,'LOI and Commissioning Master Sh'!$X:$X,"Yes",'LOI and Commissioning Master Sh'!$H:$H,Y$3,'LOI and Commissioning Master Sh'!$AC:$AC,"Yes")</f>
        <v>0</v>
      </c>
      <c r="Z12" s="17">
        <f>COUNTIFS('LOI and Commissioning Master Sh'!$D:$D,Summary!$A12, 'LOI and Commissioning Master Sh'!$G:$G,Z$1,'LOI and Commissioning Master Sh'!$X:$X,"Yes",'LOI and Commissioning Master Sh'!$H:$H,Z$3,'LOI and Commissioning Master Sh'!$AC:$AC,"Yes")</f>
        <v>1</v>
      </c>
      <c r="AA12" s="17">
        <f t="shared" si="8"/>
        <v>1</v>
      </c>
      <c r="AB12" s="17">
        <f>COUNTIFS('LOI and Commissioning Master Sh'!$D:$D,Summary!$A12, 'LOI and Commissioning Master Sh'!$G:$G,AB$1,'LOI and Commissioning Master Sh'!$X:$X,"Yes",'LOI and Commissioning Master Sh'!$H:$H,AB$3,'LOI and Commissioning Master Sh'!$Y:$Y,"Yes")</f>
        <v>0</v>
      </c>
      <c r="AC12" s="17">
        <f>COUNTIFS('LOI and Commissioning Master Sh'!$D:$D,Summary!$A12, 'LOI and Commissioning Master Sh'!$G:$G,AC$1,'LOI and Commissioning Master Sh'!$X:$X,"Yes",'LOI and Commissioning Master Sh'!$H:$H,AC$3,'LOI and Commissioning Master Sh'!$Y:$Y,"Yes")</f>
        <v>2</v>
      </c>
      <c r="AD12" s="17">
        <f t="shared" si="9"/>
        <v>2</v>
      </c>
      <c r="AE12" s="19">
        <f>COUNTIFS('LOI and Commissioning Master Sh'!$D:$D,Summary!$A12, 'LOI and Commissioning Master Sh'!$G:$G,AE$1,'LOI and Commissioning Master Sh'!$X:$X,"Yes",'LOI and Commissioning Master Sh'!$H:$H,AE$3)</f>
        <v>1</v>
      </c>
      <c r="AF12" s="19">
        <f>COUNTIFS('LOI and Commissioning Master Sh'!$D:$D,Summary!$A12, 'LOI and Commissioning Master Sh'!$G:$G,AF$1,'LOI and Commissioning Master Sh'!$X:$X,"Yes",'LOI and Commissioning Master Sh'!$H:$H,AF$3)</f>
        <v>0</v>
      </c>
      <c r="AG12" s="19">
        <f t="shared" si="10"/>
        <v>1</v>
      </c>
      <c r="AH12" s="19">
        <f>COUNTIFS('LOI and Commissioning Master Sh'!$D:$D,Summary!$A12, 'LOI and Commissioning Master Sh'!$G:$G,AH$1,'LOI and Commissioning Master Sh'!$X:$X,"Yes",'LOI and Commissioning Master Sh'!$H:$H,AH$3,'LOI and Commissioning Master Sh'!$AC:$AC,"Yes")</f>
        <v>0</v>
      </c>
      <c r="AI12" s="19">
        <f>COUNTIFS('LOI and Commissioning Master Sh'!$D:$D,Summary!$A12, 'LOI and Commissioning Master Sh'!$G:$G,AI$1,'LOI and Commissioning Master Sh'!$X:$X,"Yes",'LOI and Commissioning Master Sh'!$H:$H,AI$3,'LOI and Commissioning Master Sh'!$AC:$AC,"Yes")</f>
        <v>0</v>
      </c>
      <c r="AJ12" s="19">
        <f t="shared" si="11"/>
        <v>0</v>
      </c>
      <c r="AK12" s="19">
        <f>COUNTIFS('LOI and Commissioning Master Sh'!$D:$D,Summary!$A12, 'LOI and Commissioning Master Sh'!$G:$G,AK$1,'LOI and Commissioning Master Sh'!$X:$X,"Yes",'LOI and Commissioning Master Sh'!$H:$H,AK$3,'LOI and Commissioning Master Sh'!$Y:$Y,"Yes")</f>
        <v>0</v>
      </c>
      <c r="AL12" s="19">
        <f>COUNTIFS('LOI and Commissioning Master Sh'!$D:$D,Summary!$A12, 'LOI and Commissioning Master Sh'!$G:$G,AL$1,'LOI and Commissioning Master Sh'!$X:$X,"Yes",'LOI and Commissioning Master Sh'!$H:$H,AL$3,'LOI and Commissioning Master Sh'!$Y:$Y,"Yes")</f>
        <v>0</v>
      </c>
      <c r="AM12" s="19">
        <f t="shared" si="12"/>
        <v>0</v>
      </c>
      <c r="AN12" s="21">
        <f>COUNTIFS('LOI and Commissioning Master Sh'!$D:$D,Summary!$A12, 'LOI and Commissioning Master Sh'!$G:$G,AN$1,'LOI and Commissioning Master Sh'!$X:$X,"Yes",'LOI and Commissioning Master Sh'!$H:$H,AN$3)</f>
        <v>0</v>
      </c>
      <c r="AO12" s="21">
        <f>COUNTIFS('LOI and Commissioning Master Sh'!$D:$D,Summary!$A12, 'LOI and Commissioning Master Sh'!$G:$G,AO$1,'LOI and Commissioning Master Sh'!$X:$X,"Yes",'LOI and Commissioning Master Sh'!$H:$H,AO$3)</f>
        <v>0</v>
      </c>
      <c r="AP12" s="21">
        <f t="shared" si="13"/>
        <v>0</v>
      </c>
      <c r="AQ12" s="21">
        <f>COUNTIFS('LOI and Commissioning Master Sh'!$D:$D,Summary!$A12, 'LOI and Commissioning Master Sh'!$G:$G,AQ$1,'LOI and Commissioning Master Sh'!$X:$X,"Yes",'LOI and Commissioning Master Sh'!$H:$H,AQ$3,'LOI and Commissioning Master Sh'!$AC:$AC,"Yes")</f>
        <v>0</v>
      </c>
      <c r="AR12" s="21">
        <f>COUNTIFS('LOI and Commissioning Master Sh'!$D:$D,Summary!$A12, 'LOI and Commissioning Master Sh'!$G:$G,AR$1,'LOI and Commissioning Master Sh'!$X:$X,"Yes",'LOI and Commissioning Master Sh'!$H:$H,AR$3,'LOI and Commissioning Master Sh'!$AC:$AC,"Yes")</f>
        <v>0</v>
      </c>
      <c r="AS12" s="21">
        <f t="shared" si="14"/>
        <v>0</v>
      </c>
      <c r="AT12" s="21">
        <f>COUNTIFS('LOI and Commissioning Master Sh'!$D:$D,Summary!$A12, 'LOI and Commissioning Master Sh'!$G:$G,AT$1,'LOI and Commissioning Master Sh'!$X:$X,"Yes",'LOI and Commissioning Master Sh'!$H:$H,AT$3,'LOI and Commissioning Master Sh'!$Y:$Y,"Yes")</f>
        <v>0</v>
      </c>
      <c r="AU12" s="21">
        <f>COUNTIFS('LOI and Commissioning Master Sh'!$D:$D,Summary!$A12, 'LOI and Commissioning Master Sh'!$G:$G,AU$1,'LOI and Commissioning Master Sh'!$X:$X,"Yes",'LOI and Commissioning Master Sh'!$H:$H,AU$3,'LOI and Commissioning Master Sh'!$Y:$Y,"Yes")</f>
        <v>0</v>
      </c>
      <c r="AV12" s="21">
        <f t="shared" si="15"/>
        <v>0</v>
      </c>
      <c r="AW12" s="23">
        <f>COUNTIFS('LOI and Commissioning Master Sh'!$D:$D,Summary!$A12, 'LOI and Commissioning Master Sh'!$G:$G,AW$1,'LOI and Commissioning Master Sh'!$X:$X,"Yes",'LOI and Commissioning Master Sh'!$H:$H,AW$3)</f>
        <v>0</v>
      </c>
      <c r="AX12" s="23">
        <f>COUNTIFS('LOI and Commissioning Master Sh'!$D:$D,Summary!$A12, 'LOI and Commissioning Master Sh'!$G:$G,AX$1,'LOI and Commissioning Master Sh'!$X:$X,"Yes",'LOI and Commissioning Master Sh'!$H:$H,AX$3)</f>
        <v>0</v>
      </c>
      <c r="AY12" s="23">
        <f t="shared" si="16"/>
        <v>0</v>
      </c>
      <c r="AZ12" s="23">
        <f>COUNTIFS('LOI and Commissioning Master Sh'!$D:$D,Summary!$A12, 'LOI and Commissioning Master Sh'!$G:$G,AZ$1,'LOI and Commissioning Master Sh'!$X:$X,"Yes",'LOI and Commissioning Master Sh'!$H:$H,AZ$3,'LOI and Commissioning Master Sh'!$AC:$AC,"Yes")</f>
        <v>0</v>
      </c>
      <c r="BA12" s="23">
        <f>COUNTIFS('LOI and Commissioning Master Sh'!$D:$D,Summary!$A12, 'LOI and Commissioning Master Sh'!$G:$G,BA$1,'LOI and Commissioning Master Sh'!$X:$X,"Yes",'LOI and Commissioning Master Sh'!$H:$H,BA$3,'LOI and Commissioning Master Sh'!$AC:$AC,"Yes")</f>
        <v>0</v>
      </c>
      <c r="BB12" s="23">
        <f t="shared" si="17"/>
        <v>0</v>
      </c>
      <c r="BC12" s="23">
        <f>COUNTIFS('LOI and Commissioning Master Sh'!$D:$D,Summary!$A12, 'LOI and Commissioning Master Sh'!$G:$G,BC$1,'LOI and Commissioning Master Sh'!$X:$X,"Yes",'LOI and Commissioning Master Sh'!$H:$H,BC$3,'LOI and Commissioning Master Sh'!$Y:$Y,"Yes")</f>
        <v>0</v>
      </c>
      <c r="BD12" s="23">
        <f>COUNTIFS('LOI and Commissioning Master Sh'!$D:$D,Summary!$A12, 'LOI and Commissioning Master Sh'!$G:$G,BD$1,'LOI and Commissioning Master Sh'!$X:$X,"Yes",'LOI and Commissioning Master Sh'!$H:$H,BD$3,'LOI and Commissioning Master Sh'!$Y:$Y,"Yes")</f>
        <v>0</v>
      </c>
      <c r="BE12" s="23">
        <f t="shared" si="18"/>
        <v>0</v>
      </c>
      <c r="BF12" s="35">
        <f>COUNTIFS('LOI and Commissioning Master Sh'!$D:$D,Summary!$A12,'LOI and Commissioning Master Sh'!$G:$G,Summary!BF$2,'LOI and Commissioning Master Sh'!$H:$H,Summary!BF$3,'LOI and Commissioning Master Sh'!$BW:$BW, "Commissioned")</f>
        <v>0</v>
      </c>
      <c r="BG12" s="35">
        <f>COUNTIFS('LOI and Commissioning Master Sh'!$D:$D,Summary!$A12,'LOI and Commissioning Master Sh'!$G:$G,Summary!BG$2,'LOI and Commissioning Master Sh'!$H:$H,Summary!BG$3,'LOI and Commissioning Master Sh'!$BW:$BW, "Commissioned")</f>
        <v>0</v>
      </c>
      <c r="BH12" s="35">
        <f>COUNTIFS('LOI and Commissioning Master Sh'!$D:$D,Summary!$A12,'LOI and Commissioning Master Sh'!$G:$G,Summary!BH$2,'LOI and Commissioning Master Sh'!$H:$H,Summary!BH$3,'LOI and Commissioning Master Sh'!$BW:$BW, "Commissioned")</f>
        <v>0</v>
      </c>
      <c r="BI12" s="35">
        <f>COUNTIFS('LOI and Commissioning Master Sh'!$D:$D,Summary!$A12,'LOI and Commissioning Master Sh'!$G:$G,Summary!BI$2,'LOI and Commissioning Master Sh'!$H:$H,Summary!BI$3,'LOI and Commissioning Master Sh'!$BW:$BW, "Commissioned")</f>
        <v>0</v>
      </c>
      <c r="BJ12" s="35">
        <f>COUNTIFS('LOI and Commissioning Master Sh'!$D:$D,Summary!$A12,'LOI and Commissioning Master Sh'!$G:$G,Summary!BJ$2,'LOI and Commissioning Master Sh'!$H:$H,Summary!BJ$3,'LOI and Commissioning Master Sh'!$BW:$BW, "Commissioned")</f>
        <v>0</v>
      </c>
      <c r="BK12" s="35">
        <f>COUNTIFS('LOI and Commissioning Master Sh'!$D:$D,Summary!$A12,'LOI and Commissioning Master Sh'!$G:$G,Summary!BK$2,'LOI and Commissioning Master Sh'!$H:$H,Summary!BK$3,'LOI and Commissioning Master Sh'!$BW:$BW, "Commissioned")</f>
        <v>0</v>
      </c>
      <c r="BL12" s="35">
        <f>COUNTIFS('LOI and Commissioning Master Sh'!$D:$D,Summary!$A12,'LOI and Commissioning Master Sh'!$G:$G,Summary!BL$2,'LOI and Commissioning Master Sh'!$H:$H,Summary!BL$3,'LOI and Commissioning Master Sh'!$BW:$BW, "Commissioned")</f>
        <v>0</v>
      </c>
      <c r="BM12" s="35">
        <f>COUNTIFS('LOI and Commissioning Master Sh'!$D:$D,Summary!$A12,'LOI and Commissioning Master Sh'!$G:$G,Summary!BM$2,'LOI and Commissioning Master Sh'!$H:$H,Summary!BM$3,'LOI and Commissioning Master Sh'!$BW:$BW, "Commissioned")</f>
        <v>1</v>
      </c>
      <c r="BN12" s="35">
        <f>COUNTIFS('LOI and Commissioning Master Sh'!$D:$D,Summary!$A12,'LOI and Commissioning Master Sh'!$G:$G,Summary!BN$2,'LOI and Commissioning Master Sh'!$H:$H,Summary!BN$3,'LOI and Commissioning Master Sh'!$BW:$BW, "Commissioned")</f>
        <v>0</v>
      </c>
      <c r="BO12" s="35">
        <f>COUNTIFS('LOI and Commissioning Master Sh'!$D:$D,Summary!$A12,'LOI and Commissioning Master Sh'!$G:$G,Summary!BO$2,'LOI and Commissioning Master Sh'!$H:$H,Summary!BO$3,'LOI and Commissioning Master Sh'!$BW:$BW, "Commissioned")</f>
        <v>0</v>
      </c>
      <c r="BP12" s="35">
        <f>COUNTIFS('LOI and Commissioning Master Sh'!$D:$D,Summary!$A12,'LOI and Commissioning Master Sh'!$G:$G,Summary!BP$2,'LOI and Commissioning Master Sh'!$H:$H,Summary!BP$3,'LOI and Commissioning Master Sh'!$BW:$BW, "Commissioned")</f>
        <v>0</v>
      </c>
      <c r="BQ12" s="35">
        <f>COUNTIFS('LOI and Commissioning Master Sh'!$D:$D,Summary!$A12,'LOI and Commissioning Master Sh'!$G:$G,Summary!BQ$2,'LOI and Commissioning Master Sh'!$H:$H,Summary!BQ$3,'LOI and Commissioning Master Sh'!$BW:$BW, "Commissioned")</f>
        <v>0</v>
      </c>
      <c r="BR12" s="43">
        <f t="shared" si="6"/>
        <v>1</v>
      </c>
    </row>
    <row r="13" spans="1:70" x14ac:dyDescent="0.25">
      <c r="A13" s="86" t="s">
        <v>135</v>
      </c>
      <c r="B13" s="19">
        <f>COUNTIFS('LOI and Commissioning Master Sh'!D:D,Summary!A13)</f>
        <v>31</v>
      </c>
      <c r="C13" s="13">
        <f>COUNTIFS('LOI and Commissioning Master Sh'!$D:$D,Summary!$A13,'LOI and Commissioning Master Sh'!$X:$X,"Yes",'LOI and Commissioning Master Sh'!$H:$H,"A")</f>
        <v>1</v>
      </c>
      <c r="D13" s="13">
        <f>COUNTIFS('LOI and Commissioning Master Sh'!$D:$D,Summary!$A13,'LOI and Commissioning Master Sh'!$X:$X,"Yes",'LOI and Commissioning Master Sh'!$H:$H,"B")</f>
        <v>4</v>
      </c>
      <c r="E13" s="13">
        <f t="shared" si="0"/>
        <v>5</v>
      </c>
      <c r="F13" s="13">
        <f>+COUNTIFS('LOI and Commissioning Master Sh'!$D:$D,Summary!$A13,'LOI and Commissioning Master Sh'!$X:$X, "Yes",'LOI and Commissioning Master Sh'!$BK:$BK, "Yes")</f>
        <v>5</v>
      </c>
      <c r="G13" s="13">
        <f>COUNTIFS('LOI and Commissioning Master Sh'!$D:$D,Summary!$A13,'LOI and Commissioning Master Sh'!$X:$X,"Yes",'LOI and Commissioning Master Sh'!$H:$H,"A",'LOI and Commissioning Master Sh'!$AC:$AC,"Yes")</f>
        <v>1</v>
      </c>
      <c r="H13" s="13">
        <f>COUNTIFS('LOI and Commissioning Master Sh'!$D:$D,Summary!$A13,'LOI and Commissioning Master Sh'!$X:$X,"Yes",'LOI and Commissioning Master Sh'!$H:$H,"B",'LOI and Commissioning Master Sh'!$AC:$AC,"Yes")</f>
        <v>1</v>
      </c>
      <c r="I13" s="267">
        <f t="shared" si="1"/>
        <v>2</v>
      </c>
      <c r="J13" s="13">
        <f>COUNTIFS('LOI and Commissioning Master Sh'!$D:$D,Summary!$A13,'LOI and Commissioning Master Sh'!$X:$X,"Yes",'LOI and Commissioning Master Sh'!$H:$H,"A",'LOI and Commissioning Master Sh'!$Y:$Y,"Yes")</f>
        <v>1</v>
      </c>
      <c r="K13" s="13">
        <f>COUNTIFS('LOI and Commissioning Master Sh'!$D:$D,Summary!$A13,'LOI and Commissioning Master Sh'!$X:$X,"Yes",'LOI and Commissioning Master Sh'!$H:$H,"B",'LOI and Commissioning Master Sh'!$Y:$Y,"Yes")</f>
        <v>2</v>
      </c>
      <c r="L13" s="13">
        <f t="shared" si="2"/>
        <v>3</v>
      </c>
      <c r="M13" s="15">
        <f>COUNTIFS('LOI and Commissioning Master Sh'!$D:$D,Summary!$A13, 'LOI and Commissioning Master Sh'!$G:$G,M$1,'LOI and Commissioning Master Sh'!$X:$X,"Yes",'LOI and Commissioning Master Sh'!$H:$H,M$3)</f>
        <v>0</v>
      </c>
      <c r="N13" s="15">
        <f>COUNTIFS('LOI and Commissioning Master Sh'!$D:$D,Summary!$A13, 'LOI and Commissioning Master Sh'!$G:$G,N$1,'LOI and Commissioning Master Sh'!$X:$X,"Yes",'LOI and Commissioning Master Sh'!$H:$H,N$3)</f>
        <v>0</v>
      </c>
      <c r="O13" s="15">
        <f t="shared" si="3"/>
        <v>0</v>
      </c>
      <c r="P13" s="15">
        <f>COUNTIFS('LOI and Commissioning Master Sh'!$D:$D,Summary!$A13, 'LOI and Commissioning Master Sh'!$G:$G,P$1,'LOI and Commissioning Master Sh'!$X:$X,"Yes",'LOI and Commissioning Master Sh'!$H:$H,P$3,'LOI and Commissioning Master Sh'!$AC:$AC,"Yes")</f>
        <v>0</v>
      </c>
      <c r="Q13" s="15">
        <f>COUNTIFS('LOI and Commissioning Master Sh'!$D:$D,Summary!$A13, 'LOI and Commissioning Master Sh'!$G:$G,Q$1,'LOI and Commissioning Master Sh'!$X:$X,"Yes",'LOI and Commissioning Master Sh'!$H:$H,Q$3,'LOI and Commissioning Master Sh'!$AC:$AC,"Yes")</f>
        <v>0</v>
      </c>
      <c r="R13" s="15">
        <f t="shared" si="4"/>
        <v>0</v>
      </c>
      <c r="S13" s="15">
        <f>COUNTIFS('LOI and Commissioning Master Sh'!$D:$D,Summary!$A13, 'LOI and Commissioning Master Sh'!$G:$G,S$1,'LOI and Commissioning Master Sh'!$X:$X,"Yes",'LOI and Commissioning Master Sh'!$H:$H,S$3,'LOI and Commissioning Master Sh'!$Y:$Y,"Yes")</f>
        <v>0</v>
      </c>
      <c r="T13" s="15">
        <f>COUNTIFS('LOI and Commissioning Master Sh'!$D:$D,Summary!$A13, 'LOI and Commissioning Master Sh'!$G:$G,T$1,'LOI and Commissioning Master Sh'!$X:$X,"Yes",'LOI and Commissioning Master Sh'!$H:$H,T$3,'LOI and Commissioning Master Sh'!$Y:$Y,"Yes")</f>
        <v>0</v>
      </c>
      <c r="U13" s="15">
        <f t="shared" si="5"/>
        <v>0</v>
      </c>
      <c r="V13" s="17">
        <f>COUNTIFS('LOI and Commissioning Master Sh'!$D:$D,Summary!$A13, 'LOI and Commissioning Master Sh'!$G:$G,V$1,'LOI and Commissioning Master Sh'!$X:$X,"Yes",'LOI and Commissioning Master Sh'!$H:$H,V$3)</f>
        <v>1</v>
      </c>
      <c r="W13" s="17">
        <f>COUNTIFS('LOI and Commissioning Master Sh'!$D:$D,Summary!$A13, 'LOI and Commissioning Master Sh'!$G:$G,W$1,'LOI and Commissioning Master Sh'!$X:$X,"Yes",'LOI and Commissioning Master Sh'!$H:$H,W$3)</f>
        <v>3</v>
      </c>
      <c r="X13" s="17">
        <f t="shared" si="7"/>
        <v>4</v>
      </c>
      <c r="Y13" s="17">
        <f>COUNTIFS('LOI and Commissioning Master Sh'!$D:$D,Summary!$A13, 'LOI and Commissioning Master Sh'!$G:$G,Y$1,'LOI and Commissioning Master Sh'!$X:$X,"Yes",'LOI and Commissioning Master Sh'!$H:$H,Y$3,'LOI and Commissioning Master Sh'!$AC:$AC,"Yes")</f>
        <v>1</v>
      </c>
      <c r="Z13" s="17">
        <f>COUNTIFS('LOI and Commissioning Master Sh'!$D:$D,Summary!$A13, 'LOI and Commissioning Master Sh'!$G:$G,Z$1,'LOI and Commissioning Master Sh'!$X:$X,"Yes",'LOI and Commissioning Master Sh'!$H:$H,Z$3,'LOI and Commissioning Master Sh'!$AC:$AC,"Yes")</f>
        <v>0</v>
      </c>
      <c r="AA13" s="17">
        <f t="shared" si="8"/>
        <v>1</v>
      </c>
      <c r="AB13" s="17">
        <f>COUNTIFS('LOI and Commissioning Master Sh'!$D:$D,Summary!$A13, 'LOI and Commissioning Master Sh'!$G:$G,AB$1,'LOI and Commissioning Master Sh'!$X:$X,"Yes",'LOI and Commissioning Master Sh'!$H:$H,AB$3,'LOI and Commissioning Master Sh'!$Y:$Y,"Yes")</f>
        <v>1</v>
      </c>
      <c r="AC13" s="17">
        <f>COUNTIFS('LOI and Commissioning Master Sh'!$D:$D,Summary!$A13, 'LOI and Commissioning Master Sh'!$G:$G,AC$1,'LOI and Commissioning Master Sh'!$X:$X,"Yes",'LOI and Commissioning Master Sh'!$H:$H,AC$3,'LOI and Commissioning Master Sh'!$Y:$Y,"Yes")</f>
        <v>2</v>
      </c>
      <c r="AD13" s="17">
        <f t="shared" si="9"/>
        <v>3</v>
      </c>
      <c r="AE13" s="19">
        <f>COUNTIFS('LOI and Commissioning Master Sh'!$D:$D,Summary!$A13, 'LOI and Commissioning Master Sh'!$G:$G,AE$1,'LOI and Commissioning Master Sh'!$X:$X,"Yes",'LOI and Commissioning Master Sh'!$H:$H,AE$3)</f>
        <v>0</v>
      </c>
      <c r="AF13" s="19">
        <f>COUNTIFS('LOI and Commissioning Master Sh'!$D:$D,Summary!$A13, 'LOI and Commissioning Master Sh'!$G:$G,AF$1,'LOI and Commissioning Master Sh'!$X:$X,"Yes",'LOI and Commissioning Master Sh'!$H:$H,AF$3)</f>
        <v>0</v>
      </c>
      <c r="AG13" s="19">
        <f t="shared" si="10"/>
        <v>0</v>
      </c>
      <c r="AH13" s="19">
        <f>COUNTIFS('LOI and Commissioning Master Sh'!$D:$D,Summary!$A13, 'LOI and Commissioning Master Sh'!$G:$G,AH$1,'LOI and Commissioning Master Sh'!$X:$X,"Yes",'LOI and Commissioning Master Sh'!$H:$H,AH$3,'LOI and Commissioning Master Sh'!$AC:$AC,"Yes")</f>
        <v>0</v>
      </c>
      <c r="AI13" s="19">
        <f>COUNTIFS('LOI and Commissioning Master Sh'!$D:$D,Summary!$A13, 'LOI and Commissioning Master Sh'!$G:$G,AI$1,'LOI and Commissioning Master Sh'!$X:$X,"Yes",'LOI and Commissioning Master Sh'!$H:$H,AI$3,'LOI and Commissioning Master Sh'!$AC:$AC,"Yes")</f>
        <v>0</v>
      </c>
      <c r="AJ13" s="19">
        <f t="shared" si="11"/>
        <v>0</v>
      </c>
      <c r="AK13" s="19">
        <f>COUNTIFS('LOI and Commissioning Master Sh'!$D:$D,Summary!$A13, 'LOI and Commissioning Master Sh'!$G:$G,AK$1,'LOI and Commissioning Master Sh'!$X:$X,"Yes",'LOI and Commissioning Master Sh'!$H:$H,AK$3,'LOI and Commissioning Master Sh'!$Y:$Y,"Yes")</f>
        <v>0</v>
      </c>
      <c r="AL13" s="19">
        <f>COUNTIFS('LOI and Commissioning Master Sh'!$D:$D,Summary!$A13, 'LOI and Commissioning Master Sh'!$G:$G,AL$1,'LOI and Commissioning Master Sh'!$X:$X,"Yes",'LOI and Commissioning Master Sh'!$H:$H,AL$3,'LOI and Commissioning Master Sh'!$Y:$Y,"Yes")</f>
        <v>0</v>
      </c>
      <c r="AM13" s="19">
        <f t="shared" si="12"/>
        <v>0</v>
      </c>
      <c r="AN13" s="21">
        <f>COUNTIFS('LOI and Commissioning Master Sh'!$D:$D,Summary!$A13, 'LOI and Commissioning Master Sh'!$G:$G,AN$1,'LOI and Commissioning Master Sh'!$X:$X,"Yes",'LOI and Commissioning Master Sh'!$H:$H,AN$3)</f>
        <v>0</v>
      </c>
      <c r="AO13" s="21">
        <f>COUNTIFS('LOI and Commissioning Master Sh'!$D:$D,Summary!$A13, 'LOI and Commissioning Master Sh'!$G:$G,AO$1,'LOI and Commissioning Master Sh'!$X:$X,"Yes",'LOI and Commissioning Master Sh'!$H:$H,AO$3)</f>
        <v>0</v>
      </c>
      <c r="AP13" s="21">
        <f t="shared" si="13"/>
        <v>0</v>
      </c>
      <c r="AQ13" s="21">
        <f>COUNTIFS('LOI and Commissioning Master Sh'!$D:$D,Summary!$A13, 'LOI and Commissioning Master Sh'!$G:$G,AQ$1,'LOI and Commissioning Master Sh'!$X:$X,"Yes",'LOI and Commissioning Master Sh'!$H:$H,AQ$3,'LOI and Commissioning Master Sh'!$AC:$AC,"Yes")</f>
        <v>0</v>
      </c>
      <c r="AR13" s="21">
        <f>COUNTIFS('LOI and Commissioning Master Sh'!$D:$D,Summary!$A13, 'LOI and Commissioning Master Sh'!$G:$G,AR$1,'LOI and Commissioning Master Sh'!$X:$X,"Yes",'LOI and Commissioning Master Sh'!$H:$H,AR$3,'LOI and Commissioning Master Sh'!$AC:$AC,"Yes")</f>
        <v>0</v>
      </c>
      <c r="AS13" s="21">
        <f t="shared" si="14"/>
        <v>0</v>
      </c>
      <c r="AT13" s="21">
        <f>COUNTIFS('LOI and Commissioning Master Sh'!$D:$D,Summary!$A13, 'LOI and Commissioning Master Sh'!$G:$G,AT$1,'LOI and Commissioning Master Sh'!$X:$X,"Yes",'LOI and Commissioning Master Sh'!$H:$H,AT$3,'LOI and Commissioning Master Sh'!$Y:$Y,"Yes")</f>
        <v>0</v>
      </c>
      <c r="AU13" s="21">
        <f>COUNTIFS('LOI and Commissioning Master Sh'!$D:$D,Summary!$A13, 'LOI and Commissioning Master Sh'!$G:$G,AU$1,'LOI and Commissioning Master Sh'!$X:$X,"Yes",'LOI and Commissioning Master Sh'!$H:$H,AU$3,'LOI and Commissioning Master Sh'!$Y:$Y,"Yes")</f>
        <v>0</v>
      </c>
      <c r="AV13" s="21">
        <f t="shared" si="15"/>
        <v>0</v>
      </c>
      <c r="AW13" s="23">
        <f>COUNTIFS('LOI and Commissioning Master Sh'!$D:$D,Summary!$A13, 'LOI and Commissioning Master Sh'!$G:$G,AW$1,'LOI and Commissioning Master Sh'!$X:$X,"Yes",'LOI and Commissioning Master Sh'!$H:$H,AW$3)</f>
        <v>0</v>
      </c>
      <c r="AX13" s="23">
        <f>COUNTIFS('LOI and Commissioning Master Sh'!$D:$D,Summary!$A13, 'LOI and Commissioning Master Sh'!$G:$G,AX$1,'LOI and Commissioning Master Sh'!$X:$X,"Yes",'LOI and Commissioning Master Sh'!$H:$H,AX$3)</f>
        <v>1</v>
      </c>
      <c r="AY13" s="23">
        <f t="shared" si="16"/>
        <v>1</v>
      </c>
      <c r="AZ13" s="23">
        <f>COUNTIFS('LOI and Commissioning Master Sh'!$D:$D,Summary!$A13, 'LOI and Commissioning Master Sh'!$G:$G,AZ$1,'LOI and Commissioning Master Sh'!$X:$X,"Yes",'LOI and Commissioning Master Sh'!$H:$H,AZ$3,'LOI and Commissioning Master Sh'!$AC:$AC,"Yes")</f>
        <v>0</v>
      </c>
      <c r="BA13" s="23">
        <f>COUNTIFS('LOI and Commissioning Master Sh'!$D:$D,Summary!$A13, 'LOI and Commissioning Master Sh'!$G:$G,BA$1,'LOI and Commissioning Master Sh'!$X:$X,"Yes",'LOI and Commissioning Master Sh'!$H:$H,BA$3,'LOI and Commissioning Master Sh'!$AC:$AC,"Yes")</f>
        <v>1</v>
      </c>
      <c r="BB13" s="23">
        <f t="shared" si="17"/>
        <v>1</v>
      </c>
      <c r="BC13" s="23">
        <f>COUNTIFS('LOI and Commissioning Master Sh'!$D:$D,Summary!$A13, 'LOI and Commissioning Master Sh'!$G:$G,BC$1,'LOI and Commissioning Master Sh'!$X:$X,"Yes",'LOI and Commissioning Master Sh'!$H:$H,BC$3,'LOI and Commissioning Master Sh'!$Y:$Y,"Yes")</f>
        <v>0</v>
      </c>
      <c r="BD13" s="23">
        <f>COUNTIFS('LOI and Commissioning Master Sh'!$D:$D,Summary!$A13, 'LOI and Commissioning Master Sh'!$G:$G,BD$1,'LOI and Commissioning Master Sh'!$X:$X,"Yes",'LOI and Commissioning Master Sh'!$H:$H,BD$3,'LOI and Commissioning Master Sh'!$Y:$Y,"Yes")</f>
        <v>0</v>
      </c>
      <c r="BE13" s="23">
        <f t="shared" si="18"/>
        <v>0</v>
      </c>
      <c r="BF13" s="35">
        <f>COUNTIFS('LOI and Commissioning Master Sh'!$D:$D,Summary!$A13,'LOI and Commissioning Master Sh'!$G:$G,Summary!BF$2,'LOI and Commissioning Master Sh'!$H:$H,Summary!BF$3,'LOI and Commissioning Master Sh'!$BW:$BW, "Commissioned")</f>
        <v>0</v>
      </c>
      <c r="BG13" s="35">
        <f>COUNTIFS('LOI and Commissioning Master Sh'!$D:$D,Summary!$A13,'LOI and Commissioning Master Sh'!$G:$G,Summary!BG$2,'LOI and Commissioning Master Sh'!$H:$H,Summary!BG$3,'LOI and Commissioning Master Sh'!$BW:$BW, "Commissioned")</f>
        <v>0</v>
      </c>
      <c r="BH13" s="35">
        <f>COUNTIFS('LOI and Commissioning Master Sh'!$D:$D,Summary!$A13,'LOI and Commissioning Master Sh'!$G:$G,Summary!BH$2,'LOI and Commissioning Master Sh'!$H:$H,Summary!BH$3,'LOI and Commissioning Master Sh'!$BW:$BW, "Commissioned")</f>
        <v>0</v>
      </c>
      <c r="BI13" s="35">
        <f>COUNTIFS('LOI and Commissioning Master Sh'!$D:$D,Summary!$A13,'LOI and Commissioning Master Sh'!$G:$G,Summary!BI$2,'LOI and Commissioning Master Sh'!$H:$H,Summary!BI$3,'LOI and Commissioning Master Sh'!$BW:$BW, "Commissioned")</f>
        <v>0</v>
      </c>
      <c r="BJ13" s="35">
        <f>COUNTIFS('LOI and Commissioning Master Sh'!$D:$D,Summary!$A13,'LOI and Commissioning Master Sh'!$G:$G,Summary!BJ$2,'LOI and Commissioning Master Sh'!$H:$H,Summary!BJ$3,'LOI and Commissioning Master Sh'!$BW:$BW, "Commissioned")</f>
        <v>0</v>
      </c>
      <c r="BK13" s="35">
        <f>COUNTIFS('LOI and Commissioning Master Sh'!$D:$D,Summary!$A13,'LOI and Commissioning Master Sh'!$G:$G,Summary!BK$2,'LOI and Commissioning Master Sh'!$H:$H,Summary!BK$3,'LOI and Commissioning Master Sh'!$BW:$BW, "Commissioned")</f>
        <v>0</v>
      </c>
      <c r="BL13" s="35">
        <f>COUNTIFS('LOI and Commissioning Master Sh'!$D:$D,Summary!$A13,'LOI and Commissioning Master Sh'!$G:$G,Summary!BL$2,'LOI and Commissioning Master Sh'!$H:$H,Summary!BL$3,'LOI and Commissioning Master Sh'!$BW:$BW, "Commissioned")</f>
        <v>0</v>
      </c>
      <c r="BM13" s="35">
        <f>COUNTIFS('LOI and Commissioning Master Sh'!$D:$D,Summary!$A13,'LOI and Commissioning Master Sh'!$G:$G,Summary!BM$2,'LOI and Commissioning Master Sh'!$H:$H,Summary!BM$3,'LOI and Commissioning Master Sh'!$BW:$BW, "Commissioned")</f>
        <v>0</v>
      </c>
      <c r="BN13" s="35">
        <f>COUNTIFS('LOI and Commissioning Master Sh'!$D:$D,Summary!$A13,'LOI and Commissioning Master Sh'!$G:$G,Summary!BN$2,'LOI and Commissioning Master Sh'!$H:$H,Summary!BN$3,'LOI and Commissioning Master Sh'!$BW:$BW, "Commissioned")</f>
        <v>0</v>
      </c>
      <c r="BO13" s="35">
        <f>COUNTIFS('LOI and Commissioning Master Sh'!$D:$D,Summary!$A13,'LOI and Commissioning Master Sh'!$G:$G,Summary!BO$2,'LOI and Commissioning Master Sh'!$H:$H,Summary!BO$3,'LOI and Commissioning Master Sh'!$BW:$BW, "Commissioned")</f>
        <v>0</v>
      </c>
      <c r="BP13" s="35">
        <f>COUNTIFS('LOI and Commissioning Master Sh'!$D:$D,Summary!$A13,'LOI and Commissioning Master Sh'!$G:$G,Summary!BP$2,'LOI and Commissioning Master Sh'!$H:$H,Summary!BP$3,'LOI and Commissioning Master Sh'!$BW:$BW, "Commissioned")</f>
        <v>0</v>
      </c>
      <c r="BQ13" s="35">
        <f>COUNTIFS('LOI and Commissioning Master Sh'!$D:$D,Summary!$A13,'LOI and Commissioning Master Sh'!$G:$G,Summary!BQ$2,'LOI and Commissioning Master Sh'!$H:$H,Summary!BQ$3,'LOI and Commissioning Master Sh'!$BW:$BW, "Commissioned")</f>
        <v>1</v>
      </c>
      <c r="BR13" s="43">
        <f t="shared" si="6"/>
        <v>1</v>
      </c>
    </row>
    <row r="14" spans="1:70" x14ac:dyDescent="0.25">
      <c r="A14" s="86" t="s">
        <v>195</v>
      </c>
      <c r="B14" s="19">
        <f>COUNTIFS('LOI and Commissioning Master Sh'!D:D,Summary!A14)</f>
        <v>16</v>
      </c>
      <c r="C14" s="13">
        <f>COUNTIFS('LOI and Commissioning Master Sh'!$D:$D,Summary!$A14,'LOI and Commissioning Master Sh'!$X:$X,"Yes",'LOI and Commissioning Master Sh'!$H:$H,"A")</f>
        <v>4</v>
      </c>
      <c r="D14" s="13">
        <f>COUNTIFS('LOI and Commissioning Master Sh'!$D:$D,Summary!$A14,'LOI and Commissioning Master Sh'!$X:$X,"Yes",'LOI and Commissioning Master Sh'!$H:$H,"B")</f>
        <v>2</v>
      </c>
      <c r="E14" s="13">
        <f t="shared" si="0"/>
        <v>6</v>
      </c>
      <c r="F14" s="13">
        <f>+COUNTIFS('LOI and Commissioning Master Sh'!$D:$D,Summary!$A14,'LOI and Commissioning Master Sh'!$X:$X, "Yes",'LOI and Commissioning Master Sh'!$BK:$BK, "Yes")</f>
        <v>4</v>
      </c>
      <c r="G14" s="13">
        <f>COUNTIFS('LOI and Commissioning Master Sh'!$D:$D,Summary!$A14,'LOI and Commissioning Master Sh'!$X:$X,"Yes",'LOI and Commissioning Master Sh'!$H:$H,"A",'LOI and Commissioning Master Sh'!$AC:$AC,"Yes")</f>
        <v>0</v>
      </c>
      <c r="H14" s="13">
        <f>COUNTIFS('LOI and Commissioning Master Sh'!$D:$D,Summary!$A14,'LOI and Commissioning Master Sh'!$X:$X,"Yes",'LOI and Commissioning Master Sh'!$H:$H,"B",'LOI and Commissioning Master Sh'!$AC:$AC,"Yes")</f>
        <v>0</v>
      </c>
      <c r="I14" s="267">
        <f t="shared" si="1"/>
        <v>0</v>
      </c>
      <c r="J14" s="13">
        <f>COUNTIFS('LOI and Commissioning Master Sh'!$D:$D,Summary!$A14,'LOI and Commissioning Master Sh'!$X:$X,"Yes",'LOI and Commissioning Master Sh'!$H:$H,"A",'LOI and Commissioning Master Sh'!$Y:$Y,"Yes")</f>
        <v>2</v>
      </c>
      <c r="K14" s="13">
        <f>COUNTIFS('LOI and Commissioning Master Sh'!$D:$D,Summary!$A14,'LOI and Commissioning Master Sh'!$X:$X,"Yes",'LOI and Commissioning Master Sh'!$H:$H,"B",'LOI and Commissioning Master Sh'!$Y:$Y,"Yes")</f>
        <v>1</v>
      </c>
      <c r="L14" s="13">
        <f t="shared" si="2"/>
        <v>3</v>
      </c>
      <c r="M14" s="15">
        <f>COUNTIFS('LOI and Commissioning Master Sh'!$D:$D,Summary!$A14, 'LOI and Commissioning Master Sh'!$G:$G,M$1,'LOI and Commissioning Master Sh'!$X:$X,"Yes",'LOI and Commissioning Master Sh'!$H:$H,M$3)</f>
        <v>0</v>
      </c>
      <c r="N14" s="15">
        <f>COUNTIFS('LOI and Commissioning Master Sh'!$D:$D,Summary!$A14, 'LOI and Commissioning Master Sh'!$G:$G,N$1,'LOI and Commissioning Master Sh'!$X:$X,"Yes",'LOI and Commissioning Master Sh'!$H:$H,N$3)</f>
        <v>0</v>
      </c>
      <c r="O14" s="15">
        <f t="shared" si="3"/>
        <v>0</v>
      </c>
      <c r="P14" s="15">
        <f>COUNTIFS('LOI and Commissioning Master Sh'!$D:$D,Summary!$A14, 'LOI and Commissioning Master Sh'!$G:$G,P$1,'LOI and Commissioning Master Sh'!$X:$X,"Yes",'LOI and Commissioning Master Sh'!$H:$H,P$3,'LOI and Commissioning Master Sh'!$AC:$AC,"Yes")</f>
        <v>0</v>
      </c>
      <c r="Q14" s="15">
        <f>COUNTIFS('LOI and Commissioning Master Sh'!$D:$D,Summary!$A14, 'LOI and Commissioning Master Sh'!$G:$G,Q$1,'LOI and Commissioning Master Sh'!$X:$X,"Yes",'LOI and Commissioning Master Sh'!$H:$H,Q$3,'LOI and Commissioning Master Sh'!$AC:$AC,"Yes")</f>
        <v>0</v>
      </c>
      <c r="R14" s="15">
        <f t="shared" si="4"/>
        <v>0</v>
      </c>
      <c r="S14" s="15">
        <f>COUNTIFS('LOI and Commissioning Master Sh'!$D:$D,Summary!$A14, 'LOI and Commissioning Master Sh'!$G:$G,S$1,'LOI and Commissioning Master Sh'!$X:$X,"Yes",'LOI and Commissioning Master Sh'!$H:$H,S$3,'LOI and Commissioning Master Sh'!$Y:$Y,"Yes")</f>
        <v>0</v>
      </c>
      <c r="T14" s="15">
        <f>COUNTIFS('LOI and Commissioning Master Sh'!$D:$D,Summary!$A14, 'LOI and Commissioning Master Sh'!$G:$G,T$1,'LOI and Commissioning Master Sh'!$X:$X,"Yes",'LOI and Commissioning Master Sh'!$H:$H,T$3,'LOI and Commissioning Master Sh'!$Y:$Y,"Yes")</f>
        <v>0</v>
      </c>
      <c r="U14" s="15">
        <f t="shared" si="5"/>
        <v>0</v>
      </c>
      <c r="V14" s="17">
        <f>COUNTIFS('LOI and Commissioning Master Sh'!$D:$D,Summary!$A14, 'LOI and Commissioning Master Sh'!$G:$G,V$1,'LOI and Commissioning Master Sh'!$X:$X,"Yes",'LOI and Commissioning Master Sh'!$H:$H,V$3)</f>
        <v>1</v>
      </c>
      <c r="W14" s="17">
        <f>COUNTIFS('LOI and Commissioning Master Sh'!$D:$D,Summary!$A14, 'LOI and Commissioning Master Sh'!$G:$G,W$1,'LOI and Commissioning Master Sh'!$X:$X,"Yes",'LOI and Commissioning Master Sh'!$H:$H,W$3)</f>
        <v>2</v>
      </c>
      <c r="X14" s="17">
        <f t="shared" si="7"/>
        <v>3</v>
      </c>
      <c r="Y14" s="17">
        <f>COUNTIFS('LOI and Commissioning Master Sh'!$D:$D,Summary!$A14, 'LOI and Commissioning Master Sh'!$G:$G,Y$1,'LOI and Commissioning Master Sh'!$X:$X,"Yes",'LOI and Commissioning Master Sh'!$H:$H,Y$3,'LOI and Commissioning Master Sh'!$AC:$AC,"Yes")</f>
        <v>0</v>
      </c>
      <c r="Z14" s="17">
        <f>COUNTIFS('LOI and Commissioning Master Sh'!$D:$D,Summary!$A14, 'LOI and Commissioning Master Sh'!$G:$G,Z$1,'LOI and Commissioning Master Sh'!$X:$X,"Yes",'LOI and Commissioning Master Sh'!$H:$H,Z$3,'LOI and Commissioning Master Sh'!$AC:$AC,"Yes")</f>
        <v>0</v>
      </c>
      <c r="AA14" s="17">
        <f t="shared" si="8"/>
        <v>0</v>
      </c>
      <c r="AB14" s="17">
        <f>COUNTIFS('LOI and Commissioning Master Sh'!$D:$D,Summary!$A14, 'LOI and Commissioning Master Sh'!$G:$G,AB$1,'LOI and Commissioning Master Sh'!$X:$X,"Yes",'LOI and Commissioning Master Sh'!$H:$H,AB$3,'LOI and Commissioning Master Sh'!$Y:$Y,"Yes")</f>
        <v>0</v>
      </c>
      <c r="AC14" s="17">
        <f>COUNTIFS('LOI and Commissioning Master Sh'!$D:$D,Summary!$A14, 'LOI and Commissioning Master Sh'!$G:$G,AC$1,'LOI and Commissioning Master Sh'!$X:$X,"Yes",'LOI and Commissioning Master Sh'!$H:$H,AC$3,'LOI and Commissioning Master Sh'!$Y:$Y,"Yes")</f>
        <v>1</v>
      </c>
      <c r="AD14" s="17">
        <f t="shared" si="9"/>
        <v>1</v>
      </c>
      <c r="AE14" s="19">
        <f>COUNTIFS('LOI and Commissioning Master Sh'!$D:$D,Summary!$A14, 'LOI and Commissioning Master Sh'!$G:$G,AE$1,'LOI and Commissioning Master Sh'!$X:$X,"Yes",'LOI and Commissioning Master Sh'!$H:$H,AE$3)</f>
        <v>2</v>
      </c>
      <c r="AF14" s="19">
        <f>COUNTIFS('LOI and Commissioning Master Sh'!$D:$D,Summary!$A14, 'LOI and Commissioning Master Sh'!$G:$G,AF$1,'LOI and Commissioning Master Sh'!$X:$X,"Yes",'LOI and Commissioning Master Sh'!$H:$H,AF$3)</f>
        <v>0</v>
      </c>
      <c r="AG14" s="19">
        <f t="shared" si="10"/>
        <v>2</v>
      </c>
      <c r="AH14" s="19">
        <f>COUNTIFS('LOI and Commissioning Master Sh'!$D:$D,Summary!$A14, 'LOI and Commissioning Master Sh'!$G:$G,AH$1,'LOI and Commissioning Master Sh'!$X:$X,"Yes",'LOI and Commissioning Master Sh'!$H:$H,AH$3,'LOI and Commissioning Master Sh'!$AC:$AC,"Yes")</f>
        <v>0</v>
      </c>
      <c r="AI14" s="19">
        <f>COUNTIFS('LOI and Commissioning Master Sh'!$D:$D,Summary!$A14, 'LOI and Commissioning Master Sh'!$G:$G,AI$1,'LOI and Commissioning Master Sh'!$X:$X,"Yes",'LOI and Commissioning Master Sh'!$H:$H,AI$3,'LOI and Commissioning Master Sh'!$AC:$AC,"Yes")</f>
        <v>0</v>
      </c>
      <c r="AJ14" s="19">
        <f t="shared" si="11"/>
        <v>0</v>
      </c>
      <c r="AK14" s="19">
        <f>COUNTIFS('LOI and Commissioning Master Sh'!$D:$D,Summary!$A14, 'LOI and Commissioning Master Sh'!$G:$G,AK$1,'LOI and Commissioning Master Sh'!$X:$X,"Yes",'LOI and Commissioning Master Sh'!$H:$H,AK$3,'LOI and Commissioning Master Sh'!$Y:$Y,"Yes")</f>
        <v>1</v>
      </c>
      <c r="AL14" s="19">
        <f>COUNTIFS('LOI and Commissioning Master Sh'!$D:$D,Summary!$A14, 'LOI and Commissioning Master Sh'!$G:$G,AL$1,'LOI and Commissioning Master Sh'!$X:$X,"Yes",'LOI and Commissioning Master Sh'!$H:$H,AL$3,'LOI and Commissioning Master Sh'!$Y:$Y,"Yes")</f>
        <v>0</v>
      </c>
      <c r="AM14" s="19">
        <f t="shared" si="12"/>
        <v>1</v>
      </c>
      <c r="AN14" s="21">
        <f>COUNTIFS('LOI and Commissioning Master Sh'!$D:$D,Summary!$A14, 'LOI and Commissioning Master Sh'!$G:$G,AN$1,'LOI and Commissioning Master Sh'!$X:$X,"Yes",'LOI and Commissioning Master Sh'!$H:$H,AN$3)</f>
        <v>0</v>
      </c>
      <c r="AO14" s="21">
        <f>COUNTIFS('LOI and Commissioning Master Sh'!$D:$D,Summary!$A14, 'LOI and Commissioning Master Sh'!$G:$G,AO$1,'LOI and Commissioning Master Sh'!$X:$X,"Yes",'LOI and Commissioning Master Sh'!$H:$H,AO$3)</f>
        <v>0</v>
      </c>
      <c r="AP14" s="21">
        <f t="shared" si="13"/>
        <v>0</v>
      </c>
      <c r="AQ14" s="21">
        <f>COUNTIFS('LOI and Commissioning Master Sh'!$D:$D,Summary!$A14, 'LOI and Commissioning Master Sh'!$G:$G,AQ$1,'LOI and Commissioning Master Sh'!$X:$X,"Yes",'LOI and Commissioning Master Sh'!$H:$H,AQ$3,'LOI and Commissioning Master Sh'!$AC:$AC,"Yes")</f>
        <v>0</v>
      </c>
      <c r="AR14" s="21">
        <f>COUNTIFS('LOI and Commissioning Master Sh'!$D:$D,Summary!$A14, 'LOI and Commissioning Master Sh'!$G:$G,AR$1,'LOI and Commissioning Master Sh'!$X:$X,"Yes",'LOI and Commissioning Master Sh'!$H:$H,AR$3,'LOI and Commissioning Master Sh'!$AC:$AC,"Yes")</f>
        <v>0</v>
      </c>
      <c r="AS14" s="21">
        <f t="shared" si="14"/>
        <v>0</v>
      </c>
      <c r="AT14" s="21">
        <f>COUNTIFS('LOI and Commissioning Master Sh'!$D:$D,Summary!$A14, 'LOI and Commissioning Master Sh'!$G:$G,AT$1,'LOI and Commissioning Master Sh'!$X:$X,"Yes",'LOI and Commissioning Master Sh'!$H:$H,AT$3,'LOI and Commissioning Master Sh'!$Y:$Y,"Yes")</f>
        <v>0</v>
      </c>
      <c r="AU14" s="21">
        <f>COUNTIFS('LOI and Commissioning Master Sh'!$D:$D,Summary!$A14, 'LOI and Commissioning Master Sh'!$G:$G,AU$1,'LOI and Commissioning Master Sh'!$X:$X,"Yes",'LOI and Commissioning Master Sh'!$H:$H,AU$3,'LOI and Commissioning Master Sh'!$Y:$Y,"Yes")</f>
        <v>0</v>
      </c>
      <c r="AV14" s="21">
        <f t="shared" si="15"/>
        <v>0</v>
      </c>
      <c r="AW14" s="23">
        <f>COUNTIFS('LOI and Commissioning Master Sh'!$D:$D,Summary!$A14, 'LOI and Commissioning Master Sh'!$G:$G,AW$1,'LOI and Commissioning Master Sh'!$X:$X,"Yes",'LOI and Commissioning Master Sh'!$H:$H,AW$3)</f>
        <v>1</v>
      </c>
      <c r="AX14" s="23">
        <f>COUNTIFS('LOI and Commissioning Master Sh'!$D:$D,Summary!$A14, 'LOI and Commissioning Master Sh'!$G:$G,AX$1,'LOI and Commissioning Master Sh'!$X:$X,"Yes",'LOI and Commissioning Master Sh'!$H:$H,AX$3)</f>
        <v>0</v>
      </c>
      <c r="AY14" s="23">
        <f t="shared" si="16"/>
        <v>1</v>
      </c>
      <c r="AZ14" s="23">
        <f>COUNTIFS('LOI and Commissioning Master Sh'!$D:$D,Summary!$A14, 'LOI and Commissioning Master Sh'!$G:$G,AZ$1,'LOI and Commissioning Master Sh'!$X:$X,"Yes",'LOI and Commissioning Master Sh'!$H:$H,AZ$3,'LOI and Commissioning Master Sh'!$AC:$AC,"Yes")</f>
        <v>0</v>
      </c>
      <c r="BA14" s="23">
        <f>COUNTIFS('LOI and Commissioning Master Sh'!$D:$D,Summary!$A14, 'LOI and Commissioning Master Sh'!$G:$G,BA$1,'LOI and Commissioning Master Sh'!$X:$X,"Yes",'LOI and Commissioning Master Sh'!$H:$H,BA$3,'LOI and Commissioning Master Sh'!$AC:$AC,"Yes")</f>
        <v>0</v>
      </c>
      <c r="BB14" s="23">
        <f t="shared" si="17"/>
        <v>0</v>
      </c>
      <c r="BC14" s="23">
        <f>COUNTIFS('LOI and Commissioning Master Sh'!$D:$D,Summary!$A14, 'LOI and Commissioning Master Sh'!$G:$G,BC$1,'LOI and Commissioning Master Sh'!$X:$X,"Yes",'LOI and Commissioning Master Sh'!$H:$H,BC$3,'LOI and Commissioning Master Sh'!$Y:$Y,"Yes")</f>
        <v>1</v>
      </c>
      <c r="BD14" s="23">
        <f>COUNTIFS('LOI and Commissioning Master Sh'!$D:$D,Summary!$A14, 'LOI and Commissioning Master Sh'!$G:$G,BD$1,'LOI and Commissioning Master Sh'!$X:$X,"Yes",'LOI and Commissioning Master Sh'!$H:$H,BD$3,'LOI and Commissioning Master Sh'!$Y:$Y,"Yes")</f>
        <v>0</v>
      </c>
      <c r="BE14" s="23">
        <f t="shared" si="18"/>
        <v>1</v>
      </c>
      <c r="BF14" s="35">
        <f>COUNTIFS('LOI and Commissioning Master Sh'!$D:$D,Summary!$A14,'LOI and Commissioning Master Sh'!$G:$G,Summary!BF$2,'LOI and Commissioning Master Sh'!$H:$H,Summary!BF$3,'LOI and Commissioning Master Sh'!$BW:$BW, "Commissioned")</f>
        <v>0</v>
      </c>
      <c r="BG14" s="35">
        <f>COUNTIFS('LOI and Commissioning Master Sh'!$D:$D,Summary!$A14,'LOI and Commissioning Master Sh'!$G:$G,Summary!BG$2,'LOI and Commissioning Master Sh'!$H:$H,Summary!BG$3,'LOI and Commissioning Master Sh'!$BW:$BW, "Commissioned")</f>
        <v>0</v>
      </c>
      <c r="BH14" s="35">
        <f>COUNTIFS('LOI and Commissioning Master Sh'!$D:$D,Summary!$A14,'LOI and Commissioning Master Sh'!$G:$G,Summary!BH$2,'LOI and Commissioning Master Sh'!$H:$H,Summary!BH$3,'LOI and Commissioning Master Sh'!$BW:$BW, "Commissioned")</f>
        <v>0</v>
      </c>
      <c r="BI14" s="35">
        <f>COUNTIFS('LOI and Commissioning Master Sh'!$D:$D,Summary!$A14,'LOI and Commissioning Master Sh'!$G:$G,Summary!BI$2,'LOI and Commissioning Master Sh'!$H:$H,Summary!BI$3,'LOI and Commissioning Master Sh'!$BW:$BW, "Commissioned")</f>
        <v>0</v>
      </c>
      <c r="BJ14" s="35">
        <f>COUNTIFS('LOI and Commissioning Master Sh'!$D:$D,Summary!$A14,'LOI and Commissioning Master Sh'!$G:$G,Summary!BJ$2,'LOI and Commissioning Master Sh'!$H:$H,Summary!BJ$3,'LOI and Commissioning Master Sh'!$BW:$BW, "Commissioned")</f>
        <v>0</v>
      </c>
      <c r="BK14" s="35">
        <f>COUNTIFS('LOI and Commissioning Master Sh'!$D:$D,Summary!$A14,'LOI and Commissioning Master Sh'!$G:$G,Summary!BK$2,'LOI and Commissioning Master Sh'!$H:$H,Summary!BK$3,'LOI and Commissioning Master Sh'!$BW:$BW, "Commissioned")</f>
        <v>0</v>
      </c>
      <c r="BL14" s="35">
        <f>COUNTIFS('LOI and Commissioning Master Sh'!$D:$D,Summary!$A14,'LOI and Commissioning Master Sh'!$G:$G,Summary!BL$2,'LOI and Commissioning Master Sh'!$H:$H,Summary!BL$3,'LOI and Commissioning Master Sh'!$BW:$BW, "Commissioned")</f>
        <v>0</v>
      </c>
      <c r="BM14" s="35">
        <f>COUNTIFS('LOI and Commissioning Master Sh'!$D:$D,Summary!$A14,'LOI and Commissioning Master Sh'!$G:$G,Summary!BM$2,'LOI and Commissioning Master Sh'!$H:$H,Summary!BM$3,'LOI and Commissioning Master Sh'!$BW:$BW, "Commissioned")</f>
        <v>0</v>
      </c>
      <c r="BN14" s="35">
        <f>COUNTIFS('LOI and Commissioning Master Sh'!$D:$D,Summary!$A14,'LOI and Commissioning Master Sh'!$G:$G,Summary!BN$2,'LOI and Commissioning Master Sh'!$H:$H,Summary!BN$3,'LOI and Commissioning Master Sh'!$BW:$BW, "Commissioned")</f>
        <v>0</v>
      </c>
      <c r="BO14" s="35">
        <f>COUNTIFS('LOI and Commissioning Master Sh'!$D:$D,Summary!$A14,'LOI and Commissioning Master Sh'!$G:$G,Summary!BO$2,'LOI and Commissioning Master Sh'!$H:$H,Summary!BO$3,'LOI and Commissioning Master Sh'!$BW:$BW, "Commissioned")</f>
        <v>0</v>
      </c>
      <c r="BP14" s="35">
        <f>COUNTIFS('LOI and Commissioning Master Sh'!$D:$D,Summary!$A14,'LOI and Commissioning Master Sh'!$G:$G,Summary!BP$2,'LOI and Commissioning Master Sh'!$H:$H,Summary!BP$3,'LOI and Commissioning Master Sh'!$BW:$BW, "Commissioned")</f>
        <v>0</v>
      </c>
      <c r="BQ14" s="35">
        <f>COUNTIFS('LOI and Commissioning Master Sh'!$D:$D,Summary!$A14,'LOI and Commissioning Master Sh'!$G:$G,Summary!BQ$2,'LOI and Commissioning Master Sh'!$H:$H,Summary!BQ$3,'LOI and Commissioning Master Sh'!$BW:$BW, "Commissioned")</f>
        <v>0</v>
      </c>
      <c r="BR14" s="43">
        <f t="shared" si="6"/>
        <v>0</v>
      </c>
    </row>
    <row r="15" spans="1:70" s="12" customFormat="1" x14ac:dyDescent="0.25">
      <c r="A15" s="87"/>
      <c r="B15" s="20">
        <f>SUM(B4:B14)</f>
        <v>267</v>
      </c>
      <c r="C15" s="14">
        <f t="shared" ref="C15" si="19">SUM(C4:C14)</f>
        <v>35</v>
      </c>
      <c r="D15" s="14">
        <f t="shared" ref="D15" si="20">SUM(D4:D14)</f>
        <v>40</v>
      </c>
      <c r="E15" s="13">
        <f t="shared" si="0"/>
        <v>75</v>
      </c>
      <c r="F15" s="13">
        <f>SUM(F4:F14)</f>
        <v>66</v>
      </c>
      <c r="G15" s="14">
        <f t="shared" ref="G15" si="21">SUM(G4:G14)</f>
        <v>7</v>
      </c>
      <c r="H15" s="14">
        <f t="shared" ref="H15" si="22">SUM(H4:H14)</f>
        <v>4</v>
      </c>
      <c r="I15" s="267">
        <f t="shared" si="1"/>
        <v>11</v>
      </c>
      <c r="J15" s="14">
        <f t="shared" ref="J15" si="23">SUM(J4:J14)</f>
        <v>11</v>
      </c>
      <c r="K15" s="14">
        <f t="shared" ref="K15" si="24">SUM(K4:K14)</f>
        <v>15</v>
      </c>
      <c r="L15" s="13">
        <f t="shared" si="2"/>
        <v>26</v>
      </c>
      <c r="M15" s="16">
        <f t="shared" ref="M15" si="25">SUM(M4:M14)</f>
        <v>6</v>
      </c>
      <c r="N15" s="16">
        <f t="shared" ref="N15" si="26">SUM(N4:N14)</f>
        <v>2</v>
      </c>
      <c r="O15" s="16">
        <f t="shared" si="3"/>
        <v>8</v>
      </c>
      <c r="P15" s="16">
        <f t="shared" ref="P15" si="27">SUM(P4:P14)</f>
        <v>1</v>
      </c>
      <c r="Q15" s="16">
        <f t="shared" ref="Q15" si="28">SUM(Q4:Q14)</f>
        <v>0</v>
      </c>
      <c r="R15" s="16">
        <f t="shared" si="4"/>
        <v>1</v>
      </c>
      <c r="S15" s="16">
        <f t="shared" ref="S15" si="29">SUM(S4:S14)</f>
        <v>2</v>
      </c>
      <c r="T15" s="16">
        <f t="shared" ref="T15" si="30">SUM(T4:T14)</f>
        <v>1</v>
      </c>
      <c r="U15" s="16">
        <f t="shared" si="5"/>
        <v>3</v>
      </c>
      <c r="V15" s="18">
        <f t="shared" ref="V15:AC15" si="31">SUM(V4:V14)</f>
        <v>18</v>
      </c>
      <c r="W15" s="18">
        <f t="shared" si="31"/>
        <v>21</v>
      </c>
      <c r="X15" s="17">
        <f t="shared" si="7"/>
        <v>39</v>
      </c>
      <c r="Y15" s="18">
        <f t="shared" si="31"/>
        <v>2</v>
      </c>
      <c r="Z15" s="18">
        <f t="shared" si="31"/>
        <v>1</v>
      </c>
      <c r="AA15" s="17">
        <f t="shared" si="8"/>
        <v>3</v>
      </c>
      <c r="AB15" s="18">
        <f t="shared" si="31"/>
        <v>5</v>
      </c>
      <c r="AC15" s="18">
        <f t="shared" si="31"/>
        <v>10</v>
      </c>
      <c r="AD15" s="17">
        <f t="shared" si="9"/>
        <v>15</v>
      </c>
      <c r="AE15" s="20">
        <f>SUM(AE4:AE14)</f>
        <v>8</v>
      </c>
      <c r="AF15" s="20">
        <f t="shared" ref="AF15:BD15" si="32">SUM(AF4:AF14)</f>
        <v>9</v>
      </c>
      <c r="AG15" s="20">
        <f t="shared" si="10"/>
        <v>17</v>
      </c>
      <c r="AH15" s="20">
        <f t="shared" si="32"/>
        <v>3</v>
      </c>
      <c r="AI15" s="20">
        <f t="shared" si="32"/>
        <v>1</v>
      </c>
      <c r="AJ15" s="20">
        <f t="shared" si="11"/>
        <v>4</v>
      </c>
      <c r="AK15" s="20">
        <f t="shared" si="32"/>
        <v>2</v>
      </c>
      <c r="AL15" s="20">
        <f t="shared" si="32"/>
        <v>3</v>
      </c>
      <c r="AM15" s="20">
        <f t="shared" si="12"/>
        <v>5</v>
      </c>
      <c r="AN15" s="22">
        <f t="shared" si="32"/>
        <v>0</v>
      </c>
      <c r="AO15" s="22">
        <f t="shared" si="32"/>
        <v>0</v>
      </c>
      <c r="AP15" s="22">
        <f t="shared" si="13"/>
        <v>0</v>
      </c>
      <c r="AQ15" s="22">
        <f t="shared" si="32"/>
        <v>0</v>
      </c>
      <c r="AR15" s="22">
        <f t="shared" si="32"/>
        <v>0</v>
      </c>
      <c r="AS15" s="22">
        <f t="shared" si="14"/>
        <v>0</v>
      </c>
      <c r="AT15" s="22">
        <f t="shared" si="32"/>
        <v>0</v>
      </c>
      <c r="AU15" s="22">
        <f t="shared" si="32"/>
        <v>0</v>
      </c>
      <c r="AV15" s="22">
        <f t="shared" si="15"/>
        <v>0</v>
      </c>
      <c r="AW15" s="24">
        <f t="shared" si="32"/>
        <v>3</v>
      </c>
      <c r="AX15" s="24">
        <f t="shared" si="32"/>
        <v>8</v>
      </c>
      <c r="AY15" s="23">
        <f t="shared" si="16"/>
        <v>11</v>
      </c>
      <c r="AZ15" s="24">
        <f t="shared" si="32"/>
        <v>1</v>
      </c>
      <c r="BA15" s="24">
        <f t="shared" si="32"/>
        <v>2</v>
      </c>
      <c r="BB15" s="23">
        <f t="shared" si="17"/>
        <v>3</v>
      </c>
      <c r="BC15" s="24">
        <f t="shared" si="32"/>
        <v>2</v>
      </c>
      <c r="BD15" s="24">
        <f t="shared" si="32"/>
        <v>1</v>
      </c>
      <c r="BE15" s="23">
        <f t="shared" si="18"/>
        <v>3</v>
      </c>
      <c r="BF15" s="36">
        <f>SUM(BF4:BF14)</f>
        <v>1</v>
      </c>
      <c r="BG15" s="36">
        <f t="shared" ref="BG15:BQ15" si="33">SUM(BG4:BG14)</f>
        <v>0</v>
      </c>
      <c r="BH15" s="36">
        <f t="shared" si="33"/>
        <v>0</v>
      </c>
      <c r="BI15" s="36">
        <f t="shared" si="33"/>
        <v>0</v>
      </c>
      <c r="BJ15" s="36">
        <f t="shared" si="33"/>
        <v>0</v>
      </c>
      <c r="BK15" s="36">
        <f t="shared" si="33"/>
        <v>0</v>
      </c>
      <c r="BL15" s="36">
        <f t="shared" si="33"/>
        <v>1</v>
      </c>
      <c r="BM15" s="36">
        <f t="shared" si="33"/>
        <v>2</v>
      </c>
      <c r="BN15" s="36">
        <f t="shared" si="33"/>
        <v>1</v>
      </c>
      <c r="BO15" s="36">
        <f t="shared" si="33"/>
        <v>0</v>
      </c>
      <c r="BP15" s="36">
        <f t="shared" si="33"/>
        <v>1</v>
      </c>
      <c r="BQ15" s="36">
        <f t="shared" si="33"/>
        <v>2</v>
      </c>
      <c r="BR15" s="44">
        <f>SUM(BR4:BR14)</f>
        <v>8</v>
      </c>
    </row>
    <row r="19" spans="1:70" x14ac:dyDescent="0.25">
      <c r="A19" s="2" t="s">
        <v>1352</v>
      </c>
      <c r="BR19"/>
    </row>
    <row r="20" spans="1:70" x14ac:dyDescent="0.25">
      <c r="A20" s="296"/>
      <c r="B20" s="297"/>
      <c r="C20" s="296" t="s">
        <v>1344</v>
      </c>
      <c r="D20" s="297"/>
      <c r="E20" s="297"/>
      <c r="F20" s="297"/>
      <c r="G20" s="297"/>
      <c r="H20" s="297"/>
      <c r="I20" s="297"/>
      <c r="J20" s="297"/>
      <c r="K20" s="297"/>
      <c r="L20" s="297"/>
      <c r="BR20"/>
    </row>
    <row r="21" spans="1:70" x14ac:dyDescent="0.25">
      <c r="A21" s="88"/>
      <c r="B21" s="26"/>
      <c r="C21" s="325" t="s">
        <v>1346</v>
      </c>
      <c r="D21" s="325"/>
      <c r="E21" s="46"/>
      <c r="F21" s="46"/>
      <c r="G21" s="46"/>
      <c r="H21" s="325" t="s">
        <v>42</v>
      </c>
      <c r="I21" s="325"/>
      <c r="J21" s="46"/>
      <c r="K21" s="325" t="s">
        <v>47</v>
      </c>
      <c r="L21" s="325"/>
      <c r="BR21"/>
    </row>
    <row r="22" spans="1:70" x14ac:dyDescent="0.25">
      <c r="A22" s="88" t="s">
        <v>1349</v>
      </c>
      <c r="B22" s="26" t="s">
        <v>1344</v>
      </c>
      <c r="C22" s="26" t="s">
        <v>101</v>
      </c>
      <c r="D22" s="26" t="s">
        <v>122</v>
      </c>
      <c r="E22" s="26"/>
      <c r="F22" s="26"/>
      <c r="G22" s="26"/>
      <c r="H22" s="26" t="s">
        <v>101</v>
      </c>
      <c r="I22" s="46" t="s">
        <v>122</v>
      </c>
      <c r="J22" s="26"/>
      <c r="K22" s="26" t="s">
        <v>101</v>
      </c>
      <c r="L22" s="26" t="s">
        <v>122</v>
      </c>
      <c r="BR22"/>
    </row>
    <row r="23" spans="1:70" x14ac:dyDescent="0.25">
      <c r="A23" s="27" t="s">
        <v>190</v>
      </c>
      <c r="B23" s="26">
        <f>COUNTIFS('LOI and Commissioning Master Sh'!D:D,Summary!A23)</f>
        <v>22</v>
      </c>
      <c r="C23" s="26">
        <f t="shared" ref="C23:C33" si="34">+M4+V4+AE4+AN4+AW4</f>
        <v>4</v>
      </c>
      <c r="D23" s="26">
        <f t="shared" ref="D23:D33" si="35">+N4+W4+AF4+AO4+AX4</f>
        <v>4</v>
      </c>
      <c r="E23" s="26"/>
      <c r="F23" s="26"/>
      <c r="G23" s="26"/>
      <c r="H23" s="26">
        <f t="shared" ref="H23:H33" si="36">+P4+Y4+AH4+AQ4+AZ4</f>
        <v>1</v>
      </c>
      <c r="I23" s="46">
        <f t="shared" ref="I23:I33" si="37">+Q4+Z4+AI4+AR4+BA4</f>
        <v>0</v>
      </c>
      <c r="J23" s="26"/>
      <c r="K23" s="26">
        <f t="shared" ref="K23:K33" si="38">+S4+AB4+AK4+AT4+BC4</f>
        <v>0</v>
      </c>
      <c r="L23" s="26">
        <f t="shared" ref="L23:L33" si="39">+T4+AC4+AL4+AU4+BD4</f>
        <v>1</v>
      </c>
      <c r="BR23"/>
    </row>
    <row r="24" spans="1:70" x14ac:dyDescent="0.25">
      <c r="A24" s="27" t="s">
        <v>156</v>
      </c>
      <c r="B24" s="26">
        <f>COUNTIFS('LOI and Commissioning Master Sh'!D:D,Summary!A24)</f>
        <v>33</v>
      </c>
      <c r="C24" s="26">
        <f t="shared" si="34"/>
        <v>1</v>
      </c>
      <c r="D24" s="26">
        <f t="shared" si="35"/>
        <v>10</v>
      </c>
      <c r="E24" s="26"/>
      <c r="F24" s="26"/>
      <c r="G24" s="26"/>
      <c r="H24" s="26">
        <f t="shared" si="36"/>
        <v>1</v>
      </c>
      <c r="I24" s="46">
        <f t="shared" si="37"/>
        <v>0</v>
      </c>
      <c r="J24" s="26"/>
      <c r="K24" s="26">
        <f t="shared" si="38"/>
        <v>0</v>
      </c>
      <c r="L24" s="28">
        <f t="shared" si="39"/>
        <v>4</v>
      </c>
      <c r="M24" s="11"/>
      <c r="BR24"/>
    </row>
    <row r="25" spans="1:70" x14ac:dyDescent="0.25">
      <c r="A25" s="27" t="s">
        <v>383</v>
      </c>
      <c r="B25" s="26">
        <f>COUNTIFS('LOI and Commissioning Master Sh'!D:D,Summary!A25)</f>
        <v>16</v>
      </c>
      <c r="C25" s="26">
        <f t="shared" si="34"/>
        <v>2</v>
      </c>
      <c r="D25" s="26">
        <f t="shared" si="35"/>
        <v>1</v>
      </c>
      <c r="E25" s="26"/>
      <c r="F25" s="26"/>
      <c r="G25" s="26"/>
      <c r="H25" s="26">
        <f t="shared" si="36"/>
        <v>0</v>
      </c>
      <c r="I25" s="46">
        <f t="shared" si="37"/>
        <v>0</v>
      </c>
      <c r="J25" s="26"/>
      <c r="K25" s="26">
        <f t="shared" si="38"/>
        <v>1</v>
      </c>
      <c r="L25" s="28">
        <f t="shared" si="39"/>
        <v>0</v>
      </c>
      <c r="M25" s="11"/>
      <c r="BR25"/>
    </row>
    <row r="26" spans="1:70" x14ac:dyDescent="0.25">
      <c r="A26" s="27" t="s">
        <v>150</v>
      </c>
      <c r="B26" s="26">
        <f>COUNTIFS('LOI and Commissioning Master Sh'!D:D,Summary!A26)</f>
        <v>16</v>
      </c>
      <c r="C26" s="26">
        <f t="shared" si="34"/>
        <v>5</v>
      </c>
      <c r="D26" s="26">
        <f t="shared" si="35"/>
        <v>1</v>
      </c>
      <c r="E26" s="26"/>
      <c r="F26" s="26"/>
      <c r="G26" s="26"/>
      <c r="H26" s="26">
        <f t="shared" si="36"/>
        <v>1</v>
      </c>
      <c r="I26" s="46">
        <f t="shared" si="37"/>
        <v>0</v>
      </c>
      <c r="J26" s="26"/>
      <c r="K26" s="26">
        <f t="shared" si="38"/>
        <v>2</v>
      </c>
      <c r="L26" s="28">
        <f t="shared" si="39"/>
        <v>1</v>
      </c>
      <c r="M26" s="11"/>
      <c r="BR26"/>
    </row>
    <row r="27" spans="1:70" x14ac:dyDescent="0.25">
      <c r="A27" s="27" t="s">
        <v>121</v>
      </c>
      <c r="B27" s="26">
        <f>COUNTIFS('LOI and Commissioning Master Sh'!D:D,Summary!A27)</f>
        <v>28</v>
      </c>
      <c r="C27" s="26">
        <f t="shared" si="34"/>
        <v>4</v>
      </c>
      <c r="D27" s="26">
        <f t="shared" si="35"/>
        <v>5</v>
      </c>
      <c r="E27" s="26"/>
      <c r="F27" s="26"/>
      <c r="G27" s="26"/>
      <c r="H27" s="26">
        <f t="shared" si="36"/>
        <v>1</v>
      </c>
      <c r="I27" s="46">
        <f t="shared" si="37"/>
        <v>1</v>
      </c>
      <c r="J27" s="26"/>
      <c r="K27" s="26">
        <f t="shared" si="38"/>
        <v>2</v>
      </c>
      <c r="L27" s="28">
        <f t="shared" si="39"/>
        <v>1</v>
      </c>
      <c r="M27" s="11"/>
      <c r="BR27"/>
    </row>
    <row r="28" spans="1:70" x14ac:dyDescent="0.25">
      <c r="A28" s="27" t="s">
        <v>220</v>
      </c>
      <c r="B28" s="26">
        <f>COUNTIFS('LOI and Commissioning Master Sh'!D:D,Summary!A28)</f>
        <v>34</v>
      </c>
      <c r="C28" s="26">
        <f t="shared" si="34"/>
        <v>2</v>
      </c>
      <c r="D28" s="26">
        <f t="shared" si="35"/>
        <v>6</v>
      </c>
      <c r="E28" s="26"/>
      <c r="F28" s="26"/>
      <c r="G28" s="26"/>
      <c r="H28" s="26">
        <f t="shared" si="36"/>
        <v>0</v>
      </c>
      <c r="I28" s="46">
        <f t="shared" si="37"/>
        <v>1</v>
      </c>
      <c r="J28" s="26"/>
      <c r="K28" s="26">
        <f t="shared" si="38"/>
        <v>0</v>
      </c>
      <c r="L28" s="28">
        <f t="shared" si="39"/>
        <v>2</v>
      </c>
      <c r="M28" s="11"/>
      <c r="BR28"/>
    </row>
    <row r="29" spans="1:70" x14ac:dyDescent="0.25">
      <c r="A29" s="27" t="s">
        <v>398</v>
      </c>
      <c r="B29" s="26">
        <f>COUNTIFS('LOI and Commissioning Master Sh'!D:D,Summary!A29)</f>
        <v>17</v>
      </c>
      <c r="C29" s="26">
        <f t="shared" si="34"/>
        <v>3</v>
      </c>
      <c r="D29" s="26">
        <f t="shared" si="35"/>
        <v>0</v>
      </c>
      <c r="E29" s="26"/>
      <c r="F29" s="26"/>
      <c r="G29" s="26"/>
      <c r="H29" s="26">
        <f t="shared" si="36"/>
        <v>0</v>
      </c>
      <c r="I29" s="46">
        <f t="shared" si="37"/>
        <v>0</v>
      </c>
      <c r="J29" s="26"/>
      <c r="K29" s="26">
        <f t="shared" si="38"/>
        <v>1</v>
      </c>
      <c r="L29" s="28">
        <f t="shared" si="39"/>
        <v>0</v>
      </c>
      <c r="M29" s="11"/>
      <c r="BR29"/>
    </row>
    <row r="30" spans="1:70" x14ac:dyDescent="0.25">
      <c r="A30" s="27" t="s">
        <v>99</v>
      </c>
      <c r="B30" s="26">
        <f>COUNTIFS('LOI and Commissioning Master Sh'!D:D,Summary!A30)</f>
        <v>29</v>
      </c>
      <c r="C30" s="26">
        <f t="shared" si="34"/>
        <v>7</v>
      </c>
      <c r="D30" s="26">
        <f t="shared" si="35"/>
        <v>4</v>
      </c>
      <c r="E30" s="26"/>
      <c r="F30" s="26"/>
      <c r="G30" s="26"/>
      <c r="H30" s="26">
        <f t="shared" si="36"/>
        <v>2</v>
      </c>
      <c r="I30" s="46">
        <f t="shared" si="37"/>
        <v>0</v>
      </c>
      <c r="J30" s="26"/>
      <c r="K30" s="26">
        <f t="shared" si="38"/>
        <v>2</v>
      </c>
      <c r="L30" s="28">
        <f t="shared" si="39"/>
        <v>1</v>
      </c>
      <c r="M30" s="11"/>
      <c r="BR30"/>
    </row>
    <row r="31" spans="1:70" x14ac:dyDescent="0.25">
      <c r="A31" s="27" t="s">
        <v>141</v>
      </c>
      <c r="B31" s="26">
        <f>COUNTIFS('LOI and Commissioning Master Sh'!D:D,Summary!A31)</f>
        <v>25</v>
      </c>
      <c r="C31" s="26">
        <f t="shared" si="34"/>
        <v>2</v>
      </c>
      <c r="D31" s="26">
        <f t="shared" si="35"/>
        <v>3</v>
      </c>
      <c r="E31" s="26"/>
      <c r="F31" s="26"/>
      <c r="G31" s="26"/>
      <c r="H31" s="26">
        <f t="shared" si="36"/>
        <v>0</v>
      </c>
      <c r="I31" s="46">
        <f t="shared" si="37"/>
        <v>1</v>
      </c>
      <c r="J31" s="26"/>
      <c r="K31" s="26">
        <f t="shared" si="38"/>
        <v>0</v>
      </c>
      <c r="L31" s="28">
        <f t="shared" si="39"/>
        <v>2</v>
      </c>
      <c r="M31" s="11"/>
      <c r="BR31"/>
    </row>
    <row r="32" spans="1:70" x14ac:dyDescent="0.25">
      <c r="A32" s="27" t="s">
        <v>135</v>
      </c>
      <c r="B32" s="26">
        <f>COUNTIFS('LOI and Commissioning Master Sh'!D:D,Summary!A32)</f>
        <v>31</v>
      </c>
      <c r="C32" s="26">
        <f t="shared" si="34"/>
        <v>1</v>
      </c>
      <c r="D32" s="26">
        <f t="shared" si="35"/>
        <v>4</v>
      </c>
      <c r="E32" s="26"/>
      <c r="F32" s="26"/>
      <c r="G32" s="26"/>
      <c r="H32" s="26">
        <f t="shared" si="36"/>
        <v>1</v>
      </c>
      <c r="I32" s="46">
        <f t="shared" si="37"/>
        <v>1</v>
      </c>
      <c r="J32" s="26"/>
      <c r="K32" s="26">
        <f t="shared" si="38"/>
        <v>1</v>
      </c>
      <c r="L32" s="28">
        <f t="shared" si="39"/>
        <v>2</v>
      </c>
      <c r="M32" s="11"/>
      <c r="BR32"/>
    </row>
    <row r="33" spans="1:70" x14ac:dyDescent="0.25">
      <c r="A33" s="27" t="s">
        <v>195</v>
      </c>
      <c r="B33" s="26">
        <f>COUNTIFS('LOI and Commissioning Master Sh'!D:D,Summary!A33)</f>
        <v>16</v>
      </c>
      <c r="C33" s="26">
        <f t="shared" si="34"/>
        <v>4</v>
      </c>
      <c r="D33" s="26">
        <f t="shared" si="35"/>
        <v>2</v>
      </c>
      <c r="E33" s="26"/>
      <c r="F33" s="26"/>
      <c r="G33" s="26"/>
      <c r="H33" s="26">
        <f t="shared" si="36"/>
        <v>0</v>
      </c>
      <c r="I33" s="46">
        <f t="shared" si="37"/>
        <v>0</v>
      </c>
      <c r="J33" s="26"/>
      <c r="K33" s="26">
        <f t="shared" si="38"/>
        <v>2</v>
      </c>
      <c r="L33" s="28">
        <f t="shared" si="39"/>
        <v>1</v>
      </c>
      <c r="BR33"/>
    </row>
    <row r="34" spans="1:70" x14ac:dyDescent="0.25">
      <c r="A34" s="88"/>
      <c r="B34" s="26">
        <f>SUM(B23:B33)</f>
        <v>267</v>
      </c>
      <c r="C34" s="26">
        <f t="shared" ref="C34" si="40">SUM(C23:C33)</f>
        <v>35</v>
      </c>
      <c r="D34" s="26">
        <f t="shared" ref="D34" si="41">SUM(D23:D33)</f>
        <v>40</v>
      </c>
      <c r="E34" s="26"/>
      <c r="F34" s="26"/>
      <c r="G34" s="26"/>
      <c r="H34" s="26">
        <f t="shared" ref="H34" si="42">SUM(H23:H33)</f>
        <v>7</v>
      </c>
      <c r="I34" s="46">
        <f t="shared" ref="I34" si="43">SUM(I23:I33)</f>
        <v>4</v>
      </c>
      <c r="J34" s="26"/>
      <c r="K34" s="26">
        <f t="shared" ref="K34" si="44">SUM(K23:K33)</f>
        <v>11</v>
      </c>
      <c r="L34" s="28">
        <f t="shared" ref="L34" si="45">SUM(L23:L33)</f>
        <v>15</v>
      </c>
      <c r="BR34"/>
    </row>
    <row r="35" spans="1:70" x14ac:dyDescent="0.25">
      <c r="BR35"/>
    </row>
    <row r="36" spans="1:70" x14ac:dyDescent="0.25">
      <c r="BR36"/>
    </row>
    <row r="37" spans="1:70" x14ac:dyDescent="0.25">
      <c r="BR37"/>
    </row>
    <row r="42" spans="1:70" ht="45.75" thickBot="1" x14ac:dyDescent="0.3">
      <c r="A42" s="89" t="s">
        <v>1353</v>
      </c>
    </row>
    <row r="43" spans="1:70" ht="15.75" thickBot="1" x14ac:dyDescent="0.3">
      <c r="A43" s="61" t="s">
        <v>1354</v>
      </c>
      <c r="B43" s="73" t="s">
        <v>101</v>
      </c>
      <c r="C43" s="73" t="s">
        <v>122</v>
      </c>
      <c r="D43" s="73" t="s">
        <v>634</v>
      </c>
      <c r="E43" s="73" t="s">
        <v>142</v>
      </c>
      <c r="F43" s="73" t="s">
        <v>169</v>
      </c>
      <c r="G43" s="73" t="s">
        <v>100</v>
      </c>
      <c r="H43" s="73" t="s">
        <v>1344</v>
      </c>
    </row>
    <row r="44" spans="1:70" ht="15.75" thickBot="1" x14ac:dyDescent="0.3">
      <c r="A44" s="62" t="s">
        <v>1355</v>
      </c>
      <c r="B44" s="74">
        <f>+COUNTIFS('LOI and Commissioning Master Sh'!$G:$G,Summary!B$43)</f>
        <v>25</v>
      </c>
      <c r="C44" s="74">
        <f>+COUNTIFS('LOI and Commissioning Master Sh'!$G:$G,Summary!C$43)</f>
        <v>0</v>
      </c>
      <c r="D44" s="74">
        <f>+COUNTIFS('LOI and Commissioning Master Sh'!$G:$G,Summary!D$43)</f>
        <v>11</v>
      </c>
      <c r="E44" s="74">
        <f>+COUNTIFS('LOI and Commissioning Master Sh'!$G:$G,Summary!E$43)</f>
        <v>134</v>
      </c>
      <c r="F44" s="74">
        <f>+COUNTIFS('LOI and Commissioning Master Sh'!$G:$G,Summary!F$43)</f>
        <v>66</v>
      </c>
      <c r="G44" s="74">
        <f>+COUNTIFS('LOI and Commissioning Master Sh'!$G:$G,Summary!G$43)</f>
        <v>31</v>
      </c>
      <c r="H44" s="74">
        <f>+SUM(B44:G44)</f>
        <v>267</v>
      </c>
    </row>
    <row r="45" spans="1:70" ht="15.75" thickBot="1" x14ac:dyDescent="0.3">
      <c r="A45" s="62"/>
      <c r="B45" s="74"/>
      <c r="C45" s="74"/>
      <c r="D45" s="74"/>
      <c r="E45" s="74"/>
      <c r="F45" s="74"/>
      <c r="G45" s="74"/>
      <c r="H45" s="74"/>
    </row>
    <row r="46" spans="1:70" ht="15.75" thickBot="1" x14ac:dyDescent="0.3">
      <c r="A46" s="62" t="s">
        <v>28</v>
      </c>
      <c r="B46" s="74">
        <f>+COUNTIFS('LOI and Commissioning Master Sh'!$G:$G,Summary!B$43,'LOI and Commissioning Master Sh'!$W:$W,"Yes")</f>
        <v>9</v>
      </c>
      <c r="C46" s="74">
        <f>+COUNTIFS('LOI and Commissioning Master Sh'!$G:$G,Summary!C$43,'LOI and Commissioning Master Sh'!$W:$W,"Yes")</f>
        <v>0</v>
      </c>
      <c r="D46" s="74">
        <f>+COUNTIFS('LOI and Commissioning Master Sh'!$G:$G,Summary!D$43,'LOI and Commissioning Master Sh'!$W:$W,"Yes")</f>
        <v>1</v>
      </c>
      <c r="E46" s="74">
        <f>+COUNTIFS('LOI and Commissioning Master Sh'!$G:$G,Summary!E$43,'LOI and Commissioning Master Sh'!$W:$W,"Yes")</f>
        <v>68</v>
      </c>
      <c r="F46" s="74">
        <f>+COUNTIFS('LOI and Commissioning Master Sh'!$G:$G,Summary!F$43,'LOI and Commissioning Master Sh'!$W:$W,"Yes")</f>
        <v>26</v>
      </c>
      <c r="G46" s="74">
        <f>+COUNTIFS('LOI and Commissioning Master Sh'!$G:$G,Summary!G$43,'LOI and Commissioning Master Sh'!$W:$W,"Yes")</f>
        <v>15</v>
      </c>
      <c r="H46" s="74">
        <f>+SUM(B46:G46)</f>
        <v>119</v>
      </c>
    </row>
    <row r="47" spans="1:70" ht="15.75" thickBot="1" x14ac:dyDescent="0.3">
      <c r="A47" s="62" t="s">
        <v>1356</v>
      </c>
      <c r="B47" s="74">
        <f>+COUNTIFS('LOI and Commissioning Master Sh'!$G:$G,Summary!B$43,'LOI and Commissioning Master Sh'!$X:$X,"Yes")</f>
        <v>8</v>
      </c>
      <c r="C47" s="74">
        <f>+COUNTIFS('LOI and Commissioning Master Sh'!$G:$G,Summary!C$43,'LOI and Commissioning Master Sh'!$X:$X,"Yes")</f>
        <v>0</v>
      </c>
      <c r="D47" s="74">
        <f>+COUNTIFS('LOI and Commissioning Master Sh'!$G:$G,Summary!D$43,'LOI and Commissioning Master Sh'!$X:$X,"Yes")</f>
        <v>0</v>
      </c>
      <c r="E47" s="74">
        <f>+COUNTIFS('LOI and Commissioning Master Sh'!$G:$G,Summary!E$43,'LOI and Commissioning Master Sh'!$X:$X,"Yes")</f>
        <v>39</v>
      </c>
      <c r="F47" s="74">
        <f>+COUNTIFS('LOI and Commissioning Master Sh'!$G:$G,Summary!F$43,'LOI and Commissioning Master Sh'!$X:$X,"Yes")</f>
        <v>17</v>
      </c>
      <c r="G47" s="74">
        <f>+COUNTIFS('LOI and Commissioning Master Sh'!$G:$G,Summary!G$43,'LOI and Commissioning Master Sh'!$X:$X,"Yes")</f>
        <v>11</v>
      </c>
      <c r="H47" s="74">
        <f>+SUM(B47:G47)</f>
        <v>75</v>
      </c>
    </row>
    <row r="48" spans="1:70" ht="15.75" thickBot="1" x14ac:dyDescent="0.3">
      <c r="A48" s="62" t="s">
        <v>1357</v>
      </c>
      <c r="B48" s="74">
        <f>+COUNTIFS('LOI and Commissioning Master Sh'!$G:$G,Summary!B$43,'LOI and Commissioning Master Sh'!$BW:$BW, "Commissioned")</f>
        <v>1</v>
      </c>
      <c r="C48" s="74">
        <f>+COUNTIFS('LOI and Commissioning Master Sh'!$G:$G,Summary!C$43,'LOI and Commissioning Master Sh'!$BW:$BW, "Commissioned")</f>
        <v>0</v>
      </c>
      <c r="D48" s="74">
        <f>+COUNTIFS('LOI and Commissioning Master Sh'!$G:$G,Summary!D$43,'LOI and Commissioning Master Sh'!$BW:$BW, "Commissioned")</f>
        <v>0</v>
      </c>
      <c r="E48" s="74">
        <f>+COUNTIFS('LOI and Commissioning Master Sh'!$G:$G,Summary!E$43,'LOI and Commissioning Master Sh'!$BW:$BW, "Commissioned")</f>
        <v>3</v>
      </c>
      <c r="F48" s="74">
        <f>+COUNTIFS('LOI and Commissioning Master Sh'!$G:$G,Summary!F$43,'LOI and Commissioning Master Sh'!$BW:$BW, "Commissioned")</f>
        <v>1</v>
      </c>
      <c r="G48" s="74">
        <f>+COUNTIFS('LOI and Commissioning Master Sh'!$G:$G,Summary!G$43,'LOI and Commissioning Master Sh'!$BW:$BW, "Commissioned")</f>
        <v>3</v>
      </c>
      <c r="H48" s="74">
        <f>+SUM(B48:G48)</f>
        <v>8</v>
      </c>
    </row>
    <row r="49" spans="1:18" ht="15.75" thickBot="1" x14ac:dyDescent="0.3">
      <c r="A49" s="62"/>
      <c r="B49" s="74"/>
      <c r="C49" s="74"/>
      <c r="D49" s="74"/>
      <c r="E49" s="74"/>
      <c r="F49" s="74"/>
      <c r="G49" s="74"/>
      <c r="H49" s="74"/>
    </row>
    <row r="50" spans="1:18" ht="15.75" thickBot="1" x14ac:dyDescent="0.3">
      <c r="A50" s="64"/>
      <c r="B50" s="75"/>
      <c r="C50" s="75"/>
      <c r="D50" s="75"/>
      <c r="E50" s="75"/>
      <c r="F50" s="75"/>
      <c r="G50" s="75"/>
      <c r="H50" s="75"/>
    </row>
    <row r="55" spans="1:18" ht="30.75" thickBot="1" x14ac:dyDescent="0.3">
      <c r="A55" s="89" t="s">
        <v>1358</v>
      </c>
      <c r="P55"/>
      <c r="Q55"/>
      <c r="R55"/>
    </row>
    <row r="56" spans="1:18" ht="15.75" thickBot="1" x14ac:dyDescent="0.3">
      <c r="A56" s="66"/>
      <c r="B56" s="317" t="s">
        <v>143</v>
      </c>
      <c r="C56" s="318"/>
      <c r="D56" s="318"/>
      <c r="E56" s="318"/>
      <c r="F56" s="318"/>
      <c r="G56" s="318"/>
      <c r="H56" s="318"/>
      <c r="I56" s="319"/>
      <c r="J56" s="320" t="s">
        <v>102</v>
      </c>
      <c r="K56" s="321"/>
      <c r="L56" s="321"/>
      <c r="M56" s="321"/>
      <c r="N56" s="321"/>
      <c r="O56" s="321"/>
      <c r="P56" s="321"/>
      <c r="Q56" s="322"/>
      <c r="R56" s="323" t="s">
        <v>1344</v>
      </c>
    </row>
    <row r="57" spans="1:18" ht="15.75" thickBot="1" x14ac:dyDescent="0.3">
      <c r="A57" s="67" t="s">
        <v>1359</v>
      </c>
      <c r="B57" s="75" t="s">
        <v>1360</v>
      </c>
      <c r="C57" s="75" t="s">
        <v>1361</v>
      </c>
      <c r="D57" s="75" t="s">
        <v>1362</v>
      </c>
      <c r="E57" s="75" t="s">
        <v>1363</v>
      </c>
      <c r="F57" s="75" t="s">
        <v>1364</v>
      </c>
      <c r="G57" s="75" t="s">
        <v>1365</v>
      </c>
      <c r="H57" s="75" t="s">
        <v>1366</v>
      </c>
      <c r="I57" s="75" t="s">
        <v>143</v>
      </c>
      <c r="J57" s="75" t="s">
        <v>1360</v>
      </c>
      <c r="K57" s="75" t="s">
        <v>1361</v>
      </c>
      <c r="L57" s="75" t="s">
        <v>1362</v>
      </c>
      <c r="M57" s="75" t="s">
        <v>1363</v>
      </c>
      <c r="N57" s="75" t="s">
        <v>1364</v>
      </c>
      <c r="O57" s="75" t="s">
        <v>1365</v>
      </c>
      <c r="P57" s="65" t="s">
        <v>1367</v>
      </c>
      <c r="Q57" s="65" t="s">
        <v>102</v>
      </c>
      <c r="R57" s="324"/>
    </row>
    <row r="58" spans="1:18" ht="15.75" thickBot="1" x14ac:dyDescent="0.3">
      <c r="A58" s="62" t="s">
        <v>1355</v>
      </c>
      <c r="B58" s="74">
        <f ca="1">+COUNTIFS('LOI and Commissioning Master Sh'!$I:$I,"RO",'LOI and Commissioning Master Sh'!$O:$O,Summary!B$57)</f>
        <v>13</v>
      </c>
      <c r="C58" s="74">
        <f ca="1">+COUNTIFS('LOI and Commissioning Master Sh'!$I:$I,"RO",'LOI and Commissioning Master Sh'!$O:$O,Summary!C$57)</f>
        <v>11</v>
      </c>
      <c r="D58" s="74">
        <f ca="1">+COUNTIFS('LOI and Commissioning Master Sh'!$I:$I,"RO",'LOI and Commissioning Master Sh'!$O:$O,Summary!D$57)</f>
        <v>82</v>
      </c>
      <c r="E58" s="74">
        <f ca="1">+COUNTIFS('LOI and Commissioning Master Sh'!$I:$I,"RO",'LOI and Commissioning Master Sh'!$O:$O,Summary!E$57)</f>
        <v>76</v>
      </c>
      <c r="F58" s="74">
        <f ca="1">+COUNTIFS('LOI and Commissioning Master Sh'!$I:$I,"RO",'LOI and Commissioning Master Sh'!$O:$O,Summary!F$57)</f>
        <v>17</v>
      </c>
      <c r="G58" s="74">
        <f ca="1">+COUNTIFS('LOI and Commissioning Master Sh'!$I:$I,"RO",'LOI and Commissioning Master Sh'!$O:$O,Summary!G$57)</f>
        <v>2</v>
      </c>
      <c r="H58" s="74">
        <v>29</v>
      </c>
      <c r="I58" s="74">
        <f ca="1">+SUM(B58:H58)</f>
        <v>230</v>
      </c>
      <c r="J58" s="74">
        <f ca="1">+COUNTIFS('LOI and Commissioning Master Sh'!$I:$I,"KSK",'LOI and Commissioning Master Sh'!$O:$O,Summary!J$57)</f>
        <v>0</v>
      </c>
      <c r="K58" s="74">
        <f ca="1">+COUNTIFS('LOI and Commissioning Master Sh'!$I:$I,"KSK",'LOI and Commissioning Master Sh'!$O:$O,Summary!K$57)</f>
        <v>1</v>
      </c>
      <c r="L58" s="74">
        <f ca="1">+COUNTIFS('LOI and Commissioning Master Sh'!$I:$I,"KSK",'LOI and Commissioning Master Sh'!$O:$O,Summary!L$57)</f>
        <v>7</v>
      </c>
      <c r="M58" s="74">
        <f ca="1">+COUNTIFS('LOI and Commissioning Master Sh'!$I:$I,"KSK",'LOI and Commissioning Master Sh'!$O:$O,Summary!M$57)</f>
        <v>10</v>
      </c>
      <c r="N58" s="74">
        <f ca="1">+COUNTIFS('LOI and Commissioning Master Sh'!$I:$I,"KSK",'LOI and Commissioning Master Sh'!$O:$O,Summary!N$57)</f>
        <v>3</v>
      </c>
      <c r="O58" s="74">
        <f ca="1">+COUNTIFS('LOI and Commissioning Master Sh'!$I:$I,"KSK",'LOI and Commissioning Master Sh'!$O:$O,Summary!O$57)</f>
        <v>3</v>
      </c>
      <c r="P58" s="63">
        <v>12</v>
      </c>
      <c r="Q58" s="63">
        <f ca="1">+SUM(J58:P58)</f>
        <v>36</v>
      </c>
      <c r="R58" s="65">
        <f ca="1">+I58+Q58</f>
        <v>266</v>
      </c>
    </row>
    <row r="59" spans="1:18" ht="15.75" thickBot="1" x14ac:dyDescent="0.3">
      <c r="A59" s="62" t="s">
        <v>28</v>
      </c>
      <c r="B59" s="74">
        <f ca="1">+COUNTIFS('LOI and Commissioning Master Sh'!$I:$I,"RO",'LOI and Commissioning Master Sh'!$O:$O,Summary!B$57,'LOI and Commissioning Master Sh'!$W:$W,"Yes")</f>
        <v>11</v>
      </c>
      <c r="C59" s="74">
        <f ca="1">+COUNTIFS('LOI and Commissioning Master Sh'!$I:$I,"RO",'LOI and Commissioning Master Sh'!$O:$O,Summary!C$57,'LOI and Commissioning Master Sh'!$W:$W,"Yes")</f>
        <v>7</v>
      </c>
      <c r="D59" s="74">
        <f ca="1">+COUNTIFS('LOI and Commissioning Master Sh'!$I:$I,"RO",'LOI and Commissioning Master Sh'!$O:$O,Summary!D$57,'LOI and Commissioning Master Sh'!$W:$W,"Yes")</f>
        <v>45</v>
      </c>
      <c r="E59" s="74">
        <f ca="1">+COUNTIFS('LOI and Commissioning Master Sh'!$I:$I,"RO",'LOI and Commissioning Master Sh'!$O:$O,Summary!E$57,'LOI and Commissioning Master Sh'!$W:$W,"Yes")</f>
        <v>32</v>
      </c>
      <c r="F59" s="74">
        <f ca="1">+COUNTIFS('LOI and Commissioning Master Sh'!$I:$I,"RO",'LOI and Commissioning Master Sh'!$O:$O,Summary!F$57,'LOI and Commissioning Master Sh'!$W:$W,"Yes")</f>
        <v>5</v>
      </c>
      <c r="G59" s="74">
        <f ca="1">+COUNTIFS('LOI and Commissioning Master Sh'!$I:$I,"RO",'LOI and Commissioning Master Sh'!$O:$O,Summary!G$57,'LOI and Commissioning Master Sh'!$W:$W,"Yes")</f>
        <v>0</v>
      </c>
      <c r="H59" s="74">
        <v>4</v>
      </c>
      <c r="I59" s="74">
        <f ca="1">+SUM(B59:H59)</f>
        <v>104</v>
      </c>
      <c r="J59" s="74">
        <f ca="1">+COUNTIFS('LOI and Commissioning Master Sh'!$I:$I,"KSK",'LOI and Commissioning Master Sh'!$O:$O,Summary!J$57,'LOI and Commissioning Master Sh'!$W:$W,"Yes")</f>
        <v>0</v>
      </c>
      <c r="K59" s="74">
        <f ca="1">+COUNTIFS('LOI and Commissioning Master Sh'!$I:$I,"KSK",'LOI and Commissioning Master Sh'!$O:$O,Summary!K$57,'LOI and Commissioning Master Sh'!$W:$W,"Yes")</f>
        <v>1</v>
      </c>
      <c r="L59" s="74">
        <f ca="1">+COUNTIFS('LOI and Commissioning Master Sh'!$I:$I,"KSK",'LOI and Commissioning Master Sh'!$O:$O,Summary!L$57,'LOI and Commissioning Master Sh'!$W:$W,"Yes")</f>
        <v>4</v>
      </c>
      <c r="M59" s="74">
        <f ca="1">+COUNTIFS('LOI and Commissioning Master Sh'!$I:$I,"KSK",'LOI and Commissioning Master Sh'!$O:$O,Summary!M$57,'LOI and Commissioning Master Sh'!$W:$W,"Yes")</f>
        <v>8</v>
      </c>
      <c r="N59" s="74">
        <f ca="1">+COUNTIFS('LOI and Commissioning Master Sh'!$I:$I,"KSK",'LOI and Commissioning Master Sh'!$O:$O,Summary!N$57,'LOI and Commissioning Master Sh'!$W:$W,"Yes")</f>
        <v>0</v>
      </c>
      <c r="O59" s="74">
        <f ca="1">+COUNTIFS('LOI and Commissioning Master Sh'!$I:$I,"KSK",'LOI and Commissioning Master Sh'!$O:$O,Summary!O$57,'LOI and Commissioning Master Sh'!$W:$W,"Yes")</f>
        <v>1</v>
      </c>
      <c r="P59" s="63">
        <v>1</v>
      </c>
      <c r="Q59" s="63">
        <f ca="1">+SUM(J59:P59)</f>
        <v>15</v>
      </c>
      <c r="R59" s="65">
        <f ca="1">+I59+Q59</f>
        <v>119</v>
      </c>
    </row>
    <row r="60" spans="1:18" ht="15.75" thickBot="1" x14ac:dyDescent="0.3">
      <c r="A60" s="62"/>
      <c r="B60" s="74"/>
      <c r="C60" s="74"/>
      <c r="D60" s="74"/>
      <c r="E60" s="74"/>
      <c r="F60" s="74"/>
      <c r="G60" s="74"/>
      <c r="H60" s="74"/>
      <c r="I60" s="74"/>
      <c r="J60" s="74"/>
      <c r="K60" s="74"/>
      <c r="L60" s="74"/>
      <c r="M60" s="74"/>
      <c r="N60" s="74"/>
      <c r="O60" s="74"/>
      <c r="P60" s="63"/>
      <c r="Q60" s="63"/>
      <c r="R60" s="65"/>
    </row>
    <row r="63" spans="1:18" ht="30.75" thickBot="1" x14ac:dyDescent="0.3">
      <c r="A63" s="89" t="s">
        <v>1368</v>
      </c>
    </row>
    <row r="64" spans="1:18" ht="15.75" thickBot="1" x14ac:dyDescent="0.3">
      <c r="A64" s="66"/>
      <c r="B64" s="317" t="s">
        <v>101</v>
      </c>
      <c r="C64" s="318"/>
      <c r="D64" s="318"/>
      <c r="E64" s="318"/>
      <c r="F64" s="319"/>
      <c r="G64" s="317" t="s">
        <v>122</v>
      </c>
      <c r="H64" s="318"/>
      <c r="I64" s="318"/>
      <c r="J64" s="318"/>
      <c r="K64" s="319"/>
      <c r="L64" s="329" t="s">
        <v>1369</v>
      </c>
    </row>
    <row r="65" spans="1:15" ht="15.75" thickBot="1" x14ac:dyDescent="0.3">
      <c r="A65" s="67" t="s">
        <v>1354</v>
      </c>
      <c r="B65" s="75" t="s">
        <v>1370</v>
      </c>
      <c r="C65" s="75" t="s">
        <v>1371</v>
      </c>
      <c r="D65" s="75" t="s">
        <v>1361</v>
      </c>
      <c r="E65" s="75" t="s">
        <v>1372</v>
      </c>
      <c r="F65" s="75" t="s">
        <v>1344</v>
      </c>
      <c r="G65" s="75" t="s">
        <v>1370</v>
      </c>
      <c r="H65" s="75" t="s">
        <v>1371</v>
      </c>
      <c r="I65" s="75" t="s">
        <v>1361</v>
      </c>
      <c r="J65" s="75" t="s">
        <v>1372</v>
      </c>
      <c r="K65" s="75" t="s">
        <v>1344</v>
      </c>
      <c r="L65" s="330"/>
    </row>
    <row r="66" spans="1:15" ht="15.75" thickBot="1" x14ac:dyDescent="0.3">
      <c r="A66" s="62" t="s">
        <v>1355</v>
      </c>
      <c r="B66" s="74">
        <f>+COUNTIFS('LOI and Commissioning Master Sh'!$AC:$AC,"Yes",'LOI and Commissioning Master Sh'!$H:$H,"A",'LOI and Commissioning Master Sh'!$CI:$CI,Summary!B$65)</f>
        <v>0</v>
      </c>
      <c r="C66" s="74">
        <f>+COUNTIFS('LOI and Commissioning Master Sh'!$AC:$AC,"Yes",'LOI and Commissioning Master Sh'!$H:$H,"A",'LOI and Commissioning Master Sh'!$CI:$CI,Summary!C$65)</f>
        <v>0</v>
      </c>
      <c r="D66" s="74">
        <f>+COUNTIFS('LOI and Commissioning Master Sh'!$AC:$AC,"Yes",'LOI and Commissioning Master Sh'!$H:$H,"A",'LOI and Commissioning Master Sh'!$CI:$CI,Summary!D$65)</f>
        <v>0</v>
      </c>
      <c r="E66" s="74">
        <f>+COUNTIFS('LOI and Commissioning Master Sh'!$AC:$AC,"Yes",'LOI and Commissioning Master Sh'!$H:$H,"A",'LOI and Commissioning Master Sh'!$CI:$CI,Summary!E$65)</f>
        <v>0</v>
      </c>
      <c r="F66" s="74">
        <f>+SUM(B66:E66)</f>
        <v>0</v>
      </c>
      <c r="G66" s="74">
        <f>+COUNTIFS('LOI and Commissioning Master Sh'!$AC:$AC,"Yes",'LOI and Commissioning Master Sh'!$H:$H,"B",'LOI and Commissioning Master Sh'!$CI:$CI,Summary!G$65)</f>
        <v>0</v>
      </c>
      <c r="H66" s="74">
        <f>+COUNTIFS('LOI and Commissioning Master Sh'!$AC:$AC,"Yes",'LOI and Commissioning Master Sh'!$H:$H,"B",'LOI and Commissioning Master Sh'!$CI:$CI,Summary!H$65)</f>
        <v>0</v>
      </c>
      <c r="I66" s="74">
        <f>+COUNTIFS('LOI and Commissioning Master Sh'!$AC:$AC,"Yes",'LOI and Commissioning Master Sh'!$H:$H,"B",'LOI and Commissioning Master Sh'!$CI:$CI,Summary!I$65)</f>
        <v>0</v>
      </c>
      <c r="J66" s="74">
        <f>+COUNTIFS('LOI and Commissioning Master Sh'!$AC:$AC,"Yes",'LOI and Commissioning Master Sh'!$H:$H,"B",'LOI and Commissioning Master Sh'!$CI:$CI,Summary!J$65)</f>
        <v>0</v>
      </c>
      <c r="K66" s="74">
        <f>+SUM(G66:J66)</f>
        <v>0</v>
      </c>
      <c r="L66" s="75">
        <f>+F66+K66</f>
        <v>0</v>
      </c>
    </row>
    <row r="67" spans="1:15" ht="15.75" thickBot="1" x14ac:dyDescent="0.3">
      <c r="A67" s="62" t="s">
        <v>1345</v>
      </c>
      <c r="B67" s="74">
        <f>+COUNTIFS('LOI and Commissioning Master Sh'!$AC:$AC,"Yes",'LOI and Commissioning Master Sh'!$H:$H,"A",'LOI and Commissioning Master Sh'!$CI:$CI,Summary!B$65,'LOI and Commissioning Master Sh'!$W:$W,"Yes",'LOI and Commissioning Master Sh'!$BW:$BW,"Commissioned")</f>
        <v>0</v>
      </c>
      <c r="C67" s="74">
        <f>+COUNTIFS('LOI and Commissioning Master Sh'!$AC:$AC,"Yes",'LOI and Commissioning Master Sh'!$H:$H,"A",'LOI and Commissioning Master Sh'!$CI:$CI,Summary!C$65,'LOI and Commissioning Master Sh'!$W:$W,"Yes",'LOI and Commissioning Master Sh'!$BW:$BW,"Commissioned")</f>
        <v>0</v>
      </c>
      <c r="D67" s="74">
        <f>+COUNTIFS('LOI and Commissioning Master Sh'!$AC:$AC,"Yes",'LOI and Commissioning Master Sh'!$H:$H,"A",'LOI and Commissioning Master Sh'!$CI:$CI,Summary!D$65,'LOI and Commissioning Master Sh'!$W:$W,"Yes",'LOI and Commissioning Master Sh'!$BW:$BW,"Commissioned")</f>
        <v>0</v>
      </c>
      <c r="E67" s="74">
        <f>+COUNTIFS('LOI and Commissioning Master Sh'!$AC:$AC,"Yes",'LOI and Commissioning Master Sh'!$H:$H,"A",'LOI and Commissioning Master Sh'!$CI:$CI,Summary!E$65,'LOI and Commissioning Master Sh'!$W:$W,"Yes",'LOI and Commissioning Master Sh'!$BW:$BW,"Commissioned")</f>
        <v>0</v>
      </c>
      <c r="F67" s="74">
        <f>+SUM(B67:E67)</f>
        <v>0</v>
      </c>
      <c r="G67" s="74">
        <f>+COUNTIFS('LOI and Commissioning Master Sh'!$AC:$AC,"Yes",'LOI and Commissioning Master Sh'!$H:$H,"B",'LOI and Commissioning Master Sh'!$CI:$CI,Summary!G$65,'LOI and Commissioning Master Sh'!$W:$W,"Yes",'LOI and Commissioning Master Sh'!$BW:$BW,"Commissioned")</f>
        <v>0</v>
      </c>
      <c r="H67" s="74">
        <f>+COUNTIFS('LOI and Commissioning Master Sh'!$AC:$AC,"Yes",'LOI and Commissioning Master Sh'!$H:$H,"B",'LOI and Commissioning Master Sh'!$CI:$CI,Summary!H$65,'LOI and Commissioning Master Sh'!$W:$W,"Yes",'LOI and Commissioning Master Sh'!$BW:$BW,"Commissioned")</f>
        <v>0</v>
      </c>
      <c r="I67" s="74">
        <f>+COUNTIFS('LOI and Commissioning Master Sh'!$AC:$AC,"Yes",'LOI and Commissioning Master Sh'!$H:$H,"B",'LOI and Commissioning Master Sh'!$CI:$CI,Summary!I$65,'LOI and Commissioning Master Sh'!$W:$W,"Yes",'LOI and Commissioning Master Sh'!$BW:$BW,"Commissioned")</f>
        <v>0</v>
      </c>
      <c r="J67" s="74">
        <f>+COUNTIFS('LOI and Commissioning Master Sh'!$AC:$AC,"Yes",'LOI and Commissioning Master Sh'!$H:$H,"B",'LOI and Commissioning Master Sh'!$CI:$CI,Summary!J$65,'LOI and Commissioning Master Sh'!$W:$W,"Yes",'LOI and Commissioning Master Sh'!$BW:$BW,"Commissioned")</f>
        <v>0</v>
      </c>
      <c r="K67" s="74">
        <f>+SUM(G67:J67)</f>
        <v>0</v>
      </c>
      <c r="L67" s="75">
        <f>+F67+K67</f>
        <v>0</v>
      </c>
    </row>
    <row r="68" spans="1:15" ht="15.75" thickBot="1" x14ac:dyDescent="0.3">
      <c r="A68" s="62" t="s">
        <v>1373</v>
      </c>
      <c r="B68" s="74">
        <f>+COUNTIFS('LOI and Commissioning Master Sh'!$AC:$AC,"Yes",'LOI and Commissioning Master Sh'!$H:$H,"A",'LOI and Commissioning Master Sh'!$CI:$CI,Summary!B$65,'LOI and Commissioning Master Sh'!$W:$W,"Yes",'LOI and Commissioning Master Sh'!$BW:$BW,"Pending")</f>
        <v>0</v>
      </c>
      <c r="C68" s="74">
        <f>+COUNTIFS('LOI and Commissioning Master Sh'!$AC:$AC,"Yes",'LOI and Commissioning Master Sh'!$H:$H,"A",'LOI and Commissioning Master Sh'!$CI:$CI,Summary!C$65,'LOI and Commissioning Master Sh'!$W:$W,"Yes",'LOI and Commissioning Master Sh'!$BW:$BW,"Pending")</f>
        <v>0</v>
      </c>
      <c r="D68" s="74">
        <f>+COUNTIFS('LOI and Commissioning Master Sh'!$AC:$AC,"Yes",'LOI and Commissioning Master Sh'!$H:$H,"A",'LOI and Commissioning Master Sh'!$CI:$CI,Summary!D$65,'LOI and Commissioning Master Sh'!$W:$W,"Yes",'LOI and Commissioning Master Sh'!$BW:$BW,"Pending")</f>
        <v>0</v>
      </c>
      <c r="E68" s="74">
        <f>+COUNTIFS('LOI and Commissioning Master Sh'!$AC:$AC,"Yes",'LOI and Commissioning Master Sh'!$H:$H,"A",'LOI and Commissioning Master Sh'!$CI:$CI,Summary!E$65,'LOI and Commissioning Master Sh'!$W:$W,"Yes",'LOI and Commissioning Master Sh'!$BW:$BW,"Pending")</f>
        <v>0</v>
      </c>
      <c r="F68" s="74">
        <f>+SUM(B68:E68)</f>
        <v>0</v>
      </c>
      <c r="G68" s="74">
        <f>+COUNTIFS('LOI and Commissioning Master Sh'!$AC:$AC,"Yes",'LOI and Commissioning Master Sh'!$H:$H,"B",'LOI and Commissioning Master Sh'!$CI:$CI,Summary!G$65,'LOI and Commissioning Master Sh'!$W:$W,"Yes",'LOI and Commissioning Master Sh'!$BW:$BW,"Pending")</f>
        <v>0</v>
      </c>
      <c r="H68" s="74">
        <f>+COUNTIFS('LOI and Commissioning Master Sh'!$AC:$AC,"Yes",'LOI and Commissioning Master Sh'!$H:$H,"B",'LOI and Commissioning Master Sh'!$CI:$CI,Summary!H$65,'LOI and Commissioning Master Sh'!$W:$W,"Yes",'LOI and Commissioning Master Sh'!$BW:$BW,"Pending")</f>
        <v>0</v>
      </c>
      <c r="I68" s="74">
        <f>+COUNTIFS('LOI and Commissioning Master Sh'!$AC:$AC,"Yes",'LOI and Commissioning Master Sh'!$H:$H,"B",'LOI and Commissioning Master Sh'!$CI:$CI,Summary!I$65,'LOI and Commissioning Master Sh'!$W:$W,"Yes",'LOI and Commissioning Master Sh'!$BW:$BW,"Pending")</f>
        <v>0</v>
      </c>
      <c r="J68" s="74">
        <f>+COUNTIFS('LOI and Commissioning Master Sh'!$AC:$AC,"Yes",'LOI and Commissioning Master Sh'!$H:$H,"B",'LOI and Commissioning Master Sh'!$CI:$CI,Summary!J$65,'LOI and Commissioning Master Sh'!$W:$W,"Yes",'LOI and Commissioning Master Sh'!$BW:$BW,"Pending")</f>
        <v>0</v>
      </c>
      <c r="K68" s="74">
        <f>+SUM(G68:J68)</f>
        <v>0</v>
      </c>
      <c r="L68" s="75">
        <f>+F68+K68</f>
        <v>0</v>
      </c>
    </row>
    <row r="69" spans="1:15" ht="15.75" thickBot="1" x14ac:dyDescent="0.3">
      <c r="A69" s="62" t="s">
        <v>394</v>
      </c>
      <c r="B69" s="74">
        <f>+COUNTIFS('LOI and Commissioning Master Sh'!$AC:$AC,"Yes",'LOI and Commissioning Master Sh'!$H:$H,"A",'LOI and Commissioning Master Sh'!$CI:$CI,Summary!B$65,'LOI and Commissioning Master Sh'!$W:$W,"No",'LOI and Commissioning Master Sh'!$BW:$BW,"Pending")</f>
        <v>0</v>
      </c>
      <c r="C69" s="74">
        <f>+COUNTIFS('LOI and Commissioning Master Sh'!$AC:$AC,"Yes",'LOI and Commissioning Master Sh'!$H:$H,"A",'LOI and Commissioning Master Sh'!$CI:$CI,Summary!C$65,'LOI and Commissioning Master Sh'!$W:$W,"No",'LOI and Commissioning Master Sh'!$BW:$BW,"Pending")</f>
        <v>0</v>
      </c>
      <c r="D69" s="74">
        <f>+COUNTIFS('LOI and Commissioning Master Sh'!$AC:$AC,"Yes",'LOI and Commissioning Master Sh'!$H:$H,"A",'LOI and Commissioning Master Sh'!$CI:$CI,Summary!D$65,'LOI and Commissioning Master Sh'!$W:$W,"No",'LOI and Commissioning Master Sh'!$BW:$BW,"Pending")</f>
        <v>0</v>
      </c>
      <c r="E69" s="74">
        <f>+COUNTIFS('LOI and Commissioning Master Sh'!$AC:$AC,"Yes",'LOI and Commissioning Master Sh'!$H:$H,"A",'LOI and Commissioning Master Sh'!$CI:$CI,Summary!E$65,'LOI and Commissioning Master Sh'!$W:$W,"No",'LOI and Commissioning Master Sh'!$BW:$BW,"Pending")</f>
        <v>0</v>
      </c>
      <c r="F69" s="74">
        <f>+SUM(B69:E69)</f>
        <v>0</v>
      </c>
      <c r="G69" s="74">
        <f>+COUNTIFS('LOI and Commissioning Master Sh'!$AC:$AC,"Yes",'LOI and Commissioning Master Sh'!$H:$H,"B",'LOI and Commissioning Master Sh'!$CI:$CI,Summary!G$65,'LOI and Commissioning Master Sh'!$W:$W,"No",'LOI and Commissioning Master Sh'!$BW:$BW,"Non-Commissionable")</f>
        <v>0</v>
      </c>
      <c r="H69" s="74">
        <f>+COUNTIFS('LOI and Commissioning Master Sh'!$AC:$AC,"Yes",'LOI and Commissioning Master Sh'!$H:$H,"B",'LOI and Commissioning Master Sh'!$CI:$CI,Summary!H$65,'LOI and Commissioning Master Sh'!$W:$W,"No",'LOI and Commissioning Master Sh'!$BW:$BW,"Non-Commissionable")</f>
        <v>0</v>
      </c>
      <c r="I69" s="74">
        <f>+COUNTIFS('LOI and Commissioning Master Sh'!$AC:$AC,"Yes",'LOI and Commissioning Master Sh'!$H:$H,"B",'LOI and Commissioning Master Sh'!$CI:$CI,Summary!I$65,'LOI and Commissioning Master Sh'!$W:$W,"No",'LOI and Commissioning Master Sh'!$BW:$BW,"Non-Commissionable")</f>
        <v>0</v>
      </c>
      <c r="J69" s="74">
        <f>+COUNTIFS('LOI and Commissioning Master Sh'!$AC:$AC,"Yes",'LOI and Commissioning Master Sh'!$H:$H,"B",'LOI and Commissioning Master Sh'!$CI:$CI,Summary!J$65,'LOI and Commissioning Master Sh'!$W:$W,"No",'LOI and Commissioning Master Sh'!$BW:$BW,"Non-Commissionable")</f>
        <v>0</v>
      </c>
      <c r="K69" s="74">
        <f>+SUM(G69:J69)</f>
        <v>0</v>
      </c>
      <c r="L69" s="75">
        <f>+F69+K69</f>
        <v>0</v>
      </c>
    </row>
    <row r="77" spans="1:15" ht="15.75" thickBot="1" x14ac:dyDescent="0.3"/>
    <row r="78" spans="1:15" ht="18.75" x14ac:dyDescent="0.3">
      <c r="A78" s="119" t="s">
        <v>1374</v>
      </c>
      <c r="B78" s="120" t="s">
        <v>101</v>
      </c>
      <c r="C78" s="120" t="s">
        <v>634</v>
      </c>
      <c r="D78" s="120" t="s">
        <v>142</v>
      </c>
      <c r="E78" s="120" t="s">
        <v>169</v>
      </c>
      <c r="F78" s="120" t="s">
        <v>100</v>
      </c>
      <c r="G78" s="120" t="s">
        <v>1344</v>
      </c>
      <c r="H78" s="121"/>
      <c r="I78" s="269" t="s">
        <v>1375</v>
      </c>
      <c r="J78" s="120" t="s">
        <v>101</v>
      </c>
      <c r="K78" s="120" t="s">
        <v>634</v>
      </c>
      <c r="L78" s="120" t="s">
        <v>142</v>
      </c>
      <c r="M78" s="120" t="s">
        <v>169</v>
      </c>
      <c r="N78" s="120" t="s">
        <v>100</v>
      </c>
      <c r="O78" s="272" t="s">
        <v>1344</v>
      </c>
    </row>
    <row r="79" spans="1:15" ht="37.5" x14ac:dyDescent="0.3">
      <c r="A79" s="122" t="s">
        <v>1376</v>
      </c>
      <c r="B79" s="114">
        <f>+SUM(B80:B82)</f>
        <v>25</v>
      </c>
      <c r="C79" s="114">
        <f t="shared" ref="C79:G79" si="46">+SUM(C80:C82)</f>
        <v>11</v>
      </c>
      <c r="D79" s="114">
        <f t="shared" si="46"/>
        <v>134</v>
      </c>
      <c r="E79" s="114">
        <f t="shared" si="46"/>
        <v>66</v>
      </c>
      <c r="F79" s="114">
        <f t="shared" si="46"/>
        <v>31</v>
      </c>
      <c r="G79" s="114">
        <f t="shared" si="46"/>
        <v>267</v>
      </c>
      <c r="H79" s="115"/>
      <c r="I79" s="116" t="s">
        <v>1376</v>
      </c>
      <c r="J79" s="114">
        <f>+SUM(J80:J82)</f>
        <v>25</v>
      </c>
      <c r="K79" s="114">
        <f t="shared" ref="K79:O79" si="47">+SUM(K80:K82)</f>
        <v>11</v>
      </c>
      <c r="L79" s="114">
        <f t="shared" si="47"/>
        <v>134</v>
      </c>
      <c r="M79" s="114">
        <f t="shared" si="47"/>
        <v>66</v>
      </c>
      <c r="N79" s="114">
        <f t="shared" si="47"/>
        <v>31</v>
      </c>
      <c r="O79" s="273">
        <f t="shared" si="47"/>
        <v>267</v>
      </c>
    </row>
    <row r="80" spans="1:15" ht="18.75" x14ac:dyDescent="0.3">
      <c r="A80" s="122" t="s">
        <v>402</v>
      </c>
      <c r="B80" s="114">
        <f>+COUNTIFS('LOI and Commissioning Master Sh'!$CC:$CC,"Yes",'LOI and Commissioning Master Sh'!$G:$G,Summary!B$78,'LOI and Commissioning Master Sh'!$CB:$CB,Summary!$A80)</f>
        <v>1</v>
      </c>
      <c r="C80" s="114">
        <f>+COUNTIFS('LOI and Commissioning Master Sh'!$CC:$CC,"Yes",'LOI and Commissioning Master Sh'!$G:$G,Summary!C$78,'LOI and Commissioning Master Sh'!$CB:$CB,Summary!$A80)</f>
        <v>5</v>
      </c>
      <c r="D80" s="114">
        <f>+COUNTIFS('LOI and Commissioning Master Sh'!$CC:$CC,"Yes",'LOI and Commissioning Master Sh'!$G:$G,Summary!D$78,'LOI and Commissioning Master Sh'!$CB:$CB,Summary!$A80)</f>
        <v>5</v>
      </c>
      <c r="E80" s="114">
        <f>+COUNTIFS('LOI and Commissioning Master Sh'!$CC:$CC,"Yes",'LOI and Commissioning Master Sh'!$G:$G,Summary!E$78,'LOI and Commissioning Master Sh'!$CB:$CB,Summary!$A80)</f>
        <v>10</v>
      </c>
      <c r="F80" s="114">
        <f>+COUNTIFS('LOI and Commissioning Master Sh'!$CC:$CC,"Yes",'LOI and Commissioning Master Sh'!$G:$G,Summary!F$78,'LOI and Commissioning Master Sh'!$CB:$CB,Summary!$A80)</f>
        <v>3</v>
      </c>
      <c r="G80" s="114">
        <f>+SUM(B80:F80)</f>
        <v>24</v>
      </c>
      <c r="H80" s="115"/>
      <c r="I80" s="116" t="s">
        <v>402</v>
      </c>
      <c r="J80" s="114">
        <f>+COUNTIFS('LOI and Commissioning Master Sh'!$CC:$CC,"Yes",'LOI and Commissioning Master Sh'!$G:$G,Summary!J$78,'LOI and Commissioning Master Sh'!$CB:$CB,Summary!$A80)</f>
        <v>1</v>
      </c>
      <c r="K80" s="114">
        <f>+COUNTIFS('LOI and Commissioning Master Sh'!$CC:$CC,"Yes",'LOI and Commissioning Master Sh'!$G:$G,Summary!K$78,'LOI and Commissioning Master Sh'!$CB:$CB,Summary!$A80)</f>
        <v>5</v>
      </c>
      <c r="L80" s="114">
        <f>+COUNTIFS('LOI and Commissioning Master Sh'!$CC:$CC,"Yes",'LOI and Commissioning Master Sh'!$G:$G,Summary!L$78,'LOI and Commissioning Master Sh'!$CB:$CB,Summary!$A80)</f>
        <v>5</v>
      </c>
      <c r="M80" s="114">
        <f>+COUNTIFS('LOI and Commissioning Master Sh'!$CC:$CC,"Yes",'LOI and Commissioning Master Sh'!$G:$G,Summary!M$78,'LOI and Commissioning Master Sh'!$CB:$CB,Summary!$A80)</f>
        <v>10</v>
      </c>
      <c r="N80" s="114">
        <f>+COUNTIFS('LOI and Commissioning Master Sh'!$CC:$CC,"Yes",'LOI and Commissioning Master Sh'!$G:$G,Summary!N$78,'LOI and Commissioning Master Sh'!$CB:$CB,Summary!$A80)</f>
        <v>3</v>
      </c>
      <c r="O80" s="273">
        <f>+SUM(J80:N80)</f>
        <v>24</v>
      </c>
    </row>
    <row r="81" spans="1:15" ht="18.75" x14ac:dyDescent="0.3">
      <c r="A81" s="122" t="s">
        <v>185</v>
      </c>
      <c r="B81" s="114">
        <f>+COUNTIFS('LOI and Commissioning Master Sh'!$CC:$CC,"Yes",'LOI and Commissioning Master Sh'!$G:$G,Summary!B$78,'LOI and Commissioning Master Sh'!$CB:$CB,Summary!$A81)</f>
        <v>1</v>
      </c>
      <c r="C81" s="114">
        <f>+COUNTIFS('LOI and Commissioning Master Sh'!$CC:$CC,"Yes",'LOI and Commissioning Master Sh'!$G:$G,Summary!C$78,'LOI and Commissioning Master Sh'!$CB:$CB,Summary!$A81)</f>
        <v>2</v>
      </c>
      <c r="D81" s="114">
        <f>+COUNTIFS('LOI and Commissioning Master Sh'!$CC:$CC,"Yes",'LOI and Commissioning Master Sh'!$G:$G,Summary!D$78,'LOI and Commissioning Master Sh'!$CB:$CB,Summary!$A81)</f>
        <v>27</v>
      </c>
      <c r="E81" s="114">
        <f>+COUNTIFS('LOI and Commissioning Master Sh'!$CC:$CC,"Yes",'LOI and Commissioning Master Sh'!$G:$G,Summary!E$78,'LOI and Commissioning Master Sh'!$CB:$CB,Summary!$A81)</f>
        <v>9</v>
      </c>
      <c r="F81" s="114">
        <f>+COUNTIFS('LOI and Commissioning Master Sh'!$CC:$CC,"Yes",'LOI and Commissioning Master Sh'!$G:$G,Summary!F$78,'LOI and Commissioning Master Sh'!$CB:$CB,Summary!$A81)</f>
        <v>12</v>
      </c>
      <c r="G81" s="114">
        <f t="shared" ref="G81:G82" si="48">+SUM(B81:F81)</f>
        <v>51</v>
      </c>
      <c r="H81" s="115"/>
      <c r="I81" s="116" t="s">
        <v>185</v>
      </c>
      <c r="J81" s="114">
        <f>+COUNTIFS('LOI and Commissioning Master Sh'!$CC:$CC,"Yes",'LOI and Commissioning Master Sh'!$G:$G,Summary!J$78,'LOI and Commissioning Master Sh'!$CB:$CB,Summary!$A81)</f>
        <v>1</v>
      </c>
      <c r="K81" s="114">
        <f>+COUNTIFS('LOI and Commissioning Master Sh'!$CC:$CC,"Yes",'LOI and Commissioning Master Sh'!$G:$G,Summary!K$78,'LOI and Commissioning Master Sh'!$CB:$CB,Summary!$A81)</f>
        <v>2</v>
      </c>
      <c r="L81" s="114">
        <f>+COUNTIFS('LOI and Commissioning Master Sh'!$CC:$CC,"Yes",'LOI and Commissioning Master Sh'!$G:$G,Summary!L$78,'LOI and Commissioning Master Sh'!$CB:$CB,Summary!$A81)</f>
        <v>27</v>
      </c>
      <c r="M81" s="114">
        <f>+COUNTIFS('LOI and Commissioning Master Sh'!$CC:$CC,"Yes",'LOI and Commissioning Master Sh'!$G:$G,Summary!M$78,'LOI and Commissioning Master Sh'!$CB:$CB,Summary!$A81)</f>
        <v>9</v>
      </c>
      <c r="N81" s="114">
        <f>+COUNTIFS('LOI and Commissioning Master Sh'!$CC:$CC,"Yes",'LOI and Commissioning Master Sh'!$G:$G,Summary!N$78,'LOI and Commissioning Master Sh'!$CB:$CB,Summary!$A81)</f>
        <v>12</v>
      </c>
      <c r="O81" s="273">
        <f t="shared" ref="O81:O82" si="49">+SUM(J81:N81)</f>
        <v>51</v>
      </c>
    </row>
    <row r="82" spans="1:15" ht="18.75" x14ac:dyDescent="0.3">
      <c r="A82" s="122" t="s">
        <v>118</v>
      </c>
      <c r="B82" s="114">
        <f>+COUNTIFS('LOI and Commissioning Master Sh'!$CC:$CC,"Yes",'LOI and Commissioning Master Sh'!$G:$G,Summary!B$78,'LOI and Commissioning Master Sh'!$CB:$CB,Summary!$A82)</f>
        <v>23</v>
      </c>
      <c r="C82" s="114">
        <f>+COUNTIFS('LOI and Commissioning Master Sh'!$CC:$CC,"Yes",'LOI and Commissioning Master Sh'!$G:$G,Summary!C$78,'LOI and Commissioning Master Sh'!$CB:$CB,Summary!$A82)</f>
        <v>4</v>
      </c>
      <c r="D82" s="114">
        <f>+COUNTIFS('LOI and Commissioning Master Sh'!$CC:$CC,"Yes",'LOI and Commissioning Master Sh'!$G:$G,Summary!D$78,'LOI and Commissioning Master Sh'!$CB:$CB,Summary!$A82)</f>
        <v>102</v>
      </c>
      <c r="E82" s="114">
        <f>+COUNTIFS('LOI and Commissioning Master Sh'!$CC:$CC,"Yes",'LOI and Commissioning Master Sh'!$G:$G,Summary!E$78,'LOI and Commissioning Master Sh'!$CB:$CB,Summary!$A82)</f>
        <v>47</v>
      </c>
      <c r="F82" s="114">
        <f>+COUNTIFS('LOI and Commissioning Master Sh'!$CC:$CC,"Yes",'LOI and Commissioning Master Sh'!$G:$G,Summary!F$78,'LOI and Commissioning Master Sh'!$CB:$CB,Summary!$A82)</f>
        <v>16</v>
      </c>
      <c r="G82" s="114">
        <f t="shared" si="48"/>
        <v>192</v>
      </c>
      <c r="H82" s="115"/>
      <c r="I82" s="116" t="s">
        <v>118</v>
      </c>
      <c r="J82" s="114">
        <f>+COUNTIFS('LOI and Commissioning Master Sh'!$CC:$CC,"Yes",'LOI and Commissioning Master Sh'!$G:$G,Summary!J$78,'LOI and Commissioning Master Sh'!$CB:$CB,Summary!$A82)</f>
        <v>23</v>
      </c>
      <c r="K82" s="114">
        <f>+COUNTIFS('LOI and Commissioning Master Sh'!$CC:$CC,"Yes",'LOI and Commissioning Master Sh'!$G:$G,Summary!K$78,'LOI and Commissioning Master Sh'!$CB:$CB,Summary!$A82)</f>
        <v>4</v>
      </c>
      <c r="L82" s="114">
        <f>+COUNTIFS('LOI and Commissioning Master Sh'!$CC:$CC,"Yes",'LOI and Commissioning Master Sh'!$G:$G,Summary!L$78,'LOI and Commissioning Master Sh'!$CB:$CB,Summary!$A82)</f>
        <v>102</v>
      </c>
      <c r="M82" s="114">
        <f>+COUNTIFS('LOI and Commissioning Master Sh'!$CC:$CC,"Yes",'LOI and Commissioning Master Sh'!$G:$G,Summary!M$78,'LOI and Commissioning Master Sh'!$CB:$CB,Summary!$A82)</f>
        <v>47</v>
      </c>
      <c r="N82" s="114">
        <f>+COUNTIFS('LOI and Commissioning Master Sh'!$CC:$CC,"Yes",'LOI and Commissioning Master Sh'!$G:$G,Summary!N$78,'LOI and Commissioning Master Sh'!$CB:$CB,Summary!$A82)</f>
        <v>16</v>
      </c>
      <c r="O82" s="273">
        <f t="shared" si="49"/>
        <v>192</v>
      </c>
    </row>
    <row r="83" spans="1:15" ht="18.75" x14ac:dyDescent="0.3">
      <c r="A83" s="122"/>
      <c r="B83" s="114"/>
      <c r="C83" s="114"/>
      <c r="D83" s="114"/>
      <c r="E83" s="114"/>
      <c r="F83" s="114"/>
      <c r="G83" s="114"/>
      <c r="H83" s="115"/>
      <c r="I83" s="116"/>
      <c r="J83" s="114"/>
      <c r="K83" s="114"/>
      <c r="L83" s="114"/>
      <c r="M83" s="114"/>
      <c r="N83" s="114"/>
      <c r="O83" s="273"/>
    </row>
    <row r="84" spans="1:15" ht="37.5" x14ac:dyDescent="0.3">
      <c r="A84" s="122" t="s">
        <v>1377</v>
      </c>
      <c r="B84" s="114">
        <f>+SUM(B85:B87)</f>
        <v>0</v>
      </c>
      <c r="C84" s="114">
        <f t="shared" ref="C84" si="50">+SUM(C85:C87)</f>
        <v>0</v>
      </c>
      <c r="D84" s="114">
        <f t="shared" ref="D84" si="51">+SUM(D85:D87)</f>
        <v>0</v>
      </c>
      <c r="E84" s="114">
        <f t="shared" ref="E84" si="52">+SUM(E85:E87)</f>
        <v>0</v>
      </c>
      <c r="F84" s="114">
        <f t="shared" ref="F84" si="53">+SUM(F85:F87)</f>
        <v>1</v>
      </c>
      <c r="G84" s="114">
        <f t="shared" ref="G84" si="54">+SUM(G85:G87)</f>
        <v>1</v>
      </c>
      <c r="H84" s="115"/>
      <c r="I84" s="116" t="s">
        <v>1378</v>
      </c>
      <c r="J84" s="114">
        <f>+SUM(J85:J87)</f>
        <v>0</v>
      </c>
      <c r="K84" s="114">
        <f t="shared" ref="K84" si="55">+SUM(K85:K87)</f>
        <v>0</v>
      </c>
      <c r="L84" s="114">
        <f t="shared" ref="L84:O84" si="56">+SUM(L85:L87)</f>
        <v>0</v>
      </c>
      <c r="M84" s="114">
        <f t="shared" si="56"/>
        <v>0</v>
      </c>
      <c r="N84" s="114">
        <f t="shared" si="56"/>
        <v>0</v>
      </c>
      <c r="O84" s="273">
        <f t="shared" si="56"/>
        <v>0</v>
      </c>
    </row>
    <row r="85" spans="1:15" ht="18.75" x14ac:dyDescent="0.3">
      <c r="A85" s="122" t="s">
        <v>402</v>
      </c>
      <c r="B85" s="114">
        <f>+COUNTIFS('LOI and Commissioning Master Sh'!$G:$G,Summary!B$78,'LOI and Commissioning Master Sh'!$CB:$CB,Summary!$A85,'LOI and Commissioning Master Sh'!$BW:$BW,"Commissioned",'LOI and Commissioning Master Sh'!$AS:$AS,"Apr-26")</f>
        <v>0</v>
      </c>
      <c r="C85" s="114">
        <f>+COUNTIFS('LOI and Commissioning Master Sh'!$G:$G,Summary!C$78,'LOI and Commissioning Master Sh'!$CB:$CB,Summary!$A85,'LOI and Commissioning Master Sh'!$BW:$BW,"Commissioned",'LOI and Commissioning Master Sh'!$AS:$AS,"Apr-26")</f>
        <v>0</v>
      </c>
      <c r="D85" s="114">
        <f>+COUNTIFS('LOI and Commissioning Master Sh'!$G:$G,Summary!D$78,'LOI and Commissioning Master Sh'!$CB:$CB,Summary!$A85,'LOI and Commissioning Master Sh'!$BW:$BW,"Commissioned",'LOI and Commissioning Master Sh'!$AS:$AS,"Apr-26")</f>
        <v>0</v>
      </c>
      <c r="E85" s="114">
        <f>+COUNTIFS('LOI and Commissioning Master Sh'!$G:$G,Summary!E$78,'LOI and Commissioning Master Sh'!$CB:$CB,Summary!$A85,'LOI and Commissioning Master Sh'!$BW:$BW,"Commissioned",'LOI and Commissioning Master Sh'!$AS:$AS,"Apr-26")</f>
        <v>0</v>
      </c>
      <c r="F85" s="114">
        <f>+COUNTIFS('LOI and Commissioning Master Sh'!$G:$G,Summary!F$78,'LOI and Commissioning Master Sh'!$CB:$CB,Summary!$A85,'LOI and Commissioning Master Sh'!$BW:$BW,"Commissioned",'LOI and Commissioning Master Sh'!$AS:$AS,"Apr-26")</f>
        <v>0</v>
      </c>
      <c r="G85" s="114">
        <f>+SUM(B85:F85)</f>
        <v>0</v>
      </c>
      <c r="H85" s="115"/>
      <c r="I85" s="116" t="s">
        <v>402</v>
      </c>
      <c r="J85" s="114">
        <f>+COUNTIFS('LOI and Commissioning Master Sh'!$CB:$CB,Summary!$I85,'LOI and Commissioning Master Sh'!$G:$G,Summary!J$78,'LOI and Commissioning Master Sh'!$CI:$CI,"Apr'26")</f>
        <v>0</v>
      </c>
      <c r="K85" s="114">
        <f>+COUNTIFS('LOI and Commissioning Master Sh'!$CB:$CB,Summary!$I85,'LOI and Commissioning Master Sh'!$G:$G,Summary!K$78,'LOI and Commissioning Master Sh'!$CI:$CI,"Apr'26")</f>
        <v>0</v>
      </c>
      <c r="L85" s="114">
        <f>+COUNTIFS('LOI and Commissioning Master Sh'!$CB:$CB,Summary!$I85,'LOI and Commissioning Master Sh'!$G:$G,Summary!L$78,'LOI and Commissioning Master Sh'!$CI:$CI,"Apr'26")</f>
        <v>0</v>
      </c>
      <c r="M85" s="114">
        <f>+COUNTIFS('LOI and Commissioning Master Sh'!$CB:$CB,Summary!$I85,'LOI and Commissioning Master Sh'!$G:$G,Summary!M$78,'LOI and Commissioning Master Sh'!$CI:$CI,"Apr'26")</f>
        <v>0</v>
      </c>
      <c r="N85" s="114">
        <f>+COUNTIFS('LOI and Commissioning Master Sh'!$CB:$CB,Summary!$I85,'LOI and Commissioning Master Sh'!$G:$G,Summary!N$78,'LOI and Commissioning Master Sh'!$CI:$CI,"Apr'26")</f>
        <v>0</v>
      </c>
      <c r="O85" s="273">
        <f>SUM(J85:N85)</f>
        <v>0</v>
      </c>
    </row>
    <row r="86" spans="1:15" ht="18.75" x14ac:dyDescent="0.3">
      <c r="A86" s="122" t="s">
        <v>185</v>
      </c>
      <c r="B86" s="114">
        <f>+COUNTIFS('LOI and Commissioning Master Sh'!$G:$G,Summary!B$78,'LOI and Commissioning Master Sh'!$CB:$CB,Summary!$A86,'LOI and Commissioning Master Sh'!$BW:$BW,"Commissioned",'LOI and Commissioning Master Sh'!$AS:$AS,"Apr-26")</f>
        <v>0</v>
      </c>
      <c r="C86" s="114">
        <f>+COUNTIFS('LOI and Commissioning Master Sh'!$G:$G,Summary!C$78,'LOI and Commissioning Master Sh'!$CB:$CB,Summary!$A86,'LOI and Commissioning Master Sh'!$BW:$BW,"Commissioned",'LOI and Commissioning Master Sh'!$AS:$AS,"Apr-26")</f>
        <v>0</v>
      </c>
      <c r="D86" s="114">
        <f>+COUNTIFS('LOI and Commissioning Master Sh'!$G:$G,Summary!D$78,'LOI and Commissioning Master Sh'!$CB:$CB,Summary!$A86,'LOI and Commissioning Master Sh'!$BW:$BW,"Commissioned",'LOI and Commissioning Master Sh'!$AS:$AS,"Apr-26")</f>
        <v>0</v>
      </c>
      <c r="E86" s="114">
        <f>+COUNTIFS('LOI and Commissioning Master Sh'!$G:$G,Summary!E$78,'LOI and Commissioning Master Sh'!$CB:$CB,Summary!$A86,'LOI and Commissioning Master Sh'!$BW:$BW,"Commissioned",'LOI and Commissioning Master Sh'!$AS:$AS,"Apr-26")</f>
        <v>0</v>
      </c>
      <c r="F86" s="114">
        <f>+COUNTIFS('LOI and Commissioning Master Sh'!$G:$G,Summary!F$78,'LOI and Commissioning Master Sh'!$CB:$CB,Summary!$A86,'LOI and Commissioning Master Sh'!$BW:$BW,"Commissioned",'LOI and Commissioning Master Sh'!$AS:$AS,"Apr-26")</f>
        <v>0</v>
      </c>
      <c r="G86" s="114">
        <f t="shared" ref="G86:G87" si="57">+SUM(B86:F86)</f>
        <v>0</v>
      </c>
      <c r="H86" s="115"/>
      <c r="I86" s="116" t="s">
        <v>185</v>
      </c>
      <c r="J86" s="114">
        <f>+COUNTIFS('LOI and Commissioning Master Sh'!$CB:$CB,Summary!$I86,'LOI and Commissioning Master Sh'!$G:$G,Summary!J$78,'LOI and Commissioning Master Sh'!$CI:$CI,"Apr'26")</f>
        <v>0</v>
      </c>
      <c r="K86" s="114">
        <f>+COUNTIFS('LOI and Commissioning Master Sh'!$CB:$CB,Summary!$I86,'LOI and Commissioning Master Sh'!$G:$G,Summary!K$78,'LOI and Commissioning Master Sh'!$CI:$CI,"Apr'26")</f>
        <v>0</v>
      </c>
      <c r="L86" s="114">
        <f>+COUNTIFS('LOI and Commissioning Master Sh'!$CB:$CB,Summary!$I86,'LOI and Commissioning Master Sh'!$G:$G,Summary!L$78,'LOI and Commissioning Master Sh'!$CI:$CI,"Apr'26")</f>
        <v>0</v>
      </c>
      <c r="M86" s="114">
        <f>+COUNTIFS('LOI and Commissioning Master Sh'!$CB:$CB,Summary!$I86,'LOI and Commissioning Master Sh'!$G:$G,Summary!M$78,'LOI and Commissioning Master Sh'!$CI:$CI,"Apr'26")</f>
        <v>0</v>
      </c>
      <c r="N86" s="114">
        <f>+COUNTIFS('LOI and Commissioning Master Sh'!$CB:$CB,Summary!$I86,'LOI and Commissioning Master Sh'!$G:$G,Summary!N$78,'LOI and Commissioning Master Sh'!$CI:$CI,"Apr'26")</f>
        <v>0</v>
      </c>
      <c r="O86" s="273">
        <f t="shared" ref="O86:O87" si="58">SUM(J86:N86)</f>
        <v>0</v>
      </c>
    </row>
    <row r="87" spans="1:15" ht="18.75" x14ac:dyDescent="0.3">
      <c r="A87" s="122" t="s">
        <v>118</v>
      </c>
      <c r="B87" s="114">
        <f>+COUNTIFS('LOI and Commissioning Master Sh'!$G:$G,Summary!B$78,'LOI and Commissioning Master Sh'!$CB:$CB,Summary!$A87,'LOI and Commissioning Master Sh'!$BW:$BW,"Commissioned",'LOI and Commissioning Master Sh'!$AS:$AS,"Apr-26")</f>
        <v>0</v>
      </c>
      <c r="C87" s="114">
        <f>+COUNTIFS('LOI and Commissioning Master Sh'!$G:$G,Summary!C$78,'LOI and Commissioning Master Sh'!$CB:$CB,Summary!$A87,'LOI and Commissioning Master Sh'!$BW:$BW,"Commissioned",'LOI and Commissioning Master Sh'!$AS:$AS,"Apr-26")</f>
        <v>0</v>
      </c>
      <c r="D87" s="114">
        <f>+COUNTIFS('LOI and Commissioning Master Sh'!$G:$G,Summary!D$78,'LOI and Commissioning Master Sh'!$CB:$CB,Summary!$A87,'LOI and Commissioning Master Sh'!$BW:$BW,"Commissioned",'LOI and Commissioning Master Sh'!$AS:$AS,"Apr-26")</f>
        <v>0</v>
      </c>
      <c r="E87" s="114">
        <f>+COUNTIFS('LOI and Commissioning Master Sh'!$G:$G,Summary!E$78,'LOI and Commissioning Master Sh'!$CB:$CB,Summary!$A87,'LOI and Commissioning Master Sh'!$BW:$BW,"Commissioned",'LOI and Commissioning Master Sh'!$AS:$AS,"Apr-26")</f>
        <v>0</v>
      </c>
      <c r="F87" s="114">
        <f>+COUNTIFS('LOI and Commissioning Master Sh'!$G:$G,Summary!F$78,'LOI and Commissioning Master Sh'!$CB:$CB,Summary!$A87,'LOI and Commissioning Master Sh'!$BW:$BW,"Commissioned",'LOI and Commissioning Master Sh'!$AS:$AS,"Apr-26")</f>
        <v>1</v>
      </c>
      <c r="G87" s="114">
        <f t="shared" si="57"/>
        <v>1</v>
      </c>
      <c r="H87" s="115"/>
      <c r="I87" s="116" t="s">
        <v>118</v>
      </c>
      <c r="J87" s="114">
        <f>+COUNTIFS('LOI and Commissioning Master Sh'!$CB:$CB,Summary!$I87,'LOI and Commissioning Master Sh'!$G:$G,Summary!J$78,'LOI and Commissioning Master Sh'!$CI:$CI,"Apr'26")</f>
        <v>0</v>
      </c>
      <c r="K87" s="114">
        <f>+COUNTIFS('LOI and Commissioning Master Sh'!$CB:$CB,Summary!$I87,'LOI and Commissioning Master Sh'!$G:$G,Summary!K$78,'LOI and Commissioning Master Sh'!$CI:$CI,"Apr'26")</f>
        <v>0</v>
      </c>
      <c r="L87" s="114">
        <f>+COUNTIFS('LOI and Commissioning Master Sh'!$CB:$CB,Summary!$I87,'LOI and Commissioning Master Sh'!$G:$G,Summary!L$78,'LOI and Commissioning Master Sh'!$CI:$CI,"Apr'26")</f>
        <v>0</v>
      </c>
      <c r="M87" s="114">
        <f>+COUNTIFS('LOI and Commissioning Master Sh'!$CB:$CB,Summary!$I87,'LOI and Commissioning Master Sh'!$G:$G,Summary!M$78,'LOI and Commissioning Master Sh'!$CI:$CI,"Apr'26")</f>
        <v>0</v>
      </c>
      <c r="N87" s="114">
        <f>+COUNTIFS('LOI and Commissioning Master Sh'!$CB:$CB,Summary!$I87,'LOI and Commissioning Master Sh'!$G:$G,Summary!N$78,'LOI and Commissioning Master Sh'!$CI:$CI,"Apr'26")</f>
        <v>0</v>
      </c>
      <c r="O87" s="273">
        <f t="shared" si="58"/>
        <v>0</v>
      </c>
    </row>
    <row r="88" spans="1:15" ht="18.75" x14ac:dyDescent="0.3">
      <c r="A88" s="122"/>
      <c r="B88" s="114"/>
      <c r="C88" s="114"/>
      <c r="D88" s="114"/>
      <c r="E88" s="114"/>
      <c r="F88" s="114"/>
      <c r="G88" s="114"/>
      <c r="H88" s="115"/>
      <c r="I88" s="116"/>
      <c r="J88" s="114"/>
      <c r="K88" s="114"/>
      <c r="L88" s="114"/>
      <c r="M88" s="114"/>
      <c r="N88" s="114"/>
      <c r="O88" s="273"/>
    </row>
    <row r="89" spans="1:15" ht="37.5" x14ac:dyDescent="0.3">
      <c r="A89" s="122" t="s">
        <v>1379</v>
      </c>
      <c r="B89" s="114">
        <f>+SUM(B90:B92)</f>
        <v>1</v>
      </c>
      <c r="C89" s="114">
        <f t="shared" ref="C89" si="59">+SUM(C90:C92)</f>
        <v>0</v>
      </c>
      <c r="D89" s="114">
        <f t="shared" ref="D89" si="60">+SUM(D90:D92)</f>
        <v>3</v>
      </c>
      <c r="E89" s="114">
        <f t="shared" ref="E89" si="61">+SUM(E90:E92)</f>
        <v>1</v>
      </c>
      <c r="F89" s="114">
        <f t="shared" ref="F89" si="62">+SUM(F90:F92)</f>
        <v>2</v>
      </c>
      <c r="G89" s="114">
        <f t="shared" ref="G89" si="63">+SUM(G90:G92)</f>
        <v>7</v>
      </c>
      <c r="H89" s="115"/>
      <c r="I89" s="116" t="s">
        <v>1380</v>
      </c>
      <c r="J89" s="114">
        <f>+SUM(J90:J92)</f>
        <v>0</v>
      </c>
      <c r="K89" s="114">
        <f t="shared" ref="K89" si="64">+SUM(K90:K92)</f>
        <v>0</v>
      </c>
      <c r="L89" s="114">
        <f t="shared" ref="L89:O89" si="65">+SUM(L90:L92)</f>
        <v>0</v>
      </c>
      <c r="M89" s="114">
        <f t="shared" si="65"/>
        <v>0</v>
      </c>
      <c r="N89" s="114">
        <f t="shared" si="65"/>
        <v>0</v>
      </c>
      <c r="O89" s="273">
        <f t="shared" si="65"/>
        <v>0</v>
      </c>
    </row>
    <row r="90" spans="1:15" ht="18.75" x14ac:dyDescent="0.3">
      <c r="A90" s="122" t="s">
        <v>402</v>
      </c>
      <c r="B90" s="114">
        <f>+COUNTIFS('LOI and Commissioning Master Sh'!$G:$G,Summary!B$78,'LOI and Commissioning Master Sh'!$CB:$CB,Summary!$A90,'LOI and Commissioning Master Sh'!$BW:$BW,"Commissioned",'LOI and Commissioning Master Sh'!$AS:$AS,"May-26")</f>
        <v>0</v>
      </c>
      <c r="C90" s="114">
        <f>+COUNTIFS('LOI and Commissioning Master Sh'!$G:$G,Summary!C$78,'LOI and Commissioning Master Sh'!$CB:$CB,Summary!$A90,'LOI and Commissioning Master Sh'!$BW:$BW,"Commissioned",'LOI and Commissioning Master Sh'!$AS:$AS,"May-26")</f>
        <v>0</v>
      </c>
      <c r="D90" s="114">
        <f>+COUNTIFS('LOI and Commissioning Master Sh'!$G:$G,Summary!D$78,'LOI and Commissioning Master Sh'!$CB:$CB,Summary!$A90,'LOI and Commissioning Master Sh'!$BW:$BW,"Commissioned",'LOI and Commissioning Master Sh'!$AS:$AS,"May-26")</f>
        <v>0</v>
      </c>
      <c r="E90" s="114">
        <f>+COUNTIFS('LOI and Commissioning Master Sh'!$G:$G,Summary!E$78,'LOI and Commissioning Master Sh'!$CB:$CB,Summary!$A90,'LOI and Commissioning Master Sh'!$BW:$BW,"Commissioned",'LOI and Commissioning Master Sh'!$AS:$AS,"May-26")</f>
        <v>0</v>
      </c>
      <c r="F90" s="114">
        <f>+COUNTIFS('LOI and Commissioning Master Sh'!$G:$G,Summary!F$78,'LOI and Commissioning Master Sh'!$CB:$CB,Summary!$A90,'LOI and Commissioning Master Sh'!$BW:$BW,"Commissioned",'LOI and Commissioning Master Sh'!$AS:$AS,"May-26")</f>
        <v>0</v>
      </c>
      <c r="G90" s="114">
        <f>+SUM(B90:F90)</f>
        <v>0</v>
      </c>
      <c r="H90" s="115"/>
      <c r="I90" s="116" t="s">
        <v>402</v>
      </c>
      <c r="J90" s="114">
        <f>+COUNTIFS('LOI and Commissioning Master Sh'!$CB:$CB,Summary!$I90,'LOI and Commissioning Master Sh'!$G:$G,Summary!J$78,'LOI and Commissioning Master Sh'!$CI:$CI,"May'26")</f>
        <v>0</v>
      </c>
      <c r="K90" s="114">
        <f>+COUNTIFS('LOI and Commissioning Master Sh'!$CB:$CB,Summary!$I90,'LOI and Commissioning Master Sh'!$G:$G,Summary!K$78,'LOI and Commissioning Master Sh'!$CI:$CI,"May'26")</f>
        <v>0</v>
      </c>
      <c r="L90" s="114">
        <f>+COUNTIFS('LOI and Commissioning Master Sh'!$CB:$CB,Summary!$I90,'LOI and Commissioning Master Sh'!$G:$G,Summary!L$78,'LOI and Commissioning Master Sh'!$CI:$CI,"May'26")</f>
        <v>0</v>
      </c>
      <c r="M90" s="114">
        <f>+COUNTIFS('LOI and Commissioning Master Sh'!$CB:$CB,Summary!$I90,'LOI and Commissioning Master Sh'!$G:$G,Summary!M$78,'LOI and Commissioning Master Sh'!$CI:$CI,"May'26")</f>
        <v>0</v>
      </c>
      <c r="N90" s="114">
        <f>+COUNTIFS('LOI and Commissioning Master Sh'!$CB:$CB,Summary!$I90,'LOI and Commissioning Master Sh'!$G:$G,Summary!N$78,'LOI and Commissioning Master Sh'!$CI:$CI,"May'26")</f>
        <v>0</v>
      </c>
      <c r="O90" s="273">
        <f>SUM(J90:N90)</f>
        <v>0</v>
      </c>
    </row>
    <row r="91" spans="1:15" ht="18.75" x14ac:dyDescent="0.3">
      <c r="A91" s="122" t="s">
        <v>185</v>
      </c>
      <c r="B91" s="114">
        <f>+COUNTIFS('LOI and Commissioning Master Sh'!$G:$G,Summary!B$78,'LOI and Commissioning Master Sh'!$CB:$CB,Summary!$A91,'LOI and Commissioning Master Sh'!$BW:$BW,"Commissioned",'LOI and Commissioning Master Sh'!$AS:$AS,"May-26")</f>
        <v>0</v>
      </c>
      <c r="C91" s="114">
        <f>+COUNTIFS('LOI and Commissioning Master Sh'!$G:$G,Summary!C$78,'LOI and Commissioning Master Sh'!$CB:$CB,Summary!$A91,'LOI and Commissioning Master Sh'!$BW:$BW,"Commissioned",'LOI and Commissioning Master Sh'!$AS:$AS,"May-26")</f>
        <v>0</v>
      </c>
      <c r="D91" s="114">
        <f>+COUNTIFS('LOI and Commissioning Master Sh'!$G:$G,Summary!D$78,'LOI and Commissioning Master Sh'!$CB:$CB,Summary!$A91,'LOI and Commissioning Master Sh'!$BW:$BW,"Commissioned",'LOI and Commissioning Master Sh'!$AS:$AS,"May-26")</f>
        <v>0</v>
      </c>
      <c r="E91" s="114">
        <f>+COUNTIFS('LOI and Commissioning Master Sh'!$G:$G,Summary!E$78,'LOI and Commissioning Master Sh'!$CB:$CB,Summary!$A91,'LOI and Commissioning Master Sh'!$BW:$BW,"Commissioned",'LOI and Commissioning Master Sh'!$AS:$AS,"May-26")</f>
        <v>0</v>
      </c>
      <c r="F91" s="114">
        <f>+COUNTIFS('LOI and Commissioning Master Sh'!$G:$G,Summary!F$78,'LOI and Commissioning Master Sh'!$CB:$CB,Summary!$A91,'LOI and Commissioning Master Sh'!$BW:$BW,"Commissioned",'LOI and Commissioning Master Sh'!$AS:$AS,"May-26")</f>
        <v>0</v>
      </c>
      <c r="G91" s="114">
        <f t="shared" ref="G91:G92" si="66">+SUM(B91:F91)</f>
        <v>0</v>
      </c>
      <c r="H91" s="115"/>
      <c r="I91" s="116" t="s">
        <v>185</v>
      </c>
      <c r="J91" s="114">
        <f>+COUNTIFS('LOI and Commissioning Master Sh'!$CB:$CB,Summary!$I91,'LOI and Commissioning Master Sh'!$G:$G,Summary!J$78,'LOI and Commissioning Master Sh'!$CI:$CI,"May'26")</f>
        <v>0</v>
      </c>
      <c r="K91" s="114">
        <f>+COUNTIFS('LOI and Commissioning Master Sh'!$CB:$CB,Summary!$I91,'LOI and Commissioning Master Sh'!$G:$G,Summary!K$78,'LOI and Commissioning Master Sh'!$CI:$CI,"May'26")</f>
        <v>0</v>
      </c>
      <c r="L91" s="114">
        <f>+COUNTIFS('LOI and Commissioning Master Sh'!$CB:$CB,Summary!$I91,'LOI and Commissioning Master Sh'!$G:$G,Summary!L$78,'LOI and Commissioning Master Sh'!$CI:$CI,"May'26")</f>
        <v>0</v>
      </c>
      <c r="M91" s="114">
        <f>+COUNTIFS('LOI and Commissioning Master Sh'!$CB:$CB,Summary!$I91,'LOI and Commissioning Master Sh'!$G:$G,Summary!M$78,'LOI and Commissioning Master Sh'!$CI:$CI,"May'26")</f>
        <v>0</v>
      </c>
      <c r="N91" s="114">
        <f>+COUNTIFS('LOI and Commissioning Master Sh'!$CB:$CB,Summary!$I91,'LOI and Commissioning Master Sh'!$G:$G,Summary!N$78,'LOI and Commissioning Master Sh'!$CI:$CI,"May'26")</f>
        <v>0</v>
      </c>
      <c r="O91" s="273">
        <f t="shared" ref="O91:O92" si="67">SUM(J91:N91)</f>
        <v>0</v>
      </c>
    </row>
    <row r="92" spans="1:15" ht="18.75" x14ac:dyDescent="0.3">
      <c r="A92" s="122" t="s">
        <v>118</v>
      </c>
      <c r="B92" s="114">
        <f>+COUNTIFS('LOI and Commissioning Master Sh'!$G:$G,Summary!B$78,'LOI and Commissioning Master Sh'!$CB:$CB,Summary!$A92,'LOI and Commissioning Master Sh'!$BW:$BW,"Commissioned",'LOI and Commissioning Master Sh'!$AS:$AS,"May-26")</f>
        <v>1</v>
      </c>
      <c r="C92" s="114">
        <f>+COUNTIFS('LOI and Commissioning Master Sh'!$G:$G,Summary!C$78,'LOI and Commissioning Master Sh'!$CB:$CB,Summary!$A92,'LOI and Commissioning Master Sh'!$BW:$BW,"Commissioned",'LOI and Commissioning Master Sh'!$AS:$AS,"May-26")</f>
        <v>0</v>
      </c>
      <c r="D92" s="114">
        <f>+COUNTIFS('LOI and Commissioning Master Sh'!$G:$G,Summary!D$78,'LOI and Commissioning Master Sh'!$CB:$CB,Summary!$A92,'LOI and Commissioning Master Sh'!$BW:$BW,"Commissioned",'LOI and Commissioning Master Sh'!$AS:$AS,"May-26")</f>
        <v>3</v>
      </c>
      <c r="E92" s="114">
        <f>+COUNTIFS('LOI and Commissioning Master Sh'!$G:$G,Summary!E$78,'LOI and Commissioning Master Sh'!$CB:$CB,Summary!$A92,'LOI and Commissioning Master Sh'!$BW:$BW,"Commissioned",'LOI and Commissioning Master Sh'!$AS:$AS,"May-26")</f>
        <v>1</v>
      </c>
      <c r="F92" s="114">
        <f>+COUNTIFS('LOI and Commissioning Master Sh'!$G:$G,Summary!F$78,'LOI and Commissioning Master Sh'!$CB:$CB,Summary!$A92,'LOI and Commissioning Master Sh'!$BW:$BW,"Commissioned",'LOI and Commissioning Master Sh'!$AS:$AS,"May-26")</f>
        <v>2</v>
      </c>
      <c r="G92" s="114">
        <f t="shared" si="66"/>
        <v>7</v>
      </c>
      <c r="H92" s="115"/>
      <c r="I92" s="116" t="s">
        <v>118</v>
      </c>
      <c r="J92" s="114">
        <f>+COUNTIFS('LOI and Commissioning Master Sh'!$CB:$CB,Summary!$I92,'LOI and Commissioning Master Sh'!$G:$G,Summary!J$78,'LOI and Commissioning Master Sh'!$CI:$CI,"May'26")</f>
        <v>0</v>
      </c>
      <c r="K92" s="114">
        <f>+COUNTIFS('LOI and Commissioning Master Sh'!$CB:$CB,Summary!$I92,'LOI and Commissioning Master Sh'!$G:$G,Summary!K$78,'LOI and Commissioning Master Sh'!$CI:$CI,"May'26")</f>
        <v>0</v>
      </c>
      <c r="L92" s="114">
        <f>+COUNTIFS('LOI and Commissioning Master Sh'!$CB:$CB,Summary!$I92,'LOI and Commissioning Master Sh'!$G:$G,Summary!L$78,'LOI and Commissioning Master Sh'!$CI:$CI,"May'26")</f>
        <v>0</v>
      </c>
      <c r="M92" s="114">
        <f>+COUNTIFS('LOI and Commissioning Master Sh'!$CB:$CB,Summary!$I92,'LOI and Commissioning Master Sh'!$G:$G,Summary!M$78,'LOI and Commissioning Master Sh'!$CI:$CI,"May'26")</f>
        <v>0</v>
      </c>
      <c r="N92" s="114">
        <f>+COUNTIFS('LOI and Commissioning Master Sh'!$CB:$CB,Summary!$I92,'LOI and Commissioning Master Sh'!$G:$G,Summary!N$78,'LOI and Commissioning Master Sh'!$CI:$CI,"May'26")</f>
        <v>0</v>
      </c>
      <c r="O92" s="273">
        <f t="shared" si="67"/>
        <v>0</v>
      </c>
    </row>
    <row r="93" spans="1:15" ht="18.75" x14ac:dyDescent="0.3">
      <c r="A93" s="122"/>
      <c r="B93" s="114"/>
      <c r="C93" s="114"/>
      <c r="D93" s="114"/>
      <c r="E93" s="114"/>
      <c r="F93" s="114"/>
      <c r="G93" s="114"/>
      <c r="H93" s="115"/>
      <c r="I93" s="116"/>
      <c r="J93" s="114"/>
      <c r="K93" s="114"/>
      <c r="L93" s="114"/>
      <c r="M93" s="114"/>
      <c r="N93" s="114"/>
      <c r="O93" s="273"/>
    </row>
    <row r="94" spans="1:15" ht="37.5" hidden="1" x14ac:dyDescent="0.3">
      <c r="A94" s="122" t="s">
        <v>1381</v>
      </c>
      <c r="B94" s="114">
        <f>+SUM(B95:B97)</f>
        <v>0</v>
      </c>
      <c r="C94" s="114">
        <f t="shared" ref="C94" si="68">+SUM(C95:C97)</f>
        <v>0</v>
      </c>
      <c r="D94" s="114">
        <f t="shared" ref="D94" si="69">+SUM(D95:D97)</f>
        <v>0</v>
      </c>
      <c r="E94" s="114">
        <f t="shared" ref="E94" si="70">+SUM(E95:E97)</f>
        <v>0</v>
      </c>
      <c r="F94" s="114">
        <f t="shared" ref="F94" si="71">+SUM(F95:F97)</f>
        <v>0</v>
      </c>
      <c r="G94" s="114">
        <f t="shared" ref="G94" si="72">+SUM(G95:G97)</f>
        <v>0</v>
      </c>
      <c r="H94" s="115"/>
      <c r="I94" s="116" t="s">
        <v>1382</v>
      </c>
      <c r="J94" s="114">
        <f>+SUM(J95:J97)</f>
        <v>0</v>
      </c>
      <c r="K94" s="114">
        <f t="shared" ref="K94" si="73">+SUM(K95:K97)</f>
        <v>0</v>
      </c>
      <c r="L94" s="114">
        <f t="shared" ref="L94:O94" si="74">+SUM(L95:L97)</f>
        <v>0</v>
      </c>
      <c r="M94" s="114">
        <f t="shared" si="74"/>
        <v>0</v>
      </c>
      <c r="N94" s="114">
        <f t="shared" si="74"/>
        <v>0</v>
      </c>
      <c r="O94" s="273">
        <f t="shared" si="74"/>
        <v>0</v>
      </c>
    </row>
    <row r="95" spans="1:15" ht="18.75" hidden="1" x14ac:dyDescent="0.3">
      <c r="A95" s="122" t="s">
        <v>402</v>
      </c>
      <c r="B95" s="114">
        <f>+COUNTIFS('LOI and Commissioning Master Sh'!$G:$G,Summary!B$78,'LOI and Commissioning Master Sh'!$CB:$CB,Summary!$A95,'LOI and Commissioning Master Sh'!$BW:$BW,"Commissioned",'LOI and Commissioning Master Sh'!$AS:$AS,"Jun-25")</f>
        <v>0</v>
      </c>
      <c r="C95" s="114">
        <f>+COUNTIFS('LOI and Commissioning Master Sh'!$G:$G,Summary!C$78,'LOI and Commissioning Master Sh'!$CB:$CB,Summary!$A95,'LOI and Commissioning Master Sh'!$BW:$BW,"Commissioned",'LOI and Commissioning Master Sh'!$AS:$AS,"Jun-25")</f>
        <v>0</v>
      </c>
      <c r="D95" s="114">
        <f>+COUNTIFS('LOI and Commissioning Master Sh'!$G:$G,Summary!D$78,'LOI and Commissioning Master Sh'!$CB:$CB,Summary!$A95,'LOI and Commissioning Master Sh'!$BW:$BW,"Commissioned",'LOI and Commissioning Master Sh'!$AS:$AS,"Jun-25")</f>
        <v>0</v>
      </c>
      <c r="E95" s="114">
        <f>+COUNTIFS('LOI and Commissioning Master Sh'!$G:$G,Summary!E$78,'LOI and Commissioning Master Sh'!$CB:$CB,Summary!$A95,'LOI and Commissioning Master Sh'!$BW:$BW,"Commissioned",'LOI and Commissioning Master Sh'!$AS:$AS,"Jun-25")</f>
        <v>0</v>
      </c>
      <c r="F95" s="114">
        <f>+COUNTIFS('LOI and Commissioning Master Sh'!$G:$G,Summary!F$78,'LOI and Commissioning Master Sh'!$CB:$CB,Summary!$A95,'LOI and Commissioning Master Sh'!$BW:$BW,"Commissioned",'LOI and Commissioning Master Sh'!$AS:$AS,"Jun-25")</f>
        <v>0</v>
      </c>
      <c r="G95" s="114">
        <f>+SUM(B95:F95)</f>
        <v>0</v>
      </c>
      <c r="H95" s="115"/>
      <c r="I95" s="116" t="s">
        <v>402</v>
      </c>
      <c r="J95" s="114">
        <f>+COUNTIFS('LOI and Commissioning Master Sh'!$CB:$CB,Summary!$I95,'LOI and Commissioning Master Sh'!$G:$G,Summary!J$78,'LOI and Commissioning Master Sh'!$CI:$CI,"Jun'26")</f>
        <v>0</v>
      </c>
      <c r="K95" s="114">
        <f>+COUNTIFS('LOI and Commissioning Master Sh'!$CB:$CB,Summary!$I95,'LOI and Commissioning Master Sh'!$G:$G,Summary!K$78,'LOI and Commissioning Master Sh'!$CI:$CI,"Jun'26")</f>
        <v>0</v>
      </c>
      <c r="L95" s="114">
        <f>+COUNTIFS('LOI and Commissioning Master Sh'!$CB:$CB,Summary!$I95,'LOI and Commissioning Master Sh'!$G:$G,Summary!L$78,'LOI and Commissioning Master Sh'!$CI:$CI,"Jun'26")</f>
        <v>0</v>
      </c>
      <c r="M95" s="114">
        <f>+COUNTIFS('LOI and Commissioning Master Sh'!$CB:$CB,Summary!$I95,'LOI and Commissioning Master Sh'!$G:$G,Summary!M$78,'LOI and Commissioning Master Sh'!$CI:$CI,"Jun'26")</f>
        <v>0</v>
      </c>
      <c r="N95" s="114">
        <f>+COUNTIFS('LOI and Commissioning Master Sh'!$CB:$CB,Summary!$I95,'LOI and Commissioning Master Sh'!$G:$G,Summary!N$78,'LOI and Commissioning Master Sh'!$CI:$CI,"Jun'26")</f>
        <v>0</v>
      </c>
      <c r="O95" s="273">
        <f>SUM(J95:N95)</f>
        <v>0</v>
      </c>
    </row>
    <row r="96" spans="1:15" ht="18.75" hidden="1" x14ac:dyDescent="0.3">
      <c r="A96" s="122" t="s">
        <v>185</v>
      </c>
      <c r="B96" s="114">
        <f>+COUNTIFS('LOI and Commissioning Master Sh'!$G:$G,Summary!B$78,'LOI and Commissioning Master Sh'!$CB:$CB,Summary!$A96,'LOI and Commissioning Master Sh'!$BW:$BW,"Commissioned",'LOI and Commissioning Master Sh'!$AS:$AS,"Jun-25")</f>
        <v>0</v>
      </c>
      <c r="C96" s="114">
        <f>+COUNTIFS('LOI and Commissioning Master Sh'!$G:$G,Summary!C$78,'LOI and Commissioning Master Sh'!$CB:$CB,Summary!$A96,'LOI and Commissioning Master Sh'!$BW:$BW,"Commissioned",'LOI and Commissioning Master Sh'!$AS:$AS,"Jun-25")</f>
        <v>0</v>
      </c>
      <c r="D96" s="114">
        <f>+COUNTIFS('LOI and Commissioning Master Sh'!$G:$G,Summary!D$78,'LOI and Commissioning Master Sh'!$CB:$CB,Summary!$A96,'LOI and Commissioning Master Sh'!$BW:$BW,"Commissioned",'LOI and Commissioning Master Sh'!$AS:$AS,"Jun-25")</f>
        <v>0</v>
      </c>
      <c r="E96" s="114">
        <f>+COUNTIFS('LOI and Commissioning Master Sh'!$G:$G,Summary!E$78,'LOI and Commissioning Master Sh'!$CB:$CB,Summary!$A96,'LOI and Commissioning Master Sh'!$BW:$BW,"Commissioned",'LOI and Commissioning Master Sh'!$AS:$AS,"Jun-25")</f>
        <v>0</v>
      </c>
      <c r="F96" s="114">
        <f>+COUNTIFS('LOI and Commissioning Master Sh'!$G:$G,Summary!F$78,'LOI and Commissioning Master Sh'!$CB:$CB,Summary!$A96,'LOI and Commissioning Master Sh'!$BW:$BW,"Commissioned",'LOI and Commissioning Master Sh'!$AS:$AS,"Jun-25")</f>
        <v>0</v>
      </c>
      <c r="G96" s="114">
        <f t="shared" ref="G96:G97" si="75">+SUM(B96:F96)</f>
        <v>0</v>
      </c>
      <c r="H96" s="115"/>
      <c r="I96" s="116" t="s">
        <v>185</v>
      </c>
      <c r="J96" s="114">
        <f>+COUNTIFS('LOI and Commissioning Master Sh'!$CB:$CB,Summary!$I96,'LOI and Commissioning Master Sh'!$G:$G,Summary!J$78,'LOI and Commissioning Master Sh'!$CI:$CI,"Jun'26")</f>
        <v>0</v>
      </c>
      <c r="K96" s="114">
        <f>+COUNTIFS('LOI and Commissioning Master Sh'!$CB:$CB,Summary!$I96,'LOI and Commissioning Master Sh'!$G:$G,Summary!K$78,'LOI and Commissioning Master Sh'!$CI:$CI,"Jun'26")</f>
        <v>0</v>
      </c>
      <c r="L96" s="114">
        <f>+COUNTIFS('LOI and Commissioning Master Sh'!$CB:$CB,Summary!$I96,'LOI and Commissioning Master Sh'!$G:$G,Summary!L$78,'LOI and Commissioning Master Sh'!$CI:$CI,"Jun'26")</f>
        <v>0</v>
      </c>
      <c r="M96" s="114">
        <f>+COUNTIFS('LOI and Commissioning Master Sh'!$CB:$CB,Summary!$I96,'LOI and Commissioning Master Sh'!$G:$G,Summary!M$78,'LOI and Commissioning Master Sh'!$CI:$CI,"Jun'26")</f>
        <v>0</v>
      </c>
      <c r="N96" s="114">
        <f>+COUNTIFS('LOI and Commissioning Master Sh'!$CB:$CB,Summary!$I96,'LOI and Commissioning Master Sh'!$G:$G,Summary!N$78,'LOI and Commissioning Master Sh'!$CI:$CI,"Jun'26")</f>
        <v>0</v>
      </c>
      <c r="O96" s="273">
        <f t="shared" ref="O96:O97" si="76">SUM(J96:N96)</f>
        <v>0</v>
      </c>
    </row>
    <row r="97" spans="1:15" ht="18.75" hidden="1" x14ac:dyDescent="0.3">
      <c r="A97" s="122" t="s">
        <v>118</v>
      </c>
      <c r="B97" s="114">
        <f>+COUNTIFS('LOI and Commissioning Master Sh'!$G:$G,Summary!B$78,'LOI and Commissioning Master Sh'!$CB:$CB,Summary!$A97,'LOI and Commissioning Master Sh'!$BW:$BW,"Commissioned",'LOI and Commissioning Master Sh'!$AS:$AS,"Jun-25")</f>
        <v>0</v>
      </c>
      <c r="C97" s="114">
        <f>+COUNTIFS('LOI and Commissioning Master Sh'!$G:$G,Summary!C$78,'LOI and Commissioning Master Sh'!$CB:$CB,Summary!$A97,'LOI and Commissioning Master Sh'!$BW:$BW,"Commissioned",'LOI and Commissioning Master Sh'!$AS:$AS,"Jun-25")</f>
        <v>0</v>
      </c>
      <c r="D97" s="114">
        <f>+COUNTIFS('LOI and Commissioning Master Sh'!$G:$G,Summary!D$78,'LOI and Commissioning Master Sh'!$CB:$CB,Summary!$A97,'LOI and Commissioning Master Sh'!$BW:$BW,"Commissioned",'LOI and Commissioning Master Sh'!$AS:$AS,"Jun-25")</f>
        <v>0</v>
      </c>
      <c r="E97" s="114">
        <f>+COUNTIFS('LOI and Commissioning Master Sh'!$G:$G,Summary!E$78,'LOI and Commissioning Master Sh'!$CB:$CB,Summary!$A97,'LOI and Commissioning Master Sh'!$BW:$BW,"Commissioned",'LOI and Commissioning Master Sh'!$AS:$AS,"Jun-25")</f>
        <v>0</v>
      </c>
      <c r="F97" s="114">
        <f>+COUNTIFS('LOI and Commissioning Master Sh'!$G:$G,Summary!F$78,'LOI and Commissioning Master Sh'!$CB:$CB,Summary!$A97,'LOI and Commissioning Master Sh'!$BW:$BW,"Commissioned",'LOI and Commissioning Master Sh'!$AS:$AS,"Jun-25")</f>
        <v>0</v>
      </c>
      <c r="G97" s="114">
        <f t="shared" si="75"/>
        <v>0</v>
      </c>
      <c r="H97" s="115"/>
      <c r="I97" s="116" t="s">
        <v>118</v>
      </c>
      <c r="J97" s="114">
        <f>+COUNTIFS('LOI and Commissioning Master Sh'!$CB:$CB,Summary!$I97,'LOI and Commissioning Master Sh'!$G:$G,Summary!J$78,'LOI and Commissioning Master Sh'!$CI:$CI,"Jun'26")</f>
        <v>0</v>
      </c>
      <c r="K97" s="114">
        <f>+COUNTIFS('LOI and Commissioning Master Sh'!$CB:$CB,Summary!$I97,'LOI and Commissioning Master Sh'!$G:$G,Summary!K$78,'LOI and Commissioning Master Sh'!$CI:$CI,"Jun'26")</f>
        <v>0</v>
      </c>
      <c r="L97" s="114">
        <f>+COUNTIFS('LOI and Commissioning Master Sh'!$CB:$CB,Summary!$I97,'LOI and Commissioning Master Sh'!$G:$G,Summary!L$78,'LOI and Commissioning Master Sh'!$CI:$CI,"Jun'26")</f>
        <v>0</v>
      </c>
      <c r="M97" s="114">
        <f>+COUNTIFS('LOI and Commissioning Master Sh'!$CB:$CB,Summary!$I97,'LOI and Commissioning Master Sh'!$G:$G,Summary!M$78,'LOI and Commissioning Master Sh'!$CI:$CI,"Jun'26")</f>
        <v>0</v>
      </c>
      <c r="N97" s="114">
        <f>+COUNTIFS('LOI and Commissioning Master Sh'!$CB:$CB,Summary!$I97,'LOI and Commissioning Master Sh'!$G:$G,Summary!N$78,'LOI and Commissioning Master Sh'!$CI:$CI,"Jun'26")</f>
        <v>0</v>
      </c>
      <c r="O97" s="273">
        <f t="shared" si="76"/>
        <v>0</v>
      </c>
    </row>
    <row r="98" spans="1:15" ht="18.75" hidden="1" x14ac:dyDescent="0.3">
      <c r="A98" s="122"/>
      <c r="B98" s="114"/>
      <c r="C98" s="114"/>
      <c r="D98" s="114"/>
      <c r="E98" s="114"/>
      <c r="F98" s="114"/>
      <c r="G98" s="114"/>
      <c r="H98" s="115"/>
      <c r="I98" s="116"/>
      <c r="J98" s="114"/>
      <c r="K98" s="114"/>
      <c r="L98" s="114"/>
      <c r="M98" s="114"/>
      <c r="N98" s="114"/>
      <c r="O98" s="273"/>
    </row>
    <row r="99" spans="1:15" ht="37.5" hidden="1" x14ac:dyDescent="0.3">
      <c r="A99" s="122" t="s">
        <v>1383</v>
      </c>
      <c r="B99" s="114">
        <f>+SUM(B100:B102)</f>
        <v>0</v>
      </c>
      <c r="C99" s="114">
        <f t="shared" ref="C99" si="77">+SUM(C100:C102)</f>
        <v>0</v>
      </c>
      <c r="D99" s="114">
        <f t="shared" ref="D99" si="78">+SUM(D100:D102)</f>
        <v>0</v>
      </c>
      <c r="E99" s="114">
        <f t="shared" ref="E99" si="79">+SUM(E100:E102)</f>
        <v>0</v>
      </c>
      <c r="F99" s="114">
        <f t="shared" ref="F99" si="80">+SUM(F100:F102)</f>
        <v>0</v>
      </c>
      <c r="G99" s="114">
        <f t="shared" ref="G99" si="81">+SUM(G100:G102)</f>
        <v>0</v>
      </c>
      <c r="H99" s="115"/>
      <c r="I99" s="116" t="s">
        <v>1384</v>
      </c>
      <c r="J99" s="114">
        <f>+SUM(J100:J102)</f>
        <v>0</v>
      </c>
      <c r="K99" s="114">
        <f t="shared" ref="K99" si="82">+SUM(K100:K102)</f>
        <v>0</v>
      </c>
      <c r="L99" s="114">
        <f t="shared" ref="L99:O99" si="83">+SUM(L100:L102)</f>
        <v>0</v>
      </c>
      <c r="M99" s="114">
        <f t="shared" si="83"/>
        <v>0</v>
      </c>
      <c r="N99" s="114">
        <f t="shared" si="83"/>
        <v>0</v>
      </c>
      <c r="O99" s="273">
        <f t="shared" si="83"/>
        <v>0</v>
      </c>
    </row>
    <row r="100" spans="1:15" ht="18.75" hidden="1" x14ac:dyDescent="0.3">
      <c r="A100" s="122" t="s">
        <v>402</v>
      </c>
      <c r="B100" s="114">
        <f>+COUNTIFS('LOI and Commissioning Master Sh'!$G:$G,Summary!B$78,'LOI and Commissioning Master Sh'!$CB:$CB,Summary!$A100,'LOI and Commissioning Master Sh'!$BW:$BW,"Commissioned",'LOI and Commissioning Master Sh'!$AS:$AS,"Jul-25")</f>
        <v>0</v>
      </c>
      <c r="C100" s="114">
        <f>+COUNTIFS('LOI and Commissioning Master Sh'!$G:$G,Summary!C$78,'LOI and Commissioning Master Sh'!$CB:$CB,Summary!$A100,'LOI and Commissioning Master Sh'!$BW:$BW,"Commissioned",'LOI and Commissioning Master Sh'!$AS:$AS,"Jul-25")</f>
        <v>0</v>
      </c>
      <c r="D100" s="114">
        <f>+COUNTIFS('LOI and Commissioning Master Sh'!$G:$G,Summary!D$78,'LOI and Commissioning Master Sh'!$CB:$CB,Summary!$A100,'LOI and Commissioning Master Sh'!$BW:$BW,"Commissioned",'LOI and Commissioning Master Sh'!$AS:$AS,"Jul-25")</f>
        <v>0</v>
      </c>
      <c r="E100" s="114">
        <f>+COUNTIFS('LOI and Commissioning Master Sh'!$G:$G,Summary!E$78,'LOI and Commissioning Master Sh'!$CB:$CB,Summary!$A100,'LOI and Commissioning Master Sh'!$BW:$BW,"Commissioned",'LOI and Commissioning Master Sh'!$AS:$AS,"Jul-25")</f>
        <v>0</v>
      </c>
      <c r="F100" s="114">
        <f>+COUNTIFS('LOI and Commissioning Master Sh'!$G:$G,Summary!F$78,'LOI and Commissioning Master Sh'!$CB:$CB,Summary!$A100,'LOI and Commissioning Master Sh'!$BW:$BW,"Commissioned",'LOI and Commissioning Master Sh'!$AS:$AS,"Jul-25")</f>
        <v>0</v>
      </c>
      <c r="G100" s="114">
        <f>+SUM(B100:F100)</f>
        <v>0</v>
      </c>
      <c r="H100" s="115"/>
      <c r="I100" s="116" t="s">
        <v>402</v>
      </c>
      <c r="J100" s="114">
        <f>+COUNTIFS('LOI and Commissioning Master Sh'!$CB:$CB,Summary!$I100,'LOI and Commissioning Master Sh'!$G:$G,Summary!J$78,'LOI and Commissioning Master Sh'!$CI:$CI,"Jul'26")</f>
        <v>0</v>
      </c>
      <c r="K100" s="114">
        <f>+COUNTIFS('LOI and Commissioning Master Sh'!$CB:$CB,Summary!$I100,'LOI and Commissioning Master Sh'!$G:$G,Summary!K$78,'LOI and Commissioning Master Sh'!$CI:$CI,"Jul'26")</f>
        <v>0</v>
      </c>
      <c r="L100" s="114">
        <f>+COUNTIFS('LOI and Commissioning Master Sh'!$CB:$CB,Summary!$I100,'LOI and Commissioning Master Sh'!$G:$G,Summary!L$78,'LOI and Commissioning Master Sh'!$CI:$CI,"Jul'26")</f>
        <v>0</v>
      </c>
      <c r="M100" s="114">
        <f>+COUNTIFS('LOI and Commissioning Master Sh'!$CB:$CB,Summary!$I100,'LOI and Commissioning Master Sh'!$G:$G,Summary!M$78,'LOI and Commissioning Master Sh'!$CI:$CI,"Jul'26")</f>
        <v>0</v>
      </c>
      <c r="N100" s="114">
        <f>+COUNTIFS('LOI and Commissioning Master Sh'!$CB:$CB,Summary!$I100,'LOI and Commissioning Master Sh'!$G:$G,Summary!N$78,'LOI and Commissioning Master Sh'!$CI:$CI,"Jul'26")</f>
        <v>0</v>
      </c>
      <c r="O100" s="273">
        <f>SUM(J100:N100)</f>
        <v>0</v>
      </c>
    </row>
    <row r="101" spans="1:15" ht="18.75" hidden="1" x14ac:dyDescent="0.3">
      <c r="A101" s="122" t="s">
        <v>185</v>
      </c>
      <c r="B101" s="114">
        <f>+COUNTIFS('LOI and Commissioning Master Sh'!$G:$G,Summary!B$78,'LOI and Commissioning Master Sh'!$CB:$CB,Summary!$A101,'LOI and Commissioning Master Sh'!$BW:$BW,"Commissioned",'LOI and Commissioning Master Sh'!$AS:$AS,"Jul-25")</f>
        <v>0</v>
      </c>
      <c r="C101" s="114">
        <f>+COUNTIFS('LOI and Commissioning Master Sh'!$G:$G,Summary!C$78,'LOI and Commissioning Master Sh'!$CB:$CB,Summary!$A101,'LOI and Commissioning Master Sh'!$BW:$BW,"Commissioned",'LOI and Commissioning Master Sh'!$AS:$AS,"Jul-25")</f>
        <v>0</v>
      </c>
      <c r="D101" s="114">
        <f>+COUNTIFS('LOI and Commissioning Master Sh'!$G:$G,Summary!D$78,'LOI and Commissioning Master Sh'!$CB:$CB,Summary!$A101,'LOI and Commissioning Master Sh'!$BW:$BW,"Commissioned",'LOI and Commissioning Master Sh'!$AS:$AS,"Jul-25")</f>
        <v>0</v>
      </c>
      <c r="E101" s="114">
        <f>+COUNTIFS('LOI and Commissioning Master Sh'!$G:$G,Summary!E$78,'LOI and Commissioning Master Sh'!$CB:$CB,Summary!$A101,'LOI and Commissioning Master Sh'!$BW:$BW,"Commissioned",'LOI and Commissioning Master Sh'!$AS:$AS,"Jul-25")</f>
        <v>0</v>
      </c>
      <c r="F101" s="114">
        <f>+COUNTIFS('LOI and Commissioning Master Sh'!$G:$G,Summary!F$78,'LOI and Commissioning Master Sh'!$CB:$CB,Summary!$A101,'LOI and Commissioning Master Sh'!$BW:$BW,"Commissioned",'LOI and Commissioning Master Sh'!$AS:$AS,"Jul-25")</f>
        <v>0</v>
      </c>
      <c r="G101" s="114">
        <f t="shared" ref="G101:G102" si="84">+SUM(B101:F101)</f>
        <v>0</v>
      </c>
      <c r="H101" s="115"/>
      <c r="I101" s="116" t="s">
        <v>185</v>
      </c>
      <c r="J101" s="114">
        <f>+COUNTIFS('LOI and Commissioning Master Sh'!$CB:$CB,Summary!$I101,'LOI and Commissioning Master Sh'!$G:$G,Summary!J$78,'LOI and Commissioning Master Sh'!$CI:$CI,"Jul'26")</f>
        <v>0</v>
      </c>
      <c r="K101" s="114">
        <f>+COUNTIFS('LOI and Commissioning Master Sh'!$CB:$CB,Summary!$I101,'LOI and Commissioning Master Sh'!$G:$G,Summary!K$78,'LOI and Commissioning Master Sh'!$CI:$CI,"Jul'26")</f>
        <v>0</v>
      </c>
      <c r="L101" s="114">
        <f>+COUNTIFS('LOI and Commissioning Master Sh'!$CB:$CB,Summary!$I101,'LOI and Commissioning Master Sh'!$G:$G,Summary!L$78,'LOI and Commissioning Master Sh'!$CI:$CI,"Jul'26")</f>
        <v>0</v>
      </c>
      <c r="M101" s="114">
        <f>+COUNTIFS('LOI and Commissioning Master Sh'!$CB:$CB,Summary!$I101,'LOI and Commissioning Master Sh'!$G:$G,Summary!M$78,'LOI and Commissioning Master Sh'!$CI:$CI,"Jul'26")</f>
        <v>0</v>
      </c>
      <c r="N101" s="114">
        <f>+COUNTIFS('LOI and Commissioning Master Sh'!$CB:$CB,Summary!$I101,'LOI and Commissioning Master Sh'!$G:$G,Summary!N$78,'LOI and Commissioning Master Sh'!$CI:$CI,"Jul'26")</f>
        <v>0</v>
      </c>
      <c r="O101" s="273">
        <f t="shared" ref="O101:O102" si="85">SUM(J101:N101)</f>
        <v>0</v>
      </c>
    </row>
    <row r="102" spans="1:15" ht="18.75" hidden="1" x14ac:dyDescent="0.3">
      <c r="A102" s="122" t="s">
        <v>118</v>
      </c>
      <c r="B102" s="114">
        <f>+COUNTIFS('LOI and Commissioning Master Sh'!$G:$G,Summary!B$78,'LOI and Commissioning Master Sh'!$CB:$CB,Summary!$A102,'LOI and Commissioning Master Sh'!$BW:$BW,"Commissioned",'LOI and Commissioning Master Sh'!$AS:$AS,"Jul-25")</f>
        <v>0</v>
      </c>
      <c r="C102" s="114">
        <f>+COUNTIFS('LOI and Commissioning Master Sh'!$G:$G,Summary!C$78,'LOI and Commissioning Master Sh'!$CB:$CB,Summary!$A102,'LOI and Commissioning Master Sh'!$BW:$BW,"Commissioned",'LOI and Commissioning Master Sh'!$AS:$AS,"Jul-25")</f>
        <v>0</v>
      </c>
      <c r="D102" s="114">
        <f>+COUNTIFS('LOI and Commissioning Master Sh'!$G:$G,Summary!D$78,'LOI and Commissioning Master Sh'!$CB:$CB,Summary!$A102,'LOI and Commissioning Master Sh'!$BW:$BW,"Commissioned",'LOI and Commissioning Master Sh'!$AS:$AS,"Jul-25")</f>
        <v>0</v>
      </c>
      <c r="E102" s="114">
        <f>+COUNTIFS('LOI and Commissioning Master Sh'!$G:$G,Summary!E$78,'LOI and Commissioning Master Sh'!$CB:$CB,Summary!$A102,'LOI and Commissioning Master Sh'!$BW:$BW,"Commissioned",'LOI and Commissioning Master Sh'!$AS:$AS,"Jul-25")</f>
        <v>0</v>
      </c>
      <c r="F102" s="114">
        <f>+COUNTIFS('LOI and Commissioning Master Sh'!$G:$G,Summary!F$78,'LOI and Commissioning Master Sh'!$CB:$CB,Summary!$A102,'LOI and Commissioning Master Sh'!$BW:$BW,"Commissioned",'LOI and Commissioning Master Sh'!$AS:$AS,"Jul-25")</f>
        <v>0</v>
      </c>
      <c r="G102" s="114">
        <f t="shared" si="84"/>
        <v>0</v>
      </c>
      <c r="H102" s="115"/>
      <c r="I102" s="116" t="s">
        <v>118</v>
      </c>
      <c r="J102" s="114">
        <f>+COUNTIFS('LOI and Commissioning Master Sh'!$CB:$CB,Summary!$I102,'LOI and Commissioning Master Sh'!$G:$G,Summary!J$78,'LOI and Commissioning Master Sh'!$CI:$CI,"Jul'26")</f>
        <v>0</v>
      </c>
      <c r="K102" s="114">
        <f>+COUNTIFS('LOI and Commissioning Master Sh'!$CB:$CB,Summary!$I102,'LOI and Commissioning Master Sh'!$G:$G,Summary!K$78,'LOI and Commissioning Master Sh'!$CI:$CI,"Jul'26")</f>
        <v>0</v>
      </c>
      <c r="L102" s="114">
        <f>+COUNTIFS('LOI and Commissioning Master Sh'!$CB:$CB,Summary!$I102,'LOI and Commissioning Master Sh'!$G:$G,Summary!L$78,'LOI and Commissioning Master Sh'!$CI:$CI,"Jul'26")</f>
        <v>0</v>
      </c>
      <c r="M102" s="114">
        <f>+COUNTIFS('LOI and Commissioning Master Sh'!$CB:$CB,Summary!$I102,'LOI and Commissioning Master Sh'!$G:$G,Summary!M$78,'LOI and Commissioning Master Sh'!$CI:$CI,"Jul'26")</f>
        <v>0</v>
      </c>
      <c r="N102" s="114">
        <f>+COUNTIFS('LOI and Commissioning Master Sh'!$CB:$CB,Summary!$I102,'LOI and Commissioning Master Sh'!$G:$G,Summary!N$78,'LOI and Commissioning Master Sh'!$CI:$CI,"Jul'26")</f>
        <v>0</v>
      </c>
      <c r="O102" s="273">
        <f t="shared" si="85"/>
        <v>0</v>
      </c>
    </row>
    <row r="103" spans="1:15" ht="18.75" hidden="1" x14ac:dyDescent="0.3">
      <c r="A103" s="122"/>
      <c r="B103" s="114"/>
      <c r="C103" s="114"/>
      <c r="D103" s="114"/>
      <c r="E103" s="114"/>
      <c r="F103" s="114"/>
      <c r="G103" s="114"/>
      <c r="H103" s="115"/>
      <c r="I103" s="116"/>
      <c r="J103" s="114"/>
      <c r="K103" s="114"/>
      <c r="L103" s="114"/>
      <c r="M103" s="114"/>
      <c r="N103" s="114"/>
      <c r="O103" s="273"/>
    </row>
    <row r="104" spans="1:15" ht="37.5" hidden="1" x14ac:dyDescent="0.3">
      <c r="A104" s="122" t="s">
        <v>1385</v>
      </c>
      <c r="B104" s="114">
        <f>+SUM(B105:B107)</f>
        <v>0</v>
      </c>
      <c r="C104" s="114">
        <f t="shared" ref="C104" si="86">+SUM(C105:C107)</f>
        <v>0</v>
      </c>
      <c r="D104" s="114">
        <f t="shared" ref="D104" si="87">+SUM(D105:D107)</f>
        <v>0</v>
      </c>
      <c r="E104" s="114">
        <f t="shared" ref="E104" si="88">+SUM(E105:E107)</f>
        <v>0</v>
      </c>
      <c r="F104" s="114">
        <f t="shared" ref="F104" si="89">+SUM(F105:F107)</f>
        <v>0</v>
      </c>
      <c r="G104" s="114">
        <f t="shared" ref="G104" si="90">+SUM(G105:G107)</f>
        <v>0</v>
      </c>
      <c r="H104" s="115"/>
      <c r="I104" s="116" t="s">
        <v>1386</v>
      </c>
      <c r="J104" s="114">
        <f>+SUM(J105:J107)</f>
        <v>0</v>
      </c>
      <c r="K104" s="114">
        <f t="shared" ref="K104" si="91">+SUM(K105:K107)</f>
        <v>0</v>
      </c>
      <c r="L104" s="114">
        <f t="shared" ref="L104:O104" si="92">+SUM(L105:L107)</f>
        <v>0</v>
      </c>
      <c r="M104" s="114">
        <f t="shared" si="92"/>
        <v>0</v>
      </c>
      <c r="N104" s="114">
        <f t="shared" si="92"/>
        <v>0</v>
      </c>
      <c r="O104" s="273">
        <f t="shared" si="92"/>
        <v>0</v>
      </c>
    </row>
    <row r="105" spans="1:15" ht="18.75" hidden="1" x14ac:dyDescent="0.3">
      <c r="A105" s="122" t="s">
        <v>402</v>
      </c>
      <c r="B105" s="114">
        <f>+COUNTIFS('LOI and Commissioning Master Sh'!$G:$G,Summary!B$78,'LOI and Commissioning Master Sh'!$CB:$CB,Summary!$A105,'LOI and Commissioning Master Sh'!$BW:$BW,"Commissioned",'LOI and Commissioning Master Sh'!$AS:$AS,"Aug-25")</f>
        <v>0</v>
      </c>
      <c r="C105" s="114">
        <f>+COUNTIFS('LOI and Commissioning Master Sh'!$G:$G,Summary!C$78,'LOI and Commissioning Master Sh'!$CB:$CB,Summary!$A105,'LOI and Commissioning Master Sh'!$BW:$BW,"Commissioned",'LOI and Commissioning Master Sh'!$AS:$AS,"Aug-25")</f>
        <v>0</v>
      </c>
      <c r="D105" s="114">
        <f>+COUNTIFS('LOI and Commissioning Master Sh'!$G:$G,Summary!D$78,'LOI and Commissioning Master Sh'!$CB:$CB,Summary!$A105,'LOI and Commissioning Master Sh'!$BW:$BW,"Commissioned",'LOI and Commissioning Master Sh'!$AS:$AS,"Aug-25")</f>
        <v>0</v>
      </c>
      <c r="E105" s="114">
        <f>+COUNTIFS('LOI and Commissioning Master Sh'!$G:$G,Summary!E$78,'LOI and Commissioning Master Sh'!$CB:$CB,Summary!$A105,'LOI and Commissioning Master Sh'!$BW:$BW,"Commissioned",'LOI and Commissioning Master Sh'!$AS:$AS,"Aug-25")</f>
        <v>0</v>
      </c>
      <c r="F105" s="114">
        <f>+COUNTIFS('LOI and Commissioning Master Sh'!$G:$G,Summary!F$78,'LOI and Commissioning Master Sh'!$CB:$CB,Summary!$A105,'LOI and Commissioning Master Sh'!$BW:$BW,"Commissioned",'LOI and Commissioning Master Sh'!$AS:$AS,"Aug-25")</f>
        <v>0</v>
      </c>
      <c r="G105" s="114">
        <f>+SUM(B105:F105)</f>
        <v>0</v>
      </c>
      <c r="H105" s="115"/>
      <c r="I105" s="116" t="s">
        <v>402</v>
      </c>
      <c r="J105" s="114">
        <f>+COUNTIFS('LOI and Commissioning Master Sh'!$CB:$CB,Summary!$I105,'LOI and Commissioning Master Sh'!$G:$G,Summary!J$78,'LOI and Commissioning Master Sh'!$CI:$CI,"Aug'26")</f>
        <v>0</v>
      </c>
      <c r="K105" s="114">
        <f>+COUNTIFS('LOI and Commissioning Master Sh'!$CB:$CB,Summary!$I105,'LOI and Commissioning Master Sh'!$G:$G,Summary!K$78,'LOI and Commissioning Master Sh'!$CI:$CI,"Aug'26")</f>
        <v>0</v>
      </c>
      <c r="L105" s="114">
        <f>+COUNTIFS('LOI and Commissioning Master Sh'!$CB:$CB,Summary!$I105,'LOI and Commissioning Master Sh'!$G:$G,Summary!L$78,'LOI and Commissioning Master Sh'!$CI:$CI,"Aug'26")</f>
        <v>0</v>
      </c>
      <c r="M105" s="114">
        <f>+COUNTIFS('LOI and Commissioning Master Sh'!$CB:$CB,Summary!$I105,'LOI and Commissioning Master Sh'!$G:$G,Summary!M$78,'LOI and Commissioning Master Sh'!$CI:$CI,"Aug'26")</f>
        <v>0</v>
      </c>
      <c r="N105" s="114">
        <f>+COUNTIFS('LOI and Commissioning Master Sh'!$CB:$CB,Summary!$I105,'LOI and Commissioning Master Sh'!$G:$G,Summary!N$78,'LOI and Commissioning Master Sh'!$CI:$CI,"Aug'26")</f>
        <v>0</v>
      </c>
      <c r="O105" s="273">
        <f>SUM(J105:N105)</f>
        <v>0</v>
      </c>
    </row>
    <row r="106" spans="1:15" ht="18.75" hidden="1" x14ac:dyDescent="0.3">
      <c r="A106" s="122" t="s">
        <v>185</v>
      </c>
      <c r="B106" s="114">
        <f>+COUNTIFS('LOI and Commissioning Master Sh'!$G:$G,Summary!B$78,'LOI and Commissioning Master Sh'!$CB:$CB,Summary!$A106,'LOI and Commissioning Master Sh'!$BW:$BW,"Commissioned",'LOI and Commissioning Master Sh'!$AS:$AS,"Aug-25")</f>
        <v>0</v>
      </c>
      <c r="C106" s="114">
        <f>+COUNTIFS('LOI and Commissioning Master Sh'!$G:$G,Summary!C$78,'LOI and Commissioning Master Sh'!$CB:$CB,Summary!$A106,'LOI and Commissioning Master Sh'!$BW:$BW,"Commissioned",'LOI and Commissioning Master Sh'!$AS:$AS,"Aug-25")</f>
        <v>0</v>
      </c>
      <c r="D106" s="114">
        <f>+COUNTIFS('LOI and Commissioning Master Sh'!$G:$G,Summary!D$78,'LOI and Commissioning Master Sh'!$CB:$CB,Summary!$A106,'LOI and Commissioning Master Sh'!$BW:$BW,"Commissioned",'LOI and Commissioning Master Sh'!$AS:$AS,"Aug-25")</f>
        <v>0</v>
      </c>
      <c r="E106" s="114">
        <f>+COUNTIFS('LOI and Commissioning Master Sh'!$G:$G,Summary!E$78,'LOI and Commissioning Master Sh'!$CB:$CB,Summary!$A106,'LOI and Commissioning Master Sh'!$BW:$BW,"Commissioned",'LOI and Commissioning Master Sh'!$AS:$AS,"Aug-25")</f>
        <v>0</v>
      </c>
      <c r="F106" s="114">
        <f>+COUNTIFS('LOI and Commissioning Master Sh'!$G:$G,Summary!F$78,'LOI and Commissioning Master Sh'!$CB:$CB,Summary!$A106,'LOI and Commissioning Master Sh'!$BW:$BW,"Commissioned",'LOI and Commissioning Master Sh'!$AS:$AS,"Aug-25")</f>
        <v>0</v>
      </c>
      <c r="G106" s="114">
        <f t="shared" ref="G106:G107" si="93">+SUM(B106:F106)</f>
        <v>0</v>
      </c>
      <c r="H106" s="115"/>
      <c r="I106" s="116" t="s">
        <v>185</v>
      </c>
      <c r="J106" s="114">
        <f>+COUNTIFS('LOI and Commissioning Master Sh'!$CB:$CB,Summary!$I106,'LOI and Commissioning Master Sh'!$G:$G,Summary!J$78,'LOI and Commissioning Master Sh'!$CI:$CI,"Aug'26")</f>
        <v>0</v>
      </c>
      <c r="K106" s="114">
        <f>+COUNTIFS('LOI and Commissioning Master Sh'!$CB:$CB,Summary!$I106,'LOI and Commissioning Master Sh'!$G:$G,Summary!K$78,'LOI and Commissioning Master Sh'!$CI:$CI,"Aug'26")</f>
        <v>0</v>
      </c>
      <c r="L106" s="114">
        <f>+COUNTIFS('LOI and Commissioning Master Sh'!$CB:$CB,Summary!$I106,'LOI and Commissioning Master Sh'!$G:$G,Summary!L$78,'LOI and Commissioning Master Sh'!$CI:$CI,"Aug'26")</f>
        <v>0</v>
      </c>
      <c r="M106" s="114">
        <f>+COUNTIFS('LOI and Commissioning Master Sh'!$CB:$CB,Summary!$I106,'LOI and Commissioning Master Sh'!$G:$G,Summary!M$78,'LOI and Commissioning Master Sh'!$CI:$CI,"Aug'26")</f>
        <v>0</v>
      </c>
      <c r="N106" s="114">
        <f>+COUNTIFS('LOI and Commissioning Master Sh'!$CB:$CB,Summary!$I106,'LOI and Commissioning Master Sh'!$G:$G,Summary!N$78,'LOI and Commissioning Master Sh'!$CI:$CI,"Aug'26")</f>
        <v>0</v>
      </c>
      <c r="O106" s="273">
        <f t="shared" ref="O106:O107" si="94">SUM(J106:N106)</f>
        <v>0</v>
      </c>
    </row>
    <row r="107" spans="1:15" ht="18.75" hidden="1" x14ac:dyDescent="0.3">
      <c r="A107" s="122" t="s">
        <v>118</v>
      </c>
      <c r="B107" s="114">
        <f>+COUNTIFS('LOI and Commissioning Master Sh'!$G:$G,Summary!B$78,'LOI and Commissioning Master Sh'!$CB:$CB,Summary!$A107,'LOI and Commissioning Master Sh'!$BW:$BW,"Commissioned",'LOI and Commissioning Master Sh'!$AS:$AS,"Aug-25")</f>
        <v>0</v>
      </c>
      <c r="C107" s="114">
        <f>+COUNTIFS('LOI and Commissioning Master Sh'!$G:$G,Summary!C$78,'LOI and Commissioning Master Sh'!$CB:$CB,Summary!$A107,'LOI and Commissioning Master Sh'!$BW:$BW,"Commissioned",'LOI and Commissioning Master Sh'!$AS:$AS,"Aug-25")</f>
        <v>0</v>
      </c>
      <c r="D107" s="114">
        <f>+COUNTIFS('LOI and Commissioning Master Sh'!$G:$G,Summary!D$78,'LOI and Commissioning Master Sh'!$CB:$CB,Summary!$A107,'LOI and Commissioning Master Sh'!$BW:$BW,"Commissioned",'LOI and Commissioning Master Sh'!$AS:$AS,"Aug-25")</f>
        <v>0</v>
      </c>
      <c r="E107" s="114">
        <f>+COUNTIFS('LOI and Commissioning Master Sh'!$G:$G,Summary!E$78,'LOI and Commissioning Master Sh'!$CB:$CB,Summary!$A107,'LOI and Commissioning Master Sh'!$BW:$BW,"Commissioned",'LOI and Commissioning Master Sh'!$AS:$AS,"Aug-25")</f>
        <v>0</v>
      </c>
      <c r="F107" s="114">
        <f>+COUNTIFS('LOI and Commissioning Master Sh'!$G:$G,Summary!F$78,'LOI and Commissioning Master Sh'!$CB:$CB,Summary!$A107,'LOI and Commissioning Master Sh'!$BW:$BW,"Commissioned",'LOI and Commissioning Master Sh'!$AS:$AS,"Aug-25")</f>
        <v>0</v>
      </c>
      <c r="G107" s="114">
        <f t="shared" si="93"/>
        <v>0</v>
      </c>
      <c r="H107" s="115"/>
      <c r="I107" s="116" t="s">
        <v>118</v>
      </c>
      <c r="J107" s="114">
        <f>+COUNTIFS('LOI and Commissioning Master Sh'!$CB:$CB,Summary!$I107,'LOI and Commissioning Master Sh'!$G:$G,Summary!J$78,'LOI and Commissioning Master Sh'!$CI:$CI,"Aug'26")</f>
        <v>0</v>
      </c>
      <c r="K107" s="114">
        <f>+COUNTIFS('LOI and Commissioning Master Sh'!$CB:$CB,Summary!$I107,'LOI and Commissioning Master Sh'!$G:$G,Summary!K$78,'LOI and Commissioning Master Sh'!$CI:$CI,"Aug'26")</f>
        <v>0</v>
      </c>
      <c r="L107" s="114">
        <f>+COUNTIFS('LOI and Commissioning Master Sh'!$CB:$CB,Summary!$I107,'LOI and Commissioning Master Sh'!$G:$G,Summary!L$78,'LOI and Commissioning Master Sh'!$CI:$CI,"Aug'26")</f>
        <v>0</v>
      </c>
      <c r="M107" s="114">
        <f>+COUNTIFS('LOI and Commissioning Master Sh'!$CB:$CB,Summary!$I107,'LOI and Commissioning Master Sh'!$G:$G,Summary!M$78,'LOI and Commissioning Master Sh'!$CI:$CI,"Aug'26")</f>
        <v>0</v>
      </c>
      <c r="N107" s="114">
        <f>+COUNTIFS('LOI and Commissioning Master Sh'!$CB:$CB,Summary!$I107,'LOI and Commissioning Master Sh'!$G:$G,Summary!N$78,'LOI and Commissioning Master Sh'!$CI:$CI,"Aug'26")</f>
        <v>0</v>
      </c>
      <c r="O107" s="273">
        <f t="shared" si="94"/>
        <v>0</v>
      </c>
    </row>
    <row r="108" spans="1:15" ht="18.75" hidden="1" x14ac:dyDescent="0.3">
      <c r="A108" s="122"/>
      <c r="B108" s="114"/>
      <c r="C108" s="114"/>
      <c r="D108" s="114"/>
      <c r="E108" s="114"/>
      <c r="F108" s="114"/>
      <c r="G108" s="114"/>
      <c r="H108" s="115"/>
      <c r="I108" s="116"/>
      <c r="J108" s="114"/>
      <c r="K108" s="114"/>
      <c r="L108" s="114"/>
      <c r="M108" s="114"/>
      <c r="N108" s="114"/>
      <c r="O108" s="273"/>
    </row>
    <row r="109" spans="1:15" ht="37.5" hidden="1" x14ac:dyDescent="0.3">
      <c r="A109" s="122" t="s">
        <v>1387</v>
      </c>
      <c r="B109" s="114">
        <f>+SUM(B110:B112)</f>
        <v>0</v>
      </c>
      <c r="C109" s="114">
        <f t="shared" ref="C109" si="95">+SUM(C110:C112)</f>
        <v>0</v>
      </c>
      <c r="D109" s="114">
        <f t="shared" ref="D109" si="96">+SUM(D110:D112)</f>
        <v>0</v>
      </c>
      <c r="E109" s="114">
        <f t="shared" ref="E109" si="97">+SUM(E110:E112)</f>
        <v>0</v>
      </c>
      <c r="F109" s="114">
        <f t="shared" ref="F109" si="98">+SUM(F110:F112)</f>
        <v>0</v>
      </c>
      <c r="G109" s="114">
        <f t="shared" ref="G109" si="99">+SUM(G110:G112)</f>
        <v>0</v>
      </c>
      <c r="H109" s="115"/>
      <c r="I109" s="116" t="s">
        <v>1388</v>
      </c>
      <c r="J109" s="114">
        <f>+SUM(J110:J112)</f>
        <v>0</v>
      </c>
      <c r="K109" s="114">
        <f t="shared" ref="K109" si="100">+SUM(K110:K112)</f>
        <v>0</v>
      </c>
      <c r="L109" s="114">
        <f t="shared" ref="L109:O109" si="101">+SUM(L110:L112)</f>
        <v>0</v>
      </c>
      <c r="M109" s="114">
        <f t="shared" si="101"/>
        <v>0</v>
      </c>
      <c r="N109" s="114">
        <f t="shared" si="101"/>
        <v>0</v>
      </c>
      <c r="O109" s="273">
        <f t="shared" si="101"/>
        <v>0</v>
      </c>
    </row>
    <row r="110" spans="1:15" ht="18.75" hidden="1" x14ac:dyDescent="0.3">
      <c r="A110" s="122" t="s">
        <v>402</v>
      </c>
      <c r="B110" s="114">
        <f>+COUNTIFS('LOI and Commissioning Master Sh'!$G:$G,Summary!B$78,'LOI and Commissioning Master Sh'!$CB:$CB,Summary!$A110,'LOI and Commissioning Master Sh'!$BW:$BW,"Commissioned",'LOI and Commissioning Master Sh'!$AS:$AS,"Sep-25")</f>
        <v>0</v>
      </c>
      <c r="C110" s="114">
        <f>+COUNTIFS('LOI and Commissioning Master Sh'!$G:$G,Summary!C$78,'LOI and Commissioning Master Sh'!$CB:$CB,Summary!$A110,'LOI and Commissioning Master Sh'!$BW:$BW,"Commissioned",'LOI and Commissioning Master Sh'!$AS:$AS,"Sep-25")</f>
        <v>0</v>
      </c>
      <c r="D110" s="114">
        <f>+COUNTIFS('LOI and Commissioning Master Sh'!$G:$G,Summary!D$78,'LOI and Commissioning Master Sh'!$CB:$CB,Summary!$A110,'LOI and Commissioning Master Sh'!$BW:$BW,"Commissioned",'LOI and Commissioning Master Sh'!$AS:$AS,"Sep-25")</f>
        <v>0</v>
      </c>
      <c r="E110" s="114">
        <f>+COUNTIFS('LOI and Commissioning Master Sh'!$G:$G,Summary!E$78,'LOI and Commissioning Master Sh'!$CB:$CB,Summary!$A110,'LOI and Commissioning Master Sh'!$BW:$BW,"Commissioned",'LOI and Commissioning Master Sh'!$AS:$AS,"Sep-25")</f>
        <v>0</v>
      </c>
      <c r="F110" s="114">
        <f>+COUNTIFS('LOI and Commissioning Master Sh'!$G:$G,Summary!F$78,'LOI and Commissioning Master Sh'!$CB:$CB,Summary!$A110,'LOI and Commissioning Master Sh'!$BW:$BW,"Commissioned",'LOI and Commissioning Master Sh'!$AS:$AS,"Sep-25")</f>
        <v>0</v>
      </c>
      <c r="G110" s="114">
        <f>+SUM(B110:F110)</f>
        <v>0</v>
      </c>
      <c r="H110" s="115"/>
      <c r="I110" s="116" t="s">
        <v>402</v>
      </c>
      <c r="J110" s="114">
        <f>+COUNTIFS('LOI and Commissioning Master Sh'!$CB:$CB,Summary!$I110,'LOI and Commissioning Master Sh'!$G:$G,Summary!J$78,'LOI and Commissioning Master Sh'!$CI:$CI,"Sep'26")</f>
        <v>0</v>
      </c>
      <c r="K110" s="114">
        <f>+COUNTIFS('LOI and Commissioning Master Sh'!$CB:$CB,Summary!$I110,'LOI and Commissioning Master Sh'!$G:$G,Summary!K$78,'LOI and Commissioning Master Sh'!$CI:$CI,"Sep'26")</f>
        <v>0</v>
      </c>
      <c r="L110" s="114">
        <f>+COUNTIFS('LOI and Commissioning Master Sh'!$CB:$CB,Summary!$I110,'LOI and Commissioning Master Sh'!$G:$G,Summary!L$78,'LOI and Commissioning Master Sh'!$CI:$CI,"Sep'26")</f>
        <v>0</v>
      </c>
      <c r="M110" s="114">
        <f>+COUNTIFS('LOI and Commissioning Master Sh'!$CB:$CB,Summary!$I110,'LOI and Commissioning Master Sh'!$G:$G,Summary!M$78,'LOI and Commissioning Master Sh'!$CI:$CI,"Sep'26")</f>
        <v>0</v>
      </c>
      <c r="N110" s="114">
        <f>+COUNTIFS('LOI and Commissioning Master Sh'!$CB:$CB,Summary!$I110,'LOI and Commissioning Master Sh'!$G:$G,Summary!N$78,'LOI and Commissioning Master Sh'!$CI:$CI,"Sep'26")</f>
        <v>0</v>
      </c>
      <c r="O110" s="273">
        <f>SUM(J110:N110)</f>
        <v>0</v>
      </c>
    </row>
    <row r="111" spans="1:15" ht="18.75" hidden="1" x14ac:dyDescent="0.3">
      <c r="A111" s="122" t="s">
        <v>185</v>
      </c>
      <c r="B111" s="114">
        <f>+COUNTIFS('LOI and Commissioning Master Sh'!$G:$G,Summary!B$78,'LOI and Commissioning Master Sh'!$CB:$CB,Summary!$A111,'LOI and Commissioning Master Sh'!$BW:$BW,"Commissioned",'LOI and Commissioning Master Sh'!$AS:$AS,"Sep-25")</f>
        <v>0</v>
      </c>
      <c r="C111" s="114">
        <f>+COUNTIFS('LOI and Commissioning Master Sh'!$G:$G,Summary!C$78,'LOI and Commissioning Master Sh'!$CB:$CB,Summary!$A111,'LOI and Commissioning Master Sh'!$BW:$BW,"Commissioned",'LOI and Commissioning Master Sh'!$AS:$AS,"Sep-25")</f>
        <v>0</v>
      </c>
      <c r="D111" s="114">
        <f>+COUNTIFS('LOI and Commissioning Master Sh'!$G:$G,Summary!D$78,'LOI and Commissioning Master Sh'!$CB:$CB,Summary!$A111,'LOI and Commissioning Master Sh'!$BW:$BW,"Commissioned",'LOI and Commissioning Master Sh'!$AS:$AS,"Sep-25")</f>
        <v>0</v>
      </c>
      <c r="E111" s="114">
        <f>+COUNTIFS('LOI and Commissioning Master Sh'!$G:$G,Summary!E$78,'LOI and Commissioning Master Sh'!$CB:$CB,Summary!$A111,'LOI and Commissioning Master Sh'!$BW:$BW,"Commissioned",'LOI and Commissioning Master Sh'!$AS:$AS,"Sep-25")</f>
        <v>0</v>
      </c>
      <c r="F111" s="114">
        <f>+COUNTIFS('LOI and Commissioning Master Sh'!$G:$G,Summary!F$78,'LOI and Commissioning Master Sh'!$CB:$CB,Summary!$A111,'LOI and Commissioning Master Sh'!$BW:$BW,"Commissioned",'LOI and Commissioning Master Sh'!$AS:$AS,"Sep-25")</f>
        <v>0</v>
      </c>
      <c r="G111" s="114">
        <f t="shared" ref="G111:G112" si="102">+SUM(B111:F111)</f>
        <v>0</v>
      </c>
      <c r="H111" s="115"/>
      <c r="I111" s="116" t="s">
        <v>185</v>
      </c>
      <c r="J111" s="114">
        <f>+COUNTIFS('LOI and Commissioning Master Sh'!$CB:$CB,Summary!$I111,'LOI and Commissioning Master Sh'!$G:$G,Summary!J$78,'LOI and Commissioning Master Sh'!$CI:$CI,"Sep'26")</f>
        <v>0</v>
      </c>
      <c r="K111" s="114">
        <f>+COUNTIFS('LOI and Commissioning Master Sh'!$CB:$CB,Summary!$I111,'LOI and Commissioning Master Sh'!$G:$G,Summary!K$78,'LOI and Commissioning Master Sh'!$CI:$CI,"Sep'26")</f>
        <v>0</v>
      </c>
      <c r="L111" s="114">
        <f>+COUNTIFS('LOI and Commissioning Master Sh'!$CB:$CB,Summary!$I111,'LOI and Commissioning Master Sh'!$G:$G,Summary!L$78,'LOI and Commissioning Master Sh'!$CI:$CI,"Sep'26")</f>
        <v>0</v>
      </c>
      <c r="M111" s="114">
        <f>+COUNTIFS('LOI and Commissioning Master Sh'!$CB:$CB,Summary!$I111,'LOI and Commissioning Master Sh'!$G:$G,Summary!M$78,'LOI and Commissioning Master Sh'!$CI:$CI,"Sep'26")</f>
        <v>0</v>
      </c>
      <c r="N111" s="114">
        <f>+COUNTIFS('LOI and Commissioning Master Sh'!$CB:$CB,Summary!$I111,'LOI and Commissioning Master Sh'!$G:$G,Summary!N$78,'LOI and Commissioning Master Sh'!$CI:$CI,"Sep'26")</f>
        <v>0</v>
      </c>
      <c r="O111" s="273">
        <f t="shared" ref="O111:O112" si="103">SUM(J111:N111)</f>
        <v>0</v>
      </c>
    </row>
    <row r="112" spans="1:15" ht="18.75" hidden="1" x14ac:dyDescent="0.3">
      <c r="A112" s="122" t="s">
        <v>118</v>
      </c>
      <c r="B112" s="114">
        <f>+COUNTIFS('LOI and Commissioning Master Sh'!$G:$G,Summary!B$78,'LOI and Commissioning Master Sh'!$CB:$CB,Summary!$A112,'LOI and Commissioning Master Sh'!$BW:$BW,"Commissioned",'LOI and Commissioning Master Sh'!$AS:$AS,"Sep-25")</f>
        <v>0</v>
      </c>
      <c r="C112" s="114">
        <f>+COUNTIFS('LOI and Commissioning Master Sh'!$G:$G,Summary!C$78,'LOI and Commissioning Master Sh'!$CB:$CB,Summary!$A112,'LOI and Commissioning Master Sh'!$BW:$BW,"Commissioned",'LOI and Commissioning Master Sh'!$AS:$AS,"Sep-25")</f>
        <v>0</v>
      </c>
      <c r="D112" s="114">
        <f>+COUNTIFS('LOI and Commissioning Master Sh'!$G:$G,Summary!D$78,'LOI and Commissioning Master Sh'!$CB:$CB,Summary!$A112,'LOI and Commissioning Master Sh'!$BW:$BW,"Commissioned",'LOI and Commissioning Master Sh'!$AS:$AS,"Sep-25")</f>
        <v>0</v>
      </c>
      <c r="E112" s="114">
        <f>+COUNTIFS('LOI and Commissioning Master Sh'!$G:$G,Summary!E$78,'LOI and Commissioning Master Sh'!$CB:$CB,Summary!$A112,'LOI and Commissioning Master Sh'!$BW:$BW,"Commissioned",'LOI and Commissioning Master Sh'!$AS:$AS,"Sep-25")</f>
        <v>0</v>
      </c>
      <c r="F112" s="114">
        <f>+COUNTIFS('LOI and Commissioning Master Sh'!$G:$G,Summary!F$78,'LOI and Commissioning Master Sh'!$CB:$CB,Summary!$A112,'LOI and Commissioning Master Sh'!$BW:$BW,"Commissioned",'LOI and Commissioning Master Sh'!$AS:$AS,"Sep-25")</f>
        <v>0</v>
      </c>
      <c r="G112" s="114">
        <f t="shared" si="102"/>
        <v>0</v>
      </c>
      <c r="H112" s="115"/>
      <c r="I112" s="116" t="s">
        <v>118</v>
      </c>
      <c r="J112" s="114">
        <f>+COUNTIFS('LOI and Commissioning Master Sh'!$CB:$CB,Summary!$I112,'LOI and Commissioning Master Sh'!$G:$G,Summary!J$78,'LOI and Commissioning Master Sh'!$CI:$CI,"Sep'26")</f>
        <v>0</v>
      </c>
      <c r="K112" s="114">
        <f>+COUNTIFS('LOI and Commissioning Master Sh'!$CB:$CB,Summary!$I112,'LOI and Commissioning Master Sh'!$G:$G,Summary!K$78,'LOI and Commissioning Master Sh'!$CI:$CI,"Sep'26")</f>
        <v>0</v>
      </c>
      <c r="L112" s="114">
        <f>+COUNTIFS('LOI and Commissioning Master Sh'!$CB:$CB,Summary!$I112,'LOI and Commissioning Master Sh'!$G:$G,Summary!L$78,'LOI and Commissioning Master Sh'!$CI:$CI,"Sep'26")</f>
        <v>0</v>
      </c>
      <c r="M112" s="114">
        <f>+COUNTIFS('LOI and Commissioning Master Sh'!$CB:$CB,Summary!$I112,'LOI and Commissioning Master Sh'!$G:$G,Summary!M$78,'LOI and Commissioning Master Sh'!$CI:$CI,"Sep'26")</f>
        <v>0</v>
      </c>
      <c r="N112" s="114">
        <f>+COUNTIFS('LOI and Commissioning Master Sh'!$CB:$CB,Summary!$I112,'LOI and Commissioning Master Sh'!$G:$G,Summary!N$78,'LOI and Commissioning Master Sh'!$CI:$CI,"Sep'26")</f>
        <v>0</v>
      </c>
      <c r="O112" s="273">
        <f t="shared" si="103"/>
        <v>0</v>
      </c>
    </row>
    <row r="113" spans="1:15" ht="18.75" hidden="1" x14ac:dyDescent="0.3">
      <c r="A113" s="122"/>
      <c r="B113" s="114"/>
      <c r="C113" s="114"/>
      <c r="D113" s="114"/>
      <c r="E113" s="114"/>
      <c r="F113" s="114"/>
      <c r="G113" s="114"/>
      <c r="H113" s="115"/>
      <c r="I113" s="116"/>
      <c r="J113" s="114"/>
      <c r="K113" s="114"/>
      <c r="L113" s="114"/>
      <c r="M113" s="114"/>
      <c r="N113" s="114"/>
      <c r="O113" s="273"/>
    </row>
    <row r="114" spans="1:15" ht="37.5" hidden="1" x14ac:dyDescent="0.3">
      <c r="A114" s="122" t="s">
        <v>1389</v>
      </c>
      <c r="B114" s="114">
        <f>+SUM(B115:B117)</f>
        <v>0</v>
      </c>
      <c r="C114" s="114">
        <f t="shared" ref="C114" si="104">+SUM(C115:C117)</f>
        <v>0</v>
      </c>
      <c r="D114" s="114">
        <f t="shared" ref="D114:G114" si="105">+SUM(D115:D117)</f>
        <v>0</v>
      </c>
      <c r="E114" s="114">
        <f t="shared" si="105"/>
        <v>0</v>
      </c>
      <c r="F114" s="114">
        <f t="shared" si="105"/>
        <v>0</v>
      </c>
      <c r="G114" s="114">
        <f t="shared" si="105"/>
        <v>0</v>
      </c>
      <c r="H114" s="115"/>
      <c r="I114" s="116" t="s">
        <v>1390</v>
      </c>
      <c r="J114" s="114">
        <f>+SUM(J115:J117)</f>
        <v>0</v>
      </c>
      <c r="K114" s="114">
        <f t="shared" ref="K114" si="106">+SUM(K115:K117)</f>
        <v>0</v>
      </c>
      <c r="L114" s="114">
        <f t="shared" ref="L114:O114" si="107">+SUM(L115:L117)</f>
        <v>0</v>
      </c>
      <c r="M114" s="114">
        <f t="shared" si="107"/>
        <v>0</v>
      </c>
      <c r="N114" s="114">
        <f t="shared" si="107"/>
        <v>0</v>
      </c>
      <c r="O114" s="273">
        <f t="shared" si="107"/>
        <v>0</v>
      </c>
    </row>
    <row r="115" spans="1:15" ht="18.75" hidden="1" x14ac:dyDescent="0.3">
      <c r="A115" s="122" t="s">
        <v>402</v>
      </c>
      <c r="B115" s="114">
        <f>+COUNTIFS('LOI and Commissioning Master Sh'!$G:$G,Summary!B$78,'LOI and Commissioning Master Sh'!$CB:$CB,Summary!$A115,'LOI and Commissioning Master Sh'!$BW:$BW,"Commissioned",'LOI and Commissioning Master Sh'!$AS:$AS,"Oct-25")</f>
        <v>0</v>
      </c>
      <c r="C115" s="114">
        <f>+COUNTIFS('LOI and Commissioning Master Sh'!$G:$G,Summary!C$78,'LOI and Commissioning Master Sh'!$CB:$CB,Summary!$A115,'LOI and Commissioning Master Sh'!$BW:$BW,"Commissioned",'LOI and Commissioning Master Sh'!$AS:$AS,"Oct-25")</f>
        <v>0</v>
      </c>
      <c r="D115" s="114">
        <f>+COUNTIFS('LOI and Commissioning Master Sh'!$G:$G,Summary!D$78,'LOI and Commissioning Master Sh'!$CB:$CB,Summary!$A115,'LOI and Commissioning Master Sh'!$BW:$BW,"Commissioned",'LOI and Commissioning Master Sh'!$AS:$AS,"Oct-25")</f>
        <v>0</v>
      </c>
      <c r="E115" s="114">
        <f>+COUNTIFS('LOI and Commissioning Master Sh'!$G:$G,Summary!E$78,'LOI and Commissioning Master Sh'!$CB:$CB,Summary!$A115,'LOI and Commissioning Master Sh'!$BW:$BW,"Commissioned",'LOI and Commissioning Master Sh'!$AS:$AS,"Oct-25")</f>
        <v>0</v>
      </c>
      <c r="F115" s="114">
        <f>+COUNTIFS('LOI and Commissioning Master Sh'!$G:$G,Summary!F$78,'LOI and Commissioning Master Sh'!$CB:$CB,Summary!$A115,'LOI and Commissioning Master Sh'!$BW:$BW,"Commissioned",'LOI and Commissioning Master Sh'!$AS:$AS,"Oct-25")</f>
        <v>0</v>
      </c>
      <c r="G115" s="114">
        <f>+SUM(B115:F115)</f>
        <v>0</v>
      </c>
      <c r="H115" s="115"/>
      <c r="I115" s="116" t="s">
        <v>402</v>
      </c>
      <c r="J115" s="114">
        <f>+COUNTIFS('LOI and Commissioning Master Sh'!$CB:$CB,Summary!$I115,'LOI and Commissioning Master Sh'!$G:$G,Summary!J$78,'LOI and Commissioning Master Sh'!$CI:$CI,"Oct'26")</f>
        <v>0</v>
      </c>
      <c r="K115" s="114">
        <f>+COUNTIFS('LOI and Commissioning Master Sh'!$CB:$CB,Summary!$I115,'LOI and Commissioning Master Sh'!$G:$G,Summary!K$78,'LOI and Commissioning Master Sh'!$CI:$CI,"Oct'26")</f>
        <v>0</v>
      </c>
      <c r="L115" s="114">
        <f>+COUNTIFS('LOI and Commissioning Master Sh'!$CB:$CB,Summary!$I115,'LOI and Commissioning Master Sh'!$G:$G,Summary!L$78,'LOI and Commissioning Master Sh'!$CI:$CI,"Oct'26")</f>
        <v>0</v>
      </c>
      <c r="M115" s="114">
        <f>+COUNTIFS('LOI and Commissioning Master Sh'!$CB:$CB,Summary!$I115,'LOI and Commissioning Master Sh'!$G:$G,Summary!M$78,'LOI and Commissioning Master Sh'!$CI:$CI,"Oct'26")</f>
        <v>0</v>
      </c>
      <c r="N115" s="114">
        <f>+COUNTIFS('LOI and Commissioning Master Sh'!$CB:$CB,Summary!$I115,'LOI and Commissioning Master Sh'!$G:$G,Summary!N$78,'LOI and Commissioning Master Sh'!$CI:$CI,"Oct'26")</f>
        <v>0</v>
      </c>
      <c r="O115" s="273">
        <f>SUM(J115:N115)</f>
        <v>0</v>
      </c>
    </row>
    <row r="116" spans="1:15" ht="18.75" hidden="1" x14ac:dyDescent="0.3">
      <c r="A116" s="122" t="s">
        <v>185</v>
      </c>
      <c r="B116" s="114">
        <f>+COUNTIFS('LOI and Commissioning Master Sh'!$G:$G,Summary!B$78,'LOI and Commissioning Master Sh'!$CB:$CB,Summary!$A116,'LOI and Commissioning Master Sh'!$BW:$BW,"Commissioned",'LOI and Commissioning Master Sh'!$AS:$AS,"Oct-25")</f>
        <v>0</v>
      </c>
      <c r="C116" s="114">
        <f>+COUNTIFS('LOI and Commissioning Master Sh'!$G:$G,Summary!C$78,'LOI and Commissioning Master Sh'!$CB:$CB,Summary!$A116,'LOI and Commissioning Master Sh'!$BW:$BW,"Commissioned",'LOI and Commissioning Master Sh'!$AS:$AS,"Oct-25")</f>
        <v>0</v>
      </c>
      <c r="D116" s="114">
        <f>+COUNTIFS('LOI and Commissioning Master Sh'!$G:$G,Summary!D$78,'LOI and Commissioning Master Sh'!$CB:$CB,Summary!$A116,'LOI and Commissioning Master Sh'!$BW:$BW,"Commissioned",'LOI and Commissioning Master Sh'!$AS:$AS,"Oct-25")</f>
        <v>0</v>
      </c>
      <c r="E116" s="114">
        <f>+COUNTIFS('LOI and Commissioning Master Sh'!$G:$G,Summary!E$78,'LOI and Commissioning Master Sh'!$CB:$CB,Summary!$A116,'LOI and Commissioning Master Sh'!$BW:$BW,"Commissioned",'LOI and Commissioning Master Sh'!$AS:$AS,"Oct-25")</f>
        <v>0</v>
      </c>
      <c r="F116" s="114">
        <f>+COUNTIFS('LOI and Commissioning Master Sh'!$G:$G,Summary!F$78,'LOI and Commissioning Master Sh'!$CB:$CB,Summary!$A116,'LOI and Commissioning Master Sh'!$BW:$BW,"Commissioned",'LOI and Commissioning Master Sh'!$AS:$AS,"Oct-25")</f>
        <v>0</v>
      </c>
      <c r="G116" s="114">
        <f t="shared" ref="G116:G117" si="108">+SUM(B116:F116)</f>
        <v>0</v>
      </c>
      <c r="H116" s="115"/>
      <c r="I116" s="116" t="s">
        <v>185</v>
      </c>
      <c r="J116" s="114">
        <f>+COUNTIFS('LOI and Commissioning Master Sh'!$CB:$CB,Summary!$I116,'LOI and Commissioning Master Sh'!$G:$G,Summary!J$78,'LOI and Commissioning Master Sh'!$CI:$CI,"Oct'26")</f>
        <v>0</v>
      </c>
      <c r="K116" s="114">
        <f>+COUNTIFS('LOI and Commissioning Master Sh'!$CB:$CB,Summary!$I116,'LOI and Commissioning Master Sh'!$G:$G,Summary!K$78,'LOI and Commissioning Master Sh'!$CI:$CI,"Oct'26")</f>
        <v>0</v>
      </c>
      <c r="L116" s="114">
        <f>+COUNTIFS('LOI and Commissioning Master Sh'!$CB:$CB,Summary!$I116,'LOI and Commissioning Master Sh'!$G:$G,Summary!L$78,'LOI and Commissioning Master Sh'!$CI:$CI,"Oct'26")</f>
        <v>0</v>
      </c>
      <c r="M116" s="114">
        <f>+COUNTIFS('LOI and Commissioning Master Sh'!$CB:$CB,Summary!$I116,'LOI and Commissioning Master Sh'!$G:$G,Summary!M$78,'LOI and Commissioning Master Sh'!$CI:$CI,"Oct'26")</f>
        <v>0</v>
      </c>
      <c r="N116" s="114">
        <f>+COUNTIFS('LOI and Commissioning Master Sh'!$CB:$CB,Summary!$I116,'LOI and Commissioning Master Sh'!$G:$G,Summary!N$78,'LOI and Commissioning Master Sh'!$CI:$CI,"Oct'26")</f>
        <v>0</v>
      </c>
      <c r="O116" s="273">
        <f t="shared" ref="O116:O117" si="109">SUM(J116:N116)</f>
        <v>0</v>
      </c>
    </row>
    <row r="117" spans="1:15" ht="18.75" hidden="1" x14ac:dyDescent="0.3">
      <c r="A117" s="122" t="s">
        <v>118</v>
      </c>
      <c r="B117" s="114">
        <f>+COUNTIFS('LOI and Commissioning Master Sh'!$G:$G,Summary!B$78,'LOI and Commissioning Master Sh'!$CB:$CB,Summary!$A117,'LOI and Commissioning Master Sh'!$BW:$BW,"Commissioned",'LOI and Commissioning Master Sh'!$AS:$AS,"Oct-25")</f>
        <v>0</v>
      </c>
      <c r="C117" s="114">
        <f>+COUNTIFS('LOI and Commissioning Master Sh'!$G:$G,Summary!C$78,'LOI and Commissioning Master Sh'!$CB:$CB,Summary!$A117,'LOI and Commissioning Master Sh'!$BW:$BW,"Commissioned",'LOI and Commissioning Master Sh'!$AS:$AS,"Oct-25")</f>
        <v>0</v>
      </c>
      <c r="D117" s="114">
        <f>+COUNTIFS('LOI and Commissioning Master Sh'!$G:$G,Summary!D$78,'LOI and Commissioning Master Sh'!$CB:$CB,Summary!$A117,'LOI and Commissioning Master Sh'!$BW:$BW,"Commissioned",'LOI and Commissioning Master Sh'!$AS:$AS,"Oct-25")</f>
        <v>0</v>
      </c>
      <c r="E117" s="114">
        <f>+COUNTIFS('LOI and Commissioning Master Sh'!$G:$G,Summary!E$78,'LOI and Commissioning Master Sh'!$CB:$CB,Summary!$A117,'LOI and Commissioning Master Sh'!$BW:$BW,"Commissioned",'LOI and Commissioning Master Sh'!$AS:$AS,"Oct-25")</f>
        <v>0</v>
      </c>
      <c r="F117" s="114">
        <f>+COUNTIFS('LOI and Commissioning Master Sh'!$G:$G,Summary!F$78,'LOI and Commissioning Master Sh'!$CB:$CB,Summary!$A117,'LOI and Commissioning Master Sh'!$BW:$BW,"Commissioned",'LOI and Commissioning Master Sh'!$AS:$AS,"Oct-25")</f>
        <v>0</v>
      </c>
      <c r="G117" s="114">
        <f t="shared" si="108"/>
        <v>0</v>
      </c>
      <c r="H117" s="115"/>
      <c r="I117" s="116" t="s">
        <v>118</v>
      </c>
      <c r="J117" s="114">
        <f>+COUNTIFS('LOI and Commissioning Master Sh'!$CB:$CB,Summary!$I117,'LOI and Commissioning Master Sh'!$G:$G,Summary!J$78,'LOI and Commissioning Master Sh'!$CI:$CI,"Oct'26")</f>
        <v>0</v>
      </c>
      <c r="K117" s="114">
        <f>+COUNTIFS('LOI and Commissioning Master Sh'!$CB:$CB,Summary!$I117,'LOI and Commissioning Master Sh'!$G:$G,Summary!K$78,'LOI and Commissioning Master Sh'!$CI:$CI,"Oct'26")</f>
        <v>0</v>
      </c>
      <c r="L117" s="114">
        <f>+COUNTIFS('LOI and Commissioning Master Sh'!$CB:$CB,Summary!$I117,'LOI and Commissioning Master Sh'!$G:$G,Summary!L$78,'LOI and Commissioning Master Sh'!$CI:$CI,"Oct'26")</f>
        <v>0</v>
      </c>
      <c r="M117" s="114">
        <f>+COUNTIFS('LOI and Commissioning Master Sh'!$CB:$CB,Summary!$I117,'LOI and Commissioning Master Sh'!$G:$G,Summary!M$78,'LOI and Commissioning Master Sh'!$CI:$CI,"Oct'26")</f>
        <v>0</v>
      </c>
      <c r="N117" s="114">
        <f>+COUNTIFS('LOI and Commissioning Master Sh'!$CB:$CB,Summary!$I117,'LOI and Commissioning Master Sh'!$G:$G,Summary!N$78,'LOI and Commissioning Master Sh'!$CI:$CI,"Oct'26")</f>
        <v>0</v>
      </c>
      <c r="O117" s="273">
        <f t="shared" si="109"/>
        <v>0</v>
      </c>
    </row>
    <row r="118" spans="1:15" ht="18.75" hidden="1" x14ac:dyDescent="0.3">
      <c r="A118" s="122"/>
      <c r="B118" s="114"/>
      <c r="C118" s="114"/>
      <c r="D118" s="114"/>
      <c r="E118" s="114"/>
      <c r="F118" s="114"/>
      <c r="G118" s="114"/>
      <c r="H118" s="115"/>
      <c r="I118" s="116"/>
      <c r="J118" s="114"/>
      <c r="K118" s="114"/>
      <c r="L118" s="114"/>
      <c r="M118" s="114"/>
      <c r="N118" s="114"/>
      <c r="O118" s="273"/>
    </row>
    <row r="119" spans="1:15" ht="37.5" hidden="1" x14ac:dyDescent="0.3">
      <c r="A119" s="122" t="s">
        <v>1391</v>
      </c>
      <c r="B119" s="114">
        <f t="shared" ref="B119:G119" si="110">+SUM(B120:B122)</f>
        <v>0</v>
      </c>
      <c r="C119" s="114">
        <f t="shared" si="110"/>
        <v>0</v>
      </c>
      <c r="D119" s="114">
        <f t="shared" si="110"/>
        <v>0</v>
      </c>
      <c r="E119" s="114">
        <f t="shared" si="110"/>
        <v>0</v>
      </c>
      <c r="F119" s="114">
        <f t="shared" si="110"/>
        <v>0</v>
      </c>
      <c r="G119" s="114">
        <f t="shared" si="110"/>
        <v>0</v>
      </c>
      <c r="H119" s="115"/>
      <c r="I119" s="116" t="s">
        <v>1392</v>
      </c>
      <c r="J119" s="114">
        <f>+SUM(J120:J122)</f>
        <v>0</v>
      </c>
      <c r="K119" s="114">
        <f t="shared" ref="K119" si="111">+SUM(K120:K122)</f>
        <v>0</v>
      </c>
      <c r="L119" s="114">
        <f t="shared" ref="L119:O119" si="112">+SUM(L120:L122)</f>
        <v>0</v>
      </c>
      <c r="M119" s="114">
        <f t="shared" si="112"/>
        <v>0</v>
      </c>
      <c r="N119" s="114">
        <f t="shared" si="112"/>
        <v>0</v>
      </c>
      <c r="O119" s="273">
        <f t="shared" si="112"/>
        <v>0</v>
      </c>
    </row>
    <row r="120" spans="1:15" ht="18.75" hidden="1" x14ac:dyDescent="0.3">
      <c r="A120" s="122" t="s">
        <v>402</v>
      </c>
      <c r="B120" s="114">
        <f>+COUNTIFS('LOI and Commissioning Master Sh'!$G:$G,Summary!B$78,'LOI and Commissioning Master Sh'!$CB:$CB,Summary!$A120,'LOI and Commissioning Master Sh'!$BW:$BW,"Commissioned",'LOI and Commissioning Master Sh'!$AS:$AS,"Nov-25")</f>
        <v>0</v>
      </c>
      <c r="C120" s="114">
        <f>+COUNTIFS('LOI and Commissioning Master Sh'!$G:$G,Summary!C$78,'LOI and Commissioning Master Sh'!$CB:$CB,Summary!$A120,'LOI and Commissioning Master Sh'!$BW:$BW,"Commissioned",'LOI and Commissioning Master Sh'!$AS:$AS,"Nov-25")</f>
        <v>0</v>
      </c>
      <c r="D120" s="114">
        <f>+COUNTIFS('LOI and Commissioning Master Sh'!$G:$G,Summary!D$78,'LOI and Commissioning Master Sh'!$CB:$CB,Summary!$A120,'LOI and Commissioning Master Sh'!$BW:$BW,"Commissioned",'LOI and Commissioning Master Sh'!$AS:$AS,"Nov-25")</f>
        <v>0</v>
      </c>
      <c r="E120" s="114">
        <f>+COUNTIFS('LOI and Commissioning Master Sh'!$G:$G,Summary!E$78,'LOI and Commissioning Master Sh'!$CB:$CB,Summary!$A120,'LOI and Commissioning Master Sh'!$BW:$BW,"Commissioned",'LOI and Commissioning Master Sh'!$AS:$AS,"Nov-25")</f>
        <v>0</v>
      </c>
      <c r="F120" s="114">
        <f>+COUNTIFS('LOI and Commissioning Master Sh'!$G:$G,Summary!F$78,'LOI and Commissioning Master Sh'!$CB:$CB,Summary!$A120,'LOI and Commissioning Master Sh'!$BW:$BW,"Commissioned",'LOI and Commissioning Master Sh'!$AS:$AS,"Nov-25")</f>
        <v>0</v>
      </c>
      <c r="G120" s="114">
        <f>+SUM(B120:F120)</f>
        <v>0</v>
      </c>
      <c r="H120" s="115"/>
      <c r="I120" s="116" t="s">
        <v>402</v>
      </c>
      <c r="J120" s="114">
        <f>+COUNTIFS('LOI and Commissioning Master Sh'!$CB:$CB,Summary!$I120,'LOI and Commissioning Master Sh'!$G:$G,Summary!J$78,'LOI and Commissioning Master Sh'!$CI:$CI,"Nov'26")</f>
        <v>0</v>
      </c>
      <c r="K120" s="114">
        <f>+COUNTIFS('LOI and Commissioning Master Sh'!$CB:$CB,Summary!$I120,'LOI and Commissioning Master Sh'!$G:$G,Summary!K$78,'LOI and Commissioning Master Sh'!$CI:$CI,"Nov'26")</f>
        <v>0</v>
      </c>
      <c r="L120" s="114">
        <f>+COUNTIFS('LOI and Commissioning Master Sh'!$CB:$CB,Summary!$I120,'LOI and Commissioning Master Sh'!$G:$G,Summary!L$78,'LOI and Commissioning Master Sh'!$CI:$CI,"Nov'26")</f>
        <v>0</v>
      </c>
      <c r="M120" s="114">
        <f>+COUNTIFS('LOI and Commissioning Master Sh'!$CB:$CB,Summary!$I120,'LOI and Commissioning Master Sh'!$G:$G,Summary!M$78,'LOI and Commissioning Master Sh'!$CI:$CI,"Nov'26")</f>
        <v>0</v>
      </c>
      <c r="N120" s="114">
        <f>+COUNTIFS('LOI and Commissioning Master Sh'!$CB:$CB,Summary!$I120,'LOI and Commissioning Master Sh'!$G:$G,Summary!N$78,'LOI and Commissioning Master Sh'!$CI:$CI,"Nov'26")</f>
        <v>0</v>
      </c>
      <c r="O120" s="273">
        <f>SUM(J120:N120)</f>
        <v>0</v>
      </c>
    </row>
    <row r="121" spans="1:15" ht="18.75" hidden="1" x14ac:dyDescent="0.3">
      <c r="A121" s="122" t="s">
        <v>185</v>
      </c>
      <c r="B121" s="114">
        <f>+COUNTIFS('LOI and Commissioning Master Sh'!$G:$G,Summary!B$78,'LOI and Commissioning Master Sh'!$CB:$CB,Summary!$A121,'LOI and Commissioning Master Sh'!$BW:$BW,"Commissioned",'LOI and Commissioning Master Sh'!$AS:$AS,"Nov-25")</f>
        <v>0</v>
      </c>
      <c r="C121" s="114">
        <f>+COUNTIFS('LOI and Commissioning Master Sh'!$G:$G,Summary!C$78,'LOI and Commissioning Master Sh'!$CB:$CB,Summary!$A121,'LOI and Commissioning Master Sh'!$BW:$BW,"Commissioned",'LOI and Commissioning Master Sh'!$AS:$AS,"Nov-25")</f>
        <v>0</v>
      </c>
      <c r="D121" s="114">
        <f>+COUNTIFS('LOI and Commissioning Master Sh'!$G:$G,Summary!D$78,'LOI and Commissioning Master Sh'!$CB:$CB,Summary!$A121,'LOI and Commissioning Master Sh'!$BW:$BW,"Commissioned",'LOI and Commissioning Master Sh'!$AS:$AS,"Nov-25")</f>
        <v>0</v>
      </c>
      <c r="E121" s="114">
        <f>+COUNTIFS('LOI and Commissioning Master Sh'!$G:$G,Summary!E$78,'LOI and Commissioning Master Sh'!$CB:$CB,Summary!$A121,'LOI and Commissioning Master Sh'!$BW:$BW,"Commissioned",'LOI and Commissioning Master Sh'!$AS:$AS,"Nov-25")</f>
        <v>0</v>
      </c>
      <c r="F121" s="114">
        <f>+COUNTIFS('LOI and Commissioning Master Sh'!$G:$G,Summary!F$78,'LOI and Commissioning Master Sh'!$CB:$CB,Summary!$A121,'LOI and Commissioning Master Sh'!$BW:$BW,"Commissioned",'LOI and Commissioning Master Sh'!$AS:$AS,"Nov-25")</f>
        <v>0</v>
      </c>
      <c r="G121" s="114">
        <f>+SUM(B121:F121)</f>
        <v>0</v>
      </c>
      <c r="H121" s="115"/>
      <c r="I121" s="116" t="s">
        <v>185</v>
      </c>
      <c r="J121" s="114">
        <f>+COUNTIFS('LOI and Commissioning Master Sh'!$CB:$CB,Summary!$I121,'LOI and Commissioning Master Sh'!$G:$G,Summary!J$78,'LOI and Commissioning Master Sh'!$CI:$CI,"Nov'26")</f>
        <v>0</v>
      </c>
      <c r="K121" s="114">
        <f>+COUNTIFS('LOI and Commissioning Master Sh'!$CB:$CB,Summary!$I121,'LOI and Commissioning Master Sh'!$G:$G,Summary!K$78,'LOI and Commissioning Master Sh'!$CI:$CI,"Nov'26")</f>
        <v>0</v>
      </c>
      <c r="L121" s="114">
        <f>+COUNTIFS('LOI and Commissioning Master Sh'!$CB:$CB,Summary!$I121,'LOI and Commissioning Master Sh'!$G:$G,Summary!L$78,'LOI and Commissioning Master Sh'!$CI:$CI,"Nov'26")</f>
        <v>0</v>
      </c>
      <c r="M121" s="114">
        <f>+COUNTIFS('LOI and Commissioning Master Sh'!$CB:$CB,Summary!$I121,'LOI and Commissioning Master Sh'!$G:$G,Summary!M$78,'LOI and Commissioning Master Sh'!$CI:$CI,"Nov'26")</f>
        <v>0</v>
      </c>
      <c r="N121" s="114">
        <f>+COUNTIFS('LOI and Commissioning Master Sh'!$CB:$CB,Summary!$I121,'LOI and Commissioning Master Sh'!$G:$G,Summary!N$78,'LOI and Commissioning Master Sh'!$CI:$CI,"Nov'26")</f>
        <v>0</v>
      </c>
      <c r="O121" s="273">
        <f t="shared" ref="O121:O122" si="113">SUM(J121:N121)</f>
        <v>0</v>
      </c>
    </row>
    <row r="122" spans="1:15" ht="18.75" hidden="1" x14ac:dyDescent="0.3">
      <c r="A122" s="122" t="s">
        <v>118</v>
      </c>
      <c r="B122" s="114">
        <f>+COUNTIFS('LOI and Commissioning Master Sh'!$G:$G,Summary!B$78,'LOI and Commissioning Master Sh'!$CB:$CB,Summary!$A122,'LOI and Commissioning Master Sh'!$BW:$BW,"Commissioned",'LOI and Commissioning Master Sh'!$AS:$AS,"Nov-25")</f>
        <v>0</v>
      </c>
      <c r="C122" s="114">
        <f>+COUNTIFS('LOI and Commissioning Master Sh'!$G:$G,Summary!C$78,'LOI and Commissioning Master Sh'!$CB:$CB,Summary!$A122,'LOI and Commissioning Master Sh'!$BW:$BW,"Commissioned",'LOI and Commissioning Master Sh'!$AS:$AS,"Nov-25")</f>
        <v>0</v>
      </c>
      <c r="D122" s="114">
        <f>+COUNTIFS('LOI and Commissioning Master Sh'!$G:$G,Summary!D$78,'LOI and Commissioning Master Sh'!$CB:$CB,Summary!$A122,'LOI and Commissioning Master Sh'!$BW:$BW,"Commissioned",'LOI and Commissioning Master Sh'!$AS:$AS,"Nov-25")</f>
        <v>0</v>
      </c>
      <c r="E122" s="114">
        <f>+COUNTIFS('LOI and Commissioning Master Sh'!$G:$G,Summary!E$78,'LOI and Commissioning Master Sh'!$CB:$CB,Summary!$A122,'LOI and Commissioning Master Sh'!$BW:$BW,"Commissioned",'LOI and Commissioning Master Sh'!$AS:$AS,"Nov-25")</f>
        <v>0</v>
      </c>
      <c r="F122" s="114">
        <f>+COUNTIFS('LOI and Commissioning Master Sh'!$G:$G,Summary!F$78,'LOI and Commissioning Master Sh'!$CB:$CB,Summary!$A122,'LOI and Commissioning Master Sh'!$BW:$BW,"Commissioned",'LOI and Commissioning Master Sh'!$AS:$AS,"Nov-25")</f>
        <v>0</v>
      </c>
      <c r="G122" s="114">
        <f>+SUM(B122:F122)</f>
        <v>0</v>
      </c>
      <c r="H122" s="115"/>
      <c r="I122" s="116" t="s">
        <v>118</v>
      </c>
      <c r="J122" s="114">
        <f>+COUNTIFS('LOI and Commissioning Master Sh'!$CB:$CB,Summary!$I122,'LOI and Commissioning Master Sh'!$G:$G,Summary!J$78,'LOI and Commissioning Master Sh'!$CI:$CI,"Nov'26")</f>
        <v>0</v>
      </c>
      <c r="K122" s="114">
        <f>+COUNTIFS('LOI and Commissioning Master Sh'!$CB:$CB,Summary!$I122,'LOI and Commissioning Master Sh'!$G:$G,Summary!K$78,'LOI and Commissioning Master Sh'!$CI:$CI,"Nov'26")</f>
        <v>0</v>
      </c>
      <c r="L122" s="114">
        <f>+COUNTIFS('LOI and Commissioning Master Sh'!$CB:$CB,Summary!$I122,'LOI and Commissioning Master Sh'!$G:$G,Summary!L$78,'LOI and Commissioning Master Sh'!$CI:$CI,"Nov'26")</f>
        <v>0</v>
      </c>
      <c r="M122" s="114">
        <f>+COUNTIFS('LOI and Commissioning Master Sh'!$CB:$CB,Summary!$I122,'LOI and Commissioning Master Sh'!$G:$G,Summary!M$78,'LOI and Commissioning Master Sh'!$CI:$CI,"Nov'26")</f>
        <v>0</v>
      </c>
      <c r="N122" s="114">
        <f>+COUNTIFS('LOI and Commissioning Master Sh'!$CB:$CB,Summary!$I122,'LOI and Commissioning Master Sh'!$G:$G,Summary!N$78,'LOI and Commissioning Master Sh'!$CI:$CI,"Nov'26")</f>
        <v>0</v>
      </c>
      <c r="O122" s="273">
        <f t="shared" si="113"/>
        <v>0</v>
      </c>
    </row>
    <row r="123" spans="1:15" ht="18.75" hidden="1" x14ac:dyDescent="0.3">
      <c r="A123" s="122"/>
      <c r="B123" s="114"/>
      <c r="C123" s="114"/>
      <c r="D123" s="114"/>
      <c r="E123" s="114"/>
      <c r="F123" s="114"/>
      <c r="G123" s="114"/>
      <c r="H123" s="115"/>
      <c r="I123" s="116"/>
      <c r="J123" s="114"/>
      <c r="K123" s="114"/>
      <c r="L123" s="114"/>
      <c r="M123" s="114"/>
      <c r="N123" s="114"/>
      <c r="O123" s="273"/>
    </row>
    <row r="124" spans="1:15" ht="37.5" hidden="1" x14ac:dyDescent="0.3">
      <c r="A124" s="122" t="s">
        <v>1393</v>
      </c>
      <c r="B124" s="114">
        <f t="shared" ref="B124:G124" si="114">+SUM(B125:B127)</f>
        <v>0</v>
      </c>
      <c r="C124" s="114">
        <f t="shared" si="114"/>
        <v>0</v>
      </c>
      <c r="D124" s="114">
        <f t="shared" si="114"/>
        <v>0</v>
      </c>
      <c r="E124" s="114">
        <f t="shared" si="114"/>
        <v>0</v>
      </c>
      <c r="F124" s="114">
        <f t="shared" si="114"/>
        <v>0</v>
      </c>
      <c r="G124" s="114">
        <f t="shared" si="114"/>
        <v>0</v>
      </c>
      <c r="H124" s="115"/>
      <c r="I124" s="116" t="s">
        <v>1394</v>
      </c>
      <c r="J124" s="114">
        <f>+SUM(J125:J127)</f>
        <v>0</v>
      </c>
      <c r="K124" s="114">
        <f t="shared" ref="K124" si="115">+SUM(K125:K127)</f>
        <v>0</v>
      </c>
      <c r="L124" s="114">
        <f t="shared" ref="L124:O124" si="116">+SUM(L125:L127)</f>
        <v>0</v>
      </c>
      <c r="M124" s="114">
        <f t="shared" si="116"/>
        <v>0</v>
      </c>
      <c r="N124" s="114">
        <f t="shared" si="116"/>
        <v>0</v>
      </c>
      <c r="O124" s="273">
        <f t="shared" si="116"/>
        <v>0</v>
      </c>
    </row>
    <row r="125" spans="1:15" ht="18.75" hidden="1" x14ac:dyDescent="0.3">
      <c r="A125" s="122" t="s">
        <v>402</v>
      </c>
      <c r="B125" s="114">
        <f>+COUNTIFS('LOI and Commissioning Master Sh'!$G:$G,Summary!B$78,'LOI and Commissioning Master Sh'!$CB:$CB,Summary!$A125,'LOI and Commissioning Master Sh'!$BW:$BW,"Commissioned",'LOI and Commissioning Master Sh'!$AS:$AS,"Dec-25")</f>
        <v>0</v>
      </c>
      <c r="C125" s="114">
        <f>+COUNTIFS('LOI and Commissioning Master Sh'!$G:$G,Summary!C$78,'LOI and Commissioning Master Sh'!$CB:$CB,Summary!$A125,'LOI and Commissioning Master Sh'!$BW:$BW,"Commissioned",'LOI and Commissioning Master Sh'!$AS:$AS,"Dec-25")</f>
        <v>0</v>
      </c>
      <c r="D125" s="114">
        <f>+COUNTIFS('LOI and Commissioning Master Sh'!$G:$G,Summary!D$78,'LOI and Commissioning Master Sh'!$CB:$CB,Summary!$A125,'LOI and Commissioning Master Sh'!$BW:$BW,"Commissioned",'LOI and Commissioning Master Sh'!$AS:$AS,"Dec-25")</f>
        <v>0</v>
      </c>
      <c r="E125" s="114">
        <f>+COUNTIFS('LOI and Commissioning Master Sh'!$G:$G,Summary!E$78,'LOI and Commissioning Master Sh'!$CB:$CB,Summary!$A125,'LOI and Commissioning Master Sh'!$BW:$BW,"Commissioned",'LOI and Commissioning Master Sh'!$AS:$AS,"Dec-25")</f>
        <v>0</v>
      </c>
      <c r="F125" s="114">
        <f>+COUNTIFS('LOI and Commissioning Master Sh'!$G:$G,Summary!F$78,'LOI and Commissioning Master Sh'!$CB:$CB,Summary!$A125,'LOI and Commissioning Master Sh'!$BW:$BW,"Commissioned",'LOI and Commissioning Master Sh'!$AS:$AS,"Dec-25")</f>
        <v>0</v>
      </c>
      <c r="G125" s="114">
        <f>+SUM(B125:F125)</f>
        <v>0</v>
      </c>
      <c r="H125" s="115"/>
      <c r="I125" s="116" t="s">
        <v>402</v>
      </c>
      <c r="J125" s="114">
        <f>+COUNTIFS('LOI and Commissioning Master Sh'!$CB:$CB,Summary!$I125,'LOI and Commissioning Master Sh'!$G:$G,Summary!J$78,'LOI and Commissioning Master Sh'!$CI:$CI,"Dec'26")</f>
        <v>0</v>
      </c>
      <c r="K125" s="114">
        <f>+COUNTIFS('LOI and Commissioning Master Sh'!$CB:$CB,Summary!$I125,'LOI and Commissioning Master Sh'!$G:$G,Summary!K$78,'LOI and Commissioning Master Sh'!$CI:$CI,"Dec'26")</f>
        <v>0</v>
      </c>
      <c r="L125" s="114">
        <f>+COUNTIFS('LOI and Commissioning Master Sh'!$CB:$CB,Summary!$I125,'LOI and Commissioning Master Sh'!$G:$G,Summary!L$78,'LOI and Commissioning Master Sh'!$CI:$CI,"Dec'26")</f>
        <v>0</v>
      </c>
      <c r="M125" s="114">
        <f>+COUNTIFS('LOI and Commissioning Master Sh'!$CB:$CB,Summary!$I125,'LOI and Commissioning Master Sh'!$G:$G,Summary!M$78,'LOI and Commissioning Master Sh'!$CI:$CI,"Dec'26")</f>
        <v>0</v>
      </c>
      <c r="N125" s="114">
        <f>+COUNTIFS('LOI and Commissioning Master Sh'!$CB:$CB,Summary!$I125,'LOI and Commissioning Master Sh'!$G:$G,Summary!N$78,'LOI and Commissioning Master Sh'!$CI:$CI,"Dec'26")</f>
        <v>0</v>
      </c>
      <c r="O125" s="273">
        <f>SUM(J125:N125)</f>
        <v>0</v>
      </c>
    </row>
    <row r="126" spans="1:15" ht="18.75" hidden="1" x14ac:dyDescent="0.3">
      <c r="A126" s="122" t="s">
        <v>185</v>
      </c>
      <c r="B126" s="114">
        <f>+COUNTIFS('LOI and Commissioning Master Sh'!$G:$G,Summary!B$78,'LOI and Commissioning Master Sh'!$CB:$CB,Summary!$A126,'LOI and Commissioning Master Sh'!$BW:$BW,"Commissioned",'LOI and Commissioning Master Sh'!$AS:$AS,"Dec-25")</f>
        <v>0</v>
      </c>
      <c r="C126" s="114">
        <f>+COUNTIFS('LOI and Commissioning Master Sh'!$G:$G,Summary!C$78,'LOI and Commissioning Master Sh'!$CB:$CB,Summary!$A126,'LOI and Commissioning Master Sh'!$BW:$BW,"Commissioned",'LOI and Commissioning Master Sh'!$AS:$AS,"Dec-25")</f>
        <v>0</v>
      </c>
      <c r="D126" s="114">
        <f>+COUNTIFS('LOI and Commissioning Master Sh'!$G:$G,Summary!D$78,'LOI and Commissioning Master Sh'!$CB:$CB,Summary!$A126,'LOI and Commissioning Master Sh'!$BW:$BW,"Commissioned",'LOI and Commissioning Master Sh'!$AS:$AS,"Dec-25")</f>
        <v>0</v>
      </c>
      <c r="E126" s="114">
        <f>+COUNTIFS('LOI and Commissioning Master Sh'!$G:$G,Summary!E$78,'LOI and Commissioning Master Sh'!$CB:$CB,Summary!$A126,'LOI and Commissioning Master Sh'!$BW:$BW,"Commissioned",'LOI and Commissioning Master Sh'!$AS:$AS,"Dec-25")</f>
        <v>0</v>
      </c>
      <c r="F126" s="114">
        <f>+COUNTIFS('LOI and Commissioning Master Sh'!$G:$G,Summary!F$78,'LOI and Commissioning Master Sh'!$CB:$CB,Summary!$A126,'LOI and Commissioning Master Sh'!$BW:$BW,"Commissioned",'LOI and Commissioning Master Sh'!$AS:$AS,"Dec-25")</f>
        <v>0</v>
      </c>
      <c r="G126" s="114">
        <f>+SUM(B126:F126)</f>
        <v>0</v>
      </c>
      <c r="H126" s="115"/>
      <c r="I126" s="116" t="s">
        <v>185</v>
      </c>
      <c r="J126" s="114">
        <f>+COUNTIFS('LOI and Commissioning Master Sh'!$CB:$CB,Summary!$I126,'LOI and Commissioning Master Sh'!$G:$G,Summary!J$78,'LOI and Commissioning Master Sh'!$CI:$CI,"Dec'26")</f>
        <v>0</v>
      </c>
      <c r="K126" s="114">
        <f>+COUNTIFS('LOI and Commissioning Master Sh'!$CB:$CB,Summary!$I126,'LOI and Commissioning Master Sh'!$G:$G,Summary!K$78,'LOI and Commissioning Master Sh'!$CI:$CI,"Dec'26")</f>
        <v>0</v>
      </c>
      <c r="L126" s="114">
        <f>+COUNTIFS('LOI and Commissioning Master Sh'!$CB:$CB,Summary!$I126,'LOI and Commissioning Master Sh'!$G:$G,Summary!L$78,'LOI and Commissioning Master Sh'!$CI:$CI,"Dec'26")</f>
        <v>0</v>
      </c>
      <c r="M126" s="114">
        <f>+COUNTIFS('LOI and Commissioning Master Sh'!$CB:$CB,Summary!$I126,'LOI and Commissioning Master Sh'!$G:$G,Summary!M$78,'LOI and Commissioning Master Sh'!$CI:$CI,"Dec'26")</f>
        <v>0</v>
      </c>
      <c r="N126" s="114">
        <f>+COUNTIFS('LOI and Commissioning Master Sh'!$CB:$CB,Summary!$I126,'LOI and Commissioning Master Sh'!$G:$G,Summary!N$78,'LOI and Commissioning Master Sh'!$CI:$CI,"Dec'26")</f>
        <v>0</v>
      </c>
      <c r="O126" s="273">
        <f t="shared" ref="O126:O127" si="117">SUM(J126:N126)</f>
        <v>0</v>
      </c>
    </row>
    <row r="127" spans="1:15" ht="18.75" hidden="1" x14ac:dyDescent="0.3">
      <c r="A127" s="122" t="s">
        <v>118</v>
      </c>
      <c r="B127" s="114">
        <f>+COUNTIFS('LOI and Commissioning Master Sh'!$G:$G,Summary!B$78,'LOI and Commissioning Master Sh'!$CB:$CB,Summary!$A127,'LOI and Commissioning Master Sh'!$BW:$BW,"Commissioned",'LOI and Commissioning Master Sh'!$AS:$AS,"Dec-25")</f>
        <v>0</v>
      </c>
      <c r="C127" s="114">
        <f>+COUNTIFS('LOI and Commissioning Master Sh'!$G:$G,Summary!C$78,'LOI and Commissioning Master Sh'!$CB:$CB,Summary!$A127,'LOI and Commissioning Master Sh'!$BW:$BW,"Commissioned",'LOI and Commissioning Master Sh'!$AS:$AS,"Dec-25")</f>
        <v>0</v>
      </c>
      <c r="D127" s="114">
        <f>+COUNTIFS('LOI and Commissioning Master Sh'!$G:$G,Summary!D$78,'LOI and Commissioning Master Sh'!$CB:$CB,Summary!$A127,'LOI and Commissioning Master Sh'!$BW:$BW,"Commissioned",'LOI and Commissioning Master Sh'!$AS:$AS,"Dec-25")</f>
        <v>0</v>
      </c>
      <c r="E127" s="114">
        <f>+COUNTIFS('LOI and Commissioning Master Sh'!$G:$G,Summary!E$78,'LOI and Commissioning Master Sh'!$CB:$CB,Summary!$A127,'LOI and Commissioning Master Sh'!$BW:$BW,"Commissioned",'LOI and Commissioning Master Sh'!$AS:$AS,"Dec-25")</f>
        <v>0</v>
      </c>
      <c r="F127" s="114">
        <f>+COUNTIFS('LOI and Commissioning Master Sh'!$G:$G,Summary!F$78,'LOI and Commissioning Master Sh'!$CB:$CB,Summary!$A127,'LOI and Commissioning Master Sh'!$BW:$BW,"Commissioned",'LOI and Commissioning Master Sh'!$AS:$AS,"Dec-25")</f>
        <v>0</v>
      </c>
      <c r="G127" s="114">
        <f>+SUM(B127:F127)</f>
        <v>0</v>
      </c>
      <c r="H127" s="115"/>
      <c r="I127" s="116" t="s">
        <v>118</v>
      </c>
      <c r="J127" s="114">
        <f>+COUNTIFS('LOI and Commissioning Master Sh'!$CB:$CB,Summary!$I127,'LOI and Commissioning Master Sh'!$G:$G,Summary!J$78,'LOI and Commissioning Master Sh'!$CI:$CI,"Dec'26")</f>
        <v>0</v>
      </c>
      <c r="K127" s="114">
        <f>+COUNTIFS('LOI and Commissioning Master Sh'!$CB:$CB,Summary!$I127,'LOI and Commissioning Master Sh'!$G:$G,Summary!K$78,'LOI and Commissioning Master Sh'!$CI:$CI,"Dec'26")</f>
        <v>0</v>
      </c>
      <c r="L127" s="114">
        <f>+COUNTIFS('LOI and Commissioning Master Sh'!$CB:$CB,Summary!$I127,'LOI and Commissioning Master Sh'!$G:$G,Summary!L$78,'LOI and Commissioning Master Sh'!$CI:$CI,"Dec'26")</f>
        <v>0</v>
      </c>
      <c r="M127" s="114">
        <f>+COUNTIFS('LOI and Commissioning Master Sh'!$CB:$CB,Summary!$I127,'LOI and Commissioning Master Sh'!$G:$G,Summary!M$78,'LOI and Commissioning Master Sh'!$CI:$CI,"Dec'26")</f>
        <v>0</v>
      </c>
      <c r="N127" s="114">
        <f>+COUNTIFS('LOI and Commissioning Master Sh'!$CB:$CB,Summary!$I127,'LOI and Commissioning Master Sh'!$G:$G,Summary!N$78,'LOI and Commissioning Master Sh'!$CI:$CI,"Dec'26")</f>
        <v>0</v>
      </c>
      <c r="O127" s="273">
        <f t="shared" si="117"/>
        <v>0</v>
      </c>
    </row>
    <row r="128" spans="1:15" ht="18.75" hidden="1" x14ac:dyDescent="0.3">
      <c r="A128" s="122"/>
      <c r="B128" s="114"/>
      <c r="C128" s="114"/>
      <c r="D128" s="114"/>
      <c r="E128" s="114"/>
      <c r="F128" s="114"/>
      <c r="G128" s="114"/>
      <c r="H128" s="115"/>
      <c r="I128" s="116"/>
      <c r="J128" s="114"/>
      <c r="K128" s="114"/>
      <c r="L128" s="114"/>
      <c r="M128" s="114"/>
      <c r="N128" s="114"/>
      <c r="O128" s="273"/>
    </row>
    <row r="129" spans="1:15" ht="37.5" hidden="1" x14ac:dyDescent="0.3">
      <c r="A129" s="122" t="s">
        <v>1395</v>
      </c>
      <c r="B129" s="114">
        <f t="shared" ref="B129:G129" si="118">+SUM(B130:B132)</f>
        <v>0</v>
      </c>
      <c r="C129" s="114">
        <f t="shared" si="118"/>
        <v>0</v>
      </c>
      <c r="D129" s="114">
        <f t="shared" si="118"/>
        <v>0</v>
      </c>
      <c r="E129" s="114">
        <f t="shared" si="118"/>
        <v>0</v>
      </c>
      <c r="F129" s="114">
        <f t="shared" si="118"/>
        <v>0</v>
      </c>
      <c r="G129" s="114">
        <f t="shared" si="118"/>
        <v>0</v>
      </c>
      <c r="H129" s="115"/>
      <c r="I129" s="116" t="s">
        <v>1396</v>
      </c>
      <c r="J129" s="114">
        <f>+SUM(J130:J132)</f>
        <v>0</v>
      </c>
      <c r="K129" s="114">
        <f t="shared" ref="K129:O129" si="119">+SUM(K130:K132)</f>
        <v>0</v>
      </c>
      <c r="L129" s="114">
        <f t="shared" si="119"/>
        <v>0</v>
      </c>
      <c r="M129" s="114">
        <f t="shared" si="119"/>
        <v>0</v>
      </c>
      <c r="N129" s="114">
        <f t="shared" si="119"/>
        <v>0</v>
      </c>
      <c r="O129" s="273">
        <f t="shared" si="119"/>
        <v>0</v>
      </c>
    </row>
    <row r="130" spans="1:15" ht="18.75" hidden="1" x14ac:dyDescent="0.3">
      <c r="A130" s="122" t="s">
        <v>402</v>
      </c>
      <c r="B130" s="114">
        <f>+COUNTIFS('LOI and Commissioning Master Sh'!$G:$G,Summary!B$78,'LOI and Commissioning Master Sh'!$CB:$CB,Summary!$A130,'LOI and Commissioning Master Sh'!$BW:$BW,"Commissioned",'LOI and Commissioning Master Sh'!$AS:$AS,"Jan-26")</f>
        <v>0</v>
      </c>
      <c r="C130" s="114">
        <f>+COUNTIFS('LOI and Commissioning Master Sh'!$G:$G,Summary!C$78,'LOI and Commissioning Master Sh'!$CB:$CB,Summary!$A130,'LOI and Commissioning Master Sh'!$BW:$BW,"Commissioned",'LOI and Commissioning Master Sh'!$AS:$AS,"Jan-26")</f>
        <v>0</v>
      </c>
      <c r="D130" s="114">
        <f>+COUNTIFS('LOI and Commissioning Master Sh'!$G:$G,Summary!D$78,'LOI and Commissioning Master Sh'!$CB:$CB,Summary!$A130,'LOI and Commissioning Master Sh'!$BW:$BW,"Commissioned",'LOI and Commissioning Master Sh'!$AS:$AS,"Jan-26")</f>
        <v>0</v>
      </c>
      <c r="E130" s="114">
        <f>+COUNTIFS('LOI and Commissioning Master Sh'!$G:$G,Summary!E$78,'LOI and Commissioning Master Sh'!$CB:$CB,Summary!$A130,'LOI and Commissioning Master Sh'!$BW:$BW,"Commissioned",'LOI and Commissioning Master Sh'!$AS:$AS,"Jan-26")</f>
        <v>0</v>
      </c>
      <c r="F130" s="114">
        <f>+COUNTIFS('LOI and Commissioning Master Sh'!$G:$G,Summary!F$78,'LOI and Commissioning Master Sh'!$CB:$CB,Summary!$A130,'LOI and Commissioning Master Sh'!$BW:$BW,"Commissioned",'LOI and Commissioning Master Sh'!$AS:$AS,"Jan-26")</f>
        <v>0</v>
      </c>
      <c r="G130" s="114">
        <f>+SUM(B130:F130)</f>
        <v>0</v>
      </c>
      <c r="H130" s="115"/>
      <c r="I130" s="116" t="s">
        <v>402</v>
      </c>
      <c r="J130" s="114">
        <f>+COUNTIFS('LOI and Commissioning Master Sh'!$CB:$CB,Summary!$I130,'LOI and Commissioning Master Sh'!$G:$G,Summary!J$78,'LOI and Commissioning Master Sh'!$CI:$CI,"Jan'27")</f>
        <v>0</v>
      </c>
      <c r="K130" s="114">
        <f>+COUNTIFS('LOI and Commissioning Master Sh'!$CB:$CB,Summary!$I130,'LOI and Commissioning Master Sh'!$G:$G,Summary!K$78,'LOI and Commissioning Master Sh'!$CI:$CI,"Jan'27")</f>
        <v>0</v>
      </c>
      <c r="L130" s="114">
        <f>+COUNTIFS('LOI and Commissioning Master Sh'!$CB:$CB,Summary!$I130,'LOI and Commissioning Master Sh'!$G:$G,Summary!L$78,'LOI and Commissioning Master Sh'!$CI:$CI,"Jan'27")</f>
        <v>0</v>
      </c>
      <c r="M130" s="114">
        <f>+COUNTIFS('LOI and Commissioning Master Sh'!$CB:$CB,Summary!$I130,'LOI and Commissioning Master Sh'!$G:$G,Summary!M$78,'LOI and Commissioning Master Sh'!$CI:$CI,"Jan'27")</f>
        <v>0</v>
      </c>
      <c r="N130" s="114">
        <f>+COUNTIFS('LOI and Commissioning Master Sh'!$CB:$CB,Summary!$I130,'LOI and Commissioning Master Sh'!$G:$G,Summary!N$78,'LOI and Commissioning Master Sh'!$CI:$CI,"Jan'27")</f>
        <v>0</v>
      </c>
      <c r="O130" s="273">
        <f>SUM(J130:N130)</f>
        <v>0</v>
      </c>
    </row>
    <row r="131" spans="1:15" ht="18.75" hidden="1" x14ac:dyDescent="0.3">
      <c r="A131" s="122" t="s">
        <v>185</v>
      </c>
      <c r="B131" s="114">
        <f>+COUNTIFS('LOI and Commissioning Master Sh'!$G:$G,Summary!B$78,'LOI and Commissioning Master Sh'!$CB:$CB,Summary!$A131,'LOI and Commissioning Master Sh'!$BW:$BW,"Commissioned",'LOI and Commissioning Master Sh'!$AS:$AS,"Jan-26")</f>
        <v>0</v>
      </c>
      <c r="C131" s="114">
        <f>+COUNTIFS('LOI and Commissioning Master Sh'!$G:$G,Summary!C$78,'LOI and Commissioning Master Sh'!$CB:$CB,Summary!$A131,'LOI and Commissioning Master Sh'!$BW:$BW,"Commissioned",'LOI and Commissioning Master Sh'!$AS:$AS,"Jan-26")</f>
        <v>0</v>
      </c>
      <c r="D131" s="114">
        <f>+COUNTIFS('LOI and Commissioning Master Sh'!$G:$G,Summary!D$78,'LOI and Commissioning Master Sh'!$CB:$CB,Summary!$A131,'LOI and Commissioning Master Sh'!$BW:$BW,"Commissioned",'LOI and Commissioning Master Sh'!$AS:$AS,"Jan-26")</f>
        <v>0</v>
      </c>
      <c r="E131" s="114">
        <f>+COUNTIFS('LOI and Commissioning Master Sh'!$G:$G,Summary!E$78,'LOI and Commissioning Master Sh'!$CB:$CB,Summary!$A131,'LOI and Commissioning Master Sh'!$BW:$BW,"Commissioned",'LOI and Commissioning Master Sh'!$AS:$AS,"Jan-26")</f>
        <v>0</v>
      </c>
      <c r="F131" s="114">
        <f>+COUNTIFS('LOI and Commissioning Master Sh'!$G:$G,Summary!F$78,'LOI and Commissioning Master Sh'!$CB:$CB,Summary!$A131,'LOI and Commissioning Master Sh'!$BW:$BW,"Commissioned",'LOI and Commissioning Master Sh'!$AS:$AS,"Jan-26")</f>
        <v>0</v>
      </c>
      <c r="G131" s="114">
        <f>+SUM(B131:F131)</f>
        <v>0</v>
      </c>
      <c r="H131" s="115"/>
      <c r="I131" s="116" t="s">
        <v>185</v>
      </c>
      <c r="J131" s="114">
        <f>+COUNTIFS('LOI and Commissioning Master Sh'!$CB:$CB,Summary!$I131,'LOI and Commissioning Master Sh'!$G:$G,Summary!J$78,'LOI and Commissioning Master Sh'!$CI:$CI,"Jan'27")</f>
        <v>0</v>
      </c>
      <c r="K131" s="114">
        <f>+COUNTIFS('LOI and Commissioning Master Sh'!$CB:$CB,Summary!$I131,'LOI and Commissioning Master Sh'!$G:$G,Summary!K$78,'LOI and Commissioning Master Sh'!$CI:$CI,"Jan'27")</f>
        <v>0</v>
      </c>
      <c r="L131" s="114">
        <f>+COUNTIFS('LOI and Commissioning Master Sh'!$CB:$CB,Summary!$I131,'LOI and Commissioning Master Sh'!$G:$G,Summary!L$78,'LOI and Commissioning Master Sh'!$CI:$CI,"Jan'27")</f>
        <v>0</v>
      </c>
      <c r="M131" s="114">
        <f>+COUNTIFS('LOI and Commissioning Master Sh'!$CB:$CB,Summary!$I131,'LOI and Commissioning Master Sh'!$G:$G,Summary!M$78,'LOI and Commissioning Master Sh'!$CI:$CI,"Jan'27")</f>
        <v>0</v>
      </c>
      <c r="N131" s="114">
        <f>+COUNTIFS('LOI and Commissioning Master Sh'!$CB:$CB,Summary!$I131,'LOI and Commissioning Master Sh'!$G:$G,Summary!N$78,'LOI and Commissioning Master Sh'!$CI:$CI,"Jan'27")</f>
        <v>0</v>
      </c>
      <c r="O131" s="273">
        <f t="shared" ref="O131:O132" si="120">SUM(J131:N131)</f>
        <v>0</v>
      </c>
    </row>
    <row r="132" spans="1:15" ht="18.75" hidden="1" x14ac:dyDescent="0.3">
      <c r="A132" s="122" t="s">
        <v>118</v>
      </c>
      <c r="B132" s="114">
        <f>+COUNTIFS('LOI and Commissioning Master Sh'!$G:$G,Summary!B$78,'LOI and Commissioning Master Sh'!$CB:$CB,Summary!$A132,'LOI and Commissioning Master Sh'!$BW:$BW,"Commissioned",'LOI and Commissioning Master Sh'!$AS:$AS,"Jan-26")</f>
        <v>0</v>
      </c>
      <c r="C132" s="114">
        <f>+COUNTIFS('LOI and Commissioning Master Sh'!$G:$G,Summary!C$78,'LOI and Commissioning Master Sh'!$CB:$CB,Summary!$A132,'LOI and Commissioning Master Sh'!$BW:$BW,"Commissioned",'LOI and Commissioning Master Sh'!$AS:$AS,"Jan-26")</f>
        <v>0</v>
      </c>
      <c r="D132" s="114">
        <f>+COUNTIFS('LOI and Commissioning Master Sh'!$G:$G,Summary!D$78,'LOI and Commissioning Master Sh'!$CB:$CB,Summary!$A132,'LOI and Commissioning Master Sh'!$BW:$BW,"Commissioned",'LOI and Commissioning Master Sh'!$AS:$AS,"Jan-26")</f>
        <v>0</v>
      </c>
      <c r="E132" s="114">
        <f>+COUNTIFS('LOI and Commissioning Master Sh'!$G:$G,Summary!E$78,'LOI and Commissioning Master Sh'!$CB:$CB,Summary!$A132,'LOI and Commissioning Master Sh'!$BW:$BW,"Commissioned",'LOI and Commissioning Master Sh'!$AS:$AS,"Jan-26")</f>
        <v>0</v>
      </c>
      <c r="F132" s="114">
        <f>+COUNTIFS('LOI and Commissioning Master Sh'!$G:$G,Summary!F$78,'LOI and Commissioning Master Sh'!$CB:$CB,Summary!$A132,'LOI and Commissioning Master Sh'!$BW:$BW,"Commissioned",'LOI and Commissioning Master Sh'!$AS:$AS,"Jan-26")</f>
        <v>0</v>
      </c>
      <c r="G132" s="114">
        <f>+SUM(B132:F132)</f>
        <v>0</v>
      </c>
      <c r="H132" s="115"/>
      <c r="I132" s="116" t="s">
        <v>118</v>
      </c>
      <c r="J132" s="114">
        <f>+COUNTIFS('LOI and Commissioning Master Sh'!$CB:$CB,Summary!$I132,'LOI and Commissioning Master Sh'!$G:$G,Summary!J$78,'LOI and Commissioning Master Sh'!$CI:$CI,"Jan'27")</f>
        <v>0</v>
      </c>
      <c r="K132" s="114">
        <f>+COUNTIFS('LOI and Commissioning Master Sh'!$CB:$CB,Summary!$I132,'LOI and Commissioning Master Sh'!$G:$G,Summary!K$78,'LOI and Commissioning Master Sh'!$CI:$CI,"Jan'27")</f>
        <v>0</v>
      </c>
      <c r="L132" s="114">
        <f>+COUNTIFS('LOI and Commissioning Master Sh'!$CB:$CB,Summary!$I132,'LOI and Commissioning Master Sh'!$G:$G,Summary!L$78,'LOI and Commissioning Master Sh'!$CI:$CI,"Jan'27")</f>
        <v>0</v>
      </c>
      <c r="M132" s="114">
        <f>+COUNTIFS('LOI and Commissioning Master Sh'!$CB:$CB,Summary!$I132,'LOI and Commissioning Master Sh'!$G:$G,Summary!M$78,'LOI and Commissioning Master Sh'!$CI:$CI,"Jan'27")</f>
        <v>0</v>
      </c>
      <c r="N132" s="114">
        <f>+COUNTIFS('LOI and Commissioning Master Sh'!$CB:$CB,Summary!$I132,'LOI and Commissioning Master Sh'!$G:$G,Summary!N$78,'LOI and Commissioning Master Sh'!$CI:$CI,"Jan'27")</f>
        <v>0</v>
      </c>
      <c r="O132" s="273">
        <f t="shared" si="120"/>
        <v>0</v>
      </c>
    </row>
    <row r="133" spans="1:15" ht="18.75" hidden="1" x14ac:dyDescent="0.3">
      <c r="A133" s="122"/>
      <c r="B133" s="114"/>
      <c r="C133" s="114"/>
      <c r="D133" s="114"/>
      <c r="E133" s="114"/>
      <c r="F133" s="114"/>
      <c r="G133" s="114"/>
      <c r="H133" s="115"/>
      <c r="I133" s="116"/>
      <c r="J133" s="114"/>
      <c r="K133" s="114"/>
      <c r="L133" s="114"/>
      <c r="M133" s="114"/>
      <c r="N133" s="114"/>
      <c r="O133" s="273"/>
    </row>
    <row r="134" spans="1:15" ht="37.5" hidden="1" x14ac:dyDescent="0.3">
      <c r="A134" s="122" t="s">
        <v>1397</v>
      </c>
      <c r="B134" s="114">
        <f t="shared" ref="B134:G134" si="121">+SUM(B135:B137)</f>
        <v>0</v>
      </c>
      <c r="C134" s="114">
        <f t="shared" si="121"/>
        <v>0</v>
      </c>
      <c r="D134" s="114">
        <f t="shared" si="121"/>
        <v>0</v>
      </c>
      <c r="E134" s="114">
        <f t="shared" si="121"/>
        <v>0</v>
      </c>
      <c r="F134" s="114">
        <f t="shared" si="121"/>
        <v>0</v>
      </c>
      <c r="G134" s="114">
        <f t="shared" si="121"/>
        <v>0</v>
      </c>
      <c r="H134" s="115"/>
      <c r="I134" s="116" t="s">
        <v>1398</v>
      </c>
      <c r="J134" s="114">
        <f>+SUM(J135:J137)</f>
        <v>0</v>
      </c>
      <c r="K134" s="114">
        <f t="shared" ref="K134" si="122">+SUM(K135:K137)</f>
        <v>0</v>
      </c>
      <c r="L134" s="114">
        <f t="shared" ref="L134:O134" si="123">+SUM(L135:L137)</f>
        <v>0</v>
      </c>
      <c r="M134" s="114">
        <f t="shared" si="123"/>
        <v>0</v>
      </c>
      <c r="N134" s="114">
        <f t="shared" si="123"/>
        <v>0</v>
      </c>
      <c r="O134" s="273">
        <f t="shared" si="123"/>
        <v>0</v>
      </c>
    </row>
    <row r="135" spans="1:15" ht="18.75" hidden="1" x14ac:dyDescent="0.3">
      <c r="A135" s="122" t="s">
        <v>402</v>
      </c>
      <c r="B135" s="114">
        <f>+COUNTIFS('LOI and Commissioning Master Sh'!$G:$G,Summary!B$78,'LOI and Commissioning Master Sh'!$CB:$CB,Summary!$A135,'LOI and Commissioning Master Sh'!$BW:$BW,"Commissioned",'LOI and Commissioning Master Sh'!$AS:$AS,"Feb-26")</f>
        <v>0</v>
      </c>
      <c r="C135" s="114">
        <f>+COUNTIFS('LOI and Commissioning Master Sh'!$G:$G,Summary!C$78,'LOI and Commissioning Master Sh'!$CB:$CB,Summary!$A135,'LOI and Commissioning Master Sh'!$BW:$BW,"Commissioned",'LOI and Commissioning Master Sh'!$AS:$AS,"Feb-26")</f>
        <v>0</v>
      </c>
      <c r="D135" s="114">
        <f>+COUNTIFS('LOI and Commissioning Master Sh'!$G:$G,Summary!D$78,'LOI and Commissioning Master Sh'!$CB:$CB,Summary!$A135,'LOI and Commissioning Master Sh'!$BW:$BW,"Commissioned",'LOI and Commissioning Master Sh'!$AS:$AS,"Feb-26")</f>
        <v>0</v>
      </c>
      <c r="E135" s="114">
        <f>+COUNTIFS('LOI and Commissioning Master Sh'!$G:$G,Summary!E$78,'LOI and Commissioning Master Sh'!$CB:$CB,Summary!$A135,'LOI and Commissioning Master Sh'!$BW:$BW,"Commissioned",'LOI and Commissioning Master Sh'!$AS:$AS,"Feb-26")</f>
        <v>0</v>
      </c>
      <c r="F135" s="114">
        <f>+COUNTIFS('LOI and Commissioning Master Sh'!$G:$G,Summary!F$78,'LOI and Commissioning Master Sh'!$CB:$CB,Summary!$A135,'LOI and Commissioning Master Sh'!$BW:$BW,"Commissioned",'LOI and Commissioning Master Sh'!$AS:$AS,"Feb-26")</f>
        <v>0</v>
      </c>
      <c r="G135" s="114">
        <f>+SUM(B135:F135)</f>
        <v>0</v>
      </c>
      <c r="H135" s="115"/>
      <c r="I135" s="116" t="s">
        <v>402</v>
      </c>
      <c r="J135" s="114">
        <f>+COUNTIFS('LOI and Commissioning Master Sh'!$CB:$CB,Summary!$I135,'LOI and Commissioning Master Sh'!$G:$G,Summary!J$78,'LOI and Commissioning Master Sh'!$CI:$CI,"Feb'27")</f>
        <v>0</v>
      </c>
      <c r="K135" s="114">
        <f>+COUNTIFS('LOI and Commissioning Master Sh'!$CB:$CB,Summary!$I135,'LOI and Commissioning Master Sh'!$G:$G,Summary!K$78,'LOI and Commissioning Master Sh'!$CI:$CI,"Feb'27")</f>
        <v>0</v>
      </c>
      <c r="L135" s="114">
        <f>+COUNTIFS('LOI and Commissioning Master Sh'!$CB:$CB,Summary!$I135,'LOI and Commissioning Master Sh'!$G:$G,Summary!L$78,'LOI and Commissioning Master Sh'!$CI:$CI,"Feb'27")</f>
        <v>0</v>
      </c>
      <c r="M135" s="114">
        <f>+COUNTIFS('LOI and Commissioning Master Sh'!$CB:$CB,Summary!$I135,'LOI and Commissioning Master Sh'!$G:$G,Summary!M$78,'LOI and Commissioning Master Sh'!$CI:$CI,"Feb'27")</f>
        <v>0</v>
      </c>
      <c r="N135" s="114">
        <f>+COUNTIFS('LOI and Commissioning Master Sh'!$CB:$CB,Summary!$I135,'LOI and Commissioning Master Sh'!$G:$G,Summary!N$78,'LOI and Commissioning Master Sh'!$CI:$CI,"Feb'27")</f>
        <v>0</v>
      </c>
      <c r="O135" s="273">
        <f>SUM(J135:N135)</f>
        <v>0</v>
      </c>
    </row>
    <row r="136" spans="1:15" ht="18.75" hidden="1" x14ac:dyDescent="0.3">
      <c r="A136" s="122" t="s">
        <v>185</v>
      </c>
      <c r="B136" s="114">
        <f>+COUNTIFS('LOI and Commissioning Master Sh'!$G:$G,Summary!B$78,'LOI and Commissioning Master Sh'!$CB:$CB,Summary!$A136,'LOI and Commissioning Master Sh'!$BW:$BW,"Commissioned",'LOI and Commissioning Master Sh'!$AS:$AS,"Feb-26")</f>
        <v>0</v>
      </c>
      <c r="C136" s="114">
        <f>+COUNTIFS('LOI and Commissioning Master Sh'!$G:$G,Summary!C$78,'LOI and Commissioning Master Sh'!$CB:$CB,Summary!$A136,'LOI and Commissioning Master Sh'!$BW:$BW,"Commissioned",'LOI and Commissioning Master Sh'!$AS:$AS,"Feb-26")</f>
        <v>0</v>
      </c>
      <c r="D136" s="114">
        <f>+COUNTIFS('LOI and Commissioning Master Sh'!$G:$G,Summary!D$78,'LOI and Commissioning Master Sh'!$CB:$CB,Summary!$A136,'LOI and Commissioning Master Sh'!$BW:$BW,"Commissioned",'LOI and Commissioning Master Sh'!$AS:$AS,"Feb-26")</f>
        <v>0</v>
      </c>
      <c r="E136" s="114">
        <f>+COUNTIFS('LOI and Commissioning Master Sh'!$G:$G,Summary!E$78,'LOI and Commissioning Master Sh'!$CB:$CB,Summary!$A136,'LOI and Commissioning Master Sh'!$BW:$BW,"Commissioned",'LOI and Commissioning Master Sh'!$AS:$AS,"Feb-26")</f>
        <v>0</v>
      </c>
      <c r="F136" s="114">
        <f>+COUNTIFS('LOI and Commissioning Master Sh'!$G:$G,Summary!F$78,'LOI and Commissioning Master Sh'!$CB:$CB,Summary!$A136,'LOI and Commissioning Master Sh'!$BW:$BW,"Commissioned",'LOI and Commissioning Master Sh'!$AS:$AS,"Feb-26")</f>
        <v>0</v>
      </c>
      <c r="G136" s="114">
        <f>+SUM(B136:F136)</f>
        <v>0</v>
      </c>
      <c r="H136" s="115"/>
      <c r="I136" s="116" t="s">
        <v>185</v>
      </c>
      <c r="J136" s="114">
        <f>+COUNTIFS('LOI and Commissioning Master Sh'!$CB:$CB,Summary!$I136,'LOI and Commissioning Master Sh'!$G:$G,Summary!J$78,'LOI and Commissioning Master Sh'!$CI:$CI,"Feb'27")</f>
        <v>0</v>
      </c>
      <c r="K136" s="114">
        <f>+COUNTIFS('LOI and Commissioning Master Sh'!$CB:$CB,Summary!$I136,'LOI and Commissioning Master Sh'!$G:$G,Summary!K$78,'LOI and Commissioning Master Sh'!$CI:$CI,"Feb'27")</f>
        <v>0</v>
      </c>
      <c r="L136" s="114">
        <f>+COUNTIFS('LOI and Commissioning Master Sh'!$CB:$CB,Summary!$I136,'LOI and Commissioning Master Sh'!$G:$G,Summary!L$78,'LOI and Commissioning Master Sh'!$CI:$CI,"Feb'27")</f>
        <v>0</v>
      </c>
      <c r="M136" s="114">
        <f>+COUNTIFS('LOI and Commissioning Master Sh'!$CB:$CB,Summary!$I136,'LOI and Commissioning Master Sh'!$G:$G,Summary!M$78,'LOI and Commissioning Master Sh'!$CI:$CI,"Feb'27")</f>
        <v>0</v>
      </c>
      <c r="N136" s="114">
        <f>+COUNTIFS('LOI and Commissioning Master Sh'!$CB:$CB,Summary!$I136,'LOI and Commissioning Master Sh'!$G:$G,Summary!N$78,'LOI and Commissioning Master Sh'!$CI:$CI,"Feb'27")</f>
        <v>0</v>
      </c>
      <c r="O136" s="273">
        <f t="shared" ref="O136:O137" si="124">SUM(J136:N136)</f>
        <v>0</v>
      </c>
    </row>
    <row r="137" spans="1:15" ht="18.75" hidden="1" x14ac:dyDescent="0.3">
      <c r="A137" s="122" t="s">
        <v>118</v>
      </c>
      <c r="B137" s="114">
        <f>+COUNTIFS('LOI and Commissioning Master Sh'!$G:$G,Summary!B$78,'LOI and Commissioning Master Sh'!$CB:$CB,Summary!$A137,'LOI and Commissioning Master Sh'!$BW:$BW,"Commissioned",'LOI and Commissioning Master Sh'!$AS:$AS,"Feb-26")</f>
        <v>0</v>
      </c>
      <c r="C137" s="114">
        <f>+COUNTIFS('LOI and Commissioning Master Sh'!$G:$G,Summary!C$78,'LOI and Commissioning Master Sh'!$CB:$CB,Summary!$A137,'LOI and Commissioning Master Sh'!$BW:$BW,"Commissioned",'LOI and Commissioning Master Sh'!$AS:$AS,"Feb-26")</f>
        <v>0</v>
      </c>
      <c r="D137" s="114">
        <f>+COUNTIFS('LOI and Commissioning Master Sh'!$G:$G,Summary!D$78,'LOI and Commissioning Master Sh'!$CB:$CB,Summary!$A137,'LOI and Commissioning Master Sh'!$BW:$BW,"Commissioned",'LOI and Commissioning Master Sh'!$AS:$AS,"Feb-26")</f>
        <v>0</v>
      </c>
      <c r="E137" s="114">
        <f>+COUNTIFS('LOI and Commissioning Master Sh'!$G:$G,Summary!E$78,'LOI and Commissioning Master Sh'!$CB:$CB,Summary!$A137,'LOI and Commissioning Master Sh'!$BW:$BW,"Commissioned",'LOI and Commissioning Master Sh'!$AS:$AS,"Feb-26")</f>
        <v>0</v>
      </c>
      <c r="F137" s="114">
        <f>+COUNTIFS('LOI and Commissioning Master Sh'!$G:$G,Summary!F$78,'LOI and Commissioning Master Sh'!$CB:$CB,Summary!$A137,'LOI and Commissioning Master Sh'!$BW:$BW,"Commissioned",'LOI and Commissioning Master Sh'!$AS:$AS,"Feb-26")</f>
        <v>0</v>
      </c>
      <c r="G137" s="114">
        <f>+SUM(B137:F137)</f>
        <v>0</v>
      </c>
      <c r="H137" s="115"/>
      <c r="I137" s="116" t="s">
        <v>118</v>
      </c>
      <c r="J137" s="114">
        <f>+COUNTIFS('LOI and Commissioning Master Sh'!$CB:$CB,Summary!$I137,'LOI and Commissioning Master Sh'!$G:$G,Summary!J$78,'LOI and Commissioning Master Sh'!$CI:$CI,"Feb'27")</f>
        <v>0</v>
      </c>
      <c r="K137" s="114">
        <f>+COUNTIFS('LOI and Commissioning Master Sh'!$CB:$CB,Summary!$I137,'LOI and Commissioning Master Sh'!$G:$G,Summary!K$78,'LOI and Commissioning Master Sh'!$CI:$CI,"Feb'27")</f>
        <v>0</v>
      </c>
      <c r="L137" s="114">
        <f>+COUNTIFS('LOI and Commissioning Master Sh'!$CB:$CB,Summary!$I137,'LOI and Commissioning Master Sh'!$G:$G,Summary!L$78,'LOI and Commissioning Master Sh'!$CI:$CI,"Feb'27")</f>
        <v>0</v>
      </c>
      <c r="M137" s="114">
        <f>+COUNTIFS('LOI and Commissioning Master Sh'!$CB:$CB,Summary!$I137,'LOI and Commissioning Master Sh'!$G:$G,Summary!M$78,'LOI and Commissioning Master Sh'!$CI:$CI,"Feb'27")</f>
        <v>0</v>
      </c>
      <c r="N137" s="114">
        <f>+COUNTIFS('LOI and Commissioning Master Sh'!$CB:$CB,Summary!$I137,'LOI and Commissioning Master Sh'!$G:$G,Summary!N$78,'LOI and Commissioning Master Sh'!$CI:$CI,"Feb'27")</f>
        <v>0</v>
      </c>
      <c r="O137" s="273">
        <f t="shared" si="124"/>
        <v>0</v>
      </c>
    </row>
    <row r="138" spans="1:15" ht="18.75" hidden="1" x14ac:dyDescent="0.3">
      <c r="A138" s="122"/>
      <c r="B138" s="114"/>
      <c r="C138" s="114"/>
      <c r="D138" s="114"/>
      <c r="E138" s="114"/>
      <c r="F138" s="114"/>
      <c r="G138" s="114"/>
      <c r="H138" s="115"/>
      <c r="I138" s="116"/>
      <c r="J138" s="114"/>
      <c r="K138" s="114"/>
      <c r="L138" s="114"/>
      <c r="M138" s="114"/>
      <c r="N138" s="114"/>
      <c r="O138" s="273"/>
    </row>
    <row r="139" spans="1:15" ht="37.5" hidden="1" x14ac:dyDescent="0.3">
      <c r="A139" s="122" t="s">
        <v>1399</v>
      </c>
      <c r="B139" s="114">
        <f t="shared" ref="B139:G139" si="125">+SUM(B140:B142)</f>
        <v>0</v>
      </c>
      <c r="C139" s="114">
        <f t="shared" si="125"/>
        <v>0</v>
      </c>
      <c r="D139" s="114">
        <f t="shared" si="125"/>
        <v>0</v>
      </c>
      <c r="E139" s="114">
        <f t="shared" si="125"/>
        <v>0</v>
      </c>
      <c r="F139" s="114">
        <f t="shared" si="125"/>
        <v>0</v>
      </c>
      <c r="G139" s="114">
        <f t="shared" si="125"/>
        <v>0</v>
      </c>
      <c r="H139" s="115"/>
      <c r="I139" s="116" t="s">
        <v>1400</v>
      </c>
      <c r="J139" s="114">
        <f>+SUM(J140:J142)</f>
        <v>0</v>
      </c>
      <c r="K139" s="114">
        <f t="shared" ref="K139:O139" si="126">+SUM(K140:K142)</f>
        <v>0</v>
      </c>
      <c r="L139" s="114">
        <f t="shared" si="126"/>
        <v>0</v>
      </c>
      <c r="M139" s="114">
        <f t="shared" si="126"/>
        <v>0</v>
      </c>
      <c r="N139" s="114">
        <f t="shared" si="126"/>
        <v>0</v>
      </c>
      <c r="O139" s="273">
        <f t="shared" si="126"/>
        <v>0</v>
      </c>
    </row>
    <row r="140" spans="1:15" ht="18.75" hidden="1" x14ac:dyDescent="0.3">
      <c r="A140" s="122" t="s">
        <v>402</v>
      </c>
      <c r="B140" s="114">
        <f>+COUNTIFS('LOI and Commissioning Master Sh'!$G:$G,Summary!B$78,'LOI and Commissioning Master Sh'!$CB:$CB,Summary!$A140,'LOI and Commissioning Master Sh'!$BW:$BW,"Commissioned",'LOI and Commissioning Master Sh'!$AS:$AS,"Feb-26")</f>
        <v>0</v>
      </c>
      <c r="C140" s="114">
        <f>+COUNTIFS('LOI and Commissioning Master Sh'!$G:$G,Summary!C$78,'LOI and Commissioning Master Sh'!$CB:$CB,Summary!$A140,'LOI and Commissioning Master Sh'!$BW:$BW,"Commissioned",'LOI and Commissioning Master Sh'!$AS:$AS,"Feb-26")</f>
        <v>0</v>
      </c>
      <c r="D140" s="114">
        <f>+COUNTIFS('LOI and Commissioning Master Sh'!$G:$G,Summary!D$78,'LOI and Commissioning Master Sh'!$CB:$CB,Summary!$A140,'LOI and Commissioning Master Sh'!$BW:$BW,"Commissioned",'LOI and Commissioning Master Sh'!$AS:$AS,"Feb-26")</f>
        <v>0</v>
      </c>
      <c r="E140" s="114">
        <f>+COUNTIFS('LOI and Commissioning Master Sh'!$G:$G,Summary!E$78,'LOI and Commissioning Master Sh'!$CB:$CB,Summary!$A140,'LOI and Commissioning Master Sh'!$BW:$BW,"Commissioned",'LOI and Commissioning Master Sh'!$AS:$AS,"Feb-26")</f>
        <v>0</v>
      </c>
      <c r="F140" s="114">
        <f>+COUNTIFS('LOI and Commissioning Master Sh'!$G:$G,Summary!F$78,'LOI and Commissioning Master Sh'!$CB:$CB,Summary!$A140,'LOI and Commissioning Master Sh'!$BW:$BW,"Commissioned",'LOI and Commissioning Master Sh'!$AS:$AS,"Feb-26")</f>
        <v>0</v>
      </c>
      <c r="G140" s="114">
        <f>+SUM(B140:F140)</f>
        <v>0</v>
      </c>
      <c r="H140" s="115"/>
      <c r="I140" s="116" t="s">
        <v>402</v>
      </c>
      <c r="J140" s="114">
        <f>+COUNTIFS('LOI and Commissioning Master Sh'!$CB:$CB,Summary!$I140,'LOI and Commissioning Master Sh'!$G:$G,Summary!J$78,'LOI and Commissioning Master Sh'!$CI:$CI,"Mar'27")</f>
        <v>0</v>
      </c>
      <c r="K140" s="114">
        <f>+COUNTIFS('LOI and Commissioning Master Sh'!$CB:$CB,Summary!$I140,'LOI and Commissioning Master Sh'!$G:$G,Summary!K$78,'LOI and Commissioning Master Sh'!$CI:$CI,"Mar'27")</f>
        <v>0</v>
      </c>
      <c r="L140" s="114">
        <f>+COUNTIFS('LOI and Commissioning Master Sh'!$CB:$CB,Summary!$I140,'LOI and Commissioning Master Sh'!$G:$G,Summary!L$78,'LOI and Commissioning Master Sh'!$CI:$CI,"Mar'27")</f>
        <v>0</v>
      </c>
      <c r="M140" s="114">
        <f>+COUNTIFS('LOI and Commissioning Master Sh'!$CB:$CB,Summary!$I140,'LOI and Commissioning Master Sh'!$G:$G,Summary!M$78,'LOI and Commissioning Master Sh'!$CI:$CI,"Mar'27")</f>
        <v>0</v>
      </c>
      <c r="N140" s="114">
        <f>+COUNTIFS('LOI and Commissioning Master Sh'!$CB:$CB,Summary!$I140,'LOI and Commissioning Master Sh'!$G:$G,Summary!N$78,'LOI and Commissioning Master Sh'!$CI:$CI,"Mar'27")</f>
        <v>0</v>
      </c>
      <c r="O140" s="273">
        <f>SUM(J140:N140)</f>
        <v>0</v>
      </c>
    </row>
    <row r="141" spans="1:15" ht="18.75" hidden="1" x14ac:dyDescent="0.3">
      <c r="A141" s="122" t="s">
        <v>185</v>
      </c>
      <c r="B141" s="114">
        <f>+COUNTIFS('LOI and Commissioning Master Sh'!$G:$G,Summary!B$78,'LOI and Commissioning Master Sh'!$CB:$CB,Summary!$A141,'LOI and Commissioning Master Sh'!$BW:$BW,"Commissioned",'LOI and Commissioning Master Sh'!$AS:$AS,"Feb-26")</f>
        <v>0</v>
      </c>
      <c r="C141" s="114">
        <f>+COUNTIFS('LOI and Commissioning Master Sh'!$G:$G,Summary!C$78,'LOI and Commissioning Master Sh'!$CB:$CB,Summary!$A141,'LOI and Commissioning Master Sh'!$BW:$BW,"Commissioned",'LOI and Commissioning Master Sh'!$AS:$AS,"Feb-26")</f>
        <v>0</v>
      </c>
      <c r="D141" s="114">
        <f>+COUNTIFS('LOI and Commissioning Master Sh'!$G:$G,Summary!D$78,'LOI and Commissioning Master Sh'!$CB:$CB,Summary!$A141,'LOI and Commissioning Master Sh'!$BW:$BW,"Commissioned",'LOI and Commissioning Master Sh'!$AS:$AS,"Feb-26")</f>
        <v>0</v>
      </c>
      <c r="E141" s="114">
        <f>+COUNTIFS('LOI and Commissioning Master Sh'!$G:$G,Summary!E$78,'LOI and Commissioning Master Sh'!$CB:$CB,Summary!$A141,'LOI and Commissioning Master Sh'!$BW:$BW,"Commissioned",'LOI and Commissioning Master Sh'!$AS:$AS,"Feb-26")</f>
        <v>0</v>
      </c>
      <c r="F141" s="114">
        <f>+COUNTIFS('LOI and Commissioning Master Sh'!$G:$G,Summary!F$78,'LOI and Commissioning Master Sh'!$CB:$CB,Summary!$A141,'LOI and Commissioning Master Sh'!$BW:$BW,"Commissioned",'LOI and Commissioning Master Sh'!$AS:$AS,"Feb-26")</f>
        <v>0</v>
      </c>
      <c r="G141" s="114">
        <f>+SUM(B141:F141)</f>
        <v>0</v>
      </c>
      <c r="H141" s="115"/>
      <c r="I141" s="116" t="s">
        <v>185</v>
      </c>
      <c r="J141" s="114">
        <f>+COUNTIFS('LOI and Commissioning Master Sh'!$CB:$CB,Summary!$I141,'LOI and Commissioning Master Sh'!$G:$G,Summary!J$78,'LOI and Commissioning Master Sh'!$CI:$CI,"Mar'27")</f>
        <v>0</v>
      </c>
      <c r="K141" s="114">
        <f>+COUNTIFS('LOI and Commissioning Master Sh'!$CB:$CB,Summary!$I141,'LOI and Commissioning Master Sh'!$G:$G,Summary!K$78,'LOI and Commissioning Master Sh'!$CI:$CI,"Mar'27")</f>
        <v>0</v>
      </c>
      <c r="L141" s="114">
        <f>+COUNTIFS('LOI and Commissioning Master Sh'!$CB:$CB,Summary!$I141,'LOI and Commissioning Master Sh'!$G:$G,Summary!L$78,'LOI and Commissioning Master Sh'!$CI:$CI,"Mar'27")</f>
        <v>0</v>
      </c>
      <c r="M141" s="114">
        <f>+COUNTIFS('LOI and Commissioning Master Sh'!$CB:$CB,Summary!$I141,'LOI and Commissioning Master Sh'!$G:$G,Summary!M$78,'LOI and Commissioning Master Sh'!$CI:$CI,"Mar'27")</f>
        <v>0</v>
      </c>
      <c r="N141" s="114">
        <f>+COUNTIFS('LOI and Commissioning Master Sh'!$CB:$CB,Summary!$I141,'LOI and Commissioning Master Sh'!$G:$G,Summary!N$78,'LOI and Commissioning Master Sh'!$CI:$CI,"Mar'27")</f>
        <v>0</v>
      </c>
      <c r="O141" s="273">
        <f t="shared" ref="O141:O142" si="127">SUM(J141:N141)</f>
        <v>0</v>
      </c>
    </row>
    <row r="142" spans="1:15" ht="18.75" hidden="1" x14ac:dyDescent="0.3">
      <c r="A142" s="122" t="s">
        <v>118</v>
      </c>
      <c r="B142" s="114">
        <f>+COUNTIFS('LOI and Commissioning Master Sh'!$G:$G,Summary!B$78,'LOI and Commissioning Master Sh'!$CB:$CB,Summary!$A142,'LOI and Commissioning Master Sh'!$BW:$BW,"Commissioned",'LOI and Commissioning Master Sh'!$AS:$AS,"Feb-26")</f>
        <v>0</v>
      </c>
      <c r="C142" s="114">
        <f>+COUNTIFS('LOI and Commissioning Master Sh'!$G:$G,Summary!C$78,'LOI and Commissioning Master Sh'!$CB:$CB,Summary!$A142,'LOI and Commissioning Master Sh'!$BW:$BW,"Commissioned",'LOI and Commissioning Master Sh'!$AS:$AS,"Feb-26")</f>
        <v>0</v>
      </c>
      <c r="D142" s="114">
        <f>+COUNTIFS('LOI and Commissioning Master Sh'!$G:$G,Summary!D$78,'LOI and Commissioning Master Sh'!$CB:$CB,Summary!$A142,'LOI and Commissioning Master Sh'!$BW:$BW,"Commissioned",'LOI and Commissioning Master Sh'!$AS:$AS,"Feb-26")</f>
        <v>0</v>
      </c>
      <c r="E142" s="114">
        <f>+COUNTIFS('LOI and Commissioning Master Sh'!$G:$G,Summary!E$78,'LOI and Commissioning Master Sh'!$CB:$CB,Summary!$A142,'LOI and Commissioning Master Sh'!$BW:$BW,"Commissioned",'LOI and Commissioning Master Sh'!$AS:$AS,"Feb-26")</f>
        <v>0</v>
      </c>
      <c r="F142" s="114">
        <f>+COUNTIFS('LOI and Commissioning Master Sh'!$G:$G,Summary!F$78,'LOI and Commissioning Master Sh'!$CB:$CB,Summary!$A142,'LOI and Commissioning Master Sh'!$BW:$BW,"Commissioned",'LOI and Commissioning Master Sh'!$AS:$AS,"Feb-26")</f>
        <v>0</v>
      </c>
      <c r="G142" s="114">
        <f>+SUM(B142:F142)</f>
        <v>0</v>
      </c>
      <c r="H142" s="115"/>
      <c r="I142" s="116" t="s">
        <v>118</v>
      </c>
      <c r="J142" s="114">
        <f>+COUNTIFS('LOI and Commissioning Master Sh'!$CB:$CB,Summary!$I142,'LOI and Commissioning Master Sh'!$G:$G,Summary!J$78,'LOI and Commissioning Master Sh'!$CI:$CI,"Mar'27")</f>
        <v>0</v>
      </c>
      <c r="K142" s="114">
        <f>+COUNTIFS('LOI and Commissioning Master Sh'!$CB:$CB,Summary!$I142,'LOI and Commissioning Master Sh'!$G:$G,Summary!K$78,'LOI and Commissioning Master Sh'!$CI:$CI,"Mar'27")</f>
        <v>0</v>
      </c>
      <c r="L142" s="114">
        <f>+COUNTIFS('LOI and Commissioning Master Sh'!$CB:$CB,Summary!$I142,'LOI and Commissioning Master Sh'!$G:$G,Summary!L$78,'LOI and Commissioning Master Sh'!$CI:$CI,"Mar'27")</f>
        <v>0</v>
      </c>
      <c r="M142" s="114">
        <f>+COUNTIFS('LOI and Commissioning Master Sh'!$CB:$CB,Summary!$I142,'LOI and Commissioning Master Sh'!$G:$G,Summary!M$78,'LOI and Commissioning Master Sh'!$CI:$CI,"Mar'27")</f>
        <v>0</v>
      </c>
      <c r="N142" s="114">
        <f>+COUNTIFS('LOI and Commissioning Master Sh'!$CB:$CB,Summary!$I142,'LOI and Commissioning Master Sh'!$G:$G,Summary!N$78,'LOI and Commissioning Master Sh'!$CI:$CI,"Mar'27")</f>
        <v>0</v>
      </c>
      <c r="O142" s="273">
        <f t="shared" si="127"/>
        <v>0</v>
      </c>
    </row>
    <row r="143" spans="1:15" ht="18.75" hidden="1" x14ac:dyDescent="0.3">
      <c r="A143" s="122"/>
      <c r="B143" s="114"/>
      <c r="C143" s="114"/>
      <c r="D143" s="114"/>
      <c r="E143" s="114"/>
      <c r="F143" s="114"/>
      <c r="G143" s="114"/>
      <c r="H143" s="115"/>
      <c r="I143" s="116"/>
      <c r="J143" s="114"/>
      <c r="K143" s="114"/>
      <c r="L143" s="114"/>
      <c r="M143" s="114"/>
      <c r="N143" s="114"/>
      <c r="O143" s="273"/>
    </row>
    <row r="144" spans="1:15" ht="37.5" x14ac:dyDescent="0.3">
      <c r="A144" s="122" t="s">
        <v>1401</v>
      </c>
      <c r="B144" s="114">
        <f t="shared" ref="B144:G144" si="128">+SUM(B145:B147)</f>
        <v>1</v>
      </c>
      <c r="C144" s="114">
        <f t="shared" si="128"/>
        <v>0</v>
      </c>
      <c r="D144" s="114">
        <f t="shared" si="128"/>
        <v>3</v>
      </c>
      <c r="E144" s="114">
        <f t="shared" si="128"/>
        <v>1</v>
      </c>
      <c r="F144" s="114">
        <f t="shared" si="128"/>
        <v>3</v>
      </c>
      <c r="G144" s="114">
        <f t="shared" si="128"/>
        <v>8</v>
      </c>
      <c r="H144" s="115"/>
      <c r="I144" s="116" t="s">
        <v>1402</v>
      </c>
      <c r="J144" s="114">
        <f>+SUM(J145:J147)</f>
        <v>0</v>
      </c>
      <c r="K144" s="114">
        <f t="shared" ref="K144:O144" si="129">+SUM(K145:K147)</f>
        <v>0</v>
      </c>
      <c r="L144" s="114">
        <f t="shared" si="129"/>
        <v>0</v>
      </c>
      <c r="M144" s="114">
        <f t="shared" si="129"/>
        <v>0</v>
      </c>
      <c r="N144" s="114">
        <f t="shared" si="129"/>
        <v>0</v>
      </c>
      <c r="O144" s="273">
        <f t="shared" si="129"/>
        <v>0</v>
      </c>
    </row>
    <row r="145" spans="1:15" ht="18.75" x14ac:dyDescent="0.3">
      <c r="A145" s="122" t="s">
        <v>402</v>
      </c>
      <c r="B145" s="114">
        <f>+COUNTIFS('LOI and Commissioning Master Sh'!$G:$G,Summary!B$78,'LOI and Commissioning Master Sh'!$CB:$CB,Summary!$A145,'LOI and Commissioning Master Sh'!$BW:$BW,"Commissioned")</f>
        <v>0</v>
      </c>
      <c r="C145" s="114">
        <f>+COUNTIFS('LOI and Commissioning Master Sh'!$G:$G,Summary!C$78,'LOI and Commissioning Master Sh'!$CB:$CB,Summary!$A145,'LOI and Commissioning Master Sh'!$BW:$BW,"Commissioned")</f>
        <v>0</v>
      </c>
      <c r="D145" s="114">
        <f>+COUNTIFS('LOI and Commissioning Master Sh'!$G:$G,Summary!D$78,'LOI and Commissioning Master Sh'!$CB:$CB,Summary!$A145,'LOI and Commissioning Master Sh'!$BW:$BW,"Commissioned")</f>
        <v>0</v>
      </c>
      <c r="E145" s="114">
        <f>+COUNTIFS('LOI and Commissioning Master Sh'!$G:$G,Summary!E$78,'LOI and Commissioning Master Sh'!$CB:$CB,Summary!$A145,'LOI and Commissioning Master Sh'!$BW:$BW,"Commissioned")</f>
        <v>0</v>
      </c>
      <c r="F145" s="114">
        <f>+COUNTIFS('LOI and Commissioning Master Sh'!$G:$G,Summary!F$78,'LOI and Commissioning Master Sh'!$CB:$CB,Summary!$A145,'LOI and Commissioning Master Sh'!$BW:$BW,"Commissioned")</f>
        <v>0</v>
      </c>
      <c r="G145" s="114">
        <f>+SUM(B145:F145)</f>
        <v>0</v>
      </c>
      <c r="H145" s="115"/>
      <c r="I145" s="116" t="s">
        <v>402</v>
      </c>
      <c r="J145" s="114">
        <f>J85+J90+J95+J100+J105+J110+J115+J120+J125+J135+J130+J140</f>
        <v>0</v>
      </c>
      <c r="K145" s="114">
        <f t="shared" ref="K145:N145" si="130">K85+K90+K95+K100+K105+K110+K115+K120+K125+K135+K130+K140</f>
        <v>0</v>
      </c>
      <c r="L145" s="114">
        <f t="shared" si="130"/>
        <v>0</v>
      </c>
      <c r="M145" s="114">
        <f t="shared" si="130"/>
        <v>0</v>
      </c>
      <c r="N145" s="114">
        <f t="shared" si="130"/>
        <v>0</v>
      </c>
      <c r="O145" s="273">
        <f>SUM(J145:N145)</f>
        <v>0</v>
      </c>
    </row>
    <row r="146" spans="1:15" ht="18.75" x14ac:dyDescent="0.3">
      <c r="A146" s="122" t="s">
        <v>185</v>
      </c>
      <c r="B146" s="114">
        <f>+COUNTIFS('LOI and Commissioning Master Sh'!$G:$G,Summary!B$78,'LOI and Commissioning Master Sh'!$CB:$CB,Summary!$A146,'LOI and Commissioning Master Sh'!$BW:$BW,"Commissioned")</f>
        <v>0</v>
      </c>
      <c r="C146" s="114">
        <f>+COUNTIFS('LOI and Commissioning Master Sh'!$G:$G,Summary!C$78,'LOI and Commissioning Master Sh'!$CB:$CB,Summary!$A146,'LOI and Commissioning Master Sh'!$BW:$BW,"Commissioned")</f>
        <v>0</v>
      </c>
      <c r="D146" s="114">
        <f>+COUNTIFS('LOI and Commissioning Master Sh'!$G:$G,Summary!D$78,'LOI and Commissioning Master Sh'!$CB:$CB,Summary!$A146,'LOI and Commissioning Master Sh'!$BW:$BW,"Commissioned")</f>
        <v>0</v>
      </c>
      <c r="E146" s="114">
        <f>+COUNTIFS('LOI and Commissioning Master Sh'!$G:$G,Summary!E$78,'LOI and Commissioning Master Sh'!$CB:$CB,Summary!$A146,'LOI and Commissioning Master Sh'!$BW:$BW,"Commissioned")</f>
        <v>0</v>
      </c>
      <c r="F146" s="114">
        <f>+COUNTIFS('LOI and Commissioning Master Sh'!$G:$G,Summary!F$78,'LOI and Commissioning Master Sh'!$CB:$CB,Summary!$A146,'LOI and Commissioning Master Sh'!$BW:$BW,"Commissioned")</f>
        <v>0</v>
      </c>
      <c r="G146" s="114">
        <f>+SUM(B146:F146)</f>
        <v>0</v>
      </c>
      <c r="H146" s="115"/>
      <c r="I146" s="116" t="s">
        <v>185</v>
      </c>
      <c r="J146" s="114">
        <f t="shared" ref="J146:N147" si="131">J86+J91+J96+J101+J106+J111+J116+J121+J126+J136+J131+J141</f>
        <v>0</v>
      </c>
      <c r="K146" s="114">
        <f t="shared" si="131"/>
        <v>0</v>
      </c>
      <c r="L146" s="114">
        <f t="shared" si="131"/>
        <v>0</v>
      </c>
      <c r="M146" s="114">
        <f t="shared" si="131"/>
        <v>0</v>
      </c>
      <c r="N146" s="114">
        <f t="shared" si="131"/>
        <v>0</v>
      </c>
      <c r="O146" s="273">
        <f t="shared" ref="O146:O147" si="132">SUM(J146:N146)</f>
        <v>0</v>
      </c>
    </row>
    <row r="147" spans="1:15" ht="18.75" x14ac:dyDescent="0.3">
      <c r="A147" s="122" t="s">
        <v>118</v>
      </c>
      <c r="B147" s="114">
        <f>+COUNTIFS('LOI and Commissioning Master Sh'!$G:$G,Summary!B$78,'LOI and Commissioning Master Sh'!$CB:$CB,Summary!$A147,'LOI and Commissioning Master Sh'!$BW:$BW,"Commissioned")</f>
        <v>1</v>
      </c>
      <c r="C147" s="114">
        <f>+COUNTIFS('LOI and Commissioning Master Sh'!$G:$G,Summary!C$78,'LOI and Commissioning Master Sh'!$CB:$CB,Summary!$A147,'LOI and Commissioning Master Sh'!$BW:$BW,"Commissioned")</f>
        <v>0</v>
      </c>
      <c r="D147" s="114">
        <f>+COUNTIFS('LOI and Commissioning Master Sh'!$G:$G,Summary!D$78,'LOI and Commissioning Master Sh'!$CB:$CB,Summary!$A147,'LOI and Commissioning Master Sh'!$BW:$BW,"Commissioned")</f>
        <v>3</v>
      </c>
      <c r="E147" s="114">
        <f>+COUNTIFS('LOI and Commissioning Master Sh'!$G:$G,Summary!E$78,'LOI and Commissioning Master Sh'!$CB:$CB,Summary!$A147,'LOI and Commissioning Master Sh'!$BW:$BW,"Commissioned")</f>
        <v>1</v>
      </c>
      <c r="F147" s="114">
        <f>+COUNTIFS('LOI and Commissioning Master Sh'!$G:$G,Summary!F$78,'LOI and Commissioning Master Sh'!$CB:$CB,Summary!$A147,'LOI and Commissioning Master Sh'!$BW:$BW,"Commissioned")</f>
        <v>3</v>
      </c>
      <c r="G147" s="114">
        <f>+SUM(B147:F147)</f>
        <v>8</v>
      </c>
      <c r="H147" s="115"/>
      <c r="I147" s="116" t="s">
        <v>118</v>
      </c>
      <c r="J147" s="114">
        <f t="shared" si="131"/>
        <v>0</v>
      </c>
      <c r="K147" s="114">
        <f t="shared" si="131"/>
        <v>0</v>
      </c>
      <c r="L147" s="114">
        <f t="shared" si="131"/>
        <v>0</v>
      </c>
      <c r="M147" s="114">
        <f t="shared" si="131"/>
        <v>0</v>
      </c>
      <c r="N147" s="114">
        <f t="shared" si="131"/>
        <v>0</v>
      </c>
      <c r="O147" s="273">
        <f t="shared" si="132"/>
        <v>0</v>
      </c>
    </row>
    <row r="148" spans="1:15" ht="18.75" x14ac:dyDescent="0.3">
      <c r="A148" s="122"/>
      <c r="B148" s="114"/>
      <c r="C148" s="114"/>
      <c r="D148" s="114"/>
      <c r="E148" s="114"/>
      <c r="F148" s="114"/>
      <c r="G148" s="114"/>
      <c r="H148" s="115"/>
      <c r="I148" s="116"/>
      <c r="J148" s="114"/>
      <c r="K148" s="114"/>
      <c r="L148" s="114"/>
      <c r="M148" s="114"/>
      <c r="N148" s="114"/>
      <c r="O148" s="273"/>
    </row>
    <row r="149" spans="1:15" ht="37.5" x14ac:dyDescent="0.3">
      <c r="A149" s="122" t="s">
        <v>1403</v>
      </c>
      <c r="B149" s="114">
        <f>+SUM(B150:B152)</f>
        <v>8</v>
      </c>
      <c r="C149" s="114">
        <f t="shared" ref="C149" si="133">+SUM(C150:C152)</f>
        <v>1</v>
      </c>
      <c r="D149" s="114">
        <f t="shared" ref="D149" si="134">+SUM(D150:D152)</f>
        <v>65</v>
      </c>
      <c r="E149" s="114">
        <f t="shared" ref="E149" si="135">+SUM(E150:E152)</f>
        <v>25</v>
      </c>
      <c r="F149" s="114">
        <f t="shared" ref="F149" si="136">+SUM(F150:F152)</f>
        <v>12</v>
      </c>
      <c r="G149" s="114">
        <f t="shared" ref="G149" si="137">+SUM(G150:G152)</f>
        <v>111</v>
      </c>
      <c r="H149" s="115"/>
      <c r="I149" s="116" t="s">
        <v>86</v>
      </c>
      <c r="J149" s="114">
        <f>+SUM(J150:J152)</f>
        <v>22</v>
      </c>
      <c r="K149" s="114">
        <f t="shared" ref="K149:O149" si="138">+SUM(K150:K152)</f>
        <v>10</v>
      </c>
      <c r="L149" s="114">
        <f t="shared" si="138"/>
        <v>124</v>
      </c>
      <c r="M149" s="114">
        <f t="shared" si="138"/>
        <v>62</v>
      </c>
      <c r="N149" s="114">
        <f t="shared" si="138"/>
        <v>28</v>
      </c>
      <c r="O149" s="273">
        <f t="shared" si="138"/>
        <v>246</v>
      </c>
    </row>
    <row r="150" spans="1:15" ht="18.75" x14ac:dyDescent="0.3">
      <c r="A150" s="122" t="s">
        <v>402</v>
      </c>
      <c r="B150" s="114">
        <f>+COUNTIFS('LOI and Commissioning Master Sh'!$W:$W,"Yes",'LOI and Commissioning Master Sh'!$G:$G,Summary!B$78,'LOI and Commissioning Master Sh'!$CB:$CB,Summary!$A150,'LOI and Commissioning Master Sh'!$BW:$BW,"Pending")</f>
        <v>0</v>
      </c>
      <c r="C150" s="114">
        <f>+COUNTIFS('LOI and Commissioning Master Sh'!$W:$W,"Yes",'LOI and Commissioning Master Sh'!$G:$G,Summary!C$78,'LOI and Commissioning Master Sh'!$CB:$CB,Summary!$A150,'LOI and Commissioning Master Sh'!$BW:$BW,"Pending")</f>
        <v>0</v>
      </c>
      <c r="D150" s="114">
        <f>+COUNTIFS('LOI and Commissioning Master Sh'!$W:$W,"Yes",'LOI and Commissioning Master Sh'!$G:$G,Summary!D$78,'LOI and Commissioning Master Sh'!$CB:$CB,Summary!$A150,'LOI and Commissioning Master Sh'!$BW:$BW,"Pending")</f>
        <v>1</v>
      </c>
      <c r="E150" s="114">
        <f>+COUNTIFS('LOI and Commissioning Master Sh'!$W:$W,"Yes",'LOI and Commissioning Master Sh'!$G:$G,Summary!E$78,'LOI and Commissioning Master Sh'!$CB:$CB,Summary!$A150,'LOI and Commissioning Master Sh'!$BW:$BW,"Pending")</f>
        <v>1</v>
      </c>
      <c r="F150" s="114">
        <f>+COUNTIFS('LOI and Commissioning Master Sh'!$W:$W,"Yes",'LOI and Commissioning Master Sh'!$G:$G,Summary!F$78,'LOI and Commissioning Master Sh'!$CB:$CB,Summary!$A150,'LOI and Commissioning Master Sh'!$BW:$BW,"Pending")</f>
        <v>1</v>
      </c>
      <c r="G150" s="114">
        <f>+SUM(B150:F150)</f>
        <v>3</v>
      </c>
      <c r="H150" s="115"/>
      <c r="I150" s="116" t="s">
        <v>402</v>
      </c>
      <c r="J150" s="114">
        <f>+COUNTIFS('LOI and Commissioning Master Sh'!$G:$G,Summary!J$78,'LOI and Commissioning Master Sh'!$CB:$CB,Summary!$A150,'LOI and Commissioning Master Sh'!$BW:$BW,"Pending")</f>
        <v>1</v>
      </c>
      <c r="K150" s="114">
        <f>+COUNTIFS('LOI and Commissioning Master Sh'!$G:$G,Summary!K$78,'LOI and Commissioning Master Sh'!$CB:$CB,Summary!$A150,'LOI and Commissioning Master Sh'!$BW:$BW,"Pending")</f>
        <v>5</v>
      </c>
      <c r="L150" s="114">
        <f>+COUNTIFS('LOI and Commissioning Master Sh'!$G:$G,Summary!L$78,'LOI and Commissioning Master Sh'!$CB:$CB,Summary!$A150,'LOI and Commissioning Master Sh'!$BW:$BW,"Pending")</f>
        <v>5</v>
      </c>
      <c r="M150" s="114">
        <f>+COUNTIFS('LOI and Commissioning Master Sh'!$G:$G,Summary!M$78,'LOI and Commissioning Master Sh'!$CB:$CB,Summary!$A150,'LOI and Commissioning Master Sh'!$BW:$BW,"Pending")</f>
        <v>9</v>
      </c>
      <c r="N150" s="114">
        <f>+COUNTIFS('LOI and Commissioning Master Sh'!$G:$G,Summary!N$78,'LOI and Commissioning Master Sh'!$CB:$CB,Summary!$A150,'LOI and Commissioning Master Sh'!$BW:$BW,"Pending")</f>
        <v>3</v>
      </c>
      <c r="O150" s="273">
        <f>+SUM(J150:N150)</f>
        <v>23</v>
      </c>
    </row>
    <row r="151" spans="1:15" ht="18.75" x14ac:dyDescent="0.3">
      <c r="A151" s="122" t="s">
        <v>185</v>
      </c>
      <c r="B151" s="114">
        <f>+COUNTIFS('LOI and Commissioning Master Sh'!$W:$W,"Yes",'LOI and Commissioning Master Sh'!$G:$G,Summary!B$78,'LOI and Commissioning Master Sh'!$CB:$CB,Summary!$A151,'LOI and Commissioning Master Sh'!$BW:$BW,"Pending")</f>
        <v>0</v>
      </c>
      <c r="C151" s="114">
        <f>+COUNTIFS('LOI and Commissioning Master Sh'!$W:$W,"Yes",'LOI and Commissioning Master Sh'!$G:$G,Summary!C$78,'LOI and Commissioning Master Sh'!$CB:$CB,Summary!$A151,'LOI and Commissioning Master Sh'!$BW:$BW,"Pending")</f>
        <v>0</v>
      </c>
      <c r="D151" s="114">
        <f>+COUNTIFS('LOI and Commissioning Master Sh'!$W:$W,"Yes",'LOI and Commissioning Master Sh'!$G:$G,Summary!D$78,'LOI and Commissioning Master Sh'!$CB:$CB,Summary!$A151,'LOI and Commissioning Master Sh'!$BW:$BW,"Pending")</f>
        <v>8</v>
      </c>
      <c r="E151" s="114">
        <f>+COUNTIFS('LOI and Commissioning Master Sh'!$W:$W,"Yes",'LOI and Commissioning Master Sh'!$G:$G,Summary!E$78,'LOI and Commissioning Master Sh'!$CB:$CB,Summary!$A151,'LOI and Commissioning Master Sh'!$BW:$BW,"Pending")</f>
        <v>2</v>
      </c>
      <c r="F151" s="114">
        <f>+COUNTIFS('LOI and Commissioning Master Sh'!$W:$W,"Yes",'LOI and Commissioning Master Sh'!$G:$G,Summary!F$78,'LOI and Commissioning Master Sh'!$CB:$CB,Summary!$A151,'LOI and Commissioning Master Sh'!$BW:$BW,"Pending")</f>
        <v>3</v>
      </c>
      <c r="G151" s="114">
        <f t="shared" ref="G151:G152" si="139">+SUM(B151:F151)</f>
        <v>13</v>
      </c>
      <c r="H151" s="115"/>
      <c r="I151" s="116" t="s">
        <v>185</v>
      </c>
      <c r="J151" s="114">
        <f>+COUNTIFS('LOI and Commissioning Master Sh'!$G:$G,Summary!J$78,'LOI and Commissioning Master Sh'!$CB:$CB,Summary!$A151,'LOI and Commissioning Master Sh'!$BW:$BW,"Pending")</f>
        <v>1</v>
      </c>
      <c r="K151" s="114">
        <f>+COUNTIFS('LOI and Commissioning Master Sh'!$G:$G,Summary!K$78,'LOI and Commissioning Master Sh'!$CB:$CB,Summary!$A151,'LOI and Commissioning Master Sh'!$BW:$BW,"Pending")</f>
        <v>1</v>
      </c>
      <c r="L151" s="114">
        <f>+COUNTIFS('LOI and Commissioning Master Sh'!$G:$G,Summary!L$78,'LOI and Commissioning Master Sh'!$CB:$CB,Summary!$A151,'LOI and Commissioning Master Sh'!$BW:$BW,"Pending")</f>
        <v>26</v>
      </c>
      <c r="M151" s="114">
        <f>+COUNTIFS('LOI and Commissioning Master Sh'!$G:$G,Summary!M$78,'LOI and Commissioning Master Sh'!$CB:$CB,Summary!$A151,'LOI and Commissioning Master Sh'!$BW:$BW,"Pending")</f>
        <v>8</v>
      </c>
      <c r="N151" s="114">
        <f>+COUNTIFS('LOI and Commissioning Master Sh'!$G:$G,Summary!N$78,'LOI and Commissioning Master Sh'!$CB:$CB,Summary!$A151,'LOI and Commissioning Master Sh'!$BW:$BW,"Pending")</f>
        <v>12</v>
      </c>
      <c r="O151" s="273">
        <f t="shared" ref="O151:O152" si="140">+SUM(J151:N151)</f>
        <v>48</v>
      </c>
    </row>
    <row r="152" spans="1:15" ht="18.75" x14ac:dyDescent="0.3">
      <c r="A152" s="122" t="s">
        <v>118</v>
      </c>
      <c r="B152" s="114">
        <f>+COUNTIFS('LOI and Commissioning Master Sh'!$W:$W,"Yes",'LOI and Commissioning Master Sh'!$G:$G,Summary!B$78,'LOI and Commissioning Master Sh'!$CB:$CB,Summary!$A152,'LOI and Commissioning Master Sh'!$BW:$BW,"Pending")</f>
        <v>8</v>
      </c>
      <c r="C152" s="114">
        <f>+COUNTIFS('LOI and Commissioning Master Sh'!$W:$W,"Yes",'LOI and Commissioning Master Sh'!$G:$G,Summary!C$78,'LOI and Commissioning Master Sh'!$CB:$CB,Summary!$A152,'LOI and Commissioning Master Sh'!$BW:$BW,"Pending")</f>
        <v>1</v>
      </c>
      <c r="D152" s="114">
        <f>+COUNTIFS('LOI and Commissioning Master Sh'!$W:$W,"Yes",'LOI and Commissioning Master Sh'!$G:$G,Summary!D$78,'LOI and Commissioning Master Sh'!$CB:$CB,Summary!$A152,'LOI and Commissioning Master Sh'!$BW:$BW,"Pending")</f>
        <v>56</v>
      </c>
      <c r="E152" s="114">
        <f>+COUNTIFS('LOI and Commissioning Master Sh'!$W:$W,"Yes",'LOI and Commissioning Master Sh'!$G:$G,Summary!E$78,'LOI and Commissioning Master Sh'!$CB:$CB,Summary!$A152,'LOI and Commissioning Master Sh'!$BW:$BW,"Pending")</f>
        <v>22</v>
      </c>
      <c r="F152" s="114">
        <f>+COUNTIFS('LOI and Commissioning Master Sh'!$W:$W,"Yes",'LOI and Commissioning Master Sh'!$G:$G,Summary!F$78,'LOI and Commissioning Master Sh'!$CB:$CB,Summary!$A152,'LOI and Commissioning Master Sh'!$BW:$BW,"Pending")</f>
        <v>8</v>
      </c>
      <c r="G152" s="114">
        <f t="shared" si="139"/>
        <v>95</v>
      </c>
      <c r="H152" s="115"/>
      <c r="I152" s="116" t="s">
        <v>118</v>
      </c>
      <c r="J152" s="114">
        <f>+COUNTIFS('LOI and Commissioning Master Sh'!$G:$G,Summary!J$78,'LOI and Commissioning Master Sh'!$CB:$CB,Summary!$A152,'LOI and Commissioning Master Sh'!$BW:$BW,"Pending")</f>
        <v>20</v>
      </c>
      <c r="K152" s="114">
        <f>+COUNTIFS('LOI and Commissioning Master Sh'!$G:$G,Summary!K$78,'LOI and Commissioning Master Sh'!$CB:$CB,Summary!$A152,'LOI and Commissioning Master Sh'!$BW:$BW,"Pending")</f>
        <v>4</v>
      </c>
      <c r="L152" s="114">
        <f>+COUNTIFS('LOI and Commissioning Master Sh'!$G:$G,Summary!L$78,'LOI and Commissioning Master Sh'!$CB:$CB,Summary!$A152,'LOI and Commissioning Master Sh'!$BW:$BW,"Pending")</f>
        <v>93</v>
      </c>
      <c r="M152" s="114">
        <f>+COUNTIFS('LOI and Commissioning Master Sh'!$G:$G,Summary!M$78,'LOI and Commissioning Master Sh'!$CB:$CB,Summary!$A152,'LOI and Commissioning Master Sh'!$BW:$BW,"Pending")</f>
        <v>45</v>
      </c>
      <c r="N152" s="114">
        <f>+COUNTIFS('LOI and Commissioning Master Sh'!$G:$G,Summary!N$78,'LOI and Commissioning Master Sh'!$CB:$CB,Summary!$A152,'LOI and Commissioning Master Sh'!$BW:$BW,"Pending")</f>
        <v>13</v>
      </c>
      <c r="O152" s="273">
        <f t="shared" si="140"/>
        <v>175</v>
      </c>
    </row>
    <row r="153" spans="1:15" ht="18.75" x14ac:dyDescent="0.3">
      <c r="A153" s="122"/>
      <c r="B153" s="114"/>
      <c r="C153" s="114"/>
      <c r="D153" s="114"/>
      <c r="E153" s="114"/>
      <c r="F153" s="114"/>
      <c r="G153" s="114"/>
      <c r="H153" s="115"/>
      <c r="I153" s="116"/>
      <c r="J153" s="114"/>
      <c r="K153" s="114"/>
      <c r="L153" s="114"/>
      <c r="M153" s="114"/>
      <c r="N153" s="114"/>
      <c r="O153" s="273"/>
    </row>
    <row r="154" spans="1:15" ht="37.5" x14ac:dyDescent="0.3">
      <c r="A154" s="122" t="s">
        <v>1404</v>
      </c>
      <c r="B154" s="114">
        <f>+SUM(B155:B157)</f>
        <v>7</v>
      </c>
      <c r="C154" s="114">
        <f t="shared" ref="C154" si="141">+SUM(C155:C157)</f>
        <v>0</v>
      </c>
      <c r="D154" s="114">
        <f t="shared" ref="D154" si="142">+SUM(D155:D157)</f>
        <v>36</v>
      </c>
      <c r="E154" s="114">
        <f t="shared" ref="E154" si="143">+SUM(E155:E157)</f>
        <v>16</v>
      </c>
      <c r="F154" s="114">
        <f t="shared" ref="F154" si="144">+SUM(F155:F157)</f>
        <v>8</v>
      </c>
      <c r="G154" s="114">
        <f t="shared" ref="G154" si="145">+SUM(G155:G157)</f>
        <v>67</v>
      </c>
      <c r="H154" s="115"/>
      <c r="I154" s="116" t="s">
        <v>1405</v>
      </c>
      <c r="J154" s="114">
        <f>+SUM(J155:J157)</f>
        <v>2</v>
      </c>
      <c r="K154" s="114">
        <f t="shared" ref="K154:O154" si="146">+SUM(K155:K157)</f>
        <v>1</v>
      </c>
      <c r="L154" s="114">
        <f t="shared" si="146"/>
        <v>7</v>
      </c>
      <c r="M154" s="114">
        <f t="shared" si="146"/>
        <v>3</v>
      </c>
      <c r="N154" s="114">
        <f t="shared" si="146"/>
        <v>0</v>
      </c>
      <c r="O154" s="273">
        <f t="shared" si="146"/>
        <v>13</v>
      </c>
    </row>
    <row r="155" spans="1:15" ht="18.75" x14ac:dyDescent="0.3">
      <c r="A155" s="122" t="s">
        <v>402</v>
      </c>
      <c r="B155" s="114">
        <f>+COUNTIFS('LOI and Commissioning Master Sh'!$X:$X,"Yes",'LOI and Commissioning Master Sh'!$G:$G,Summary!B$78,'LOI and Commissioning Master Sh'!$CB:$CB,Summary!$A155,'LOI and Commissioning Master Sh'!$BW:$BW,"Pending")</f>
        <v>0</v>
      </c>
      <c r="C155" s="114">
        <f>+COUNTIFS('LOI and Commissioning Master Sh'!$X:$X,"Yes",'LOI and Commissioning Master Sh'!$G:$G,Summary!C$78,'LOI and Commissioning Master Sh'!$CB:$CB,Summary!$A155,'LOI and Commissioning Master Sh'!$BW:$BW,"Pending")</f>
        <v>0</v>
      </c>
      <c r="D155" s="114">
        <f>+COUNTIFS('LOI and Commissioning Master Sh'!$X:$X,"Yes",'LOI and Commissioning Master Sh'!$G:$G,Summary!D$78,'LOI and Commissioning Master Sh'!$CB:$CB,Summary!$A155,'LOI and Commissioning Master Sh'!$BW:$BW,"Pending")</f>
        <v>1</v>
      </c>
      <c r="E155" s="114">
        <f>+COUNTIFS('LOI and Commissioning Master Sh'!$X:$X,"Yes",'LOI and Commissioning Master Sh'!$G:$G,Summary!E$78,'LOI and Commissioning Master Sh'!$CB:$CB,Summary!$A155,'LOI and Commissioning Master Sh'!$BW:$BW,"Pending")</f>
        <v>0</v>
      </c>
      <c r="F155" s="114">
        <f>+COUNTIFS('LOI and Commissioning Master Sh'!$X:$X,"Yes",'LOI and Commissioning Master Sh'!$G:$G,Summary!F$78,'LOI and Commissioning Master Sh'!$CB:$CB,Summary!$A155,'LOI and Commissioning Master Sh'!$BW:$BW,"Pending")</f>
        <v>1</v>
      </c>
      <c r="G155" s="114">
        <f>+SUM(B155:F155)</f>
        <v>2</v>
      </c>
      <c r="H155" s="115"/>
      <c r="I155" s="116" t="s">
        <v>402</v>
      </c>
      <c r="J155" s="114">
        <f>+COUNTIFS('LOI and Commissioning Master Sh'!$G:$G,Summary!J$78,'LOI and Commissioning Master Sh'!$CB:$CB,Summary!$A155,'LOI and Commissioning Master Sh'!$BW:$BW,"Cancelled")</f>
        <v>0</v>
      </c>
      <c r="K155" s="114">
        <f>+COUNTIFS('LOI and Commissioning Master Sh'!$G:$G,Summary!K$78,'LOI and Commissioning Master Sh'!$CB:$CB,Summary!$A155,'LOI and Commissioning Master Sh'!$BW:$BW,"Cancelled")</f>
        <v>0</v>
      </c>
      <c r="L155" s="114">
        <f>+COUNTIFS('LOI and Commissioning Master Sh'!$G:$G,Summary!L$78,'LOI and Commissioning Master Sh'!$CB:$CB,Summary!$A155,'LOI and Commissioning Master Sh'!$BW:$BW,"Cancelled")</f>
        <v>0</v>
      </c>
      <c r="M155" s="114">
        <f>+COUNTIFS('LOI and Commissioning Master Sh'!$G:$G,Summary!M$78,'LOI and Commissioning Master Sh'!$CB:$CB,Summary!$A155,'LOI and Commissioning Master Sh'!$BW:$BW,"Cancelled")</f>
        <v>1</v>
      </c>
      <c r="N155" s="114">
        <f>+COUNTIFS('LOI and Commissioning Master Sh'!$G:$G,Summary!N$78,'LOI and Commissioning Master Sh'!$CB:$CB,Summary!$A155,'LOI and Commissioning Master Sh'!$BW:$BW,"Cancelled")</f>
        <v>0</v>
      </c>
      <c r="O155" s="273">
        <f>+SUM(J155:N155)</f>
        <v>1</v>
      </c>
    </row>
    <row r="156" spans="1:15" ht="18.75" x14ac:dyDescent="0.3">
      <c r="A156" s="122" t="s">
        <v>185</v>
      </c>
      <c r="B156" s="114">
        <f>+COUNTIFS('LOI and Commissioning Master Sh'!$X:$X,"Yes",'LOI and Commissioning Master Sh'!$G:$G,Summary!B$78,'LOI and Commissioning Master Sh'!$CB:$CB,Summary!$A156,'LOI and Commissioning Master Sh'!$BW:$BW,"Pending")</f>
        <v>0</v>
      </c>
      <c r="C156" s="114">
        <f>+COUNTIFS('LOI and Commissioning Master Sh'!$X:$X,"Yes",'LOI and Commissioning Master Sh'!$G:$G,Summary!C$78,'LOI and Commissioning Master Sh'!$CB:$CB,Summary!$A156,'LOI and Commissioning Master Sh'!$BW:$BW,"Pending")</f>
        <v>0</v>
      </c>
      <c r="D156" s="114">
        <f>+COUNTIFS('LOI and Commissioning Master Sh'!$X:$X,"Yes",'LOI and Commissioning Master Sh'!$G:$G,Summary!D$78,'LOI and Commissioning Master Sh'!$CB:$CB,Summary!$A156,'LOI and Commissioning Master Sh'!$BW:$BW,"Pending")</f>
        <v>5</v>
      </c>
      <c r="E156" s="114">
        <f>+COUNTIFS('LOI and Commissioning Master Sh'!$X:$X,"Yes",'LOI and Commissioning Master Sh'!$G:$G,Summary!E$78,'LOI and Commissioning Master Sh'!$CB:$CB,Summary!$A156,'LOI and Commissioning Master Sh'!$BW:$BW,"Pending")</f>
        <v>1</v>
      </c>
      <c r="F156" s="114">
        <f>+COUNTIFS('LOI and Commissioning Master Sh'!$X:$X,"Yes",'LOI and Commissioning Master Sh'!$G:$G,Summary!F$78,'LOI and Commissioning Master Sh'!$CB:$CB,Summary!$A156,'LOI and Commissioning Master Sh'!$BW:$BW,"Pending")</f>
        <v>0</v>
      </c>
      <c r="G156" s="114">
        <f t="shared" ref="G156:G157" si="147">+SUM(B156:F156)</f>
        <v>6</v>
      </c>
      <c r="H156" s="115"/>
      <c r="I156" s="116" t="s">
        <v>185</v>
      </c>
      <c r="J156" s="114">
        <f>+COUNTIFS('LOI and Commissioning Master Sh'!$G:$G,Summary!J$78,'LOI and Commissioning Master Sh'!$CB:$CB,Summary!$A156,'LOI and Commissioning Master Sh'!$BW:$BW,"Cancelled")</f>
        <v>0</v>
      </c>
      <c r="K156" s="114">
        <f>+COUNTIFS('LOI and Commissioning Master Sh'!$G:$G,Summary!K$78,'LOI and Commissioning Master Sh'!$CB:$CB,Summary!$A156,'LOI and Commissioning Master Sh'!$BW:$BW,"Cancelled")</f>
        <v>1</v>
      </c>
      <c r="L156" s="114">
        <f>+COUNTIFS('LOI and Commissioning Master Sh'!$G:$G,Summary!L$78,'LOI and Commissioning Master Sh'!$CB:$CB,Summary!$A156,'LOI and Commissioning Master Sh'!$BW:$BW,"Cancelled")</f>
        <v>1</v>
      </c>
      <c r="M156" s="114">
        <f>+COUNTIFS('LOI and Commissioning Master Sh'!$G:$G,Summary!M$78,'LOI and Commissioning Master Sh'!$CB:$CB,Summary!$A156,'LOI and Commissioning Master Sh'!$BW:$BW,"Cancelled")</f>
        <v>1</v>
      </c>
      <c r="N156" s="114">
        <f>+COUNTIFS('LOI and Commissioning Master Sh'!$G:$G,Summary!N$78,'LOI and Commissioning Master Sh'!$CB:$CB,Summary!$A156,'LOI and Commissioning Master Sh'!$BW:$BW,"Cancelled")</f>
        <v>0</v>
      </c>
      <c r="O156" s="273">
        <f t="shared" ref="O156:O157" si="148">+SUM(J156:N156)</f>
        <v>3</v>
      </c>
    </row>
    <row r="157" spans="1:15" ht="19.5" thickBot="1" x14ac:dyDescent="0.35">
      <c r="A157" s="123" t="s">
        <v>118</v>
      </c>
      <c r="B157" s="274">
        <f>+COUNTIFS('LOI and Commissioning Master Sh'!$X:$X,"Yes",'LOI and Commissioning Master Sh'!$G:$G,Summary!B$78,'LOI and Commissioning Master Sh'!$CB:$CB,Summary!$A157,'LOI and Commissioning Master Sh'!$BW:$BW,"Pending")</f>
        <v>7</v>
      </c>
      <c r="C157" s="274">
        <f>+COUNTIFS('LOI and Commissioning Master Sh'!$X:$X,"Yes",'LOI and Commissioning Master Sh'!$G:$G,Summary!C$78,'LOI and Commissioning Master Sh'!$CB:$CB,Summary!$A157,'LOI and Commissioning Master Sh'!$BW:$BW,"Pending")</f>
        <v>0</v>
      </c>
      <c r="D157" s="274">
        <f>+COUNTIFS('LOI and Commissioning Master Sh'!$X:$X,"Yes",'LOI and Commissioning Master Sh'!$G:$G,Summary!D$78,'LOI and Commissioning Master Sh'!$CB:$CB,Summary!$A157,'LOI and Commissioning Master Sh'!$BW:$BW,"Pending")</f>
        <v>30</v>
      </c>
      <c r="E157" s="274">
        <f>+COUNTIFS('LOI and Commissioning Master Sh'!$X:$X,"Yes",'LOI and Commissioning Master Sh'!$G:$G,Summary!E$78,'LOI and Commissioning Master Sh'!$CB:$CB,Summary!$A157,'LOI and Commissioning Master Sh'!$BW:$BW,"Pending")</f>
        <v>15</v>
      </c>
      <c r="F157" s="274">
        <f>+COUNTIFS('LOI and Commissioning Master Sh'!$X:$X,"Yes",'LOI and Commissioning Master Sh'!$G:$G,Summary!F$78,'LOI and Commissioning Master Sh'!$CB:$CB,Summary!$A157,'LOI and Commissioning Master Sh'!$BW:$BW,"Pending")</f>
        <v>7</v>
      </c>
      <c r="G157" s="274">
        <f t="shared" si="147"/>
        <v>59</v>
      </c>
      <c r="H157" s="124"/>
      <c r="I157" s="270" t="s">
        <v>118</v>
      </c>
      <c r="J157" s="274">
        <f>+COUNTIFS('LOI and Commissioning Master Sh'!$G:$G,Summary!J$78,'LOI and Commissioning Master Sh'!$CB:$CB,Summary!$A157,'LOI and Commissioning Master Sh'!$BW:$BW,"Cancelled")</f>
        <v>2</v>
      </c>
      <c r="K157" s="274">
        <f>+COUNTIFS('LOI and Commissioning Master Sh'!$G:$G,Summary!K$78,'LOI and Commissioning Master Sh'!$CB:$CB,Summary!$A157,'LOI and Commissioning Master Sh'!$BW:$BW,"Cancelled")</f>
        <v>0</v>
      </c>
      <c r="L157" s="274">
        <f>+COUNTIFS('LOI and Commissioning Master Sh'!$G:$G,Summary!L$78,'LOI and Commissioning Master Sh'!$CB:$CB,Summary!$A157,'LOI and Commissioning Master Sh'!$BW:$BW,"Cancelled")</f>
        <v>6</v>
      </c>
      <c r="M157" s="274">
        <f>+COUNTIFS('LOI and Commissioning Master Sh'!$G:$G,Summary!M$78,'LOI and Commissioning Master Sh'!$CB:$CB,Summary!$A157,'LOI and Commissioning Master Sh'!$BW:$BW,"Cancelled")</f>
        <v>1</v>
      </c>
      <c r="N157" s="274">
        <f>+COUNTIFS('LOI and Commissioning Master Sh'!$G:$G,Summary!N$78,'LOI and Commissioning Master Sh'!$CB:$CB,Summary!$A157,'LOI and Commissioning Master Sh'!$BW:$BW,"Cancelled")</f>
        <v>0</v>
      </c>
      <c r="O157" s="275">
        <f t="shared" si="148"/>
        <v>9</v>
      </c>
    </row>
    <row r="158" spans="1:15" ht="18.75" x14ac:dyDescent="0.3">
      <c r="A158" s="117"/>
      <c r="B158" s="115"/>
      <c r="C158" s="115"/>
      <c r="D158" s="115"/>
      <c r="E158" s="115"/>
      <c r="F158" s="115"/>
      <c r="G158" s="115"/>
      <c r="H158" s="115"/>
      <c r="I158" s="271"/>
      <c r="J158" s="115"/>
      <c r="K158" s="115"/>
      <c r="L158" s="115"/>
      <c r="M158" s="115"/>
      <c r="N158" s="115"/>
      <c r="O158" s="115"/>
    </row>
    <row r="159" spans="1:15" ht="18.75" x14ac:dyDescent="0.3">
      <c r="A159" s="117"/>
      <c r="B159" s="115"/>
      <c r="C159" s="115"/>
      <c r="D159" s="115"/>
      <c r="E159" s="115"/>
      <c r="F159" s="115"/>
      <c r="G159" s="115"/>
      <c r="H159" s="115"/>
      <c r="I159" s="271"/>
      <c r="J159" s="115"/>
      <c r="K159" s="115"/>
      <c r="L159" s="115"/>
      <c r="M159" s="115"/>
      <c r="N159" s="115"/>
      <c r="O159" s="115"/>
    </row>
    <row r="160" spans="1:15" ht="18.75" x14ac:dyDescent="0.3">
      <c r="A160" s="113" t="s">
        <v>1374</v>
      </c>
      <c r="B160" s="114" t="s">
        <v>101</v>
      </c>
      <c r="C160" s="114" t="s">
        <v>634</v>
      </c>
      <c r="D160" s="114" t="s">
        <v>142</v>
      </c>
      <c r="E160" s="114" t="s">
        <v>169</v>
      </c>
      <c r="F160" s="114" t="s">
        <v>100</v>
      </c>
      <c r="G160" s="114" t="s">
        <v>1344</v>
      </c>
      <c r="H160" s="115"/>
      <c r="I160" s="113" t="s">
        <v>1374</v>
      </c>
      <c r="J160" s="114" t="s">
        <v>101</v>
      </c>
      <c r="K160" s="114" t="s">
        <v>634</v>
      </c>
      <c r="L160" s="114" t="s">
        <v>142</v>
      </c>
      <c r="M160" s="114" t="s">
        <v>169</v>
      </c>
      <c r="N160" s="114" t="s">
        <v>100</v>
      </c>
      <c r="O160" s="114" t="s">
        <v>1344</v>
      </c>
    </row>
    <row r="161" spans="1:15" ht="18.75" x14ac:dyDescent="0.3">
      <c r="A161" s="116" t="s">
        <v>1406</v>
      </c>
      <c r="B161" s="114">
        <f>+SUM(B162:B163)</f>
        <v>7</v>
      </c>
      <c r="C161" s="114">
        <f t="shared" ref="C161" si="149">+SUM(C162:C163)</f>
        <v>0</v>
      </c>
      <c r="D161" s="114">
        <f t="shared" ref="D161" si="150">+SUM(D162:D163)</f>
        <v>34</v>
      </c>
      <c r="E161" s="114">
        <f t="shared" ref="E161" si="151">+SUM(E162:E163)</f>
        <v>15</v>
      </c>
      <c r="F161" s="114">
        <f t="shared" ref="F161" si="152">+SUM(F162:F163)</f>
        <v>9</v>
      </c>
      <c r="G161" s="114">
        <f>+SUM(B161:F161)</f>
        <v>65</v>
      </c>
      <c r="H161" s="115"/>
      <c r="I161" s="116" t="s">
        <v>1406</v>
      </c>
      <c r="J161" s="114">
        <f>+SUM(J162:J163)</f>
        <v>8</v>
      </c>
      <c r="K161" s="114">
        <f t="shared" ref="K161" si="153">+SUM(K162:K163)</f>
        <v>0</v>
      </c>
      <c r="L161" s="114">
        <f t="shared" ref="L161" si="154">+SUM(L162:L163)</f>
        <v>39</v>
      </c>
      <c r="M161" s="114">
        <f t="shared" ref="M161" si="155">+SUM(M162:M163)</f>
        <v>17</v>
      </c>
      <c r="N161" s="114">
        <f t="shared" ref="N161" si="156">+SUM(N162:N163)</f>
        <v>11</v>
      </c>
      <c r="O161" s="114">
        <f>+SUM(J161:N161)</f>
        <v>75</v>
      </c>
    </row>
    <row r="162" spans="1:15" ht="18.75" x14ac:dyDescent="0.3">
      <c r="A162" s="118" t="s">
        <v>1407</v>
      </c>
      <c r="B162" s="114">
        <f>+COUNTIFS('LOI and Commissioning Master Sh'!$G:$G,Summary!B$160,'LOI and Commissioning Master Sh'!$H:$H,"A",'LOI and Commissioning Master Sh'!$CD:$CD,"Yes")</f>
        <v>6</v>
      </c>
      <c r="C162" s="114">
        <f>+COUNTIFS('LOI and Commissioning Master Sh'!$G:$G,Summary!C$160,'LOI and Commissioning Master Sh'!$H:$H,"A",'LOI and Commissioning Master Sh'!$CD:$CD,"Yes")</f>
        <v>0</v>
      </c>
      <c r="D162" s="114">
        <f>+COUNTIFS('LOI and Commissioning Master Sh'!$G:$G,Summary!D$160,'LOI and Commissioning Master Sh'!$H:$H,"A",'LOI and Commissioning Master Sh'!$CD:$CD,"Yes")</f>
        <v>16</v>
      </c>
      <c r="E162" s="114">
        <f>+COUNTIFS('LOI and Commissioning Master Sh'!$G:$G,Summary!E$160,'LOI and Commissioning Master Sh'!$H:$H,"A",'LOI and Commissioning Master Sh'!$CD:$CD,"Yes")</f>
        <v>7</v>
      </c>
      <c r="F162" s="114">
        <f>+COUNTIFS('LOI and Commissioning Master Sh'!$G:$G,Summary!F$160,'LOI and Commissioning Master Sh'!$H:$H,"A",'LOI and Commissioning Master Sh'!$CD:$CD,"Yes")</f>
        <v>1</v>
      </c>
      <c r="G162" s="114">
        <f>+SUM(B162:F162)</f>
        <v>30</v>
      </c>
      <c r="H162" s="115"/>
      <c r="I162" s="118" t="s">
        <v>1407</v>
      </c>
      <c r="J162" s="114">
        <f>+COUNTIFS('LOI and Commissioning Master Sh'!$G:$G,Summary!J$160,'LOI and Commissioning Master Sh'!$H:$H,"A",'LOI and Commissioning Master Sh'!$X:$X,"Yes")</f>
        <v>6</v>
      </c>
      <c r="K162" s="114">
        <f>+COUNTIFS('LOI and Commissioning Master Sh'!$G:$G,Summary!K$160,'LOI and Commissioning Master Sh'!$H:$H,"A",'LOI and Commissioning Master Sh'!$X:$X,"Yes")</f>
        <v>0</v>
      </c>
      <c r="L162" s="114">
        <f>+COUNTIFS('LOI and Commissioning Master Sh'!$G:$G,Summary!L$160,'LOI and Commissioning Master Sh'!$H:$H,"A",'LOI and Commissioning Master Sh'!$X:$X,"Yes")</f>
        <v>18</v>
      </c>
      <c r="M162" s="114">
        <f>+COUNTIFS('LOI and Commissioning Master Sh'!$G:$G,Summary!M$160,'LOI and Commissioning Master Sh'!$H:$H,"A",'LOI and Commissioning Master Sh'!$X:$X,"Yes")</f>
        <v>8</v>
      </c>
      <c r="N162" s="114">
        <f>+COUNTIFS('LOI and Commissioning Master Sh'!$G:$G,Summary!N$160,'LOI and Commissioning Master Sh'!$H:$H,"A",'LOI and Commissioning Master Sh'!$X:$X,"Yes")</f>
        <v>3</v>
      </c>
      <c r="O162" s="114">
        <f>+SUM(J162:N162)</f>
        <v>35</v>
      </c>
    </row>
    <row r="163" spans="1:15" ht="18.75" x14ac:dyDescent="0.3">
      <c r="A163" s="118" t="s">
        <v>1408</v>
      </c>
      <c r="B163" s="114">
        <f>+COUNTIFS('LOI and Commissioning Master Sh'!$G:$G,Summary!B$160,'LOI and Commissioning Master Sh'!$H:$H,"B",'LOI and Commissioning Master Sh'!$CD:$CD,"Yes")</f>
        <v>1</v>
      </c>
      <c r="C163" s="114">
        <f>+COUNTIFS('LOI and Commissioning Master Sh'!$G:$G,Summary!C$160,'LOI and Commissioning Master Sh'!$H:$H,"B",'LOI and Commissioning Master Sh'!$CD:$CD,"Yes")</f>
        <v>0</v>
      </c>
      <c r="D163" s="114">
        <f>+COUNTIFS('LOI and Commissioning Master Sh'!$G:$G,Summary!D$160,'LOI and Commissioning Master Sh'!$H:$H,"B",'LOI and Commissioning Master Sh'!$CD:$CD,"Yes")</f>
        <v>18</v>
      </c>
      <c r="E163" s="114">
        <f>+COUNTIFS('LOI and Commissioning Master Sh'!$G:$G,Summary!E$160,'LOI and Commissioning Master Sh'!$H:$H,"B",'LOI and Commissioning Master Sh'!$CD:$CD,"Yes")</f>
        <v>8</v>
      </c>
      <c r="F163" s="114">
        <f>+COUNTIFS('LOI and Commissioning Master Sh'!$G:$G,Summary!F$160,'LOI and Commissioning Master Sh'!$H:$H,"B",'LOI and Commissioning Master Sh'!$CD:$CD,"Yes")</f>
        <v>8</v>
      </c>
      <c r="G163" s="114">
        <f>+SUM(B163:F163)</f>
        <v>35</v>
      </c>
      <c r="H163" s="115"/>
      <c r="I163" s="118" t="s">
        <v>1408</v>
      </c>
      <c r="J163" s="114">
        <f>+COUNTIFS('LOI and Commissioning Master Sh'!$G:$G,Summary!J$160,'LOI and Commissioning Master Sh'!$H:$H,"B",'LOI and Commissioning Master Sh'!$X:$X,"Yes")</f>
        <v>2</v>
      </c>
      <c r="K163" s="114">
        <f>+COUNTIFS('LOI and Commissioning Master Sh'!$G:$G,Summary!K$160,'LOI and Commissioning Master Sh'!$H:$H,"B",'LOI and Commissioning Master Sh'!$X:$X,"Yes")</f>
        <v>0</v>
      </c>
      <c r="L163" s="114">
        <f>+COUNTIFS('LOI and Commissioning Master Sh'!$G:$G,Summary!L$160,'LOI and Commissioning Master Sh'!$H:$H,"B",'LOI and Commissioning Master Sh'!$X:$X,"Yes")</f>
        <v>21</v>
      </c>
      <c r="M163" s="114">
        <f>+COUNTIFS('LOI and Commissioning Master Sh'!$G:$G,Summary!M$160,'LOI and Commissioning Master Sh'!$H:$H,"B",'LOI and Commissioning Master Sh'!$X:$X,"Yes")</f>
        <v>9</v>
      </c>
      <c r="N163" s="114">
        <f>+COUNTIFS('LOI and Commissioning Master Sh'!$G:$G,Summary!N$160,'LOI and Commissioning Master Sh'!$H:$H,"B",'LOI and Commissioning Master Sh'!$X:$X,"Yes")</f>
        <v>8</v>
      </c>
      <c r="O163" s="114">
        <f>+SUM(J163:N163)</f>
        <v>40</v>
      </c>
    </row>
    <row r="164" spans="1:15" ht="18.75" x14ac:dyDescent="0.3">
      <c r="A164" s="118"/>
      <c r="B164" s="114"/>
      <c r="C164" s="114"/>
      <c r="D164" s="114"/>
      <c r="E164" s="114"/>
      <c r="F164" s="114"/>
      <c r="G164" s="114"/>
      <c r="H164" s="115"/>
      <c r="I164" s="118"/>
      <c r="J164" s="114"/>
      <c r="K164" s="114"/>
      <c r="L164" s="114"/>
      <c r="M164" s="114"/>
      <c r="N164" s="114"/>
      <c r="O164" s="114"/>
    </row>
    <row r="165" spans="1:15" ht="18.75" x14ac:dyDescent="0.3">
      <c r="A165" s="116" t="s">
        <v>1409</v>
      </c>
      <c r="B165" s="114">
        <f>+SUM(B166:B167)</f>
        <v>8</v>
      </c>
      <c r="C165" s="114">
        <f t="shared" ref="C165" si="157">+SUM(C166:C167)</f>
        <v>0</v>
      </c>
      <c r="D165" s="114">
        <f t="shared" ref="D165" si="158">+SUM(D166:D167)</f>
        <v>39</v>
      </c>
      <c r="E165" s="114">
        <f t="shared" ref="E165" si="159">+SUM(E166:E167)</f>
        <v>17</v>
      </c>
      <c r="F165" s="114">
        <f t="shared" ref="F165" si="160">+SUM(F166:F167)</f>
        <v>11</v>
      </c>
      <c r="G165" s="114">
        <f>+SUM(B165:F165)</f>
        <v>75</v>
      </c>
      <c r="H165" s="115"/>
      <c r="I165" s="116" t="s">
        <v>1409</v>
      </c>
      <c r="J165" s="114">
        <f>+SUM(J166:J167)</f>
        <v>8</v>
      </c>
      <c r="K165" s="114">
        <f t="shared" ref="K165" si="161">+SUM(K166:K167)</f>
        <v>0</v>
      </c>
      <c r="L165" s="114">
        <f t="shared" ref="L165" si="162">+SUM(L166:L167)</f>
        <v>39</v>
      </c>
      <c r="M165" s="114">
        <f t="shared" ref="M165" si="163">+SUM(M166:M167)</f>
        <v>17</v>
      </c>
      <c r="N165" s="114">
        <f t="shared" ref="N165" si="164">+SUM(N166:N167)</f>
        <v>11</v>
      </c>
      <c r="O165" s="114">
        <f>+SUM(J165:N165)</f>
        <v>75</v>
      </c>
    </row>
    <row r="166" spans="1:15" ht="18.75" x14ac:dyDescent="0.3">
      <c r="A166" s="118" t="s">
        <v>1407</v>
      </c>
      <c r="B166" s="114">
        <f>+COUNTIFS('LOI and Commissioning Master Sh'!$G:$G,Summary!B$160,'LOI and Commissioning Master Sh'!$H:$H,"A",'LOI and Commissioning Master Sh'!$X:$X,"Yes")</f>
        <v>6</v>
      </c>
      <c r="C166" s="114">
        <f>+COUNTIFS('LOI and Commissioning Master Sh'!$G:$G,Summary!C$160,'LOI and Commissioning Master Sh'!$H:$H,"A",'LOI and Commissioning Master Sh'!$X:$X,"Yes")</f>
        <v>0</v>
      </c>
      <c r="D166" s="114">
        <f>+COUNTIFS('LOI and Commissioning Master Sh'!$G:$G,Summary!D$160,'LOI and Commissioning Master Sh'!$H:$H,"A",'LOI and Commissioning Master Sh'!$X:$X,"Yes")</f>
        <v>18</v>
      </c>
      <c r="E166" s="114">
        <f>+COUNTIFS('LOI and Commissioning Master Sh'!$G:$G,Summary!E$160,'LOI and Commissioning Master Sh'!$H:$H,"A",'LOI and Commissioning Master Sh'!$X:$X,"Yes")</f>
        <v>8</v>
      </c>
      <c r="F166" s="114">
        <f>+COUNTIFS('LOI and Commissioning Master Sh'!$G:$G,Summary!F$160,'LOI and Commissioning Master Sh'!$H:$H,"A",'LOI and Commissioning Master Sh'!$X:$X,"Yes")</f>
        <v>3</v>
      </c>
      <c r="G166" s="114">
        <f>+SUM(B166:F166)</f>
        <v>35</v>
      </c>
      <c r="H166" s="115"/>
      <c r="I166" s="118" t="s">
        <v>1407</v>
      </c>
      <c r="J166" s="114">
        <f>+COUNTIFS('LOI and Commissioning Master Sh'!$G:$G,Summary!J$160,'LOI and Commissioning Master Sh'!$H:$H,"A",'LOI and Commissioning Master Sh'!$X:$X,"Yes")</f>
        <v>6</v>
      </c>
      <c r="K166" s="114">
        <f>+COUNTIFS('LOI and Commissioning Master Sh'!$G:$G,Summary!K$160,'LOI and Commissioning Master Sh'!$H:$H,"A",'LOI and Commissioning Master Sh'!$X:$X,"Yes")</f>
        <v>0</v>
      </c>
      <c r="L166" s="114">
        <f>+COUNTIFS('LOI and Commissioning Master Sh'!$G:$G,Summary!L$160,'LOI and Commissioning Master Sh'!$H:$H,"A",'LOI and Commissioning Master Sh'!$X:$X,"Yes")</f>
        <v>18</v>
      </c>
      <c r="M166" s="114">
        <f>+COUNTIFS('LOI and Commissioning Master Sh'!$G:$G,Summary!M$160,'LOI and Commissioning Master Sh'!$H:$H,"A",'LOI and Commissioning Master Sh'!$X:$X,"Yes")</f>
        <v>8</v>
      </c>
      <c r="N166" s="114">
        <f>+COUNTIFS('LOI and Commissioning Master Sh'!$G:$G,Summary!N$160,'LOI and Commissioning Master Sh'!$H:$H,"A",'LOI and Commissioning Master Sh'!$X:$X,"Yes")</f>
        <v>3</v>
      </c>
      <c r="O166" s="114">
        <f>+SUM(J166:N166)</f>
        <v>35</v>
      </c>
    </row>
    <row r="167" spans="1:15" ht="18.75" x14ac:dyDescent="0.3">
      <c r="A167" s="118" t="s">
        <v>1408</v>
      </c>
      <c r="B167" s="114">
        <f>+COUNTIFS('LOI and Commissioning Master Sh'!$G:$G,Summary!B$160,'LOI and Commissioning Master Sh'!$H:$H,"B",'LOI and Commissioning Master Sh'!$X:$X,"Yes")</f>
        <v>2</v>
      </c>
      <c r="C167" s="114">
        <f>+COUNTIFS('LOI and Commissioning Master Sh'!$G:$G,Summary!C$160,'LOI and Commissioning Master Sh'!$H:$H,"B",'LOI and Commissioning Master Sh'!$X:$X,"Yes")</f>
        <v>0</v>
      </c>
      <c r="D167" s="114">
        <f>+COUNTIFS('LOI and Commissioning Master Sh'!$G:$G,Summary!D$160,'LOI and Commissioning Master Sh'!$H:$H,"B",'LOI and Commissioning Master Sh'!$X:$X,"Yes")</f>
        <v>21</v>
      </c>
      <c r="E167" s="114">
        <f>+COUNTIFS('LOI and Commissioning Master Sh'!$G:$G,Summary!E$160,'LOI and Commissioning Master Sh'!$H:$H,"B",'LOI and Commissioning Master Sh'!$X:$X,"Yes")</f>
        <v>9</v>
      </c>
      <c r="F167" s="114">
        <f>+COUNTIFS('LOI and Commissioning Master Sh'!$G:$G,Summary!F$160,'LOI and Commissioning Master Sh'!$H:$H,"B",'LOI and Commissioning Master Sh'!$X:$X,"Yes")</f>
        <v>8</v>
      </c>
      <c r="G167" s="114">
        <f>+SUM(B167:F167)</f>
        <v>40</v>
      </c>
      <c r="H167" s="115"/>
      <c r="I167" s="118" t="s">
        <v>1408</v>
      </c>
      <c r="J167" s="114">
        <f>+COUNTIFS('LOI and Commissioning Master Sh'!$G:$G,Summary!J$160,'LOI and Commissioning Master Sh'!$H:$H,"B",'LOI and Commissioning Master Sh'!$X:$X,"Yes")</f>
        <v>2</v>
      </c>
      <c r="K167" s="114">
        <f>+COUNTIFS('LOI and Commissioning Master Sh'!$G:$G,Summary!K$160,'LOI and Commissioning Master Sh'!$H:$H,"B",'LOI and Commissioning Master Sh'!$X:$X,"Yes")</f>
        <v>0</v>
      </c>
      <c r="L167" s="114">
        <f>+COUNTIFS('LOI and Commissioning Master Sh'!$G:$G,Summary!L$160,'LOI and Commissioning Master Sh'!$H:$H,"B",'LOI and Commissioning Master Sh'!$X:$X,"Yes")</f>
        <v>21</v>
      </c>
      <c r="M167" s="114">
        <f>+COUNTIFS('LOI and Commissioning Master Sh'!$G:$G,Summary!M$160,'LOI and Commissioning Master Sh'!$H:$H,"B",'LOI and Commissioning Master Sh'!$X:$X,"Yes")</f>
        <v>9</v>
      </c>
      <c r="N167" s="114">
        <f>+COUNTIFS('LOI and Commissioning Master Sh'!$G:$G,Summary!N$160,'LOI and Commissioning Master Sh'!$H:$H,"B",'LOI and Commissioning Master Sh'!$X:$X,"Yes")</f>
        <v>8</v>
      </c>
      <c r="O167" s="114">
        <f>+SUM(J167:N167)</f>
        <v>40</v>
      </c>
    </row>
    <row r="168" spans="1:15" ht="18.75" x14ac:dyDescent="0.3">
      <c r="A168" s="118"/>
      <c r="B168" s="114"/>
      <c r="C168" s="114"/>
      <c r="D168" s="114"/>
      <c r="E168" s="114"/>
      <c r="F168" s="114"/>
      <c r="G168" s="114"/>
      <c r="H168" s="115"/>
      <c r="I168" s="118"/>
      <c r="J168" s="114"/>
      <c r="K168" s="114"/>
      <c r="L168" s="114"/>
      <c r="M168" s="114"/>
      <c r="N168" s="114"/>
      <c r="O168" s="114"/>
    </row>
    <row r="169" spans="1:15" ht="37.5" x14ac:dyDescent="0.3">
      <c r="A169" s="116" t="s">
        <v>1410</v>
      </c>
      <c r="B169" s="114">
        <f>+SUM(B170:B171)</f>
        <v>1</v>
      </c>
      <c r="C169" s="114">
        <f t="shared" ref="C169:F169" si="165">+SUM(C170:C171)</f>
        <v>0</v>
      </c>
      <c r="D169" s="114">
        <f t="shared" si="165"/>
        <v>3</v>
      </c>
      <c r="E169" s="114">
        <f t="shared" si="165"/>
        <v>1</v>
      </c>
      <c r="F169" s="114">
        <f t="shared" si="165"/>
        <v>3</v>
      </c>
      <c r="G169" s="114">
        <f>+SUM(B169:F169)</f>
        <v>8</v>
      </c>
      <c r="H169" s="115"/>
      <c r="I169" s="116" t="s">
        <v>1410</v>
      </c>
      <c r="J169" s="114">
        <f>+SUM(J170:J171)</f>
        <v>1</v>
      </c>
      <c r="K169" s="114">
        <f t="shared" ref="K169" si="166">+SUM(K170:K171)</f>
        <v>0</v>
      </c>
      <c r="L169" s="114">
        <f t="shared" ref="L169" si="167">+SUM(L170:L171)</f>
        <v>3</v>
      </c>
      <c r="M169" s="114">
        <f t="shared" ref="M169" si="168">+SUM(M170:M171)</f>
        <v>1</v>
      </c>
      <c r="N169" s="114">
        <f t="shared" ref="N169" si="169">+SUM(N170:N171)</f>
        <v>3</v>
      </c>
      <c r="O169" s="114">
        <f>+SUM(J169:N169)</f>
        <v>8</v>
      </c>
    </row>
    <row r="170" spans="1:15" ht="18.75" x14ac:dyDescent="0.3">
      <c r="A170" s="118" t="s">
        <v>1407</v>
      </c>
      <c r="B170" s="114">
        <f>+COUNTIFS('LOI and Commissioning Master Sh'!$G:$G,Summary!B$160,'LOI and Commissioning Master Sh'!$H:$H,"A",'LOI and Commissioning Master Sh'!$BW:$BW,"Commissioned")</f>
        <v>1</v>
      </c>
      <c r="C170" s="114">
        <f>+COUNTIFS('LOI and Commissioning Master Sh'!$G:$G,Summary!C$160,'LOI and Commissioning Master Sh'!$H:$H,"A",'LOI and Commissioning Master Sh'!$BW:$BW,"Commissioned")</f>
        <v>0</v>
      </c>
      <c r="D170" s="114">
        <f>+COUNTIFS('LOI and Commissioning Master Sh'!$G:$G,Summary!D$160,'LOI and Commissioning Master Sh'!$H:$H,"A",'LOI and Commissioning Master Sh'!$BW:$BW,"Commissioned")</f>
        <v>1</v>
      </c>
      <c r="E170" s="114">
        <f>+COUNTIFS('LOI and Commissioning Master Sh'!$G:$G,Summary!E$160,'LOI and Commissioning Master Sh'!$H:$H,"A",'LOI and Commissioning Master Sh'!$BW:$BW,"Commissioned")</f>
        <v>1</v>
      </c>
      <c r="F170" s="114">
        <f>+COUNTIFS('LOI and Commissioning Master Sh'!$G:$G,Summary!F$160,'LOI and Commissioning Master Sh'!$H:$H,"A",'LOI and Commissioning Master Sh'!$BW:$BW,"Commissioned")</f>
        <v>1</v>
      </c>
      <c r="G170" s="114">
        <f>+SUM(B170:F170)</f>
        <v>4</v>
      </c>
      <c r="H170" s="115"/>
      <c r="I170" s="118" t="s">
        <v>1407</v>
      </c>
      <c r="J170" s="114">
        <f>+COUNTIFS('LOI and Commissioning Master Sh'!$G:$G,Summary!J$160,'LOI and Commissioning Master Sh'!$H:$H,"A",'LOI and Commissioning Master Sh'!$BW:$BW,"Commissioned")</f>
        <v>1</v>
      </c>
      <c r="K170" s="114">
        <f>+COUNTIFS('LOI and Commissioning Master Sh'!$G:$G,Summary!K$160,'LOI and Commissioning Master Sh'!$H:$H,"A",'LOI and Commissioning Master Sh'!$BW:$BW,"Commissioned")</f>
        <v>0</v>
      </c>
      <c r="L170" s="114">
        <f>+COUNTIFS('LOI and Commissioning Master Sh'!$G:$G,Summary!L$160,'LOI and Commissioning Master Sh'!$H:$H,"A",'LOI and Commissioning Master Sh'!$BW:$BW,"Commissioned")</f>
        <v>1</v>
      </c>
      <c r="M170" s="114">
        <f>+COUNTIFS('LOI and Commissioning Master Sh'!$G:$G,Summary!M$160,'LOI and Commissioning Master Sh'!$H:$H,"A",'LOI and Commissioning Master Sh'!$BW:$BW,"Commissioned")</f>
        <v>1</v>
      </c>
      <c r="N170" s="114">
        <f>+COUNTIFS('LOI and Commissioning Master Sh'!$G:$G,Summary!N$160,'LOI and Commissioning Master Sh'!$H:$H,"A",'LOI and Commissioning Master Sh'!$BW:$BW,"Commissioned")</f>
        <v>1</v>
      </c>
      <c r="O170" s="114">
        <f>+SUM(J170:N170)</f>
        <v>4</v>
      </c>
    </row>
    <row r="171" spans="1:15" ht="18.75" x14ac:dyDescent="0.3">
      <c r="A171" s="118" t="s">
        <v>1408</v>
      </c>
      <c r="B171" s="114">
        <f>+COUNTIFS('LOI and Commissioning Master Sh'!$G:$G,Summary!B$160,'LOI and Commissioning Master Sh'!$H:$H,"B",'LOI and Commissioning Master Sh'!$BW:$BW,"Commissioned")</f>
        <v>0</v>
      </c>
      <c r="C171" s="114">
        <f>+COUNTIFS('LOI and Commissioning Master Sh'!$G:$G,Summary!C$160,'LOI and Commissioning Master Sh'!$H:$H,"B",'LOI and Commissioning Master Sh'!$BW:$BW,"Commissioned")</f>
        <v>0</v>
      </c>
      <c r="D171" s="114">
        <f>+COUNTIFS('LOI and Commissioning Master Sh'!$G:$G,Summary!D$160,'LOI and Commissioning Master Sh'!$H:$H,"B",'LOI and Commissioning Master Sh'!$BW:$BW,"Commissioned")</f>
        <v>2</v>
      </c>
      <c r="E171" s="114">
        <f>+COUNTIFS('LOI and Commissioning Master Sh'!$G:$G,Summary!E$160,'LOI and Commissioning Master Sh'!$H:$H,"B",'LOI and Commissioning Master Sh'!$BW:$BW,"Commissioned")</f>
        <v>0</v>
      </c>
      <c r="F171" s="114">
        <f>+COUNTIFS('LOI and Commissioning Master Sh'!$G:$G,Summary!F$160,'LOI and Commissioning Master Sh'!$H:$H,"B",'LOI and Commissioning Master Sh'!$BW:$BW,"Commissioned")</f>
        <v>2</v>
      </c>
      <c r="G171" s="114">
        <f>+SUM(B171:F171)</f>
        <v>4</v>
      </c>
      <c r="H171" s="115"/>
      <c r="I171" s="118" t="s">
        <v>1408</v>
      </c>
      <c r="J171" s="114">
        <f>+COUNTIFS('LOI and Commissioning Master Sh'!$G:$G,Summary!J$160,'LOI and Commissioning Master Sh'!$H:$H,"B",'LOI and Commissioning Master Sh'!$BW:$BW,"Commissioned")</f>
        <v>0</v>
      </c>
      <c r="K171" s="114">
        <f>+COUNTIFS('LOI and Commissioning Master Sh'!$G:$G,Summary!K$160,'LOI and Commissioning Master Sh'!$H:$H,"B",'LOI and Commissioning Master Sh'!$BW:$BW,"Commissioned")</f>
        <v>0</v>
      </c>
      <c r="L171" s="114">
        <f>+COUNTIFS('LOI and Commissioning Master Sh'!$G:$G,Summary!L$160,'LOI and Commissioning Master Sh'!$H:$H,"B",'LOI and Commissioning Master Sh'!$BW:$BW,"Commissioned")</f>
        <v>2</v>
      </c>
      <c r="M171" s="114">
        <f>+COUNTIFS('LOI and Commissioning Master Sh'!$G:$G,Summary!M$160,'LOI and Commissioning Master Sh'!$H:$H,"B",'LOI and Commissioning Master Sh'!$BW:$BW,"Commissioned")</f>
        <v>0</v>
      </c>
      <c r="N171" s="114">
        <f>+COUNTIFS('LOI and Commissioning Master Sh'!$G:$G,Summary!N$160,'LOI and Commissioning Master Sh'!$H:$H,"B",'LOI and Commissioning Master Sh'!$BW:$BW,"Commissioned")</f>
        <v>2</v>
      </c>
      <c r="O171" s="114">
        <f>+SUM(J171:N171)</f>
        <v>4</v>
      </c>
    </row>
    <row r="172" spans="1:15" ht="18.75" x14ac:dyDescent="0.3">
      <c r="A172" s="116"/>
      <c r="B172" s="114"/>
      <c r="C172" s="114"/>
      <c r="D172" s="114"/>
      <c r="E172" s="114"/>
      <c r="F172" s="114"/>
      <c r="G172" s="114"/>
      <c r="H172" s="115"/>
      <c r="I172" s="116"/>
      <c r="J172" s="114"/>
      <c r="K172" s="114"/>
      <c r="L172" s="114"/>
      <c r="M172" s="114"/>
      <c r="N172" s="114"/>
      <c r="O172" s="114"/>
    </row>
    <row r="173" spans="1:15" ht="37.5" x14ac:dyDescent="0.3">
      <c r="A173" s="116" t="s">
        <v>1411</v>
      </c>
      <c r="B173" s="114">
        <f>+SUM(B174:B175)</f>
        <v>6</v>
      </c>
      <c r="C173" s="114">
        <f t="shared" ref="C173" si="170">+SUM(C174:C175)</f>
        <v>0</v>
      </c>
      <c r="D173" s="114">
        <f t="shared" ref="D173" si="171">+SUM(D174:D175)</f>
        <v>31</v>
      </c>
      <c r="E173" s="114">
        <f t="shared" ref="E173" si="172">+SUM(E174:E175)</f>
        <v>14</v>
      </c>
      <c r="F173" s="114">
        <f t="shared" ref="F173" si="173">+SUM(F174:F175)</f>
        <v>6</v>
      </c>
      <c r="G173" s="114">
        <f>+SUM(B173:F173)</f>
        <v>57</v>
      </c>
      <c r="H173" s="115"/>
      <c r="I173" s="116" t="s">
        <v>1411</v>
      </c>
      <c r="J173" s="114">
        <f>+SUM(J174:J175)</f>
        <v>7</v>
      </c>
      <c r="K173" s="114">
        <f t="shared" ref="K173" si="174">+SUM(K174:K175)</f>
        <v>0</v>
      </c>
      <c r="L173" s="114">
        <f t="shared" ref="L173" si="175">+SUM(L174:L175)</f>
        <v>36</v>
      </c>
      <c r="M173" s="114">
        <f t="shared" ref="M173" si="176">+SUM(M174:M175)</f>
        <v>16</v>
      </c>
      <c r="N173" s="114">
        <f t="shared" ref="N173" si="177">+SUM(N174:N175)</f>
        <v>8</v>
      </c>
      <c r="O173" s="114">
        <f>+SUM(J173:N173)</f>
        <v>67</v>
      </c>
    </row>
    <row r="174" spans="1:15" ht="18.75" x14ac:dyDescent="0.3">
      <c r="A174" s="118" t="s">
        <v>1407</v>
      </c>
      <c r="B174" s="114">
        <f>+COUNTIFS('LOI and Commissioning Master Sh'!$G:$G,Summary!B$160,'LOI and Commissioning Master Sh'!$H:$H,"A",'LOI and Commissioning Master Sh'!$CD:$CD,"Yes",'LOI and Commissioning Master Sh'!$BW:$BW,"Pending")</f>
        <v>5</v>
      </c>
      <c r="C174" s="114">
        <f>+COUNTIFS('LOI and Commissioning Master Sh'!$G:$G,Summary!C$160,'LOI and Commissioning Master Sh'!$H:$H,"A",'LOI and Commissioning Master Sh'!$CD:$CD,"Yes",'LOI and Commissioning Master Sh'!$BW:$BW,"Pending")</f>
        <v>0</v>
      </c>
      <c r="D174" s="114">
        <f>+COUNTIFS('LOI and Commissioning Master Sh'!$G:$G,Summary!D$160,'LOI and Commissioning Master Sh'!$H:$H,"A",'LOI and Commissioning Master Sh'!$CD:$CD,"Yes",'LOI and Commissioning Master Sh'!$BW:$BW,"Pending")</f>
        <v>15</v>
      </c>
      <c r="E174" s="114">
        <f>+COUNTIFS('LOI and Commissioning Master Sh'!$G:$G,Summary!E$160,'LOI and Commissioning Master Sh'!$H:$H,"A",'LOI and Commissioning Master Sh'!$CD:$CD,"Yes",'LOI and Commissioning Master Sh'!$BW:$BW,"Pending")</f>
        <v>6</v>
      </c>
      <c r="F174" s="114">
        <f>+COUNTIFS('LOI and Commissioning Master Sh'!$G:$G,Summary!F$160,'LOI and Commissioning Master Sh'!$H:$H,"A",'LOI and Commissioning Master Sh'!$CD:$CD,"Yes",'LOI and Commissioning Master Sh'!$BW:$BW,"Pending")</f>
        <v>0</v>
      </c>
      <c r="G174" s="114">
        <f>+SUM(B174:F174)</f>
        <v>26</v>
      </c>
      <c r="H174" s="115"/>
      <c r="I174" s="118" t="s">
        <v>1407</v>
      </c>
      <c r="J174" s="114">
        <f>+COUNTIFS('LOI and Commissioning Master Sh'!$G:$G,Summary!J$160,'LOI and Commissioning Master Sh'!$H:$H,"A",'LOI and Commissioning Master Sh'!$X:$X,"Yes",'LOI and Commissioning Master Sh'!$BW:$BW,"Pending")</f>
        <v>5</v>
      </c>
      <c r="K174" s="114">
        <f>+COUNTIFS('LOI and Commissioning Master Sh'!$G:$G,Summary!K$160,'LOI and Commissioning Master Sh'!$H:$H,"A",'LOI and Commissioning Master Sh'!$X:$X,"Yes",'LOI and Commissioning Master Sh'!$BW:$BW,"Pending")</f>
        <v>0</v>
      </c>
      <c r="L174" s="114">
        <f>+COUNTIFS('LOI and Commissioning Master Sh'!$G:$G,Summary!L$160,'LOI and Commissioning Master Sh'!$H:$H,"A",'LOI and Commissioning Master Sh'!$X:$X,"Yes",'LOI and Commissioning Master Sh'!$BW:$BW,"Pending")</f>
        <v>17</v>
      </c>
      <c r="M174" s="114">
        <f>+COUNTIFS('LOI and Commissioning Master Sh'!$G:$G,Summary!M$160,'LOI and Commissioning Master Sh'!$H:$H,"A",'LOI and Commissioning Master Sh'!$X:$X,"Yes",'LOI and Commissioning Master Sh'!$BW:$BW,"Pending")</f>
        <v>7</v>
      </c>
      <c r="N174" s="114">
        <f>+COUNTIFS('LOI and Commissioning Master Sh'!$G:$G,Summary!N$160,'LOI and Commissioning Master Sh'!$H:$H,"A",'LOI and Commissioning Master Sh'!$X:$X,"Yes",'LOI and Commissioning Master Sh'!$BW:$BW,"Pending")</f>
        <v>2</v>
      </c>
      <c r="O174" s="114">
        <f>+SUM(J174:N174)</f>
        <v>31</v>
      </c>
    </row>
    <row r="175" spans="1:15" ht="18.75" x14ac:dyDescent="0.3">
      <c r="A175" s="118" t="s">
        <v>1408</v>
      </c>
      <c r="B175" s="114">
        <f>+COUNTIFS('LOI and Commissioning Master Sh'!$G:$G,Summary!B$160,'LOI and Commissioning Master Sh'!$H:$H,"B",'LOI and Commissioning Master Sh'!$CD:$CD,"Yes",'LOI and Commissioning Master Sh'!$BW:$BW,"Pending")</f>
        <v>1</v>
      </c>
      <c r="C175" s="114">
        <f>+COUNTIFS('LOI and Commissioning Master Sh'!$G:$G,Summary!C$160,'LOI and Commissioning Master Sh'!$H:$H,"B",'LOI and Commissioning Master Sh'!$CD:$CD,"Yes",'LOI and Commissioning Master Sh'!$BW:$BW,"Pending")</f>
        <v>0</v>
      </c>
      <c r="D175" s="114">
        <f>+COUNTIFS('LOI and Commissioning Master Sh'!$G:$G,Summary!D$160,'LOI and Commissioning Master Sh'!$H:$H,"B",'LOI and Commissioning Master Sh'!$CD:$CD,"Yes",'LOI and Commissioning Master Sh'!$BW:$BW,"Pending")</f>
        <v>16</v>
      </c>
      <c r="E175" s="114">
        <f>+COUNTIFS('LOI and Commissioning Master Sh'!$G:$G,Summary!E$160,'LOI and Commissioning Master Sh'!$H:$H,"B",'LOI and Commissioning Master Sh'!$CD:$CD,"Yes",'LOI and Commissioning Master Sh'!$BW:$BW,"Pending")</f>
        <v>8</v>
      </c>
      <c r="F175" s="114">
        <f>+COUNTIFS('LOI and Commissioning Master Sh'!$G:$G,Summary!F$160,'LOI and Commissioning Master Sh'!$H:$H,"B",'LOI and Commissioning Master Sh'!$CD:$CD,"Yes",'LOI and Commissioning Master Sh'!$BW:$BW,"Pending")</f>
        <v>6</v>
      </c>
      <c r="G175" s="114">
        <f>+SUM(B175:F175)</f>
        <v>31</v>
      </c>
      <c r="H175" s="115"/>
      <c r="I175" s="118" t="s">
        <v>1408</v>
      </c>
      <c r="J175" s="114">
        <f>+COUNTIFS('LOI and Commissioning Master Sh'!$G:$G,Summary!J$160,'LOI and Commissioning Master Sh'!$H:$H,"B",'LOI and Commissioning Master Sh'!$X:$X,"Yes",'LOI and Commissioning Master Sh'!$BW:$BW,"Pending")</f>
        <v>2</v>
      </c>
      <c r="K175" s="114">
        <f>+COUNTIFS('LOI and Commissioning Master Sh'!$G:$G,Summary!K$160,'LOI and Commissioning Master Sh'!$H:$H,"B",'LOI and Commissioning Master Sh'!$X:$X,"Yes",'LOI and Commissioning Master Sh'!$BW:$BW,"Pending")</f>
        <v>0</v>
      </c>
      <c r="L175" s="114">
        <f>+COUNTIFS('LOI and Commissioning Master Sh'!$G:$G,Summary!L$160,'LOI and Commissioning Master Sh'!$H:$H,"B",'LOI and Commissioning Master Sh'!$X:$X,"Yes",'LOI and Commissioning Master Sh'!$BW:$BW,"Pending")</f>
        <v>19</v>
      </c>
      <c r="M175" s="114">
        <f>+COUNTIFS('LOI and Commissioning Master Sh'!$G:$G,Summary!M$160,'LOI and Commissioning Master Sh'!$H:$H,"B",'LOI and Commissioning Master Sh'!$X:$X,"Yes",'LOI and Commissioning Master Sh'!$BW:$BW,"Pending")</f>
        <v>9</v>
      </c>
      <c r="N175" s="114">
        <f>+COUNTIFS('LOI and Commissioning Master Sh'!$G:$G,Summary!N$160,'LOI and Commissioning Master Sh'!$H:$H,"B",'LOI and Commissioning Master Sh'!$X:$X,"Yes",'LOI and Commissioning Master Sh'!$BW:$BW,"Pending")</f>
        <v>6</v>
      </c>
      <c r="O175" s="114">
        <f>+SUM(J175:N175)</f>
        <v>36</v>
      </c>
    </row>
    <row r="176" spans="1:15" ht="18.75" x14ac:dyDescent="0.3">
      <c r="A176" s="116"/>
      <c r="B176" s="114"/>
      <c r="C176" s="114"/>
      <c r="D176" s="114"/>
      <c r="E176" s="114"/>
      <c r="F176" s="114"/>
      <c r="G176" s="114"/>
      <c r="H176" s="115"/>
      <c r="I176" s="116"/>
      <c r="J176" s="114"/>
      <c r="K176" s="114"/>
      <c r="L176" s="114"/>
      <c r="M176" s="114"/>
      <c r="N176" s="114"/>
      <c r="O176" s="114"/>
    </row>
    <row r="177" spans="1:15" ht="37.5" x14ac:dyDescent="0.3">
      <c r="A177" s="116" t="s">
        <v>1412</v>
      </c>
      <c r="B177" s="114">
        <f>+SUM(B178:B179)</f>
        <v>3</v>
      </c>
      <c r="C177" s="114">
        <f t="shared" ref="C177" si="178">+SUM(C178:C179)</f>
        <v>0</v>
      </c>
      <c r="D177" s="114">
        <f t="shared" ref="D177" si="179">+SUM(D178:D179)</f>
        <v>21</v>
      </c>
      <c r="E177" s="114">
        <f t="shared" ref="E177" si="180">+SUM(E178:E179)</f>
        <v>10</v>
      </c>
      <c r="F177" s="114">
        <f t="shared" ref="F177" si="181">+SUM(F178:F179)</f>
        <v>6</v>
      </c>
      <c r="G177" s="114">
        <f>+SUM(B177:F177)</f>
        <v>40</v>
      </c>
      <c r="H177" s="115"/>
      <c r="I177" s="116" t="s">
        <v>1412</v>
      </c>
      <c r="J177" s="114">
        <f>+SUM(J178:J179)</f>
        <v>4</v>
      </c>
      <c r="K177" s="114">
        <f t="shared" ref="K177" si="182">+SUM(K178:K179)</f>
        <v>0</v>
      </c>
      <c r="L177" s="114">
        <f t="shared" ref="L177" si="183">+SUM(L178:L179)</f>
        <v>25</v>
      </c>
      <c r="M177" s="114">
        <f t="shared" ref="M177" si="184">+SUM(M178:M179)</f>
        <v>11</v>
      </c>
      <c r="N177" s="114">
        <f t="shared" ref="N177" si="185">+SUM(N178:N179)</f>
        <v>7</v>
      </c>
      <c r="O177" s="114">
        <f>+SUM(J177:N177)</f>
        <v>47</v>
      </c>
    </row>
    <row r="178" spans="1:15" ht="18.75" x14ac:dyDescent="0.3">
      <c r="A178" s="118" t="s">
        <v>1407</v>
      </c>
      <c r="B178" s="114">
        <f>+COUNTIFS('LOI and Commissioning Master Sh'!$G:$G,Summary!B$160,'LOI and Commissioning Master Sh'!$H:$H,"A",'LOI and Commissioning Master Sh'!$CD:$CD,"Yes",'LOI and Commissioning Master Sh'!$AN:$AN,"Yes",'LOI and Commissioning Master Sh'!$CD:$CD,"Yes",'LOI and Commissioning Master Sh'!$BW:$BW,"Pending")</f>
        <v>2</v>
      </c>
      <c r="C178" s="114">
        <f>+COUNTIFS('LOI and Commissioning Master Sh'!$G:$G,Summary!C$160,'LOI and Commissioning Master Sh'!$H:$H,"A",'LOI and Commissioning Master Sh'!$CD:$CD,"Yes",'LOI and Commissioning Master Sh'!$AN:$AN,"Yes",'LOI and Commissioning Master Sh'!$CD:$CD,"Yes",'LOI and Commissioning Master Sh'!$BW:$BW,"Pending")</f>
        <v>0</v>
      </c>
      <c r="D178" s="114">
        <f>+COUNTIFS('LOI and Commissioning Master Sh'!$G:$G,Summary!D$160,'LOI and Commissioning Master Sh'!$H:$H,"A",'LOI and Commissioning Master Sh'!$CD:$CD,"Yes",'LOI and Commissioning Master Sh'!$AN:$AN,"Yes",'LOI and Commissioning Master Sh'!$CD:$CD,"Yes",'LOI and Commissioning Master Sh'!$BW:$BW,"Pending")</f>
        <v>6</v>
      </c>
      <c r="E178" s="114">
        <f>+COUNTIFS('LOI and Commissioning Master Sh'!$G:$G,Summary!E$160,'LOI and Commissioning Master Sh'!$H:$H,"A",'LOI and Commissioning Master Sh'!$CD:$CD,"Yes",'LOI and Commissioning Master Sh'!$AN:$AN,"Yes",'LOI and Commissioning Master Sh'!$CD:$CD,"Yes",'LOI and Commissioning Master Sh'!$BW:$BW,"Pending")</f>
        <v>3</v>
      </c>
      <c r="F178" s="114">
        <f>+COUNTIFS('LOI and Commissioning Master Sh'!$G:$G,Summary!F$160,'LOI and Commissioning Master Sh'!$H:$H,"A",'LOI and Commissioning Master Sh'!$CD:$CD,"Yes",'LOI and Commissioning Master Sh'!$AN:$AN,"Yes",'LOI and Commissioning Master Sh'!$CD:$CD,"Yes",'LOI and Commissioning Master Sh'!$BW:$BW,"Pending")</f>
        <v>0</v>
      </c>
      <c r="G178" s="114">
        <f>+SUM(B178:F178)</f>
        <v>11</v>
      </c>
      <c r="H178" s="115"/>
      <c r="I178" s="118" t="s">
        <v>1407</v>
      </c>
      <c r="J178" s="114">
        <f>+COUNTIFS('LOI and Commissioning Master Sh'!$G:$G,Summary!J$160,'LOI and Commissioning Master Sh'!$H:$H,"A",'LOI and Commissioning Master Sh'!$X:$X,"Yes",'LOI and Commissioning Master Sh'!$AN:$AN,"Yes",'LOI and Commissioning Master Sh'!$BW:$BW,"Pending")</f>
        <v>2</v>
      </c>
      <c r="K178" s="114">
        <f>+COUNTIFS('LOI and Commissioning Master Sh'!$G:$G,Summary!K$160,'LOI and Commissioning Master Sh'!$H:$H,"A",'LOI and Commissioning Master Sh'!$X:$X,"Yes",'LOI and Commissioning Master Sh'!$AN:$AN,"Yes",'LOI and Commissioning Master Sh'!$BW:$BW,"Pending")</f>
        <v>0</v>
      </c>
      <c r="L178" s="114">
        <f>+COUNTIFS('LOI and Commissioning Master Sh'!$G:$G,Summary!L$160,'LOI and Commissioning Master Sh'!$H:$H,"A",'LOI and Commissioning Master Sh'!$X:$X,"Yes",'LOI and Commissioning Master Sh'!$AN:$AN,"Yes",'LOI and Commissioning Master Sh'!$BW:$BW,"Pending")</f>
        <v>7</v>
      </c>
      <c r="M178" s="114">
        <f>+COUNTIFS('LOI and Commissioning Master Sh'!$G:$G,Summary!M$160,'LOI and Commissioning Master Sh'!$H:$H,"A",'LOI and Commissioning Master Sh'!$X:$X,"Yes",'LOI and Commissioning Master Sh'!$AN:$AN,"Yes",'LOI and Commissioning Master Sh'!$BW:$BW,"Pending")</f>
        <v>3</v>
      </c>
      <c r="N178" s="114">
        <f>+COUNTIFS('LOI and Commissioning Master Sh'!$G:$G,Summary!N$160,'LOI and Commissioning Master Sh'!$H:$H,"A",'LOI and Commissioning Master Sh'!$X:$X,"Yes",'LOI and Commissioning Master Sh'!$AN:$AN,"Yes",'LOI and Commissioning Master Sh'!$BW:$BW,"Pending")</f>
        <v>1</v>
      </c>
      <c r="O178" s="114">
        <f>+SUM(J178:N178)</f>
        <v>13</v>
      </c>
    </row>
    <row r="179" spans="1:15" ht="18.75" x14ac:dyDescent="0.3">
      <c r="A179" s="118" t="s">
        <v>1408</v>
      </c>
      <c r="B179" s="114">
        <f>+COUNTIFS('LOI and Commissioning Master Sh'!$G:$G,Summary!B$160,'LOI and Commissioning Master Sh'!$H:$H,"B",'LOI and Commissioning Master Sh'!$CD:$CD,"Yes",'LOI and Commissioning Master Sh'!$AN:$AN,"Yes",'LOI and Commissioning Master Sh'!$CD:$CD,"Yes",'LOI and Commissioning Master Sh'!$BW:$BW,"Pending")</f>
        <v>1</v>
      </c>
      <c r="C179" s="114">
        <f>+COUNTIFS('LOI and Commissioning Master Sh'!$G:$G,Summary!C$160,'LOI and Commissioning Master Sh'!$H:$H,"B",'LOI and Commissioning Master Sh'!$CD:$CD,"Yes",'LOI and Commissioning Master Sh'!$AN:$AN,"Yes",'LOI and Commissioning Master Sh'!$CD:$CD,"Yes",'LOI and Commissioning Master Sh'!$BW:$BW,"Pending")</f>
        <v>0</v>
      </c>
      <c r="D179" s="114">
        <f>+COUNTIFS('LOI and Commissioning Master Sh'!$G:$G,Summary!D$160,'LOI and Commissioning Master Sh'!$H:$H,"B",'LOI and Commissioning Master Sh'!$CD:$CD,"Yes",'LOI and Commissioning Master Sh'!$AN:$AN,"Yes",'LOI and Commissioning Master Sh'!$CD:$CD,"Yes",'LOI and Commissioning Master Sh'!$BW:$BW,"Pending")</f>
        <v>15</v>
      </c>
      <c r="E179" s="114">
        <f>+COUNTIFS('LOI and Commissioning Master Sh'!$G:$G,Summary!E$160,'LOI and Commissioning Master Sh'!$H:$H,"B",'LOI and Commissioning Master Sh'!$CD:$CD,"Yes",'LOI and Commissioning Master Sh'!$AN:$AN,"Yes",'LOI and Commissioning Master Sh'!$CD:$CD,"Yes",'LOI and Commissioning Master Sh'!$BW:$BW,"Pending")</f>
        <v>7</v>
      </c>
      <c r="F179" s="114">
        <f>+COUNTIFS('LOI and Commissioning Master Sh'!$G:$G,Summary!F$160,'LOI and Commissioning Master Sh'!$H:$H,"B",'LOI and Commissioning Master Sh'!$CD:$CD,"Yes",'LOI and Commissioning Master Sh'!$AN:$AN,"Yes",'LOI and Commissioning Master Sh'!$CD:$CD,"Yes",'LOI and Commissioning Master Sh'!$BW:$BW,"Pending")</f>
        <v>6</v>
      </c>
      <c r="G179" s="114">
        <f>+SUM(B179:F179)</f>
        <v>29</v>
      </c>
      <c r="H179" s="115"/>
      <c r="I179" s="118" t="s">
        <v>1408</v>
      </c>
      <c r="J179" s="114">
        <f>+COUNTIFS('LOI and Commissioning Master Sh'!$G:$G,Summary!J$160,'LOI and Commissioning Master Sh'!$H:$H,"B",'LOI and Commissioning Master Sh'!$X:$X,"Yes",'LOI and Commissioning Master Sh'!$AN:$AN,"Yes",'LOI and Commissioning Master Sh'!$BW:$BW,"Pending")</f>
        <v>2</v>
      </c>
      <c r="K179" s="114">
        <f>+COUNTIFS('LOI and Commissioning Master Sh'!$G:$G,Summary!K$160,'LOI and Commissioning Master Sh'!$H:$H,"B",'LOI and Commissioning Master Sh'!$X:$X,"Yes",'LOI and Commissioning Master Sh'!$AN:$AN,"Yes",'LOI and Commissioning Master Sh'!$BW:$BW,"Pending")</f>
        <v>0</v>
      </c>
      <c r="L179" s="114">
        <f>+COUNTIFS('LOI and Commissioning Master Sh'!$G:$G,Summary!L$160,'LOI and Commissioning Master Sh'!$H:$H,"B",'LOI and Commissioning Master Sh'!$X:$X,"Yes",'LOI and Commissioning Master Sh'!$AN:$AN,"Yes",'LOI and Commissioning Master Sh'!$BW:$BW,"Pending")</f>
        <v>18</v>
      </c>
      <c r="M179" s="114">
        <f>+COUNTIFS('LOI and Commissioning Master Sh'!$G:$G,Summary!M$160,'LOI and Commissioning Master Sh'!$H:$H,"B",'LOI and Commissioning Master Sh'!$X:$X,"Yes",'LOI and Commissioning Master Sh'!$AN:$AN,"Yes",'LOI and Commissioning Master Sh'!$BW:$BW,"Pending")</f>
        <v>8</v>
      </c>
      <c r="N179" s="114">
        <f>+COUNTIFS('LOI and Commissioning Master Sh'!$G:$G,Summary!N$160,'LOI and Commissioning Master Sh'!$H:$H,"B",'LOI and Commissioning Master Sh'!$X:$X,"Yes",'LOI and Commissioning Master Sh'!$AN:$AN,"Yes",'LOI and Commissioning Master Sh'!$BW:$BW,"Pending")</f>
        <v>6</v>
      </c>
      <c r="O179" s="114">
        <f>+SUM(J179:N179)</f>
        <v>34</v>
      </c>
    </row>
    <row r="180" spans="1:15" ht="18.75" x14ac:dyDescent="0.3">
      <c r="A180" s="116"/>
      <c r="B180" s="114"/>
      <c r="C180" s="114"/>
      <c r="D180" s="114"/>
      <c r="E180" s="114"/>
      <c r="F180" s="114"/>
      <c r="G180" s="114"/>
      <c r="H180" s="115"/>
      <c r="I180" s="116"/>
      <c r="J180" s="114"/>
      <c r="K180" s="114"/>
      <c r="L180" s="114"/>
      <c r="M180" s="114"/>
      <c r="N180" s="114"/>
      <c r="O180" s="114"/>
    </row>
    <row r="181" spans="1:15" ht="37.5" x14ac:dyDescent="0.3">
      <c r="A181" s="116" t="s">
        <v>1413</v>
      </c>
      <c r="B181" s="114">
        <f>+SUM(B182:B183)</f>
        <v>0</v>
      </c>
      <c r="C181" s="114">
        <f t="shared" ref="C181" si="186">+SUM(C182:C183)</f>
        <v>0</v>
      </c>
      <c r="D181" s="114">
        <f t="shared" ref="D181" si="187">+SUM(D182:D183)</f>
        <v>0</v>
      </c>
      <c r="E181" s="114">
        <f t="shared" ref="E181" si="188">+SUM(E182:E183)</f>
        <v>0</v>
      </c>
      <c r="F181" s="114">
        <f t="shared" ref="F181" si="189">+SUM(F182:F183)</f>
        <v>0</v>
      </c>
      <c r="G181" s="114">
        <f>+SUM(B181:F181)</f>
        <v>0</v>
      </c>
      <c r="H181" s="115"/>
      <c r="I181" s="116" t="s">
        <v>1413</v>
      </c>
      <c r="J181" s="114">
        <f>+SUM(J182:J183)</f>
        <v>6</v>
      </c>
      <c r="K181" s="114">
        <f t="shared" ref="K181" si="190">+SUM(K182:K183)</f>
        <v>0</v>
      </c>
      <c r="L181" s="114">
        <f t="shared" ref="L181" si="191">+SUM(L182:L183)</f>
        <v>18</v>
      </c>
      <c r="M181" s="114">
        <f t="shared" ref="M181" si="192">+SUM(M182:M183)</f>
        <v>8</v>
      </c>
      <c r="N181" s="114">
        <f t="shared" ref="N181" si="193">+SUM(N182:N183)</f>
        <v>2</v>
      </c>
      <c r="O181" s="114">
        <f>+SUM(J181:N181)</f>
        <v>34</v>
      </c>
    </row>
    <row r="182" spans="1:15" ht="18.75" x14ac:dyDescent="0.3">
      <c r="A182" s="118" t="s">
        <v>1407</v>
      </c>
      <c r="B182" s="114">
        <f>+COUNTIFS('LOI and Commissioning Master Sh'!$G:$G,Summary!B$160,'LOI and Commissioning Master Sh'!$H:$H,"A",'LOI and Commissioning Master Sh'!$CD:$CD,"Yes",'LOI and Commissioning Master Sh'!$BG:$BG,"Yes",'LOI and Commissioning Master Sh'!$CD:$CD,"Yes",'LOI and Commissioning Master Sh'!$BW:$BW,"Pending")</f>
        <v>0</v>
      </c>
      <c r="C182" s="114">
        <f>+COUNTIFS('LOI and Commissioning Master Sh'!$G:$G,Summary!C$160,'LOI and Commissioning Master Sh'!$H:$H,"A",'LOI and Commissioning Master Sh'!$CD:$CD,"Yes",'LOI and Commissioning Master Sh'!$BG:$BG,"Yes",'LOI and Commissioning Master Sh'!$CD:$CD,"Yes",'LOI and Commissioning Master Sh'!$BW:$BW,"Pending")</f>
        <v>0</v>
      </c>
      <c r="D182" s="114">
        <f>+COUNTIFS('LOI and Commissioning Master Sh'!$G:$G,Summary!D$160,'LOI and Commissioning Master Sh'!$H:$H,"A",'LOI and Commissioning Master Sh'!$CD:$CD,"Yes",'LOI and Commissioning Master Sh'!$BG:$BG,"Yes",'LOI and Commissioning Master Sh'!$CD:$CD,"Yes",'LOI and Commissioning Master Sh'!$BW:$BW,"Pending")</f>
        <v>0</v>
      </c>
      <c r="E182" s="114">
        <f>+COUNTIFS('LOI and Commissioning Master Sh'!$G:$G,Summary!E$160,'LOI and Commissioning Master Sh'!$H:$H,"A",'LOI and Commissioning Master Sh'!$CD:$CD,"Yes",'LOI and Commissioning Master Sh'!$BG:$BG,"Yes",'LOI and Commissioning Master Sh'!$CD:$CD,"Yes",'LOI and Commissioning Master Sh'!$BW:$BW,"Pending")</f>
        <v>0</v>
      </c>
      <c r="F182" s="114">
        <f>+COUNTIFS('LOI and Commissioning Master Sh'!$G:$G,Summary!F$160,'LOI and Commissioning Master Sh'!$H:$H,"A",'LOI and Commissioning Master Sh'!$CD:$CD,"Yes",'LOI and Commissioning Master Sh'!$BG:$BG,"Yes",'LOI and Commissioning Master Sh'!$CD:$CD,"Yes",'LOI and Commissioning Master Sh'!$BW:$BW,"Pending")</f>
        <v>0</v>
      </c>
      <c r="G182" s="114">
        <f>+SUM(B182:F182)</f>
        <v>0</v>
      </c>
      <c r="H182" s="115"/>
      <c r="I182" s="118" t="s">
        <v>1407</v>
      </c>
      <c r="J182" s="114">
        <f>+COUNTIFS('LOI and Commissioning Master Sh'!$G:$G,Summary!J$160,'LOI and Commissioning Master Sh'!$H:$H,"A",'LOI and Commissioning Master Sh'!$X:$X,"Yes",'LOI and Commissioning Master Sh'!$BG:$BG,"Received",'LOI and Commissioning Master Sh'!$BW:$BW,"Pending")</f>
        <v>3</v>
      </c>
      <c r="K182" s="114">
        <f>+COUNTIFS('LOI and Commissioning Master Sh'!$G:$G,Summary!K$160,'LOI and Commissioning Master Sh'!$H:$H,"A",'LOI and Commissioning Master Sh'!$X:$X,"Yes",'LOI and Commissioning Master Sh'!$BG:$BG,"Received",'LOI and Commissioning Master Sh'!$BW:$BW,"Pending")</f>
        <v>0</v>
      </c>
      <c r="L182" s="114">
        <f>+COUNTIFS('LOI and Commissioning Master Sh'!$G:$G,Summary!L$160,'LOI and Commissioning Master Sh'!$H:$H,"A",'LOI and Commissioning Master Sh'!$X:$X,"Yes",'LOI and Commissioning Master Sh'!$BG:$BG,"Received",'LOI and Commissioning Master Sh'!$BW:$BW,"Pending")</f>
        <v>9</v>
      </c>
      <c r="M182" s="114">
        <f>+COUNTIFS('LOI and Commissioning Master Sh'!$G:$G,Summary!M$160,'LOI and Commissioning Master Sh'!$H:$H,"A",'LOI and Commissioning Master Sh'!$X:$X,"Yes",'LOI and Commissioning Master Sh'!$BG:$BG,"Received",'LOI and Commissioning Master Sh'!$BW:$BW,"Pending")</f>
        <v>4</v>
      </c>
      <c r="N182" s="114">
        <f>+COUNTIFS('LOI and Commissioning Master Sh'!$G:$G,Summary!N$160,'LOI and Commissioning Master Sh'!$H:$H,"A",'LOI and Commissioning Master Sh'!$X:$X,"Yes",'LOI and Commissioning Master Sh'!$BG:$BG,"Received",'LOI and Commissioning Master Sh'!$BW:$BW,"Pending")</f>
        <v>1</v>
      </c>
      <c r="O182" s="114">
        <f>+SUM(J182:N182)</f>
        <v>17</v>
      </c>
    </row>
    <row r="183" spans="1:15" ht="18.75" x14ac:dyDescent="0.3">
      <c r="A183" s="118" t="s">
        <v>1408</v>
      </c>
      <c r="B183" s="114">
        <f>+COUNTIFS('LOI and Commissioning Master Sh'!$G:$G,Summary!B$160,'LOI and Commissioning Master Sh'!$H:$H,"B",'LOI and Commissioning Master Sh'!$CD:$CD,"Yes",'LOI and Commissioning Master Sh'!$BG:$BG,"Yes",'LOI and Commissioning Master Sh'!$CD:$CD,"Yes",'LOI and Commissioning Master Sh'!$BW:$BW,"Pending")</f>
        <v>0</v>
      </c>
      <c r="C183" s="114">
        <f>+COUNTIFS('LOI and Commissioning Master Sh'!$G:$G,Summary!C$160,'LOI and Commissioning Master Sh'!$H:$H,"B",'LOI and Commissioning Master Sh'!$CD:$CD,"Yes",'LOI and Commissioning Master Sh'!$BG:$BG,"Yes",'LOI and Commissioning Master Sh'!$CD:$CD,"Yes",'LOI and Commissioning Master Sh'!$BW:$BW,"Pending")</f>
        <v>0</v>
      </c>
      <c r="D183" s="114">
        <f>+COUNTIFS('LOI and Commissioning Master Sh'!$G:$G,Summary!D$160,'LOI and Commissioning Master Sh'!$H:$H,"B",'LOI and Commissioning Master Sh'!$CD:$CD,"Yes",'LOI and Commissioning Master Sh'!$BG:$BG,"Yes",'LOI and Commissioning Master Sh'!$CD:$CD,"Yes",'LOI and Commissioning Master Sh'!$BW:$BW,"Pending")</f>
        <v>0</v>
      </c>
      <c r="E183" s="114">
        <f>+COUNTIFS('LOI and Commissioning Master Sh'!$G:$G,Summary!E$160,'LOI and Commissioning Master Sh'!$H:$H,"B",'LOI and Commissioning Master Sh'!$CD:$CD,"Yes",'LOI and Commissioning Master Sh'!$BG:$BG,"Yes",'LOI and Commissioning Master Sh'!$CD:$CD,"Yes",'LOI and Commissioning Master Sh'!$BW:$BW,"Pending")</f>
        <v>0</v>
      </c>
      <c r="F183" s="114">
        <f>+COUNTIFS('LOI and Commissioning Master Sh'!$G:$G,Summary!F$160,'LOI and Commissioning Master Sh'!$H:$H,"B",'LOI and Commissioning Master Sh'!$CD:$CD,"Yes",'LOI and Commissioning Master Sh'!$BG:$BG,"Yes",'LOI and Commissioning Master Sh'!$CD:$CD,"Yes",'LOI and Commissioning Master Sh'!$BW:$BW,"Pending")</f>
        <v>0</v>
      </c>
      <c r="G183" s="114">
        <f>+SUM(B183:F183)</f>
        <v>0</v>
      </c>
      <c r="H183" s="115"/>
      <c r="I183" s="118" t="s">
        <v>1408</v>
      </c>
      <c r="J183" s="114">
        <f>+COUNTIFS('LOI and Commissioning Master Sh'!$G:$G,Summary!J$160,'LOI and Commissioning Master Sh'!$H:$H,"A",'LOI and Commissioning Master Sh'!$X:$X,"Yes",'LOI and Commissioning Master Sh'!$BG:$BG,"Received",'LOI and Commissioning Master Sh'!$BW:$BW,"Pending")</f>
        <v>3</v>
      </c>
      <c r="K183" s="114">
        <f>+COUNTIFS('LOI and Commissioning Master Sh'!$G:$G,Summary!K$160,'LOI and Commissioning Master Sh'!$H:$H,"A",'LOI and Commissioning Master Sh'!$X:$X,"Yes",'LOI and Commissioning Master Sh'!$BG:$BG,"Received",'LOI and Commissioning Master Sh'!$BW:$BW,"Pending")</f>
        <v>0</v>
      </c>
      <c r="L183" s="114">
        <f>+COUNTIFS('LOI and Commissioning Master Sh'!$G:$G,Summary!L$160,'LOI and Commissioning Master Sh'!$H:$H,"A",'LOI and Commissioning Master Sh'!$X:$X,"Yes",'LOI and Commissioning Master Sh'!$BG:$BG,"Received",'LOI and Commissioning Master Sh'!$BW:$BW,"Pending")</f>
        <v>9</v>
      </c>
      <c r="M183" s="114">
        <f>+COUNTIFS('LOI and Commissioning Master Sh'!$G:$G,Summary!M$160,'LOI and Commissioning Master Sh'!$H:$H,"A",'LOI and Commissioning Master Sh'!$X:$X,"Yes",'LOI and Commissioning Master Sh'!$BG:$BG,"Received",'LOI and Commissioning Master Sh'!$BW:$BW,"Pending")</f>
        <v>4</v>
      </c>
      <c r="N183" s="114">
        <f>+COUNTIFS('LOI and Commissioning Master Sh'!$G:$G,Summary!N$160,'LOI and Commissioning Master Sh'!$H:$H,"A",'LOI and Commissioning Master Sh'!$X:$X,"Yes",'LOI and Commissioning Master Sh'!$BG:$BG,"Received",'LOI and Commissioning Master Sh'!$BW:$BW,"Pending")</f>
        <v>1</v>
      </c>
      <c r="O183" s="114">
        <f>+SUM(J183:N183)</f>
        <v>17</v>
      </c>
    </row>
    <row r="184" spans="1:15" ht="18.75" x14ac:dyDescent="0.3">
      <c r="A184" s="116"/>
      <c r="B184" s="114"/>
      <c r="C184" s="114"/>
      <c r="D184" s="114"/>
      <c r="E184" s="114"/>
      <c r="F184" s="114"/>
      <c r="G184" s="114"/>
      <c r="H184" s="115"/>
      <c r="I184" s="116"/>
      <c r="J184" s="114"/>
      <c r="K184" s="114"/>
      <c r="L184" s="114"/>
      <c r="M184" s="114"/>
      <c r="N184" s="114"/>
      <c r="O184" s="114"/>
    </row>
    <row r="185" spans="1:15" ht="18.75" x14ac:dyDescent="0.3">
      <c r="A185" s="116" t="s">
        <v>47</v>
      </c>
      <c r="B185" s="114">
        <f>+SUM(B186:B187)</f>
        <v>1</v>
      </c>
      <c r="C185" s="114">
        <f t="shared" ref="C185" si="194">+SUM(C186:C187)</f>
        <v>0</v>
      </c>
      <c r="D185" s="114">
        <f t="shared" ref="D185" si="195">+SUM(D186:D187)</f>
        <v>11</v>
      </c>
      <c r="E185" s="114">
        <f t="shared" ref="E185" si="196">+SUM(E186:E187)</f>
        <v>5</v>
      </c>
      <c r="F185" s="114">
        <f t="shared" ref="F185" si="197">+SUM(F186:F187)</f>
        <v>1</v>
      </c>
      <c r="G185" s="114">
        <f>+SUM(B185:F185)</f>
        <v>18</v>
      </c>
      <c r="H185" s="115"/>
      <c r="I185" s="116" t="s">
        <v>47</v>
      </c>
      <c r="J185" s="114">
        <f>+SUM(J186:J187)</f>
        <v>2</v>
      </c>
      <c r="K185" s="114">
        <f t="shared" ref="K185" si="198">+SUM(K186:K187)</f>
        <v>0</v>
      </c>
      <c r="L185" s="114">
        <f t="shared" ref="L185" si="199">+SUM(L186:L187)</f>
        <v>13</v>
      </c>
      <c r="M185" s="114">
        <f t="shared" ref="M185" si="200">+SUM(M186:M187)</f>
        <v>5</v>
      </c>
      <c r="N185" s="114">
        <f t="shared" ref="N185" si="201">+SUM(N186:N187)</f>
        <v>2</v>
      </c>
      <c r="O185" s="114">
        <f>+SUM(J185:N185)</f>
        <v>22</v>
      </c>
    </row>
    <row r="186" spans="1:15" ht="18.75" x14ac:dyDescent="0.3">
      <c r="A186" s="118" t="s">
        <v>1407</v>
      </c>
      <c r="B186" s="114">
        <f>+COUNTIFS('LOI and Commissioning Master Sh'!$G:$G,Summary!B$160,'LOI and Commissioning Master Sh'!$H:$H,"A",'LOI and Commissioning Master Sh'!$CD:$CD,"Yes",'LOI and Commissioning Master Sh'!$AO:$AO,"Approved",'LOI and Commissioning Master Sh'!$CD:$CD,"Yes",'LOI and Commissioning Master Sh'!$BW:$BW,"Pending")</f>
        <v>1</v>
      </c>
      <c r="C186" s="114">
        <f>+COUNTIFS('LOI and Commissioning Master Sh'!$G:$G,Summary!C$160,'LOI and Commissioning Master Sh'!$H:$H,"A",'LOI and Commissioning Master Sh'!$CD:$CD,"Yes",'LOI and Commissioning Master Sh'!$AO:$AO,"Approved",'LOI and Commissioning Master Sh'!$CD:$CD,"Yes",'LOI and Commissioning Master Sh'!$BW:$BW,"Pending")</f>
        <v>0</v>
      </c>
      <c r="D186" s="114">
        <f>+COUNTIFS('LOI and Commissioning Master Sh'!$G:$G,Summary!D$160,'LOI and Commissioning Master Sh'!$H:$H,"A",'LOI and Commissioning Master Sh'!$CD:$CD,"Yes",'LOI and Commissioning Master Sh'!$AO:$AO,"Approved",'LOI and Commissioning Master Sh'!$CD:$CD,"Yes",'LOI and Commissioning Master Sh'!$BW:$BW,"Pending")</f>
        <v>4</v>
      </c>
      <c r="E186" s="114">
        <f>+COUNTIFS('LOI and Commissioning Master Sh'!$G:$G,Summary!E$160,'LOI and Commissioning Master Sh'!$H:$H,"A",'LOI and Commissioning Master Sh'!$CD:$CD,"Yes",'LOI and Commissioning Master Sh'!$AO:$AO,"Approved",'LOI and Commissioning Master Sh'!$CD:$CD,"Yes",'LOI and Commissioning Master Sh'!$BW:$BW,"Pending")</f>
        <v>1</v>
      </c>
      <c r="F186" s="114">
        <f>+COUNTIFS('LOI and Commissioning Master Sh'!$G:$G,Summary!F$160,'LOI and Commissioning Master Sh'!$H:$H,"A",'LOI and Commissioning Master Sh'!$CD:$CD,"Yes",'LOI and Commissioning Master Sh'!$AO:$AO,"Approved",'LOI and Commissioning Master Sh'!$CD:$CD,"Yes",'LOI and Commissioning Master Sh'!$BW:$BW,"Pending")</f>
        <v>0</v>
      </c>
      <c r="G186" s="114">
        <f>+SUM(B186:F186)</f>
        <v>6</v>
      </c>
      <c r="H186" s="115"/>
      <c r="I186" s="118" t="s">
        <v>1407</v>
      </c>
      <c r="J186" s="114">
        <f>+COUNTIFS('LOI and Commissioning Master Sh'!$G:$G,Summary!J$160,'LOI and Commissioning Master Sh'!$H:$H,"A",'LOI and Commissioning Master Sh'!$X:$X,"Yes",'LOI and Commissioning Master Sh'!$BW:$BW,"Pending",'LOI and Commissioning Master Sh'!$AO:$AO,"Approved")</f>
        <v>1</v>
      </c>
      <c r="K186" s="114">
        <f>+COUNTIFS('LOI and Commissioning Master Sh'!$G:$G,Summary!K$160,'LOI and Commissioning Master Sh'!$H:$H,"A",'LOI and Commissioning Master Sh'!$X:$X,"Yes",'LOI and Commissioning Master Sh'!$BW:$BW,"Pending",'LOI and Commissioning Master Sh'!$AO:$AO,"Approved")</f>
        <v>0</v>
      </c>
      <c r="L186" s="114">
        <f>+COUNTIFS('LOI and Commissioning Master Sh'!$G:$G,Summary!L$160,'LOI and Commissioning Master Sh'!$H:$H,"A",'LOI and Commissioning Master Sh'!$X:$X,"Yes",'LOI and Commissioning Master Sh'!$BW:$BW,"Pending",'LOI and Commissioning Master Sh'!$AO:$AO,"Approved")</f>
        <v>4</v>
      </c>
      <c r="M186" s="114">
        <f>+COUNTIFS('LOI and Commissioning Master Sh'!$G:$G,Summary!M$160,'LOI and Commissioning Master Sh'!$H:$H,"A",'LOI and Commissioning Master Sh'!$X:$X,"Yes",'LOI and Commissioning Master Sh'!$BW:$BW,"Pending",'LOI and Commissioning Master Sh'!$AO:$AO,"Approved")</f>
        <v>1</v>
      </c>
      <c r="N186" s="114">
        <f>+COUNTIFS('LOI and Commissioning Master Sh'!$G:$G,Summary!N$160,'LOI and Commissioning Master Sh'!$H:$H,"A",'LOI and Commissioning Master Sh'!$X:$X,"Yes",'LOI and Commissioning Master Sh'!$BW:$BW,"Pending",'LOI and Commissioning Master Sh'!$AO:$AO,"Approved")</f>
        <v>1</v>
      </c>
      <c r="O186" s="114">
        <f>+SUM(J186:N186)</f>
        <v>7</v>
      </c>
    </row>
    <row r="187" spans="1:15" ht="18.75" x14ac:dyDescent="0.3">
      <c r="A187" s="118" t="s">
        <v>1408</v>
      </c>
      <c r="B187" s="114">
        <f>+COUNTIFS('LOI and Commissioning Master Sh'!$G:$G,Summary!B$160,'LOI and Commissioning Master Sh'!$H:$H,"B",'LOI and Commissioning Master Sh'!$CD:$CD,"Yes",'LOI and Commissioning Master Sh'!$AO:$AO,"Approved",'LOI and Commissioning Master Sh'!$CD:$CD,"Yes",'LOI and Commissioning Master Sh'!$BW:$BW,"Pending")</f>
        <v>0</v>
      </c>
      <c r="C187" s="114">
        <f>+COUNTIFS('LOI and Commissioning Master Sh'!$G:$G,Summary!C$160,'LOI and Commissioning Master Sh'!$H:$H,"B",'LOI and Commissioning Master Sh'!$CD:$CD,"Yes",'LOI and Commissioning Master Sh'!$AO:$AO,"Approved",'LOI and Commissioning Master Sh'!$CD:$CD,"Yes",'LOI and Commissioning Master Sh'!$BW:$BW,"Pending")</f>
        <v>0</v>
      </c>
      <c r="D187" s="114">
        <f>+COUNTIFS('LOI and Commissioning Master Sh'!$G:$G,Summary!D$160,'LOI and Commissioning Master Sh'!$H:$H,"B",'LOI and Commissioning Master Sh'!$CD:$CD,"Yes",'LOI and Commissioning Master Sh'!$AO:$AO,"Approved",'LOI and Commissioning Master Sh'!$CD:$CD,"Yes",'LOI and Commissioning Master Sh'!$BW:$BW,"Pending")</f>
        <v>7</v>
      </c>
      <c r="E187" s="114">
        <f>+COUNTIFS('LOI and Commissioning Master Sh'!$G:$G,Summary!E$160,'LOI and Commissioning Master Sh'!$H:$H,"B",'LOI and Commissioning Master Sh'!$CD:$CD,"Yes",'LOI and Commissioning Master Sh'!$AO:$AO,"Approved",'LOI and Commissioning Master Sh'!$CD:$CD,"Yes",'LOI and Commissioning Master Sh'!$BW:$BW,"Pending")</f>
        <v>4</v>
      </c>
      <c r="F187" s="114">
        <f>+COUNTIFS('LOI and Commissioning Master Sh'!$G:$G,Summary!F$160,'LOI and Commissioning Master Sh'!$H:$H,"B",'LOI and Commissioning Master Sh'!$CD:$CD,"Yes",'LOI and Commissioning Master Sh'!$AO:$AO,"Approved",'LOI and Commissioning Master Sh'!$CD:$CD,"Yes",'LOI and Commissioning Master Sh'!$BW:$BW,"Pending")</f>
        <v>1</v>
      </c>
      <c r="G187" s="114">
        <f>+SUM(B187:F187)</f>
        <v>12</v>
      </c>
      <c r="H187" s="115"/>
      <c r="I187" s="118" t="s">
        <v>1408</v>
      </c>
      <c r="J187" s="114">
        <f>+COUNTIFS('LOI and Commissioning Master Sh'!$G:$G,Summary!J$160,'LOI and Commissioning Master Sh'!$H:$H,"B",'LOI and Commissioning Master Sh'!$X:$X,"Yes",'LOI and Commissioning Master Sh'!$BW:$BW,"Pending",'LOI and Commissioning Master Sh'!$AO:$AO,"Approved")</f>
        <v>1</v>
      </c>
      <c r="K187" s="114">
        <f>+COUNTIFS('LOI and Commissioning Master Sh'!$G:$G,Summary!K$160,'LOI and Commissioning Master Sh'!$H:$H,"B",'LOI and Commissioning Master Sh'!$X:$X,"Yes",'LOI and Commissioning Master Sh'!$BW:$BW,"Pending",'LOI and Commissioning Master Sh'!$AO:$AO,"Approved")</f>
        <v>0</v>
      </c>
      <c r="L187" s="114">
        <f>+COUNTIFS('LOI and Commissioning Master Sh'!$G:$G,Summary!L$160,'LOI and Commissioning Master Sh'!$H:$H,"B",'LOI and Commissioning Master Sh'!$X:$X,"Yes",'LOI and Commissioning Master Sh'!$BW:$BW,"Pending",'LOI and Commissioning Master Sh'!$AO:$AO,"Approved")</f>
        <v>9</v>
      </c>
      <c r="M187" s="114">
        <f>+COUNTIFS('LOI and Commissioning Master Sh'!$G:$G,Summary!M$160,'LOI and Commissioning Master Sh'!$H:$H,"B",'LOI and Commissioning Master Sh'!$X:$X,"Yes",'LOI and Commissioning Master Sh'!$BW:$BW,"Pending",'LOI and Commissioning Master Sh'!$AO:$AO,"Approved")</f>
        <v>4</v>
      </c>
      <c r="N187" s="114">
        <f>+COUNTIFS('LOI and Commissioning Master Sh'!$G:$G,Summary!N$160,'LOI and Commissioning Master Sh'!$H:$H,"B",'LOI and Commissioning Master Sh'!$X:$X,"Yes",'LOI and Commissioning Master Sh'!$BW:$BW,"Pending",'LOI and Commissioning Master Sh'!$AO:$AO,"Approved")</f>
        <v>1</v>
      </c>
      <c r="O187" s="114">
        <f>+SUM(J187:N187)</f>
        <v>15</v>
      </c>
    </row>
    <row r="188" spans="1:15" ht="18.75" x14ac:dyDescent="0.3">
      <c r="A188" s="116"/>
      <c r="B188" s="114"/>
      <c r="C188" s="114"/>
      <c r="D188" s="114"/>
      <c r="E188" s="114"/>
      <c r="F188" s="114"/>
      <c r="G188" s="114"/>
      <c r="H188" s="115"/>
      <c r="I188" s="116"/>
      <c r="J188" s="114"/>
      <c r="K188" s="114"/>
      <c r="L188" s="114"/>
      <c r="M188" s="114"/>
      <c r="N188" s="114"/>
      <c r="O188" s="114"/>
    </row>
    <row r="189" spans="1:15" ht="18.75" x14ac:dyDescent="0.3">
      <c r="A189" s="116"/>
      <c r="B189" s="114"/>
      <c r="C189" s="114"/>
      <c r="D189" s="114"/>
      <c r="E189" s="114"/>
      <c r="F189" s="114"/>
      <c r="G189" s="114"/>
      <c r="H189" s="115"/>
      <c r="I189" s="116"/>
      <c r="J189" s="114"/>
      <c r="K189" s="114"/>
      <c r="L189" s="114"/>
      <c r="M189" s="114"/>
      <c r="N189" s="114"/>
      <c r="O189" s="114"/>
    </row>
    <row r="190" spans="1:15" ht="37.5" x14ac:dyDescent="0.3">
      <c r="A190" s="116" t="s">
        <v>1414</v>
      </c>
      <c r="B190" s="114">
        <f>+SUM(B191:B192)</f>
        <v>1</v>
      </c>
      <c r="C190" s="114">
        <f t="shared" ref="C190" si="202">+SUM(C191:C192)</f>
        <v>0</v>
      </c>
      <c r="D190" s="114">
        <f t="shared" ref="D190" si="203">+SUM(D191:D192)</f>
        <v>2</v>
      </c>
      <c r="E190" s="114">
        <f t="shared" ref="E190" si="204">+SUM(E191:E192)</f>
        <v>3</v>
      </c>
      <c r="F190" s="114">
        <f t="shared" ref="F190" si="205">+SUM(F191:F192)</f>
        <v>1</v>
      </c>
      <c r="G190" s="114">
        <f>+SUM(B190:F190)</f>
        <v>7</v>
      </c>
      <c r="H190" s="115"/>
      <c r="I190" s="116" t="s">
        <v>1414</v>
      </c>
      <c r="J190" s="114">
        <f>+SUM(J191:J192)</f>
        <v>1</v>
      </c>
      <c r="K190" s="114">
        <f t="shared" ref="K190" si="206">+SUM(K191:K192)</f>
        <v>0</v>
      </c>
      <c r="L190" s="114">
        <f t="shared" ref="L190" si="207">+SUM(L191:L192)</f>
        <v>2</v>
      </c>
      <c r="M190" s="114">
        <f t="shared" ref="M190" si="208">+SUM(M191:M192)</f>
        <v>3</v>
      </c>
      <c r="N190" s="114">
        <f t="shared" ref="N190" si="209">+SUM(N191:N192)</f>
        <v>1</v>
      </c>
      <c r="O190" s="114">
        <f>+SUM(J190:N190)</f>
        <v>7</v>
      </c>
    </row>
    <row r="191" spans="1:15" ht="18.75" x14ac:dyDescent="0.3">
      <c r="A191" s="118" t="s">
        <v>1407</v>
      </c>
      <c r="B191" s="114">
        <f>+COUNTIFS('LOI and Commissioning Master Sh'!$G:$G,Summary!B$160,'LOI and Commissioning Master Sh'!$H:$H,"A",'LOI and Commissioning Master Sh'!$CD:$CD,"Yes",'LOI and Commissioning Master Sh'!$AO:$AO,"Sent",'LOI and Commissioning Master Sh'!$CD:$CD,"Yes",'LOI and Commissioning Master Sh'!$BW:$BW,"Pending")</f>
        <v>1</v>
      </c>
      <c r="C191" s="114">
        <f>+COUNTIFS('LOI and Commissioning Master Sh'!$G:$G,Summary!C$160,'LOI and Commissioning Master Sh'!$H:$H,"A",'LOI and Commissioning Master Sh'!$CD:$CD,"Yes",'LOI and Commissioning Master Sh'!$AO:$AO,"Sent",'LOI and Commissioning Master Sh'!$CD:$CD,"Yes",'LOI and Commissioning Master Sh'!$BW:$BW,"Pending")</f>
        <v>0</v>
      </c>
      <c r="D191" s="114">
        <f>+COUNTIFS('LOI and Commissioning Master Sh'!$G:$G,Summary!D$160,'LOI and Commissioning Master Sh'!$H:$H,"A",'LOI and Commissioning Master Sh'!$CD:$CD,"Yes",'LOI and Commissioning Master Sh'!$AO:$AO,"Sent",'LOI and Commissioning Master Sh'!$CD:$CD,"Yes",'LOI and Commissioning Master Sh'!$BW:$BW,"Pending")</f>
        <v>2</v>
      </c>
      <c r="E191" s="114">
        <f>+COUNTIFS('LOI and Commissioning Master Sh'!$G:$G,Summary!E$160,'LOI and Commissioning Master Sh'!$H:$H,"A",'LOI and Commissioning Master Sh'!$CD:$CD,"Yes",'LOI and Commissioning Master Sh'!$AO:$AO,"Sent",'LOI and Commissioning Master Sh'!$CD:$CD,"Yes",'LOI and Commissioning Master Sh'!$BW:$BW,"Pending")</f>
        <v>3</v>
      </c>
      <c r="F191" s="114">
        <f>+COUNTIFS('LOI and Commissioning Master Sh'!$G:$G,Summary!F$160,'LOI and Commissioning Master Sh'!$H:$H,"A",'LOI and Commissioning Master Sh'!$CD:$CD,"Yes",'LOI and Commissioning Master Sh'!$AO:$AO,"Sent",'LOI and Commissioning Master Sh'!$CD:$CD,"Yes",'LOI and Commissioning Master Sh'!$BW:$BW,"Pending")</f>
        <v>0</v>
      </c>
      <c r="G191" s="114">
        <f>+SUM(B191:F191)</f>
        <v>6</v>
      </c>
      <c r="H191" s="115"/>
      <c r="I191" s="118" t="s">
        <v>1407</v>
      </c>
      <c r="J191" s="114">
        <f>+COUNTIFS('LOI and Commissioning Master Sh'!$G:$G,Summary!J$160,'LOI and Commissioning Master Sh'!$H:$H,"A",'LOI and Commissioning Master Sh'!$X:$X,"Yes",'LOI and Commissioning Master Sh'!$BW:$BW,"Pending",'LOI and Commissioning Master Sh'!$AO:$AO,"Sent")</f>
        <v>1</v>
      </c>
      <c r="K191" s="114">
        <f>+COUNTIFS('LOI and Commissioning Master Sh'!$G:$G,Summary!K$160,'LOI and Commissioning Master Sh'!$H:$H,"A",'LOI and Commissioning Master Sh'!$X:$X,"Yes",'LOI and Commissioning Master Sh'!$BW:$BW,"Pending",'LOI and Commissioning Master Sh'!$AO:$AO,"Sent")</f>
        <v>0</v>
      </c>
      <c r="L191" s="114">
        <f>+COUNTIFS('LOI and Commissioning Master Sh'!$G:$G,Summary!L$160,'LOI and Commissioning Master Sh'!$H:$H,"A",'LOI and Commissioning Master Sh'!$X:$X,"Yes",'LOI and Commissioning Master Sh'!$BW:$BW,"Pending",'LOI and Commissioning Master Sh'!$AO:$AO,"Sent")</f>
        <v>2</v>
      </c>
      <c r="M191" s="114">
        <f>+COUNTIFS('LOI and Commissioning Master Sh'!$G:$G,Summary!M$160,'LOI and Commissioning Master Sh'!$H:$H,"A",'LOI and Commissioning Master Sh'!$X:$X,"Yes",'LOI and Commissioning Master Sh'!$BW:$BW,"Pending",'LOI and Commissioning Master Sh'!$AO:$AO,"Sent")</f>
        <v>3</v>
      </c>
      <c r="N191" s="114">
        <f>+COUNTIFS('LOI and Commissioning Master Sh'!$G:$G,Summary!N$160,'LOI and Commissioning Master Sh'!$H:$H,"A",'LOI and Commissioning Master Sh'!$X:$X,"Yes",'LOI and Commissioning Master Sh'!$BW:$BW,"Pending",'LOI and Commissioning Master Sh'!$AO:$AO,"Sent")</f>
        <v>0</v>
      </c>
      <c r="O191" s="114">
        <f>+SUM(J191:N191)</f>
        <v>6</v>
      </c>
    </row>
    <row r="192" spans="1:15" ht="18.75" x14ac:dyDescent="0.3">
      <c r="A192" s="118" t="s">
        <v>1408</v>
      </c>
      <c r="B192" s="114">
        <f>+COUNTIFS('LOI and Commissioning Master Sh'!$G:$G,Summary!B$160,'LOI and Commissioning Master Sh'!$H:$H,"B",'LOI and Commissioning Master Sh'!$CD:$CD,"Yes",'LOI and Commissioning Master Sh'!$AO:$AO,"Sent",'LOI and Commissioning Master Sh'!$CD:$CD,"Yes",'LOI and Commissioning Master Sh'!$BW:$BW,"Pending")</f>
        <v>0</v>
      </c>
      <c r="C192" s="114">
        <f>+COUNTIFS('LOI and Commissioning Master Sh'!$G:$G,Summary!C$160,'LOI and Commissioning Master Sh'!$H:$H,"B",'LOI and Commissioning Master Sh'!$CD:$CD,"Yes",'LOI and Commissioning Master Sh'!$AO:$AO,"Sent",'LOI and Commissioning Master Sh'!$CD:$CD,"Yes",'LOI and Commissioning Master Sh'!$BW:$BW,"Pending")</f>
        <v>0</v>
      </c>
      <c r="D192" s="114">
        <f>+COUNTIFS('LOI and Commissioning Master Sh'!$G:$G,Summary!D$160,'LOI and Commissioning Master Sh'!$H:$H,"B",'LOI and Commissioning Master Sh'!$CD:$CD,"Yes",'LOI and Commissioning Master Sh'!$AO:$AO,"Sent",'LOI and Commissioning Master Sh'!$CD:$CD,"Yes",'LOI and Commissioning Master Sh'!$BW:$BW,"Pending")</f>
        <v>0</v>
      </c>
      <c r="E192" s="114">
        <f>+COUNTIFS('LOI and Commissioning Master Sh'!$G:$G,Summary!E$160,'LOI and Commissioning Master Sh'!$H:$H,"B",'LOI and Commissioning Master Sh'!$CD:$CD,"Yes",'LOI and Commissioning Master Sh'!$AO:$AO,"Sent",'LOI and Commissioning Master Sh'!$CD:$CD,"Yes",'LOI and Commissioning Master Sh'!$BW:$BW,"Pending")</f>
        <v>0</v>
      </c>
      <c r="F192" s="114">
        <f>+COUNTIFS('LOI and Commissioning Master Sh'!$G:$G,Summary!F$160,'LOI and Commissioning Master Sh'!$H:$H,"B",'LOI and Commissioning Master Sh'!$CD:$CD,"Yes",'LOI and Commissioning Master Sh'!$AO:$AO,"Sent",'LOI and Commissioning Master Sh'!$CD:$CD,"Yes",'LOI and Commissioning Master Sh'!$BW:$BW,"Pending")</f>
        <v>1</v>
      </c>
      <c r="G192" s="114">
        <f>+SUM(B192:F192)</f>
        <v>1</v>
      </c>
      <c r="H192" s="115"/>
      <c r="I192" s="118" t="s">
        <v>1408</v>
      </c>
      <c r="J192" s="114">
        <f>+COUNTIFS('LOI and Commissioning Master Sh'!$G:$G,Summary!J$160,'LOI and Commissioning Master Sh'!$H:$H,"B",'LOI and Commissioning Master Sh'!$X:$X,"Yes",'LOI and Commissioning Master Sh'!$BW:$BW,"Pending",'LOI and Commissioning Master Sh'!$AO:$AO,"Sent")</f>
        <v>0</v>
      </c>
      <c r="K192" s="114">
        <f>+COUNTIFS('LOI and Commissioning Master Sh'!$G:$G,Summary!K$160,'LOI and Commissioning Master Sh'!$H:$H,"B",'LOI and Commissioning Master Sh'!$X:$X,"Yes",'LOI and Commissioning Master Sh'!$BW:$BW,"Pending",'LOI and Commissioning Master Sh'!$AO:$AO,"Sent")</f>
        <v>0</v>
      </c>
      <c r="L192" s="114">
        <f>+COUNTIFS('LOI and Commissioning Master Sh'!$G:$G,Summary!L$160,'LOI and Commissioning Master Sh'!$H:$H,"B",'LOI and Commissioning Master Sh'!$X:$X,"Yes",'LOI and Commissioning Master Sh'!$BW:$BW,"Pending",'LOI and Commissioning Master Sh'!$AO:$AO,"Sent")</f>
        <v>0</v>
      </c>
      <c r="M192" s="114">
        <f>+COUNTIFS('LOI and Commissioning Master Sh'!$G:$G,Summary!M$160,'LOI and Commissioning Master Sh'!$H:$H,"B",'LOI and Commissioning Master Sh'!$X:$X,"Yes",'LOI and Commissioning Master Sh'!$BW:$BW,"Pending",'LOI and Commissioning Master Sh'!$AO:$AO,"Sent")</f>
        <v>0</v>
      </c>
      <c r="N192" s="114">
        <f>+COUNTIFS('LOI and Commissioning Master Sh'!$G:$G,Summary!N$160,'LOI and Commissioning Master Sh'!$H:$H,"B",'LOI and Commissioning Master Sh'!$X:$X,"Yes",'LOI and Commissioning Master Sh'!$BW:$BW,"Pending",'LOI and Commissioning Master Sh'!$AO:$AO,"Sent")</f>
        <v>1</v>
      </c>
      <c r="O192" s="114">
        <f>+SUM(J192:N192)</f>
        <v>1</v>
      </c>
    </row>
    <row r="193" spans="1:15" ht="18.75" x14ac:dyDescent="0.3">
      <c r="A193" s="116"/>
      <c r="B193" s="114"/>
      <c r="C193" s="114"/>
      <c r="D193" s="114"/>
      <c r="E193" s="114"/>
      <c r="F193" s="114"/>
      <c r="G193" s="114"/>
      <c r="H193" s="115"/>
      <c r="I193" s="116"/>
      <c r="J193" s="114"/>
      <c r="K193" s="114"/>
      <c r="L193" s="114"/>
      <c r="M193" s="114"/>
      <c r="N193" s="114"/>
      <c r="O193" s="114"/>
    </row>
    <row r="194" spans="1:15" ht="37.5" x14ac:dyDescent="0.3">
      <c r="A194" s="116" t="s">
        <v>1415</v>
      </c>
      <c r="B194" s="114">
        <f>+SUM(B195:B196)</f>
        <v>2</v>
      </c>
      <c r="C194" s="114">
        <f t="shared" ref="C194" si="210">+SUM(C195:C196)</f>
        <v>0</v>
      </c>
      <c r="D194" s="114">
        <f t="shared" ref="D194" si="211">+SUM(D195:D196)</f>
        <v>4</v>
      </c>
      <c r="E194" s="114">
        <f t="shared" ref="E194" si="212">+SUM(E195:E196)</f>
        <v>1</v>
      </c>
      <c r="F194" s="114">
        <f t="shared" ref="F194" si="213">+SUM(F195:F196)</f>
        <v>0</v>
      </c>
      <c r="G194" s="114">
        <f>+SUM(B194:F194)</f>
        <v>7</v>
      </c>
      <c r="H194" s="115"/>
      <c r="I194" s="116" t="s">
        <v>1415</v>
      </c>
      <c r="J194" s="114">
        <f>+SUM(J195:J196)</f>
        <v>2</v>
      </c>
      <c r="K194" s="114">
        <f t="shared" ref="K194" si="214">+SUM(K195:K196)</f>
        <v>0</v>
      </c>
      <c r="L194" s="114">
        <f t="shared" ref="L194" si="215">+SUM(L195:L196)</f>
        <v>4</v>
      </c>
      <c r="M194" s="114">
        <f t="shared" ref="M194" si="216">+SUM(M195:M196)</f>
        <v>1</v>
      </c>
      <c r="N194" s="114">
        <f t="shared" ref="N194" si="217">+SUM(N195:N196)</f>
        <v>0</v>
      </c>
      <c r="O194" s="114">
        <f>+SUM(J194:N194)</f>
        <v>7</v>
      </c>
    </row>
    <row r="195" spans="1:15" ht="18.75" x14ac:dyDescent="0.3">
      <c r="A195" s="118" t="s">
        <v>1407</v>
      </c>
      <c r="B195" s="114">
        <f>+COUNTIFS('LOI and Commissioning Master Sh'!$G:$G,Summary!B$160,'LOI and Commissioning Master Sh'!$H:$H,"A",'LOI and Commissioning Master Sh'!$CD:$CD,"Yes",'LOI and Commissioning Master Sh'!$BN:$BN,"Yes",'LOI and Commissioning Master Sh'!$CD:$CD,"Yes",'LOI and Commissioning Master Sh'!$BW:$BW,"Pending")</f>
        <v>2</v>
      </c>
      <c r="C195" s="114">
        <f>+COUNTIFS('LOI and Commissioning Master Sh'!$G:$G,Summary!C$160,'LOI and Commissioning Master Sh'!$H:$H,"A",'LOI and Commissioning Master Sh'!$CD:$CD,"Yes",'LOI and Commissioning Master Sh'!$BN:$BN,"Yes",'LOI and Commissioning Master Sh'!$CD:$CD,"Yes",'LOI and Commissioning Master Sh'!$BW:$BW,"Pending")</f>
        <v>0</v>
      </c>
      <c r="D195" s="114">
        <f>+COUNTIFS('LOI and Commissioning Master Sh'!$G:$G,Summary!D$160,'LOI and Commissioning Master Sh'!$H:$H,"A",'LOI and Commissioning Master Sh'!$CD:$CD,"Yes",'LOI and Commissioning Master Sh'!$BN:$BN,"Yes",'LOI and Commissioning Master Sh'!$CD:$CD,"Yes",'LOI and Commissioning Master Sh'!$BW:$BW,"Pending")</f>
        <v>4</v>
      </c>
      <c r="E195" s="114">
        <f>+COUNTIFS('LOI and Commissioning Master Sh'!$G:$G,Summary!E$160,'LOI and Commissioning Master Sh'!$H:$H,"A",'LOI and Commissioning Master Sh'!$CD:$CD,"Yes",'LOI and Commissioning Master Sh'!$BN:$BN,"Yes",'LOI and Commissioning Master Sh'!$CD:$CD,"Yes",'LOI and Commissioning Master Sh'!$BW:$BW,"Pending")</f>
        <v>1</v>
      </c>
      <c r="F195" s="114">
        <f>+COUNTIFS('LOI and Commissioning Master Sh'!$G:$G,Summary!F$160,'LOI and Commissioning Master Sh'!$H:$H,"A",'LOI and Commissioning Master Sh'!$CD:$CD,"Yes",'LOI and Commissioning Master Sh'!$BN:$BN,"Yes",'LOI and Commissioning Master Sh'!$CD:$CD,"Yes",'LOI and Commissioning Master Sh'!$BW:$BW,"Pending")</f>
        <v>0</v>
      </c>
      <c r="G195" s="114">
        <f>+SUM(B195:F195)</f>
        <v>7</v>
      </c>
      <c r="H195" s="115"/>
      <c r="I195" s="118" t="s">
        <v>1407</v>
      </c>
      <c r="J195" s="114">
        <f>+COUNTIFS('LOI and Commissioning Master Sh'!$G:$G,Summary!J$160,'LOI and Commissioning Master Sh'!$H:$H,"A",'LOI and Commissioning Master Sh'!$X:$X,"Yes",'LOI and Commissioning Master Sh'!$BN:$BN,"Yes",'LOI and Commissioning Master Sh'!$X:$X,"Yes",'LOI and Commissioning Master Sh'!$BW:$BW,"Pending")</f>
        <v>2</v>
      </c>
      <c r="K195" s="114">
        <f>+COUNTIFS('LOI and Commissioning Master Sh'!$G:$G,Summary!K$160,'LOI and Commissioning Master Sh'!$H:$H,"A",'LOI and Commissioning Master Sh'!$X:$X,"Yes",'LOI and Commissioning Master Sh'!$BN:$BN,"Yes",'LOI and Commissioning Master Sh'!$X:$X,"Yes",'LOI and Commissioning Master Sh'!$BW:$BW,"Pending")</f>
        <v>0</v>
      </c>
      <c r="L195" s="114">
        <f>+COUNTIFS('LOI and Commissioning Master Sh'!$G:$G,Summary!L$160,'LOI and Commissioning Master Sh'!$H:$H,"A",'LOI and Commissioning Master Sh'!$X:$X,"Yes",'LOI and Commissioning Master Sh'!$BN:$BN,"Yes",'LOI and Commissioning Master Sh'!$X:$X,"Yes",'LOI and Commissioning Master Sh'!$BW:$BW,"Pending")</f>
        <v>4</v>
      </c>
      <c r="M195" s="114">
        <f>+COUNTIFS('LOI and Commissioning Master Sh'!$G:$G,Summary!M$160,'LOI and Commissioning Master Sh'!$H:$H,"A",'LOI and Commissioning Master Sh'!$X:$X,"Yes",'LOI and Commissioning Master Sh'!$BN:$BN,"Yes",'LOI and Commissioning Master Sh'!$X:$X,"Yes",'LOI and Commissioning Master Sh'!$BW:$BW,"Pending")</f>
        <v>1</v>
      </c>
      <c r="N195" s="114">
        <f>+COUNTIFS('LOI and Commissioning Master Sh'!$G:$G,Summary!N$160,'LOI and Commissioning Master Sh'!$H:$H,"A",'LOI and Commissioning Master Sh'!$X:$X,"Yes",'LOI and Commissioning Master Sh'!$BN:$BN,"Yes",'LOI and Commissioning Master Sh'!$X:$X,"Yes",'LOI and Commissioning Master Sh'!$BW:$BW,"Pending")</f>
        <v>0</v>
      </c>
      <c r="O195" s="114">
        <f>+SUM(J195:N195)</f>
        <v>7</v>
      </c>
    </row>
    <row r="196" spans="1:15" ht="18.75" x14ac:dyDescent="0.3">
      <c r="A196" s="118" t="s">
        <v>1408</v>
      </c>
      <c r="B196" s="114">
        <f>+COUNTIFS('LOI and Commissioning Master Sh'!$G:$G,Summary!B$160,'LOI and Commissioning Master Sh'!$H:$H,"B",'LOI and Commissioning Master Sh'!$CD:$CD,"Yes",'LOI and Commissioning Master Sh'!$BN:$BN,"Yes",'LOI and Commissioning Master Sh'!$CD:$CD,"Yes",'LOI and Commissioning Master Sh'!$BW:$BW,"Pending")</f>
        <v>0</v>
      </c>
      <c r="C196" s="114">
        <f>+COUNTIFS('LOI and Commissioning Master Sh'!$G:$G,Summary!C$160,'LOI and Commissioning Master Sh'!$H:$H,"B",'LOI and Commissioning Master Sh'!$CD:$CD,"Yes",'LOI and Commissioning Master Sh'!$BN:$BN,"Yes",'LOI and Commissioning Master Sh'!$CD:$CD,"Yes",'LOI and Commissioning Master Sh'!$BW:$BW,"Pending")</f>
        <v>0</v>
      </c>
      <c r="D196" s="114">
        <f>+COUNTIFS('LOI and Commissioning Master Sh'!$G:$G,Summary!D$160,'LOI and Commissioning Master Sh'!$H:$H,"B",'LOI and Commissioning Master Sh'!$CD:$CD,"Yes",'LOI and Commissioning Master Sh'!$BN:$BN,"Yes",'LOI and Commissioning Master Sh'!$CD:$CD,"Yes",'LOI and Commissioning Master Sh'!$BW:$BW,"Pending")</f>
        <v>0</v>
      </c>
      <c r="E196" s="114">
        <f>+COUNTIFS('LOI and Commissioning Master Sh'!$G:$G,Summary!E$160,'LOI and Commissioning Master Sh'!$H:$H,"B",'LOI and Commissioning Master Sh'!$CD:$CD,"Yes",'LOI and Commissioning Master Sh'!$BN:$BN,"Yes",'LOI and Commissioning Master Sh'!$CD:$CD,"Yes",'LOI and Commissioning Master Sh'!$BW:$BW,"Pending")</f>
        <v>0</v>
      </c>
      <c r="F196" s="114">
        <f>+COUNTIFS('LOI and Commissioning Master Sh'!$G:$G,Summary!F$160,'LOI and Commissioning Master Sh'!$H:$H,"B",'LOI and Commissioning Master Sh'!$CD:$CD,"Yes",'LOI and Commissioning Master Sh'!$BN:$BN,"Yes",'LOI and Commissioning Master Sh'!$CD:$CD,"Yes",'LOI and Commissioning Master Sh'!$BW:$BW,"Pending")</f>
        <v>0</v>
      </c>
      <c r="G196" s="114">
        <f>+SUM(B196:F196)</f>
        <v>0</v>
      </c>
      <c r="H196" s="115"/>
      <c r="I196" s="118" t="s">
        <v>1408</v>
      </c>
      <c r="J196" s="114">
        <f>+COUNTIFS('LOI and Commissioning Master Sh'!$G:$G,Summary!J$160,'LOI and Commissioning Master Sh'!$H:$H,"B",'LOI and Commissioning Master Sh'!$X:$X,"Yes",'LOI and Commissioning Master Sh'!$BN:$BN,"Yes",'LOI and Commissioning Master Sh'!$X:$X,"Yes",'LOI and Commissioning Master Sh'!$BW:$BW,"Pending")</f>
        <v>0</v>
      </c>
      <c r="K196" s="114">
        <f>+COUNTIFS('LOI and Commissioning Master Sh'!$G:$G,Summary!K$160,'LOI and Commissioning Master Sh'!$H:$H,"B",'LOI and Commissioning Master Sh'!$X:$X,"Yes",'LOI and Commissioning Master Sh'!$BN:$BN,"Yes",'LOI and Commissioning Master Sh'!$X:$X,"Yes",'LOI and Commissioning Master Sh'!$BW:$BW,"Pending")</f>
        <v>0</v>
      </c>
      <c r="L196" s="114">
        <f>+COUNTIFS('LOI and Commissioning Master Sh'!$G:$G,Summary!L$160,'LOI and Commissioning Master Sh'!$H:$H,"B",'LOI and Commissioning Master Sh'!$X:$X,"Yes",'LOI and Commissioning Master Sh'!$BN:$BN,"Yes",'LOI and Commissioning Master Sh'!$X:$X,"Yes",'LOI and Commissioning Master Sh'!$BW:$BW,"Pending")</f>
        <v>0</v>
      </c>
      <c r="M196" s="114">
        <f>+COUNTIFS('LOI and Commissioning Master Sh'!$G:$G,Summary!M$160,'LOI and Commissioning Master Sh'!$H:$H,"B",'LOI and Commissioning Master Sh'!$X:$X,"Yes",'LOI and Commissioning Master Sh'!$BN:$BN,"Yes",'LOI and Commissioning Master Sh'!$X:$X,"Yes",'LOI and Commissioning Master Sh'!$BW:$BW,"Pending")</f>
        <v>0</v>
      </c>
      <c r="N196" s="114">
        <f>+COUNTIFS('LOI and Commissioning Master Sh'!$G:$G,Summary!N$160,'LOI and Commissioning Master Sh'!$H:$H,"B",'LOI and Commissioning Master Sh'!$X:$X,"Yes",'LOI and Commissioning Master Sh'!$BN:$BN,"Yes",'LOI and Commissioning Master Sh'!$X:$X,"Yes",'LOI and Commissioning Master Sh'!$BW:$BW,"Pending")</f>
        <v>0</v>
      </c>
      <c r="O196" s="114">
        <f>+SUM(J196:N196)</f>
        <v>0</v>
      </c>
    </row>
    <row r="197" spans="1:15" ht="18.75" x14ac:dyDescent="0.3">
      <c r="A197" s="116"/>
      <c r="B197" s="114"/>
      <c r="C197" s="114"/>
      <c r="D197" s="114"/>
      <c r="E197" s="114"/>
      <c r="F197" s="114"/>
      <c r="G197" s="114"/>
      <c r="H197" s="115"/>
      <c r="I197" s="116"/>
      <c r="J197" s="114"/>
      <c r="K197" s="114"/>
      <c r="L197" s="114"/>
      <c r="M197" s="114"/>
      <c r="N197" s="114"/>
      <c r="O197" s="114"/>
    </row>
    <row r="198" spans="1:15" ht="37.5" x14ac:dyDescent="0.3">
      <c r="A198" s="116" t="s">
        <v>1416</v>
      </c>
      <c r="B198" s="114">
        <f>+SUM(B199:B200)</f>
        <v>0</v>
      </c>
      <c r="C198" s="114">
        <f t="shared" ref="C198" si="218">+SUM(C199:C200)</f>
        <v>0</v>
      </c>
      <c r="D198" s="114">
        <f t="shared" ref="D198" si="219">+SUM(D199:D200)</f>
        <v>1</v>
      </c>
      <c r="E198" s="114">
        <f t="shared" ref="E198" si="220">+SUM(E199:E200)</f>
        <v>3</v>
      </c>
      <c r="F198" s="114">
        <f t="shared" ref="F198" si="221">+SUM(F199:F200)</f>
        <v>0</v>
      </c>
      <c r="G198" s="114">
        <f>+SUM(B198:F198)</f>
        <v>4</v>
      </c>
      <c r="H198" s="115"/>
      <c r="I198" s="116" t="s">
        <v>1416</v>
      </c>
      <c r="J198" s="114">
        <f>+SUM(J199:J200)</f>
        <v>0</v>
      </c>
      <c r="K198" s="114">
        <f t="shared" ref="K198" si="222">+SUM(K199:K200)</f>
        <v>0</v>
      </c>
      <c r="L198" s="114">
        <f t="shared" ref="L198" si="223">+SUM(L199:L200)</f>
        <v>1</v>
      </c>
      <c r="M198" s="114">
        <f t="shared" ref="M198" si="224">+SUM(M199:M200)</f>
        <v>3</v>
      </c>
      <c r="N198" s="114">
        <f t="shared" ref="N198" si="225">+SUM(N199:N200)</f>
        <v>0</v>
      </c>
      <c r="O198" s="114">
        <f>+SUM(J198:N198)</f>
        <v>4</v>
      </c>
    </row>
    <row r="199" spans="1:15" ht="18.75" x14ac:dyDescent="0.3">
      <c r="A199" s="118" t="s">
        <v>1407</v>
      </c>
      <c r="B199" s="114">
        <f>+COUNTIFS('LOI and Commissioning Master Sh'!$G:$G,Summary!B$160,'LOI and Commissioning Master Sh'!$H:$H,"A",'LOI and Commissioning Master Sh'!$CD:$CD,"Yes",'LOI and Commissioning Master Sh'!$AC:$AC,"Yes",'LOI and Commissioning Master Sh'!$CD:$CD,"Yes",'LOI and Commissioning Master Sh'!$BW:$BW,"Pending")</f>
        <v>0</v>
      </c>
      <c r="C199" s="114">
        <f>+COUNTIFS('LOI and Commissioning Master Sh'!$G:$G,Summary!C$160,'LOI and Commissioning Master Sh'!$H:$H,"A",'LOI and Commissioning Master Sh'!$CD:$CD,"Yes",'LOI and Commissioning Master Sh'!$AC:$AC,"Yes",'LOI and Commissioning Master Sh'!$CD:$CD,"Yes",'LOI and Commissioning Master Sh'!$BW:$BW,"Pending")</f>
        <v>0</v>
      </c>
      <c r="D199" s="114">
        <f>+COUNTIFS('LOI and Commissioning Master Sh'!$G:$G,Summary!D$160,'LOI and Commissioning Master Sh'!$H:$H,"A",'LOI and Commissioning Master Sh'!$CD:$CD,"Yes",'LOI and Commissioning Master Sh'!$AC:$AC,"Yes",'LOI and Commissioning Master Sh'!$CD:$CD,"Yes",'LOI and Commissioning Master Sh'!$BW:$BW,"Pending")</f>
        <v>1</v>
      </c>
      <c r="E199" s="114">
        <f>+COUNTIFS('LOI and Commissioning Master Sh'!$G:$G,Summary!E$160,'LOI and Commissioning Master Sh'!$H:$H,"A",'LOI and Commissioning Master Sh'!$CD:$CD,"Yes",'LOI and Commissioning Master Sh'!$AC:$AC,"Yes",'LOI and Commissioning Master Sh'!$CD:$CD,"Yes",'LOI and Commissioning Master Sh'!$BW:$BW,"Pending")</f>
        <v>2</v>
      </c>
      <c r="F199" s="114">
        <f>+COUNTIFS('LOI and Commissioning Master Sh'!$G:$G,Summary!F$160,'LOI and Commissioning Master Sh'!$H:$H,"A",'LOI and Commissioning Master Sh'!$CD:$CD,"Yes",'LOI and Commissioning Master Sh'!$AC:$AC,"Yes",'LOI and Commissioning Master Sh'!$CD:$CD,"Yes",'LOI and Commissioning Master Sh'!$BW:$BW,"Pending")</f>
        <v>0</v>
      </c>
      <c r="G199" s="114">
        <f>+SUM(B199:F199)</f>
        <v>3</v>
      </c>
      <c r="H199" s="115"/>
      <c r="I199" s="118" t="s">
        <v>1407</v>
      </c>
      <c r="J199" s="114">
        <f>+COUNTIFS('LOI and Commissioning Master Sh'!$G:$G,Summary!J$160,'LOI and Commissioning Master Sh'!$H:$H,"A",'LOI and Commissioning Master Sh'!$X:$X,"Yes",'LOI and Commissioning Master Sh'!$AC:$AC,"Yes",'LOI and Commissioning Master Sh'!$X:$X,"Yes",'LOI and Commissioning Master Sh'!$BW:$BW,"Pending")</f>
        <v>0</v>
      </c>
      <c r="K199" s="114">
        <f>+COUNTIFS('LOI and Commissioning Master Sh'!$G:$G,Summary!K$160,'LOI and Commissioning Master Sh'!$H:$H,"A",'LOI and Commissioning Master Sh'!$X:$X,"Yes",'LOI and Commissioning Master Sh'!$AC:$AC,"Yes",'LOI and Commissioning Master Sh'!$X:$X,"Yes",'LOI and Commissioning Master Sh'!$BW:$BW,"Pending")</f>
        <v>0</v>
      </c>
      <c r="L199" s="114">
        <f>+COUNTIFS('LOI and Commissioning Master Sh'!$G:$G,Summary!L$160,'LOI and Commissioning Master Sh'!$H:$H,"A",'LOI and Commissioning Master Sh'!$X:$X,"Yes",'LOI and Commissioning Master Sh'!$AC:$AC,"Yes",'LOI and Commissioning Master Sh'!$X:$X,"Yes",'LOI and Commissioning Master Sh'!$BW:$BW,"Pending")</f>
        <v>1</v>
      </c>
      <c r="M199" s="114">
        <f>+COUNTIFS('LOI and Commissioning Master Sh'!$G:$G,Summary!M$160,'LOI and Commissioning Master Sh'!$H:$H,"A",'LOI and Commissioning Master Sh'!$X:$X,"Yes",'LOI and Commissioning Master Sh'!$AC:$AC,"Yes",'LOI and Commissioning Master Sh'!$X:$X,"Yes",'LOI and Commissioning Master Sh'!$BW:$BW,"Pending")</f>
        <v>2</v>
      </c>
      <c r="N199" s="114">
        <f>+COUNTIFS('LOI and Commissioning Master Sh'!$G:$G,Summary!N$160,'LOI and Commissioning Master Sh'!$H:$H,"A",'LOI and Commissioning Master Sh'!$X:$X,"Yes",'LOI and Commissioning Master Sh'!$AC:$AC,"Yes",'LOI and Commissioning Master Sh'!$X:$X,"Yes",'LOI and Commissioning Master Sh'!$BW:$BW,"Pending")</f>
        <v>0</v>
      </c>
      <c r="O199" s="114">
        <f>+SUM(J199:N199)</f>
        <v>3</v>
      </c>
    </row>
    <row r="200" spans="1:15" ht="18.75" x14ac:dyDescent="0.3">
      <c r="A200" s="118" t="s">
        <v>1408</v>
      </c>
      <c r="B200" s="114">
        <f>+COUNTIFS('LOI and Commissioning Master Sh'!$G:$G,Summary!B$160,'LOI and Commissioning Master Sh'!$H:$H,"B",'LOI and Commissioning Master Sh'!$CD:$CD,"Yes",'LOI and Commissioning Master Sh'!$AC:$AC,"Yes",'LOI and Commissioning Master Sh'!$CD:$CD,"Yes",'LOI and Commissioning Master Sh'!$BW:$BW,"Pending")</f>
        <v>0</v>
      </c>
      <c r="C200" s="114">
        <f>+COUNTIFS('LOI and Commissioning Master Sh'!$G:$G,Summary!C$160,'LOI and Commissioning Master Sh'!$H:$H,"B",'LOI and Commissioning Master Sh'!$CD:$CD,"Yes",'LOI and Commissioning Master Sh'!$AC:$AC,"Yes",'LOI and Commissioning Master Sh'!$CD:$CD,"Yes",'LOI and Commissioning Master Sh'!$BW:$BW,"Pending")</f>
        <v>0</v>
      </c>
      <c r="D200" s="114">
        <f>+COUNTIFS('LOI and Commissioning Master Sh'!$G:$G,Summary!D$160,'LOI and Commissioning Master Sh'!$H:$H,"B",'LOI and Commissioning Master Sh'!$CD:$CD,"Yes",'LOI and Commissioning Master Sh'!$AC:$AC,"Yes",'LOI and Commissioning Master Sh'!$CD:$CD,"Yes",'LOI and Commissioning Master Sh'!$BW:$BW,"Pending")</f>
        <v>0</v>
      </c>
      <c r="E200" s="114">
        <f>+COUNTIFS('LOI and Commissioning Master Sh'!$G:$G,Summary!E$160,'LOI and Commissioning Master Sh'!$H:$H,"B",'LOI and Commissioning Master Sh'!$CD:$CD,"Yes",'LOI and Commissioning Master Sh'!$AC:$AC,"Yes",'LOI and Commissioning Master Sh'!$CD:$CD,"Yes",'LOI and Commissioning Master Sh'!$BW:$BW,"Pending")</f>
        <v>1</v>
      </c>
      <c r="F200" s="114">
        <f>+COUNTIFS('LOI and Commissioning Master Sh'!$G:$G,Summary!F$160,'LOI and Commissioning Master Sh'!$H:$H,"B",'LOI and Commissioning Master Sh'!$CD:$CD,"Yes",'LOI and Commissioning Master Sh'!$AC:$AC,"Yes",'LOI and Commissioning Master Sh'!$CD:$CD,"Yes",'LOI and Commissioning Master Sh'!$BW:$BW,"Pending")</f>
        <v>0</v>
      </c>
      <c r="G200" s="114">
        <f>+SUM(B200:F200)</f>
        <v>1</v>
      </c>
      <c r="H200" s="115"/>
      <c r="I200" s="118" t="s">
        <v>1408</v>
      </c>
      <c r="J200" s="114">
        <f>+COUNTIFS('LOI and Commissioning Master Sh'!$G:$G,Summary!J$160,'LOI and Commissioning Master Sh'!$H:$H,"B",'LOI and Commissioning Master Sh'!$X:$X,"Yes",'LOI and Commissioning Master Sh'!$AC:$AC,"Yes",'LOI and Commissioning Master Sh'!$X:$X,"Yes",'LOI and Commissioning Master Sh'!$BW:$BW,"Pending")</f>
        <v>0</v>
      </c>
      <c r="K200" s="114">
        <f>+COUNTIFS('LOI and Commissioning Master Sh'!$G:$G,Summary!K$160,'LOI and Commissioning Master Sh'!$H:$H,"B",'LOI and Commissioning Master Sh'!$X:$X,"Yes",'LOI and Commissioning Master Sh'!$AC:$AC,"Yes",'LOI and Commissioning Master Sh'!$X:$X,"Yes",'LOI and Commissioning Master Sh'!$BW:$BW,"Pending")</f>
        <v>0</v>
      </c>
      <c r="L200" s="114">
        <f>+COUNTIFS('LOI and Commissioning Master Sh'!$G:$G,Summary!L$160,'LOI and Commissioning Master Sh'!$H:$H,"B",'LOI and Commissioning Master Sh'!$X:$X,"Yes",'LOI and Commissioning Master Sh'!$AC:$AC,"Yes",'LOI and Commissioning Master Sh'!$X:$X,"Yes",'LOI and Commissioning Master Sh'!$BW:$BW,"Pending")</f>
        <v>0</v>
      </c>
      <c r="M200" s="114">
        <f>+COUNTIFS('LOI and Commissioning Master Sh'!$G:$G,Summary!M$160,'LOI and Commissioning Master Sh'!$H:$H,"B",'LOI and Commissioning Master Sh'!$X:$X,"Yes",'LOI and Commissioning Master Sh'!$AC:$AC,"Yes",'LOI and Commissioning Master Sh'!$X:$X,"Yes",'LOI and Commissioning Master Sh'!$BW:$BW,"Pending")</f>
        <v>1</v>
      </c>
      <c r="N200" s="114">
        <f>+COUNTIFS('LOI and Commissioning Master Sh'!$G:$G,Summary!N$160,'LOI and Commissioning Master Sh'!$H:$H,"B",'LOI and Commissioning Master Sh'!$X:$X,"Yes",'LOI and Commissioning Master Sh'!$AC:$AC,"Yes",'LOI and Commissioning Master Sh'!$X:$X,"Yes",'LOI and Commissioning Master Sh'!$BW:$BW,"Pending")</f>
        <v>0</v>
      </c>
      <c r="O200" s="114">
        <f>+SUM(J200:N200)</f>
        <v>1</v>
      </c>
    </row>
    <row r="201" spans="1:15" ht="18.75" x14ac:dyDescent="0.3">
      <c r="A201" s="116"/>
      <c r="B201" s="114"/>
      <c r="C201" s="114"/>
      <c r="D201" s="114"/>
      <c r="E201" s="114"/>
      <c r="F201" s="114"/>
      <c r="G201" s="114"/>
      <c r="H201" s="115"/>
      <c r="I201" s="116"/>
      <c r="J201" s="114"/>
      <c r="K201" s="114"/>
      <c r="L201" s="114"/>
      <c r="M201" s="114"/>
      <c r="N201" s="114"/>
      <c r="O201" s="114"/>
    </row>
    <row r="202" spans="1:15" ht="37.5" x14ac:dyDescent="0.3">
      <c r="A202" s="116" t="s">
        <v>1417</v>
      </c>
      <c r="B202" s="114">
        <f>+SUM(B203:B204)</f>
        <v>0</v>
      </c>
      <c r="C202" s="114">
        <f t="shared" ref="C202" si="226">+SUM(C203:C204)</f>
        <v>0</v>
      </c>
      <c r="D202" s="114">
        <f t="shared" ref="D202" si="227">+SUM(D203:D204)</f>
        <v>0</v>
      </c>
      <c r="E202" s="114">
        <f t="shared" ref="E202" si="228">+SUM(E203:E204)</f>
        <v>0</v>
      </c>
      <c r="F202" s="114">
        <f t="shared" ref="F202" si="229">+SUM(F203:F204)</f>
        <v>0</v>
      </c>
      <c r="G202" s="114">
        <f>+SUM(B202:F202)</f>
        <v>0</v>
      </c>
      <c r="H202" s="115"/>
      <c r="I202" s="116" t="s">
        <v>1417</v>
      </c>
      <c r="J202" s="114">
        <f>+SUM(J203:J204)</f>
        <v>0</v>
      </c>
      <c r="K202" s="114">
        <f t="shared" ref="K202" si="230">+SUM(K203:K204)</f>
        <v>0</v>
      </c>
      <c r="L202" s="114">
        <f t="shared" ref="L202" si="231">+SUM(L203:L204)</f>
        <v>0</v>
      </c>
      <c r="M202" s="114">
        <f t="shared" ref="M202" si="232">+SUM(M203:M204)</f>
        <v>0</v>
      </c>
      <c r="N202" s="114">
        <f t="shared" ref="N202" si="233">+SUM(N203:N204)</f>
        <v>0</v>
      </c>
      <c r="O202" s="114">
        <f>+SUM(J202:N202)</f>
        <v>0</v>
      </c>
    </row>
    <row r="203" spans="1:15" ht="18.75" x14ac:dyDescent="0.3">
      <c r="A203" s="118" t="s">
        <v>1407</v>
      </c>
      <c r="B203" s="114">
        <f>+COUNTIFS('LOI and Commissioning Master Sh'!$G:$G,Summary!B$160,'LOI and Commissioning Master Sh'!$H:$H,"A",'LOI and Commissioning Master Sh'!$CD:$CD,"Yes",'LOI and Commissioning Master Sh'!$BW:$BW,"Pending",'LOI and Commissioning Master Sh'!$CH:$CH,"Yes")</f>
        <v>0</v>
      </c>
      <c r="C203" s="114">
        <f>+COUNTIFS('LOI and Commissioning Master Sh'!$G:$G,Summary!C$160,'LOI and Commissioning Master Sh'!$H:$H,"A",'LOI and Commissioning Master Sh'!$CD:$CD,"Yes",'LOI and Commissioning Master Sh'!$BW:$BW,"Pending",'LOI and Commissioning Master Sh'!$CH:$CH,"Yes")</f>
        <v>0</v>
      </c>
      <c r="D203" s="114">
        <f>+COUNTIFS('LOI and Commissioning Master Sh'!$G:$G,Summary!D$160,'LOI and Commissioning Master Sh'!$H:$H,"A",'LOI and Commissioning Master Sh'!$CD:$CD,"Yes",'LOI and Commissioning Master Sh'!$BW:$BW,"Pending",'LOI and Commissioning Master Sh'!$CH:$CH,"Yes")</f>
        <v>0</v>
      </c>
      <c r="E203" s="114">
        <f>+COUNTIFS('LOI and Commissioning Master Sh'!$G:$G,Summary!E$160,'LOI and Commissioning Master Sh'!$H:$H,"A",'LOI and Commissioning Master Sh'!$CD:$CD,"Yes",'LOI and Commissioning Master Sh'!$BW:$BW,"Pending",'LOI and Commissioning Master Sh'!$CH:$CH,"Yes")</f>
        <v>0</v>
      </c>
      <c r="F203" s="114">
        <f>+COUNTIFS('LOI and Commissioning Master Sh'!$G:$G,Summary!F$160,'LOI and Commissioning Master Sh'!$H:$H,"A",'LOI and Commissioning Master Sh'!$CD:$CD,"Yes",'LOI and Commissioning Master Sh'!$BW:$BW,"Pending",'LOI and Commissioning Master Sh'!$CH:$CH,"Yes")</f>
        <v>0</v>
      </c>
      <c r="G203" s="114">
        <f>+SUM(B203:F203)</f>
        <v>0</v>
      </c>
      <c r="H203" s="115"/>
      <c r="I203" s="118" t="s">
        <v>1407</v>
      </c>
      <c r="J203" s="114">
        <f>+COUNTIFS('LOI and Commissioning Master Sh'!$G:$G,Summary!J$160,'LOI and Commissioning Master Sh'!$H:$H,"A",'LOI and Commissioning Master Sh'!$CD:$CD,"Yes",'LOI and Commissioning Master Sh'!$BW:$BW,"Pending",'LOI and Commissioning Master Sh'!$CH:$CH,"Yes")</f>
        <v>0</v>
      </c>
      <c r="K203" s="114">
        <f>+COUNTIFS('LOI and Commissioning Master Sh'!$G:$G,Summary!K$160,'LOI and Commissioning Master Sh'!$H:$H,"A",'LOI and Commissioning Master Sh'!$CD:$CD,"Yes",'LOI and Commissioning Master Sh'!$BW:$BW,"Pending",'LOI and Commissioning Master Sh'!$CH:$CH,"Yes")</f>
        <v>0</v>
      </c>
      <c r="L203" s="114">
        <f>+COUNTIFS('LOI and Commissioning Master Sh'!$G:$G,Summary!L$160,'LOI and Commissioning Master Sh'!$H:$H,"A",'LOI and Commissioning Master Sh'!$CD:$CD,"Yes",'LOI and Commissioning Master Sh'!$BW:$BW,"Pending",'LOI and Commissioning Master Sh'!$CH:$CH,"Yes")</f>
        <v>0</v>
      </c>
      <c r="M203" s="114">
        <f>+COUNTIFS('LOI and Commissioning Master Sh'!$G:$G,Summary!M$160,'LOI and Commissioning Master Sh'!$H:$H,"A",'LOI and Commissioning Master Sh'!$CD:$CD,"Yes",'LOI and Commissioning Master Sh'!$BW:$BW,"Pending",'LOI and Commissioning Master Sh'!$CH:$CH,"Yes")</f>
        <v>0</v>
      </c>
      <c r="N203" s="114">
        <f>+COUNTIFS('LOI and Commissioning Master Sh'!$G:$G,Summary!N$160,'LOI and Commissioning Master Sh'!$H:$H,"A",'LOI and Commissioning Master Sh'!$CD:$CD,"Yes",'LOI and Commissioning Master Sh'!$BW:$BW,"Pending",'LOI and Commissioning Master Sh'!$CH:$CH,"Yes")</f>
        <v>0</v>
      </c>
      <c r="O203" s="114">
        <f>+SUM(J203:N203)</f>
        <v>0</v>
      </c>
    </row>
    <row r="204" spans="1:15" ht="18.75" x14ac:dyDescent="0.3">
      <c r="A204" s="118" t="s">
        <v>1408</v>
      </c>
      <c r="B204" s="114">
        <f>+COUNTIFS('LOI and Commissioning Master Sh'!$G:$G,Summary!B$160,'LOI and Commissioning Master Sh'!$H:$H,"A",'LOI and Commissioning Master Sh'!$CD:$CD,"Yes",'LOI and Commissioning Master Sh'!$BW:$BW,"Pending",'LOI and Commissioning Master Sh'!$CH:$CH,"Yes")</f>
        <v>0</v>
      </c>
      <c r="C204" s="114">
        <f>+COUNTIFS('LOI and Commissioning Master Sh'!$G:$G,Summary!C$160,'LOI and Commissioning Master Sh'!$H:$H,"A",'LOI and Commissioning Master Sh'!$CD:$CD,"Yes",'LOI and Commissioning Master Sh'!$BW:$BW,"Pending",'LOI and Commissioning Master Sh'!$CH:$CH,"Yes")</f>
        <v>0</v>
      </c>
      <c r="D204" s="114">
        <f>+COUNTIFS('LOI and Commissioning Master Sh'!$G:$G,Summary!D$160,'LOI and Commissioning Master Sh'!$H:$H,"A",'LOI and Commissioning Master Sh'!$CD:$CD,"Yes",'LOI and Commissioning Master Sh'!$BW:$BW,"Pending",'LOI and Commissioning Master Sh'!$CH:$CH,"Yes")</f>
        <v>0</v>
      </c>
      <c r="E204" s="114">
        <f>+COUNTIFS('LOI and Commissioning Master Sh'!$G:$G,Summary!E$160,'LOI and Commissioning Master Sh'!$H:$H,"A",'LOI and Commissioning Master Sh'!$CD:$CD,"Yes",'LOI and Commissioning Master Sh'!$BW:$BW,"Pending",'LOI and Commissioning Master Sh'!$CH:$CH,"Yes")</f>
        <v>0</v>
      </c>
      <c r="F204" s="114">
        <f>+COUNTIFS('LOI and Commissioning Master Sh'!$G:$G,Summary!F$160,'LOI and Commissioning Master Sh'!$H:$H,"A",'LOI and Commissioning Master Sh'!$CD:$CD,"Yes",'LOI and Commissioning Master Sh'!$BW:$BW,"Pending",'LOI and Commissioning Master Sh'!$CH:$CH,"Yes")</f>
        <v>0</v>
      </c>
      <c r="G204" s="114">
        <f>+SUM(B204:F204)</f>
        <v>0</v>
      </c>
      <c r="H204" s="115"/>
      <c r="I204" s="118" t="s">
        <v>1408</v>
      </c>
      <c r="J204" s="114">
        <f>+COUNTIFS('LOI and Commissioning Master Sh'!$G:$G,Summary!J$160,'LOI and Commissioning Master Sh'!$H:$H,"A",'LOI and Commissioning Master Sh'!$CD:$CD,"Yes",'LOI and Commissioning Master Sh'!$BW:$BW,"Pending",'LOI and Commissioning Master Sh'!$CH:$CH,"Yes")</f>
        <v>0</v>
      </c>
      <c r="K204" s="114">
        <f>+COUNTIFS('LOI and Commissioning Master Sh'!$G:$G,Summary!K$160,'LOI and Commissioning Master Sh'!$H:$H,"A",'LOI and Commissioning Master Sh'!$CD:$CD,"Yes",'LOI and Commissioning Master Sh'!$BW:$BW,"Pending",'LOI and Commissioning Master Sh'!$CH:$CH,"Yes")</f>
        <v>0</v>
      </c>
      <c r="L204" s="114">
        <f>+COUNTIFS('LOI and Commissioning Master Sh'!$G:$G,Summary!L$160,'LOI and Commissioning Master Sh'!$H:$H,"A",'LOI and Commissioning Master Sh'!$CD:$CD,"Yes",'LOI and Commissioning Master Sh'!$BW:$BW,"Pending",'LOI and Commissioning Master Sh'!$CH:$CH,"Yes")</f>
        <v>0</v>
      </c>
      <c r="M204" s="114">
        <f>+COUNTIFS('LOI and Commissioning Master Sh'!$G:$G,Summary!M$160,'LOI and Commissioning Master Sh'!$H:$H,"A",'LOI and Commissioning Master Sh'!$CD:$CD,"Yes",'LOI and Commissioning Master Sh'!$BW:$BW,"Pending",'LOI and Commissioning Master Sh'!$CH:$CH,"Yes")</f>
        <v>0</v>
      </c>
      <c r="N204" s="114">
        <f>+COUNTIFS('LOI and Commissioning Master Sh'!$G:$G,Summary!N$160,'LOI and Commissioning Master Sh'!$H:$H,"A",'LOI and Commissioning Master Sh'!$CD:$CD,"Yes",'LOI and Commissioning Master Sh'!$BW:$BW,"Pending",'LOI and Commissioning Master Sh'!$CH:$CH,"Yes")</f>
        <v>0</v>
      </c>
      <c r="O204" s="114">
        <f>+SUM(J204:N204)</f>
        <v>0</v>
      </c>
    </row>
    <row r="205" spans="1:15" ht="18.75" x14ac:dyDescent="0.3">
      <c r="A205" s="116"/>
      <c r="B205" s="114"/>
      <c r="C205" s="114"/>
      <c r="D205" s="114"/>
      <c r="E205" s="114"/>
      <c r="F205" s="114"/>
      <c r="G205" s="114"/>
      <c r="H205" s="115"/>
      <c r="I205" s="116"/>
      <c r="J205" s="114"/>
      <c r="K205" s="114"/>
      <c r="L205" s="114"/>
      <c r="M205" s="114"/>
      <c r="N205" s="114"/>
      <c r="O205" s="114"/>
    </row>
    <row r="206" spans="1:15" ht="37.5" x14ac:dyDescent="0.3">
      <c r="A206" s="116" t="s">
        <v>1418</v>
      </c>
      <c r="B206" s="114">
        <f>+SUM(B207:B209)</f>
        <v>22</v>
      </c>
      <c r="C206" s="114">
        <f t="shared" ref="C206:F206" si="234">+SUM(C207:C209)</f>
        <v>10</v>
      </c>
      <c r="D206" s="114">
        <f t="shared" si="234"/>
        <v>124</v>
      </c>
      <c r="E206" s="114">
        <f t="shared" si="234"/>
        <v>62</v>
      </c>
      <c r="F206" s="114">
        <f t="shared" si="234"/>
        <v>28</v>
      </c>
      <c r="G206" s="114">
        <f>+SUM(B206:F206)</f>
        <v>246</v>
      </c>
      <c r="H206" s="115"/>
      <c r="I206" s="116" t="s">
        <v>1419</v>
      </c>
      <c r="J206" s="114">
        <f>+SUM(J207:J209)</f>
        <v>22</v>
      </c>
      <c r="K206" s="114">
        <f t="shared" ref="K206" si="235">+SUM(K207:K209)</f>
        <v>10</v>
      </c>
      <c r="L206" s="114">
        <f t="shared" ref="L206" si="236">+SUM(L207:L209)</f>
        <v>124</v>
      </c>
      <c r="M206" s="114">
        <f t="shared" ref="M206" si="237">+SUM(M207:M209)</f>
        <v>62</v>
      </c>
      <c r="N206" s="114">
        <f t="shared" ref="N206" si="238">+SUM(N207:N209)</f>
        <v>28</v>
      </c>
      <c r="O206" s="114">
        <f>+SUM(J206:N206)</f>
        <v>246</v>
      </c>
    </row>
    <row r="207" spans="1:15" ht="18.75" x14ac:dyDescent="0.3">
      <c r="A207" s="116" t="s">
        <v>402</v>
      </c>
      <c r="B207" s="114">
        <f>+COUNTIFS('LOI and Commissioning Master Sh'!$G:$G,Summary!B$78,'LOI and Commissioning Master Sh'!$CB:$CB,Summary!$A207,'LOI and Commissioning Master Sh'!$BW:$BW,"Pending")</f>
        <v>1</v>
      </c>
      <c r="C207" s="114">
        <f>+COUNTIFS('LOI and Commissioning Master Sh'!$G:$G,Summary!C$78,'LOI and Commissioning Master Sh'!$CB:$CB,Summary!$A207,'LOI and Commissioning Master Sh'!$BW:$BW,"Pending")</f>
        <v>5</v>
      </c>
      <c r="D207" s="114">
        <f>+COUNTIFS('LOI and Commissioning Master Sh'!$G:$G,Summary!D$78,'LOI and Commissioning Master Sh'!$CB:$CB,Summary!$A207,'LOI and Commissioning Master Sh'!$BW:$BW,"Pending")</f>
        <v>5</v>
      </c>
      <c r="E207" s="114">
        <f>+COUNTIFS('LOI and Commissioning Master Sh'!$G:$G,Summary!E$78,'LOI and Commissioning Master Sh'!$CB:$CB,Summary!$A207,'LOI and Commissioning Master Sh'!$BW:$BW,"Pending")</f>
        <v>9</v>
      </c>
      <c r="F207" s="114">
        <f>+COUNTIFS('LOI and Commissioning Master Sh'!$G:$G,Summary!F$78,'LOI and Commissioning Master Sh'!$CB:$CB,Summary!$A207,'LOI and Commissioning Master Sh'!$BW:$BW,"Pending")</f>
        <v>3</v>
      </c>
      <c r="G207" s="114">
        <f>+SUM(B207:F207)</f>
        <v>23</v>
      </c>
      <c r="H207" s="115"/>
      <c r="I207" s="116" t="s">
        <v>402</v>
      </c>
      <c r="J207" s="114">
        <f>+COUNTIFS('LOI and Commissioning Master Sh'!$G:$G,Summary!J$160,'LOI and Commissioning Master Sh'!$CB:$CB,Summary!$A207,'LOI and Commissioning Master Sh'!$BW:$BW,"Pending")</f>
        <v>1</v>
      </c>
      <c r="K207" s="114">
        <f>+COUNTIFS('LOI and Commissioning Master Sh'!$G:$G,Summary!K$160,'LOI and Commissioning Master Sh'!$CB:$CB,Summary!$A207,'LOI and Commissioning Master Sh'!$BW:$BW,"Pending")</f>
        <v>5</v>
      </c>
      <c r="L207" s="114">
        <f>+COUNTIFS('LOI and Commissioning Master Sh'!$G:$G,Summary!L$160,'LOI and Commissioning Master Sh'!$CB:$CB,Summary!$A207,'LOI and Commissioning Master Sh'!$BW:$BW,"Pending")</f>
        <v>5</v>
      </c>
      <c r="M207" s="114">
        <f>+COUNTIFS('LOI and Commissioning Master Sh'!$G:$G,Summary!M$160,'LOI and Commissioning Master Sh'!$CB:$CB,Summary!$A207,'LOI and Commissioning Master Sh'!$BW:$BW,"Pending")</f>
        <v>9</v>
      </c>
      <c r="N207" s="114">
        <f>+COUNTIFS('LOI and Commissioning Master Sh'!$G:$G,Summary!N$160,'LOI and Commissioning Master Sh'!$CB:$CB,Summary!$A207,'LOI and Commissioning Master Sh'!$BW:$BW,"Pending")</f>
        <v>3</v>
      </c>
      <c r="O207" s="114">
        <f>+SUM(J207:N207)</f>
        <v>23</v>
      </c>
    </row>
    <row r="208" spans="1:15" ht="18.75" x14ac:dyDescent="0.3">
      <c r="A208" s="116" t="s">
        <v>185</v>
      </c>
      <c r="B208" s="114">
        <f>+COUNTIFS('LOI and Commissioning Master Sh'!$G:$G,Summary!B$78,'LOI and Commissioning Master Sh'!$CB:$CB,Summary!$A208,'LOI and Commissioning Master Sh'!$BW:$BW,"Pending")</f>
        <v>1</v>
      </c>
      <c r="C208" s="114">
        <f>+COUNTIFS('LOI and Commissioning Master Sh'!$G:$G,Summary!C$78,'LOI and Commissioning Master Sh'!$CB:$CB,Summary!$A208,'LOI and Commissioning Master Sh'!$BW:$BW,"Pending")</f>
        <v>1</v>
      </c>
      <c r="D208" s="114">
        <f>+COUNTIFS('LOI and Commissioning Master Sh'!$G:$G,Summary!D$78,'LOI and Commissioning Master Sh'!$CB:$CB,Summary!$A208,'LOI and Commissioning Master Sh'!$BW:$BW,"Pending")</f>
        <v>26</v>
      </c>
      <c r="E208" s="114">
        <f>+COUNTIFS('LOI and Commissioning Master Sh'!$G:$G,Summary!E$78,'LOI and Commissioning Master Sh'!$CB:$CB,Summary!$A208,'LOI and Commissioning Master Sh'!$BW:$BW,"Pending")</f>
        <v>8</v>
      </c>
      <c r="F208" s="114">
        <f>+COUNTIFS('LOI and Commissioning Master Sh'!$G:$G,Summary!F$78,'LOI and Commissioning Master Sh'!$CB:$CB,Summary!$A208,'LOI and Commissioning Master Sh'!$BW:$BW,"Pending")</f>
        <v>12</v>
      </c>
      <c r="G208" s="114">
        <f>+SUM(B208:F208)</f>
        <v>48</v>
      </c>
      <c r="H208" s="115"/>
      <c r="I208" s="116" t="s">
        <v>185</v>
      </c>
      <c r="J208" s="114">
        <f>+COUNTIFS('LOI and Commissioning Master Sh'!$G:$G,Summary!J$160,'LOI and Commissioning Master Sh'!$CB:$CB,Summary!$A208,'LOI and Commissioning Master Sh'!$BW:$BW,"Pending")</f>
        <v>1</v>
      </c>
      <c r="K208" s="114">
        <f>+COUNTIFS('LOI and Commissioning Master Sh'!$G:$G,Summary!K$160,'LOI and Commissioning Master Sh'!$CB:$CB,Summary!$A208,'LOI and Commissioning Master Sh'!$BW:$BW,"Pending")</f>
        <v>1</v>
      </c>
      <c r="L208" s="114">
        <f>+COUNTIFS('LOI and Commissioning Master Sh'!$G:$G,Summary!L$160,'LOI and Commissioning Master Sh'!$CB:$CB,Summary!$A208,'LOI and Commissioning Master Sh'!$BW:$BW,"Pending")</f>
        <v>26</v>
      </c>
      <c r="M208" s="114">
        <f>+COUNTIFS('LOI and Commissioning Master Sh'!$G:$G,Summary!M$160,'LOI and Commissioning Master Sh'!$CB:$CB,Summary!$A208,'LOI and Commissioning Master Sh'!$BW:$BW,"Pending")</f>
        <v>8</v>
      </c>
      <c r="N208" s="114">
        <f>+COUNTIFS('LOI and Commissioning Master Sh'!$G:$G,Summary!N$160,'LOI and Commissioning Master Sh'!$CB:$CB,Summary!$A208,'LOI and Commissioning Master Sh'!$BW:$BW,"Pending")</f>
        <v>12</v>
      </c>
      <c r="O208" s="114">
        <f>+SUM(J208:N208)</f>
        <v>48</v>
      </c>
    </row>
    <row r="209" spans="1:70" ht="18.75" x14ac:dyDescent="0.3">
      <c r="A209" s="116" t="s">
        <v>118</v>
      </c>
      <c r="B209" s="114">
        <f>+COUNTIFS('LOI and Commissioning Master Sh'!$G:$G,Summary!B$78,'LOI and Commissioning Master Sh'!$CB:$CB,Summary!$A209,'LOI and Commissioning Master Sh'!$BW:$BW,"Pending")</f>
        <v>20</v>
      </c>
      <c r="C209" s="114">
        <f>+COUNTIFS('LOI and Commissioning Master Sh'!$G:$G,Summary!C$78,'LOI and Commissioning Master Sh'!$CB:$CB,Summary!$A209,'LOI and Commissioning Master Sh'!$BW:$BW,"Pending")</f>
        <v>4</v>
      </c>
      <c r="D209" s="114">
        <f>+COUNTIFS('LOI and Commissioning Master Sh'!$G:$G,Summary!D$78,'LOI and Commissioning Master Sh'!$CB:$CB,Summary!$A209,'LOI and Commissioning Master Sh'!$BW:$BW,"Pending")</f>
        <v>93</v>
      </c>
      <c r="E209" s="114">
        <f>+COUNTIFS('LOI and Commissioning Master Sh'!$G:$G,Summary!E$78,'LOI and Commissioning Master Sh'!$CB:$CB,Summary!$A209,'LOI and Commissioning Master Sh'!$BW:$BW,"Pending")</f>
        <v>45</v>
      </c>
      <c r="F209" s="114">
        <f>+COUNTIFS('LOI and Commissioning Master Sh'!$G:$G,Summary!F$78,'LOI and Commissioning Master Sh'!$CB:$CB,Summary!$A209,'LOI and Commissioning Master Sh'!$BW:$BW,"Pending")</f>
        <v>13</v>
      </c>
      <c r="G209" s="114">
        <f>+SUM(B209:F209)</f>
        <v>175</v>
      </c>
      <c r="H209" s="115"/>
      <c r="I209" s="116" t="s">
        <v>118</v>
      </c>
      <c r="J209" s="114">
        <f>+COUNTIFS('LOI and Commissioning Master Sh'!$G:$G,Summary!J$160,'LOI and Commissioning Master Sh'!$CB:$CB,Summary!$A209,'LOI and Commissioning Master Sh'!$BW:$BW,"Pending")</f>
        <v>20</v>
      </c>
      <c r="K209" s="114">
        <f>+COUNTIFS('LOI and Commissioning Master Sh'!$G:$G,Summary!K$160,'LOI and Commissioning Master Sh'!$CB:$CB,Summary!$A209,'LOI and Commissioning Master Sh'!$BW:$BW,"Pending")</f>
        <v>4</v>
      </c>
      <c r="L209" s="114">
        <f>+COUNTIFS('LOI and Commissioning Master Sh'!$G:$G,Summary!L$160,'LOI and Commissioning Master Sh'!$CB:$CB,Summary!$A209,'LOI and Commissioning Master Sh'!$BW:$BW,"Pending")</f>
        <v>93</v>
      </c>
      <c r="M209" s="114">
        <f>+COUNTIFS('LOI and Commissioning Master Sh'!$G:$G,Summary!M$160,'LOI and Commissioning Master Sh'!$CB:$CB,Summary!$A209,'LOI and Commissioning Master Sh'!$BW:$BW,"Pending")</f>
        <v>45</v>
      </c>
      <c r="N209" s="114">
        <f>+COUNTIFS('LOI and Commissioning Master Sh'!$G:$G,Summary!N$160,'LOI and Commissioning Master Sh'!$CB:$CB,Summary!$A209,'LOI and Commissioning Master Sh'!$BW:$BW,"Pending")</f>
        <v>13</v>
      </c>
      <c r="O209" s="114">
        <f>+SUM(J209:N209)</f>
        <v>175</v>
      </c>
    </row>
    <row r="214" spans="1:70" ht="90" x14ac:dyDescent="0.25">
      <c r="A214" s="299"/>
      <c r="B214" s="300"/>
      <c r="C214" s="296" t="s">
        <v>1344</v>
      </c>
      <c r="D214" s="297"/>
      <c r="E214" s="297"/>
      <c r="F214" s="297"/>
      <c r="G214" s="297"/>
      <c r="H214" s="297"/>
      <c r="I214" s="297"/>
      <c r="J214" s="297"/>
      <c r="K214" s="297"/>
      <c r="L214" s="298"/>
      <c r="M214" s="29" t="s">
        <v>101</v>
      </c>
      <c r="N214" s="29" t="s">
        <v>101</v>
      </c>
      <c r="O214" s="29" t="s">
        <v>101</v>
      </c>
      <c r="P214" s="29" t="s">
        <v>101</v>
      </c>
      <c r="Q214" s="29" t="s">
        <v>101</v>
      </c>
      <c r="R214" s="29" t="s">
        <v>101</v>
      </c>
      <c r="S214" s="29" t="s">
        <v>101</v>
      </c>
      <c r="T214" s="29" t="s">
        <v>101</v>
      </c>
      <c r="U214" s="29" t="s">
        <v>101</v>
      </c>
      <c r="V214" s="30" t="s">
        <v>142</v>
      </c>
      <c r="W214" s="30" t="s">
        <v>142</v>
      </c>
      <c r="X214" s="30" t="s">
        <v>142</v>
      </c>
      <c r="Y214" s="30" t="s">
        <v>142</v>
      </c>
      <c r="Z214" s="30" t="s">
        <v>142</v>
      </c>
      <c r="AA214" s="30" t="s">
        <v>142</v>
      </c>
      <c r="AB214" s="30" t="s">
        <v>142</v>
      </c>
      <c r="AC214" s="30" t="s">
        <v>142</v>
      </c>
      <c r="AD214" s="30" t="s">
        <v>142</v>
      </c>
      <c r="AE214" s="31" t="s">
        <v>169</v>
      </c>
      <c r="AF214" s="31" t="s">
        <v>169</v>
      </c>
      <c r="AG214" s="31" t="s">
        <v>169</v>
      </c>
      <c r="AH214" s="31" t="s">
        <v>169</v>
      </c>
      <c r="AI214" s="31" t="s">
        <v>169</v>
      </c>
      <c r="AJ214" s="31" t="s">
        <v>169</v>
      </c>
      <c r="AK214" s="31" t="s">
        <v>169</v>
      </c>
      <c r="AL214" s="31" t="s">
        <v>169</v>
      </c>
      <c r="AM214" s="31" t="s">
        <v>169</v>
      </c>
      <c r="AN214" s="32" t="s">
        <v>634</v>
      </c>
      <c r="AO214" s="32" t="s">
        <v>634</v>
      </c>
      <c r="AP214" s="32" t="s">
        <v>634</v>
      </c>
      <c r="AQ214" s="32" t="s">
        <v>634</v>
      </c>
      <c r="AR214" s="32" t="s">
        <v>634</v>
      </c>
      <c r="AS214" s="32" t="s">
        <v>634</v>
      </c>
      <c r="AT214" s="32" t="s">
        <v>634</v>
      </c>
      <c r="AU214" s="32" t="s">
        <v>634</v>
      </c>
      <c r="AV214" s="32" t="s">
        <v>634</v>
      </c>
      <c r="AW214" s="33" t="s">
        <v>100</v>
      </c>
      <c r="AX214" s="33" t="s">
        <v>100</v>
      </c>
      <c r="AY214" s="33" t="s">
        <v>100</v>
      </c>
      <c r="AZ214" s="33" t="s">
        <v>100</v>
      </c>
      <c r="BA214" s="33" t="s">
        <v>100</v>
      </c>
      <c r="BB214" s="33" t="s">
        <v>100</v>
      </c>
      <c r="BC214" s="33" t="s">
        <v>100</v>
      </c>
      <c r="BD214" s="33" t="s">
        <v>100</v>
      </c>
      <c r="BE214" s="33" t="s">
        <v>100</v>
      </c>
      <c r="BF214" s="85" t="s">
        <v>1345</v>
      </c>
      <c r="BG214" s="85"/>
      <c r="BH214" s="85"/>
      <c r="BI214" s="85"/>
      <c r="BJ214" s="85"/>
      <c r="BK214" s="85"/>
      <c r="BL214" s="85"/>
      <c r="BM214" s="85"/>
      <c r="BN214" s="85"/>
      <c r="BO214" s="85"/>
      <c r="BP214" s="85"/>
      <c r="BQ214" s="85"/>
      <c r="BR214" s="33" t="s">
        <v>1344</v>
      </c>
    </row>
    <row r="215" spans="1:70" x14ac:dyDescent="0.25">
      <c r="A215" s="301"/>
      <c r="B215" s="301"/>
      <c r="C215" s="326" t="s">
        <v>1346</v>
      </c>
      <c r="D215" s="327"/>
      <c r="E215" s="328"/>
      <c r="F215" s="70" t="s">
        <v>1347</v>
      </c>
      <c r="G215" s="326" t="s">
        <v>42</v>
      </c>
      <c r="H215" s="327"/>
      <c r="I215" s="328"/>
      <c r="J215" s="326" t="s">
        <v>47</v>
      </c>
      <c r="K215" s="327"/>
      <c r="L215" s="328"/>
      <c r="M215" s="302" t="s">
        <v>1346</v>
      </c>
      <c r="N215" s="303"/>
      <c r="O215" s="304"/>
      <c r="P215" s="302" t="s">
        <v>42</v>
      </c>
      <c r="Q215" s="303"/>
      <c r="R215" s="304"/>
      <c r="S215" s="302" t="s">
        <v>47</v>
      </c>
      <c r="T215" s="303"/>
      <c r="U215" s="304"/>
      <c r="V215" s="314" t="s">
        <v>1346</v>
      </c>
      <c r="W215" s="315"/>
      <c r="X215" s="316"/>
      <c r="Y215" s="314" t="s">
        <v>42</v>
      </c>
      <c r="Z215" s="315"/>
      <c r="AA215" s="316"/>
      <c r="AB215" s="314" t="s">
        <v>47</v>
      </c>
      <c r="AC215" s="315"/>
      <c r="AD215" s="316"/>
      <c r="AE215" s="311" t="s">
        <v>1346</v>
      </c>
      <c r="AF215" s="312"/>
      <c r="AG215" s="313"/>
      <c r="AH215" s="311" t="s">
        <v>42</v>
      </c>
      <c r="AI215" s="312"/>
      <c r="AJ215" s="313"/>
      <c r="AK215" s="311" t="s">
        <v>47</v>
      </c>
      <c r="AL215" s="312"/>
      <c r="AM215" s="313"/>
      <c r="AN215" s="305" t="s">
        <v>1346</v>
      </c>
      <c r="AO215" s="306"/>
      <c r="AP215" s="307"/>
      <c r="AQ215" s="305" t="s">
        <v>42</v>
      </c>
      <c r="AR215" s="306"/>
      <c r="AS215" s="307"/>
      <c r="AT215" s="305" t="s">
        <v>47</v>
      </c>
      <c r="AU215" s="306"/>
      <c r="AV215" s="307"/>
      <c r="AW215" s="308" t="s">
        <v>1346</v>
      </c>
      <c r="AX215" s="309"/>
      <c r="AY215" s="310"/>
      <c r="AZ215" s="308" t="s">
        <v>42</v>
      </c>
      <c r="BA215" s="309"/>
      <c r="BB215" s="310"/>
      <c r="BC215" s="308" t="s">
        <v>47</v>
      </c>
      <c r="BD215" s="309"/>
      <c r="BE215" s="310"/>
      <c r="BF215" s="34" t="s">
        <v>101</v>
      </c>
      <c r="BG215" s="34" t="s">
        <v>101</v>
      </c>
      <c r="BH215" s="34" t="s">
        <v>122</v>
      </c>
      <c r="BI215" s="34" t="s">
        <v>122</v>
      </c>
      <c r="BJ215" s="34" t="s">
        <v>634</v>
      </c>
      <c r="BK215" s="34" t="s">
        <v>634</v>
      </c>
      <c r="BL215" s="34" t="s">
        <v>142</v>
      </c>
      <c r="BM215" s="34" t="s">
        <v>142</v>
      </c>
      <c r="BN215" s="34" t="s">
        <v>169</v>
      </c>
      <c r="BO215" s="34" t="s">
        <v>169</v>
      </c>
      <c r="BP215" s="34" t="s">
        <v>100</v>
      </c>
      <c r="BQ215" s="34" t="s">
        <v>100</v>
      </c>
      <c r="BR215" s="42" t="s">
        <v>1348</v>
      </c>
    </row>
    <row r="216" spans="1:70" x14ac:dyDescent="0.25">
      <c r="A216" s="86" t="s">
        <v>1349</v>
      </c>
      <c r="B216" s="19" t="s">
        <v>1344</v>
      </c>
      <c r="C216" s="13" t="s">
        <v>101</v>
      </c>
      <c r="D216" s="13" t="s">
        <v>122</v>
      </c>
      <c r="E216" s="13" t="s">
        <v>1344</v>
      </c>
      <c r="F216" s="13" t="s">
        <v>1350</v>
      </c>
      <c r="G216" s="13" t="s">
        <v>101</v>
      </c>
      <c r="H216" s="13" t="s">
        <v>122</v>
      </c>
      <c r="I216" s="267" t="s">
        <v>1344</v>
      </c>
      <c r="J216" s="13" t="s">
        <v>101</v>
      </c>
      <c r="K216" s="13" t="s">
        <v>122</v>
      </c>
      <c r="L216" s="13" t="s">
        <v>1344</v>
      </c>
      <c r="M216" s="15" t="s">
        <v>101</v>
      </c>
      <c r="N216" s="15" t="s">
        <v>122</v>
      </c>
      <c r="O216" s="15" t="s">
        <v>1351</v>
      </c>
      <c r="P216" s="15" t="s">
        <v>101</v>
      </c>
      <c r="Q216" s="15" t="s">
        <v>122</v>
      </c>
      <c r="R216" s="15" t="s">
        <v>1344</v>
      </c>
      <c r="S216" s="15" t="s">
        <v>101</v>
      </c>
      <c r="T216" s="15" t="s">
        <v>122</v>
      </c>
      <c r="U216" s="15" t="s">
        <v>1344</v>
      </c>
      <c r="V216" s="17" t="s">
        <v>101</v>
      </c>
      <c r="W216" s="17" t="s">
        <v>122</v>
      </c>
      <c r="X216" s="17" t="s">
        <v>1344</v>
      </c>
      <c r="Y216" s="17" t="s">
        <v>101</v>
      </c>
      <c r="Z216" s="17" t="s">
        <v>122</v>
      </c>
      <c r="AA216" s="17" t="s">
        <v>1344</v>
      </c>
      <c r="AB216" s="17" t="s">
        <v>101</v>
      </c>
      <c r="AC216" s="17" t="s">
        <v>122</v>
      </c>
      <c r="AD216" s="17" t="s">
        <v>1344</v>
      </c>
      <c r="AE216" s="19" t="s">
        <v>101</v>
      </c>
      <c r="AF216" s="19" t="s">
        <v>122</v>
      </c>
      <c r="AG216" s="19" t="s">
        <v>1344</v>
      </c>
      <c r="AH216" s="19" t="s">
        <v>101</v>
      </c>
      <c r="AI216" s="19" t="s">
        <v>122</v>
      </c>
      <c r="AJ216" s="19" t="s">
        <v>1344</v>
      </c>
      <c r="AK216" s="19" t="s">
        <v>101</v>
      </c>
      <c r="AL216" s="19" t="s">
        <v>122</v>
      </c>
      <c r="AM216" s="19" t="s">
        <v>1344</v>
      </c>
      <c r="AN216" s="21" t="s">
        <v>101</v>
      </c>
      <c r="AO216" s="21" t="s">
        <v>122</v>
      </c>
      <c r="AP216" s="21" t="s">
        <v>1344</v>
      </c>
      <c r="AQ216" s="21" t="s">
        <v>101</v>
      </c>
      <c r="AR216" s="21" t="s">
        <v>122</v>
      </c>
      <c r="AS216" s="21" t="s">
        <v>1344</v>
      </c>
      <c r="AT216" s="21" t="s">
        <v>101</v>
      </c>
      <c r="AU216" s="21" t="s">
        <v>122</v>
      </c>
      <c r="AV216" s="21" t="s">
        <v>1344</v>
      </c>
      <c r="AW216" s="23" t="s">
        <v>101</v>
      </c>
      <c r="AX216" s="23" t="s">
        <v>122</v>
      </c>
      <c r="AY216" s="23" t="s">
        <v>1344</v>
      </c>
      <c r="AZ216" s="23" t="s">
        <v>101</v>
      </c>
      <c r="BA216" s="23" t="s">
        <v>122</v>
      </c>
      <c r="BB216" s="23" t="s">
        <v>1344</v>
      </c>
      <c r="BC216" s="23" t="s">
        <v>101</v>
      </c>
      <c r="BD216" s="23" t="s">
        <v>122</v>
      </c>
      <c r="BE216" s="23" t="s">
        <v>1344</v>
      </c>
      <c r="BF216" s="35" t="s">
        <v>101</v>
      </c>
      <c r="BG216" s="35" t="s">
        <v>122</v>
      </c>
      <c r="BH216" s="35" t="s">
        <v>101</v>
      </c>
      <c r="BI216" s="35" t="s">
        <v>122</v>
      </c>
      <c r="BJ216" s="35" t="s">
        <v>101</v>
      </c>
      <c r="BK216" s="35" t="s">
        <v>122</v>
      </c>
      <c r="BL216" s="35" t="s">
        <v>101</v>
      </c>
      <c r="BM216" s="35" t="s">
        <v>122</v>
      </c>
      <c r="BN216" s="35" t="s">
        <v>101</v>
      </c>
      <c r="BO216" s="35" t="s">
        <v>122</v>
      </c>
      <c r="BP216" s="35" t="s">
        <v>101</v>
      </c>
      <c r="BQ216" s="35" t="s">
        <v>122</v>
      </c>
      <c r="BR216" s="43"/>
    </row>
    <row r="217" spans="1:70" x14ac:dyDescent="0.25">
      <c r="A217" s="86" t="s">
        <v>190</v>
      </c>
      <c r="B217" s="19">
        <f>COUNTIFS('LOI and Commissioning Master Sh'!D:D,Summary!A217)</f>
        <v>22</v>
      </c>
      <c r="C217" s="13">
        <f>COUNTIFS('LOI and Commissioning Master Sh'!$D:$D,Summary!$A217,'LOI and Commissioning Master Sh'!$CD:$CD,"Yes",'LOI and Commissioning Master Sh'!$H:$H,"A")</f>
        <v>2</v>
      </c>
      <c r="D217" s="13">
        <f>COUNTIFS('LOI and Commissioning Master Sh'!$D:$D,Summary!$A217,'LOI and Commissioning Master Sh'!$CD:$CD,"Yes",'LOI and Commissioning Master Sh'!$H:$H,"B")</f>
        <v>3</v>
      </c>
      <c r="E217" s="13">
        <f t="shared" ref="E217:E228" si="239">C217+D217</f>
        <v>5</v>
      </c>
      <c r="F217" s="13">
        <f>+COUNTIFS('LOI and Commissioning Master Sh'!$D:$D,Summary!$A217,'LOI and Commissioning Master Sh'!$CD:$CD, "Yes",'LOI and Commissioning Master Sh'!$BK:$BK, "Yes")</f>
        <v>4</v>
      </c>
      <c r="G217" s="13">
        <f>COUNTIFS('LOI and Commissioning Master Sh'!$D:$D,Summary!$A217,'LOI and Commissioning Master Sh'!$CD:$CD,"Yes",'LOI and Commissioning Master Sh'!$H:$H,"A",'LOI and Commissioning Master Sh'!$AC:$AC,"Yes")</f>
        <v>1</v>
      </c>
      <c r="H217" s="13">
        <f>COUNTIFS('LOI and Commissioning Master Sh'!$D:$D,Summary!$A217,'LOI and Commissioning Master Sh'!$CD:$CD,"Yes",'LOI and Commissioning Master Sh'!$H:$H,"B",'LOI and Commissioning Master Sh'!$AC:$AC,"Yes")</f>
        <v>0</v>
      </c>
      <c r="I217" s="267">
        <f t="shared" ref="I217:I228" si="240">G217+H217</f>
        <v>1</v>
      </c>
      <c r="J217" s="13">
        <f>COUNTIFS('LOI and Commissioning Master Sh'!$D:$D,Summary!$A217,'LOI and Commissioning Master Sh'!$CD:$CD,"Yes",'LOI and Commissioning Master Sh'!$H:$H,"A",'LOI and Commissioning Master Sh'!$Y:$Y,"Yes")</f>
        <v>0</v>
      </c>
      <c r="K217" s="13">
        <f>COUNTIFS('LOI and Commissioning Master Sh'!$D:$D,Summary!$A217,'LOI and Commissioning Master Sh'!$CD:$CD,"Yes",'LOI and Commissioning Master Sh'!$H:$H,"B",'LOI and Commissioning Master Sh'!$Y:$Y,"Yes")</f>
        <v>1</v>
      </c>
      <c r="L217" s="13">
        <f t="shared" ref="L217:L228" si="241">J217+K217</f>
        <v>1</v>
      </c>
      <c r="M217" s="15">
        <f>COUNTIFS('LOI and Commissioning Master Sh'!$D:$D,Summary!$A217, 'LOI and Commissioning Master Sh'!$G:$G,M$1,'LOI and Commissioning Master Sh'!$CD:$CD,"Yes",'LOI and Commissioning Master Sh'!$H:$H,M$3)</f>
        <v>0</v>
      </c>
      <c r="N217" s="15">
        <f>COUNTIFS('LOI and Commissioning Master Sh'!$D:$D,Summary!$A217, 'LOI and Commissioning Master Sh'!$G:$G,N$1,'LOI and Commissioning Master Sh'!$CD:$CD,"Yes",'LOI and Commissioning Master Sh'!$H:$H,N$3)</f>
        <v>0</v>
      </c>
      <c r="O217" s="15">
        <f t="shared" ref="O217:O228" si="242">M217+N217</f>
        <v>0</v>
      </c>
      <c r="P217" s="15">
        <f>COUNTIFS('LOI and Commissioning Master Sh'!$D:$D,Summary!$A217, 'LOI and Commissioning Master Sh'!$G:$G,P$1,'LOI and Commissioning Master Sh'!$CD:$CD,"Yes",'LOI and Commissioning Master Sh'!$H:$H,P$3,'LOI and Commissioning Master Sh'!$AC:$AC,"Yes")</f>
        <v>0</v>
      </c>
      <c r="Q217" s="15">
        <f>COUNTIFS('LOI and Commissioning Master Sh'!$D:$D,Summary!$A217, 'LOI and Commissioning Master Sh'!$G:$G,Q$1,'LOI and Commissioning Master Sh'!$CD:$CD,"Yes",'LOI and Commissioning Master Sh'!$H:$H,Q$3,'LOI and Commissioning Master Sh'!$AC:$AC,"Yes")</f>
        <v>0</v>
      </c>
      <c r="R217" s="15">
        <f t="shared" ref="R217:R228" si="243">P217+Q217</f>
        <v>0</v>
      </c>
      <c r="S217" s="15">
        <f>COUNTIFS('LOI and Commissioning Master Sh'!$D:$D,Summary!$A217, 'LOI and Commissioning Master Sh'!$G:$G,S$1,'LOI and Commissioning Master Sh'!$CD:$CD,"Yes",'LOI and Commissioning Master Sh'!$H:$H,S$3,'LOI and Commissioning Master Sh'!$Y:$Y,"Yes")</f>
        <v>0</v>
      </c>
      <c r="T217" s="15">
        <f>COUNTIFS('LOI and Commissioning Master Sh'!$D:$D,Summary!$A217, 'LOI and Commissioning Master Sh'!$G:$G,T$1,'LOI and Commissioning Master Sh'!$CD:$CD,"Yes",'LOI and Commissioning Master Sh'!$H:$H,T$3,'LOI and Commissioning Master Sh'!$Y:$Y,"Yes")</f>
        <v>0</v>
      </c>
      <c r="U217" s="15">
        <f t="shared" ref="U217:U228" si="244">S217+T217</f>
        <v>0</v>
      </c>
      <c r="V217" s="17">
        <f>COUNTIFS('LOI and Commissioning Master Sh'!$D:$D,Summary!$A217, 'LOI and Commissioning Master Sh'!$G:$G,V$1,'LOI and Commissioning Master Sh'!$CD:$CD,"Yes",'LOI and Commissioning Master Sh'!$H:$H,V$3)</f>
        <v>1</v>
      </c>
      <c r="W217" s="17">
        <f>COUNTIFS('LOI and Commissioning Master Sh'!$D:$D,Summary!$A217, 'LOI and Commissioning Master Sh'!$G:$G,W$1,'LOI and Commissioning Master Sh'!$CD:$CD,"Yes",'LOI and Commissioning Master Sh'!$H:$H,W$3)</f>
        <v>0</v>
      </c>
      <c r="X217" s="17">
        <f>V217+W217</f>
        <v>1</v>
      </c>
      <c r="Y217" s="17">
        <f>COUNTIFS('LOI and Commissioning Master Sh'!$D:$D,Summary!$A217, 'LOI and Commissioning Master Sh'!$G:$G,Y$1,'LOI and Commissioning Master Sh'!$CD:$CD,"Yes",'LOI and Commissioning Master Sh'!$H:$H,Y$3,'LOI and Commissioning Master Sh'!$AC:$AC,"Yes")</f>
        <v>0</v>
      </c>
      <c r="Z217" s="17">
        <f>COUNTIFS('LOI and Commissioning Master Sh'!$D:$D,Summary!$A217, 'LOI and Commissioning Master Sh'!$G:$G,Z$1,'LOI and Commissioning Master Sh'!$CD:$CD,"Yes",'LOI and Commissioning Master Sh'!$H:$H,Z$3,'LOI and Commissioning Master Sh'!$AC:$AC,"Yes")</f>
        <v>0</v>
      </c>
      <c r="AA217" s="17">
        <f>Y217+Z217</f>
        <v>0</v>
      </c>
      <c r="AB217" s="17">
        <f>COUNTIFS('LOI and Commissioning Master Sh'!$D:$D,Summary!$A217, 'LOI and Commissioning Master Sh'!$G:$G,AB$1,'LOI and Commissioning Master Sh'!$CD:$CD,"Yes",'LOI and Commissioning Master Sh'!$H:$H,AB$3,'LOI and Commissioning Master Sh'!$Y:$Y,"Yes")</f>
        <v>0</v>
      </c>
      <c r="AC217" s="17">
        <f>COUNTIFS('LOI and Commissioning Master Sh'!$D:$D,Summary!$A217, 'LOI and Commissioning Master Sh'!$G:$G,AC$1,'LOI and Commissioning Master Sh'!$CD:$CD,"Yes",'LOI and Commissioning Master Sh'!$H:$H,AC$3,'LOI and Commissioning Master Sh'!$Y:$Y,"Yes")</f>
        <v>0</v>
      </c>
      <c r="AD217" s="17">
        <f>AB217+AC217</f>
        <v>0</v>
      </c>
      <c r="AE217" s="19">
        <f>COUNTIFS('LOI and Commissioning Master Sh'!$D:$D,Summary!$A217, 'LOI and Commissioning Master Sh'!$G:$G,AE$1,'LOI and Commissioning Master Sh'!$CD:$CD,"Yes",'LOI and Commissioning Master Sh'!$H:$H,AE$3)</f>
        <v>1</v>
      </c>
      <c r="AF217" s="19">
        <f>COUNTIFS('LOI and Commissioning Master Sh'!$D:$D,Summary!$A217, 'LOI and Commissioning Master Sh'!$G:$G,AF$1,'LOI and Commissioning Master Sh'!$CD:$CD,"Yes",'LOI and Commissioning Master Sh'!$H:$H,AF$3)</f>
        <v>2</v>
      </c>
      <c r="AG217" s="19">
        <f>AE217+AF217</f>
        <v>3</v>
      </c>
      <c r="AH217" s="19">
        <f>COUNTIFS('LOI and Commissioning Master Sh'!$D:$D,Summary!$A217, 'LOI and Commissioning Master Sh'!$G:$G,AH$1,'LOI and Commissioning Master Sh'!$CD:$CD,"Yes",'LOI and Commissioning Master Sh'!$H:$H,AH$3,'LOI and Commissioning Master Sh'!$AC:$AC,"Yes")</f>
        <v>1</v>
      </c>
      <c r="AI217" s="19">
        <f>COUNTIFS('LOI and Commissioning Master Sh'!$D:$D,Summary!$A217, 'LOI and Commissioning Master Sh'!$G:$G,AI$1,'LOI and Commissioning Master Sh'!$CD:$CD,"Yes",'LOI and Commissioning Master Sh'!$H:$H,AI$3,'LOI and Commissioning Master Sh'!$AC:$AC,"Yes")</f>
        <v>0</v>
      </c>
      <c r="AJ217" s="19">
        <f>AH217+AI217</f>
        <v>1</v>
      </c>
      <c r="AK217" s="19">
        <f>COUNTIFS('LOI and Commissioning Master Sh'!$D:$D,Summary!$A217, 'LOI and Commissioning Master Sh'!$G:$G,AK$1,'LOI and Commissioning Master Sh'!$CD:$CD,"Yes",'LOI and Commissioning Master Sh'!$H:$H,AK$3,'LOI and Commissioning Master Sh'!$Y:$Y,"Yes")</f>
        <v>0</v>
      </c>
      <c r="AL217" s="19">
        <f>COUNTIFS('LOI and Commissioning Master Sh'!$D:$D,Summary!$A217, 'LOI and Commissioning Master Sh'!$G:$G,AL$1,'LOI and Commissioning Master Sh'!$CD:$CD,"Yes",'LOI and Commissioning Master Sh'!$H:$H,AL$3,'LOI and Commissioning Master Sh'!$Y:$Y,"Yes")</f>
        <v>1</v>
      </c>
      <c r="AM217" s="19">
        <f>AK217+AL217</f>
        <v>1</v>
      </c>
      <c r="AN217" s="21">
        <f>COUNTIFS('LOI and Commissioning Master Sh'!$D:$D,Summary!$A217, 'LOI and Commissioning Master Sh'!$G:$G,AN$1,'LOI and Commissioning Master Sh'!$CD:$CD,"Yes",'LOI and Commissioning Master Sh'!$H:$H,AN$3)</f>
        <v>0</v>
      </c>
      <c r="AO217" s="21">
        <f>COUNTIFS('LOI and Commissioning Master Sh'!$D:$D,Summary!$A217, 'LOI and Commissioning Master Sh'!$G:$G,AO$1,'LOI and Commissioning Master Sh'!$CD:$CD,"Yes",'LOI and Commissioning Master Sh'!$H:$H,AO$3)</f>
        <v>0</v>
      </c>
      <c r="AP217" s="21">
        <f>AN217+AO217</f>
        <v>0</v>
      </c>
      <c r="AQ217" s="21">
        <f>COUNTIFS('LOI and Commissioning Master Sh'!$D:$D,Summary!$A217, 'LOI and Commissioning Master Sh'!$G:$G,AQ$1,'LOI and Commissioning Master Sh'!$CD:$CD,"Yes",'LOI and Commissioning Master Sh'!$H:$H,AQ$3,'LOI and Commissioning Master Sh'!$AC:$AC,"Yes")</f>
        <v>0</v>
      </c>
      <c r="AR217" s="21">
        <f>COUNTIFS('LOI and Commissioning Master Sh'!$D:$D,Summary!$A217, 'LOI and Commissioning Master Sh'!$G:$G,AR$1,'LOI and Commissioning Master Sh'!$CD:$CD,"Yes",'LOI and Commissioning Master Sh'!$H:$H,AR$3,'LOI and Commissioning Master Sh'!$AC:$AC,"Yes")</f>
        <v>0</v>
      </c>
      <c r="AS217" s="21">
        <f>AQ217+AR217</f>
        <v>0</v>
      </c>
      <c r="AT217" s="21">
        <f>COUNTIFS('LOI and Commissioning Master Sh'!$D:$D,Summary!$A217, 'LOI and Commissioning Master Sh'!$G:$G,AT$1,'LOI and Commissioning Master Sh'!$CD:$CD,"Yes",'LOI and Commissioning Master Sh'!$H:$H,AT$3,'LOI and Commissioning Master Sh'!$Y:$Y,"Yes")</f>
        <v>0</v>
      </c>
      <c r="AU217" s="21">
        <f>COUNTIFS('LOI and Commissioning Master Sh'!$D:$D,Summary!$A217, 'LOI and Commissioning Master Sh'!$G:$G,AU$1,'LOI and Commissioning Master Sh'!$CD:$CD,"Yes",'LOI and Commissioning Master Sh'!$H:$H,AU$3,'LOI and Commissioning Master Sh'!$Y:$Y,"Yes")</f>
        <v>0</v>
      </c>
      <c r="AV217" s="21">
        <f>AT217+AU217</f>
        <v>0</v>
      </c>
      <c r="AW217" s="23">
        <f>COUNTIFS('LOI and Commissioning Master Sh'!$D:$D,Summary!$A217, 'LOI and Commissioning Master Sh'!$G:$G,AW$1,'LOI and Commissioning Master Sh'!$CD:$CD,"Yes",'LOI and Commissioning Master Sh'!$H:$H,AW$3)</f>
        <v>0</v>
      </c>
      <c r="AX217" s="23">
        <f>COUNTIFS('LOI and Commissioning Master Sh'!$D:$D,Summary!$A217, 'LOI and Commissioning Master Sh'!$G:$G,AX$1,'LOI and Commissioning Master Sh'!$CD:$CD,"Yes",'LOI and Commissioning Master Sh'!$H:$H,AX$3)</f>
        <v>1</v>
      </c>
      <c r="AY217" s="23">
        <f t="shared" ref="AY217:AY223" si="245">+AW217+AX217</f>
        <v>1</v>
      </c>
      <c r="AZ217" s="23">
        <f>COUNTIFS('LOI and Commissioning Master Sh'!$D:$D,Summary!$A217, 'LOI and Commissioning Master Sh'!$G:$G,AZ$1,'LOI and Commissioning Master Sh'!$CD:$CD,"Yes",'LOI and Commissioning Master Sh'!$H:$H,AZ$3,'LOI and Commissioning Master Sh'!$AC:$AC,"Yes")</f>
        <v>0</v>
      </c>
      <c r="BA217" s="23">
        <f>COUNTIFS('LOI and Commissioning Master Sh'!$D:$D,Summary!$A217, 'LOI and Commissioning Master Sh'!$G:$G,BA$1,'LOI and Commissioning Master Sh'!$CD:$CD,"Yes",'LOI and Commissioning Master Sh'!$H:$H,BA$3,'LOI and Commissioning Master Sh'!$AC:$AC,"Yes")</f>
        <v>0</v>
      </c>
      <c r="BB217" s="23">
        <f>+AZ217+BA217</f>
        <v>0</v>
      </c>
      <c r="BC217" s="23">
        <f>COUNTIFS('LOI and Commissioning Master Sh'!$D:$D,Summary!$A217, 'LOI and Commissioning Master Sh'!$G:$G,BC$1,'LOI and Commissioning Master Sh'!$CD:$CD,"Yes",'LOI and Commissioning Master Sh'!$H:$H,BC$3,'LOI and Commissioning Master Sh'!$Y:$Y,"Yes")</f>
        <v>0</v>
      </c>
      <c r="BD217" s="23">
        <f>COUNTIFS('LOI and Commissioning Master Sh'!$D:$D,Summary!$A217, 'LOI and Commissioning Master Sh'!$G:$G,BD$1,'LOI and Commissioning Master Sh'!$CD:$CD,"Yes",'LOI and Commissioning Master Sh'!$H:$H,BD$3,'LOI and Commissioning Master Sh'!$Y:$Y,"Yes")</f>
        <v>0</v>
      </c>
      <c r="BE217" s="23">
        <f>+BC217+BD217</f>
        <v>0</v>
      </c>
      <c r="BF217" s="35">
        <f>COUNTIFS('LOI and Commissioning Master Sh'!$D:$D,Summary!$A217,'LOI and Commissioning Master Sh'!$G:$G,Summary!BF$2,'LOI and Commissioning Master Sh'!$H:$H,Summary!BF$3,'LOI and Commissioning Master Sh'!$BW:$BW, "Commissioned")</f>
        <v>0</v>
      </c>
      <c r="BG217" s="35">
        <f>COUNTIFS('LOI and Commissioning Master Sh'!$D:$D,Summary!$A217,'LOI and Commissioning Master Sh'!$G:$G,Summary!BG$2,'LOI and Commissioning Master Sh'!$H:$H,Summary!BG$3,'LOI and Commissioning Master Sh'!$BW:$BW, "Commissioned")</f>
        <v>0</v>
      </c>
      <c r="BH217" s="35">
        <f>COUNTIFS('LOI and Commissioning Master Sh'!$D:$D,Summary!$A217,'LOI and Commissioning Master Sh'!$G:$G,Summary!BH$2,'LOI and Commissioning Master Sh'!$H:$H,Summary!BH$3,'LOI and Commissioning Master Sh'!$BW:$BW, "Commissioned")</f>
        <v>0</v>
      </c>
      <c r="BI217" s="35">
        <f>COUNTIFS('LOI and Commissioning Master Sh'!$D:$D,Summary!$A217,'LOI and Commissioning Master Sh'!$G:$G,Summary!BI$2,'LOI and Commissioning Master Sh'!$H:$H,Summary!BI$3,'LOI and Commissioning Master Sh'!$BW:$BW, "Commissioned")</f>
        <v>0</v>
      </c>
      <c r="BJ217" s="35">
        <f>COUNTIFS('LOI and Commissioning Master Sh'!$D:$D,Summary!$A217,'LOI and Commissioning Master Sh'!$G:$G,Summary!BJ$2,'LOI and Commissioning Master Sh'!$H:$H,Summary!BJ$3,'LOI and Commissioning Master Sh'!$BW:$BW, "Commissioned")</f>
        <v>0</v>
      </c>
      <c r="BK217" s="35">
        <f>COUNTIFS('LOI and Commissioning Master Sh'!$D:$D,Summary!$A217,'LOI and Commissioning Master Sh'!$G:$G,Summary!BK$2,'LOI and Commissioning Master Sh'!$H:$H,Summary!BK$3,'LOI and Commissioning Master Sh'!$BW:$BW, "Commissioned")</f>
        <v>0</v>
      </c>
      <c r="BL217" s="35">
        <f>COUNTIFS('LOI and Commissioning Master Sh'!$D:$D,Summary!$A217,'LOI and Commissioning Master Sh'!$G:$G,Summary!BL$2,'LOI and Commissioning Master Sh'!$H:$H,Summary!BL$3,'LOI and Commissioning Master Sh'!$BW:$BW, "Commissioned")</f>
        <v>0</v>
      </c>
      <c r="BM217" s="35">
        <f>COUNTIFS('LOI and Commissioning Master Sh'!$D:$D,Summary!$A217,'LOI and Commissioning Master Sh'!$G:$G,Summary!BM$2,'LOI and Commissioning Master Sh'!$H:$H,Summary!BM$3,'LOI and Commissioning Master Sh'!$BW:$BW, "Commissioned")</f>
        <v>0</v>
      </c>
      <c r="BN217" s="35">
        <f>COUNTIFS('LOI and Commissioning Master Sh'!$D:$D,Summary!$A217,'LOI and Commissioning Master Sh'!$G:$G,Summary!BN$2,'LOI and Commissioning Master Sh'!$H:$H,Summary!BN$3,'LOI and Commissioning Master Sh'!$BW:$BW, "Commissioned")</f>
        <v>0</v>
      </c>
      <c r="BO217" s="35">
        <f>COUNTIFS('LOI and Commissioning Master Sh'!$D:$D,Summary!$A217,'LOI and Commissioning Master Sh'!$G:$G,Summary!BO$2,'LOI and Commissioning Master Sh'!$H:$H,Summary!BO$3,'LOI and Commissioning Master Sh'!$BW:$BW, "Commissioned")</f>
        <v>0</v>
      </c>
      <c r="BP217" s="35">
        <f>COUNTIFS('LOI and Commissioning Master Sh'!$D:$D,Summary!$A217,'LOI and Commissioning Master Sh'!$G:$G,Summary!BP$2,'LOI and Commissioning Master Sh'!$H:$H,Summary!BP$3,'LOI and Commissioning Master Sh'!$BW:$BW, "Commissioned")</f>
        <v>0</v>
      </c>
      <c r="BQ217" s="35">
        <f>COUNTIFS('LOI and Commissioning Master Sh'!$D:$D,Summary!$A217,'LOI and Commissioning Master Sh'!$G:$G,Summary!BQ$2,'LOI and Commissioning Master Sh'!$H:$H,Summary!BQ$3,'LOI and Commissioning Master Sh'!$BW:$BW, "Commissioned")</f>
        <v>0</v>
      </c>
      <c r="BR217" s="43">
        <f t="shared" ref="BR217:BR227" si="246">+SUM(BF217:BQ217)</f>
        <v>0</v>
      </c>
    </row>
    <row r="218" spans="1:70" x14ac:dyDescent="0.25">
      <c r="A218" s="86" t="s">
        <v>156</v>
      </c>
      <c r="B218" s="19">
        <f>COUNTIFS('LOI and Commissioning Master Sh'!D:D,Summary!A218)</f>
        <v>33</v>
      </c>
      <c r="C218" s="13">
        <f>COUNTIFS('LOI and Commissioning Master Sh'!$D:$D,Summary!$A218,'LOI and Commissioning Master Sh'!$CD:$CD,"Yes",'LOI and Commissioning Master Sh'!$H:$H,"A")</f>
        <v>1</v>
      </c>
      <c r="D218" s="13">
        <f>COUNTIFS('LOI and Commissioning Master Sh'!$D:$D,Summary!$A218,'LOI and Commissioning Master Sh'!$CD:$CD,"Yes",'LOI and Commissioning Master Sh'!$H:$H,"B")</f>
        <v>9</v>
      </c>
      <c r="E218" s="13">
        <f t="shared" si="239"/>
        <v>10</v>
      </c>
      <c r="F218" s="13">
        <f>+COUNTIFS('LOI and Commissioning Master Sh'!$D:$D,Summary!$A218,'LOI and Commissioning Master Sh'!$CD:$CD, "Yes",'LOI and Commissioning Master Sh'!$BK:$BK, "Yes")</f>
        <v>9</v>
      </c>
      <c r="G218" s="13">
        <f>COUNTIFS('LOI and Commissioning Master Sh'!$D:$D,Summary!$A218,'LOI and Commissioning Master Sh'!$CD:$CD,"Yes",'LOI and Commissioning Master Sh'!$H:$H,"A",'LOI and Commissioning Master Sh'!$AC:$AC,"Yes")</f>
        <v>1</v>
      </c>
      <c r="H218" s="13">
        <f>COUNTIFS('LOI and Commissioning Master Sh'!$D:$D,Summary!$A218,'LOI and Commissioning Master Sh'!$CD:$CD,"Yes",'LOI and Commissioning Master Sh'!$H:$H,"B",'LOI and Commissioning Master Sh'!$AC:$AC,"Yes")</f>
        <v>0</v>
      </c>
      <c r="I218" s="267">
        <f t="shared" si="240"/>
        <v>1</v>
      </c>
      <c r="J218" s="13">
        <f>COUNTIFS('LOI and Commissioning Master Sh'!$D:$D,Summary!$A218,'LOI and Commissioning Master Sh'!$CD:$CD,"Yes",'LOI and Commissioning Master Sh'!$H:$H,"A",'LOI and Commissioning Master Sh'!$Y:$Y,"Yes")</f>
        <v>0</v>
      </c>
      <c r="K218" s="13">
        <f>COUNTIFS('LOI and Commissioning Master Sh'!$D:$D,Summary!$A218,'LOI and Commissioning Master Sh'!$CD:$CD,"Yes",'LOI and Commissioning Master Sh'!$H:$H,"B",'LOI and Commissioning Master Sh'!$Y:$Y,"Yes")</f>
        <v>4</v>
      </c>
      <c r="L218" s="13">
        <f t="shared" si="241"/>
        <v>4</v>
      </c>
      <c r="M218" s="15">
        <f>COUNTIFS('LOI and Commissioning Master Sh'!$D:$D,Summary!$A218, 'LOI and Commissioning Master Sh'!$G:$G,M$1,'LOI and Commissioning Master Sh'!$CD:$CD,"Yes",'LOI and Commissioning Master Sh'!$H:$H,M$3)</f>
        <v>0</v>
      </c>
      <c r="N218" s="15">
        <f>COUNTIFS('LOI and Commissioning Master Sh'!$D:$D,Summary!$A218, 'LOI and Commissioning Master Sh'!$G:$G,N$1,'LOI and Commissioning Master Sh'!$CD:$CD,"Yes",'LOI and Commissioning Master Sh'!$H:$H,N$3)</f>
        <v>0</v>
      </c>
      <c r="O218" s="15">
        <f t="shared" si="242"/>
        <v>0</v>
      </c>
      <c r="P218" s="15">
        <f>COUNTIFS('LOI and Commissioning Master Sh'!$D:$D,Summary!$A218, 'LOI and Commissioning Master Sh'!$G:$G,P$1,'LOI and Commissioning Master Sh'!$CD:$CD,"Yes",'LOI and Commissioning Master Sh'!$H:$H,P$3,'LOI and Commissioning Master Sh'!$AC:$AC,"Yes")</f>
        <v>0</v>
      </c>
      <c r="Q218" s="15">
        <f>COUNTIFS('LOI and Commissioning Master Sh'!$D:$D,Summary!$A218, 'LOI and Commissioning Master Sh'!$G:$G,Q$1,'LOI and Commissioning Master Sh'!$CD:$CD,"Yes",'LOI and Commissioning Master Sh'!$H:$H,Q$3,'LOI and Commissioning Master Sh'!$AC:$AC,"Yes")</f>
        <v>0</v>
      </c>
      <c r="R218" s="15">
        <f t="shared" si="243"/>
        <v>0</v>
      </c>
      <c r="S218" s="15">
        <f>COUNTIFS('LOI and Commissioning Master Sh'!$D:$D,Summary!$A218, 'LOI and Commissioning Master Sh'!$G:$G,S$1,'LOI and Commissioning Master Sh'!$CD:$CD,"Yes",'LOI and Commissioning Master Sh'!$H:$H,S$3,'LOI and Commissioning Master Sh'!$Y:$Y,"Yes")</f>
        <v>0</v>
      </c>
      <c r="T218" s="15">
        <f>COUNTIFS('LOI and Commissioning Master Sh'!$D:$D,Summary!$A218, 'LOI and Commissioning Master Sh'!$G:$G,T$1,'LOI and Commissioning Master Sh'!$CD:$CD,"Yes",'LOI and Commissioning Master Sh'!$H:$H,T$3,'LOI and Commissioning Master Sh'!$Y:$Y,"Yes")</f>
        <v>0</v>
      </c>
      <c r="U218" s="15">
        <f t="shared" si="244"/>
        <v>0</v>
      </c>
      <c r="V218" s="17">
        <f>COUNTIFS('LOI and Commissioning Master Sh'!$D:$D,Summary!$A218, 'LOI and Commissioning Master Sh'!$G:$G,V$1,'LOI and Commissioning Master Sh'!$CD:$CD,"Yes",'LOI and Commissioning Master Sh'!$H:$H,V$3)</f>
        <v>0</v>
      </c>
      <c r="W218" s="17">
        <f>COUNTIFS('LOI and Commissioning Master Sh'!$D:$D,Summary!$A218, 'LOI and Commissioning Master Sh'!$G:$G,W$1,'LOI and Commissioning Master Sh'!$CD:$CD,"Yes",'LOI and Commissioning Master Sh'!$H:$H,W$3)</f>
        <v>4</v>
      </c>
      <c r="X218" s="17">
        <f t="shared" ref="X218:X228" si="247">V218+W218</f>
        <v>4</v>
      </c>
      <c r="Y218" s="17">
        <f>COUNTIFS('LOI and Commissioning Master Sh'!$D:$D,Summary!$A218, 'LOI and Commissioning Master Sh'!$G:$G,Y$1,'LOI and Commissioning Master Sh'!$CD:$CD,"Yes",'LOI and Commissioning Master Sh'!$H:$H,Y$3,'LOI and Commissioning Master Sh'!$AC:$AC,"Yes")</f>
        <v>0</v>
      </c>
      <c r="Z218" s="17">
        <f>COUNTIFS('LOI and Commissioning Master Sh'!$D:$D,Summary!$A218, 'LOI and Commissioning Master Sh'!$G:$G,Z$1,'LOI and Commissioning Master Sh'!$CD:$CD,"Yes",'LOI and Commissioning Master Sh'!$H:$H,Z$3,'LOI and Commissioning Master Sh'!$AC:$AC,"Yes")</f>
        <v>0</v>
      </c>
      <c r="AA218" s="17">
        <f t="shared" ref="AA218:AA228" si="248">Y218+Z218</f>
        <v>0</v>
      </c>
      <c r="AB218" s="17">
        <f>COUNTIFS('LOI and Commissioning Master Sh'!$D:$D,Summary!$A218, 'LOI and Commissioning Master Sh'!$G:$G,AB$1,'LOI and Commissioning Master Sh'!$CD:$CD,"Yes",'LOI and Commissioning Master Sh'!$H:$H,AB$3,'LOI and Commissioning Master Sh'!$Y:$Y,"Yes")</f>
        <v>0</v>
      </c>
      <c r="AC218" s="17">
        <f>COUNTIFS('LOI and Commissioning Master Sh'!$D:$D,Summary!$A218, 'LOI and Commissioning Master Sh'!$G:$G,AC$1,'LOI and Commissioning Master Sh'!$CD:$CD,"Yes",'LOI and Commissioning Master Sh'!$H:$H,AC$3,'LOI and Commissioning Master Sh'!$Y:$Y,"Yes")</f>
        <v>3</v>
      </c>
      <c r="AD218" s="17">
        <f t="shared" ref="AD218:AD228" si="249">AB218+AC218</f>
        <v>3</v>
      </c>
      <c r="AE218" s="19">
        <f>COUNTIFS('LOI and Commissioning Master Sh'!$D:$D,Summary!$A218, 'LOI and Commissioning Master Sh'!$G:$G,AE$1,'LOI and Commissioning Master Sh'!$CD:$CD,"Yes",'LOI and Commissioning Master Sh'!$H:$H,AE$3)</f>
        <v>1</v>
      </c>
      <c r="AF218" s="19">
        <f>COUNTIFS('LOI and Commissioning Master Sh'!$D:$D,Summary!$A218, 'LOI and Commissioning Master Sh'!$G:$G,AF$1,'LOI and Commissioning Master Sh'!$CD:$CD,"Yes",'LOI and Commissioning Master Sh'!$H:$H,AF$3)</f>
        <v>2</v>
      </c>
      <c r="AG218" s="19">
        <f t="shared" ref="AG218:AG228" si="250">AE218+AF218</f>
        <v>3</v>
      </c>
      <c r="AH218" s="19">
        <f>COUNTIFS('LOI and Commissioning Master Sh'!$D:$D,Summary!$A218, 'LOI and Commissioning Master Sh'!$G:$G,AH$1,'LOI and Commissioning Master Sh'!$CD:$CD,"Yes",'LOI and Commissioning Master Sh'!$H:$H,AH$3,'LOI and Commissioning Master Sh'!$AC:$AC,"Yes")</f>
        <v>1</v>
      </c>
      <c r="AI218" s="19">
        <f>COUNTIFS('LOI and Commissioning Master Sh'!$D:$D,Summary!$A218, 'LOI and Commissioning Master Sh'!$G:$G,AI$1,'LOI and Commissioning Master Sh'!$CD:$CD,"Yes",'LOI and Commissioning Master Sh'!$H:$H,AI$3,'LOI and Commissioning Master Sh'!$AC:$AC,"Yes")</f>
        <v>0</v>
      </c>
      <c r="AJ218" s="19">
        <f t="shared" ref="AJ218:AJ228" si="251">AH218+AI218</f>
        <v>1</v>
      </c>
      <c r="AK218" s="19">
        <f>COUNTIFS('LOI and Commissioning Master Sh'!$D:$D,Summary!$A218, 'LOI and Commissioning Master Sh'!$G:$G,AK$1,'LOI and Commissioning Master Sh'!$CD:$CD,"Yes",'LOI and Commissioning Master Sh'!$H:$H,AK$3,'LOI and Commissioning Master Sh'!$Y:$Y,"Yes")</f>
        <v>0</v>
      </c>
      <c r="AL218" s="19">
        <f>COUNTIFS('LOI and Commissioning Master Sh'!$D:$D,Summary!$A218, 'LOI and Commissioning Master Sh'!$G:$G,AL$1,'LOI and Commissioning Master Sh'!$CD:$CD,"Yes",'LOI and Commissioning Master Sh'!$H:$H,AL$3,'LOI and Commissioning Master Sh'!$Y:$Y,"Yes")</f>
        <v>1</v>
      </c>
      <c r="AM218" s="19">
        <f t="shared" ref="AM218:AM228" si="252">AK218+AL218</f>
        <v>1</v>
      </c>
      <c r="AN218" s="21">
        <f>COUNTIFS('LOI and Commissioning Master Sh'!$D:$D,Summary!$A218, 'LOI and Commissioning Master Sh'!$G:$G,AN$1,'LOI and Commissioning Master Sh'!$CD:$CD,"Yes",'LOI and Commissioning Master Sh'!$H:$H,AN$3)</f>
        <v>0</v>
      </c>
      <c r="AO218" s="21">
        <f>COUNTIFS('LOI and Commissioning Master Sh'!$D:$D,Summary!$A218, 'LOI and Commissioning Master Sh'!$G:$G,AO$1,'LOI and Commissioning Master Sh'!$CD:$CD,"Yes",'LOI and Commissioning Master Sh'!$H:$H,AO$3)</f>
        <v>0</v>
      </c>
      <c r="AP218" s="21">
        <f t="shared" ref="AP218:AP228" si="253">AN218+AO218</f>
        <v>0</v>
      </c>
      <c r="AQ218" s="21">
        <f>COUNTIFS('LOI and Commissioning Master Sh'!$D:$D,Summary!$A218, 'LOI and Commissioning Master Sh'!$G:$G,AQ$1,'LOI and Commissioning Master Sh'!$CD:$CD,"Yes",'LOI and Commissioning Master Sh'!$H:$H,AQ$3,'LOI and Commissioning Master Sh'!$AC:$AC,"Yes")</f>
        <v>0</v>
      </c>
      <c r="AR218" s="21">
        <f>COUNTIFS('LOI and Commissioning Master Sh'!$D:$D,Summary!$A218, 'LOI and Commissioning Master Sh'!$G:$G,AR$1,'LOI and Commissioning Master Sh'!$CD:$CD,"Yes",'LOI and Commissioning Master Sh'!$H:$H,AR$3,'LOI and Commissioning Master Sh'!$AC:$AC,"Yes")</f>
        <v>0</v>
      </c>
      <c r="AS218" s="21">
        <f t="shared" ref="AS218:AS228" si="254">AQ218+AR218</f>
        <v>0</v>
      </c>
      <c r="AT218" s="21">
        <f>COUNTIFS('LOI and Commissioning Master Sh'!$D:$D,Summary!$A218, 'LOI and Commissioning Master Sh'!$G:$G,AT$1,'LOI and Commissioning Master Sh'!$CD:$CD,"Yes",'LOI and Commissioning Master Sh'!$H:$H,AT$3,'LOI and Commissioning Master Sh'!$Y:$Y,"Yes")</f>
        <v>0</v>
      </c>
      <c r="AU218" s="21">
        <f>COUNTIFS('LOI and Commissioning Master Sh'!$D:$D,Summary!$A218, 'LOI and Commissioning Master Sh'!$G:$G,AU$1,'LOI and Commissioning Master Sh'!$CD:$CD,"Yes",'LOI and Commissioning Master Sh'!$H:$H,AU$3,'LOI and Commissioning Master Sh'!$Y:$Y,"Yes")</f>
        <v>0</v>
      </c>
      <c r="AV218" s="21">
        <f t="shared" ref="AV218:AV228" si="255">AT218+AU218</f>
        <v>0</v>
      </c>
      <c r="AW218" s="23">
        <f>COUNTIFS('LOI and Commissioning Master Sh'!$D:$D,Summary!$A218, 'LOI and Commissioning Master Sh'!$G:$G,AW$1,'LOI and Commissioning Master Sh'!$CD:$CD,"Yes",'LOI and Commissioning Master Sh'!$H:$H,AW$3)</f>
        <v>0</v>
      </c>
      <c r="AX218" s="23">
        <f>COUNTIFS('LOI and Commissioning Master Sh'!$D:$D,Summary!$A218, 'LOI and Commissioning Master Sh'!$G:$G,AX$1,'LOI and Commissioning Master Sh'!$CD:$CD,"Yes",'LOI and Commissioning Master Sh'!$H:$H,AX$3)</f>
        <v>3</v>
      </c>
      <c r="AY218" s="23">
        <f t="shared" si="245"/>
        <v>3</v>
      </c>
      <c r="AZ218" s="23">
        <f>COUNTIFS('LOI and Commissioning Master Sh'!$D:$D,Summary!$A218, 'LOI and Commissioning Master Sh'!$G:$G,AZ$1,'LOI and Commissioning Master Sh'!$CD:$CD,"Yes",'LOI and Commissioning Master Sh'!$H:$H,AZ$3,'LOI and Commissioning Master Sh'!$AC:$AC,"Yes")</f>
        <v>0</v>
      </c>
      <c r="BA218" s="23">
        <f>COUNTIFS('LOI and Commissioning Master Sh'!$D:$D,Summary!$A218, 'LOI and Commissioning Master Sh'!$G:$G,BA$1,'LOI and Commissioning Master Sh'!$CD:$CD,"Yes",'LOI and Commissioning Master Sh'!$H:$H,BA$3,'LOI and Commissioning Master Sh'!$AC:$AC,"Yes")</f>
        <v>0</v>
      </c>
      <c r="BB218" s="23">
        <f t="shared" ref="BB218:BB228" si="256">+AZ218+BA218</f>
        <v>0</v>
      </c>
      <c r="BC218" s="23">
        <f>COUNTIFS('LOI and Commissioning Master Sh'!$D:$D,Summary!$A218, 'LOI and Commissioning Master Sh'!$G:$G,BC$1,'LOI and Commissioning Master Sh'!$CD:$CD,"Yes",'LOI and Commissioning Master Sh'!$H:$H,BC$3,'LOI and Commissioning Master Sh'!$Y:$Y,"Yes")</f>
        <v>0</v>
      </c>
      <c r="BD218" s="23">
        <f>COUNTIFS('LOI and Commissioning Master Sh'!$D:$D,Summary!$A218, 'LOI and Commissioning Master Sh'!$G:$G,BD$1,'LOI and Commissioning Master Sh'!$CD:$CD,"Yes",'LOI and Commissioning Master Sh'!$H:$H,BD$3,'LOI and Commissioning Master Sh'!$Y:$Y,"Yes")</f>
        <v>0</v>
      </c>
      <c r="BE218" s="23">
        <f t="shared" ref="BE218:BE228" si="257">+BC218+BD218</f>
        <v>0</v>
      </c>
      <c r="BF218" s="35">
        <f>COUNTIFS('LOI and Commissioning Master Sh'!$D:$D,Summary!$A218,'LOI and Commissioning Master Sh'!$G:$G,Summary!BF$2,'LOI and Commissioning Master Sh'!$H:$H,Summary!BF$3,'LOI and Commissioning Master Sh'!$BW:$BW, "Commissioned")</f>
        <v>0</v>
      </c>
      <c r="BG218" s="35">
        <f>COUNTIFS('LOI and Commissioning Master Sh'!$D:$D,Summary!$A218,'LOI and Commissioning Master Sh'!$G:$G,Summary!BG$2,'LOI and Commissioning Master Sh'!$H:$H,Summary!BG$3,'LOI and Commissioning Master Sh'!$BW:$BW, "Commissioned")</f>
        <v>0</v>
      </c>
      <c r="BH218" s="35">
        <f>COUNTIFS('LOI and Commissioning Master Sh'!$D:$D,Summary!$A218,'LOI and Commissioning Master Sh'!$G:$G,Summary!BH$2,'LOI and Commissioning Master Sh'!$H:$H,Summary!BH$3,'LOI and Commissioning Master Sh'!$BW:$BW, "Commissioned")</f>
        <v>0</v>
      </c>
      <c r="BI218" s="35">
        <f>COUNTIFS('LOI and Commissioning Master Sh'!$D:$D,Summary!$A218,'LOI and Commissioning Master Sh'!$G:$G,Summary!BI$2,'LOI and Commissioning Master Sh'!$H:$H,Summary!BI$3,'LOI and Commissioning Master Sh'!$BW:$BW, "Commissioned")</f>
        <v>0</v>
      </c>
      <c r="BJ218" s="35">
        <f>COUNTIFS('LOI and Commissioning Master Sh'!$D:$D,Summary!$A218,'LOI and Commissioning Master Sh'!$G:$G,Summary!BJ$2,'LOI and Commissioning Master Sh'!$H:$H,Summary!BJ$3,'LOI and Commissioning Master Sh'!$BW:$BW, "Commissioned")</f>
        <v>0</v>
      </c>
      <c r="BK218" s="35">
        <f>COUNTIFS('LOI and Commissioning Master Sh'!$D:$D,Summary!$A218,'LOI and Commissioning Master Sh'!$G:$G,Summary!BK$2,'LOI and Commissioning Master Sh'!$H:$H,Summary!BK$3,'LOI and Commissioning Master Sh'!$BW:$BW, "Commissioned")</f>
        <v>0</v>
      </c>
      <c r="BL218" s="35">
        <f>COUNTIFS('LOI and Commissioning Master Sh'!$D:$D,Summary!$A218,'LOI and Commissioning Master Sh'!$G:$G,Summary!BL$2,'LOI and Commissioning Master Sh'!$H:$H,Summary!BL$3,'LOI and Commissioning Master Sh'!$BW:$BW, "Commissioned")</f>
        <v>0</v>
      </c>
      <c r="BM218" s="35">
        <f>COUNTIFS('LOI and Commissioning Master Sh'!$D:$D,Summary!$A218,'LOI and Commissioning Master Sh'!$G:$G,Summary!BM$2,'LOI and Commissioning Master Sh'!$H:$H,Summary!BM$3,'LOI and Commissioning Master Sh'!$BW:$BW, "Commissioned")</f>
        <v>1</v>
      </c>
      <c r="BN218" s="35">
        <f>COUNTIFS('LOI and Commissioning Master Sh'!$D:$D,Summary!$A218,'LOI and Commissioning Master Sh'!$G:$G,Summary!BN$2,'LOI and Commissioning Master Sh'!$H:$H,Summary!BN$3,'LOI and Commissioning Master Sh'!$BW:$BW, "Commissioned")</f>
        <v>0</v>
      </c>
      <c r="BO218" s="35">
        <f>COUNTIFS('LOI and Commissioning Master Sh'!$D:$D,Summary!$A218,'LOI and Commissioning Master Sh'!$G:$G,Summary!BO$2,'LOI and Commissioning Master Sh'!$H:$H,Summary!BO$3,'LOI and Commissioning Master Sh'!$BW:$BW, "Commissioned")</f>
        <v>0</v>
      </c>
      <c r="BP218" s="35">
        <f>COUNTIFS('LOI and Commissioning Master Sh'!$D:$D,Summary!$A218,'LOI and Commissioning Master Sh'!$G:$G,Summary!BP$2,'LOI and Commissioning Master Sh'!$H:$H,Summary!BP$3,'LOI and Commissioning Master Sh'!$BW:$BW, "Commissioned")</f>
        <v>0</v>
      </c>
      <c r="BQ218" s="35">
        <f>COUNTIFS('LOI and Commissioning Master Sh'!$D:$D,Summary!$A218,'LOI and Commissioning Master Sh'!$G:$G,Summary!BQ$2,'LOI and Commissioning Master Sh'!$H:$H,Summary!BQ$3,'LOI and Commissioning Master Sh'!$BW:$BW, "Commissioned")</f>
        <v>0</v>
      </c>
      <c r="BR218" s="43">
        <f t="shared" si="246"/>
        <v>1</v>
      </c>
    </row>
    <row r="219" spans="1:70" x14ac:dyDescent="0.25">
      <c r="A219" s="86" t="s">
        <v>383</v>
      </c>
      <c r="B219" s="19">
        <f>COUNTIFS('LOI and Commissioning Master Sh'!D:D,Summary!A219)</f>
        <v>16</v>
      </c>
      <c r="C219" s="13">
        <f>COUNTIFS('LOI and Commissioning Master Sh'!$D:$D,Summary!$A219,'LOI and Commissioning Master Sh'!$CD:$CD,"Yes",'LOI and Commissioning Master Sh'!$H:$H,"A")</f>
        <v>2</v>
      </c>
      <c r="D219" s="13">
        <f>COUNTIFS('LOI and Commissioning Master Sh'!$D:$D,Summary!$A219,'LOI and Commissioning Master Sh'!$CD:$CD,"Yes",'LOI and Commissioning Master Sh'!$H:$H,"B")</f>
        <v>1</v>
      </c>
      <c r="E219" s="13">
        <f t="shared" si="239"/>
        <v>3</v>
      </c>
      <c r="F219" s="13">
        <f>+COUNTIFS('LOI and Commissioning Master Sh'!$D:$D,Summary!$A219,'LOI and Commissioning Master Sh'!$CD:$CD, "Yes",'LOI and Commissioning Master Sh'!$BK:$BK, "Yes")</f>
        <v>2</v>
      </c>
      <c r="G219" s="13">
        <f>COUNTIFS('LOI and Commissioning Master Sh'!$D:$D,Summary!$A219,'LOI and Commissioning Master Sh'!$CD:$CD,"Yes",'LOI and Commissioning Master Sh'!$H:$H,"A",'LOI and Commissioning Master Sh'!$AC:$AC,"Yes")</f>
        <v>0</v>
      </c>
      <c r="H219" s="13">
        <f>COUNTIFS('LOI and Commissioning Master Sh'!$D:$D,Summary!$A219,'LOI and Commissioning Master Sh'!$CD:$CD,"Yes",'LOI and Commissioning Master Sh'!$H:$H,"B",'LOI and Commissioning Master Sh'!$AC:$AC,"Yes")</f>
        <v>0</v>
      </c>
      <c r="I219" s="267">
        <f t="shared" si="240"/>
        <v>0</v>
      </c>
      <c r="J219" s="13">
        <f>COUNTIFS('LOI and Commissioning Master Sh'!$D:$D,Summary!$A219,'LOI and Commissioning Master Sh'!$CD:$CD,"Yes",'LOI and Commissioning Master Sh'!$H:$H,"A",'LOI and Commissioning Master Sh'!$Y:$Y,"Yes")</f>
        <v>1</v>
      </c>
      <c r="K219" s="13">
        <f>COUNTIFS('LOI and Commissioning Master Sh'!$D:$D,Summary!$A219,'LOI and Commissioning Master Sh'!$CD:$CD,"Yes",'LOI and Commissioning Master Sh'!$H:$H,"B",'LOI and Commissioning Master Sh'!$Y:$Y,"Yes")</f>
        <v>0</v>
      </c>
      <c r="L219" s="13">
        <f t="shared" si="241"/>
        <v>1</v>
      </c>
      <c r="M219" s="15">
        <f>COUNTIFS('LOI and Commissioning Master Sh'!$D:$D,Summary!$A219, 'LOI and Commissioning Master Sh'!$G:$G,M$1,'LOI and Commissioning Master Sh'!$CD:$CD,"Yes",'LOI and Commissioning Master Sh'!$H:$H,M$3)</f>
        <v>1</v>
      </c>
      <c r="N219" s="15">
        <f>COUNTIFS('LOI and Commissioning Master Sh'!$D:$D,Summary!$A219, 'LOI and Commissioning Master Sh'!$G:$G,N$1,'LOI and Commissioning Master Sh'!$CD:$CD,"Yes",'LOI and Commissioning Master Sh'!$H:$H,N$3)</f>
        <v>1</v>
      </c>
      <c r="O219" s="15">
        <f t="shared" si="242"/>
        <v>2</v>
      </c>
      <c r="P219" s="15">
        <f>COUNTIFS('LOI and Commissioning Master Sh'!$D:$D,Summary!$A219, 'LOI and Commissioning Master Sh'!$G:$G,P$1,'LOI and Commissioning Master Sh'!$CD:$CD,"Yes",'LOI and Commissioning Master Sh'!$H:$H,P$3,'LOI and Commissioning Master Sh'!$AC:$AC,"Yes")</f>
        <v>0</v>
      </c>
      <c r="Q219" s="15">
        <f>COUNTIFS('LOI and Commissioning Master Sh'!$D:$D,Summary!$A219, 'LOI and Commissioning Master Sh'!$G:$G,Q$1,'LOI and Commissioning Master Sh'!$CD:$CD,"Yes",'LOI and Commissioning Master Sh'!$H:$H,Q$3,'LOI and Commissioning Master Sh'!$AC:$AC,"Yes")</f>
        <v>0</v>
      </c>
      <c r="R219" s="15">
        <f t="shared" si="243"/>
        <v>0</v>
      </c>
      <c r="S219" s="15">
        <f>COUNTIFS('LOI and Commissioning Master Sh'!$D:$D,Summary!$A219, 'LOI and Commissioning Master Sh'!$G:$G,S$1,'LOI and Commissioning Master Sh'!$CD:$CD,"Yes",'LOI and Commissioning Master Sh'!$H:$H,S$3,'LOI and Commissioning Master Sh'!$Y:$Y,"Yes")</f>
        <v>1</v>
      </c>
      <c r="T219" s="15">
        <f>COUNTIFS('LOI and Commissioning Master Sh'!$D:$D,Summary!$A219, 'LOI and Commissioning Master Sh'!$G:$G,T$1,'LOI and Commissioning Master Sh'!$CD:$CD,"Yes",'LOI and Commissioning Master Sh'!$H:$H,T$3,'LOI and Commissioning Master Sh'!$Y:$Y,"Yes")</f>
        <v>0</v>
      </c>
      <c r="U219" s="15">
        <f t="shared" si="244"/>
        <v>1</v>
      </c>
      <c r="V219" s="17">
        <f>COUNTIFS('LOI and Commissioning Master Sh'!$D:$D,Summary!$A219, 'LOI and Commissioning Master Sh'!$G:$G,V$1,'LOI and Commissioning Master Sh'!$CD:$CD,"Yes",'LOI and Commissioning Master Sh'!$H:$H,V$3)</f>
        <v>1</v>
      </c>
      <c r="W219" s="17">
        <f>COUNTIFS('LOI and Commissioning Master Sh'!$D:$D,Summary!$A219, 'LOI and Commissioning Master Sh'!$G:$G,W$1,'LOI and Commissioning Master Sh'!$CD:$CD,"Yes",'LOI and Commissioning Master Sh'!$H:$H,W$3)</f>
        <v>0</v>
      </c>
      <c r="X219" s="17">
        <f t="shared" si="247"/>
        <v>1</v>
      </c>
      <c r="Y219" s="17">
        <f>COUNTIFS('LOI and Commissioning Master Sh'!$D:$D,Summary!$A219, 'LOI and Commissioning Master Sh'!$G:$G,Y$1,'LOI and Commissioning Master Sh'!$CD:$CD,"Yes",'LOI and Commissioning Master Sh'!$H:$H,Y$3,'LOI and Commissioning Master Sh'!$AC:$AC,"Yes")</f>
        <v>0</v>
      </c>
      <c r="Z219" s="17">
        <f>COUNTIFS('LOI and Commissioning Master Sh'!$D:$D,Summary!$A219, 'LOI and Commissioning Master Sh'!$G:$G,Z$1,'LOI and Commissioning Master Sh'!$CD:$CD,"Yes",'LOI and Commissioning Master Sh'!$H:$H,Z$3,'LOI and Commissioning Master Sh'!$AC:$AC,"Yes")</f>
        <v>0</v>
      </c>
      <c r="AA219" s="17">
        <f t="shared" si="248"/>
        <v>0</v>
      </c>
      <c r="AB219" s="17">
        <f>COUNTIFS('LOI and Commissioning Master Sh'!$D:$D,Summary!$A219, 'LOI and Commissioning Master Sh'!$G:$G,AB$1,'LOI and Commissioning Master Sh'!$CD:$CD,"Yes",'LOI and Commissioning Master Sh'!$H:$H,AB$3,'LOI and Commissioning Master Sh'!$Y:$Y,"Yes")</f>
        <v>0</v>
      </c>
      <c r="AC219" s="17">
        <f>COUNTIFS('LOI and Commissioning Master Sh'!$D:$D,Summary!$A219, 'LOI and Commissioning Master Sh'!$G:$G,AC$1,'LOI and Commissioning Master Sh'!$CD:$CD,"Yes",'LOI and Commissioning Master Sh'!$H:$H,AC$3,'LOI and Commissioning Master Sh'!$Y:$Y,"Yes")</f>
        <v>0</v>
      </c>
      <c r="AD219" s="17">
        <f t="shared" si="249"/>
        <v>0</v>
      </c>
      <c r="AE219" s="19">
        <f>COUNTIFS('LOI and Commissioning Master Sh'!$D:$D,Summary!$A219, 'LOI and Commissioning Master Sh'!$G:$G,AE$1,'LOI and Commissioning Master Sh'!$CD:$CD,"Yes",'LOI and Commissioning Master Sh'!$H:$H,AE$3)</f>
        <v>0</v>
      </c>
      <c r="AF219" s="19">
        <f>COUNTIFS('LOI and Commissioning Master Sh'!$D:$D,Summary!$A219, 'LOI and Commissioning Master Sh'!$G:$G,AF$1,'LOI and Commissioning Master Sh'!$CD:$CD,"Yes",'LOI and Commissioning Master Sh'!$H:$H,AF$3)</f>
        <v>0</v>
      </c>
      <c r="AG219" s="19">
        <f t="shared" si="250"/>
        <v>0</v>
      </c>
      <c r="AH219" s="19">
        <f>COUNTIFS('LOI and Commissioning Master Sh'!$D:$D,Summary!$A219, 'LOI and Commissioning Master Sh'!$G:$G,AH$1,'LOI and Commissioning Master Sh'!$CD:$CD,"Yes",'LOI and Commissioning Master Sh'!$H:$H,AH$3,'LOI and Commissioning Master Sh'!$AC:$AC,"Yes")</f>
        <v>0</v>
      </c>
      <c r="AI219" s="19">
        <f>COUNTIFS('LOI and Commissioning Master Sh'!$D:$D,Summary!$A219, 'LOI and Commissioning Master Sh'!$G:$G,AI$1,'LOI and Commissioning Master Sh'!$CD:$CD,"Yes",'LOI and Commissioning Master Sh'!$H:$H,AI$3,'LOI and Commissioning Master Sh'!$AC:$AC,"Yes")</f>
        <v>0</v>
      </c>
      <c r="AJ219" s="19">
        <f t="shared" si="251"/>
        <v>0</v>
      </c>
      <c r="AK219" s="19">
        <f>COUNTIFS('LOI and Commissioning Master Sh'!$D:$D,Summary!$A219, 'LOI and Commissioning Master Sh'!$G:$G,AK$1,'LOI and Commissioning Master Sh'!$CD:$CD,"Yes",'LOI and Commissioning Master Sh'!$H:$H,AK$3,'LOI and Commissioning Master Sh'!$Y:$Y,"Yes")</f>
        <v>0</v>
      </c>
      <c r="AL219" s="19">
        <f>COUNTIFS('LOI and Commissioning Master Sh'!$D:$D,Summary!$A219, 'LOI and Commissioning Master Sh'!$G:$G,AL$1,'LOI and Commissioning Master Sh'!$CD:$CD,"Yes",'LOI and Commissioning Master Sh'!$H:$H,AL$3,'LOI and Commissioning Master Sh'!$Y:$Y,"Yes")</f>
        <v>0</v>
      </c>
      <c r="AM219" s="19">
        <f t="shared" si="252"/>
        <v>0</v>
      </c>
      <c r="AN219" s="21">
        <f>COUNTIFS('LOI and Commissioning Master Sh'!$D:$D,Summary!$A219, 'LOI and Commissioning Master Sh'!$G:$G,AN$1,'LOI and Commissioning Master Sh'!$CD:$CD,"Yes",'LOI and Commissioning Master Sh'!$H:$H,AN$3)</f>
        <v>0</v>
      </c>
      <c r="AO219" s="21">
        <f>COUNTIFS('LOI and Commissioning Master Sh'!$D:$D,Summary!$A219, 'LOI and Commissioning Master Sh'!$G:$G,AO$1,'LOI and Commissioning Master Sh'!$CD:$CD,"Yes",'LOI and Commissioning Master Sh'!$H:$H,AO$3)</f>
        <v>0</v>
      </c>
      <c r="AP219" s="21">
        <f t="shared" si="253"/>
        <v>0</v>
      </c>
      <c r="AQ219" s="21">
        <f>COUNTIFS('LOI and Commissioning Master Sh'!$D:$D,Summary!$A219, 'LOI and Commissioning Master Sh'!$G:$G,AQ$1,'LOI and Commissioning Master Sh'!$CD:$CD,"Yes",'LOI and Commissioning Master Sh'!$H:$H,AQ$3,'LOI and Commissioning Master Sh'!$AC:$AC,"Yes")</f>
        <v>0</v>
      </c>
      <c r="AR219" s="21">
        <f>COUNTIFS('LOI and Commissioning Master Sh'!$D:$D,Summary!$A219, 'LOI and Commissioning Master Sh'!$G:$G,AR$1,'LOI and Commissioning Master Sh'!$CD:$CD,"Yes",'LOI and Commissioning Master Sh'!$H:$H,AR$3,'LOI and Commissioning Master Sh'!$AC:$AC,"Yes")</f>
        <v>0</v>
      </c>
      <c r="AS219" s="21">
        <f t="shared" si="254"/>
        <v>0</v>
      </c>
      <c r="AT219" s="21">
        <f>COUNTIFS('LOI and Commissioning Master Sh'!$D:$D,Summary!$A219, 'LOI and Commissioning Master Sh'!$G:$G,AT$1,'LOI and Commissioning Master Sh'!$CD:$CD,"Yes",'LOI and Commissioning Master Sh'!$H:$H,AT$3,'LOI and Commissioning Master Sh'!$Y:$Y,"Yes")</f>
        <v>0</v>
      </c>
      <c r="AU219" s="21">
        <f>COUNTIFS('LOI and Commissioning Master Sh'!$D:$D,Summary!$A219, 'LOI and Commissioning Master Sh'!$G:$G,AU$1,'LOI and Commissioning Master Sh'!$CD:$CD,"Yes",'LOI and Commissioning Master Sh'!$H:$H,AU$3,'LOI and Commissioning Master Sh'!$Y:$Y,"Yes")</f>
        <v>0</v>
      </c>
      <c r="AV219" s="21">
        <f t="shared" si="255"/>
        <v>0</v>
      </c>
      <c r="AW219" s="23">
        <f>COUNTIFS('LOI and Commissioning Master Sh'!$D:$D,Summary!$A219, 'LOI and Commissioning Master Sh'!$G:$G,AW$1,'LOI and Commissioning Master Sh'!$CD:$CD,"Yes",'LOI and Commissioning Master Sh'!$H:$H,AW$3)</f>
        <v>0</v>
      </c>
      <c r="AX219" s="23">
        <f>COUNTIFS('LOI and Commissioning Master Sh'!$D:$D,Summary!$A219, 'LOI and Commissioning Master Sh'!$G:$G,AX$1,'LOI and Commissioning Master Sh'!$CD:$CD,"Yes",'LOI and Commissioning Master Sh'!$H:$H,AX$3)</f>
        <v>0</v>
      </c>
      <c r="AY219" s="23">
        <f t="shared" si="245"/>
        <v>0</v>
      </c>
      <c r="AZ219" s="23">
        <f>COUNTIFS('LOI and Commissioning Master Sh'!$D:$D,Summary!$A219, 'LOI and Commissioning Master Sh'!$G:$G,AZ$1,'LOI and Commissioning Master Sh'!$CD:$CD,"Yes",'LOI and Commissioning Master Sh'!$H:$H,AZ$3,'LOI and Commissioning Master Sh'!$AC:$AC,"Yes")</f>
        <v>0</v>
      </c>
      <c r="BA219" s="23">
        <f>COUNTIFS('LOI and Commissioning Master Sh'!$D:$D,Summary!$A219, 'LOI and Commissioning Master Sh'!$G:$G,BA$1,'LOI and Commissioning Master Sh'!$CD:$CD,"Yes",'LOI and Commissioning Master Sh'!$H:$H,BA$3,'LOI and Commissioning Master Sh'!$AC:$AC,"Yes")</f>
        <v>0</v>
      </c>
      <c r="BB219" s="23">
        <f t="shared" si="256"/>
        <v>0</v>
      </c>
      <c r="BC219" s="23">
        <f>COUNTIFS('LOI and Commissioning Master Sh'!$D:$D,Summary!$A219, 'LOI and Commissioning Master Sh'!$G:$G,BC$1,'LOI and Commissioning Master Sh'!$CD:$CD,"Yes",'LOI and Commissioning Master Sh'!$H:$H,BC$3,'LOI and Commissioning Master Sh'!$Y:$Y,"Yes")</f>
        <v>0</v>
      </c>
      <c r="BD219" s="23">
        <f>COUNTIFS('LOI and Commissioning Master Sh'!$D:$D,Summary!$A219, 'LOI and Commissioning Master Sh'!$G:$G,BD$1,'LOI and Commissioning Master Sh'!$CD:$CD,"Yes",'LOI and Commissioning Master Sh'!$H:$H,BD$3,'LOI and Commissioning Master Sh'!$Y:$Y,"Yes")</f>
        <v>0</v>
      </c>
      <c r="BE219" s="23">
        <f t="shared" si="257"/>
        <v>0</v>
      </c>
      <c r="BF219" s="35">
        <f>COUNTIFS('LOI and Commissioning Master Sh'!$D:$D,Summary!$A219,'LOI and Commissioning Master Sh'!$G:$G,Summary!BF$2,'LOI and Commissioning Master Sh'!$H:$H,Summary!BF$3,'LOI and Commissioning Master Sh'!$BW:$BW, "Commissioned")</f>
        <v>0</v>
      </c>
      <c r="BG219" s="35">
        <f>COUNTIFS('LOI and Commissioning Master Sh'!$D:$D,Summary!$A219,'LOI and Commissioning Master Sh'!$G:$G,Summary!BG$2,'LOI and Commissioning Master Sh'!$H:$H,Summary!BG$3,'LOI and Commissioning Master Sh'!$BW:$BW, "Commissioned")</f>
        <v>0</v>
      </c>
      <c r="BH219" s="35">
        <f>COUNTIFS('LOI and Commissioning Master Sh'!$D:$D,Summary!$A219,'LOI and Commissioning Master Sh'!$G:$G,Summary!BH$2,'LOI and Commissioning Master Sh'!$H:$H,Summary!BH$3,'LOI and Commissioning Master Sh'!$BW:$BW, "Commissioned")</f>
        <v>0</v>
      </c>
      <c r="BI219" s="35">
        <f>COUNTIFS('LOI and Commissioning Master Sh'!$D:$D,Summary!$A219,'LOI and Commissioning Master Sh'!$G:$G,Summary!BI$2,'LOI and Commissioning Master Sh'!$H:$H,Summary!BI$3,'LOI and Commissioning Master Sh'!$BW:$BW, "Commissioned")</f>
        <v>0</v>
      </c>
      <c r="BJ219" s="35">
        <f>COUNTIFS('LOI and Commissioning Master Sh'!$D:$D,Summary!$A219,'LOI and Commissioning Master Sh'!$G:$G,Summary!BJ$2,'LOI and Commissioning Master Sh'!$H:$H,Summary!BJ$3,'LOI and Commissioning Master Sh'!$BW:$BW, "Commissioned")</f>
        <v>0</v>
      </c>
      <c r="BK219" s="35">
        <f>COUNTIFS('LOI and Commissioning Master Sh'!$D:$D,Summary!$A219,'LOI and Commissioning Master Sh'!$G:$G,Summary!BK$2,'LOI and Commissioning Master Sh'!$H:$H,Summary!BK$3,'LOI and Commissioning Master Sh'!$BW:$BW, "Commissioned")</f>
        <v>0</v>
      </c>
      <c r="BL219" s="35">
        <f>COUNTIFS('LOI and Commissioning Master Sh'!$D:$D,Summary!$A219,'LOI and Commissioning Master Sh'!$G:$G,Summary!BL$2,'LOI and Commissioning Master Sh'!$H:$H,Summary!BL$3,'LOI and Commissioning Master Sh'!$BW:$BW, "Commissioned")</f>
        <v>0</v>
      </c>
      <c r="BM219" s="35">
        <f>COUNTIFS('LOI and Commissioning Master Sh'!$D:$D,Summary!$A219,'LOI and Commissioning Master Sh'!$G:$G,Summary!BM$2,'LOI and Commissioning Master Sh'!$H:$H,Summary!BM$3,'LOI and Commissioning Master Sh'!$BW:$BW, "Commissioned")</f>
        <v>0</v>
      </c>
      <c r="BN219" s="35">
        <f>COUNTIFS('LOI and Commissioning Master Sh'!$D:$D,Summary!$A219,'LOI and Commissioning Master Sh'!$G:$G,Summary!BN$2,'LOI and Commissioning Master Sh'!$H:$H,Summary!BN$3,'LOI and Commissioning Master Sh'!$BW:$BW, "Commissioned")</f>
        <v>0</v>
      </c>
      <c r="BO219" s="35">
        <f>COUNTIFS('LOI and Commissioning Master Sh'!$D:$D,Summary!$A219,'LOI and Commissioning Master Sh'!$G:$G,Summary!BO$2,'LOI and Commissioning Master Sh'!$H:$H,Summary!BO$3,'LOI and Commissioning Master Sh'!$BW:$BW, "Commissioned")</f>
        <v>0</v>
      </c>
      <c r="BP219" s="35">
        <f>COUNTIFS('LOI and Commissioning Master Sh'!$D:$D,Summary!$A219,'LOI and Commissioning Master Sh'!$G:$G,Summary!BP$2,'LOI and Commissioning Master Sh'!$H:$H,Summary!BP$3,'LOI and Commissioning Master Sh'!$BW:$BW, "Commissioned")</f>
        <v>0</v>
      </c>
      <c r="BQ219" s="35">
        <f>COUNTIFS('LOI and Commissioning Master Sh'!$D:$D,Summary!$A219,'LOI and Commissioning Master Sh'!$G:$G,Summary!BQ$2,'LOI and Commissioning Master Sh'!$H:$H,Summary!BQ$3,'LOI and Commissioning Master Sh'!$BW:$BW, "Commissioned")</f>
        <v>0</v>
      </c>
      <c r="BR219" s="43">
        <f t="shared" si="246"/>
        <v>0</v>
      </c>
    </row>
    <row r="220" spans="1:70" x14ac:dyDescent="0.25">
      <c r="A220" s="86" t="s">
        <v>150</v>
      </c>
      <c r="B220" s="19">
        <f>COUNTIFS('LOI and Commissioning Master Sh'!D:D,Summary!A220)</f>
        <v>16</v>
      </c>
      <c r="C220" s="13">
        <f>COUNTIFS('LOI and Commissioning Master Sh'!$D:$D,Summary!$A220,'LOI and Commissioning Master Sh'!$CD:$CD,"Yes",'LOI and Commissioning Master Sh'!$H:$H,"A")</f>
        <v>5</v>
      </c>
      <c r="D220" s="13">
        <f>COUNTIFS('LOI and Commissioning Master Sh'!$D:$D,Summary!$A220,'LOI and Commissioning Master Sh'!$CD:$CD,"Yes",'LOI and Commissioning Master Sh'!$H:$H,"B")</f>
        <v>0</v>
      </c>
      <c r="E220" s="13">
        <f t="shared" si="239"/>
        <v>5</v>
      </c>
      <c r="F220" s="13">
        <f>+COUNTIFS('LOI and Commissioning Master Sh'!$D:$D,Summary!$A220,'LOI and Commissioning Master Sh'!$CD:$CD, "Yes",'LOI and Commissioning Master Sh'!$BK:$BK, "Yes")</f>
        <v>4</v>
      </c>
      <c r="G220" s="13">
        <f>COUNTIFS('LOI and Commissioning Master Sh'!$D:$D,Summary!$A220,'LOI and Commissioning Master Sh'!$CD:$CD,"Yes",'LOI and Commissioning Master Sh'!$H:$H,"A",'LOI and Commissioning Master Sh'!$AC:$AC,"Yes")</f>
        <v>1</v>
      </c>
      <c r="H220" s="13">
        <f>COUNTIFS('LOI and Commissioning Master Sh'!$D:$D,Summary!$A220,'LOI and Commissioning Master Sh'!$CD:$CD,"Yes",'LOI and Commissioning Master Sh'!$H:$H,"B",'LOI and Commissioning Master Sh'!$AC:$AC,"Yes")</f>
        <v>0</v>
      </c>
      <c r="I220" s="267">
        <f t="shared" si="240"/>
        <v>1</v>
      </c>
      <c r="J220" s="13">
        <f>COUNTIFS('LOI and Commissioning Master Sh'!$D:$D,Summary!$A220,'LOI and Commissioning Master Sh'!$CD:$CD,"Yes",'LOI and Commissioning Master Sh'!$H:$H,"A",'LOI and Commissioning Master Sh'!$Y:$Y,"Yes")</f>
        <v>2</v>
      </c>
      <c r="K220" s="13">
        <f>COUNTIFS('LOI and Commissioning Master Sh'!$D:$D,Summary!$A220,'LOI and Commissioning Master Sh'!$CD:$CD,"Yes",'LOI and Commissioning Master Sh'!$H:$H,"B",'LOI and Commissioning Master Sh'!$Y:$Y,"Yes")</f>
        <v>0</v>
      </c>
      <c r="L220" s="13">
        <f t="shared" si="241"/>
        <v>2</v>
      </c>
      <c r="M220" s="15">
        <f>COUNTIFS('LOI and Commissioning Master Sh'!$D:$D,Summary!$A220, 'LOI and Commissioning Master Sh'!$G:$G,M$1,'LOI and Commissioning Master Sh'!$CD:$CD,"Yes",'LOI and Commissioning Master Sh'!$H:$H,M$3)</f>
        <v>4</v>
      </c>
      <c r="N220" s="15">
        <f>COUNTIFS('LOI and Commissioning Master Sh'!$D:$D,Summary!$A220, 'LOI and Commissioning Master Sh'!$G:$G,N$1,'LOI and Commissioning Master Sh'!$CD:$CD,"Yes",'LOI and Commissioning Master Sh'!$H:$H,N$3)</f>
        <v>0</v>
      </c>
      <c r="O220" s="15">
        <f t="shared" si="242"/>
        <v>4</v>
      </c>
      <c r="P220" s="15">
        <f>COUNTIFS('LOI and Commissioning Master Sh'!$D:$D,Summary!$A220, 'LOI and Commissioning Master Sh'!$G:$G,P$1,'LOI and Commissioning Master Sh'!$CD:$CD,"Yes",'LOI and Commissioning Master Sh'!$H:$H,P$3,'LOI and Commissioning Master Sh'!$AC:$AC,"Yes")</f>
        <v>1</v>
      </c>
      <c r="Q220" s="15">
        <f>COUNTIFS('LOI and Commissioning Master Sh'!$D:$D,Summary!$A220, 'LOI and Commissioning Master Sh'!$G:$G,Q$1,'LOI and Commissioning Master Sh'!$CD:$CD,"Yes",'LOI and Commissioning Master Sh'!$H:$H,Q$3,'LOI and Commissioning Master Sh'!$AC:$AC,"Yes")</f>
        <v>0</v>
      </c>
      <c r="R220" s="15">
        <f t="shared" si="243"/>
        <v>1</v>
      </c>
      <c r="S220" s="15">
        <f>COUNTIFS('LOI and Commissioning Master Sh'!$D:$D,Summary!$A220, 'LOI and Commissioning Master Sh'!$G:$G,S$1,'LOI and Commissioning Master Sh'!$CD:$CD,"Yes",'LOI and Commissioning Master Sh'!$H:$H,S$3,'LOI and Commissioning Master Sh'!$Y:$Y,"Yes")</f>
        <v>1</v>
      </c>
      <c r="T220" s="15">
        <f>COUNTIFS('LOI and Commissioning Master Sh'!$D:$D,Summary!$A220, 'LOI and Commissioning Master Sh'!$G:$G,T$1,'LOI and Commissioning Master Sh'!$CD:$CD,"Yes",'LOI and Commissioning Master Sh'!$H:$H,T$3,'LOI and Commissioning Master Sh'!$Y:$Y,"Yes")</f>
        <v>0</v>
      </c>
      <c r="U220" s="15">
        <f t="shared" si="244"/>
        <v>1</v>
      </c>
      <c r="V220" s="17">
        <f>COUNTIFS('LOI and Commissioning Master Sh'!$D:$D,Summary!$A220, 'LOI and Commissioning Master Sh'!$G:$G,V$1,'LOI and Commissioning Master Sh'!$CD:$CD,"Yes",'LOI and Commissioning Master Sh'!$H:$H,V$3)</f>
        <v>1</v>
      </c>
      <c r="W220" s="17">
        <f>COUNTIFS('LOI and Commissioning Master Sh'!$D:$D,Summary!$A220, 'LOI and Commissioning Master Sh'!$G:$G,W$1,'LOI and Commissioning Master Sh'!$CD:$CD,"Yes",'LOI and Commissioning Master Sh'!$H:$H,W$3)</f>
        <v>0</v>
      </c>
      <c r="X220" s="17">
        <f t="shared" si="247"/>
        <v>1</v>
      </c>
      <c r="Y220" s="17">
        <f>COUNTIFS('LOI and Commissioning Master Sh'!$D:$D,Summary!$A220, 'LOI and Commissioning Master Sh'!$G:$G,Y$1,'LOI and Commissioning Master Sh'!$CD:$CD,"Yes",'LOI and Commissioning Master Sh'!$H:$H,Y$3,'LOI and Commissioning Master Sh'!$AC:$AC,"Yes")</f>
        <v>0</v>
      </c>
      <c r="Z220" s="17">
        <f>COUNTIFS('LOI and Commissioning Master Sh'!$D:$D,Summary!$A220, 'LOI and Commissioning Master Sh'!$G:$G,Z$1,'LOI and Commissioning Master Sh'!$CD:$CD,"Yes",'LOI and Commissioning Master Sh'!$H:$H,Z$3,'LOI and Commissioning Master Sh'!$AC:$AC,"Yes")</f>
        <v>0</v>
      </c>
      <c r="AA220" s="17">
        <f t="shared" si="248"/>
        <v>0</v>
      </c>
      <c r="AB220" s="17">
        <f>COUNTIFS('LOI and Commissioning Master Sh'!$D:$D,Summary!$A220, 'LOI and Commissioning Master Sh'!$G:$G,AB$1,'LOI and Commissioning Master Sh'!$CD:$CD,"Yes",'LOI and Commissioning Master Sh'!$H:$H,AB$3,'LOI and Commissioning Master Sh'!$Y:$Y,"Yes")</f>
        <v>1</v>
      </c>
      <c r="AC220" s="17">
        <f>COUNTIFS('LOI and Commissioning Master Sh'!$D:$D,Summary!$A220, 'LOI and Commissioning Master Sh'!$G:$G,AC$1,'LOI and Commissioning Master Sh'!$CD:$CD,"Yes",'LOI and Commissioning Master Sh'!$H:$H,AC$3,'LOI and Commissioning Master Sh'!$Y:$Y,"Yes")</f>
        <v>0</v>
      </c>
      <c r="AD220" s="17">
        <f t="shared" si="249"/>
        <v>1</v>
      </c>
      <c r="AE220" s="19">
        <f>COUNTIFS('LOI and Commissioning Master Sh'!$D:$D,Summary!$A220, 'LOI and Commissioning Master Sh'!$G:$G,AE$1,'LOI and Commissioning Master Sh'!$CD:$CD,"Yes",'LOI and Commissioning Master Sh'!$H:$H,AE$3)</f>
        <v>0</v>
      </c>
      <c r="AF220" s="19">
        <f>COUNTIFS('LOI and Commissioning Master Sh'!$D:$D,Summary!$A220, 'LOI and Commissioning Master Sh'!$G:$G,AF$1,'LOI and Commissioning Master Sh'!$CD:$CD,"Yes",'LOI and Commissioning Master Sh'!$H:$H,AF$3)</f>
        <v>0</v>
      </c>
      <c r="AG220" s="19">
        <f t="shared" si="250"/>
        <v>0</v>
      </c>
      <c r="AH220" s="19">
        <f>COUNTIFS('LOI and Commissioning Master Sh'!$D:$D,Summary!$A220, 'LOI and Commissioning Master Sh'!$G:$G,AH$1,'LOI and Commissioning Master Sh'!$CD:$CD,"Yes",'LOI and Commissioning Master Sh'!$H:$H,AH$3,'LOI and Commissioning Master Sh'!$AC:$AC,"Yes")</f>
        <v>0</v>
      </c>
      <c r="AI220" s="19">
        <f>COUNTIFS('LOI and Commissioning Master Sh'!$D:$D,Summary!$A220, 'LOI and Commissioning Master Sh'!$G:$G,AI$1,'LOI and Commissioning Master Sh'!$CD:$CD,"Yes",'LOI and Commissioning Master Sh'!$H:$H,AI$3,'LOI and Commissioning Master Sh'!$AC:$AC,"Yes")</f>
        <v>0</v>
      </c>
      <c r="AJ220" s="19">
        <f t="shared" si="251"/>
        <v>0</v>
      </c>
      <c r="AK220" s="19">
        <f>COUNTIFS('LOI and Commissioning Master Sh'!$D:$D,Summary!$A220, 'LOI and Commissioning Master Sh'!$G:$G,AK$1,'LOI and Commissioning Master Sh'!$CD:$CD,"Yes",'LOI and Commissioning Master Sh'!$H:$H,AK$3,'LOI and Commissioning Master Sh'!$Y:$Y,"Yes")</f>
        <v>0</v>
      </c>
      <c r="AL220" s="19">
        <f>COUNTIFS('LOI and Commissioning Master Sh'!$D:$D,Summary!$A220, 'LOI and Commissioning Master Sh'!$G:$G,AL$1,'LOI and Commissioning Master Sh'!$CD:$CD,"Yes",'LOI and Commissioning Master Sh'!$H:$H,AL$3,'LOI and Commissioning Master Sh'!$Y:$Y,"Yes")</f>
        <v>0</v>
      </c>
      <c r="AM220" s="19">
        <f t="shared" si="252"/>
        <v>0</v>
      </c>
      <c r="AN220" s="21">
        <f>COUNTIFS('LOI and Commissioning Master Sh'!$D:$D,Summary!$A220, 'LOI and Commissioning Master Sh'!$G:$G,AN$1,'LOI and Commissioning Master Sh'!$CD:$CD,"Yes",'LOI and Commissioning Master Sh'!$H:$H,AN$3)</f>
        <v>0</v>
      </c>
      <c r="AO220" s="21">
        <f>COUNTIFS('LOI and Commissioning Master Sh'!$D:$D,Summary!$A220, 'LOI and Commissioning Master Sh'!$G:$G,AO$1,'LOI and Commissioning Master Sh'!$CD:$CD,"Yes",'LOI and Commissioning Master Sh'!$H:$H,AO$3)</f>
        <v>0</v>
      </c>
      <c r="AP220" s="21">
        <f t="shared" si="253"/>
        <v>0</v>
      </c>
      <c r="AQ220" s="21">
        <f>COUNTIFS('LOI and Commissioning Master Sh'!$D:$D,Summary!$A220, 'LOI and Commissioning Master Sh'!$G:$G,AQ$1,'LOI and Commissioning Master Sh'!$CD:$CD,"Yes",'LOI and Commissioning Master Sh'!$H:$H,AQ$3,'LOI and Commissioning Master Sh'!$AC:$AC,"Yes")</f>
        <v>0</v>
      </c>
      <c r="AR220" s="21">
        <f>COUNTIFS('LOI and Commissioning Master Sh'!$D:$D,Summary!$A220, 'LOI and Commissioning Master Sh'!$G:$G,AR$1,'LOI and Commissioning Master Sh'!$CD:$CD,"Yes",'LOI and Commissioning Master Sh'!$H:$H,AR$3,'LOI and Commissioning Master Sh'!$AC:$AC,"Yes")</f>
        <v>0</v>
      </c>
      <c r="AS220" s="21">
        <f t="shared" si="254"/>
        <v>0</v>
      </c>
      <c r="AT220" s="21">
        <f>COUNTIFS('LOI and Commissioning Master Sh'!$D:$D,Summary!$A220, 'LOI and Commissioning Master Sh'!$G:$G,AT$1,'LOI and Commissioning Master Sh'!$CD:$CD,"Yes",'LOI and Commissioning Master Sh'!$H:$H,AT$3,'LOI and Commissioning Master Sh'!$Y:$Y,"Yes")</f>
        <v>0</v>
      </c>
      <c r="AU220" s="21">
        <f>COUNTIFS('LOI and Commissioning Master Sh'!$D:$D,Summary!$A220, 'LOI and Commissioning Master Sh'!$G:$G,AU$1,'LOI and Commissioning Master Sh'!$CD:$CD,"Yes",'LOI and Commissioning Master Sh'!$H:$H,AU$3,'LOI and Commissioning Master Sh'!$Y:$Y,"Yes")</f>
        <v>0</v>
      </c>
      <c r="AV220" s="21">
        <f t="shared" si="255"/>
        <v>0</v>
      </c>
      <c r="AW220" s="23">
        <f>COUNTIFS('LOI and Commissioning Master Sh'!$D:$D,Summary!$A220, 'LOI and Commissioning Master Sh'!$G:$G,AW$1,'LOI and Commissioning Master Sh'!$CD:$CD,"Yes",'LOI and Commissioning Master Sh'!$H:$H,AW$3)</f>
        <v>0</v>
      </c>
      <c r="AX220" s="23">
        <f>COUNTIFS('LOI and Commissioning Master Sh'!$D:$D,Summary!$A220, 'LOI and Commissioning Master Sh'!$G:$G,AX$1,'LOI and Commissioning Master Sh'!$CD:$CD,"Yes",'LOI and Commissioning Master Sh'!$H:$H,AX$3)</f>
        <v>0</v>
      </c>
      <c r="AY220" s="23">
        <f t="shared" si="245"/>
        <v>0</v>
      </c>
      <c r="AZ220" s="23">
        <f>COUNTIFS('LOI and Commissioning Master Sh'!$D:$D,Summary!$A220, 'LOI and Commissioning Master Sh'!$G:$G,AZ$1,'LOI and Commissioning Master Sh'!$CD:$CD,"Yes",'LOI and Commissioning Master Sh'!$H:$H,AZ$3,'LOI and Commissioning Master Sh'!$AC:$AC,"Yes")</f>
        <v>0</v>
      </c>
      <c r="BA220" s="23">
        <f>COUNTIFS('LOI and Commissioning Master Sh'!$D:$D,Summary!$A220, 'LOI and Commissioning Master Sh'!$G:$G,BA$1,'LOI and Commissioning Master Sh'!$CD:$CD,"Yes",'LOI and Commissioning Master Sh'!$H:$H,BA$3,'LOI and Commissioning Master Sh'!$AC:$AC,"Yes")</f>
        <v>0</v>
      </c>
      <c r="BB220" s="23">
        <f t="shared" si="256"/>
        <v>0</v>
      </c>
      <c r="BC220" s="23">
        <f>COUNTIFS('LOI and Commissioning Master Sh'!$D:$D,Summary!$A220, 'LOI and Commissioning Master Sh'!$G:$G,BC$1,'LOI and Commissioning Master Sh'!$CD:$CD,"Yes",'LOI and Commissioning Master Sh'!$H:$H,BC$3,'LOI and Commissioning Master Sh'!$Y:$Y,"Yes")</f>
        <v>0</v>
      </c>
      <c r="BD220" s="23">
        <f>COUNTIFS('LOI and Commissioning Master Sh'!$D:$D,Summary!$A220, 'LOI and Commissioning Master Sh'!$G:$G,BD$1,'LOI and Commissioning Master Sh'!$CD:$CD,"Yes",'LOI and Commissioning Master Sh'!$H:$H,BD$3,'LOI and Commissioning Master Sh'!$Y:$Y,"Yes")</f>
        <v>0</v>
      </c>
      <c r="BE220" s="23">
        <f t="shared" si="257"/>
        <v>0</v>
      </c>
      <c r="BF220" s="35">
        <f>COUNTIFS('LOI and Commissioning Master Sh'!$D:$D,Summary!$A220,'LOI and Commissioning Master Sh'!$G:$G,Summary!BF$2,'LOI and Commissioning Master Sh'!$H:$H,Summary!BF$3,'LOI and Commissioning Master Sh'!$BW:$BW, "Commissioned")</f>
        <v>1</v>
      </c>
      <c r="BG220" s="35">
        <f>COUNTIFS('LOI and Commissioning Master Sh'!$D:$D,Summary!$A220,'LOI and Commissioning Master Sh'!$G:$G,Summary!BG$2,'LOI and Commissioning Master Sh'!$H:$H,Summary!BG$3,'LOI and Commissioning Master Sh'!$BW:$BW, "Commissioned")</f>
        <v>0</v>
      </c>
      <c r="BH220" s="35">
        <f>COUNTIFS('LOI and Commissioning Master Sh'!$D:$D,Summary!$A220,'LOI and Commissioning Master Sh'!$G:$G,Summary!BH$2,'LOI and Commissioning Master Sh'!$H:$H,Summary!BH$3,'LOI and Commissioning Master Sh'!$BW:$BW, "Commissioned")</f>
        <v>0</v>
      </c>
      <c r="BI220" s="35">
        <f>COUNTIFS('LOI and Commissioning Master Sh'!$D:$D,Summary!$A220,'LOI and Commissioning Master Sh'!$G:$G,Summary!BI$2,'LOI and Commissioning Master Sh'!$H:$H,Summary!BI$3,'LOI and Commissioning Master Sh'!$BW:$BW, "Commissioned")</f>
        <v>0</v>
      </c>
      <c r="BJ220" s="35">
        <f>COUNTIFS('LOI and Commissioning Master Sh'!$D:$D,Summary!$A220,'LOI and Commissioning Master Sh'!$G:$G,Summary!BJ$2,'LOI and Commissioning Master Sh'!$H:$H,Summary!BJ$3,'LOI and Commissioning Master Sh'!$BW:$BW, "Commissioned")</f>
        <v>0</v>
      </c>
      <c r="BK220" s="35">
        <f>COUNTIFS('LOI and Commissioning Master Sh'!$D:$D,Summary!$A220,'LOI and Commissioning Master Sh'!$G:$G,Summary!BK$2,'LOI and Commissioning Master Sh'!$H:$H,Summary!BK$3,'LOI and Commissioning Master Sh'!$BW:$BW, "Commissioned")</f>
        <v>0</v>
      </c>
      <c r="BL220" s="35">
        <f>COUNTIFS('LOI and Commissioning Master Sh'!$D:$D,Summary!$A220,'LOI and Commissioning Master Sh'!$G:$G,Summary!BL$2,'LOI and Commissioning Master Sh'!$H:$H,Summary!BL$3,'LOI and Commissioning Master Sh'!$BW:$BW, "Commissioned")</f>
        <v>0</v>
      </c>
      <c r="BM220" s="35">
        <f>COUNTIFS('LOI and Commissioning Master Sh'!$D:$D,Summary!$A220,'LOI and Commissioning Master Sh'!$G:$G,Summary!BM$2,'LOI and Commissioning Master Sh'!$H:$H,Summary!BM$3,'LOI and Commissioning Master Sh'!$BW:$BW, "Commissioned")</f>
        <v>0</v>
      </c>
      <c r="BN220" s="35">
        <f>COUNTIFS('LOI and Commissioning Master Sh'!$D:$D,Summary!$A220,'LOI and Commissioning Master Sh'!$G:$G,Summary!BN$2,'LOI and Commissioning Master Sh'!$H:$H,Summary!BN$3,'LOI and Commissioning Master Sh'!$BW:$BW, "Commissioned")</f>
        <v>0</v>
      </c>
      <c r="BO220" s="35">
        <f>COUNTIFS('LOI and Commissioning Master Sh'!$D:$D,Summary!$A220,'LOI and Commissioning Master Sh'!$G:$G,Summary!BO$2,'LOI and Commissioning Master Sh'!$H:$H,Summary!BO$3,'LOI and Commissioning Master Sh'!$BW:$BW, "Commissioned")</f>
        <v>0</v>
      </c>
      <c r="BP220" s="35">
        <f>COUNTIFS('LOI and Commissioning Master Sh'!$D:$D,Summary!$A220,'LOI and Commissioning Master Sh'!$G:$G,Summary!BP$2,'LOI and Commissioning Master Sh'!$H:$H,Summary!BP$3,'LOI and Commissioning Master Sh'!$BW:$BW, "Commissioned")</f>
        <v>0</v>
      </c>
      <c r="BQ220" s="35">
        <f>COUNTIFS('LOI and Commissioning Master Sh'!$D:$D,Summary!$A220,'LOI and Commissioning Master Sh'!$G:$G,Summary!BQ$2,'LOI and Commissioning Master Sh'!$H:$H,Summary!BQ$3,'LOI and Commissioning Master Sh'!$BW:$BW, "Commissioned")</f>
        <v>0</v>
      </c>
      <c r="BR220" s="43">
        <f t="shared" si="246"/>
        <v>1</v>
      </c>
    </row>
    <row r="221" spans="1:70" x14ac:dyDescent="0.25">
      <c r="A221" s="86" t="s">
        <v>121</v>
      </c>
      <c r="B221" s="19">
        <f>COUNTIFS('LOI and Commissioning Master Sh'!D:D,Summary!A221)</f>
        <v>28</v>
      </c>
      <c r="C221" s="13">
        <f>COUNTIFS('LOI and Commissioning Master Sh'!$D:$D,Summary!$A221,'LOI and Commissioning Master Sh'!$CD:$CD,"Yes",'LOI and Commissioning Master Sh'!$H:$H,"A")</f>
        <v>4</v>
      </c>
      <c r="D221" s="13">
        <f>COUNTIFS('LOI and Commissioning Master Sh'!$D:$D,Summary!$A221,'LOI and Commissioning Master Sh'!$CD:$CD,"Yes",'LOI and Commissioning Master Sh'!$H:$H,"B")</f>
        <v>5</v>
      </c>
      <c r="E221" s="13">
        <f t="shared" si="239"/>
        <v>9</v>
      </c>
      <c r="F221" s="13">
        <f>+COUNTIFS('LOI and Commissioning Master Sh'!$D:$D,Summary!$A221,'LOI and Commissioning Master Sh'!$CD:$CD, "Yes",'LOI and Commissioning Master Sh'!$BK:$BK, "Yes")</f>
        <v>9</v>
      </c>
      <c r="G221" s="13">
        <f>COUNTIFS('LOI and Commissioning Master Sh'!$D:$D,Summary!$A221,'LOI and Commissioning Master Sh'!$CD:$CD,"Yes",'LOI and Commissioning Master Sh'!$H:$H,"A",'LOI and Commissioning Master Sh'!$AC:$AC,"Yes")</f>
        <v>1</v>
      </c>
      <c r="H221" s="13">
        <f>COUNTIFS('LOI and Commissioning Master Sh'!$D:$D,Summary!$A221,'LOI and Commissioning Master Sh'!$CD:$CD,"Yes",'LOI and Commissioning Master Sh'!$H:$H,"B",'LOI and Commissioning Master Sh'!$AC:$AC,"Yes")</f>
        <v>1</v>
      </c>
      <c r="I221" s="267">
        <f t="shared" si="240"/>
        <v>2</v>
      </c>
      <c r="J221" s="13">
        <f>COUNTIFS('LOI and Commissioning Master Sh'!$D:$D,Summary!$A221,'LOI and Commissioning Master Sh'!$CD:$CD,"Yes",'LOI and Commissioning Master Sh'!$H:$H,"A",'LOI and Commissioning Master Sh'!$Y:$Y,"Yes")</f>
        <v>2</v>
      </c>
      <c r="K221" s="13">
        <f>COUNTIFS('LOI and Commissioning Master Sh'!$D:$D,Summary!$A221,'LOI and Commissioning Master Sh'!$CD:$CD,"Yes",'LOI and Commissioning Master Sh'!$H:$H,"B",'LOI and Commissioning Master Sh'!$Y:$Y,"Yes")</f>
        <v>1</v>
      </c>
      <c r="L221" s="13">
        <f t="shared" si="241"/>
        <v>3</v>
      </c>
      <c r="M221" s="15">
        <f>COUNTIFS('LOI and Commissioning Master Sh'!$D:$D,Summary!$A221, 'LOI and Commissioning Master Sh'!$G:$G,M$1,'LOI and Commissioning Master Sh'!$CD:$CD,"Yes",'LOI and Commissioning Master Sh'!$H:$H,M$3)</f>
        <v>0</v>
      </c>
      <c r="N221" s="15">
        <f>COUNTIFS('LOI and Commissioning Master Sh'!$D:$D,Summary!$A221, 'LOI and Commissioning Master Sh'!$G:$G,N$1,'LOI and Commissioning Master Sh'!$CD:$CD,"Yes",'LOI and Commissioning Master Sh'!$H:$H,N$3)</f>
        <v>0</v>
      </c>
      <c r="O221" s="15">
        <f t="shared" si="242"/>
        <v>0</v>
      </c>
      <c r="P221" s="15">
        <f>COUNTIFS('LOI and Commissioning Master Sh'!$D:$D,Summary!$A221, 'LOI and Commissioning Master Sh'!$G:$G,P$1,'LOI and Commissioning Master Sh'!$CD:$CD,"Yes",'LOI and Commissioning Master Sh'!$H:$H,P$3,'LOI and Commissioning Master Sh'!$AC:$AC,"Yes")</f>
        <v>0</v>
      </c>
      <c r="Q221" s="15">
        <f>COUNTIFS('LOI and Commissioning Master Sh'!$D:$D,Summary!$A221, 'LOI and Commissioning Master Sh'!$G:$G,Q$1,'LOI and Commissioning Master Sh'!$CD:$CD,"Yes",'LOI and Commissioning Master Sh'!$H:$H,Q$3,'LOI and Commissioning Master Sh'!$AC:$AC,"Yes")</f>
        <v>0</v>
      </c>
      <c r="R221" s="15">
        <f t="shared" si="243"/>
        <v>0</v>
      </c>
      <c r="S221" s="15">
        <f>COUNTIFS('LOI and Commissioning Master Sh'!$D:$D,Summary!$A221, 'LOI and Commissioning Master Sh'!$G:$G,S$1,'LOI and Commissioning Master Sh'!$CD:$CD,"Yes",'LOI and Commissioning Master Sh'!$H:$H,S$3,'LOI and Commissioning Master Sh'!$Y:$Y,"Yes")</f>
        <v>0</v>
      </c>
      <c r="T221" s="15">
        <f>COUNTIFS('LOI and Commissioning Master Sh'!$D:$D,Summary!$A221, 'LOI and Commissioning Master Sh'!$G:$G,T$1,'LOI and Commissioning Master Sh'!$CD:$CD,"Yes",'LOI and Commissioning Master Sh'!$H:$H,T$3,'LOI and Commissioning Master Sh'!$Y:$Y,"Yes")</f>
        <v>0</v>
      </c>
      <c r="U221" s="15">
        <f t="shared" si="244"/>
        <v>0</v>
      </c>
      <c r="V221" s="17">
        <f>COUNTIFS('LOI and Commissioning Master Sh'!$D:$D,Summary!$A221, 'LOI and Commissioning Master Sh'!$G:$G,V$1,'LOI and Commissioning Master Sh'!$CD:$CD,"Yes",'LOI and Commissioning Master Sh'!$H:$H,V$3)</f>
        <v>4</v>
      </c>
      <c r="W221" s="17">
        <f>COUNTIFS('LOI and Commissioning Master Sh'!$D:$D,Summary!$A221, 'LOI and Commissioning Master Sh'!$G:$G,W$1,'LOI and Commissioning Master Sh'!$CD:$CD,"Yes",'LOI and Commissioning Master Sh'!$H:$H,W$3)</f>
        <v>3</v>
      </c>
      <c r="X221" s="17">
        <f t="shared" si="247"/>
        <v>7</v>
      </c>
      <c r="Y221" s="17">
        <f>COUNTIFS('LOI and Commissioning Master Sh'!$D:$D,Summary!$A221, 'LOI and Commissioning Master Sh'!$G:$G,Y$1,'LOI and Commissioning Master Sh'!$CD:$CD,"Yes",'LOI and Commissioning Master Sh'!$H:$H,Y$3,'LOI and Commissioning Master Sh'!$AC:$AC,"Yes")</f>
        <v>1</v>
      </c>
      <c r="Z221" s="17">
        <f>COUNTIFS('LOI and Commissioning Master Sh'!$D:$D,Summary!$A221, 'LOI and Commissioning Master Sh'!$G:$G,Z$1,'LOI and Commissioning Master Sh'!$CD:$CD,"Yes",'LOI and Commissioning Master Sh'!$H:$H,Z$3,'LOI and Commissioning Master Sh'!$AC:$AC,"Yes")</f>
        <v>0</v>
      </c>
      <c r="AA221" s="17">
        <f t="shared" si="248"/>
        <v>1</v>
      </c>
      <c r="AB221" s="17">
        <f>COUNTIFS('LOI and Commissioning Master Sh'!$D:$D,Summary!$A221, 'LOI and Commissioning Master Sh'!$G:$G,AB$1,'LOI and Commissioning Master Sh'!$CD:$CD,"Yes",'LOI and Commissioning Master Sh'!$H:$H,AB$3,'LOI and Commissioning Master Sh'!$Y:$Y,"Yes")</f>
        <v>2</v>
      </c>
      <c r="AC221" s="17">
        <f>COUNTIFS('LOI and Commissioning Master Sh'!$D:$D,Summary!$A221, 'LOI and Commissioning Master Sh'!$G:$G,AC$1,'LOI and Commissioning Master Sh'!$CD:$CD,"Yes",'LOI and Commissioning Master Sh'!$H:$H,AC$3,'LOI and Commissioning Master Sh'!$Y:$Y,"Yes")</f>
        <v>0</v>
      </c>
      <c r="AD221" s="17">
        <f t="shared" si="249"/>
        <v>2</v>
      </c>
      <c r="AE221" s="19">
        <f>COUNTIFS('LOI and Commissioning Master Sh'!$D:$D,Summary!$A221, 'LOI and Commissioning Master Sh'!$G:$G,AE$1,'LOI and Commissioning Master Sh'!$CD:$CD,"Yes",'LOI and Commissioning Master Sh'!$H:$H,AE$3)</f>
        <v>0</v>
      </c>
      <c r="AF221" s="19">
        <f>COUNTIFS('LOI and Commissioning Master Sh'!$D:$D,Summary!$A221, 'LOI and Commissioning Master Sh'!$G:$G,AF$1,'LOI and Commissioning Master Sh'!$CD:$CD,"Yes",'LOI and Commissioning Master Sh'!$H:$H,AF$3)</f>
        <v>0</v>
      </c>
      <c r="AG221" s="19">
        <f t="shared" si="250"/>
        <v>0</v>
      </c>
      <c r="AH221" s="19">
        <f>COUNTIFS('LOI and Commissioning Master Sh'!$D:$D,Summary!$A221, 'LOI and Commissioning Master Sh'!$G:$G,AH$1,'LOI and Commissioning Master Sh'!$CD:$CD,"Yes",'LOI and Commissioning Master Sh'!$H:$H,AH$3,'LOI and Commissioning Master Sh'!$AC:$AC,"Yes")</f>
        <v>0</v>
      </c>
      <c r="AI221" s="19">
        <f>COUNTIFS('LOI and Commissioning Master Sh'!$D:$D,Summary!$A221, 'LOI and Commissioning Master Sh'!$G:$G,AI$1,'LOI and Commissioning Master Sh'!$CD:$CD,"Yes",'LOI and Commissioning Master Sh'!$H:$H,AI$3,'LOI and Commissioning Master Sh'!$AC:$AC,"Yes")</f>
        <v>0</v>
      </c>
      <c r="AJ221" s="19">
        <f t="shared" si="251"/>
        <v>0</v>
      </c>
      <c r="AK221" s="19">
        <f>COUNTIFS('LOI and Commissioning Master Sh'!$D:$D,Summary!$A221, 'LOI and Commissioning Master Sh'!$G:$G,AK$1,'LOI and Commissioning Master Sh'!$CD:$CD,"Yes",'LOI and Commissioning Master Sh'!$H:$H,AK$3,'LOI and Commissioning Master Sh'!$Y:$Y,"Yes")</f>
        <v>0</v>
      </c>
      <c r="AL221" s="19">
        <f>COUNTIFS('LOI and Commissioning Master Sh'!$D:$D,Summary!$A221, 'LOI and Commissioning Master Sh'!$G:$G,AL$1,'LOI and Commissioning Master Sh'!$CD:$CD,"Yes",'LOI and Commissioning Master Sh'!$H:$H,AL$3,'LOI and Commissioning Master Sh'!$Y:$Y,"Yes")</f>
        <v>0</v>
      </c>
      <c r="AM221" s="19">
        <f t="shared" si="252"/>
        <v>0</v>
      </c>
      <c r="AN221" s="21">
        <f>COUNTIFS('LOI and Commissioning Master Sh'!$D:$D,Summary!$A221, 'LOI and Commissioning Master Sh'!$G:$G,AN$1,'LOI and Commissioning Master Sh'!$CD:$CD,"Yes",'LOI and Commissioning Master Sh'!$H:$H,AN$3)</f>
        <v>0</v>
      </c>
      <c r="AO221" s="21">
        <f>COUNTIFS('LOI and Commissioning Master Sh'!$D:$D,Summary!$A221, 'LOI and Commissioning Master Sh'!$G:$G,AO$1,'LOI and Commissioning Master Sh'!$CD:$CD,"Yes",'LOI and Commissioning Master Sh'!$H:$H,AO$3)</f>
        <v>0</v>
      </c>
      <c r="AP221" s="21">
        <f t="shared" si="253"/>
        <v>0</v>
      </c>
      <c r="AQ221" s="21">
        <f>COUNTIFS('LOI and Commissioning Master Sh'!$D:$D,Summary!$A221, 'LOI and Commissioning Master Sh'!$G:$G,AQ$1,'LOI and Commissioning Master Sh'!$CD:$CD,"Yes",'LOI and Commissioning Master Sh'!$H:$H,AQ$3,'LOI and Commissioning Master Sh'!$AC:$AC,"Yes")</f>
        <v>0</v>
      </c>
      <c r="AR221" s="21">
        <f>COUNTIFS('LOI and Commissioning Master Sh'!$D:$D,Summary!$A221, 'LOI and Commissioning Master Sh'!$G:$G,AR$1,'LOI and Commissioning Master Sh'!$CD:$CD,"Yes",'LOI and Commissioning Master Sh'!$H:$H,AR$3,'LOI and Commissioning Master Sh'!$AC:$AC,"Yes")</f>
        <v>0</v>
      </c>
      <c r="AS221" s="21">
        <f t="shared" si="254"/>
        <v>0</v>
      </c>
      <c r="AT221" s="21">
        <f>COUNTIFS('LOI and Commissioning Master Sh'!$D:$D,Summary!$A221, 'LOI and Commissioning Master Sh'!$G:$G,AT$1,'LOI and Commissioning Master Sh'!$CD:$CD,"Yes",'LOI and Commissioning Master Sh'!$H:$H,AT$3,'LOI and Commissioning Master Sh'!$Y:$Y,"Yes")</f>
        <v>0</v>
      </c>
      <c r="AU221" s="21">
        <f>COUNTIFS('LOI and Commissioning Master Sh'!$D:$D,Summary!$A221, 'LOI and Commissioning Master Sh'!$G:$G,AU$1,'LOI and Commissioning Master Sh'!$CD:$CD,"Yes",'LOI and Commissioning Master Sh'!$H:$H,AU$3,'LOI and Commissioning Master Sh'!$Y:$Y,"Yes")</f>
        <v>0</v>
      </c>
      <c r="AV221" s="21">
        <f t="shared" si="255"/>
        <v>0</v>
      </c>
      <c r="AW221" s="23">
        <f>COUNTIFS('LOI and Commissioning Master Sh'!$D:$D,Summary!$A221, 'LOI and Commissioning Master Sh'!$G:$G,AW$1,'LOI and Commissioning Master Sh'!$CD:$CD,"Yes",'LOI and Commissioning Master Sh'!$H:$H,AW$3)</f>
        <v>0</v>
      </c>
      <c r="AX221" s="23">
        <f>COUNTIFS('LOI and Commissioning Master Sh'!$D:$D,Summary!$A221, 'LOI and Commissioning Master Sh'!$G:$G,AX$1,'LOI and Commissioning Master Sh'!$CD:$CD,"Yes",'LOI and Commissioning Master Sh'!$H:$H,AX$3)</f>
        <v>2</v>
      </c>
      <c r="AY221" s="23">
        <f t="shared" si="245"/>
        <v>2</v>
      </c>
      <c r="AZ221" s="23">
        <f>COUNTIFS('LOI and Commissioning Master Sh'!$D:$D,Summary!$A221, 'LOI and Commissioning Master Sh'!$G:$G,AZ$1,'LOI and Commissioning Master Sh'!$CD:$CD,"Yes",'LOI and Commissioning Master Sh'!$H:$H,AZ$3,'LOI and Commissioning Master Sh'!$AC:$AC,"Yes")</f>
        <v>0</v>
      </c>
      <c r="BA221" s="23">
        <f>COUNTIFS('LOI and Commissioning Master Sh'!$D:$D,Summary!$A221, 'LOI and Commissioning Master Sh'!$G:$G,BA$1,'LOI and Commissioning Master Sh'!$CD:$CD,"Yes",'LOI and Commissioning Master Sh'!$H:$H,BA$3,'LOI and Commissioning Master Sh'!$AC:$AC,"Yes")</f>
        <v>1</v>
      </c>
      <c r="BB221" s="23">
        <f t="shared" si="256"/>
        <v>1</v>
      </c>
      <c r="BC221" s="23">
        <f>COUNTIFS('LOI and Commissioning Master Sh'!$D:$D,Summary!$A221, 'LOI and Commissioning Master Sh'!$G:$G,BC$1,'LOI and Commissioning Master Sh'!$CD:$CD,"Yes",'LOI and Commissioning Master Sh'!$H:$H,BC$3,'LOI and Commissioning Master Sh'!$Y:$Y,"Yes")</f>
        <v>0</v>
      </c>
      <c r="BD221" s="23">
        <f>COUNTIFS('LOI and Commissioning Master Sh'!$D:$D,Summary!$A221, 'LOI and Commissioning Master Sh'!$G:$G,BD$1,'LOI and Commissioning Master Sh'!$CD:$CD,"Yes",'LOI and Commissioning Master Sh'!$H:$H,BD$3,'LOI and Commissioning Master Sh'!$Y:$Y,"Yes")</f>
        <v>1</v>
      </c>
      <c r="BE221" s="23">
        <f t="shared" si="257"/>
        <v>1</v>
      </c>
      <c r="BF221" s="35">
        <f>COUNTIFS('LOI and Commissioning Master Sh'!$D:$D,Summary!$A221,'LOI and Commissioning Master Sh'!$G:$G,Summary!BF$2,'LOI and Commissioning Master Sh'!$H:$H,Summary!BF$3,'LOI and Commissioning Master Sh'!$BW:$BW, "Commissioned")</f>
        <v>0</v>
      </c>
      <c r="BG221" s="35">
        <f>COUNTIFS('LOI and Commissioning Master Sh'!$D:$D,Summary!$A221,'LOI and Commissioning Master Sh'!$G:$G,Summary!BG$2,'LOI and Commissioning Master Sh'!$H:$H,Summary!BG$3,'LOI and Commissioning Master Sh'!$BW:$BW, "Commissioned")</f>
        <v>0</v>
      </c>
      <c r="BH221" s="35">
        <f>COUNTIFS('LOI and Commissioning Master Sh'!$D:$D,Summary!$A221,'LOI and Commissioning Master Sh'!$G:$G,Summary!BH$2,'LOI and Commissioning Master Sh'!$H:$H,Summary!BH$3,'LOI and Commissioning Master Sh'!$BW:$BW, "Commissioned")</f>
        <v>0</v>
      </c>
      <c r="BI221" s="35">
        <f>COUNTIFS('LOI and Commissioning Master Sh'!$D:$D,Summary!$A221,'LOI and Commissioning Master Sh'!$G:$G,Summary!BI$2,'LOI and Commissioning Master Sh'!$H:$H,Summary!BI$3,'LOI and Commissioning Master Sh'!$BW:$BW, "Commissioned")</f>
        <v>0</v>
      </c>
      <c r="BJ221" s="35">
        <f>COUNTIFS('LOI and Commissioning Master Sh'!$D:$D,Summary!$A221,'LOI and Commissioning Master Sh'!$G:$G,Summary!BJ$2,'LOI and Commissioning Master Sh'!$H:$H,Summary!BJ$3,'LOI and Commissioning Master Sh'!$BW:$BW, "Commissioned")</f>
        <v>0</v>
      </c>
      <c r="BK221" s="35">
        <f>COUNTIFS('LOI and Commissioning Master Sh'!$D:$D,Summary!$A221,'LOI and Commissioning Master Sh'!$G:$G,Summary!BK$2,'LOI and Commissioning Master Sh'!$H:$H,Summary!BK$3,'LOI and Commissioning Master Sh'!$BW:$BW, "Commissioned")</f>
        <v>0</v>
      </c>
      <c r="BL221" s="35">
        <f>COUNTIFS('LOI and Commissioning Master Sh'!$D:$D,Summary!$A221,'LOI and Commissioning Master Sh'!$G:$G,Summary!BL$2,'LOI and Commissioning Master Sh'!$H:$H,Summary!BL$3,'LOI and Commissioning Master Sh'!$BW:$BW, "Commissioned")</f>
        <v>1</v>
      </c>
      <c r="BM221" s="35">
        <f>COUNTIFS('LOI and Commissioning Master Sh'!$D:$D,Summary!$A221,'LOI and Commissioning Master Sh'!$G:$G,Summary!BM$2,'LOI and Commissioning Master Sh'!$H:$H,Summary!BM$3,'LOI and Commissioning Master Sh'!$BW:$BW, "Commissioned")</f>
        <v>0</v>
      </c>
      <c r="BN221" s="35">
        <f>COUNTIFS('LOI and Commissioning Master Sh'!$D:$D,Summary!$A221,'LOI and Commissioning Master Sh'!$G:$G,Summary!BN$2,'LOI and Commissioning Master Sh'!$H:$H,Summary!BN$3,'LOI and Commissioning Master Sh'!$BW:$BW, "Commissioned")</f>
        <v>0</v>
      </c>
      <c r="BO221" s="35">
        <f>COUNTIFS('LOI and Commissioning Master Sh'!$D:$D,Summary!$A221,'LOI and Commissioning Master Sh'!$G:$G,Summary!BO$2,'LOI and Commissioning Master Sh'!$H:$H,Summary!BO$3,'LOI and Commissioning Master Sh'!$BW:$BW, "Commissioned")</f>
        <v>0</v>
      </c>
      <c r="BP221" s="35">
        <f>COUNTIFS('LOI and Commissioning Master Sh'!$D:$D,Summary!$A221,'LOI and Commissioning Master Sh'!$G:$G,Summary!BP$2,'LOI and Commissioning Master Sh'!$H:$H,Summary!BP$3,'LOI and Commissioning Master Sh'!$BW:$BW, "Commissioned")</f>
        <v>0</v>
      </c>
      <c r="BQ221" s="35">
        <f>COUNTIFS('LOI and Commissioning Master Sh'!$D:$D,Summary!$A221,'LOI and Commissioning Master Sh'!$G:$G,Summary!BQ$2,'LOI and Commissioning Master Sh'!$H:$H,Summary!BQ$3,'LOI and Commissioning Master Sh'!$BW:$BW, "Commissioned")</f>
        <v>1</v>
      </c>
      <c r="BR221" s="43">
        <f t="shared" si="246"/>
        <v>2</v>
      </c>
    </row>
    <row r="222" spans="1:70" x14ac:dyDescent="0.25">
      <c r="A222" s="86" t="s">
        <v>220</v>
      </c>
      <c r="B222" s="19">
        <f>COUNTIFS('LOI and Commissioning Master Sh'!D:D,Summary!A222)</f>
        <v>34</v>
      </c>
      <c r="C222" s="13">
        <f>COUNTIFS('LOI and Commissioning Master Sh'!$D:$D,Summary!$A222,'LOI and Commissioning Master Sh'!$CD:$CD,"Yes",'LOI and Commissioning Master Sh'!$H:$H,"A")</f>
        <v>2</v>
      </c>
      <c r="D222" s="13">
        <f>COUNTIFS('LOI and Commissioning Master Sh'!$D:$D,Summary!$A222,'LOI and Commissioning Master Sh'!$CD:$CD,"Yes",'LOI and Commissioning Master Sh'!$H:$H,"B")</f>
        <v>6</v>
      </c>
      <c r="E222" s="13">
        <f t="shared" si="239"/>
        <v>8</v>
      </c>
      <c r="F222" s="13">
        <f>+COUNTIFS('LOI and Commissioning Master Sh'!$D:$D,Summary!$A222,'LOI and Commissioning Master Sh'!$CD:$CD, "Yes",'LOI and Commissioning Master Sh'!$BK:$BK, "Yes")</f>
        <v>7</v>
      </c>
      <c r="G222" s="13">
        <f>COUNTIFS('LOI and Commissioning Master Sh'!$D:$D,Summary!$A222,'LOI and Commissioning Master Sh'!$CD:$CD,"Yes",'LOI and Commissioning Master Sh'!$H:$H,"A",'LOI and Commissioning Master Sh'!$AC:$AC,"Yes")</f>
        <v>0</v>
      </c>
      <c r="H222" s="13">
        <f>COUNTIFS('LOI and Commissioning Master Sh'!$D:$D,Summary!$A222,'LOI and Commissioning Master Sh'!$CD:$CD,"Yes",'LOI and Commissioning Master Sh'!$H:$H,"B",'LOI and Commissioning Master Sh'!$AC:$AC,"Yes")</f>
        <v>1</v>
      </c>
      <c r="I222" s="267">
        <f t="shared" si="240"/>
        <v>1</v>
      </c>
      <c r="J222" s="13">
        <f>COUNTIFS('LOI and Commissioning Master Sh'!$D:$D,Summary!$A222,'LOI and Commissioning Master Sh'!$CD:$CD,"Yes",'LOI and Commissioning Master Sh'!$H:$H,"A",'LOI and Commissioning Master Sh'!$Y:$Y,"Yes")</f>
        <v>0</v>
      </c>
      <c r="K222" s="13">
        <f>COUNTIFS('LOI and Commissioning Master Sh'!$D:$D,Summary!$A222,'LOI and Commissioning Master Sh'!$CD:$CD,"Yes",'LOI and Commissioning Master Sh'!$H:$H,"B",'LOI and Commissioning Master Sh'!$Y:$Y,"Yes")</f>
        <v>2</v>
      </c>
      <c r="L222" s="13">
        <f t="shared" si="241"/>
        <v>2</v>
      </c>
      <c r="M222" s="15">
        <f>COUNTIFS('LOI and Commissioning Master Sh'!$D:$D,Summary!$A222, 'LOI and Commissioning Master Sh'!$G:$G,M$1,'LOI and Commissioning Master Sh'!$CD:$CD,"Yes",'LOI and Commissioning Master Sh'!$H:$H,M$3)</f>
        <v>0</v>
      </c>
      <c r="N222" s="15">
        <f>COUNTIFS('LOI and Commissioning Master Sh'!$D:$D,Summary!$A222, 'LOI and Commissioning Master Sh'!$G:$G,N$1,'LOI and Commissioning Master Sh'!$CD:$CD,"Yes",'LOI and Commissioning Master Sh'!$H:$H,N$3)</f>
        <v>0</v>
      </c>
      <c r="O222" s="15">
        <f t="shared" si="242"/>
        <v>0</v>
      </c>
      <c r="P222" s="15">
        <f>COUNTIFS('LOI and Commissioning Master Sh'!$D:$D,Summary!$A222, 'LOI and Commissioning Master Sh'!$G:$G,P$1,'LOI and Commissioning Master Sh'!$CD:$CD,"Yes",'LOI and Commissioning Master Sh'!$H:$H,P$3,'LOI and Commissioning Master Sh'!$AC:$AC,"Yes")</f>
        <v>0</v>
      </c>
      <c r="Q222" s="15">
        <f>COUNTIFS('LOI and Commissioning Master Sh'!$D:$D,Summary!$A222, 'LOI and Commissioning Master Sh'!$G:$G,Q$1,'LOI and Commissioning Master Sh'!$CD:$CD,"Yes",'LOI and Commissioning Master Sh'!$H:$H,Q$3,'LOI and Commissioning Master Sh'!$AC:$AC,"Yes")</f>
        <v>0</v>
      </c>
      <c r="R222" s="15">
        <f t="shared" si="243"/>
        <v>0</v>
      </c>
      <c r="S222" s="15">
        <f>COUNTIFS('LOI and Commissioning Master Sh'!$D:$D,Summary!$A222, 'LOI and Commissioning Master Sh'!$G:$G,S$1,'LOI and Commissioning Master Sh'!$CD:$CD,"Yes",'LOI and Commissioning Master Sh'!$H:$H,S$3,'LOI and Commissioning Master Sh'!$Y:$Y,"Yes")</f>
        <v>0</v>
      </c>
      <c r="T222" s="15">
        <f>COUNTIFS('LOI and Commissioning Master Sh'!$D:$D,Summary!$A222, 'LOI and Commissioning Master Sh'!$G:$G,T$1,'LOI and Commissioning Master Sh'!$CD:$CD,"Yes",'LOI and Commissioning Master Sh'!$H:$H,T$3,'LOI and Commissioning Master Sh'!$Y:$Y,"Yes")</f>
        <v>0</v>
      </c>
      <c r="U222" s="15">
        <f t="shared" si="244"/>
        <v>0</v>
      </c>
      <c r="V222" s="17">
        <f>COUNTIFS('LOI and Commissioning Master Sh'!$D:$D,Summary!$A222, 'LOI and Commissioning Master Sh'!$G:$G,V$1,'LOI and Commissioning Master Sh'!$CD:$CD,"Yes",'LOI and Commissioning Master Sh'!$H:$H,V$3)</f>
        <v>1</v>
      </c>
      <c r="W222" s="17">
        <f>COUNTIFS('LOI and Commissioning Master Sh'!$D:$D,Summary!$A222, 'LOI and Commissioning Master Sh'!$G:$G,W$1,'LOI and Commissioning Master Sh'!$CD:$CD,"Yes",'LOI and Commissioning Master Sh'!$H:$H,W$3)</f>
        <v>2</v>
      </c>
      <c r="X222" s="17">
        <f t="shared" si="247"/>
        <v>3</v>
      </c>
      <c r="Y222" s="17">
        <f>COUNTIFS('LOI and Commissioning Master Sh'!$D:$D,Summary!$A222, 'LOI and Commissioning Master Sh'!$G:$G,Y$1,'LOI and Commissioning Master Sh'!$CD:$CD,"Yes",'LOI and Commissioning Master Sh'!$H:$H,Y$3,'LOI and Commissioning Master Sh'!$AC:$AC,"Yes")</f>
        <v>0</v>
      </c>
      <c r="Z222" s="17">
        <f>COUNTIFS('LOI and Commissioning Master Sh'!$D:$D,Summary!$A222, 'LOI and Commissioning Master Sh'!$G:$G,Z$1,'LOI and Commissioning Master Sh'!$CD:$CD,"Yes",'LOI and Commissioning Master Sh'!$H:$H,Z$3,'LOI and Commissioning Master Sh'!$AC:$AC,"Yes")</f>
        <v>0</v>
      </c>
      <c r="AA222" s="17">
        <f t="shared" si="248"/>
        <v>0</v>
      </c>
      <c r="AB222" s="17">
        <f>COUNTIFS('LOI and Commissioning Master Sh'!$D:$D,Summary!$A222, 'LOI and Commissioning Master Sh'!$G:$G,AB$1,'LOI and Commissioning Master Sh'!$CD:$CD,"Yes",'LOI and Commissioning Master Sh'!$H:$H,AB$3,'LOI and Commissioning Master Sh'!$Y:$Y,"Yes")</f>
        <v>0</v>
      </c>
      <c r="AC222" s="17">
        <f>COUNTIFS('LOI and Commissioning Master Sh'!$D:$D,Summary!$A222, 'LOI and Commissioning Master Sh'!$G:$G,AC$1,'LOI and Commissioning Master Sh'!$CD:$CD,"Yes",'LOI and Commissioning Master Sh'!$H:$H,AC$3,'LOI and Commissioning Master Sh'!$Y:$Y,"Yes")</f>
        <v>1</v>
      </c>
      <c r="AD222" s="17">
        <f t="shared" si="249"/>
        <v>1</v>
      </c>
      <c r="AE222" s="19">
        <f>COUNTIFS('LOI and Commissioning Master Sh'!$D:$D,Summary!$A222, 'LOI and Commissioning Master Sh'!$G:$G,AE$1,'LOI and Commissioning Master Sh'!$CD:$CD,"Yes",'LOI and Commissioning Master Sh'!$H:$H,AE$3)</f>
        <v>1</v>
      </c>
      <c r="AF222" s="19">
        <f>COUNTIFS('LOI and Commissioning Master Sh'!$D:$D,Summary!$A222, 'LOI and Commissioning Master Sh'!$G:$G,AF$1,'LOI and Commissioning Master Sh'!$CD:$CD,"Yes",'LOI and Commissioning Master Sh'!$H:$H,AF$3)</f>
        <v>4</v>
      </c>
      <c r="AG222" s="19">
        <f t="shared" si="250"/>
        <v>5</v>
      </c>
      <c r="AH222" s="19">
        <f>COUNTIFS('LOI and Commissioning Master Sh'!$D:$D,Summary!$A222, 'LOI and Commissioning Master Sh'!$G:$G,AH$1,'LOI and Commissioning Master Sh'!$CD:$CD,"Yes",'LOI and Commissioning Master Sh'!$H:$H,AH$3,'LOI and Commissioning Master Sh'!$AC:$AC,"Yes")</f>
        <v>0</v>
      </c>
      <c r="AI222" s="19">
        <f>COUNTIFS('LOI and Commissioning Master Sh'!$D:$D,Summary!$A222, 'LOI and Commissioning Master Sh'!$G:$G,AI$1,'LOI and Commissioning Master Sh'!$CD:$CD,"Yes",'LOI and Commissioning Master Sh'!$H:$H,AI$3,'LOI and Commissioning Master Sh'!$AC:$AC,"Yes")</f>
        <v>1</v>
      </c>
      <c r="AJ222" s="19">
        <f t="shared" si="251"/>
        <v>1</v>
      </c>
      <c r="AK222" s="19">
        <f>COUNTIFS('LOI and Commissioning Master Sh'!$D:$D,Summary!$A222, 'LOI and Commissioning Master Sh'!$G:$G,AK$1,'LOI and Commissioning Master Sh'!$CD:$CD,"Yes",'LOI and Commissioning Master Sh'!$H:$H,AK$3,'LOI and Commissioning Master Sh'!$Y:$Y,"Yes")</f>
        <v>0</v>
      </c>
      <c r="AL222" s="19">
        <f>COUNTIFS('LOI and Commissioning Master Sh'!$D:$D,Summary!$A222, 'LOI and Commissioning Master Sh'!$G:$G,AL$1,'LOI and Commissioning Master Sh'!$CD:$CD,"Yes",'LOI and Commissioning Master Sh'!$H:$H,AL$3,'LOI and Commissioning Master Sh'!$Y:$Y,"Yes")</f>
        <v>1</v>
      </c>
      <c r="AM222" s="19">
        <f t="shared" si="252"/>
        <v>1</v>
      </c>
      <c r="AN222" s="21">
        <f>COUNTIFS('LOI and Commissioning Master Sh'!$D:$D,Summary!$A222, 'LOI and Commissioning Master Sh'!$G:$G,AN$1,'LOI and Commissioning Master Sh'!$CD:$CD,"Yes",'LOI and Commissioning Master Sh'!$H:$H,AN$3)</f>
        <v>0</v>
      </c>
      <c r="AO222" s="21">
        <f>COUNTIFS('LOI and Commissioning Master Sh'!$D:$D,Summary!$A222, 'LOI and Commissioning Master Sh'!$G:$G,AO$1,'LOI and Commissioning Master Sh'!$CD:$CD,"Yes",'LOI and Commissioning Master Sh'!$H:$H,AO$3)</f>
        <v>0</v>
      </c>
      <c r="AP222" s="21">
        <f t="shared" si="253"/>
        <v>0</v>
      </c>
      <c r="AQ222" s="21">
        <f>COUNTIFS('LOI and Commissioning Master Sh'!$D:$D,Summary!$A222, 'LOI and Commissioning Master Sh'!$G:$G,AQ$1,'LOI and Commissioning Master Sh'!$CD:$CD,"Yes",'LOI and Commissioning Master Sh'!$H:$H,AQ$3,'LOI and Commissioning Master Sh'!$AC:$AC,"Yes")</f>
        <v>0</v>
      </c>
      <c r="AR222" s="21">
        <f>COUNTIFS('LOI and Commissioning Master Sh'!$D:$D,Summary!$A222, 'LOI and Commissioning Master Sh'!$G:$G,AR$1,'LOI and Commissioning Master Sh'!$CD:$CD,"Yes",'LOI and Commissioning Master Sh'!$H:$H,AR$3,'LOI and Commissioning Master Sh'!$AC:$AC,"Yes")</f>
        <v>0</v>
      </c>
      <c r="AS222" s="21">
        <f t="shared" si="254"/>
        <v>0</v>
      </c>
      <c r="AT222" s="21">
        <f>COUNTIFS('LOI and Commissioning Master Sh'!$D:$D,Summary!$A222, 'LOI and Commissioning Master Sh'!$G:$G,AT$1,'LOI and Commissioning Master Sh'!$CD:$CD,"Yes",'LOI and Commissioning Master Sh'!$H:$H,AT$3,'LOI and Commissioning Master Sh'!$Y:$Y,"Yes")</f>
        <v>0</v>
      </c>
      <c r="AU222" s="21">
        <f>COUNTIFS('LOI and Commissioning Master Sh'!$D:$D,Summary!$A222, 'LOI and Commissioning Master Sh'!$G:$G,AU$1,'LOI and Commissioning Master Sh'!$CD:$CD,"Yes",'LOI and Commissioning Master Sh'!$H:$H,AU$3,'LOI and Commissioning Master Sh'!$Y:$Y,"Yes")</f>
        <v>0</v>
      </c>
      <c r="AV222" s="21">
        <f t="shared" si="255"/>
        <v>0</v>
      </c>
      <c r="AW222" s="23">
        <f>COUNTIFS('LOI and Commissioning Master Sh'!$D:$D,Summary!$A222, 'LOI and Commissioning Master Sh'!$G:$G,AW$1,'LOI and Commissioning Master Sh'!$CD:$CD,"Yes",'LOI and Commissioning Master Sh'!$H:$H,AW$3)</f>
        <v>0</v>
      </c>
      <c r="AX222" s="23">
        <f>COUNTIFS('LOI and Commissioning Master Sh'!$D:$D,Summary!$A222, 'LOI and Commissioning Master Sh'!$G:$G,AX$1,'LOI and Commissioning Master Sh'!$CD:$CD,"Yes",'LOI and Commissioning Master Sh'!$H:$H,AX$3)</f>
        <v>0</v>
      </c>
      <c r="AY222" s="23">
        <f t="shared" si="245"/>
        <v>0</v>
      </c>
      <c r="AZ222" s="23">
        <f>COUNTIFS('LOI and Commissioning Master Sh'!$D:$D,Summary!$A222, 'LOI and Commissioning Master Sh'!$G:$G,AZ$1,'LOI and Commissioning Master Sh'!$CD:$CD,"Yes",'LOI and Commissioning Master Sh'!$H:$H,AZ$3,'LOI and Commissioning Master Sh'!$AC:$AC,"Yes")</f>
        <v>0</v>
      </c>
      <c r="BA222" s="23">
        <f>COUNTIFS('LOI and Commissioning Master Sh'!$D:$D,Summary!$A222, 'LOI and Commissioning Master Sh'!$G:$G,BA$1,'LOI and Commissioning Master Sh'!$CD:$CD,"Yes",'LOI and Commissioning Master Sh'!$H:$H,BA$3,'LOI and Commissioning Master Sh'!$AC:$AC,"Yes")</f>
        <v>0</v>
      </c>
      <c r="BB222" s="23">
        <f t="shared" si="256"/>
        <v>0</v>
      </c>
      <c r="BC222" s="23">
        <f>COUNTIFS('LOI and Commissioning Master Sh'!$D:$D,Summary!$A222, 'LOI and Commissioning Master Sh'!$G:$G,BC$1,'LOI and Commissioning Master Sh'!$CD:$CD,"Yes",'LOI and Commissioning Master Sh'!$H:$H,BC$3,'LOI and Commissioning Master Sh'!$Y:$Y,"Yes")</f>
        <v>0</v>
      </c>
      <c r="BD222" s="23">
        <f>COUNTIFS('LOI and Commissioning Master Sh'!$D:$D,Summary!$A222, 'LOI and Commissioning Master Sh'!$G:$G,BD$1,'LOI and Commissioning Master Sh'!$CD:$CD,"Yes",'LOI and Commissioning Master Sh'!$H:$H,BD$3,'LOI and Commissioning Master Sh'!$Y:$Y,"Yes")</f>
        <v>0</v>
      </c>
      <c r="BE222" s="23">
        <f t="shared" si="257"/>
        <v>0</v>
      </c>
      <c r="BF222" s="35">
        <f>COUNTIFS('LOI and Commissioning Master Sh'!$D:$D,Summary!$A222,'LOI and Commissioning Master Sh'!$G:$G,Summary!BF$2,'LOI and Commissioning Master Sh'!$H:$H,Summary!BF$3,'LOI and Commissioning Master Sh'!$BW:$BW, "Commissioned")</f>
        <v>0</v>
      </c>
      <c r="BG222" s="35">
        <f>COUNTIFS('LOI and Commissioning Master Sh'!$D:$D,Summary!$A222,'LOI and Commissioning Master Sh'!$G:$G,Summary!BG$2,'LOI and Commissioning Master Sh'!$H:$H,Summary!BG$3,'LOI and Commissioning Master Sh'!$BW:$BW, "Commissioned")</f>
        <v>0</v>
      </c>
      <c r="BH222" s="35">
        <f>COUNTIFS('LOI and Commissioning Master Sh'!$D:$D,Summary!$A222,'LOI and Commissioning Master Sh'!$G:$G,Summary!BH$2,'LOI and Commissioning Master Sh'!$H:$H,Summary!BH$3,'LOI and Commissioning Master Sh'!$BW:$BW, "Commissioned")</f>
        <v>0</v>
      </c>
      <c r="BI222" s="35">
        <f>COUNTIFS('LOI and Commissioning Master Sh'!$D:$D,Summary!$A222,'LOI and Commissioning Master Sh'!$G:$G,Summary!BI$2,'LOI and Commissioning Master Sh'!$H:$H,Summary!BI$3,'LOI and Commissioning Master Sh'!$BW:$BW, "Commissioned")</f>
        <v>0</v>
      </c>
      <c r="BJ222" s="35">
        <f>COUNTIFS('LOI and Commissioning Master Sh'!$D:$D,Summary!$A222,'LOI and Commissioning Master Sh'!$G:$G,Summary!BJ$2,'LOI and Commissioning Master Sh'!$H:$H,Summary!BJ$3,'LOI and Commissioning Master Sh'!$BW:$BW, "Commissioned")</f>
        <v>0</v>
      </c>
      <c r="BK222" s="35">
        <f>COUNTIFS('LOI and Commissioning Master Sh'!$D:$D,Summary!$A222,'LOI and Commissioning Master Sh'!$G:$G,Summary!BK$2,'LOI and Commissioning Master Sh'!$H:$H,Summary!BK$3,'LOI and Commissioning Master Sh'!$BW:$BW, "Commissioned")</f>
        <v>0</v>
      </c>
      <c r="BL222" s="35">
        <f>COUNTIFS('LOI and Commissioning Master Sh'!$D:$D,Summary!$A222,'LOI and Commissioning Master Sh'!$G:$G,Summary!BL$2,'LOI and Commissioning Master Sh'!$H:$H,Summary!BL$3,'LOI and Commissioning Master Sh'!$BW:$BW, "Commissioned")</f>
        <v>0</v>
      </c>
      <c r="BM222" s="35">
        <f>COUNTIFS('LOI and Commissioning Master Sh'!$D:$D,Summary!$A222,'LOI and Commissioning Master Sh'!$G:$G,Summary!BM$2,'LOI and Commissioning Master Sh'!$H:$H,Summary!BM$3,'LOI and Commissioning Master Sh'!$BW:$BW, "Commissioned")</f>
        <v>0</v>
      </c>
      <c r="BN222" s="35">
        <f>COUNTIFS('LOI and Commissioning Master Sh'!$D:$D,Summary!$A222,'LOI and Commissioning Master Sh'!$G:$G,Summary!BN$2,'LOI and Commissioning Master Sh'!$H:$H,Summary!BN$3,'LOI and Commissioning Master Sh'!$BW:$BW, "Commissioned")</f>
        <v>0</v>
      </c>
      <c r="BO222" s="35">
        <f>COUNTIFS('LOI and Commissioning Master Sh'!$D:$D,Summary!$A222,'LOI and Commissioning Master Sh'!$G:$G,Summary!BO$2,'LOI and Commissioning Master Sh'!$H:$H,Summary!BO$3,'LOI and Commissioning Master Sh'!$BW:$BW, "Commissioned")</f>
        <v>0</v>
      </c>
      <c r="BP222" s="35">
        <f>COUNTIFS('LOI and Commissioning Master Sh'!$D:$D,Summary!$A222,'LOI and Commissioning Master Sh'!$G:$G,Summary!BP$2,'LOI and Commissioning Master Sh'!$H:$H,Summary!BP$3,'LOI and Commissioning Master Sh'!$BW:$BW, "Commissioned")</f>
        <v>0</v>
      </c>
      <c r="BQ222" s="35">
        <f>COUNTIFS('LOI and Commissioning Master Sh'!$D:$D,Summary!$A222,'LOI and Commissioning Master Sh'!$G:$G,Summary!BQ$2,'LOI and Commissioning Master Sh'!$H:$H,Summary!BQ$3,'LOI and Commissioning Master Sh'!$BW:$BW, "Commissioned")</f>
        <v>0</v>
      </c>
      <c r="BR222" s="43">
        <f t="shared" si="246"/>
        <v>0</v>
      </c>
    </row>
    <row r="223" spans="1:70" x14ac:dyDescent="0.25">
      <c r="A223" s="86" t="s">
        <v>398</v>
      </c>
      <c r="B223" s="19">
        <f>COUNTIFS('LOI and Commissioning Master Sh'!D:D,Summary!A223)</f>
        <v>17</v>
      </c>
      <c r="C223" s="13">
        <f>COUNTIFS('LOI and Commissioning Master Sh'!$D:$D,Summary!$A223,'LOI and Commissioning Master Sh'!$CD:$CD,"Yes",'LOI and Commissioning Master Sh'!$H:$H,"A")</f>
        <v>1</v>
      </c>
      <c r="D223" s="13">
        <f>COUNTIFS('LOI and Commissioning Master Sh'!$D:$D,Summary!$A223,'LOI and Commissioning Master Sh'!$CD:$CD,"Yes",'LOI and Commissioning Master Sh'!$H:$H,"B")</f>
        <v>0</v>
      </c>
      <c r="E223" s="13">
        <f t="shared" si="239"/>
        <v>1</v>
      </c>
      <c r="F223" s="13">
        <f>+COUNTIFS('LOI and Commissioning Master Sh'!$D:$D,Summary!$A223,'LOI and Commissioning Master Sh'!$CD:$CD, "Yes",'LOI and Commissioning Master Sh'!$BK:$BK, "Yes")</f>
        <v>1</v>
      </c>
      <c r="G223" s="13">
        <f>COUNTIFS('LOI and Commissioning Master Sh'!$D:$D,Summary!$A223,'LOI and Commissioning Master Sh'!$CD:$CD,"Yes",'LOI and Commissioning Master Sh'!$H:$H,"A",'LOI and Commissioning Master Sh'!$AC:$AC,"Yes")</f>
        <v>0</v>
      </c>
      <c r="H223" s="13">
        <f>COUNTIFS('LOI and Commissioning Master Sh'!$D:$D,Summary!$A223,'LOI and Commissioning Master Sh'!$CD:$CD,"Yes",'LOI and Commissioning Master Sh'!$H:$H,"B",'LOI and Commissioning Master Sh'!$AC:$AC,"Yes")</f>
        <v>0</v>
      </c>
      <c r="I223" s="267">
        <f t="shared" si="240"/>
        <v>0</v>
      </c>
      <c r="J223" s="13">
        <f>COUNTIFS('LOI and Commissioning Master Sh'!$D:$D,Summary!$A223,'LOI and Commissioning Master Sh'!$CD:$CD,"Yes",'LOI and Commissioning Master Sh'!$H:$H,"A",'LOI and Commissioning Master Sh'!$Y:$Y,"Yes")</f>
        <v>1</v>
      </c>
      <c r="K223" s="13">
        <f>COUNTIFS('LOI and Commissioning Master Sh'!$D:$D,Summary!$A223,'LOI and Commissioning Master Sh'!$CD:$CD,"Yes",'LOI and Commissioning Master Sh'!$H:$H,"B",'LOI and Commissioning Master Sh'!$Y:$Y,"Yes")</f>
        <v>0</v>
      </c>
      <c r="L223" s="13">
        <f t="shared" si="241"/>
        <v>1</v>
      </c>
      <c r="M223" s="15">
        <f>COUNTIFS('LOI and Commissioning Master Sh'!$D:$D,Summary!$A223, 'LOI and Commissioning Master Sh'!$G:$G,M$1,'LOI and Commissioning Master Sh'!$CD:$CD,"Yes",'LOI and Commissioning Master Sh'!$H:$H,M$3)</f>
        <v>0</v>
      </c>
      <c r="N223" s="15">
        <f>COUNTIFS('LOI and Commissioning Master Sh'!$D:$D,Summary!$A223, 'LOI and Commissioning Master Sh'!$G:$G,N$1,'LOI and Commissioning Master Sh'!$CD:$CD,"Yes",'LOI and Commissioning Master Sh'!$H:$H,N$3)</f>
        <v>0</v>
      </c>
      <c r="O223" s="15">
        <f t="shared" si="242"/>
        <v>0</v>
      </c>
      <c r="P223" s="15">
        <f>COUNTIFS('LOI and Commissioning Master Sh'!$D:$D,Summary!$A223, 'LOI and Commissioning Master Sh'!$G:$G,P$1,'LOI and Commissioning Master Sh'!$CD:$CD,"Yes",'LOI and Commissioning Master Sh'!$H:$H,P$3,'LOI and Commissioning Master Sh'!$AC:$AC,"Yes")</f>
        <v>0</v>
      </c>
      <c r="Q223" s="15">
        <f>COUNTIFS('LOI and Commissioning Master Sh'!$D:$D,Summary!$A223, 'LOI and Commissioning Master Sh'!$G:$G,Q$1,'LOI and Commissioning Master Sh'!$CD:$CD,"Yes",'LOI and Commissioning Master Sh'!$H:$H,Q$3,'LOI and Commissioning Master Sh'!$AC:$AC,"Yes")</f>
        <v>0</v>
      </c>
      <c r="R223" s="15">
        <f t="shared" si="243"/>
        <v>0</v>
      </c>
      <c r="S223" s="15">
        <f>COUNTIFS('LOI and Commissioning Master Sh'!$D:$D,Summary!$A223, 'LOI and Commissioning Master Sh'!$G:$G,S$1,'LOI and Commissioning Master Sh'!$CD:$CD,"Yes",'LOI and Commissioning Master Sh'!$H:$H,S$3,'LOI and Commissioning Master Sh'!$Y:$Y,"Yes")</f>
        <v>0</v>
      </c>
      <c r="T223" s="15">
        <f>COUNTIFS('LOI and Commissioning Master Sh'!$D:$D,Summary!$A223, 'LOI and Commissioning Master Sh'!$G:$G,T$1,'LOI and Commissioning Master Sh'!$CD:$CD,"Yes",'LOI and Commissioning Master Sh'!$H:$H,T$3,'LOI and Commissioning Master Sh'!$Y:$Y,"Yes")</f>
        <v>0</v>
      </c>
      <c r="U223" s="15">
        <f t="shared" si="244"/>
        <v>0</v>
      </c>
      <c r="V223" s="17">
        <f>COUNTIFS('LOI and Commissioning Master Sh'!$D:$D,Summary!$A223, 'LOI and Commissioning Master Sh'!$G:$G,V$1,'LOI and Commissioning Master Sh'!$CD:$CD,"Yes",'LOI and Commissioning Master Sh'!$H:$H,V$3)</f>
        <v>1</v>
      </c>
      <c r="W223" s="17">
        <f>COUNTIFS('LOI and Commissioning Master Sh'!$D:$D,Summary!$A223, 'LOI and Commissioning Master Sh'!$G:$G,W$1,'LOI and Commissioning Master Sh'!$CD:$CD,"Yes",'LOI and Commissioning Master Sh'!$H:$H,W$3)</f>
        <v>0</v>
      </c>
      <c r="X223" s="17">
        <f t="shared" si="247"/>
        <v>1</v>
      </c>
      <c r="Y223" s="17">
        <f>COUNTIFS('LOI and Commissioning Master Sh'!$D:$D,Summary!$A223, 'LOI and Commissioning Master Sh'!$G:$G,Y$1,'LOI and Commissioning Master Sh'!$CD:$CD,"Yes",'LOI and Commissioning Master Sh'!$H:$H,Y$3,'LOI and Commissioning Master Sh'!$AC:$AC,"Yes")</f>
        <v>0</v>
      </c>
      <c r="Z223" s="17">
        <f>COUNTIFS('LOI and Commissioning Master Sh'!$D:$D,Summary!$A223, 'LOI and Commissioning Master Sh'!$G:$G,Z$1,'LOI and Commissioning Master Sh'!$CD:$CD,"Yes",'LOI and Commissioning Master Sh'!$H:$H,Z$3,'LOI and Commissioning Master Sh'!$AC:$AC,"Yes")</f>
        <v>0</v>
      </c>
      <c r="AA223" s="17">
        <f t="shared" si="248"/>
        <v>0</v>
      </c>
      <c r="AB223" s="17">
        <f>COUNTIFS('LOI and Commissioning Master Sh'!$D:$D,Summary!$A223, 'LOI and Commissioning Master Sh'!$G:$G,AB$1,'LOI and Commissioning Master Sh'!$CD:$CD,"Yes",'LOI and Commissioning Master Sh'!$H:$H,AB$3,'LOI and Commissioning Master Sh'!$Y:$Y,"Yes")</f>
        <v>1</v>
      </c>
      <c r="AC223" s="17">
        <f>COUNTIFS('LOI and Commissioning Master Sh'!$D:$D,Summary!$A223, 'LOI and Commissioning Master Sh'!$G:$G,AC$1,'LOI and Commissioning Master Sh'!$CD:$CD,"Yes",'LOI and Commissioning Master Sh'!$H:$H,AC$3,'LOI and Commissioning Master Sh'!$Y:$Y,"Yes")</f>
        <v>0</v>
      </c>
      <c r="AD223" s="17">
        <f t="shared" si="249"/>
        <v>1</v>
      </c>
      <c r="AE223" s="19">
        <f>COUNTIFS('LOI and Commissioning Master Sh'!$D:$D,Summary!$A223, 'LOI and Commissioning Master Sh'!$G:$G,AE$1,'LOI and Commissioning Master Sh'!$CD:$CD,"Yes",'LOI and Commissioning Master Sh'!$H:$H,AE$3)</f>
        <v>0</v>
      </c>
      <c r="AF223" s="19">
        <f>COUNTIFS('LOI and Commissioning Master Sh'!$D:$D,Summary!$A223, 'LOI and Commissioning Master Sh'!$G:$G,AF$1,'LOI and Commissioning Master Sh'!$CD:$CD,"Yes",'LOI and Commissioning Master Sh'!$H:$H,AF$3)</f>
        <v>0</v>
      </c>
      <c r="AG223" s="19">
        <f t="shared" si="250"/>
        <v>0</v>
      </c>
      <c r="AH223" s="19">
        <f>COUNTIFS('LOI and Commissioning Master Sh'!$D:$D,Summary!$A223, 'LOI and Commissioning Master Sh'!$G:$G,AH$1,'LOI and Commissioning Master Sh'!$CD:$CD,"Yes",'LOI and Commissioning Master Sh'!$H:$H,AH$3,'LOI and Commissioning Master Sh'!$AC:$AC,"Yes")</f>
        <v>0</v>
      </c>
      <c r="AI223" s="19">
        <f>COUNTIFS('LOI and Commissioning Master Sh'!$D:$D,Summary!$A223, 'LOI and Commissioning Master Sh'!$G:$G,AI$1,'LOI and Commissioning Master Sh'!$CD:$CD,"Yes",'LOI and Commissioning Master Sh'!$H:$H,AI$3,'LOI and Commissioning Master Sh'!$AC:$AC,"Yes")</f>
        <v>0</v>
      </c>
      <c r="AJ223" s="19">
        <f t="shared" si="251"/>
        <v>0</v>
      </c>
      <c r="AK223" s="19">
        <f>COUNTIFS('LOI and Commissioning Master Sh'!$D:$D,Summary!$A223, 'LOI and Commissioning Master Sh'!$G:$G,AK$1,'LOI and Commissioning Master Sh'!$CD:$CD,"Yes",'LOI and Commissioning Master Sh'!$H:$H,AK$3,'LOI and Commissioning Master Sh'!$Y:$Y,"Yes")</f>
        <v>0</v>
      </c>
      <c r="AL223" s="19">
        <f>COUNTIFS('LOI and Commissioning Master Sh'!$D:$D,Summary!$A223, 'LOI and Commissioning Master Sh'!$G:$G,AL$1,'LOI and Commissioning Master Sh'!$CD:$CD,"Yes",'LOI and Commissioning Master Sh'!$H:$H,AL$3,'LOI and Commissioning Master Sh'!$Y:$Y,"Yes")</f>
        <v>0</v>
      </c>
      <c r="AM223" s="19">
        <f t="shared" si="252"/>
        <v>0</v>
      </c>
      <c r="AN223" s="21">
        <f>COUNTIFS('LOI and Commissioning Master Sh'!$D:$D,Summary!$A223, 'LOI and Commissioning Master Sh'!$G:$G,AN$1,'LOI and Commissioning Master Sh'!$CD:$CD,"Yes",'LOI and Commissioning Master Sh'!$H:$H,AN$3)</f>
        <v>0</v>
      </c>
      <c r="AO223" s="21">
        <f>COUNTIFS('LOI and Commissioning Master Sh'!$D:$D,Summary!$A223, 'LOI and Commissioning Master Sh'!$G:$G,AO$1,'LOI and Commissioning Master Sh'!$CD:$CD,"Yes",'LOI and Commissioning Master Sh'!$H:$H,AO$3)</f>
        <v>0</v>
      </c>
      <c r="AP223" s="21">
        <f t="shared" si="253"/>
        <v>0</v>
      </c>
      <c r="AQ223" s="21">
        <f>COUNTIFS('LOI and Commissioning Master Sh'!$D:$D,Summary!$A223, 'LOI and Commissioning Master Sh'!$G:$G,AQ$1,'LOI and Commissioning Master Sh'!$CD:$CD,"Yes",'LOI and Commissioning Master Sh'!$H:$H,AQ$3,'LOI and Commissioning Master Sh'!$AC:$AC,"Yes")</f>
        <v>0</v>
      </c>
      <c r="AR223" s="21">
        <f>COUNTIFS('LOI and Commissioning Master Sh'!$D:$D,Summary!$A223, 'LOI and Commissioning Master Sh'!$G:$G,AR$1,'LOI and Commissioning Master Sh'!$CD:$CD,"Yes",'LOI and Commissioning Master Sh'!$H:$H,AR$3,'LOI and Commissioning Master Sh'!$AC:$AC,"Yes")</f>
        <v>0</v>
      </c>
      <c r="AS223" s="21">
        <f t="shared" si="254"/>
        <v>0</v>
      </c>
      <c r="AT223" s="21">
        <f>COUNTIFS('LOI and Commissioning Master Sh'!$D:$D,Summary!$A223, 'LOI and Commissioning Master Sh'!$G:$G,AT$1,'LOI and Commissioning Master Sh'!$CD:$CD,"Yes",'LOI and Commissioning Master Sh'!$H:$H,AT$3,'LOI and Commissioning Master Sh'!$Y:$Y,"Yes")</f>
        <v>0</v>
      </c>
      <c r="AU223" s="21">
        <f>COUNTIFS('LOI and Commissioning Master Sh'!$D:$D,Summary!$A223, 'LOI and Commissioning Master Sh'!$G:$G,AU$1,'LOI and Commissioning Master Sh'!$CD:$CD,"Yes",'LOI and Commissioning Master Sh'!$H:$H,AU$3,'LOI and Commissioning Master Sh'!$Y:$Y,"Yes")</f>
        <v>0</v>
      </c>
      <c r="AV223" s="21">
        <f t="shared" si="255"/>
        <v>0</v>
      </c>
      <c r="AW223" s="23">
        <f>COUNTIFS('LOI and Commissioning Master Sh'!$D:$D,Summary!$A223, 'LOI and Commissioning Master Sh'!$G:$G,AW$1,'LOI and Commissioning Master Sh'!$CD:$CD,"Yes",'LOI and Commissioning Master Sh'!$H:$H,AW$3)</f>
        <v>0</v>
      </c>
      <c r="AX223" s="23">
        <f>COUNTIFS('LOI and Commissioning Master Sh'!$D:$D,Summary!$A223, 'LOI and Commissioning Master Sh'!$G:$G,AX$1,'LOI and Commissioning Master Sh'!$CD:$CD,"Yes",'LOI and Commissioning Master Sh'!$H:$H,AX$3)</f>
        <v>0</v>
      </c>
      <c r="AY223" s="23">
        <f t="shared" si="245"/>
        <v>0</v>
      </c>
      <c r="AZ223" s="23">
        <f>COUNTIFS('LOI and Commissioning Master Sh'!$D:$D,Summary!$A223, 'LOI and Commissioning Master Sh'!$G:$G,AZ$1,'LOI and Commissioning Master Sh'!$CD:$CD,"Yes",'LOI and Commissioning Master Sh'!$H:$H,AZ$3,'LOI and Commissioning Master Sh'!$AC:$AC,"Yes")</f>
        <v>0</v>
      </c>
      <c r="BA223" s="23">
        <f>COUNTIFS('LOI and Commissioning Master Sh'!$D:$D,Summary!$A223, 'LOI and Commissioning Master Sh'!$G:$G,BA$1,'LOI and Commissioning Master Sh'!$CD:$CD,"Yes",'LOI and Commissioning Master Sh'!$H:$H,BA$3,'LOI and Commissioning Master Sh'!$AC:$AC,"Yes")</f>
        <v>0</v>
      </c>
      <c r="BB223" s="23">
        <f t="shared" si="256"/>
        <v>0</v>
      </c>
      <c r="BC223" s="23">
        <f>COUNTIFS('LOI and Commissioning Master Sh'!$D:$D,Summary!$A223, 'LOI and Commissioning Master Sh'!$G:$G,BC$1,'LOI and Commissioning Master Sh'!$CD:$CD,"Yes",'LOI and Commissioning Master Sh'!$H:$H,BC$3,'LOI and Commissioning Master Sh'!$Y:$Y,"Yes")</f>
        <v>0</v>
      </c>
      <c r="BD223" s="23">
        <f>COUNTIFS('LOI and Commissioning Master Sh'!$D:$D,Summary!$A223, 'LOI and Commissioning Master Sh'!$G:$G,BD$1,'LOI and Commissioning Master Sh'!$CD:$CD,"Yes",'LOI and Commissioning Master Sh'!$H:$H,BD$3,'LOI and Commissioning Master Sh'!$Y:$Y,"Yes")</f>
        <v>0</v>
      </c>
      <c r="BE223" s="23">
        <f t="shared" si="257"/>
        <v>0</v>
      </c>
      <c r="BF223" s="35">
        <f>COUNTIFS('LOI and Commissioning Master Sh'!$D:$D,Summary!$A223,'LOI and Commissioning Master Sh'!$G:$G,Summary!BF$2,'LOI and Commissioning Master Sh'!$H:$H,Summary!BF$3,'LOI and Commissioning Master Sh'!$BW:$BW, "Commissioned")</f>
        <v>0</v>
      </c>
      <c r="BG223" s="35">
        <f>COUNTIFS('LOI and Commissioning Master Sh'!$D:$D,Summary!$A223,'LOI and Commissioning Master Sh'!$G:$G,Summary!BG$2,'LOI and Commissioning Master Sh'!$H:$H,Summary!BG$3,'LOI and Commissioning Master Sh'!$BW:$BW, "Commissioned")</f>
        <v>0</v>
      </c>
      <c r="BH223" s="35">
        <f>COUNTIFS('LOI and Commissioning Master Sh'!$D:$D,Summary!$A223,'LOI and Commissioning Master Sh'!$G:$G,Summary!BH$2,'LOI and Commissioning Master Sh'!$H:$H,Summary!BH$3,'LOI and Commissioning Master Sh'!$BW:$BW, "Commissioned")</f>
        <v>0</v>
      </c>
      <c r="BI223" s="35">
        <f>COUNTIFS('LOI and Commissioning Master Sh'!$D:$D,Summary!$A223,'LOI and Commissioning Master Sh'!$G:$G,Summary!BI$2,'LOI and Commissioning Master Sh'!$H:$H,Summary!BI$3,'LOI and Commissioning Master Sh'!$BW:$BW, "Commissioned")</f>
        <v>0</v>
      </c>
      <c r="BJ223" s="35">
        <f>COUNTIFS('LOI and Commissioning Master Sh'!$D:$D,Summary!$A223,'LOI and Commissioning Master Sh'!$G:$G,Summary!BJ$2,'LOI and Commissioning Master Sh'!$H:$H,Summary!BJ$3,'LOI and Commissioning Master Sh'!$BW:$BW, "Commissioned")</f>
        <v>0</v>
      </c>
      <c r="BK223" s="35">
        <f>COUNTIFS('LOI and Commissioning Master Sh'!$D:$D,Summary!$A223,'LOI and Commissioning Master Sh'!$G:$G,Summary!BK$2,'LOI and Commissioning Master Sh'!$H:$H,Summary!BK$3,'LOI and Commissioning Master Sh'!$BW:$BW, "Commissioned")</f>
        <v>0</v>
      </c>
      <c r="BL223" s="35">
        <f>COUNTIFS('LOI and Commissioning Master Sh'!$D:$D,Summary!$A223,'LOI and Commissioning Master Sh'!$G:$G,Summary!BL$2,'LOI and Commissioning Master Sh'!$H:$H,Summary!BL$3,'LOI and Commissioning Master Sh'!$BW:$BW, "Commissioned")</f>
        <v>0</v>
      </c>
      <c r="BM223" s="35">
        <f>COUNTIFS('LOI and Commissioning Master Sh'!$D:$D,Summary!$A223,'LOI and Commissioning Master Sh'!$G:$G,Summary!BM$2,'LOI and Commissioning Master Sh'!$H:$H,Summary!BM$3,'LOI and Commissioning Master Sh'!$BW:$BW, "Commissioned")</f>
        <v>0</v>
      </c>
      <c r="BN223" s="35">
        <f>COUNTIFS('LOI and Commissioning Master Sh'!$D:$D,Summary!$A223,'LOI and Commissioning Master Sh'!$G:$G,Summary!BN$2,'LOI and Commissioning Master Sh'!$H:$H,Summary!BN$3,'LOI and Commissioning Master Sh'!$BW:$BW, "Commissioned")</f>
        <v>0</v>
      </c>
      <c r="BO223" s="35">
        <f>COUNTIFS('LOI and Commissioning Master Sh'!$D:$D,Summary!$A223,'LOI and Commissioning Master Sh'!$G:$G,Summary!BO$2,'LOI and Commissioning Master Sh'!$H:$H,Summary!BO$3,'LOI and Commissioning Master Sh'!$BW:$BW, "Commissioned")</f>
        <v>0</v>
      </c>
      <c r="BP223" s="35">
        <f>COUNTIFS('LOI and Commissioning Master Sh'!$D:$D,Summary!$A223,'LOI and Commissioning Master Sh'!$G:$G,Summary!BP$2,'LOI and Commissioning Master Sh'!$H:$H,Summary!BP$3,'LOI and Commissioning Master Sh'!$BW:$BW, "Commissioned")</f>
        <v>0</v>
      </c>
      <c r="BQ223" s="35">
        <f>COUNTIFS('LOI and Commissioning Master Sh'!$D:$D,Summary!$A223,'LOI and Commissioning Master Sh'!$G:$G,Summary!BQ$2,'LOI and Commissioning Master Sh'!$H:$H,Summary!BQ$3,'LOI and Commissioning Master Sh'!$BW:$BW, "Commissioned")</f>
        <v>0</v>
      </c>
      <c r="BR223" s="43">
        <f t="shared" si="246"/>
        <v>0</v>
      </c>
    </row>
    <row r="224" spans="1:70" x14ac:dyDescent="0.25">
      <c r="A224" s="86" t="s">
        <v>99</v>
      </c>
      <c r="B224" s="19">
        <f>COUNTIFS('LOI and Commissioning Master Sh'!D:D,Summary!A224)</f>
        <v>29</v>
      </c>
      <c r="C224" s="13">
        <f>COUNTIFS('LOI and Commissioning Master Sh'!$D:$D,Summary!$A224,'LOI and Commissioning Master Sh'!$CD:$CD,"Yes",'LOI and Commissioning Master Sh'!$H:$H,"A")</f>
        <v>8</v>
      </c>
      <c r="D224" s="13">
        <f>COUNTIFS('LOI and Commissioning Master Sh'!$D:$D,Summary!$A224,'LOI and Commissioning Master Sh'!$CD:$CD,"Yes",'LOI and Commissioning Master Sh'!$H:$H,"B")</f>
        <v>4</v>
      </c>
      <c r="E224" s="13">
        <f t="shared" si="239"/>
        <v>12</v>
      </c>
      <c r="F224" s="13">
        <f>+COUNTIFS('LOI and Commissioning Master Sh'!$D:$D,Summary!$A224,'LOI and Commissioning Master Sh'!$CD:$CD, "Yes",'LOI and Commissioning Master Sh'!$BK:$BK, "Yes")</f>
        <v>11</v>
      </c>
      <c r="G224" s="13">
        <f>COUNTIFS('LOI and Commissioning Master Sh'!$D:$D,Summary!$A224,'LOI and Commissioning Master Sh'!$CD:$CD,"Yes",'LOI and Commissioning Master Sh'!$H:$H,"A",'LOI and Commissioning Master Sh'!$AC:$AC,"Yes")</f>
        <v>2</v>
      </c>
      <c r="H224" s="13">
        <f>COUNTIFS('LOI and Commissioning Master Sh'!$D:$D,Summary!$A224,'LOI and Commissioning Master Sh'!$CD:$CD,"Yes",'LOI and Commissioning Master Sh'!$H:$H,"B",'LOI and Commissioning Master Sh'!$AC:$AC,"Yes")</f>
        <v>0</v>
      </c>
      <c r="I224" s="267">
        <f t="shared" si="240"/>
        <v>2</v>
      </c>
      <c r="J224" s="13">
        <f>COUNTIFS('LOI and Commissioning Master Sh'!$D:$D,Summary!$A224,'LOI and Commissioning Master Sh'!$CD:$CD,"Yes",'LOI and Commissioning Master Sh'!$H:$H,"A",'LOI and Commissioning Master Sh'!$Y:$Y,"Yes")</f>
        <v>2</v>
      </c>
      <c r="K224" s="13">
        <f>COUNTIFS('LOI and Commissioning Master Sh'!$D:$D,Summary!$A224,'LOI and Commissioning Master Sh'!$CD:$CD,"Yes",'LOI and Commissioning Master Sh'!$H:$H,"B",'LOI and Commissioning Master Sh'!$Y:$Y,"Yes")</f>
        <v>1</v>
      </c>
      <c r="L224" s="13">
        <f t="shared" si="241"/>
        <v>3</v>
      </c>
      <c r="M224" s="15">
        <f>COUNTIFS('LOI and Commissioning Master Sh'!$D:$D,Summary!$A224, 'LOI and Commissioning Master Sh'!$G:$G,M$1,'LOI and Commissioning Master Sh'!$CD:$CD,"Yes",'LOI and Commissioning Master Sh'!$H:$H,M$3)</f>
        <v>1</v>
      </c>
      <c r="N224" s="15">
        <f>COUNTIFS('LOI and Commissioning Master Sh'!$D:$D,Summary!$A224, 'LOI and Commissioning Master Sh'!$G:$G,N$1,'LOI and Commissioning Master Sh'!$CD:$CD,"Yes",'LOI and Commissioning Master Sh'!$H:$H,N$3)</f>
        <v>0</v>
      </c>
      <c r="O224" s="15">
        <f t="shared" si="242"/>
        <v>1</v>
      </c>
      <c r="P224" s="15">
        <f>COUNTIFS('LOI and Commissioning Master Sh'!$D:$D,Summary!$A224, 'LOI and Commissioning Master Sh'!$G:$G,P$1,'LOI and Commissioning Master Sh'!$CD:$CD,"Yes",'LOI and Commissioning Master Sh'!$H:$H,P$3,'LOI and Commissioning Master Sh'!$AC:$AC,"Yes")</f>
        <v>0</v>
      </c>
      <c r="Q224" s="15">
        <f>COUNTIFS('LOI and Commissioning Master Sh'!$D:$D,Summary!$A224, 'LOI and Commissioning Master Sh'!$G:$G,Q$1,'LOI and Commissioning Master Sh'!$CD:$CD,"Yes",'LOI and Commissioning Master Sh'!$H:$H,Q$3,'LOI and Commissioning Master Sh'!$AC:$AC,"Yes")</f>
        <v>0</v>
      </c>
      <c r="R224" s="15">
        <f t="shared" si="243"/>
        <v>0</v>
      </c>
      <c r="S224" s="15">
        <f>COUNTIFS('LOI and Commissioning Master Sh'!$D:$D,Summary!$A224, 'LOI and Commissioning Master Sh'!$G:$G,S$1,'LOI and Commissioning Master Sh'!$CD:$CD,"Yes",'LOI and Commissioning Master Sh'!$H:$H,S$3,'LOI and Commissioning Master Sh'!$Y:$Y,"Yes")</f>
        <v>0</v>
      </c>
      <c r="T224" s="15">
        <f>COUNTIFS('LOI and Commissioning Master Sh'!$D:$D,Summary!$A224, 'LOI and Commissioning Master Sh'!$G:$G,T$1,'LOI and Commissioning Master Sh'!$CD:$CD,"Yes",'LOI and Commissioning Master Sh'!$H:$H,T$3,'LOI and Commissioning Master Sh'!$Y:$Y,"Yes")</f>
        <v>0</v>
      </c>
      <c r="U224" s="15">
        <f t="shared" si="244"/>
        <v>0</v>
      </c>
      <c r="V224" s="17">
        <f>COUNTIFS('LOI and Commissioning Master Sh'!$D:$D,Summary!$A224, 'LOI and Commissioning Master Sh'!$G:$G,V$1,'LOI and Commissioning Master Sh'!$CD:$CD,"Yes",'LOI and Commissioning Master Sh'!$H:$H,V$3)</f>
        <v>4</v>
      </c>
      <c r="W224" s="17">
        <f>COUNTIFS('LOI and Commissioning Master Sh'!$D:$D,Summary!$A224, 'LOI and Commissioning Master Sh'!$G:$G,W$1,'LOI and Commissioning Master Sh'!$CD:$CD,"Yes",'LOI and Commissioning Master Sh'!$H:$H,W$3)</f>
        <v>3</v>
      </c>
      <c r="X224" s="17">
        <f t="shared" si="247"/>
        <v>7</v>
      </c>
      <c r="Y224" s="17">
        <f>COUNTIFS('LOI and Commissioning Master Sh'!$D:$D,Summary!$A224, 'LOI and Commissioning Master Sh'!$G:$G,Y$1,'LOI and Commissioning Master Sh'!$CD:$CD,"Yes",'LOI and Commissioning Master Sh'!$H:$H,Y$3,'LOI and Commissioning Master Sh'!$AC:$AC,"Yes")</f>
        <v>0</v>
      </c>
      <c r="Z224" s="17">
        <f>COUNTIFS('LOI and Commissioning Master Sh'!$D:$D,Summary!$A224, 'LOI and Commissioning Master Sh'!$G:$G,Z$1,'LOI and Commissioning Master Sh'!$CD:$CD,"Yes",'LOI and Commissioning Master Sh'!$H:$H,Z$3,'LOI and Commissioning Master Sh'!$AC:$AC,"Yes")</f>
        <v>0</v>
      </c>
      <c r="AA224" s="17">
        <f t="shared" si="248"/>
        <v>0</v>
      </c>
      <c r="AB224" s="17">
        <f>COUNTIFS('LOI and Commissioning Master Sh'!$D:$D,Summary!$A224, 'LOI and Commissioning Master Sh'!$G:$G,AB$1,'LOI and Commissioning Master Sh'!$CD:$CD,"Yes",'LOI and Commissioning Master Sh'!$H:$H,AB$3,'LOI and Commissioning Master Sh'!$Y:$Y,"Yes")</f>
        <v>0</v>
      </c>
      <c r="AC224" s="17">
        <f>COUNTIFS('LOI and Commissioning Master Sh'!$D:$D,Summary!$A224, 'LOI and Commissioning Master Sh'!$G:$G,AC$1,'LOI and Commissioning Master Sh'!$CD:$CD,"Yes",'LOI and Commissioning Master Sh'!$H:$H,AC$3,'LOI and Commissioning Master Sh'!$Y:$Y,"Yes")</f>
        <v>1</v>
      </c>
      <c r="AD224" s="17">
        <f t="shared" si="249"/>
        <v>1</v>
      </c>
      <c r="AE224" s="19">
        <f>COUNTIFS('LOI and Commissioning Master Sh'!$D:$D,Summary!$A224, 'LOI and Commissioning Master Sh'!$G:$G,AE$1,'LOI and Commissioning Master Sh'!$CD:$CD,"Yes",'LOI and Commissioning Master Sh'!$H:$H,AE$3)</f>
        <v>2</v>
      </c>
      <c r="AF224" s="19">
        <f>COUNTIFS('LOI and Commissioning Master Sh'!$D:$D,Summary!$A224, 'LOI and Commissioning Master Sh'!$G:$G,AF$1,'LOI and Commissioning Master Sh'!$CD:$CD,"Yes",'LOI and Commissioning Master Sh'!$H:$H,AF$3)</f>
        <v>0</v>
      </c>
      <c r="AG224" s="19">
        <f t="shared" si="250"/>
        <v>2</v>
      </c>
      <c r="AH224" s="19">
        <f>COUNTIFS('LOI and Commissioning Master Sh'!$D:$D,Summary!$A224, 'LOI and Commissioning Master Sh'!$G:$G,AH$1,'LOI and Commissioning Master Sh'!$CD:$CD,"Yes",'LOI and Commissioning Master Sh'!$H:$H,AH$3,'LOI and Commissioning Master Sh'!$AC:$AC,"Yes")</f>
        <v>1</v>
      </c>
      <c r="AI224" s="19">
        <f>COUNTIFS('LOI and Commissioning Master Sh'!$D:$D,Summary!$A224, 'LOI and Commissioning Master Sh'!$G:$G,AI$1,'LOI and Commissioning Master Sh'!$CD:$CD,"Yes",'LOI and Commissioning Master Sh'!$H:$H,AI$3,'LOI and Commissioning Master Sh'!$AC:$AC,"Yes")</f>
        <v>0</v>
      </c>
      <c r="AJ224" s="19">
        <f t="shared" si="251"/>
        <v>1</v>
      </c>
      <c r="AK224" s="19">
        <f>COUNTIFS('LOI and Commissioning Master Sh'!$D:$D,Summary!$A224, 'LOI and Commissioning Master Sh'!$G:$G,AK$1,'LOI and Commissioning Master Sh'!$CD:$CD,"Yes",'LOI and Commissioning Master Sh'!$H:$H,AK$3,'LOI and Commissioning Master Sh'!$Y:$Y,"Yes")</f>
        <v>1</v>
      </c>
      <c r="AL224" s="19">
        <f>COUNTIFS('LOI and Commissioning Master Sh'!$D:$D,Summary!$A224, 'LOI and Commissioning Master Sh'!$G:$G,AL$1,'LOI and Commissioning Master Sh'!$CD:$CD,"Yes",'LOI and Commissioning Master Sh'!$H:$H,AL$3,'LOI and Commissioning Master Sh'!$Y:$Y,"Yes")</f>
        <v>0</v>
      </c>
      <c r="AM224" s="19">
        <f t="shared" si="252"/>
        <v>1</v>
      </c>
      <c r="AN224" s="21">
        <f>COUNTIFS('LOI and Commissioning Master Sh'!$D:$D,Summary!$A224, 'LOI and Commissioning Master Sh'!$G:$G,AN$1,'LOI and Commissioning Master Sh'!$CD:$CD,"Yes",'LOI and Commissioning Master Sh'!$H:$H,AN$3)</f>
        <v>0</v>
      </c>
      <c r="AO224" s="21">
        <f>COUNTIFS('LOI and Commissioning Master Sh'!$D:$D,Summary!$A224, 'LOI and Commissioning Master Sh'!$G:$G,AO$1,'LOI and Commissioning Master Sh'!$CD:$CD,"Yes",'LOI and Commissioning Master Sh'!$H:$H,AO$3)</f>
        <v>0</v>
      </c>
      <c r="AP224" s="21">
        <f t="shared" si="253"/>
        <v>0</v>
      </c>
      <c r="AQ224" s="21">
        <f>COUNTIFS('LOI and Commissioning Master Sh'!$D:$D,Summary!$A224, 'LOI and Commissioning Master Sh'!$G:$G,AQ$1,'LOI and Commissioning Master Sh'!$CD:$CD,"Yes",'LOI and Commissioning Master Sh'!$H:$H,AQ$3,'LOI and Commissioning Master Sh'!$AC:$AC,"Yes")</f>
        <v>0</v>
      </c>
      <c r="AR224" s="21">
        <f>COUNTIFS('LOI and Commissioning Master Sh'!$D:$D,Summary!$A224, 'LOI and Commissioning Master Sh'!$G:$G,AR$1,'LOI and Commissioning Master Sh'!$CD:$CD,"Yes",'LOI and Commissioning Master Sh'!$H:$H,AR$3,'LOI and Commissioning Master Sh'!$AC:$AC,"Yes")</f>
        <v>0</v>
      </c>
      <c r="AS224" s="21">
        <f t="shared" si="254"/>
        <v>0</v>
      </c>
      <c r="AT224" s="21">
        <f>COUNTIFS('LOI and Commissioning Master Sh'!$D:$D,Summary!$A224, 'LOI and Commissioning Master Sh'!$G:$G,AT$1,'LOI and Commissioning Master Sh'!$CD:$CD,"Yes",'LOI and Commissioning Master Sh'!$H:$H,AT$3,'LOI and Commissioning Master Sh'!$Y:$Y,"Yes")</f>
        <v>0</v>
      </c>
      <c r="AU224" s="21">
        <f>COUNTIFS('LOI and Commissioning Master Sh'!$D:$D,Summary!$A224, 'LOI and Commissioning Master Sh'!$G:$G,AU$1,'LOI and Commissioning Master Sh'!$CD:$CD,"Yes",'LOI and Commissioning Master Sh'!$H:$H,AU$3,'LOI and Commissioning Master Sh'!$Y:$Y,"Yes")</f>
        <v>0</v>
      </c>
      <c r="AV224" s="21">
        <f t="shared" si="255"/>
        <v>0</v>
      </c>
      <c r="AW224" s="23">
        <f>COUNTIFS('LOI and Commissioning Master Sh'!$D:$D,Summary!$A224, 'LOI and Commissioning Master Sh'!$G:$G,AW$1,'LOI and Commissioning Master Sh'!$CD:$CD,"Yes",'LOI and Commissioning Master Sh'!$H:$H,AW$3)</f>
        <v>1</v>
      </c>
      <c r="AX224" s="23">
        <f>COUNTIFS('LOI and Commissioning Master Sh'!$D:$D,Summary!$A224, 'LOI and Commissioning Master Sh'!$G:$G,AX$1,'LOI and Commissioning Master Sh'!$CD:$CD,"Yes",'LOI and Commissioning Master Sh'!$H:$H,AX$3)</f>
        <v>1</v>
      </c>
      <c r="AY224" s="23">
        <f t="shared" ref="AY224:AY225" si="258">+AW224+AX224</f>
        <v>2</v>
      </c>
      <c r="AZ224" s="23">
        <f>COUNTIFS('LOI and Commissioning Master Sh'!$D:$D,Summary!$A224, 'LOI and Commissioning Master Sh'!$G:$G,AZ$1,'LOI and Commissioning Master Sh'!$CD:$CD,"Yes",'LOI and Commissioning Master Sh'!$H:$H,AZ$3,'LOI and Commissioning Master Sh'!$AC:$AC,"Yes")</f>
        <v>1</v>
      </c>
      <c r="BA224" s="23">
        <f>COUNTIFS('LOI and Commissioning Master Sh'!$D:$D,Summary!$A224, 'LOI and Commissioning Master Sh'!$G:$G,BA$1,'LOI and Commissioning Master Sh'!$CD:$CD,"Yes",'LOI and Commissioning Master Sh'!$H:$H,BA$3,'LOI and Commissioning Master Sh'!$AC:$AC,"Yes")</f>
        <v>0</v>
      </c>
      <c r="BB224" s="23">
        <f t="shared" si="256"/>
        <v>1</v>
      </c>
      <c r="BC224" s="23">
        <f>COUNTIFS('LOI and Commissioning Master Sh'!$D:$D,Summary!$A224, 'LOI and Commissioning Master Sh'!$G:$G,BC$1,'LOI and Commissioning Master Sh'!$CD:$CD,"Yes",'LOI and Commissioning Master Sh'!$H:$H,BC$3,'LOI and Commissioning Master Sh'!$Y:$Y,"Yes")</f>
        <v>1</v>
      </c>
      <c r="BD224" s="23">
        <f>COUNTIFS('LOI and Commissioning Master Sh'!$D:$D,Summary!$A224, 'LOI and Commissioning Master Sh'!$G:$G,BD$1,'LOI and Commissioning Master Sh'!$CD:$CD,"Yes",'LOI and Commissioning Master Sh'!$H:$H,BD$3,'LOI and Commissioning Master Sh'!$Y:$Y,"Yes")</f>
        <v>0</v>
      </c>
      <c r="BE224" s="23">
        <f t="shared" si="257"/>
        <v>1</v>
      </c>
      <c r="BF224" s="35">
        <f>COUNTIFS('LOI and Commissioning Master Sh'!$D:$D,Summary!$A224,'LOI and Commissioning Master Sh'!$G:$G,Summary!BF$2,'LOI and Commissioning Master Sh'!$H:$H,Summary!BF$3,'LOI and Commissioning Master Sh'!$BW:$BW, "Commissioned")</f>
        <v>0</v>
      </c>
      <c r="BG224" s="35">
        <f>COUNTIFS('LOI and Commissioning Master Sh'!$D:$D,Summary!$A224,'LOI and Commissioning Master Sh'!$G:$G,Summary!BG$2,'LOI and Commissioning Master Sh'!$H:$H,Summary!BG$3,'LOI and Commissioning Master Sh'!$BW:$BW, "Commissioned")</f>
        <v>0</v>
      </c>
      <c r="BH224" s="35">
        <f>COUNTIFS('LOI and Commissioning Master Sh'!$D:$D,Summary!$A224,'LOI and Commissioning Master Sh'!$G:$G,Summary!BH$2,'LOI and Commissioning Master Sh'!$H:$H,Summary!BH$3,'LOI and Commissioning Master Sh'!$BW:$BW, "Commissioned")</f>
        <v>0</v>
      </c>
      <c r="BI224" s="35">
        <f>COUNTIFS('LOI and Commissioning Master Sh'!$D:$D,Summary!$A224,'LOI and Commissioning Master Sh'!$G:$G,Summary!BI$2,'LOI and Commissioning Master Sh'!$H:$H,Summary!BI$3,'LOI and Commissioning Master Sh'!$BW:$BW, "Commissioned")</f>
        <v>0</v>
      </c>
      <c r="BJ224" s="35">
        <f>COUNTIFS('LOI and Commissioning Master Sh'!$D:$D,Summary!$A224,'LOI and Commissioning Master Sh'!$G:$G,Summary!BJ$2,'LOI and Commissioning Master Sh'!$H:$H,Summary!BJ$3,'LOI and Commissioning Master Sh'!$BW:$BW, "Commissioned")</f>
        <v>0</v>
      </c>
      <c r="BK224" s="35">
        <f>COUNTIFS('LOI and Commissioning Master Sh'!$D:$D,Summary!$A224,'LOI and Commissioning Master Sh'!$G:$G,Summary!BK$2,'LOI and Commissioning Master Sh'!$H:$H,Summary!BK$3,'LOI and Commissioning Master Sh'!$BW:$BW, "Commissioned")</f>
        <v>0</v>
      </c>
      <c r="BL224" s="35">
        <f>COUNTIFS('LOI and Commissioning Master Sh'!$D:$D,Summary!$A224,'LOI and Commissioning Master Sh'!$G:$G,Summary!BL$2,'LOI and Commissioning Master Sh'!$H:$H,Summary!BL$3,'LOI and Commissioning Master Sh'!$BW:$BW, "Commissioned")</f>
        <v>0</v>
      </c>
      <c r="BM224" s="35">
        <f>COUNTIFS('LOI and Commissioning Master Sh'!$D:$D,Summary!$A224,'LOI and Commissioning Master Sh'!$G:$G,Summary!BM$2,'LOI and Commissioning Master Sh'!$H:$H,Summary!BM$3,'LOI and Commissioning Master Sh'!$BW:$BW, "Commissioned")</f>
        <v>0</v>
      </c>
      <c r="BN224" s="35">
        <f>COUNTIFS('LOI and Commissioning Master Sh'!$D:$D,Summary!$A224,'LOI and Commissioning Master Sh'!$G:$G,Summary!BN$2,'LOI and Commissioning Master Sh'!$H:$H,Summary!BN$3,'LOI and Commissioning Master Sh'!$BW:$BW, "Commissioned")</f>
        <v>1</v>
      </c>
      <c r="BO224" s="35">
        <f>COUNTIFS('LOI and Commissioning Master Sh'!$D:$D,Summary!$A224,'LOI and Commissioning Master Sh'!$G:$G,Summary!BO$2,'LOI and Commissioning Master Sh'!$H:$H,Summary!BO$3,'LOI and Commissioning Master Sh'!$BW:$BW, "Commissioned")</f>
        <v>0</v>
      </c>
      <c r="BP224" s="35">
        <f>COUNTIFS('LOI and Commissioning Master Sh'!$D:$D,Summary!$A224,'LOI and Commissioning Master Sh'!$G:$G,Summary!BP$2,'LOI and Commissioning Master Sh'!$H:$H,Summary!BP$3,'LOI and Commissioning Master Sh'!$BW:$BW, "Commissioned")</f>
        <v>1</v>
      </c>
      <c r="BQ224" s="35">
        <f>COUNTIFS('LOI and Commissioning Master Sh'!$D:$D,Summary!$A224,'LOI and Commissioning Master Sh'!$G:$G,Summary!BQ$2,'LOI and Commissioning Master Sh'!$H:$H,Summary!BQ$3,'LOI and Commissioning Master Sh'!$BW:$BW, "Commissioned")</f>
        <v>0</v>
      </c>
      <c r="BR224" s="43">
        <f t="shared" si="246"/>
        <v>2</v>
      </c>
    </row>
    <row r="225" spans="1:70" x14ac:dyDescent="0.25">
      <c r="A225" s="86" t="s">
        <v>141</v>
      </c>
      <c r="B225" s="19">
        <f>COUNTIFS('LOI and Commissioning Master Sh'!D:D,Summary!A225)</f>
        <v>25</v>
      </c>
      <c r="C225" s="13">
        <f>COUNTIFS('LOI and Commissioning Master Sh'!$D:$D,Summary!$A225,'LOI and Commissioning Master Sh'!$CD:$CD,"Yes",'LOI and Commissioning Master Sh'!$H:$H,"A")</f>
        <v>2</v>
      </c>
      <c r="D225" s="13">
        <f>COUNTIFS('LOI and Commissioning Master Sh'!$D:$D,Summary!$A225,'LOI and Commissioning Master Sh'!$CD:$CD,"Yes",'LOI and Commissioning Master Sh'!$H:$H,"B")</f>
        <v>3</v>
      </c>
      <c r="E225" s="13">
        <f t="shared" si="239"/>
        <v>5</v>
      </c>
      <c r="F225" s="13">
        <f>+COUNTIFS('LOI and Commissioning Master Sh'!$D:$D,Summary!$A225,'LOI and Commissioning Master Sh'!$CD:$CD, "Yes",'LOI and Commissioning Master Sh'!$BK:$BK, "Yes")</f>
        <v>4</v>
      </c>
      <c r="G225" s="13">
        <f>COUNTIFS('LOI and Commissioning Master Sh'!$D:$D,Summary!$A225,'LOI and Commissioning Master Sh'!$CD:$CD,"Yes",'LOI and Commissioning Master Sh'!$H:$H,"A",'LOI and Commissioning Master Sh'!$AC:$AC,"Yes")</f>
        <v>0</v>
      </c>
      <c r="H225" s="13">
        <f>COUNTIFS('LOI and Commissioning Master Sh'!$D:$D,Summary!$A225,'LOI and Commissioning Master Sh'!$CD:$CD,"Yes",'LOI and Commissioning Master Sh'!$H:$H,"B",'LOI and Commissioning Master Sh'!$AC:$AC,"Yes")</f>
        <v>1</v>
      </c>
      <c r="I225" s="267">
        <f t="shared" si="240"/>
        <v>1</v>
      </c>
      <c r="J225" s="13">
        <f>COUNTIFS('LOI and Commissioning Master Sh'!$D:$D,Summary!$A225,'LOI and Commissioning Master Sh'!$CD:$CD,"Yes",'LOI and Commissioning Master Sh'!$H:$H,"A",'LOI and Commissioning Master Sh'!$Y:$Y,"Yes")</f>
        <v>0</v>
      </c>
      <c r="K225" s="13">
        <f>COUNTIFS('LOI and Commissioning Master Sh'!$D:$D,Summary!$A225,'LOI and Commissioning Master Sh'!$CD:$CD,"Yes",'LOI and Commissioning Master Sh'!$H:$H,"B",'LOI and Commissioning Master Sh'!$Y:$Y,"Yes")</f>
        <v>2</v>
      </c>
      <c r="L225" s="13">
        <f t="shared" si="241"/>
        <v>2</v>
      </c>
      <c r="M225" s="15">
        <f>COUNTIFS('LOI and Commissioning Master Sh'!$D:$D,Summary!$A225, 'LOI and Commissioning Master Sh'!$G:$G,M$1,'LOI and Commissioning Master Sh'!$CD:$CD,"Yes",'LOI and Commissioning Master Sh'!$H:$H,M$3)</f>
        <v>0</v>
      </c>
      <c r="N225" s="15">
        <f>COUNTIFS('LOI and Commissioning Master Sh'!$D:$D,Summary!$A225, 'LOI and Commissioning Master Sh'!$G:$G,N$1,'LOI and Commissioning Master Sh'!$CD:$CD,"Yes",'LOI and Commissioning Master Sh'!$H:$H,N$3)</f>
        <v>0</v>
      </c>
      <c r="O225" s="15">
        <f t="shared" si="242"/>
        <v>0</v>
      </c>
      <c r="P225" s="15">
        <f>COUNTIFS('LOI and Commissioning Master Sh'!$D:$D,Summary!$A225, 'LOI and Commissioning Master Sh'!$G:$G,P$1,'LOI and Commissioning Master Sh'!$CD:$CD,"Yes",'LOI and Commissioning Master Sh'!$H:$H,P$3,'LOI and Commissioning Master Sh'!$AC:$AC,"Yes")</f>
        <v>0</v>
      </c>
      <c r="Q225" s="15">
        <f>COUNTIFS('LOI and Commissioning Master Sh'!$D:$D,Summary!$A225, 'LOI and Commissioning Master Sh'!$G:$G,Q$1,'LOI and Commissioning Master Sh'!$CD:$CD,"Yes",'LOI and Commissioning Master Sh'!$H:$H,Q$3,'LOI and Commissioning Master Sh'!$AC:$AC,"Yes")</f>
        <v>0</v>
      </c>
      <c r="R225" s="15">
        <f t="shared" si="243"/>
        <v>0</v>
      </c>
      <c r="S225" s="15">
        <f>COUNTIFS('LOI and Commissioning Master Sh'!$D:$D,Summary!$A225, 'LOI and Commissioning Master Sh'!$G:$G,S$1,'LOI and Commissioning Master Sh'!$CD:$CD,"Yes",'LOI and Commissioning Master Sh'!$H:$H,S$3,'LOI and Commissioning Master Sh'!$Y:$Y,"Yes")</f>
        <v>0</v>
      </c>
      <c r="T225" s="15">
        <f>COUNTIFS('LOI and Commissioning Master Sh'!$D:$D,Summary!$A225, 'LOI and Commissioning Master Sh'!$G:$G,T$1,'LOI and Commissioning Master Sh'!$CD:$CD,"Yes",'LOI and Commissioning Master Sh'!$H:$H,T$3,'LOI and Commissioning Master Sh'!$Y:$Y,"Yes")</f>
        <v>0</v>
      </c>
      <c r="U225" s="15">
        <f t="shared" si="244"/>
        <v>0</v>
      </c>
      <c r="V225" s="17">
        <f>COUNTIFS('LOI and Commissioning Master Sh'!$D:$D,Summary!$A225, 'LOI and Commissioning Master Sh'!$G:$G,V$1,'LOI and Commissioning Master Sh'!$CD:$CD,"Yes",'LOI and Commissioning Master Sh'!$H:$H,V$3)</f>
        <v>1</v>
      </c>
      <c r="W225" s="17">
        <f>COUNTIFS('LOI and Commissioning Master Sh'!$D:$D,Summary!$A225, 'LOI and Commissioning Master Sh'!$G:$G,W$1,'LOI and Commissioning Master Sh'!$CD:$CD,"Yes",'LOI and Commissioning Master Sh'!$H:$H,W$3)</f>
        <v>3</v>
      </c>
      <c r="X225" s="17">
        <f t="shared" si="247"/>
        <v>4</v>
      </c>
      <c r="Y225" s="17">
        <f>COUNTIFS('LOI and Commissioning Master Sh'!$D:$D,Summary!$A225, 'LOI and Commissioning Master Sh'!$G:$G,Y$1,'LOI and Commissioning Master Sh'!$CD:$CD,"Yes",'LOI and Commissioning Master Sh'!$H:$H,Y$3,'LOI and Commissioning Master Sh'!$AC:$AC,"Yes")</f>
        <v>0</v>
      </c>
      <c r="Z225" s="17">
        <f>COUNTIFS('LOI and Commissioning Master Sh'!$D:$D,Summary!$A225, 'LOI and Commissioning Master Sh'!$G:$G,Z$1,'LOI and Commissioning Master Sh'!$CD:$CD,"Yes",'LOI and Commissioning Master Sh'!$H:$H,Z$3,'LOI and Commissioning Master Sh'!$AC:$AC,"Yes")</f>
        <v>1</v>
      </c>
      <c r="AA225" s="17">
        <f t="shared" si="248"/>
        <v>1</v>
      </c>
      <c r="AB225" s="17">
        <f>COUNTIFS('LOI and Commissioning Master Sh'!$D:$D,Summary!$A225, 'LOI and Commissioning Master Sh'!$G:$G,AB$1,'LOI and Commissioning Master Sh'!$CD:$CD,"Yes",'LOI and Commissioning Master Sh'!$H:$H,AB$3,'LOI and Commissioning Master Sh'!$Y:$Y,"Yes")</f>
        <v>0</v>
      </c>
      <c r="AC225" s="17">
        <f>COUNTIFS('LOI and Commissioning Master Sh'!$D:$D,Summary!$A225, 'LOI and Commissioning Master Sh'!$G:$G,AC$1,'LOI and Commissioning Master Sh'!$CD:$CD,"Yes",'LOI and Commissioning Master Sh'!$H:$H,AC$3,'LOI and Commissioning Master Sh'!$Y:$Y,"Yes")</f>
        <v>2</v>
      </c>
      <c r="AD225" s="17">
        <f t="shared" si="249"/>
        <v>2</v>
      </c>
      <c r="AE225" s="19">
        <f>COUNTIFS('LOI and Commissioning Master Sh'!$D:$D,Summary!$A225, 'LOI and Commissioning Master Sh'!$G:$G,AE$1,'LOI and Commissioning Master Sh'!$CD:$CD,"Yes",'LOI and Commissioning Master Sh'!$H:$H,AE$3)</f>
        <v>1</v>
      </c>
      <c r="AF225" s="19">
        <f>COUNTIFS('LOI and Commissioning Master Sh'!$D:$D,Summary!$A225, 'LOI and Commissioning Master Sh'!$G:$G,AF$1,'LOI and Commissioning Master Sh'!$CD:$CD,"Yes",'LOI and Commissioning Master Sh'!$H:$H,AF$3)</f>
        <v>0</v>
      </c>
      <c r="AG225" s="19">
        <f t="shared" si="250"/>
        <v>1</v>
      </c>
      <c r="AH225" s="19">
        <f>COUNTIFS('LOI and Commissioning Master Sh'!$D:$D,Summary!$A225, 'LOI and Commissioning Master Sh'!$G:$G,AH$1,'LOI and Commissioning Master Sh'!$CD:$CD,"Yes",'LOI and Commissioning Master Sh'!$H:$H,AH$3,'LOI and Commissioning Master Sh'!$AC:$AC,"Yes")</f>
        <v>0</v>
      </c>
      <c r="AI225" s="19">
        <f>COUNTIFS('LOI and Commissioning Master Sh'!$D:$D,Summary!$A225, 'LOI and Commissioning Master Sh'!$G:$G,AI$1,'LOI and Commissioning Master Sh'!$CD:$CD,"Yes",'LOI and Commissioning Master Sh'!$H:$H,AI$3,'LOI and Commissioning Master Sh'!$AC:$AC,"Yes")</f>
        <v>0</v>
      </c>
      <c r="AJ225" s="19">
        <f t="shared" si="251"/>
        <v>0</v>
      </c>
      <c r="AK225" s="19">
        <f>COUNTIFS('LOI and Commissioning Master Sh'!$D:$D,Summary!$A225, 'LOI and Commissioning Master Sh'!$G:$G,AK$1,'LOI and Commissioning Master Sh'!$CD:$CD,"Yes",'LOI and Commissioning Master Sh'!$H:$H,AK$3,'LOI and Commissioning Master Sh'!$Y:$Y,"Yes")</f>
        <v>0</v>
      </c>
      <c r="AL225" s="19">
        <f>COUNTIFS('LOI and Commissioning Master Sh'!$D:$D,Summary!$A225, 'LOI and Commissioning Master Sh'!$G:$G,AL$1,'LOI and Commissioning Master Sh'!$CD:$CD,"Yes",'LOI and Commissioning Master Sh'!$H:$H,AL$3,'LOI and Commissioning Master Sh'!$Y:$Y,"Yes")</f>
        <v>0</v>
      </c>
      <c r="AM225" s="19">
        <f t="shared" si="252"/>
        <v>0</v>
      </c>
      <c r="AN225" s="21">
        <f>COUNTIFS('LOI and Commissioning Master Sh'!$D:$D,Summary!$A225, 'LOI and Commissioning Master Sh'!$G:$G,AN$1,'LOI and Commissioning Master Sh'!$CD:$CD,"Yes",'LOI and Commissioning Master Sh'!$H:$H,AN$3)</f>
        <v>0</v>
      </c>
      <c r="AO225" s="21">
        <f>COUNTIFS('LOI and Commissioning Master Sh'!$D:$D,Summary!$A225, 'LOI and Commissioning Master Sh'!$G:$G,AO$1,'LOI and Commissioning Master Sh'!$CD:$CD,"Yes",'LOI and Commissioning Master Sh'!$H:$H,AO$3)</f>
        <v>0</v>
      </c>
      <c r="AP225" s="21">
        <f t="shared" si="253"/>
        <v>0</v>
      </c>
      <c r="AQ225" s="21">
        <f>COUNTIFS('LOI and Commissioning Master Sh'!$D:$D,Summary!$A225, 'LOI and Commissioning Master Sh'!$G:$G,AQ$1,'LOI and Commissioning Master Sh'!$CD:$CD,"Yes",'LOI and Commissioning Master Sh'!$H:$H,AQ$3,'LOI and Commissioning Master Sh'!$AC:$AC,"Yes")</f>
        <v>0</v>
      </c>
      <c r="AR225" s="21">
        <f>COUNTIFS('LOI and Commissioning Master Sh'!$D:$D,Summary!$A225, 'LOI and Commissioning Master Sh'!$G:$G,AR$1,'LOI and Commissioning Master Sh'!$CD:$CD,"Yes",'LOI and Commissioning Master Sh'!$H:$H,AR$3,'LOI and Commissioning Master Sh'!$AC:$AC,"Yes")</f>
        <v>0</v>
      </c>
      <c r="AS225" s="21">
        <f t="shared" si="254"/>
        <v>0</v>
      </c>
      <c r="AT225" s="21">
        <f>COUNTIFS('LOI and Commissioning Master Sh'!$D:$D,Summary!$A225, 'LOI and Commissioning Master Sh'!$G:$G,AT$1,'LOI and Commissioning Master Sh'!$CD:$CD,"Yes",'LOI and Commissioning Master Sh'!$H:$H,AT$3,'LOI and Commissioning Master Sh'!$Y:$Y,"Yes")</f>
        <v>0</v>
      </c>
      <c r="AU225" s="21">
        <f>COUNTIFS('LOI and Commissioning Master Sh'!$D:$D,Summary!$A225, 'LOI and Commissioning Master Sh'!$G:$G,AU$1,'LOI and Commissioning Master Sh'!$CD:$CD,"Yes",'LOI and Commissioning Master Sh'!$H:$H,AU$3,'LOI and Commissioning Master Sh'!$Y:$Y,"Yes")</f>
        <v>0</v>
      </c>
      <c r="AV225" s="21">
        <f t="shared" si="255"/>
        <v>0</v>
      </c>
      <c r="AW225" s="23">
        <f>COUNTIFS('LOI and Commissioning Master Sh'!$D:$D,Summary!$A225, 'LOI and Commissioning Master Sh'!$G:$G,AW$1,'LOI and Commissioning Master Sh'!$CD:$CD,"Yes",'LOI and Commissioning Master Sh'!$H:$H,AW$3)</f>
        <v>0</v>
      </c>
      <c r="AX225" s="23">
        <f>COUNTIFS('LOI and Commissioning Master Sh'!$D:$D,Summary!$A225, 'LOI and Commissioning Master Sh'!$G:$G,AX$1,'LOI and Commissioning Master Sh'!$CD:$CD,"Yes",'LOI and Commissioning Master Sh'!$H:$H,AX$3)</f>
        <v>0</v>
      </c>
      <c r="AY225" s="23">
        <f t="shared" si="258"/>
        <v>0</v>
      </c>
      <c r="AZ225" s="23">
        <f>COUNTIFS('LOI and Commissioning Master Sh'!$D:$D,Summary!$A225, 'LOI and Commissioning Master Sh'!$G:$G,AZ$1,'LOI and Commissioning Master Sh'!$CD:$CD,"Yes",'LOI and Commissioning Master Sh'!$H:$H,AZ$3,'LOI and Commissioning Master Sh'!$AC:$AC,"Yes")</f>
        <v>0</v>
      </c>
      <c r="BA225" s="23">
        <f>COUNTIFS('LOI and Commissioning Master Sh'!$D:$D,Summary!$A225, 'LOI and Commissioning Master Sh'!$G:$G,BA$1,'LOI and Commissioning Master Sh'!$CD:$CD,"Yes",'LOI and Commissioning Master Sh'!$H:$H,BA$3,'LOI and Commissioning Master Sh'!$AC:$AC,"Yes")</f>
        <v>0</v>
      </c>
      <c r="BB225" s="23">
        <f t="shared" si="256"/>
        <v>0</v>
      </c>
      <c r="BC225" s="23">
        <f>COUNTIFS('LOI and Commissioning Master Sh'!$D:$D,Summary!$A225, 'LOI and Commissioning Master Sh'!$G:$G,BC$1,'LOI and Commissioning Master Sh'!$CD:$CD,"Yes",'LOI and Commissioning Master Sh'!$H:$H,BC$3,'LOI and Commissioning Master Sh'!$Y:$Y,"Yes")</f>
        <v>0</v>
      </c>
      <c r="BD225" s="23">
        <f>COUNTIFS('LOI and Commissioning Master Sh'!$D:$D,Summary!$A225, 'LOI and Commissioning Master Sh'!$G:$G,BD$1,'LOI and Commissioning Master Sh'!$CD:$CD,"Yes",'LOI and Commissioning Master Sh'!$H:$H,BD$3,'LOI and Commissioning Master Sh'!$Y:$Y,"Yes")</f>
        <v>0</v>
      </c>
      <c r="BE225" s="23">
        <f t="shared" si="257"/>
        <v>0</v>
      </c>
      <c r="BF225" s="35">
        <f>COUNTIFS('LOI and Commissioning Master Sh'!$D:$D,Summary!$A225,'LOI and Commissioning Master Sh'!$G:$G,Summary!BF$2,'LOI and Commissioning Master Sh'!$H:$H,Summary!BF$3,'LOI and Commissioning Master Sh'!$BW:$BW, "Commissioned")</f>
        <v>0</v>
      </c>
      <c r="BG225" s="35">
        <f>COUNTIFS('LOI and Commissioning Master Sh'!$D:$D,Summary!$A225,'LOI and Commissioning Master Sh'!$G:$G,Summary!BG$2,'LOI and Commissioning Master Sh'!$H:$H,Summary!BG$3,'LOI and Commissioning Master Sh'!$BW:$BW, "Commissioned")</f>
        <v>0</v>
      </c>
      <c r="BH225" s="35">
        <f>COUNTIFS('LOI and Commissioning Master Sh'!$D:$D,Summary!$A225,'LOI and Commissioning Master Sh'!$G:$G,Summary!BH$2,'LOI and Commissioning Master Sh'!$H:$H,Summary!BH$3,'LOI and Commissioning Master Sh'!$BW:$BW, "Commissioned")</f>
        <v>0</v>
      </c>
      <c r="BI225" s="35">
        <f>COUNTIFS('LOI and Commissioning Master Sh'!$D:$D,Summary!$A225,'LOI and Commissioning Master Sh'!$G:$G,Summary!BI$2,'LOI and Commissioning Master Sh'!$H:$H,Summary!BI$3,'LOI and Commissioning Master Sh'!$BW:$BW, "Commissioned")</f>
        <v>0</v>
      </c>
      <c r="BJ225" s="35">
        <f>COUNTIFS('LOI and Commissioning Master Sh'!$D:$D,Summary!$A225,'LOI and Commissioning Master Sh'!$G:$G,Summary!BJ$2,'LOI and Commissioning Master Sh'!$H:$H,Summary!BJ$3,'LOI and Commissioning Master Sh'!$BW:$BW, "Commissioned")</f>
        <v>0</v>
      </c>
      <c r="BK225" s="35">
        <f>COUNTIFS('LOI and Commissioning Master Sh'!$D:$D,Summary!$A225,'LOI and Commissioning Master Sh'!$G:$G,Summary!BK$2,'LOI and Commissioning Master Sh'!$H:$H,Summary!BK$3,'LOI and Commissioning Master Sh'!$BW:$BW, "Commissioned")</f>
        <v>0</v>
      </c>
      <c r="BL225" s="35">
        <f>COUNTIFS('LOI and Commissioning Master Sh'!$D:$D,Summary!$A225,'LOI and Commissioning Master Sh'!$G:$G,Summary!BL$2,'LOI and Commissioning Master Sh'!$H:$H,Summary!BL$3,'LOI and Commissioning Master Sh'!$BW:$BW, "Commissioned")</f>
        <v>0</v>
      </c>
      <c r="BM225" s="35">
        <f>COUNTIFS('LOI and Commissioning Master Sh'!$D:$D,Summary!$A225,'LOI and Commissioning Master Sh'!$G:$G,Summary!BM$2,'LOI and Commissioning Master Sh'!$H:$H,Summary!BM$3,'LOI and Commissioning Master Sh'!$BW:$BW, "Commissioned")</f>
        <v>1</v>
      </c>
      <c r="BN225" s="35">
        <f>COUNTIFS('LOI and Commissioning Master Sh'!$D:$D,Summary!$A225,'LOI and Commissioning Master Sh'!$G:$G,Summary!BN$2,'LOI and Commissioning Master Sh'!$H:$H,Summary!BN$3,'LOI and Commissioning Master Sh'!$BW:$BW, "Commissioned")</f>
        <v>0</v>
      </c>
      <c r="BO225" s="35">
        <f>COUNTIFS('LOI and Commissioning Master Sh'!$D:$D,Summary!$A225,'LOI and Commissioning Master Sh'!$G:$G,Summary!BO$2,'LOI and Commissioning Master Sh'!$H:$H,Summary!BO$3,'LOI and Commissioning Master Sh'!$BW:$BW, "Commissioned")</f>
        <v>0</v>
      </c>
      <c r="BP225" s="35">
        <f>COUNTIFS('LOI and Commissioning Master Sh'!$D:$D,Summary!$A225,'LOI and Commissioning Master Sh'!$G:$G,Summary!BP$2,'LOI and Commissioning Master Sh'!$H:$H,Summary!BP$3,'LOI and Commissioning Master Sh'!$BW:$BW, "Commissioned")</f>
        <v>0</v>
      </c>
      <c r="BQ225" s="35">
        <f>COUNTIFS('LOI and Commissioning Master Sh'!$D:$D,Summary!$A225,'LOI and Commissioning Master Sh'!$G:$G,Summary!BQ$2,'LOI and Commissioning Master Sh'!$H:$H,Summary!BQ$3,'LOI and Commissioning Master Sh'!$BW:$BW, "Commissioned")</f>
        <v>0</v>
      </c>
      <c r="BR225" s="43">
        <f t="shared" si="246"/>
        <v>1</v>
      </c>
    </row>
    <row r="226" spans="1:70" x14ac:dyDescent="0.25">
      <c r="A226" s="86" t="s">
        <v>135</v>
      </c>
      <c r="B226" s="19">
        <f>COUNTIFS('LOI and Commissioning Master Sh'!D:D,Summary!A226)</f>
        <v>31</v>
      </c>
      <c r="C226" s="13">
        <f>COUNTIFS('LOI and Commissioning Master Sh'!$D:$D,Summary!$A226,'LOI and Commissioning Master Sh'!$CD:$CD,"Yes",'LOI and Commissioning Master Sh'!$H:$H,"A")</f>
        <v>1</v>
      </c>
      <c r="D226" s="13">
        <f>COUNTIFS('LOI and Commissioning Master Sh'!$D:$D,Summary!$A226,'LOI and Commissioning Master Sh'!$CD:$CD,"Yes",'LOI and Commissioning Master Sh'!$H:$H,"B")</f>
        <v>2</v>
      </c>
      <c r="E226" s="13">
        <f t="shared" si="239"/>
        <v>3</v>
      </c>
      <c r="F226" s="13">
        <f>+COUNTIFS('LOI and Commissioning Master Sh'!$D:$D,Summary!$A226,'LOI and Commissioning Master Sh'!$CD:$CD, "Yes",'LOI and Commissioning Master Sh'!$BK:$BK, "Yes")</f>
        <v>3</v>
      </c>
      <c r="G226" s="13">
        <f>COUNTIFS('LOI and Commissioning Master Sh'!$D:$D,Summary!$A226,'LOI and Commissioning Master Sh'!$CD:$CD,"Yes",'LOI and Commissioning Master Sh'!$H:$H,"A",'LOI and Commissioning Master Sh'!$AC:$AC,"Yes")</f>
        <v>1</v>
      </c>
      <c r="H226" s="13">
        <f>COUNTIFS('LOI and Commissioning Master Sh'!$D:$D,Summary!$A226,'LOI and Commissioning Master Sh'!$CD:$CD,"Yes",'LOI and Commissioning Master Sh'!$H:$H,"B",'LOI and Commissioning Master Sh'!$AC:$AC,"Yes")</f>
        <v>1</v>
      </c>
      <c r="I226" s="267">
        <f t="shared" si="240"/>
        <v>2</v>
      </c>
      <c r="J226" s="13">
        <f>COUNTIFS('LOI and Commissioning Master Sh'!$D:$D,Summary!$A226,'LOI and Commissioning Master Sh'!$CD:$CD,"Yes",'LOI and Commissioning Master Sh'!$H:$H,"A",'LOI and Commissioning Master Sh'!$Y:$Y,"Yes")</f>
        <v>1</v>
      </c>
      <c r="K226" s="13">
        <f>COUNTIFS('LOI and Commissioning Master Sh'!$D:$D,Summary!$A226,'LOI and Commissioning Master Sh'!$CD:$CD,"Yes",'LOI and Commissioning Master Sh'!$H:$H,"B",'LOI and Commissioning Master Sh'!$Y:$Y,"Yes")</f>
        <v>1</v>
      </c>
      <c r="L226" s="13">
        <f t="shared" si="241"/>
        <v>2</v>
      </c>
      <c r="M226" s="15">
        <f>COUNTIFS('LOI and Commissioning Master Sh'!$D:$D,Summary!$A226, 'LOI and Commissioning Master Sh'!$G:$G,M$1,'LOI and Commissioning Master Sh'!$CD:$CD,"Yes",'LOI and Commissioning Master Sh'!$H:$H,M$3)</f>
        <v>0</v>
      </c>
      <c r="N226" s="15">
        <f>COUNTIFS('LOI and Commissioning Master Sh'!$D:$D,Summary!$A226, 'LOI and Commissioning Master Sh'!$G:$G,N$1,'LOI and Commissioning Master Sh'!$CD:$CD,"Yes",'LOI and Commissioning Master Sh'!$H:$H,N$3)</f>
        <v>0</v>
      </c>
      <c r="O226" s="15">
        <f t="shared" si="242"/>
        <v>0</v>
      </c>
      <c r="P226" s="15">
        <f>COUNTIFS('LOI and Commissioning Master Sh'!$D:$D,Summary!$A226, 'LOI and Commissioning Master Sh'!$G:$G,P$1,'LOI and Commissioning Master Sh'!$CD:$CD,"Yes",'LOI and Commissioning Master Sh'!$H:$H,P$3,'LOI and Commissioning Master Sh'!$AC:$AC,"Yes")</f>
        <v>0</v>
      </c>
      <c r="Q226" s="15">
        <f>COUNTIFS('LOI and Commissioning Master Sh'!$D:$D,Summary!$A226, 'LOI and Commissioning Master Sh'!$G:$G,Q$1,'LOI and Commissioning Master Sh'!$CD:$CD,"Yes",'LOI and Commissioning Master Sh'!$H:$H,Q$3,'LOI and Commissioning Master Sh'!$AC:$AC,"Yes")</f>
        <v>0</v>
      </c>
      <c r="R226" s="15">
        <f t="shared" si="243"/>
        <v>0</v>
      </c>
      <c r="S226" s="15">
        <f>COUNTIFS('LOI and Commissioning Master Sh'!$D:$D,Summary!$A226, 'LOI and Commissioning Master Sh'!$G:$G,S$1,'LOI and Commissioning Master Sh'!$CD:$CD,"Yes",'LOI and Commissioning Master Sh'!$H:$H,S$3,'LOI and Commissioning Master Sh'!$Y:$Y,"Yes")</f>
        <v>0</v>
      </c>
      <c r="T226" s="15">
        <f>COUNTIFS('LOI and Commissioning Master Sh'!$D:$D,Summary!$A226, 'LOI and Commissioning Master Sh'!$G:$G,T$1,'LOI and Commissioning Master Sh'!$CD:$CD,"Yes",'LOI and Commissioning Master Sh'!$H:$H,T$3,'LOI and Commissioning Master Sh'!$Y:$Y,"Yes")</f>
        <v>0</v>
      </c>
      <c r="U226" s="15">
        <f t="shared" si="244"/>
        <v>0</v>
      </c>
      <c r="V226" s="17">
        <f>COUNTIFS('LOI and Commissioning Master Sh'!$D:$D,Summary!$A226, 'LOI and Commissioning Master Sh'!$G:$G,V$1,'LOI and Commissioning Master Sh'!$CD:$CD,"Yes",'LOI and Commissioning Master Sh'!$H:$H,V$3)</f>
        <v>1</v>
      </c>
      <c r="W226" s="17">
        <f>COUNTIFS('LOI and Commissioning Master Sh'!$D:$D,Summary!$A226, 'LOI and Commissioning Master Sh'!$G:$G,W$1,'LOI and Commissioning Master Sh'!$CD:$CD,"Yes",'LOI and Commissioning Master Sh'!$H:$H,W$3)</f>
        <v>1</v>
      </c>
      <c r="X226" s="17">
        <f t="shared" si="247"/>
        <v>2</v>
      </c>
      <c r="Y226" s="17">
        <f>COUNTIFS('LOI and Commissioning Master Sh'!$D:$D,Summary!$A226, 'LOI and Commissioning Master Sh'!$G:$G,Y$1,'LOI and Commissioning Master Sh'!$CD:$CD,"Yes",'LOI and Commissioning Master Sh'!$H:$H,Y$3,'LOI and Commissioning Master Sh'!$AC:$AC,"Yes")</f>
        <v>1</v>
      </c>
      <c r="Z226" s="17">
        <f>COUNTIFS('LOI and Commissioning Master Sh'!$D:$D,Summary!$A226, 'LOI and Commissioning Master Sh'!$G:$G,Z$1,'LOI and Commissioning Master Sh'!$CD:$CD,"Yes",'LOI and Commissioning Master Sh'!$H:$H,Z$3,'LOI and Commissioning Master Sh'!$AC:$AC,"Yes")</f>
        <v>0</v>
      </c>
      <c r="AA226" s="17">
        <f t="shared" si="248"/>
        <v>1</v>
      </c>
      <c r="AB226" s="17">
        <f>COUNTIFS('LOI and Commissioning Master Sh'!$D:$D,Summary!$A226, 'LOI and Commissioning Master Sh'!$G:$G,AB$1,'LOI and Commissioning Master Sh'!$CD:$CD,"Yes",'LOI and Commissioning Master Sh'!$H:$H,AB$3,'LOI and Commissioning Master Sh'!$Y:$Y,"Yes")</f>
        <v>1</v>
      </c>
      <c r="AC226" s="17">
        <f>COUNTIFS('LOI and Commissioning Master Sh'!$D:$D,Summary!$A226, 'LOI and Commissioning Master Sh'!$G:$G,AC$1,'LOI and Commissioning Master Sh'!$CD:$CD,"Yes",'LOI and Commissioning Master Sh'!$H:$H,AC$3,'LOI and Commissioning Master Sh'!$Y:$Y,"Yes")</f>
        <v>1</v>
      </c>
      <c r="AD226" s="17">
        <f t="shared" si="249"/>
        <v>2</v>
      </c>
      <c r="AE226" s="19">
        <f>COUNTIFS('LOI and Commissioning Master Sh'!$D:$D,Summary!$A226, 'LOI and Commissioning Master Sh'!$G:$G,AE$1,'LOI and Commissioning Master Sh'!$CD:$CD,"Yes",'LOI and Commissioning Master Sh'!$H:$H,AE$3)</f>
        <v>0</v>
      </c>
      <c r="AF226" s="19">
        <f>COUNTIFS('LOI and Commissioning Master Sh'!$D:$D,Summary!$A226, 'LOI and Commissioning Master Sh'!$G:$G,AF$1,'LOI and Commissioning Master Sh'!$CD:$CD,"Yes",'LOI and Commissioning Master Sh'!$H:$H,AF$3)</f>
        <v>0</v>
      </c>
      <c r="AG226" s="19">
        <f t="shared" si="250"/>
        <v>0</v>
      </c>
      <c r="AH226" s="19">
        <f>COUNTIFS('LOI and Commissioning Master Sh'!$D:$D,Summary!$A226, 'LOI and Commissioning Master Sh'!$G:$G,AH$1,'LOI and Commissioning Master Sh'!$CD:$CD,"Yes",'LOI and Commissioning Master Sh'!$H:$H,AH$3,'LOI and Commissioning Master Sh'!$AC:$AC,"Yes")</f>
        <v>0</v>
      </c>
      <c r="AI226" s="19">
        <f>COUNTIFS('LOI and Commissioning Master Sh'!$D:$D,Summary!$A226, 'LOI and Commissioning Master Sh'!$G:$G,AI$1,'LOI and Commissioning Master Sh'!$CD:$CD,"Yes",'LOI and Commissioning Master Sh'!$H:$H,AI$3,'LOI and Commissioning Master Sh'!$AC:$AC,"Yes")</f>
        <v>0</v>
      </c>
      <c r="AJ226" s="19">
        <f t="shared" si="251"/>
        <v>0</v>
      </c>
      <c r="AK226" s="19">
        <f>COUNTIFS('LOI and Commissioning Master Sh'!$D:$D,Summary!$A226, 'LOI and Commissioning Master Sh'!$G:$G,AK$1,'LOI and Commissioning Master Sh'!$CD:$CD,"Yes",'LOI and Commissioning Master Sh'!$H:$H,AK$3,'LOI and Commissioning Master Sh'!$Y:$Y,"Yes")</f>
        <v>0</v>
      </c>
      <c r="AL226" s="19">
        <f>COUNTIFS('LOI and Commissioning Master Sh'!$D:$D,Summary!$A226, 'LOI and Commissioning Master Sh'!$G:$G,AL$1,'LOI and Commissioning Master Sh'!$CD:$CD,"Yes",'LOI and Commissioning Master Sh'!$H:$H,AL$3,'LOI and Commissioning Master Sh'!$Y:$Y,"Yes")</f>
        <v>0</v>
      </c>
      <c r="AM226" s="19">
        <f t="shared" si="252"/>
        <v>0</v>
      </c>
      <c r="AN226" s="21">
        <f>COUNTIFS('LOI and Commissioning Master Sh'!$D:$D,Summary!$A226, 'LOI and Commissioning Master Sh'!$G:$G,AN$1,'LOI and Commissioning Master Sh'!$CD:$CD,"Yes",'LOI and Commissioning Master Sh'!$H:$H,AN$3)</f>
        <v>0</v>
      </c>
      <c r="AO226" s="21">
        <f>COUNTIFS('LOI and Commissioning Master Sh'!$D:$D,Summary!$A226, 'LOI and Commissioning Master Sh'!$G:$G,AO$1,'LOI and Commissioning Master Sh'!$CD:$CD,"Yes",'LOI and Commissioning Master Sh'!$H:$H,AO$3)</f>
        <v>0</v>
      </c>
      <c r="AP226" s="21">
        <f t="shared" si="253"/>
        <v>0</v>
      </c>
      <c r="AQ226" s="21">
        <f>COUNTIFS('LOI and Commissioning Master Sh'!$D:$D,Summary!$A226, 'LOI and Commissioning Master Sh'!$G:$G,AQ$1,'LOI and Commissioning Master Sh'!$CD:$CD,"Yes",'LOI and Commissioning Master Sh'!$H:$H,AQ$3,'LOI and Commissioning Master Sh'!$AC:$AC,"Yes")</f>
        <v>0</v>
      </c>
      <c r="AR226" s="21">
        <f>COUNTIFS('LOI and Commissioning Master Sh'!$D:$D,Summary!$A226, 'LOI and Commissioning Master Sh'!$G:$G,AR$1,'LOI and Commissioning Master Sh'!$CD:$CD,"Yes",'LOI and Commissioning Master Sh'!$H:$H,AR$3,'LOI and Commissioning Master Sh'!$AC:$AC,"Yes")</f>
        <v>0</v>
      </c>
      <c r="AS226" s="21">
        <f t="shared" si="254"/>
        <v>0</v>
      </c>
      <c r="AT226" s="21">
        <f>COUNTIFS('LOI and Commissioning Master Sh'!$D:$D,Summary!$A226, 'LOI and Commissioning Master Sh'!$G:$G,AT$1,'LOI and Commissioning Master Sh'!$CD:$CD,"Yes",'LOI and Commissioning Master Sh'!$H:$H,AT$3,'LOI and Commissioning Master Sh'!$Y:$Y,"Yes")</f>
        <v>0</v>
      </c>
      <c r="AU226" s="21">
        <f>COUNTIFS('LOI and Commissioning Master Sh'!$D:$D,Summary!$A226, 'LOI and Commissioning Master Sh'!$G:$G,AU$1,'LOI and Commissioning Master Sh'!$CD:$CD,"Yes",'LOI and Commissioning Master Sh'!$H:$H,AU$3,'LOI and Commissioning Master Sh'!$Y:$Y,"Yes")</f>
        <v>0</v>
      </c>
      <c r="AV226" s="21">
        <f t="shared" si="255"/>
        <v>0</v>
      </c>
      <c r="AW226" s="23">
        <f>COUNTIFS('LOI and Commissioning Master Sh'!$D:$D,Summary!$A226, 'LOI and Commissioning Master Sh'!$G:$G,AW$1,'LOI and Commissioning Master Sh'!$CD:$CD,"Yes",'LOI and Commissioning Master Sh'!$H:$H,AW$3)</f>
        <v>0</v>
      </c>
      <c r="AX226" s="23">
        <f>COUNTIFS('LOI and Commissioning Master Sh'!$D:$D,Summary!$A226, 'LOI and Commissioning Master Sh'!$G:$G,AX$1,'LOI and Commissioning Master Sh'!$CD:$CD,"Yes",'LOI and Commissioning Master Sh'!$H:$H,AX$3)</f>
        <v>1</v>
      </c>
      <c r="AY226" s="23">
        <f t="shared" ref="AY226:AY228" si="259">+AW226+AX226</f>
        <v>1</v>
      </c>
      <c r="AZ226" s="23">
        <f>COUNTIFS('LOI and Commissioning Master Sh'!$D:$D,Summary!$A226, 'LOI and Commissioning Master Sh'!$G:$G,AZ$1,'LOI and Commissioning Master Sh'!$CD:$CD,"Yes",'LOI and Commissioning Master Sh'!$H:$H,AZ$3,'LOI and Commissioning Master Sh'!$AC:$AC,"Yes")</f>
        <v>0</v>
      </c>
      <c r="BA226" s="23">
        <f>COUNTIFS('LOI and Commissioning Master Sh'!$D:$D,Summary!$A226, 'LOI and Commissioning Master Sh'!$G:$G,BA$1,'LOI and Commissioning Master Sh'!$CD:$CD,"Yes",'LOI and Commissioning Master Sh'!$H:$H,BA$3,'LOI and Commissioning Master Sh'!$AC:$AC,"Yes")</f>
        <v>1</v>
      </c>
      <c r="BB226" s="23">
        <f t="shared" si="256"/>
        <v>1</v>
      </c>
      <c r="BC226" s="23">
        <f>COUNTIFS('LOI and Commissioning Master Sh'!$D:$D,Summary!$A226, 'LOI and Commissioning Master Sh'!$G:$G,BC$1,'LOI and Commissioning Master Sh'!$CD:$CD,"Yes",'LOI and Commissioning Master Sh'!$H:$H,BC$3,'LOI and Commissioning Master Sh'!$Y:$Y,"Yes")</f>
        <v>0</v>
      </c>
      <c r="BD226" s="23">
        <f>COUNTIFS('LOI and Commissioning Master Sh'!$D:$D,Summary!$A226, 'LOI and Commissioning Master Sh'!$G:$G,BD$1,'LOI and Commissioning Master Sh'!$CD:$CD,"Yes",'LOI and Commissioning Master Sh'!$H:$H,BD$3,'LOI and Commissioning Master Sh'!$Y:$Y,"Yes")</f>
        <v>0</v>
      </c>
      <c r="BE226" s="23">
        <f t="shared" si="257"/>
        <v>0</v>
      </c>
      <c r="BF226" s="35">
        <f>COUNTIFS('LOI and Commissioning Master Sh'!$D:$D,Summary!$A226,'LOI and Commissioning Master Sh'!$G:$G,Summary!BF$2,'LOI and Commissioning Master Sh'!$H:$H,Summary!BF$3,'LOI and Commissioning Master Sh'!$BW:$BW, "Commissioned")</f>
        <v>0</v>
      </c>
      <c r="BG226" s="35">
        <f>COUNTIFS('LOI and Commissioning Master Sh'!$D:$D,Summary!$A226,'LOI and Commissioning Master Sh'!$G:$G,Summary!BG$2,'LOI and Commissioning Master Sh'!$H:$H,Summary!BG$3,'LOI and Commissioning Master Sh'!$BW:$BW, "Commissioned")</f>
        <v>0</v>
      </c>
      <c r="BH226" s="35">
        <f>COUNTIFS('LOI and Commissioning Master Sh'!$D:$D,Summary!$A226,'LOI and Commissioning Master Sh'!$G:$G,Summary!BH$2,'LOI and Commissioning Master Sh'!$H:$H,Summary!BH$3,'LOI and Commissioning Master Sh'!$BW:$BW, "Commissioned")</f>
        <v>0</v>
      </c>
      <c r="BI226" s="35">
        <f>COUNTIFS('LOI and Commissioning Master Sh'!$D:$D,Summary!$A226,'LOI and Commissioning Master Sh'!$G:$G,Summary!BI$2,'LOI and Commissioning Master Sh'!$H:$H,Summary!BI$3,'LOI and Commissioning Master Sh'!$BW:$BW, "Commissioned")</f>
        <v>0</v>
      </c>
      <c r="BJ226" s="35">
        <f>COUNTIFS('LOI and Commissioning Master Sh'!$D:$D,Summary!$A226,'LOI and Commissioning Master Sh'!$G:$G,Summary!BJ$2,'LOI and Commissioning Master Sh'!$H:$H,Summary!BJ$3,'LOI and Commissioning Master Sh'!$BW:$BW, "Commissioned")</f>
        <v>0</v>
      </c>
      <c r="BK226" s="35">
        <f>COUNTIFS('LOI and Commissioning Master Sh'!$D:$D,Summary!$A226,'LOI and Commissioning Master Sh'!$G:$G,Summary!BK$2,'LOI and Commissioning Master Sh'!$H:$H,Summary!BK$3,'LOI and Commissioning Master Sh'!$BW:$BW, "Commissioned")</f>
        <v>0</v>
      </c>
      <c r="BL226" s="35">
        <f>COUNTIFS('LOI and Commissioning Master Sh'!$D:$D,Summary!$A226,'LOI and Commissioning Master Sh'!$G:$G,Summary!BL$2,'LOI and Commissioning Master Sh'!$H:$H,Summary!BL$3,'LOI and Commissioning Master Sh'!$BW:$BW, "Commissioned")</f>
        <v>0</v>
      </c>
      <c r="BM226" s="35">
        <f>COUNTIFS('LOI and Commissioning Master Sh'!$D:$D,Summary!$A226,'LOI and Commissioning Master Sh'!$G:$G,Summary!BM$2,'LOI and Commissioning Master Sh'!$H:$H,Summary!BM$3,'LOI and Commissioning Master Sh'!$BW:$BW, "Commissioned")</f>
        <v>0</v>
      </c>
      <c r="BN226" s="35">
        <f>COUNTIFS('LOI and Commissioning Master Sh'!$D:$D,Summary!$A226,'LOI and Commissioning Master Sh'!$G:$G,Summary!BN$2,'LOI and Commissioning Master Sh'!$H:$H,Summary!BN$3,'LOI and Commissioning Master Sh'!$BW:$BW, "Commissioned")</f>
        <v>0</v>
      </c>
      <c r="BO226" s="35">
        <f>COUNTIFS('LOI and Commissioning Master Sh'!$D:$D,Summary!$A226,'LOI and Commissioning Master Sh'!$G:$G,Summary!BO$2,'LOI and Commissioning Master Sh'!$H:$H,Summary!BO$3,'LOI and Commissioning Master Sh'!$BW:$BW, "Commissioned")</f>
        <v>0</v>
      </c>
      <c r="BP226" s="35">
        <f>COUNTIFS('LOI and Commissioning Master Sh'!$D:$D,Summary!$A226,'LOI and Commissioning Master Sh'!$G:$G,Summary!BP$2,'LOI and Commissioning Master Sh'!$H:$H,Summary!BP$3,'LOI and Commissioning Master Sh'!$BW:$BW, "Commissioned")</f>
        <v>0</v>
      </c>
      <c r="BQ226" s="35">
        <f>COUNTIFS('LOI and Commissioning Master Sh'!$D:$D,Summary!$A226,'LOI and Commissioning Master Sh'!$G:$G,Summary!BQ$2,'LOI and Commissioning Master Sh'!$H:$H,Summary!BQ$3,'LOI and Commissioning Master Sh'!$BW:$BW, "Commissioned")</f>
        <v>1</v>
      </c>
      <c r="BR226" s="43">
        <f t="shared" si="246"/>
        <v>1</v>
      </c>
    </row>
    <row r="227" spans="1:70" x14ac:dyDescent="0.25">
      <c r="A227" s="86" t="s">
        <v>195</v>
      </c>
      <c r="B227" s="19">
        <f>COUNTIFS('LOI and Commissioning Master Sh'!D:D,Summary!A227)</f>
        <v>16</v>
      </c>
      <c r="C227" s="13">
        <f>COUNTIFS('LOI and Commissioning Master Sh'!$D:$D,Summary!$A227,'LOI and Commissioning Master Sh'!$CD:$CD,"Yes",'LOI and Commissioning Master Sh'!$H:$H,"A")</f>
        <v>2</v>
      </c>
      <c r="D227" s="13">
        <f>COUNTIFS('LOI and Commissioning Master Sh'!$D:$D,Summary!$A227,'LOI and Commissioning Master Sh'!$CD:$CD,"Yes",'LOI and Commissioning Master Sh'!$H:$H,"B")</f>
        <v>2</v>
      </c>
      <c r="E227" s="13">
        <f t="shared" si="239"/>
        <v>4</v>
      </c>
      <c r="F227" s="13">
        <f>+COUNTIFS('LOI and Commissioning Master Sh'!$D:$D,Summary!$A227,'LOI and Commissioning Master Sh'!$CD:$CD, "Yes",'LOI and Commissioning Master Sh'!$BK:$BK, "Yes")</f>
        <v>3</v>
      </c>
      <c r="G227" s="13">
        <f>COUNTIFS('LOI and Commissioning Master Sh'!$D:$D,Summary!$A227,'LOI and Commissioning Master Sh'!$CD:$CD,"Yes",'LOI and Commissioning Master Sh'!$H:$H,"A",'LOI and Commissioning Master Sh'!$AC:$AC,"Yes")</f>
        <v>0</v>
      </c>
      <c r="H227" s="13">
        <f>COUNTIFS('LOI and Commissioning Master Sh'!$D:$D,Summary!$A227,'LOI and Commissioning Master Sh'!$CD:$CD,"Yes",'LOI and Commissioning Master Sh'!$H:$H,"B",'LOI and Commissioning Master Sh'!$AC:$AC,"Yes")</f>
        <v>0</v>
      </c>
      <c r="I227" s="267">
        <f t="shared" si="240"/>
        <v>0</v>
      </c>
      <c r="J227" s="13">
        <f>COUNTIFS('LOI and Commissioning Master Sh'!$D:$D,Summary!$A227,'LOI and Commissioning Master Sh'!$CD:$CD,"Yes",'LOI and Commissioning Master Sh'!$H:$H,"A",'LOI and Commissioning Master Sh'!$Y:$Y,"Yes")</f>
        <v>1</v>
      </c>
      <c r="K227" s="13">
        <f>COUNTIFS('LOI and Commissioning Master Sh'!$D:$D,Summary!$A227,'LOI and Commissioning Master Sh'!$CD:$CD,"Yes",'LOI and Commissioning Master Sh'!$H:$H,"B",'LOI and Commissioning Master Sh'!$Y:$Y,"Yes")</f>
        <v>1</v>
      </c>
      <c r="L227" s="13">
        <f t="shared" si="241"/>
        <v>2</v>
      </c>
      <c r="M227" s="15">
        <f>COUNTIFS('LOI and Commissioning Master Sh'!$D:$D,Summary!$A227, 'LOI and Commissioning Master Sh'!$G:$G,M$1,'LOI and Commissioning Master Sh'!$CD:$CD,"Yes",'LOI and Commissioning Master Sh'!$H:$H,M$3)</f>
        <v>0</v>
      </c>
      <c r="N227" s="15">
        <f>COUNTIFS('LOI and Commissioning Master Sh'!$D:$D,Summary!$A227, 'LOI and Commissioning Master Sh'!$G:$G,N$1,'LOI and Commissioning Master Sh'!$CD:$CD,"Yes",'LOI and Commissioning Master Sh'!$H:$H,N$3)</f>
        <v>0</v>
      </c>
      <c r="O227" s="15">
        <f t="shared" si="242"/>
        <v>0</v>
      </c>
      <c r="P227" s="15">
        <f>COUNTIFS('LOI and Commissioning Master Sh'!$D:$D,Summary!$A227, 'LOI and Commissioning Master Sh'!$G:$G,P$1,'LOI and Commissioning Master Sh'!$CD:$CD,"Yes",'LOI and Commissioning Master Sh'!$H:$H,P$3,'LOI and Commissioning Master Sh'!$AC:$AC,"Yes")</f>
        <v>0</v>
      </c>
      <c r="Q227" s="15">
        <f>COUNTIFS('LOI and Commissioning Master Sh'!$D:$D,Summary!$A227, 'LOI and Commissioning Master Sh'!$G:$G,Q$1,'LOI and Commissioning Master Sh'!$CD:$CD,"Yes",'LOI and Commissioning Master Sh'!$H:$H,Q$3,'LOI and Commissioning Master Sh'!$AC:$AC,"Yes")</f>
        <v>0</v>
      </c>
      <c r="R227" s="15">
        <f t="shared" si="243"/>
        <v>0</v>
      </c>
      <c r="S227" s="15">
        <f>COUNTIFS('LOI and Commissioning Master Sh'!$D:$D,Summary!$A227, 'LOI and Commissioning Master Sh'!$G:$G,S$1,'LOI and Commissioning Master Sh'!$CD:$CD,"Yes",'LOI and Commissioning Master Sh'!$H:$H,S$3,'LOI and Commissioning Master Sh'!$Y:$Y,"Yes")</f>
        <v>0</v>
      </c>
      <c r="T227" s="15">
        <f>COUNTIFS('LOI and Commissioning Master Sh'!$D:$D,Summary!$A227, 'LOI and Commissioning Master Sh'!$G:$G,T$1,'LOI and Commissioning Master Sh'!$CD:$CD,"Yes",'LOI and Commissioning Master Sh'!$H:$H,T$3,'LOI and Commissioning Master Sh'!$Y:$Y,"Yes")</f>
        <v>0</v>
      </c>
      <c r="U227" s="15">
        <f t="shared" si="244"/>
        <v>0</v>
      </c>
      <c r="V227" s="17">
        <f>COUNTIFS('LOI and Commissioning Master Sh'!$D:$D,Summary!$A227, 'LOI and Commissioning Master Sh'!$G:$G,V$1,'LOI and Commissioning Master Sh'!$CD:$CD,"Yes",'LOI and Commissioning Master Sh'!$H:$H,V$3)</f>
        <v>1</v>
      </c>
      <c r="W227" s="17">
        <f>COUNTIFS('LOI and Commissioning Master Sh'!$D:$D,Summary!$A227, 'LOI and Commissioning Master Sh'!$G:$G,W$1,'LOI and Commissioning Master Sh'!$CD:$CD,"Yes",'LOI and Commissioning Master Sh'!$H:$H,W$3)</f>
        <v>2</v>
      </c>
      <c r="X227" s="17">
        <f t="shared" si="247"/>
        <v>3</v>
      </c>
      <c r="Y227" s="17">
        <f>COUNTIFS('LOI and Commissioning Master Sh'!$D:$D,Summary!$A227, 'LOI and Commissioning Master Sh'!$G:$G,Y$1,'LOI and Commissioning Master Sh'!$CD:$CD,"Yes",'LOI and Commissioning Master Sh'!$H:$H,Y$3,'LOI and Commissioning Master Sh'!$AC:$AC,"Yes")</f>
        <v>0</v>
      </c>
      <c r="Z227" s="17">
        <f>COUNTIFS('LOI and Commissioning Master Sh'!$D:$D,Summary!$A227, 'LOI and Commissioning Master Sh'!$G:$G,Z$1,'LOI and Commissioning Master Sh'!$CD:$CD,"Yes",'LOI and Commissioning Master Sh'!$H:$H,Z$3,'LOI and Commissioning Master Sh'!$AC:$AC,"Yes")</f>
        <v>0</v>
      </c>
      <c r="AA227" s="17">
        <f t="shared" si="248"/>
        <v>0</v>
      </c>
      <c r="AB227" s="17">
        <f>COUNTIFS('LOI and Commissioning Master Sh'!$D:$D,Summary!$A227, 'LOI and Commissioning Master Sh'!$G:$G,AB$1,'LOI and Commissioning Master Sh'!$CD:$CD,"Yes",'LOI and Commissioning Master Sh'!$H:$H,AB$3,'LOI and Commissioning Master Sh'!$Y:$Y,"Yes")</f>
        <v>0</v>
      </c>
      <c r="AC227" s="17">
        <f>COUNTIFS('LOI and Commissioning Master Sh'!$D:$D,Summary!$A227, 'LOI and Commissioning Master Sh'!$G:$G,AC$1,'LOI and Commissioning Master Sh'!$CD:$CD,"Yes",'LOI and Commissioning Master Sh'!$H:$H,AC$3,'LOI and Commissioning Master Sh'!$Y:$Y,"Yes")</f>
        <v>1</v>
      </c>
      <c r="AD227" s="17">
        <f t="shared" si="249"/>
        <v>1</v>
      </c>
      <c r="AE227" s="19">
        <f>COUNTIFS('LOI and Commissioning Master Sh'!$D:$D,Summary!$A227, 'LOI and Commissioning Master Sh'!$G:$G,AE$1,'LOI and Commissioning Master Sh'!$CD:$CD,"Yes",'LOI and Commissioning Master Sh'!$H:$H,AE$3)</f>
        <v>1</v>
      </c>
      <c r="AF227" s="19">
        <f>COUNTIFS('LOI and Commissioning Master Sh'!$D:$D,Summary!$A227, 'LOI and Commissioning Master Sh'!$G:$G,AF$1,'LOI and Commissioning Master Sh'!$CD:$CD,"Yes",'LOI and Commissioning Master Sh'!$H:$H,AF$3)</f>
        <v>0</v>
      </c>
      <c r="AG227" s="19">
        <f t="shared" si="250"/>
        <v>1</v>
      </c>
      <c r="AH227" s="19">
        <f>COUNTIFS('LOI and Commissioning Master Sh'!$D:$D,Summary!$A227, 'LOI and Commissioning Master Sh'!$G:$G,AH$1,'LOI and Commissioning Master Sh'!$CD:$CD,"Yes",'LOI and Commissioning Master Sh'!$H:$H,AH$3,'LOI and Commissioning Master Sh'!$AC:$AC,"Yes")</f>
        <v>0</v>
      </c>
      <c r="AI227" s="19">
        <f>COUNTIFS('LOI and Commissioning Master Sh'!$D:$D,Summary!$A227, 'LOI and Commissioning Master Sh'!$G:$G,AI$1,'LOI and Commissioning Master Sh'!$CD:$CD,"Yes",'LOI and Commissioning Master Sh'!$H:$H,AI$3,'LOI and Commissioning Master Sh'!$AC:$AC,"Yes")</f>
        <v>0</v>
      </c>
      <c r="AJ227" s="19">
        <f t="shared" si="251"/>
        <v>0</v>
      </c>
      <c r="AK227" s="19">
        <f>COUNTIFS('LOI and Commissioning Master Sh'!$D:$D,Summary!$A227, 'LOI and Commissioning Master Sh'!$G:$G,AK$1,'LOI and Commissioning Master Sh'!$CD:$CD,"Yes",'LOI and Commissioning Master Sh'!$H:$H,AK$3,'LOI and Commissioning Master Sh'!$Y:$Y,"Yes")</f>
        <v>1</v>
      </c>
      <c r="AL227" s="19">
        <f>COUNTIFS('LOI and Commissioning Master Sh'!$D:$D,Summary!$A227, 'LOI and Commissioning Master Sh'!$G:$G,AL$1,'LOI and Commissioning Master Sh'!$CD:$CD,"Yes",'LOI and Commissioning Master Sh'!$H:$H,AL$3,'LOI and Commissioning Master Sh'!$Y:$Y,"Yes")</f>
        <v>0</v>
      </c>
      <c r="AM227" s="19">
        <f t="shared" si="252"/>
        <v>1</v>
      </c>
      <c r="AN227" s="21">
        <f>COUNTIFS('LOI and Commissioning Master Sh'!$D:$D,Summary!$A227, 'LOI and Commissioning Master Sh'!$G:$G,AN$1,'LOI and Commissioning Master Sh'!$CD:$CD,"Yes",'LOI and Commissioning Master Sh'!$H:$H,AN$3)</f>
        <v>0</v>
      </c>
      <c r="AO227" s="21">
        <f>COUNTIFS('LOI and Commissioning Master Sh'!$D:$D,Summary!$A227, 'LOI and Commissioning Master Sh'!$G:$G,AO$1,'LOI and Commissioning Master Sh'!$CD:$CD,"Yes",'LOI and Commissioning Master Sh'!$H:$H,AO$3)</f>
        <v>0</v>
      </c>
      <c r="AP227" s="21">
        <f t="shared" si="253"/>
        <v>0</v>
      </c>
      <c r="AQ227" s="21">
        <f>COUNTIFS('LOI and Commissioning Master Sh'!$D:$D,Summary!$A227, 'LOI and Commissioning Master Sh'!$G:$G,AQ$1,'LOI and Commissioning Master Sh'!$CD:$CD,"Yes",'LOI and Commissioning Master Sh'!$H:$H,AQ$3,'LOI and Commissioning Master Sh'!$AC:$AC,"Yes")</f>
        <v>0</v>
      </c>
      <c r="AR227" s="21">
        <f>COUNTIFS('LOI and Commissioning Master Sh'!$D:$D,Summary!$A227, 'LOI and Commissioning Master Sh'!$G:$G,AR$1,'LOI and Commissioning Master Sh'!$CD:$CD,"Yes",'LOI and Commissioning Master Sh'!$H:$H,AR$3,'LOI and Commissioning Master Sh'!$AC:$AC,"Yes")</f>
        <v>0</v>
      </c>
      <c r="AS227" s="21">
        <f t="shared" si="254"/>
        <v>0</v>
      </c>
      <c r="AT227" s="21">
        <f>COUNTIFS('LOI and Commissioning Master Sh'!$D:$D,Summary!$A227, 'LOI and Commissioning Master Sh'!$G:$G,AT$1,'LOI and Commissioning Master Sh'!$CD:$CD,"Yes",'LOI and Commissioning Master Sh'!$H:$H,AT$3,'LOI and Commissioning Master Sh'!$Y:$Y,"Yes")</f>
        <v>0</v>
      </c>
      <c r="AU227" s="21">
        <f>COUNTIFS('LOI and Commissioning Master Sh'!$D:$D,Summary!$A227, 'LOI and Commissioning Master Sh'!$G:$G,AU$1,'LOI and Commissioning Master Sh'!$CD:$CD,"Yes",'LOI and Commissioning Master Sh'!$H:$H,AU$3,'LOI and Commissioning Master Sh'!$Y:$Y,"Yes")</f>
        <v>0</v>
      </c>
      <c r="AV227" s="21">
        <f t="shared" si="255"/>
        <v>0</v>
      </c>
      <c r="AW227" s="23">
        <f>COUNTIFS('LOI and Commissioning Master Sh'!$D:$D,Summary!$A227, 'LOI and Commissioning Master Sh'!$G:$G,AW$1,'LOI and Commissioning Master Sh'!$CD:$CD,"Yes",'LOI and Commissioning Master Sh'!$H:$H,AW$3)</f>
        <v>0</v>
      </c>
      <c r="AX227" s="23">
        <f>COUNTIFS('LOI and Commissioning Master Sh'!$D:$D,Summary!$A227, 'LOI and Commissioning Master Sh'!$G:$G,AX$1,'LOI and Commissioning Master Sh'!$CD:$CD,"Yes",'LOI and Commissioning Master Sh'!$H:$H,AX$3)</f>
        <v>0</v>
      </c>
      <c r="AY227" s="23">
        <f t="shared" si="259"/>
        <v>0</v>
      </c>
      <c r="AZ227" s="23">
        <f>COUNTIFS('LOI and Commissioning Master Sh'!$D:$D,Summary!$A227, 'LOI and Commissioning Master Sh'!$G:$G,AZ$1,'LOI and Commissioning Master Sh'!$CD:$CD,"Yes",'LOI and Commissioning Master Sh'!$H:$H,AZ$3,'LOI and Commissioning Master Sh'!$AC:$AC,"Yes")</f>
        <v>0</v>
      </c>
      <c r="BA227" s="23">
        <f>COUNTIFS('LOI and Commissioning Master Sh'!$D:$D,Summary!$A227, 'LOI and Commissioning Master Sh'!$G:$G,BA$1,'LOI and Commissioning Master Sh'!$CD:$CD,"Yes",'LOI and Commissioning Master Sh'!$H:$H,BA$3,'LOI and Commissioning Master Sh'!$AC:$AC,"Yes")</f>
        <v>0</v>
      </c>
      <c r="BB227" s="23">
        <f t="shared" si="256"/>
        <v>0</v>
      </c>
      <c r="BC227" s="23">
        <f>COUNTIFS('LOI and Commissioning Master Sh'!$D:$D,Summary!$A227, 'LOI and Commissioning Master Sh'!$G:$G,BC$1,'LOI and Commissioning Master Sh'!$CD:$CD,"Yes",'LOI and Commissioning Master Sh'!$H:$H,BC$3,'LOI and Commissioning Master Sh'!$Y:$Y,"Yes")</f>
        <v>0</v>
      </c>
      <c r="BD227" s="23">
        <f>COUNTIFS('LOI and Commissioning Master Sh'!$D:$D,Summary!$A227, 'LOI and Commissioning Master Sh'!$G:$G,BD$1,'LOI and Commissioning Master Sh'!$CD:$CD,"Yes",'LOI and Commissioning Master Sh'!$H:$H,BD$3,'LOI and Commissioning Master Sh'!$Y:$Y,"Yes")</f>
        <v>0</v>
      </c>
      <c r="BE227" s="23">
        <f t="shared" si="257"/>
        <v>0</v>
      </c>
      <c r="BF227" s="35">
        <f>COUNTIFS('LOI and Commissioning Master Sh'!$D:$D,Summary!$A227,'LOI and Commissioning Master Sh'!$G:$G,Summary!BF$2,'LOI and Commissioning Master Sh'!$H:$H,Summary!BF$3,'LOI and Commissioning Master Sh'!$BW:$BW, "Commissioned")</f>
        <v>0</v>
      </c>
      <c r="BG227" s="35">
        <f>COUNTIFS('LOI and Commissioning Master Sh'!$D:$D,Summary!$A227,'LOI and Commissioning Master Sh'!$G:$G,Summary!BG$2,'LOI and Commissioning Master Sh'!$H:$H,Summary!BG$3,'LOI and Commissioning Master Sh'!$BW:$BW, "Commissioned")</f>
        <v>0</v>
      </c>
      <c r="BH227" s="35">
        <f>COUNTIFS('LOI and Commissioning Master Sh'!$D:$D,Summary!$A227,'LOI and Commissioning Master Sh'!$G:$G,Summary!BH$2,'LOI and Commissioning Master Sh'!$H:$H,Summary!BH$3,'LOI and Commissioning Master Sh'!$BW:$BW, "Commissioned")</f>
        <v>0</v>
      </c>
      <c r="BI227" s="35">
        <f>COUNTIFS('LOI and Commissioning Master Sh'!$D:$D,Summary!$A227,'LOI and Commissioning Master Sh'!$G:$G,Summary!BI$2,'LOI and Commissioning Master Sh'!$H:$H,Summary!BI$3,'LOI and Commissioning Master Sh'!$BW:$BW, "Commissioned")</f>
        <v>0</v>
      </c>
      <c r="BJ227" s="35">
        <f>COUNTIFS('LOI and Commissioning Master Sh'!$D:$D,Summary!$A227,'LOI and Commissioning Master Sh'!$G:$G,Summary!BJ$2,'LOI and Commissioning Master Sh'!$H:$H,Summary!BJ$3,'LOI and Commissioning Master Sh'!$BW:$BW, "Commissioned")</f>
        <v>0</v>
      </c>
      <c r="BK227" s="35">
        <f>COUNTIFS('LOI and Commissioning Master Sh'!$D:$D,Summary!$A227,'LOI and Commissioning Master Sh'!$G:$G,Summary!BK$2,'LOI and Commissioning Master Sh'!$H:$H,Summary!BK$3,'LOI and Commissioning Master Sh'!$BW:$BW, "Commissioned")</f>
        <v>0</v>
      </c>
      <c r="BL227" s="35">
        <f>COUNTIFS('LOI and Commissioning Master Sh'!$D:$D,Summary!$A227,'LOI and Commissioning Master Sh'!$G:$G,Summary!BL$2,'LOI and Commissioning Master Sh'!$H:$H,Summary!BL$3,'LOI and Commissioning Master Sh'!$BW:$BW, "Commissioned")</f>
        <v>0</v>
      </c>
      <c r="BM227" s="35">
        <f>COUNTIFS('LOI and Commissioning Master Sh'!$D:$D,Summary!$A227,'LOI and Commissioning Master Sh'!$G:$G,Summary!BM$2,'LOI and Commissioning Master Sh'!$H:$H,Summary!BM$3,'LOI and Commissioning Master Sh'!$BW:$BW, "Commissioned")</f>
        <v>0</v>
      </c>
      <c r="BN227" s="35">
        <f>COUNTIFS('LOI and Commissioning Master Sh'!$D:$D,Summary!$A227,'LOI and Commissioning Master Sh'!$G:$G,Summary!BN$2,'LOI and Commissioning Master Sh'!$H:$H,Summary!BN$3,'LOI and Commissioning Master Sh'!$BW:$BW, "Commissioned")</f>
        <v>0</v>
      </c>
      <c r="BO227" s="35">
        <f>COUNTIFS('LOI and Commissioning Master Sh'!$D:$D,Summary!$A227,'LOI and Commissioning Master Sh'!$G:$G,Summary!BO$2,'LOI and Commissioning Master Sh'!$H:$H,Summary!BO$3,'LOI and Commissioning Master Sh'!$BW:$BW, "Commissioned")</f>
        <v>0</v>
      </c>
      <c r="BP227" s="35">
        <f>COUNTIFS('LOI and Commissioning Master Sh'!$D:$D,Summary!$A227,'LOI and Commissioning Master Sh'!$G:$G,Summary!BP$2,'LOI and Commissioning Master Sh'!$H:$H,Summary!BP$3,'LOI and Commissioning Master Sh'!$BW:$BW, "Commissioned")</f>
        <v>0</v>
      </c>
      <c r="BQ227" s="35">
        <f>COUNTIFS('LOI and Commissioning Master Sh'!$D:$D,Summary!$A227,'LOI and Commissioning Master Sh'!$G:$G,Summary!BQ$2,'LOI and Commissioning Master Sh'!$H:$H,Summary!BQ$3,'LOI and Commissioning Master Sh'!$BW:$BW, "Commissioned")</f>
        <v>0</v>
      </c>
      <c r="BR227" s="43">
        <f t="shared" si="246"/>
        <v>0</v>
      </c>
    </row>
    <row r="228" spans="1:70" x14ac:dyDescent="0.25">
      <c r="A228" s="87"/>
      <c r="B228" s="20">
        <f>SUM(B217:B227)</f>
        <v>267</v>
      </c>
      <c r="C228" s="14">
        <f t="shared" ref="C228:D228" si="260">SUM(C217:C227)</f>
        <v>30</v>
      </c>
      <c r="D228" s="14">
        <f t="shared" si="260"/>
        <v>35</v>
      </c>
      <c r="E228" s="13">
        <f t="shared" si="239"/>
        <v>65</v>
      </c>
      <c r="F228" s="13">
        <f>SUM(F217:F227)</f>
        <v>57</v>
      </c>
      <c r="G228" s="14">
        <f t="shared" ref="G228:H228" si="261">SUM(G217:G227)</f>
        <v>7</v>
      </c>
      <c r="H228" s="14">
        <f t="shared" si="261"/>
        <v>4</v>
      </c>
      <c r="I228" s="267">
        <f t="shared" si="240"/>
        <v>11</v>
      </c>
      <c r="J228" s="14">
        <f t="shared" ref="J228:K228" si="262">SUM(J217:J227)</f>
        <v>10</v>
      </c>
      <c r="K228" s="14">
        <f t="shared" si="262"/>
        <v>13</v>
      </c>
      <c r="L228" s="13">
        <f t="shared" si="241"/>
        <v>23</v>
      </c>
      <c r="M228" s="16">
        <f t="shared" ref="M228:N228" si="263">SUM(M217:M227)</f>
        <v>6</v>
      </c>
      <c r="N228" s="16">
        <f t="shared" si="263"/>
        <v>1</v>
      </c>
      <c r="O228" s="16">
        <f t="shared" si="242"/>
        <v>7</v>
      </c>
      <c r="P228" s="16">
        <f t="shared" ref="P228:Q228" si="264">SUM(P217:P227)</f>
        <v>1</v>
      </c>
      <c r="Q228" s="16">
        <f t="shared" si="264"/>
        <v>0</v>
      </c>
      <c r="R228" s="16">
        <f t="shared" si="243"/>
        <v>1</v>
      </c>
      <c r="S228" s="16">
        <f t="shared" ref="S228:T228" si="265">SUM(S217:S227)</f>
        <v>2</v>
      </c>
      <c r="T228" s="16">
        <f t="shared" si="265"/>
        <v>0</v>
      </c>
      <c r="U228" s="16">
        <f t="shared" si="244"/>
        <v>2</v>
      </c>
      <c r="V228" s="18">
        <f t="shared" ref="V228:W228" si="266">SUM(V217:V227)</f>
        <v>16</v>
      </c>
      <c r="W228" s="18">
        <f t="shared" si="266"/>
        <v>18</v>
      </c>
      <c r="X228" s="17">
        <f t="shared" si="247"/>
        <v>34</v>
      </c>
      <c r="Y228" s="18">
        <f t="shared" ref="Y228:Z228" si="267">SUM(Y217:Y227)</f>
        <v>2</v>
      </c>
      <c r="Z228" s="18">
        <f t="shared" si="267"/>
        <v>1</v>
      </c>
      <c r="AA228" s="17">
        <f t="shared" si="248"/>
        <v>3</v>
      </c>
      <c r="AB228" s="18">
        <f t="shared" ref="AB228:AC228" si="268">SUM(AB217:AB227)</f>
        <v>5</v>
      </c>
      <c r="AC228" s="18">
        <f t="shared" si="268"/>
        <v>9</v>
      </c>
      <c r="AD228" s="17">
        <f t="shared" si="249"/>
        <v>14</v>
      </c>
      <c r="AE228" s="20">
        <f>SUM(AE217:AE227)</f>
        <v>7</v>
      </c>
      <c r="AF228" s="20">
        <f t="shared" ref="AF228" si="269">SUM(AF217:AF227)</f>
        <v>8</v>
      </c>
      <c r="AG228" s="20">
        <f t="shared" si="250"/>
        <v>15</v>
      </c>
      <c r="AH228" s="20">
        <f t="shared" ref="AH228:AI228" si="270">SUM(AH217:AH227)</f>
        <v>3</v>
      </c>
      <c r="AI228" s="20">
        <f t="shared" si="270"/>
        <v>1</v>
      </c>
      <c r="AJ228" s="20">
        <f t="shared" si="251"/>
        <v>4</v>
      </c>
      <c r="AK228" s="20">
        <f t="shared" ref="AK228:AL228" si="271">SUM(AK217:AK227)</f>
        <v>2</v>
      </c>
      <c r="AL228" s="20">
        <f t="shared" si="271"/>
        <v>3</v>
      </c>
      <c r="AM228" s="20">
        <f t="shared" si="252"/>
        <v>5</v>
      </c>
      <c r="AN228" s="22">
        <f t="shared" ref="AN228:AO228" si="272">SUM(AN217:AN227)</f>
        <v>0</v>
      </c>
      <c r="AO228" s="22">
        <f t="shared" si="272"/>
        <v>0</v>
      </c>
      <c r="AP228" s="22">
        <f t="shared" si="253"/>
        <v>0</v>
      </c>
      <c r="AQ228" s="22">
        <f t="shared" ref="AQ228:AR228" si="273">SUM(AQ217:AQ227)</f>
        <v>0</v>
      </c>
      <c r="AR228" s="22">
        <f t="shared" si="273"/>
        <v>0</v>
      </c>
      <c r="AS228" s="22">
        <f t="shared" si="254"/>
        <v>0</v>
      </c>
      <c r="AT228" s="22">
        <f t="shared" ref="AT228:AU228" si="274">SUM(AT217:AT227)</f>
        <v>0</v>
      </c>
      <c r="AU228" s="22">
        <f t="shared" si="274"/>
        <v>0</v>
      </c>
      <c r="AV228" s="22">
        <f t="shared" si="255"/>
        <v>0</v>
      </c>
      <c r="AW228" s="24">
        <f t="shared" ref="AW228:AX228" si="275">SUM(AW217:AW227)</f>
        <v>1</v>
      </c>
      <c r="AX228" s="24">
        <f t="shared" si="275"/>
        <v>8</v>
      </c>
      <c r="AY228" s="23">
        <f t="shared" si="259"/>
        <v>9</v>
      </c>
      <c r="AZ228" s="24">
        <f t="shared" ref="AZ228:BA228" si="276">SUM(AZ217:AZ227)</f>
        <v>1</v>
      </c>
      <c r="BA228" s="24">
        <f t="shared" si="276"/>
        <v>2</v>
      </c>
      <c r="BB228" s="23">
        <f t="shared" si="256"/>
        <v>3</v>
      </c>
      <c r="BC228" s="24">
        <f t="shared" ref="BC228:BD228" si="277">SUM(BC217:BC227)</f>
        <v>1</v>
      </c>
      <c r="BD228" s="24">
        <f t="shared" si="277"/>
        <v>1</v>
      </c>
      <c r="BE228" s="23">
        <f t="shared" si="257"/>
        <v>2</v>
      </c>
      <c r="BF228" s="36">
        <f>SUM(BF217:BF227)</f>
        <v>1</v>
      </c>
      <c r="BG228" s="36">
        <f t="shared" ref="BG228:BQ228" si="278">SUM(BG217:BG227)</f>
        <v>0</v>
      </c>
      <c r="BH228" s="36">
        <f t="shared" si="278"/>
        <v>0</v>
      </c>
      <c r="BI228" s="36">
        <f t="shared" si="278"/>
        <v>0</v>
      </c>
      <c r="BJ228" s="36">
        <f t="shared" si="278"/>
        <v>0</v>
      </c>
      <c r="BK228" s="36">
        <f t="shared" si="278"/>
        <v>0</v>
      </c>
      <c r="BL228" s="36">
        <f t="shared" si="278"/>
        <v>1</v>
      </c>
      <c r="BM228" s="36">
        <f t="shared" si="278"/>
        <v>2</v>
      </c>
      <c r="BN228" s="36">
        <f t="shared" si="278"/>
        <v>1</v>
      </c>
      <c r="BO228" s="36">
        <f t="shared" si="278"/>
        <v>0</v>
      </c>
      <c r="BP228" s="36">
        <f t="shared" si="278"/>
        <v>1</v>
      </c>
      <c r="BQ228" s="36">
        <f t="shared" si="278"/>
        <v>2</v>
      </c>
      <c r="BR228" s="44">
        <f>SUM(BR217:BR227)</f>
        <v>8</v>
      </c>
    </row>
  </sheetData>
  <mergeCells count="54">
    <mergeCell ref="AT215:AV215"/>
    <mergeCell ref="AW215:AY215"/>
    <mergeCell ref="AZ215:BB215"/>
    <mergeCell ref="BC215:BE215"/>
    <mergeCell ref="AE215:AG215"/>
    <mergeCell ref="AH215:AJ215"/>
    <mergeCell ref="AK215:AM215"/>
    <mergeCell ref="AN215:AP215"/>
    <mergeCell ref="AQ215:AS215"/>
    <mergeCell ref="P215:R215"/>
    <mergeCell ref="S215:U215"/>
    <mergeCell ref="V215:X215"/>
    <mergeCell ref="Y215:AA215"/>
    <mergeCell ref="AB215:AD215"/>
    <mergeCell ref="A215:B215"/>
    <mergeCell ref="C215:E215"/>
    <mergeCell ref="G215:I215"/>
    <mergeCell ref="J215:L215"/>
    <mergeCell ref="M215:O215"/>
    <mergeCell ref="B64:F64"/>
    <mergeCell ref="G64:K64"/>
    <mergeCell ref="L64:L65"/>
    <mergeCell ref="A214:B214"/>
    <mergeCell ref="C214:L214"/>
    <mergeCell ref="S2:U2"/>
    <mergeCell ref="V2:X2"/>
    <mergeCell ref="Y2:AA2"/>
    <mergeCell ref="AB2:AD2"/>
    <mergeCell ref="B56:I56"/>
    <mergeCell ref="J56:Q56"/>
    <mergeCell ref="R56:R57"/>
    <mergeCell ref="C21:D21"/>
    <mergeCell ref="H21:I21"/>
    <mergeCell ref="K21:L21"/>
    <mergeCell ref="C20:L20"/>
    <mergeCell ref="C2:E2"/>
    <mergeCell ref="G2:I2"/>
    <mergeCell ref="J2:L2"/>
    <mergeCell ref="BF1:BQ1"/>
    <mergeCell ref="C1:L1"/>
    <mergeCell ref="A1:B1"/>
    <mergeCell ref="A2:B2"/>
    <mergeCell ref="A20:B20"/>
    <mergeCell ref="M2:O2"/>
    <mergeCell ref="AT2:AV2"/>
    <mergeCell ref="AW2:AY2"/>
    <mergeCell ref="AZ2:BB2"/>
    <mergeCell ref="BC2:BE2"/>
    <mergeCell ref="AE2:AG2"/>
    <mergeCell ref="AH2:AJ2"/>
    <mergeCell ref="AK2:AM2"/>
    <mergeCell ref="AN2:AP2"/>
    <mergeCell ref="AQ2:AS2"/>
    <mergeCell ref="P2:R2"/>
  </mergeCells>
  <phoneticPr fontId="20" type="noConversion"/>
  <conditionalFormatting sqref="A1 C1 M1:BF1 BR1 A2:C2 F2:G2 J2 M2 P2 S2 V2 Y2 AB2 AE2 AH2 AK2 AN2 AQ2 AT2 AW2 AZ2 BC2 BF2:BQ2 A3:BQ15">
    <cfRule type="cellIs" dxfId="10" priority="5" operator="greaterThan">
      <formula>0</formula>
    </cfRule>
  </conditionalFormatting>
  <conditionalFormatting sqref="A214 C214 M214:BR214 A215:C215 F215:G215 J215 M215 P215 S215 V215 Y215 AB215 AE215 AH215 AK215 AN215 AQ215 AT215 AW215 AZ215 BC215 BF215:BQ215 A216:BQ228">
    <cfRule type="cellIs" dxfId="9" priority="1" operator="greaterThan">
      <formula>0</formula>
    </cfRule>
  </conditionalFormatting>
  <printOptions horizontalCentered="1" verticalCentered="1"/>
  <pageMargins left="0.31496062992125984" right="0.31496062992125984" top="0.74803149606299213" bottom="2.7559055118110236" header="0.31496062992125984" footer="0.31496062992125984"/>
  <pageSetup paperSize="9" scale="20" fitToHeight="2" orientation="portrait" r:id="rId1"/>
  <rowBreaks count="1" manualBreakCount="1">
    <brk id="76" max="70" man="1"/>
  </rowBreaks>
  <colBreaks count="6" manualBreakCount="6">
    <brk id="16" max="177" man="1"/>
    <brk id="22" max="1048575" man="1"/>
    <brk id="31" max="1048575" man="1"/>
    <brk id="40" max="1048575" man="1"/>
    <brk id="49" max="1048575" man="1"/>
    <brk id="58"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51B3E-43F1-4763-8FD9-EFB09714C13E}">
  <sheetPr>
    <pageSetUpPr fitToPage="1"/>
  </sheetPr>
  <dimension ref="A1:BC88"/>
  <sheetViews>
    <sheetView workbookViewId="0">
      <pane xSplit="1" ySplit="3" topLeftCell="R4" activePane="bottomRight" state="frozen"/>
      <selection pane="topRight" activeCell="B1" sqref="B1"/>
      <selection pane="bottomLeft" activeCell="A4" sqref="A4"/>
      <selection pane="bottomRight" activeCell="B1" sqref="B1"/>
    </sheetView>
  </sheetViews>
  <sheetFormatPr defaultRowHeight="15" x14ac:dyDescent="0.25"/>
  <cols>
    <col min="1" max="1" width="33.140625" style="137" customWidth="1"/>
    <col min="2" max="4" width="10.140625" style="138" customWidth="1"/>
    <col min="5" max="6" width="10.28515625" style="138" customWidth="1"/>
    <col min="7" max="7" width="6.85546875" style="138" customWidth="1"/>
    <col min="8" max="9" width="6.42578125" style="138" customWidth="1"/>
    <col min="10" max="10" width="10.140625" style="138" customWidth="1"/>
    <col min="11" max="11" width="7" style="138" customWidth="1"/>
    <col min="12" max="12" width="7.42578125" style="138" customWidth="1"/>
    <col min="13" max="13" width="6.85546875" style="138" customWidth="1"/>
    <col min="14" max="15" width="7.140625" style="138" customWidth="1"/>
    <col min="16" max="16" width="7.7109375" style="138" customWidth="1"/>
    <col min="17" max="17" width="11" style="138" customWidth="1"/>
    <col min="18" max="18" width="8.140625" style="138" customWidth="1"/>
    <col min="19" max="19" width="11.28515625" style="138" customWidth="1"/>
    <col min="20" max="22" width="9.42578125" style="138" customWidth="1"/>
    <col min="23" max="23" width="8.42578125" style="138" customWidth="1"/>
    <col min="24" max="24" width="8.140625" style="138" customWidth="1"/>
    <col min="25" max="26" width="8.28515625" style="138" customWidth="1"/>
    <col min="27" max="27" width="7.28515625" style="138" customWidth="1"/>
    <col min="28" max="28" width="8.42578125" style="138" customWidth="1"/>
    <col min="29" max="29" width="8.140625" style="138" customWidth="1"/>
    <col min="30" max="30" width="8.28515625" style="138" customWidth="1"/>
    <col min="31" max="31" width="6.42578125" style="138" customWidth="1"/>
    <col min="32" max="32" width="10.140625" style="138" customWidth="1"/>
    <col min="33" max="33" width="6" style="138" customWidth="1"/>
    <col min="34" max="34" width="11" style="138" customWidth="1"/>
    <col min="35" max="35" width="18.42578125" style="138" customWidth="1"/>
    <col min="36" max="36" width="8.85546875" style="138" bestFit="1" customWidth="1"/>
    <col min="37" max="37" width="7.140625" style="138" customWidth="1"/>
    <col min="38" max="38" width="6.85546875" style="138" bestFit="1" customWidth="1"/>
    <col min="39" max="40" width="6.42578125" style="138" bestFit="1" customWidth="1"/>
    <col min="41" max="41" width="12.7109375" style="138" customWidth="1"/>
    <col min="42" max="44" width="6.42578125" style="138" bestFit="1" customWidth="1"/>
    <col min="45" max="45" width="7.140625" style="138" bestFit="1" customWidth="1"/>
    <col min="46" max="48" width="5.42578125" style="138" bestFit="1" customWidth="1"/>
    <col min="49" max="51" width="8.42578125" style="138" bestFit="1" customWidth="1"/>
    <col min="52" max="54" width="5.42578125" style="138" bestFit="1" customWidth="1"/>
  </cols>
  <sheetData>
    <row r="1" spans="1:55" ht="15.75" thickBot="1" x14ac:dyDescent="0.3"/>
    <row r="2" spans="1:55" ht="30" customHeight="1" thickBot="1" x14ac:dyDescent="0.3">
      <c r="A2" s="348" t="s">
        <v>1420</v>
      </c>
      <c r="B2" s="350" t="s">
        <v>1421</v>
      </c>
      <c r="C2" s="350"/>
      <c r="D2" s="351"/>
      <c r="E2" s="351"/>
      <c r="F2" s="351"/>
      <c r="G2" s="351"/>
      <c r="H2" s="351"/>
      <c r="I2" s="139"/>
      <c r="J2" s="352" t="s">
        <v>1422</v>
      </c>
      <c r="K2" s="353"/>
      <c r="L2" s="353"/>
      <c r="M2" s="353"/>
      <c r="N2" s="353"/>
      <c r="O2" s="353"/>
      <c r="P2" s="353"/>
      <c r="Q2" s="139"/>
      <c r="R2" s="350" t="s">
        <v>1423</v>
      </c>
      <c r="S2" s="351"/>
      <c r="T2" s="351"/>
      <c r="U2" s="351"/>
      <c r="V2" s="351"/>
      <c r="W2" s="351"/>
      <c r="X2" s="351"/>
      <c r="Y2" s="140"/>
      <c r="Z2" s="352" t="s">
        <v>1424</v>
      </c>
      <c r="AA2" s="353"/>
      <c r="AB2" s="353"/>
      <c r="AC2" s="353"/>
      <c r="AD2" s="353"/>
      <c r="AE2" s="353"/>
      <c r="AF2" s="140"/>
      <c r="AG2" s="140"/>
      <c r="AH2" s="366" t="s">
        <v>1425</v>
      </c>
      <c r="AI2" s="367"/>
      <c r="AJ2" s="367"/>
      <c r="AK2" s="140"/>
      <c r="AL2" s="364" t="s">
        <v>1426</v>
      </c>
      <c r="AM2" s="365"/>
      <c r="AN2" s="365"/>
      <c r="AO2" s="365"/>
      <c r="AP2" s="365"/>
      <c r="AQ2" s="365"/>
      <c r="AR2" s="365"/>
      <c r="AS2" s="140"/>
      <c r="AT2" s="350" t="s">
        <v>1427</v>
      </c>
      <c r="AU2" s="351"/>
      <c r="AV2" s="351"/>
      <c r="AW2" s="351"/>
      <c r="AX2" s="351"/>
      <c r="AY2" s="351"/>
      <c r="AZ2" s="351"/>
      <c r="BA2" s="140"/>
      <c r="BB2" s="140"/>
    </row>
    <row r="3" spans="1:55" ht="26.25" thickBot="1" x14ac:dyDescent="0.3">
      <c r="A3" s="349"/>
      <c r="B3" s="141" t="s">
        <v>101</v>
      </c>
      <c r="C3" s="141" t="s">
        <v>122</v>
      </c>
      <c r="D3" s="141" t="s">
        <v>634</v>
      </c>
      <c r="E3" s="141" t="s">
        <v>142</v>
      </c>
      <c r="F3" s="141" t="s">
        <v>169</v>
      </c>
      <c r="G3" s="141" t="s">
        <v>100</v>
      </c>
      <c r="H3" s="141" t="s">
        <v>1344</v>
      </c>
      <c r="I3" s="142"/>
      <c r="J3" s="143" t="s">
        <v>1428</v>
      </c>
      <c r="K3" s="143" t="s">
        <v>125</v>
      </c>
      <c r="L3" s="143" t="s">
        <v>192</v>
      </c>
      <c r="M3" s="143" t="s">
        <v>107</v>
      </c>
      <c r="N3" s="143" t="s">
        <v>180</v>
      </c>
      <c r="O3" s="143" t="s">
        <v>1429</v>
      </c>
      <c r="P3" s="143" t="s">
        <v>1344</v>
      </c>
      <c r="Q3" s="142"/>
      <c r="R3" s="141" t="s">
        <v>101</v>
      </c>
      <c r="S3" s="141" t="s">
        <v>122</v>
      </c>
      <c r="T3" s="141" t="s">
        <v>634</v>
      </c>
      <c r="U3" s="141" t="s">
        <v>142</v>
      </c>
      <c r="V3" s="141" t="s">
        <v>169</v>
      </c>
      <c r="W3" s="141" t="s">
        <v>100</v>
      </c>
      <c r="X3" s="141" t="s">
        <v>1344</v>
      </c>
      <c r="Y3" s="144"/>
      <c r="Z3" s="143" t="s">
        <v>1428</v>
      </c>
      <c r="AA3" s="143" t="s">
        <v>125</v>
      </c>
      <c r="AB3" s="143" t="s">
        <v>192</v>
      </c>
      <c r="AC3" s="143" t="s">
        <v>107</v>
      </c>
      <c r="AD3" s="143" t="s">
        <v>180</v>
      </c>
      <c r="AE3" s="143" t="s">
        <v>1344</v>
      </c>
      <c r="AF3" s="144"/>
      <c r="AG3" s="144"/>
      <c r="AH3" s="141" t="s">
        <v>28</v>
      </c>
      <c r="AI3" s="141" t="s">
        <v>394</v>
      </c>
      <c r="AJ3" s="141" t="s">
        <v>1344</v>
      </c>
      <c r="AK3" s="144"/>
      <c r="AL3" s="141" t="s">
        <v>101</v>
      </c>
      <c r="AM3" s="141" t="s">
        <v>122</v>
      </c>
      <c r="AN3" s="141" t="s">
        <v>634</v>
      </c>
      <c r="AO3" s="141" t="s">
        <v>142</v>
      </c>
      <c r="AP3" s="141" t="s">
        <v>169</v>
      </c>
      <c r="AQ3" s="141" t="s">
        <v>100</v>
      </c>
      <c r="AR3" s="141" t="s">
        <v>1344</v>
      </c>
      <c r="AS3" s="144"/>
      <c r="AT3" s="141" t="s">
        <v>101</v>
      </c>
      <c r="AU3" s="141" t="s">
        <v>122</v>
      </c>
      <c r="AV3" s="141" t="s">
        <v>634</v>
      </c>
      <c r="AW3" s="141" t="s">
        <v>142</v>
      </c>
      <c r="AX3" s="141" t="s">
        <v>169</v>
      </c>
      <c r="AY3" s="141" t="s">
        <v>100</v>
      </c>
      <c r="AZ3" s="141" t="s">
        <v>1344</v>
      </c>
      <c r="BA3" s="144"/>
      <c r="BB3" s="144"/>
      <c r="BC3" s="144"/>
    </row>
    <row r="4" spans="1:55" ht="15.75" thickBot="1" x14ac:dyDescent="0.3">
      <c r="A4" s="145" t="s">
        <v>190</v>
      </c>
      <c r="B4" s="146">
        <f>+COUNTIFS('LOI and Commissioning Master Sh'!$D:$D,'Planned in Nov Dec'!$A4,'LOI and Commissioning Master Sh'!$G:$G,'Planned in Nov Dec'!B$3)</f>
        <v>0</v>
      </c>
      <c r="C4" s="146">
        <f>+COUNTIFS('LOI and Commissioning Master Sh'!$D:$D,'Planned in Nov Dec'!$A4,'LOI and Commissioning Master Sh'!$G:$G,'Planned in Nov Dec'!C$3)</f>
        <v>0</v>
      </c>
      <c r="D4" s="146">
        <f>+COUNTIFS('LOI and Commissioning Master Sh'!$D:$D,'Planned in Nov Dec'!$A4,'LOI and Commissioning Master Sh'!$G:$G,'Planned in Nov Dec'!D$3)</f>
        <v>1</v>
      </c>
      <c r="E4" s="146">
        <f>+COUNTIFS('LOI and Commissioning Master Sh'!$D:$D,'Planned in Nov Dec'!$A4,'LOI and Commissioning Master Sh'!$G:$G,'Planned in Nov Dec'!E$3)</f>
        <v>8</v>
      </c>
      <c r="F4" s="146">
        <f>+COUNTIFS('LOI and Commissioning Master Sh'!$D:$D,'Planned in Nov Dec'!$A4,'LOI and Commissioning Master Sh'!$G:$G,'Planned in Nov Dec'!F$3)</f>
        <v>10</v>
      </c>
      <c r="G4" s="146">
        <f>+COUNTIFS('LOI and Commissioning Master Sh'!$D:$D,'Planned in Nov Dec'!$A4,'LOI and Commissioning Master Sh'!$G:$G,'Planned in Nov Dec'!G$3)</f>
        <v>3</v>
      </c>
      <c r="H4" s="147">
        <f>SUM(B4:G4)</f>
        <v>22</v>
      </c>
      <c r="I4" s="148"/>
      <c r="J4" s="146">
        <f>+COUNTIFS('LOI and Commissioning Master Sh'!$D:$D,'Planned in Nov Dec'!$A4,'LOI and Commissioning Master Sh'!$CJ:$CJ,'Planned in Nov Dec'!J$3)</f>
        <v>0</v>
      </c>
      <c r="K4" s="146">
        <f>+COUNTIFS('LOI and Commissioning Master Sh'!$D:$D,'Planned in Nov Dec'!$A4,'LOI and Commissioning Master Sh'!$CJ:$CJ,'Planned in Nov Dec'!K$3)</f>
        <v>7</v>
      </c>
      <c r="L4" s="146">
        <f>+COUNTIFS('LOI and Commissioning Master Sh'!$D:$D,'Planned in Nov Dec'!$A4,'LOI and Commissioning Master Sh'!$CJ:$CJ,'Planned in Nov Dec'!L$3)</f>
        <v>7</v>
      </c>
      <c r="M4" s="146">
        <f>+COUNTIFS('LOI and Commissioning Master Sh'!$D:$D,'Planned in Nov Dec'!$A4,'LOI and Commissioning Master Sh'!$CJ:$CJ,'Planned in Nov Dec'!M$3)</f>
        <v>3</v>
      </c>
      <c r="N4" s="146">
        <f>+COUNTIFS('LOI and Commissioning Master Sh'!$D:$D,'Planned in Nov Dec'!$A4,'LOI and Commissioning Master Sh'!$CJ:$CJ,'Planned in Nov Dec'!N$3)</f>
        <v>5</v>
      </c>
      <c r="O4" s="146">
        <f>+COUNTIFS('LOI and Commissioning Master Sh'!$D:$D,'Planned in Nov Dec'!$A4,'LOI and Commissioning Master Sh'!$CJ:$CJ,'Planned in Nov Dec'!O$3)</f>
        <v>0</v>
      </c>
      <c r="P4" s="150">
        <f>SUM(J4:N4)</f>
        <v>22</v>
      </c>
      <c r="Q4" s="148"/>
      <c r="R4" s="146">
        <f>+COUNTIFS('LOI and Commissioning Master Sh'!$D:$D,'Planned in Nov Dec'!$A4,'LOI and Commissioning Master Sh'!$G:$G,'Planned in Nov Dec'!R$3,'LOI and Commissioning Master Sh'!$X:$X,"Yes")</f>
        <v>0</v>
      </c>
      <c r="S4" s="146">
        <f>+COUNTIFS('LOI and Commissioning Master Sh'!$D:$D,'Planned in Nov Dec'!$A4,'LOI and Commissioning Master Sh'!$G:$G,'Planned in Nov Dec'!S$3,'LOI and Commissioning Master Sh'!$X:$X,"Yes")</f>
        <v>0</v>
      </c>
      <c r="T4" s="146">
        <f>+COUNTIFS('LOI and Commissioning Master Sh'!$D:$D,'Planned in Nov Dec'!$A4,'LOI and Commissioning Master Sh'!$G:$G,'Planned in Nov Dec'!T$3,'LOI and Commissioning Master Sh'!$X:$X,"Yes")</f>
        <v>0</v>
      </c>
      <c r="U4" s="146">
        <f>+COUNTIFS('LOI and Commissioning Master Sh'!$D:$D,'Planned in Nov Dec'!$A4,'LOI and Commissioning Master Sh'!$G:$G,'Planned in Nov Dec'!U$3,'LOI and Commissioning Master Sh'!$X:$X,"Yes")</f>
        <v>3</v>
      </c>
      <c r="V4" s="146">
        <f>+COUNTIFS('LOI and Commissioning Master Sh'!$D:$D,'Planned in Nov Dec'!$A4,'LOI and Commissioning Master Sh'!$G:$G,'Planned in Nov Dec'!V$3,'LOI and Commissioning Master Sh'!$X:$X,"Yes")</f>
        <v>4</v>
      </c>
      <c r="W4" s="146">
        <f>+COUNTIFS('LOI and Commissioning Master Sh'!$D:$D,'Planned in Nov Dec'!$A4,'LOI and Commissioning Master Sh'!$G:$G,'Planned in Nov Dec'!W$3,'LOI and Commissioning Master Sh'!$X:$X,"Yes")</f>
        <v>1</v>
      </c>
      <c r="X4" s="147">
        <f>SUM(R4:W4)</f>
        <v>8</v>
      </c>
      <c r="Z4" s="146">
        <f>+COUNTIFS('LOI and Commissioning Master Sh'!$D:$D,'Planned in Nov Dec'!$A4,'LOI and Commissioning Master Sh'!$CJ:$CJ,'Planned in Nov Dec'!Z$3,'LOI and Commissioning Master Sh'!$X:$X,"Yes")</f>
        <v>0</v>
      </c>
      <c r="AA4" s="146">
        <f>+COUNTIFS('LOI and Commissioning Master Sh'!$D:$D,'Planned in Nov Dec'!$A4,'LOI and Commissioning Master Sh'!$CJ:$CJ,'Planned in Nov Dec'!AA$3,'LOI and Commissioning Master Sh'!$X:$X,"Yes")</f>
        <v>0</v>
      </c>
      <c r="AB4" s="146">
        <f>+COUNTIFS('LOI and Commissioning Master Sh'!$D:$D,'Planned in Nov Dec'!$A4,'LOI and Commissioning Master Sh'!$CJ:$CJ,'Planned in Nov Dec'!AB$3,'LOI and Commissioning Master Sh'!$X:$X,"Yes")</f>
        <v>4</v>
      </c>
      <c r="AC4" s="146">
        <f>+COUNTIFS('LOI and Commissioning Master Sh'!$D:$D,'Planned in Nov Dec'!$A4,'LOI and Commissioning Master Sh'!$CJ:$CJ,'Planned in Nov Dec'!AC$3,'LOI and Commissioning Master Sh'!$X:$X,"Yes")</f>
        <v>2</v>
      </c>
      <c r="AD4" s="146">
        <f>+COUNTIFS('LOI and Commissioning Master Sh'!$D:$D,'Planned in Nov Dec'!$A4,'LOI and Commissioning Master Sh'!$CJ:$CJ,'Planned in Nov Dec'!AD$3,'LOI and Commissioning Master Sh'!$X:$X,"Yes")</f>
        <v>2</v>
      </c>
      <c r="AE4" s="150">
        <f>SUM(Z4:AD4)</f>
        <v>8</v>
      </c>
      <c r="AH4" s="146">
        <f>+COUNTIFS('LOI and Commissioning Master Sh'!$D:$D,'Planned in Nov Dec'!$A4,'LOI and Commissioning Master Sh'!$W:$W,"Yes")</f>
        <v>14</v>
      </c>
      <c r="AI4" s="146">
        <f>+COUNTIFS('LOI and Commissioning Master Sh'!$D:$D,'Planned in Nov Dec'!$A4,'LOI and Commissioning Master Sh'!$W:$W,"No")</f>
        <v>8</v>
      </c>
      <c r="AJ4" s="147">
        <f>SUM(AH4:AI4)</f>
        <v>22</v>
      </c>
      <c r="AL4" s="146">
        <f>+COUNTIFS('LOI and Commissioning Master Sh'!$D:$D,'Planned in Nov Dec'!$A4,'LOI and Commissioning Master Sh'!$W:$W,"No",'LOI and Commissioning Master Sh'!$G:$G,'Planned in Nov Dec'!AL$3)</f>
        <v>0</v>
      </c>
      <c r="AM4" s="146">
        <f>+COUNTIFS('LOI and Commissioning Master Sh'!$D:$D,'Planned in Nov Dec'!$A4,'LOI and Commissioning Master Sh'!$W:$W,"No",'LOI and Commissioning Master Sh'!$G:$G,'Planned in Nov Dec'!AM$3)</f>
        <v>0</v>
      </c>
      <c r="AN4" s="146">
        <f>+COUNTIFS('LOI and Commissioning Master Sh'!$D:$D,'Planned in Nov Dec'!$A4,'LOI and Commissioning Master Sh'!$W:$W,"No",'LOI and Commissioning Master Sh'!$G:$G,'Planned in Nov Dec'!AN$3)</f>
        <v>1</v>
      </c>
      <c r="AO4" s="146">
        <f>+COUNTIFS('LOI and Commissioning Master Sh'!$D:$D,'Planned in Nov Dec'!$A4,'LOI and Commissioning Master Sh'!$W:$W,"No",'LOI and Commissioning Master Sh'!$G:$G,'Planned in Nov Dec'!AO$3)</f>
        <v>2</v>
      </c>
      <c r="AP4" s="146">
        <f>+COUNTIFS('LOI and Commissioning Master Sh'!$D:$D,'Planned in Nov Dec'!$A4,'LOI and Commissioning Master Sh'!$W:$W,"No",'LOI and Commissioning Master Sh'!$G:$G,'Planned in Nov Dec'!AP$3)</f>
        <v>4</v>
      </c>
      <c r="AQ4" s="146">
        <f>+COUNTIFS('LOI and Commissioning Master Sh'!$D:$D,'Planned in Nov Dec'!$A4,'LOI and Commissioning Master Sh'!$W:$W,"No",'LOI and Commissioning Master Sh'!$G:$G,'Planned in Nov Dec'!AQ$3)</f>
        <v>1</v>
      </c>
      <c r="AR4" s="147">
        <f>SUM(AL4:AQ4)</f>
        <v>8</v>
      </c>
      <c r="AT4" s="146">
        <f>+COUNTIFS('LOI and Commissioning Master Sh'!$D:$D,'Planned in Nov Dec'!$A4,'LOI and Commissioning Master Sh'!$G:$G,'Planned in Nov Dec'!AT$3,'LOI and Commissioning Master Sh'!$W:$W,"Yes")</f>
        <v>0</v>
      </c>
      <c r="AU4" s="146">
        <f>+COUNTIFS('LOI and Commissioning Master Sh'!$D:$D,'Planned in Nov Dec'!$A4,'LOI and Commissioning Master Sh'!$G:$G,'Planned in Nov Dec'!AU$3,'LOI and Commissioning Master Sh'!$W:$W,"Yes")</f>
        <v>0</v>
      </c>
      <c r="AV4" s="146">
        <f>+COUNTIFS('LOI and Commissioning Master Sh'!$D:$D,'Planned in Nov Dec'!$A4,'LOI and Commissioning Master Sh'!$G:$G,'Planned in Nov Dec'!AV$3,'LOI and Commissioning Master Sh'!$W:$W,"Yes")</f>
        <v>0</v>
      </c>
      <c r="AW4" s="146">
        <f>+COUNTIFS('LOI and Commissioning Master Sh'!$D:$D,'Planned in Nov Dec'!$A4,'LOI and Commissioning Master Sh'!$G:$G,'Planned in Nov Dec'!AW$3,'LOI and Commissioning Master Sh'!$W:$W,"Yes")</f>
        <v>6</v>
      </c>
      <c r="AX4" s="146">
        <f>+COUNTIFS('LOI and Commissioning Master Sh'!$D:$D,'Planned in Nov Dec'!$A4,'LOI and Commissioning Master Sh'!$G:$G,'Planned in Nov Dec'!AX$3,'LOI and Commissioning Master Sh'!$W:$W,"Yes")</f>
        <v>6</v>
      </c>
      <c r="AY4" s="146">
        <f>+COUNTIFS('LOI and Commissioning Master Sh'!$D:$D,'Planned in Nov Dec'!$A4,'LOI and Commissioning Master Sh'!$G:$G,'Planned in Nov Dec'!AY$3,'LOI and Commissioning Master Sh'!$W:$W,"Yes")</f>
        <v>2</v>
      </c>
      <c r="AZ4" s="147">
        <f>SUM(AT4:AY4)</f>
        <v>14</v>
      </c>
      <c r="BC4" s="138"/>
    </row>
    <row r="5" spans="1:55" ht="15.75" thickBot="1" x14ac:dyDescent="0.3">
      <c r="A5" s="145" t="s">
        <v>156</v>
      </c>
      <c r="B5" s="146">
        <f>+COUNTIFS('LOI and Commissioning Master Sh'!$D:$D,'Planned in Nov Dec'!$A5,'LOI and Commissioning Master Sh'!$G:$G,'Planned in Nov Dec'!B$3)</f>
        <v>0</v>
      </c>
      <c r="C5" s="146">
        <f>+COUNTIFS('LOI and Commissioning Master Sh'!$D:$D,'Planned in Nov Dec'!$A5,'LOI and Commissioning Master Sh'!$G:$G,'Planned in Nov Dec'!C$3)</f>
        <v>0</v>
      </c>
      <c r="D5" s="146">
        <f>+COUNTIFS('LOI and Commissioning Master Sh'!$D:$D,'Planned in Nov Dec'!$A5,'LOI and Commissioning Master Sh'!$G:$G,'Planned in Nov Dec'!D$3)</f>
        <v>0</v>
      </c>
      <c r="E5" s="146">
        <f>+COUNTIFS('LOI and Commissioning Master Sh'!$D:$D,'Planned in Nov Dec'!$A5,'LOI and Commissioning Master Sh'!$G:$G,'Planned in Nov Dec'!E$3)</f>
        <v>13</v>
      </c>
      <c r="F5" s="146">
        <f>+COUNTIFS('LOI and Commissioning Master Sh'!$D:$D,'Planned in Nov Dec'!$A5,'LOI and Commissioning Master Sh'!$G:$G,'Planned in Nov Dec'!F$3)</f>
        <v>12</v>
      </c>
      <c r="G5" s="146">
        <f>+COUNTIFS('LOI and Commissioning Master Sh'!$D:$D,'Planned in Nov Dec'!$A5,'LOI and Commissioning Master Sh'!$G:$G,'Planned in Nov Dec'!G$3)</f>
        <v>8</v>
      </c>
      <c r="H5" s="147">
        <f t="shared" ref="H5:H14" si="0">SUM(B5:G5)</f>
        <v>33</v>
      </c>
      <c r="I5" s="151"/>
      <c r="J5" s="146">
        <f>+COUNTIFS('LOI and Commissioning Master Sh'!$D:$D,'Planned in Nov Dec'!$A5,'LOI and Commissioning Master Sh'!$CJ:$CJ,'Planned in Nov Dec'!J$3)</f>
        <v>0</v>
      </c>
      <c r="K5" s="146">
        <f>+COUNTIFS('LOI and Commissioning Master Sh'!$D:$D,'Planned in Nov Dec'!$A5,'LOI and Commissioning Master Sh'!$CJ:$CJ,'Planned in Nov Dec'!K$3)</f>
        <v>21</v>
      </c>
      <c r="L5" s="146">
        <f>+COUNTIFS('LOI and Commissioning Master Sh'!$D:$D,'Planned in Nov Dec'!$A5,'LOI and Commissioning Master Sh'!$CJ:$CJ,'Planned in Nov Dec'!L$3)</f>
        <v>9</v>
      </c>
      <c r="M5" s="146">
        <f>+COUNTIFS('LOI and Commissioning Master Sh'!$D:$D,'Planned in Nov Dec'!$A5,'LOI and Commissioning Master Sh'!$CJ:$CJ,'Planned in Nov Dec'!M$3)</f>
        <v>0</v>
      </c>
      <c r="N5" s="146">
        <f>+COUNTIFS('LOI and Commissioning Master Sh'!$D:$D,'Planned in Nov Dec'!$A5,'LOI and Commissioning Master Sh'!$CJ:$CJ,'Planned in Nov Dec'!N$3)</f>
        <v>3</v>
      </c>
      <c r="O5" s="146">
        <f>+COUNTIFS('LOI and Commissioning Master Sh'!$D:$D,'Planned in Nov Dec'!$A5,'LOI and Commissioning Master Sh'!$CJ:$CJ,'Planned in Nov Dec'!O$3)</f>
        <v>0</v>
      </c>
      <c r="P5" s="150">
        <f t="shared" ref="P5:P14" si="1">SUM(J5:N5)</f>
        <v>33</v>
      </c>
      <c r="Q5" s="151"/>
      <c r="R5" s="146">
        <f>+COUNTIFS('LOI and Commissioning Master Sh'!$D:$D,'Planned in Nov Dec'!$A5,'LOI and Commissioning Master Sh'!$G:$G,'Planned in Nov Dec'!R$3,'LOI and Commissioning Master Sh'!$X:$X,"Yes")</f>
        <v>0</v>
      </c>
      <c r="S5" s="146">
        <f>+COUNTIFS('LOI and Commissioning Master Sh'!$D:$D,'Planned in Nov Dec'!$A5,'LOI and Commissioning Master Sh'!$G:$G,'Planned in Nov Dec'!S$3,'LOI and Commissioning Master Sh'!$X:$X,"Yes")</f>
        <v>0</v>
      </c>
      <c r="T5" s="146">
        <f>+COUNTIFS('LOI and Commissioning Master Sh'!$D:$D,'Planned in Nov Dec'!$A5,'LOI and Commissioning Master Sh'!$G:$G,'Planned in Nov Dec'!T$3,'LOI and Commissioning Master Sh'!$X:$X,"Yes")</f>
        <v>0</v>
      </c>
      <c r="U5" s="146">
        <f>+COUNTIFS('LOI and Commissioning Master Sh'!$D:$D,'Planned in Nov Dec'!$A5,'LOI and Commissioning Master Sh'!$G:$G,'Planned in Nov Dec'!U$3,'LOI and Commissioning Master Sh'!$X:$X,"Yes")</f>
        <v>5</v>
      </c>
      <c r="V5" s="146">
        <f>+COUNTIFS('LOI and Commissioning Master Sh'!$D:$D,'Planned in Nov Dec'!$A5,'LOI and Commissioning Master Sh'!$G:$G,'Planned in Nov Dec'!V$3,'LOI and Commissioning Master Sh'!$X:$X,"Yes")</f>
        <v>3</v>
      </c>
      <c r="W5" s="146">
        <f>+COUNTIFS('LOI and Commissioning Master Sh'!$D:$D,'Planned in Nov Dec'!$A5,'LOI and Commissioning Master Sh'!$G:$G,'Planned in Nov Dec'!W$3,'LOI and Commissioning Master Sh'!$X:$X,"Yes")</f>
        <v>3</v>
      </c>
      <c r="X5" s="147">
        <f t="shared" ref="X5:X14" si="2">SUM(R5:W5)</f>
        <v>11</v>
      </c>
      <c r="Z5" s="146">
        <f>+COUNTIFS('LOI and Commissioning Master Sh'!$D:$D,'Planned in Nov Dec'!$A5,'LOI and Commissioning Master Sh'!$CJ:$CJ,'Planned in Nov Dec'!Z$3,'LOI and Commissioning Master Sh'!$X:$X,"Yes")</f>
        <v>0</v>
      </c>
      <c r="AA5" s="146">
        <f>+COUNTIFS('LOI and Commissioning Master Sh'!$D:$D,'Planned in Nov Dec'!$A5,'LOI and Commissioning Master Sh'!$CJ:$CJ,'Planned in Nov Dec'!AA$3,'LOI and Commissioning Master Sh'!$X:$X,"Yes")</f>
        <v>7</v>
      </c>
      <c r="AB5" s="146">
        <f>+COUNTIFS('LOI and Commissioning Master Sh'!$D:$D,'Planned in Nov Dec'!$A5,'LOI and Commissioning Master Sh'!$CJ:$CJ,'Planned in Nov Dec'!AB$3,'LOI and Commissioning Master Sh'!$X:$X,"Yes")</f>
        <v>3</v>
      </c>
      <c r="AC5" s="146">
        <f>+COUNTIFS('LOI and Commissioning Master Sh'!$D:$D,'Planned in Nov Dec'!$A5,'LOI and Commissioning Master Sh'!$CJ:$CJ,'Planned in Nov Dec'!AC$3,'LOI and Commissioning Master Sh'!$X:$X,"Yes")</f>
        <v>0</v>
      </c>
      <c r="AD5" s="146">
        <f>+COUNTIFS('LOI and Commissioning Master Sh'!$D:$D,'Planned in Nov Dec'!$A5,'LOI and Commissioning Master Sh'!$CJ:$CJ,'Planned in Nov Dec'!AD$3,'LOI and Commissioning Master Sh'!$X:$X,"Yes")</f>
        <v>1</v>
      </c>
      <c r="AE5" s="150">
        <f t="shared" ref="AE5:AE14" si="3">SUM(Z5:AD5)</f>
        <v>11</v>
      </c>
      <c r="AH5" s="146">
        <f>+COUNTIFS('LOI and Commissioning Master Sh'!$D:$D,'Planned in Nov Dec'!$A5,'LOI and Commissioning Master Sh'!$W:$W,"Yes")</f>
        <v>15</v>
      </c>
      <c r="AI5" s="146">
        <f>+COUNTIFS('LOI and Commissioning Master Sh'!$D:$D,'Planned in Nov Dec'!$A5,'LOI and Commissioning Master Sh'!$W:$W,"No")</f>
        <v>18</v>
      </c>
      <c r="AJ5" s="147">
        <f t="shared" ref="AJ5:AJ14" si="4">SUM(AH5:AI5)</f>
        <v>33</v>
      </c>
      <c r="AL5" s="146">
        <f>+COUNTIFS('LOI and Commissioning Master Sh'!$D:$D,'Planned in Nov Dec'!$A5,'LOI and Commissioning Master Sh'!$W:$W,"No",'LOI and Commissioning Master Sh'!$G:$G,'Planned in Nov Dec'!AL$3)</f>
        <v>0</v>
      </c>
      <c r="AM5" s="146">
        <f>+COUNTIFS('LOI and Commissioning Master Sh'!$D:$D,'Planned in Nov Dec'!$A5,'LOI and Commissioning Master Sh'!$W:$W,"No",'LOI and Commissioning Master Sh'!$G:$G,'Planned in Nov Dec'!AM$3)</f>
        <v>0</v>
      </c>
      <c r="AN5" s="146">
        <f>+COUNTIFS('LOI and Commissioning Master Sh'!$D:$D,'Planned in Nov Dec'!$A5,'LOI and Commissioning Master Sh'!$W:$W,"No",'LOI and Commissioning Master Sh'!$G:$G,'Planned in Nov Dec'!AN$3)</f>
        <v>0</v>
      </c>
      <c r="AO5" s="146">
        <f>+COUNTIFS('LOI and Commissioning Master Sh'!$D:$D,'Planned in Nov Dec'!$A5,'LOI and Commissioning Master Sh'!$W:$W,"No",'LOI and Commissioning Master Sh'!$G:$G,'Planned in Nov Dec'!AO$3)</f>
        <v>7</v>
      </c>
      <c r="AP5" s="146">
        <f>+COUNTIFS('LOI and Commissioning Master Sh'!$D:$D,'Planned in Nov Dec'!$A5,'LOI and Commissioning Master Sh'!$W:$W,"No",'LOI and Commissioning Master Sh'!$G:$G,'Planned in Nov Dec'!AP$3)</f>
        <v>7</v>
      </c>
      <c r="AQ5" s="146">
        <f>+COUNTIFS('LOI and Commissioning Master Sh'!$D:$D,'Planned in Nov Dec'!$A5,'LOI and Commissioning Master Sh'!$W:$W,"No",'LOI and Commissioning Master Sh'!$G:$G,'Planned in Nov Dec'!AQ$3)</f>
        <v>4</v>
      </c>
      <c r="AR5" s="147">
        <f t="shared" ref="AR5:AR14" si="5">SUM(AL5:AQ5)</f>
        <v>18</v>
      </c>
      <c r="AT5" s="146">
        <f>+COUNTIFS('LOI and Commissioning Master Sh'!$D:$D,'Planned in Nov Dec'!$A5,'LOI and Commissioning Master Sh'!$G:$G,'Planned in Nov Dec'!AT$3,'LOI and Commissioning Master Sh'!$W:$W,"Yes")</f>
        <v>0</v>
      </c>
      <c r="AU5" s="146">
        <f>+COUNTIFS('LOI and Commissioning Master Sh'!$D:$D,'Planned in Nov Dec'!$A5,'LOI and Commissioning Master Sh'!$G:$G,'Planned in Nov Dec'!AU$3,'LOI and Commissioning Master Sh'!$W:$W,"Yes")</f>
        <v>0</v>
      </c>
      <c r="AV5" s="146">
        <f>+COUNTIFS('LOI and Commissioning Master Sh'!$D:$D,'Planned in Nov Dec'!$A5,'LOI and Commissioning Master Sh'!$G:$G,'Planned in Nov Dec'!AV$3,'LOI and Commissioning Master Sh'!$W:$W,"Yes")</f>
        <v>0</v>
      </c>
      <c r="AW5" s="146">
        <f>+COUNTIFS('LOI and Commissioning Master Sh'!$D:$D,'Planned in Nov Dec'!$A5,'LOI and Commissioning Master Sh'!$G:$G,'Planned in Nov Dec'!AW$3,'LOI and Commissioning Master Sh'!$W:$W,"Yes")</f>
        <v>6</v>
      </c>
      <c r="AX5" s="146">
        <f>+COUNTIFS('LOI and Commissioning Master Sh'!$D:$D,'Planned in Nov Dec'!$A5,'LOI and Commissioning Master Sh'!$G:$G,'Planned in Nov Dec'!AX$3,'LOI and Commissioning Master Sh'!$W:$W,"Yes")</f>
        <v>5</v>
      </c>
      <c r="AY5" s="146">
        <f>+COUNTIFS('LOI and Commissioning Master Sh'!$D:$D,'Planned in Nov Dec'!$A5,'LOI and Commissioning Master Sh'!$G:$G,'Planned in Nov Dec'!AY$3,'LOI and Commissioning Master Sh'!$W:$W,"Yes")</f>
        <v>4</v>
      </c>
      <c r="AZ5" s="147">
        <f t="shared" ref="AZ5:AZ14" si="6">SUM(AT5:AY5)</f>
        <v>15</v>
      </c>
      <c r="BC5" s="138"/>
    </row>
    <row r="6" spans="1:55" ht="15.75" thickBot="1" x14ac:dyDescent="0.3">
      <c r="A6" s="145" t="s">
        <v>383</v>
      </c>
      <c r="B6" s="146">
        <f>+COUNTIFS('LOI and Commissioning Master Sh'!$D:$D,'Planned in Nov Dec'!$A6,'LOI and Commissioning Master Sh'!$G:$G,'Planned in Nov Dec'!B$3)</f>
        <v>12</v>
      </c>
      <c r="C6" s="146">
        <f>+COUNTIFS('LOI and Commissioning Master Sh'!$D:$D,'Planned in Nov Dec'!$A6,'LOI and Commissioning Master Sh'!$G:$G,'Planned in Nov Dec'!C$3)</f>
        <v>0</v>
      </c>
      <c r="D6" s="146">
        <f>+COUNTIFS('LOI and Commissioning Master Sh'!$D:$D,'Planned in Nov Dec'!$A6,'LOI and Commissioning Master Sh'!$G:$G,'Planned in Nov Dec'!D$3)</f>
        <v>1</v>
      </c>
      <c r="E6" s="146">
        <f>+COUNTIFS('LOI and Commissioning Master Sh'!$D:$D,'Planned in Nov Dec'!$A6,'LOI and Commissioning Master Sh'!$G:$G,'Planned in Nov Dec'!E$3)</f>
        <v>2</v>
      </c>
      <c r="F6" s="146">
        <f>+COUNTIFS('LOI and Commissioning Master Sh'!$D:$D,'Planned in Nov Dec'!$A6,'LOI and Commissioning Master Sh'!$G:$G,'Planned in Nov Dec'!F$3)</f>
        <v>1</v>
      </c>
      <c r="G6" s="146">
        <f>+COUNTIFS('LOI and Commissioning Master Sh'!$D:$D,'Planned in Nov Dec'!$A6,'LOI and Commissioning Master Sh'!$G:$G,'Planned in Nov Dec'!G$3)</f>
        <v>0</v>
      </c>
      <c r="H6" s="147">
        <f t="shared" si="0"/>
        <v>16</v>
      </c>
      <c r="I6" s="151"/>
      <c r="J6" s="146">
        <f>+COUNTIFS('LOI and Commissioning Master Sh'!$D:$D,'Planned in Nov Dec'!$A6,'LOI and Commissioning Master Sh'!$CJ:$CJ,'Planned in Nov Dec'!J$3)</f>
        <v>0</v>
      </c>
      <c r="K6" s="146">
        <f>+COUNTIFS('LOI and Commissioning Master Sh'!$D:$D,'Planned in Nov Dec'!$A6,'LOI and Commissioning Master Sh'!$CJ:$CJ,'Planned in Nov Dec'!K$3)</f>
        <v>9</v>
      </c>
      <c r="L6" s="146">
        <f>+COUNTIFS('LOI and Commissioning Master Sh'!$D:$D,'Planned in Nov Dec'!$A6,'LOI and Commissioning Master Sh'!$CJ:$CJ,'Planned in Nov Dec'!L$3)</f>
        <v>5</v>
      </c>
      <c r="M6" s="146">
        <f>+COUNTIFS('LOI and Commissioning Master Sh'!$D:$D,'Planned in Nov Dec'!$A6,'LOI and Commissioning Master Sh'!$CJ:$CJ,'Planned in Nov Dec'!M$3)</f>
        <v>1</v>
      </c>
      <c r="N6" s="146">
        <f>+COUNTIFS('LOI and Commissioning Master Sh'!$D:$D,'Planned in Nov Dec'!$A6,'LOI and Commissioning Master Sh'!$CJ:$CJ,'Planned in Nov Dec'!N$3)</f>
        <v>1</v>
      </c>
      <c r="O6" s="146">
        <f>+COUNTIFS('LOI and Commissioning Master Sh'!$D:$D,'Planned in Nov Dec'!$A6,'LOI and Commissioning Master Sh'!$CJ:$CJ,'Planned in Nov Dec'!O$3)</f>
        <v>0</v>
      </c>
      <c r="P6" s="150">
        <f t="shared" si="1"/>
        <v>16</v>
      </c>
      <c r="Q6" s="151"/>
      <c r="R6" s="146">
        <f>+COUNTIFS('LOI and Commissioning Master Sh'!$D:$D,'Planned in Nov Dec'!$A6,'LOI and Commissioning Master Sh'!$G:$G,'Planned in Nov Dec'!R$3,'LOI and Commissioning Master Sh'!$X:$X,"Yes")</f>
        <v>2</v>
      </c>
      <c r="S6" s="146">
        <f>+COUNTIFS('LOI and Commissioning Master Sh'!$D:$D,'Planned in Nov Dec'!$A6,'LOI and Commissioning Master Sh'!$G:$G,'Planned in Nov Dec'!S$3,'LOI and Commissioning Master Sh'!$X:$X,"Yes")</f>
        <v>0</v>
      </c>
      <c r="T6" s="146">
        <f>+COUNTIFS('LOI and Commissioning Master Sh'!$D:$D,'Planned in Nov Dec'!$A6,'LOI and Commissioning Master Sh'!$G:$G,'Planned in Nov Dec'!T$3,'LOI and Commissioning Master Sh'!$X:$X,"Yes")</f>
        <v>0</v>
      </c>
      <c r="U6" s="146">
        <f>+COUNTIFS('LOI and Commissioning Master Sh'!$D:$D,'Planned in Nov Dec'!$A6,'LOI and Commissioning Master Sh'!$G:$G,'Planned in Nov Dec'!U$3,'LOI and Commissioning Master Sh'!$X:$X,"Yes")</f>
        <v>1</v>
      </c>
      <c r="V6" s="146">
        <f>+COUNTIFS('LOI and Commissioning Master Sh'!$D:$D,'Planned in Nov Dec'!$A6,'LOI and Commissioning Master Sh'!$G:$G,'Planned in Nov Dec'!V$3,'LOI and Commissioning Master Sh'!$X:$X,"Yes")</f>
        <v>0</v>
      </c>
      <c r="W6" s="146">
        <f>+COUNTIFS('LOI and Commissioning Master Sh'!$D:$D,'Planned in Nov Dec'!$A6,'LOI and Commissioning Master Sh'!$G:$G,'Planned in Nov Dec'!W$3,'LOI and Commissioning Master Sh'!$X:$X,"Yes")</f>
        <v>0</v>
      </c>
      <c r="X6" s="147">
        <f t="shared" si="2"/>
        <v>3</v>
      </c>
      <c r="Z6" s="146">
        <f>+COUNTIFS('LOI and Commissioning Master Sh'!$D:$D,'Planned in Nov Dec'!$A6,'LOI and Commissioning Master Sh'!$CJ:$CJ,'Planned in Nov Dec'!Z$3,'LOI and Commissioning Master Sh'!$X:$X,"Yes")</f>
        <v>0</v>
      </c>
      <c r="AA6" s="146">
        <f>+COUNTIFS('LOI and Commissioning Master Sh'!$D:$D,'Planned in Nov Dec'!$A6,'LOI and Commissioning Master Sh'!$CJ:$CJ,'Planned in Nov Dec'!AA$3,'LOI and Commissioning Master Sh'!$X:$X,"Yes")</f>
        <v>2</v>
      </c>
      <c r="AB6" s="146">
        <f>+COUNTIFS('LOI and Commissioning Master Sh'!$D:$D,'Planned in Nov Dec'!$A6,'LOI and Commissioning Master Sh'!$CJ:$CJ,'Planned in Nov Dec'!AB$3,'LOI and Commissioning Master Sh'!$X:$X,"Yes")</f>
        <v>0</v>
      </c>
      <c r="AC6" s="146">
        <f>+COUNTIFS('LOI and Commissioning Master Sh'!$D:$D,'Planned in Nov Dec'!$A6,'LOI and Commissioning Master Sh'!$CJ:$CJ,'Planned in Nov Dec'!AC$3,'LOI and Commissioning Master Sh'!$X:$X,"Yes")</f>
        <v>0</v>
      </c>
      <c r="AD6" s="146">
        <f>+COUNTIFS('LOI and Commissioning Master Sh'!$D:$D,'Planned in Nov Dec'!$A6,'LOI and Commissioning Master Sh'!$CJ:$CJ,'Planned in Nov Dec'!AD$3,'LOI and Commissioning Master Sh'!$X:$X,"Yes")</f>
        <v>1</v>
      </c>
      <c r="AE6" s="150">
        <f t="shared" si="3"/>
        <v>3</v>
      </c>
      <c r="AH6" s="146">
        <f>+COUNTIFS('LOI and Commissioning Master Sh'!$D:$D,'Planned in Nov Dec'!$A6,'LOI and Commissioning Master Sh'!$W:$W,"Yes")</f>
        <v>3</v>
      </c>
      <c r="AI6" s="146">
        <f>+COUNTIFS('LOI and Commissioning Master Sh'!$D:$D,'Planned in Nov Dec'!$A6,'LOI and Commissioning Master Sh'!$W:$W,"No")</f>
        <v>13</v>
      </c>
      <c r="AJ6" s="147">
        <f t="shared" si="4"/>
        <v>16</v>
      </c>
      <c r="AL6" s="146">
        <f>+COUNTIFS('LOI and Commissioning Master Sh'!$D:$D,'Planned in Nov Dec'!$A6,'LOI and Commissioning Master Sh'!$W:$W,"No",'LOI and Commissioning Master Sh'!$G:$G,'Planned in Nov Dec'!AL$3)</f>
        <v>10</v>
      </c>
      <c r="AM6" s="146">
        <f>+COUNTIFS('LOI and Commissioning Master Sh'!$D:$D,'Planned in Nov Dec'!$A6,'LOI and Commissioning Master Sh'!$W:$W,"No",'LOI and Commissioning Master Sh'!$G:$G,'Planned in Nov Dec'!AM$3)</f>
        <v>0</v>
      </c>
      <c r="AN6" s="146">
        <f>+COUNTIFS('LOI and Commissioning Master Sh'!$D:$D,'Planned in Nov Dec'!$A6,'LOI and Commissioning Master Sh'!$W:$W,"No",'LOI and Commissioning Master Sh'!$G:$G,'Planned in Nov Dec'!AN$3)</f>
        <v>1</v>
      </c>
      <c r="AO6" s="146">
        <f>+COUNTIFS('LOI and Commissioning Master Sh'!$D:$D,'Planned in Nov Dec'!$A6,'LOI and Commissioning Master Sh'!$W:$W,"No",'LOI and Commissioning Master Sh'!$G:$G,'Planned in Nov Dec'!AO$3)</f>
        <v>1</v>
      </c>
      <c r="AP6" s="146">
        <f>+COUNTIFS('LOI and Commissioning Master Sh'!$D:$D,'Planned in Nov Dec'!$A6,'LOI and Commissioning Master Sh'!$W:$W,"No",'LOI and Commissioning Master Sh'!$G:$G,'Planned in Nov Dec'!AP$3)</f>
        <v>1</v>
      </c>
      <c r="AQ6" s="146">
        <f>+COUNTIFS('LOI and Commissioning Master Sh'!$D:$D,'Planned in Nov Dec'!$A6,'LOI and Commissioning Master Sh'!$W:$W,"No",'LOI and Commissioning Master Sh'!$G:$G,'Planned in Nov Dec'!AQ$3)</f>
        <v>0</v>
      </c>
      <c r="AR6" s="147">
        <f t="shared" si="5"/>
        <v>13</v>
      </c>
      <c r="AT6" s="146">
        <f>+COUNTIFS('LOI and Commissioning Master Sh'!$D:$D,'Planned in Nov Dec'!$A6,'LOI and Commissioning Master Sh'!$G:$G,'Planned in Nov Dec'!AT$3,'LOI and Commissioning Master Sh'!$W:$W,"Yes")</f>
        <v>2</v>
      </c>
      <c r="AU6" s="146">
        <f>+COUNTIFS('LOI and Commissioning Master Sh'!$D:$D,'Planned in Nov Dec'!$A6,'LOI and Commissioning Master Sh'!$G:$G,'Planned in Nov Dec'!AU$3,'LOI and Commissioning Master Sh'!$W:$W,"Yes")</f>
        <v>0</v>
      </c>
      <c r="AV6" s="146">
        <f>+COUNTIFS('LOI and Commissioning Master Sh'!$D:$D,'Planned in Nov Dec'!$A6,'LOI and Commissioning Master Sh'!$G:$G,'Planned in Nov Dec'!AV$3,'LOI and Commissioning Master Sh'!$W:$W,"Yes")</f>
        <v>0</v>
      </c>
      <c r="AW6" s="146">
        <f>+COUNTIFS('LOI and Commissioning Master Sh'!$D:$D,'Planned in Nov Dec'!$A6,'LOI and Commissioning Master Sh'!$G:$G,'Planned in Nov Dec'!AW$3,'LOI and Commissioning Master Sh'!$W:$W,"Yes")</f>
        <v>1</v>
      </c>
      <c r="AX6" s="146">
        <f>+COUNTIFS('LOI and Commissioning Master Sh'!$D:$D,'Planned in Nov Dec'!$A6,'LOI and Commissioning Master Sh'!$G:$G,'Planned in Nov Dec'!AX$3,'LOI and Commissioning Master Sh'!$W:$W,"Yes")</f>
        <v>0</v>
      </c>
      <c r="AY6" s="146">
        <f>+COUNTIFS('LOI and Commissioning Master Sh'!$D:$D,'Planned in Nov Dec'!$A6,'LOI and Commissioning Master Sh'!$G:$G,'Planned in Nov Dec'!AY$3,'LOI and Commissioning Master Sh'!$W:$W,"Yes")</f>
        <v>0</v>
      </c>
      <c r="AZ6" s="147">
        <f t="shared" si="6"/>
        <v>3</v>
      </c>
      <c r="BC6" s="138"/>
    </row>
    <row r="7" spans="1:55" ht="15.75" thickBot="1" x14ac:dyDescent="0.3">
      <c r="A7" s="145" t="s">
        <v>150</v>
      </c>
      <c r="B7" s="146">
        <f>+COUNTIFS('LOI and Commissioning Master Sh'!$D:$D,'Planned in Nov Dec'!$A7,'LOI and Commissioning Master Sh'!$G:$G,'Planned in Nov Dec'!B$3)</f>
        <v>10</v>
      </c>
      <c r="C7" s="146">
        <f>+COUNTIFS('LOI and Commissioning Master Sh'!$D:$D,'Planned in Nov Dec'!$A7,'LOI and Commissioning Master Sh'!$G:$G,'Planned in Nov Dec'!C$3)</f>
        <v>0</v>
      </c>
      <c r="D7" s="146">
        <f>+COUNTIFS('LOI and Commissioning Master Sh'!$D:$D,'Planned in Nov Dec'!$A7,'LOI and Commissioning Master Sh'!$G:$G,'Planned in Nov Dec'!D$3)</f>
        <v>1</v>
      </c>
      <c r="E7" s="146">
        <f>+COUNTIFS('LOI and Commissioning Master Sh'!$D:$D,'Planned in Nov Dec'!$A7,'LOI and Commissioning Master Sh'!$G:$G,'Planned in Nov Dec'!E$3)</f>
        <v>5</v>
      </c>
      <c r="F7" s="146">
        <f>+COUNTIFS('LOI and Commissioning Master Sh'!$D:$D,'Planned in Nov Dec'!$A7,'LOI and Commissioning Master Sh'!$G:$G,'Planned in Nov Dec'!F$3)</f>
        <v>0</v>
      </c>
      <c r="G7" s="146">
        <f>+COUNTIFS('LOI and Commissioning Master Sh'!$D:$D,'Planned in Nov Dec'!$A7,'LOI and Commissioning Master Sh'!$G:$G,'Planned in Nov Dec'!G$3)</f>
        <v>0</v>
      </c>
      <c r="H7" s="147">
        <f t="shared" si="0"/>
        <v>16</v>
      </c>
      <c r="I7" s="151"/>
      <c r="J7" s="146">
        <f>+COUNTIFS('LOI and Commissioning Master Sh'!$D:$D,'Planned in Nov Dec'!$A7,'LOI and Commissioning Master Sh'!$CJ:$CJ,'Planned in Nov Dec'!J$3)</f>
        <v>0</v>
      </c>
      <c r="K7" s="146">
        <f>+COUNTIFS('LOI and Commissioning Master Sh'!$D:$D,'Planned in Nov Dec'!$A7,'LOI and Commissioning Master Sh'!$CJ:$CJ,'Planned in Nov Dec'!K$3)</f>
        <v>12</v>
      </c>
      <c r="L7" s="146">
        <f>+COUNTIFS('LOI and Commissioning Master Sh'!$D:$D,'Planned in Nov Dec'!$A7,'LOI and Commissioning Master Sh'!$CJ:$CJ,'Planned in Nov Dec'!L$3)</f>
        <v>0</v>
      </c>
      <c r="M7" s="146">
        <f>+COUNTIFS('LOI and Commissioning Master Sh'!$D:$D,'Planned in Nov Dec'!$A7,'LOI and Commissioning Master Sh'!$CJ:$CJ,'Planned in Nov Dec'!M$3)</f>
        <v>2</v>
      </c>
      <c r="N7" s="146">
        <f>+COUNTIFS('LOI and Commissioning Master Sh'!$D:$D,'Planned in Nov Dec'!$A7,'LOI and Commissioning Master Sh'!$CJ:$CJ,'Planned in Nov Dec'!N$3)</f>
        <v>2</v>
      </c>
      <c r="O7" s="146">
        <f>+COUNTIFS('LOI and Commissioning Master Sh'!$D:$D,'Planned in Nov Dec'!$A7,'LOI and Commissioning Master Sh'!$CJ:$CJ,'Planned in Nov Dec'!O$3)</f>
        <v>0</v>
      </c>
      <c r="P7" s="150">
        <f t="shared" si="1"/>
        <v>16</v>
      </c>
      <c r="Q7" s="151"/>
      <c r="R7" s="146">
        <f>+COUNTIFS('LOI and Commissioning Master Sh'!$D:$D,'Planned in Nov Dec'!$A7,'LOI and Commissioning Master Sh'!$G:$G,'Planned in Nov Dec'!R$3,'LOI and Commissioning Master Sh'!$X:$X,"Yes")</f>
        <v>5</v>
      </c>
      <c r="S7" s="146">
        <f>+COUNTIFS('LOI and Commissioning Master Sh'!$D:$D,'Planned in Nov Dec'!$A7,'LOI and Commissioning Master Sh'!$G:$G,'Planned in Nov Dec'!S$3,'LOI and Commissioning Master Sh'!$X:$X,"Yes")</f>
        <v>0</v>
      </c>
      <c r="T7" s="146">
        <f>+COUNTIFS('LOI and Commissioning Master Sh'!$D:$D,'Planned in Nov Dec'!$A7,'LOI and Commissioning Master Sh'!$G:$G,'Planned in Nov Dec'!T$3,'LOI and Commissioning Master Sh'!$X:$X,"Yes")</f>
        <v>0</v>
      </c>
      <c r="U7" s="146">
        <f>+COUNTIFS('LOI and Commissioning Master Sh'!$D:$D,'Planned in Nov Dec'!$A7,'LOI and Commissioning Master Sh'!$G:$G,'Planned in Nov Dec'!U$3,'LOI and Commissioning Master Sh'!$X:$X,"Yes")</f>
        <v>1</v>
      </c>
      <c r="V7" s="146">
        <f>+COUNTIFS('LOI and Commissioning Master Sh'!$D:$D,'Planned in Nov Dec'!$A7,'LOI and Commissioning Master Sh'!$G:$G,'Planned in Nov Dec'!V$3,'LOI and Commissioning Master Sh'!$X:$X,"Yes")</f>
        <v>0</v>
      </c>
      <c r="W7" s="146">
        <f>+COUNTIFS('LOI and Commissioning Master Sh'!$D:$D,'Planned in Nov Dec'!$A7,'LOI and Commissioning Master Sh'!$G:$G,'Planned in Nov Dec'!W$3,'LOI and Commissioning Master Sh'!$X:$X,"Yes")</f>
        <v>0</v>
      </c>
      <c r="X7" s="147">
        <f t="shared" si="2"/>
        <v>6</v>
      </c>
      <c r="Z7" s="146">
        <f>+COUNTIFS('LOI and Commissioning Master Sh'!$D:$D,'Planned in Nov Dec'!$A7,'LOI and Commissioning Master Sh'!$CJ:$CJ,'Planned in Nov Dec'!Z$3,'LOI and Commissioning Master Sh'!$X:$X,"Yes")</f>
        <v>0</v>
      </c>
      <c r="AA7" s="146">
        <f>+COUNTIFS('LOI and Commissioning Master Sh'!$D:$D,'Planned in Nov Dec'!$A7,'LOI and Commissioning Master Sh'!$CJ:$CJ,'Planned in Nov Dec'!AA$3,'LOI and Commissioning Master Sh'!$X:$X,"Yes")</f>
        <v>4</v>
      </c>
      <c r="AB7" s="146">
        <f>+COUNTIFS('LOI and Commissioning Master Sh'!$D:$D,'Planned in Nov Dec'!$A7,'LOI and Commissioning Master Sh'!$CJ:$CJ,'Planned in Nov Dec'!AB$3,'LOI and Commissioning Master Sh'!$X:$X,"Yes")</f>
        <v>0</v>
      </c>
      <c r="AC7" s="146">
        <f>+COUNTIFS('LOI and Commissioning Master Sh'!$D:$D,'Planned in Nov Dec'!$A7,'LOI and Commissioning Master Sh'!$CJ:$CJ,'Planned in Nov Dec'!AC$3,'LOI and Commissioning Master Sh'!$X:$X,"Yes")</f>
        <v>1</v>
      </c>
      <c r="AD7" s="146">
        <f>+COUNTIFS('LOI and Commissioning Master Sh'!$D:$D,'Planned in Nov Dec'!$A7,'LOI and Commissioning Master Sh'!$CJ:$CJ,'Planned in Nov Dec'!AD$3,'LOI and Commissioning Master Sh'!$X:$X,"Yes")</f>
        <v>1</v>
      </c>
      <c r="AE7" s="150">
        <f t="shared" si="3"/>
        <v>6</v>
      </c>
      <c r="AH7" s="146">
        <f>+COUNTIFS('LOI and Commissioning Master Sh'!$D:$D,'Planned in Nov Dec'!$A7,'LOI and Commissioning Master Sh'!$W:$W,"Yes")</f>
        <v>7</v>
      </c>
      <c r="AI7" s="146">
        <f>+COUNTIFS('LOI and Commissioning Master Sh'!$D:$D,'Planned in Nov Dec'!$A7,'LOI and Commissioning Master Sh'!$W:$W,"No")</f>
        <v>9</v>
      </c>
      <c r="AJ7" s="147">
        <f t="shared" si="4"/>
        <v>16</v>
      </c>
      <c r="AL7" s="146">
        <f>+COUNTIFS('LOI and Commissioning Master Sh'!$D:$D,'Planned in Nov Dec'!$A7,'LOI and Commissioning Master Sh'!$W:$W,"No",'LOI and Commissioning Master Sh'!$G:$G,'Planned in Nov Dec'!AL$3)</f>
        <v>5</v>
      </c>
      <c r="AM7" s="146">
        <f>+COUNTIFS('LOI and Commissioning Master Sh'!$D:$D,'Planned in Nov Dec'!$A7,'LOI and Commissioning Master Sh'!$W:$W,"No",'LOI and Commissioning Master Sh'!$G:$G,'Planned in Nov Dec'!AM$3)</f>
        <v>0</v>
      </c>
      <c r="AN7" s="146">
        <f>+COUNTIFS('LOI and Commissioning Master Sh'!$D:$D,'Planned in Nov Dec'!$A7,'LOI and Commissioning Master Sh'!$W:$W,"No",'LOI and Commissioning Master Sh'!$G:$G,'Planned in Nov Dec'!AN$3)</f>
        <v>1</v>
      </c>
      <c r="AO7" s="146">
        <f>+COUNTIFS('LOI and Commissioning Master Sh'!$D:$D,'Planned in Nov Dec'!$A7,'LOI and Commissioning Master Sh'!$W:$W,"No",'LOI and Commissioning Master Sh'!$G:$G,'Planned in Nov Dec'!AO$3)</f>
        <v>3</v>
      </c>
      <c r="AP7" s="146">
        <f>+COUNTIFS('LOI and Commissioning Master Sh'!$D:$D,'Planned in Nov Dec'!$A7,'LOI and Commissioning Master Sh'!$W:$W,"No",'LOI and Commissioning Master Sh'!$G:$G,'Planned in Nov Dec'!AP$3)</f>
        <v>0</v>
      </c>
      <c r="AQ7" s="146">
        <f>+COUNTIFS('LOI and Commissioning Master Sh'!$D:$D,'Planned in Nov Dec'!$A7,'LOI and Commissioning Master Sh'!$W:$W,"No",'LOI and Commissioning Master Sh'!$G:$G,'Planned in Nov Dec'!AQ$3)</f>
        <v>0</v>
      </c>
      <c r="AR7" s="147">
        <f t="shared" si="5"/>
        <v>9</v>
      </c>
      <c r="AT7" s="146">
        <f>+COUNTIFS('LOI and Commissioning Master Sh'!$D:$D,'Planned in Nov Dec'!$A7,'LOI and Commissioning Master Sh'!$G:$G,'Planned in Nov Dec'!AT$3,'LOI and Commissioning Master Sh'!$W:$W,"Yes")</f>
        <v>5</v>
      </c>
      <c r="AU7" s="146">
        <f>+COUNTIFS('LOI and Commissioning Master Sh'!$D:$D,'Planned in Nov Dec'!$A7,'LOI and Commissioning Master Sh'!$G:$G,'Planned in Nov Dec'!AU$3,'LOI and Commissioning Master Sh'!$W:$W,"Yes")</f>
        <v>0</v>
      </c>
      <c r="AV7" s="146">
        <f>+COUNTIFS('LOI and Commissioning Master Sh'!$D:$D,'Planned in Nov Dec'!$A7,'LOI and Commissioning Master Sh'!$G:$G,'Planned in Nov Dec'!AV$3,'LOI and Commissioning Master Sh'!$W:$W,"Yes")</f>
        <v>0</v>
      </c>
      <c r="AW7" s="146">
        <f>+COUNTIFS('LOI and Commissioning Master Sh'!$D:$D,'Planned in Nov Dec'!$A7,'LOI and Commissioning Master Sh'!$G:$G,'Planned in Nov Dec'!AW$3,'LOI and Commissioning Master Sh'!$W:$W,"Yes")</f>
        <v>2</v>
      </c>
      <c r="AX7" s="146">
        <f>+COUNTIFS('LOI and Commissioning Master Sh'!$D:$D,'Planned in Nov Dec'!$A7,'LOI and Commissioning Master Sh'!$G:$G,'Planned in Nov Dec'!AX$3,'LOI and Commissioning Master Sh'!$W:$W,"Yes")</f>
        <v>0</v>
      </c>
      <c r="AY7" s="146">
        <f>+COUNTIFS('LOI and Commissioning Master Sh'!$D:$D,'Planned in Nov Dec'!$A7,'LOI and Commissioning Master Sh'!$G:$G,'Planned in Nov Dec'!AY$3,'LOI and Commissioning Master Sh'!$W:$W,"Yes")</f>
        <v>0</v>
      </c>
      <c r="AZ7" s="147">
        <f t="shared" si="6"/>
        <v>7</v>
      </c>
      <c r="BC7" s="138"/>
    </row>
    <row r="8" spans="1:55" ht="15.75" thickBot="1" x14ac:dyDescent="0.3">
      <c r="A8" s="145" t="s">
        <v>121</v>
      </c>
      <c r="B8" s="146">
        <f>+COUNTIFS('LOI and Commissioning Master Sh'!$D:$D,'Planned in Nov Dec'!$A8,'LOI and Commissioning Master Sh'!$G:$G,'Planned in Nov Dec'!B$3)</f>
        <v>0</v>
      </c>
      <c r="C8" s="146">
        <f>+COUNTIFS('LOI and Commissioning Master Sh'!$D:$D,'Planned in Nov Dec'!$A8,'LOI and Commissioning Master Sh'!$G:$G,'Planned in Nov Dec'!C$3)</f>
        <v>0</v>
      </c>
      <c r="D8" s="146">
        <f>+COUNTIFS('LOI and Commissioning Master Sh'!$D:$D,'Planned in Nov Dec'!$A8,'LOI and Commissioning Master Sh'!$G:$G,'Planned in Nov Dec'!D$3)</f>
        <v>0</v>
      </c>
      <c r="E8" s="146">
        <f>+COUNTIFS('LOI and Commissioning Master Sh'!$D:$D,'Planned in Nov Dec'!$A8,'LOI and Commissioning Master Sh'!$G:$G,'Planned in Nov Dec'!E$3)</f>
        <v>18</v>
      </c>
      <c r="F8" s="146">
        <f>+COUNTIFS('LOI and Commissioning Master Sh'!$D:$D,'Planned in Nov Dec'!$A8,'LOI and Commissioning Master Sh'!$G:$G,'Planned in Nov Dec'!F$3)</f>
        <v>4</v>
      </c>
      <c r="G8" s="146">
        <f>+COUNTIFS('LOI and Commissioning Master Sh'!$D:$D,'Planned in Nov Dec'!$A8,'LOI and Commissioning Master Sh'!$G:$G,'Planned in Nov Dec'!G$3)</f>
        <v>6</v>
      </c>
      <c r="H8" s="147">
        <f t="shared" si="0"/>
        <v>28</v>
      </c>
      <c r="I8" s="151"/>
      <c r="J8" s="146">
        <f>+COUNTIFS('LOI and Commissioning Master Sh'!$D:$D,'Planned in Nov Dec'!$A8,'LOI and Commissioning Master Sh'!$CJ:$CJ,'Planned in Nov Dec'!J$3)</f>
        <v>0</v>
      </c>
      <c r="K8" s="146">
        <f>+COUNTIFS('LOI and Commissioning Master Sh'!$D:$D,'Planned in Nov Dec'!$A8,'LOI and Commissioning Master Sh'!$CJ:$CJ,'Planned in Nov Dec'!K$3)</f>
        <v>12</v>
      </c>
      <c r="L8" s="146">
        <f>+COUNTIFS('LOI and Commissioning Master Sh'!$D:$D,'Planned in Nov Dec'!$A8,'LOI and Commissioning Master Sh'!$CJ:$CJ,'Planned in Nov Dec'!L$3)</f>
        <v>5</v>
      </c>
      <c r="M8" s="146">
        <f>+COUNTIFS('LOI and Commissioning Master Sh'!$D:$D,'Planned in Nov Dec'!$A8,'LOI and Commissioning Master Sh'!$CJ:$CJ,'Planned in Nov Dec'!M$3)</f>
        <v>7</v>
      </c>
      <c r="N8" s="146">
        <f>+COUNTIFS('LOI and Commissioning Master Sh'!$D:$D,'Planned in Nov Dec'!$A8,'LOI and Commissioning Master Sh'!$CJ:$CJ,'Planned in Nov Dec'!N$3)</f>
        <v>4</v>
      </c>
      <c r="O8" s="146">
        <f>+COUNTIFS('LOI and Commissioning Master Sh'!$D:$D,'Planned in Nov Dec'!$A8,'LOI and Commissioning Master Sh'!$CJ:$CJ,'Planned in Nov Dec'!O$3)</f>
        <v>0</v>
      </c>
      <c r="P8" s="150">
        <f t="shared" si="1"/>
        <v>28</v>
      </c>
      <c r="Q8" s="151"/>
      <c r="R8" s="146">
        <f>+COUNTIFS('LOI and Commissioning Master Sh'!$D:$D,'Planned in Nov Dec'!$A8,'LOI and Commissioning Master Sh'!$G:$G,'Planned in Nov Dec'!R$3,'LOI and Commissioning Master Sh'!$X:$X,"Yes")</f>
        <v>0</v>
      </c>
      <c r="S8" s="146">
        <f>+COUNTIFS('LOI and Commissioning Master Sh'!$D:$D,'Planned in Nov Dec'!$A8,'LOI and Commissioning Master Sh'!$G:$G,'Planned in Nov Dec'!S$3,'LOI and Commissioning Master Sh'!$X:$X,"Yes")</f>
        <v>0</v>
      </c>
      <c r="T8" s="146">
        <f>+COUNTIFS('LOI and Commissioning Master Sh'!$D:$D,'Planned in Nov Dec'!$A8,'LOI and Commissioning Master Sh'!$G:$G,'Planned in Nov Dec'!T$3,'LOI and Commissioning Master Sh'!$X:$X,"Yes")</f>
        <v>0</v>
      </c>
      <c r="U8" s="146">
        <f>+COUNTIFS('LOI and Commissioning Master Sh'!$D:$D,'Planned in Nov Dec'!$A8,'LOI and Commissioning Master Sh'!$G:$G,'Planned in Nov Dec'!U$3,'LOI and Commissioning Master Sh'!$X:$X,"Yes")</f>
        <v>7</v>
      </c>
      <c r="V8" s="146">
        <f>+COUNTIFS('LOI and Commissioning Master Sh'!$D:$D,'Planned in Nov Dec'!$A8,'LOI and Commissioning Master Sh'!$G:$G,'Planned in Nov Dec'!V$3,'LOI and Commissioning Master Sh'!$X:$X,"Yes")</f>
        <v>0</v>
      </c>
      <c r="W8" s="146">
        <f>+COUNTIFS('LOI and Commissioning Master Sh'!$D:$D,'Planned in Nov Dec'!$A8,'LOI and Commissioning Master Sh'!$G:$G,'Planned in Nov Dec'!W$3,'LOI and Commissioning Master Sh'!$X:$X,"Yes")</f>
        <v>2</v>
      </c>
      <c r="X8" s="147">
        <f t="shared" si="2"/>
        <v>9</v>
      </c>
      <c r="Z8" s="146">
        <f>+COUNTIFS('LOI and Commissioning Master Sh'!$D:$D,'Planned in Nov Dec'!$A8,'LOI and Commissioning Master Sh'!$CJ:$CJ,'Planned in Nov Dec'!Z$3,'LOI and Commissioning Master Sh'!$X:$X,"Yes")</f>
        <v>0</v>
      </c>
      <c r="AA8" s="146">
        <f>+COUNTIFS('LOI and Commissioning Master Sh'!$D:$D,'Planned in Nov Dec'!$A8,'LOI and Commissioning Master Sh'!$CJ:$CJ,'Planned in Nov Dec'!AA$3,'LOI and Commissioning Master Sh'!$X:$X,"Yes")</f>
        <v>5</v>
      </c>
      <c r="AB8" s="146">
        <f>+COUNTIFS('LOI and Commissioning Master Sh'!$D:$D,'Planned in Nov Dec'!$A8,'LOI and Commissioning Master Sh'!$CJ:$CJ,'Planned in Nov Dec'!AB$3,'LOI and Commissioning Master Sh'!$X:$X,"Yes")</f>
        <v>1</v>
      </c>
      <c r="AC8" s="146">
        <f>+COUNTIFS('LOI and Commissioning Master Sh'!$D:$D,'Planned in Nov Dec'!$A8,'LOI and Commissioning Master Sh'!$CJ:$CJ,'Planned in Nov Dec'!AC$3,'LOI and Commissioning Master Sh'!$X:$X,"Yes")</f>
        <v>2</v>
      </c>
      <c r="AD8" s="146">
        <f>+COUNTIFS('LOI and Commissioning Master Sh'!$D:$D,'Planned in Nov Dec'!$A8,'LOI and Commissioning Master Sh'!$CJ:$CJ,'Planned in Nov Dec'!AD$3,'LOI and Commissioning Master Sh'!$X:$X,"Yes")</f>
        <v>1</v>
      </c>
      <c r="AE8" s="150">
        <f t="shared" si="3"/>
        <v>9</v>
      </c>
      <c r="AH8" s="146">
        <f>+COUNTIFS('LOI and Commissioning Master Sh'!$D:$D,'Planned in Nov Dec'!$A8,'LOI and Commissioning Master Sh'!$W:$W,"Yes")</f>
        <v>13</v>
      </c>
      <c r="AI8" s="146">
        <f>+COUNTIFS('LOI and Commissioning Master Sh'!$D:$D,'Planned in Nov Dec'!$A8,'LOI and Commissioning Master Sh'!$W:$W,"No")</f>
        <v>15</v>
      </c>
      <c r="AJ8" s="147">
        <f t="shared" si="4"/>
        <v>28</v>
      </c>
      <c r="AL8" s="146">
        <f>+COUNTIFS('LOI and Commissioning Master Sh'!$D:$D,'Planned in Nov Dec'!$A8,'LOI and Commissioning Master Sh'!$W:$W,"No",'LOI and Commissioning Master Sh'!$G:$G,'Planned in Nov Dec'!AL$3)</f>
        <v>0</v>
      </c>
      <c r="AM8" s="146">
        <f>+COUNTIFS('LOI and Commissioning Master Sh'!$D:$D,'Planned in Nov Dec'!$A8,'LOI and Commissioning Master Sh'!$W:$W,"No",'LOI and Commissioning Master Sh'!$G:$G,'Planned in Nov Dec'!AM$3)</f>
        <v>0</v>
      </c>
      <c r="AN8" s="146">
        <f>+COUNTIFS('LOI and Commissioning Master Sh'!$D:$D,'Planned in Nov Dec'!$A8,'LOI and Commissioning Master Sh'!$W:$W,"No",'LOI and Commissioning Master Sh'!$G:$G,'Planned in Nov Dec'!AN$3)</f>
        <v>0</v>
      </c>
      <c r="AO8" s="146">
        <f>+COUNTIFS('LOI and Commissioning Master Sh'!$D:$D,'Planned in Nov Dec'!$A8,'LOI and Commissioning Master Sh'!$W:$W,"No",'LOI and Commissioning Master Sh'!$G:$G,'Planned in Nov Dec'!AO$3)</f>
        <v>8</v>
      </c>
      <c r="AP8" s="146">
        <f>+COUNTIFS('LOI and Commissioning Master Sh'!$D:$D,'Planned in Nov Dec'!$A8,'LOI and Commissioning Master Sh'!$W:$W,"No",'LOI and Commissioning Master Sh'!$G:$G,'Planned in Nov Dec'!AP$3)</f>
        <v>4</v>
      </c>
      <c r="AQ8" s="146">
        <f>+COUNTIFS('LOI and Commissioning Master Sh'!$D:$D,'Planned in Nov Dec'!$A8,'LOI and Commissioning Master Sh'!$W:$W,"No",'LOI and Commissioning Master Sh'!$G:$G,'Planned in Nov Dec'!AQ$3)</f>
        <v>3</v>
      </c>
      <c r="AR8" s="147">
        <f t="shared" si="5"/>
        <v>15</v>
      </c>
      <c r="AT8" s="146">
        <f>+COUNTIFS('LOI and Commissioning Master Sh'!$D:$D,'Planned in Nov Dec'!$A8,'LOI and Commissioning Master Sh'!$G:$G,'Planned in Nov Dec'!AT$3,'LOI and Commissioning Master Sh'!$W:$W,"Yes")</f>
        <v>0</v>
      </c>
      <c r="AU8" s="146">
        <f>+COUNTIFS('LOI and Commissioning Master Sh'!$D:$D,'Planned in Nov Dec'!$A8,'LOI and Commissioning Master Sh'!$G:$G,'Planned in Nov Dec'!AU$3,'LOI and Commissioning Master Sh'!$W:$W,"Yes")</f>
        <v>0</v>
      </c>
      <c r="AV8" s="146">
        <f>+COUNTIFS('LOI and Commissioning Master Sh'!$D:$D,'Planned in Nov Dec'!$A8,'LOI and Commissioning Master Sh'!$G:$G,'Planned in Nov Dec'!AV$3,'LOI and Commissioning Master Sh'!$W:$W,"Yes")</f>
        <v>0</v>
      </c>
      <c r="AW8" s="146">
        <f>+COUNTIFS('LOI and Commissioning Master Sh'!$D:$D,'Planned in Nov Dec'!$A8,'LOI and Commissioning Master Sh'!$G:$G,'Planned in Nov Dec'!AW$3,'LOI and Commissioning Master Sh'!$W:$W,"Yes")</f>
        <v>10</v>
      </c>
      <c r="AX8" s="146">
        <f>+COUNTIFS('LOI and Commissioning Master Sh'!$D:$D,'Planned in Nov Dec'!$A8,'LOI and Commissioning Master Sh'!$G:$G,'Planned in Nov Dec'!AX$3,'LOI and Commissioning Master Sh'!$W:$W,"Yes")</f>
        <v>0</v>
      </c>
      <c r="AY8" s="146">
        <f>+COUNTIFS('LOI and Commissioning Master Sh'!$D:$D,'Planned in Nov Dec'!$A8,'LOI and Commissioning Master Sh'!$G:$G,'Planned in Nov Dec'!AY$3,'LOI and Commissioning Master Sh'!$W:$W,"Yes")</f>
        <v>3</v>
      </c>
      <c r="AZ8" s="147">
        <f t="shared" si="6"/>
        <v>13</v>
      </c>
      <c r="BC8" s="138"/>
    </row>
    <row r="9" spans="1:55" ht="15.75" thickBot="1" x14ac:dyDescent="0.3">
      <c r="A9" s="145" t="s">
        <v>220</v>
      </c>
      <c r="B9" s="146">
        <f>+COUNTIFS('LOI and Commissioning Master Sh'!$D:$D,'Planned in Nov Dec'!$A9,'LOI and Commissioning Master Sh'!$G:$G,'Planned in Nov Dec'!B$3)</f>
        <v>0</v>
      </c>
      <c r="C9" s="146">
        <f>+COUNTIFS('LOI and Commissioning Master Sh'!$D:$D,'Planned in Nov Dec'!$A9,'LOI and Commissioning Master Sh'!$G:$G,'Planned in Nov Dec'!C$3)</f>
        <v>0</v>
      </c>
      <c r="D9" s="146">
        <f>+COUNTIFS('LOI and Commissioning Master Sh'!$D:$D,'Planned in Nov Dec'!$A9,'LOI and Commissioning Master Sh'!$G:$G,'Planned in Nov Dec'!D$3)</f>
        <v>1</v>
      </c>
      <c r="E9" s="146">
        <f>+COUNTIFS('LOI and Commissioning Master Sh'!$D:$D,'Planned in Nov Dec'!$A9,'LOI and Commissioning Master Sh'!$G:$G,'Planned in Nov Dec'!E$3)</f>
        <v>19</v>
      </c>
      <c r="F9" s="146">
        <f>+COUNTIFS('LOI and Commissioning Master Sh'!$D:$D,'Planned in Nov Dec'!$A9,'LOI and Commissioning Master Sh'!$G:$G,'Planned in Nov Dec'!F$3)</f>
        <v>13</v>
      </c>
      <c r="G9" s="146">
        <f>+COUNTIFS('LOI and Commissioning Master Sh'!$D:$D,'Planned in Nov Dec'!$A9,'LOI and Commissioning Master Sh'!$G:$G,'Planned in Nov Dec'!G$3)</f>
        <v>1</v>
      </c>
      <c r="H9" s="147">
        <f t="shared" si="0"/>
        <v>34</v>
      </c>
      <c r="I9" s="151"/>
      <c r="J9" s="146">
        <f>+COUNTIFS('LOI and Commissioning Master Sh'!$D:$D,'Planned in Nov Dec'!$A9,'LOI and Commissioning Master Sh'!$CJ:$CJ,'Planned in Nov Dec'!J$3)</f>
        <v>0</v>
      </c>
      <c r="K9" s="146">
        <f>+COUNTIFS('LOI and Commissioning Master Sh'!$D:$D,'Planned in Nov Dec'!$A9,'LOI and Commissioning Master Sh'!$CJ:$CJ,'Planned in Nov Dec'!K$3)</f>
        <v>21</v>
      </c>
      <c r="L9" s="146">
        <f>+COUNTIFS('LOI and Commissioning Master Sh'!$D:$D,'Planned in Nov Dec'!$A9,'LOI and Commissioning Master Sh'!$CJ:$CJ,'Planned in Nov Dec'!L$3)</f>
        <v>4</v>
      </c>
      <c r="M9" s="146">
        <f>+COUNTIFS('LOI and Commissioning Master Sh'!$D:$D,'Planned in Nov Dec'!$A9,'LOI and Commissioning Master Sh'!$CJ:$CJ,'Planned in Nov Dec'!M$3)</f>
        <v>5</v>
      </c>
      <c r="N9" s="146">
        <f>+COUNTIFS('LOI and Commissioning Master Sh'!$D:$D,'Planned in Nov Dec'!$A9,'LOI and Commissioning Master Sh'!$CJ:$CJ,'Planned in Nov Dec'!N$3)</f>
        <v>4</v>
      </c>
      <c r="O9" s="146">
        <f>+COUNTIFS('LOI and Commissioning Master Sh'!$D:$D,'Planned in Nov Dec'!$A9,'LOI and Commissioning Master Sh'!$CJ:$CJ,'Planned in Nov Dec'!O$3)</f>
        <v>0</v>
      </c>
      <c r="P9" s="150">
        <f t="shared" si="1"/>
        <v>34</v>
      </c>
      <c r="Q9" s="151"/>
      <c r="R9" s="146">
        <f>+COUNTIFS('LOI and Commissioning Master Sh'!$D:$D,'Planned in Nov Dec'!$A9,'LOI and Commissioning Master Sh'!$G:$G,'Planned in Nov Dec'!R$3,'LOI and Commissioning Master Sh'!$X:$X,"Yes")</f>
        <v>0</v>
      </c>
      <c r="S9" s="146">
        <f>+COUNTIFS('LOI and Commissioning Master Sh'!$D:$D,'Planned in Nov Dec'!$A9,'LOI and Commissioning Master Sh'!$G:$G,'Planned in Nov Dec'!S$3,'LOI and Commissioning Master Sh'!$X:$X,"Yes")</f>
        <v>0</v>
      </c>
      <c r="T9" s="146">
        <f>+COUNTIFS('LOI and Commissioning Master Sh'!$D:$D,'Planned in Nov Dec'!$A9,'LOI and Commissioning Master Sh'!$G:$G,'Planned in Nov Dec'!T$3,'LOI and Commissioning Master Sh'!$X:$X,"Yes")</f>
        <v>0</v>
      </c>
      <c r="U9" s="146">
        <f>+COUNTIFS('LOI and Commissioning Master Sh'!$D:$D,'Planned in Nov Dec'!$A9,'LOI and Commissioning Master Sh'!$G:$G,'Planned in Nov Dec'!U$3,'LOI and Commissioning Master Sh'!$X:$X,"Yes")</f>
        <v>3</v>
      </c>
      <c r="V9" s="146">
        <f>+COUNTIFS('LOI and Commissioning Master Sh'!$D:$D,'Planned in Nov Dec'!$A9,'LOI and Commissioning Master Sh'!$G:$G,'Planned in Nov Dec'!V$3,'LOI and Commissioning Master Sh'!$X:$X,"Yes")</f>
        <v>5</v>
      </c>
      <c r="W9" s="146">
        <f>+COUNTIFS('LOI and Commissioning Master Sh'!$D:$D,'Planned in Nov Dec'!$A9,'LOI and Commissioning Master Sh'!$G:$G,'Planned in Nov Dec'!W$3,'LOI and Commissioning Master Sh'!$X:$X,"Yes")</f>
        <v>0</v>
      </c>
      <c r="X9" s="147">
        <f t="shared" si="2"/>
        <v>8</v>
      </c>
      <c r="Z9" s="146">
        <f>+COUNTIFS('LOI and Commissioning Master Sh'!$D:$D,'Planned in Nov Dec'!$A9,'LOI and Commissioning Master Sh'!$CJ:$CJ,'Planned in Nov Dec'!Z$3,'LOI and Commissioning Master Sh'!$X:$X,"Yes")</f>
        <v>0</v>
      </c>
      <c r="AA9" s="146">
        <f>+COUNTIFS('LOI and Commissioning Master Sh'!$D:$D,'Planned in Nov Dec'!$A9,'LOI and Commissioning Master Sh'!$CJ:$CJ,'Planned in Nov Dec'!AA$3,'LOI and Commissioning Master Sh'!$X:$X,"Yes")</f>
        <v>5</v>
      </c>
      <c r="AB9" s="146">
        <f>+COUNTIFS('LOI and Commissioning Master Sh'!$D:$D,'Planned in Nov Dec'!$A9,'LOI and Commissioning Master Sh'!$CJ:$CJ,'Planned in Nov Dec'!AB$3,'LOI and Commissioning Master Sh'!$X:$X,"Yes")</f>
        <v>1</v>
      </c>
      <c r="AC9" s="146">
        <f>+COUNTIFS('LOI and Commissioning Master Sh'!$D:$D,'Planned in Nov Dec'!$A9,'LOI and Commissioning Master Sh'!$CJ:$CJ,'Planned in Nov Dec'!AC$3,'LOI and Commissioning Master Sh'!$X:$X,"Yes")</f>
        <v>0</v>
      </c>
      <c r="AD9" s="146">
        <f>+COUNTIFS('LOI and Commissioning Master Sh'!$D:$D,'Planned in Nov Dec'!$A9,'LOI and Commissioning Master Sh'!$CJ:$CJ,'Planned in Nov Dec'!AD$3,'LOI and Commissioning Master Sh'!$X:$X,"Yes")</f>
        <v>2</v>
      </c>
      <c r="AE9" s="150">
        <f t="shared" si="3"/>
        <v>8</v>
      </c>
      <c r="AH9" s="146">
        <f>+COUNTIFS('LOI and Commissioning Master Sh'!$D:$D,'Planned in Nov Dec'!$A9,'LOI and Commissioning Master Sh'!$W:$W,"Yes")</f>
        <v>15</v>
      </c>
      <c r="AI9" s="146">
        <f>+COUNTIFS('LOI and Commissioning Master Sh'!$D:$D,'Planned in Nov Dec'!$A9,'LOI and Commissioning Master Sh'!$W:$W,"No")</f>
        <v>19</v>
      </c>
      <c r="AJ9" s="147">
        <f t="shared" si="4"/>
        <v>34</v>
      </c>
      <c r="AL9" s="146">
        <f>+COUNTIFS('LOI and Commissioning Master Sh'!$D:$D,'Planned in Nov Dec'!$A9,'LOI and Commissioning Master Sh'!$W:$W,"No",'LOI and Commissioning Master Sh'!$G:$G,'Planned in Nov Dec'!AL$3)</f>
        <v>0</v>
      </c>
      <c r="AM9" s="146">
        <f>+COUNTIFS('LOI and Commissioning Master Sh'!$D:$D,'Planned in Nov Dec'!$A9,'LOI and Commissioning Master Sh'!$W:$W,"No",'LOI and Commissioning Master Sh'!$G:$G,'Planned in Nov Dec'!AM$3)</f>
        <v>0</v>
      </c>
      <c r="AN9" s="146">
        <f>+COUNTIFS('LOI and Commissioning Master Sh'!$D:$D,'Planned in Nov Dec'!$A9,'LOI and Commissioning Master Sh'!$W:$W,"No",'LOI and Commissioning Master Sh'!$G:$G,'Planned in Nov Dec'!AN$3)</f>
        <v>1</v>
      </c>
      <c r="AO9" s="146">
        <f>+COUNTIFS('LOI and Commissioning Master Sh'!$D:$D,'Planned in Nov Dec'!$A9,'LOI and Commissioning Master Sh'!$W:$W,"No",'LOI and Commissioning Master Sh'!$G:$G,'Planned in Nov Dec'!AO$3)</f>
        <v>11</v>
      </c>
      <c r="AP9" s="146">
        <f>+COUNTIFS('LOI and Commissioning Master Sh'!$D:$D,'Planned in Nov Dec'!$A9,'LOI and Commissioning Master Sh'!$W:$W,"No",'LOI and Commissioning Master Sh'!$G:$G,'Planned in Nov Dec'!AP$3)</f>
        <v>6</v>
      </c>
      <c r="AQ9" s="146">
        <f>+COUNTIFS('LOI and Commissioning Master Sh'!$D:$D,'Planned in Nov Dec'!$A9,'LOI and Commissioning Master Sh'!$W:$W,"No",'LOI and Commissioning Master Sh'!$G:$G,'Planned in Nov Dec'!AQ$3)</f>
        <v>1</v>
      </c>
      <c r="AR9" s="147">
        <f t="shared" si="5"/>
        <v>19</v>
      </c>
      <c r="AT9" s="146">
        <f>+COUNTIFS('LOI and Commissioning Master Sh'!$D:$D,'Planned in Nov Dec'!$A9,'LOI and Commissioning Master Sh'!$G:$G,'Planned in Nov Dec'!AT$3,'LOI and Commissioning Master Sh'!$W:$W,"Yes")</f>
        <v>0</v>
      </c>
      <c r="AU9" s="146">
        <f>+COUNTIFS('LOI and Commissioning Master Sh'!$D:$D,'Planned in Nov Dec'!$A9,'LOI and Commissioning Master Sh'!$G:$G,'Planned in Nov Dec'!AU$3,'LOI and Commissioning Master Sh'!$W:$W,"Yes")</f>
        <v>0</v>
      </c>
      <c r="AV9" s="146">
        <f>+COUNTIFS('LOI and Commissioning Master Sh'!$D:$D,'Planned in Nov Dec'!$A9,'LOI and Commissioning Master Sh'!$G:$G,'Planned in Nov Dec'!AV$3,'LOI and Commissioning Master Sh'!$W:$W,"Yes")</f>
        <v>0</v>
      </c>
      <c r="AW9" s="146">
        <f>+COUNTIFS('LOI and Commissioning Master Sh'!$D:$D,'Planned in Nov Dec'!$A9,'LOI and Commissioning Master Sh'!$G:$G,'Planned in Nov Dec'!AW$3,'LOI and Commissioning Master Sh'!$W:$W,"Yes")</f>
        <v>8</v>
      </c>
      <c r="AX9" s="146">
        <f>+COUNTIFS('LOI and Commissioning Master Sh'!$D:$D,'Planned in Nov Dec'!$A9,'LOI and Commissioning Master Sh'!$G:$G,'Planned in Nov Dec'!AX$3,'LOI and Commissioning Master Sh'!$W:$W,"Yes")</f>
        <v>7</v>
      </c>
      <c r="AY9" s="146">
        <f>+COUNTIFS('LOI and Commissioning Master Sh'!$D:$D,'Planned in Nov Dec'!$A9,'LOI and Commissioning Master Sh'!$G:$G,'Planned in Nov Dec'!AY$3,'LOI and Commissioning Master Sh'!$W:$W,"Yes")</f>
        <v>0</v>
      </c>
      <c r="AZ9" s="147">
        <f t="shared" si="6"/>
        <v>15</v>
      </c>
      <c r="BC9" s="138"/>
    </row>
    <row r="10" spans="1:55" ht="15.75" thickBot="1" x14ac:dyDescent="0.3">
      <c r="A10" s="145" t="s">
        <v>398</v>
      </c>
      <c r="B10" s="146">
        <f>+COUNTIFS('LOI and Commissioning Master Sh'!$D:$D,'Planned in Nov Dec'!$A10,'LOI and Commissioning Master Sh'!$G:$G,'Planned in Nov Dec'!B$3)</f>
        <v>1</v>
      </c>
      <c r="C10" s="146">
        <f>+COUNTIFS('LOI and Commissioning Master Sh'!$D:$D,'Planned in Nov Dec'!$A10,'LOI and Commissioning Master Sh'!$G:$G,'Planned in Nov Dec'!C$3)</f>
        <v>0</v>
      </c>
      <c r="D10" s="146">
        <f>+COUNTIFS('LOI and Commissioning Master Sh'!$D:$D,'Planned in Nov Dec'!$A10,'LOI and Commissioning Master Sh'!$G:$G,'Planned in Nov Dec'!D$3)</f>
        <v>0</v>
      </c>
      <c r="E10" s="146">
        <f>+COUNTIFS('LOI and Commissioning Master Sh'!$D:$D,'Planned in Nov Dec'!$A10,'LOI and Commissioning Master Sh'!$G:$G,'Planned in Nov Dec'!E$3)</f>
        <v>12</v>
      </c>
      <c r="F10" s="146">
        <f>+COUNTIFS('LOI and Commissioning Master Sh'!$D:$D,'Planned in Nov Dec'!$A10,'LOI and Commissioning Master Sh'!$G:$G,'Planned in Nov Dec'!F$3)</f>
        <v>1</v>
      </c>
      <c r="G10" s="146">
        <f>+COUNTIFS('LOI and Commissioning Master Sh'!$D:$D,'Planned in Nov Dec'!$A10,'LOI and Commissioning Master Sh'!$G:$G,'Planned in Nov Dec'!G$3)</f>
        <v>3</v>
      </c>
      <c r="H10" s="147">
        <f t="shared" si="0"/>
        <v>17</v>
      </c>
      <c r="I10" s="151"/>
      <c r="J10" s="146">
        <f>+COUNTIFS('LOI and Commissioning Master Sh'!$D:$D,'Planned in Nov Dec'!$A10,'LOI and Commissioning Master Sh'!$CJ:$CJ,'Planned in Nov Dec'!J$3)</f>
        <v>0</v>
      </c>
      <c r="K10" s="146">
        <f>+COUNTIFS('LOI and Commissioning Master Sh'!$D:$D,'Planned in Nov Dec'!$A10,'LOI and Commissioning Master Sh'!$CJ:$CJ,'Planned in Nov Dec'!K$3)</f>
        <v>5</v>
      </c>
      <c r="L10" s="146">
        <f>+COUNTIFS('LOI and Commissioning Master Sh'!$D:$D,'Planned in Nov Dec'!$A10,'LOI and Commissioning Master Sh'!$CJ:$CJ,'Planned in Nov Dec'!L$3)</f>
        <v>3</v>
      </c>
      <c r="M10" s="146">
        <f>+COUNTIFS('LOI and Commissioning Master Sh'!$D:$D,'Planned in Nov Dec'!$A10,'LOI and Commissioning Master Sh'!$CJ:$CJ,'Planned in Nov Dec'!M$3)</f>
        <v>7</v>
      </c>
      <c r="N10" s="146">
        <f>+COUNTIFS('LOI and Commissioning Master Sh'!$D:$D,'Planned in Nov Dec'!$A10,'LOI and Commissioning Master Sh'!$CJ:$CJ,'Planned in Nov Dec'!N$3)</f>
        <v>2</v>
      </c>
      <c r="O10" s="146">
        <f>+COUNTIFS('LOI and Commissioning Master Sh'!$D:$D,'Planned in Nov Dec'!$A10,'LOI and Commissioning Master Sh'!$CJ:$CJ,'Planned in Nov Dec'!O$3)</f>
        <v>0</v>
      </c>
      <c r="P10" s="150">
        <f t="shared" si="1"/>
        <v>17</v>
      </c>
      <c r="Q10" s="151"/>
      <c r="R10" s="146">
        <f>+COUNTIFS('LOI and Commissioning Master Sh'!$D:$D,'Planned in Nov Dec'!$A10,'LOI and Commissioning Master Sh'!$G:$G,'Planned in Nov Dec'!R$3,'LOI and Commissioning Master Sh'!$X:$X,"Yes")</f>
        <v>0</v>
      </c>
      <c r="S10" s="146">
        <f>+COUNTIFS('LOI and Commissioning Master Sh'!$D:$D,'Planned in Nov Dec'!$A10,'LOI and Commissioning Master Sh'!$G:$G,'Planned in Nov Dec'!S$3,'LOI and Commissioning Master Sh'!$X:$X,"Yes")</f>
        <v>0</v>
      </c>
      <c r="T10" s="146">
        <f>+COUNTIFS('LOI and Commissioning Master Sh'!$D:$D,'Planned in Nov Dec'!$A10,'LOI and Commissioning Master Sh'!$G:$G,'Planned in Nov Dec'!T$3,'LOI and Commissioning Master Sh'!$X:$X,"Yes")</f>
        <v>0</v>
      </c>
      <c r="U10" s="146">
        <f>+COUNTIFS('LOI and Commissioning Master Sh'!$D:$D,'Planned in Nov Dec'!$A10,'LOI and Commissioning Master Sh'!$G:$G,'Planned in Nov Dec'!U$3,'LOI and Commissioning Master Sh'!$X:$X,"Yes")</f>
        <v>2</v>
      </c>
      <c r="V10" s="146">
        <f>+COUNTIFS('LOI and Commissioning Master Sh'!$D:$D,'Planned in Nov Dec'!$A10,'LOI and Commissioning Master Sh'!$G:$G,'Planned in Nov Dec'!V$3,'LOI and Commissioning Master Sh'!$X:$X,"Yes")</f>
        <v>0</v>
      </c>
      <c r="W10" s="146">
        <f>+COUNTIFS('LOI and Commissioning Master Sh'!$D:$D,'Planned in Nov Dec'!$A10,'LOI and Commissioning Master Sh'!$G:$G,'Planned in Nov Dec'!W$3,'LOI and Commissioning Master Sh'!$X:$X,"Yes")</f>
        <v>1</v>
      </c>
      <c r="X10" s="147">
        <f t="shared" si="2"/>
        <v>3</v>
      </c>
      <c r="Z10" s="146">
        <f>+COUNTIFS('LOI and Commissioning Master Sh'!$D:$D,'Planned in Nov Dec'!$A10,'LOI and Commissioning Master Sh'!$CJ:$CJ,'Planned in Nov Dec'!Z$3,'LOI and Commissioning Master Sh'!$X:$X,"Yes")</f>
        <v>0</v>
      </c>
      <c r="AA10" s="146">
        <f>+COUNTIFS('LOI and Commissioning Master Sh'!$D:$D,'Planned in Nov Dec'!$A10,'LOI and Commissioning Master Sh'!$CJ:$CJ,'Planned in Nov Dec'!AA$3,'LOI and Commissioning Master Sh'!$X:$X,"Yes")</f>
        <v>1</v>
      </c>
      <c r="AB10" s="146">
        <f>+COUNTIFS('LOI and Commissioning Master Sh'!$D:$D,'Planned in Nov Dec'!$A10,'LOI and Commissioning Master Sh'!$CJ:$CJ,'Planned in Nov Dec'!AB$3,'LOI and Commissioning Master Sh'!$X:$X,"Yes")</f>
        <v>0</v>
      </c>
      <c r="AC10" s="146">
        <f>+COUNTIFS('LOI and Commissioning Master Sh'!$D:$D,'Planned in Nov Dec'!$A10,'LOI and Commissioning Master Sh'!$CJ:$CJ,'Planned in Nov Dec'!AC$3,'LOI and Commissioning Master Sh'!$X:$X,"Yes")</f>
        <v>2</v>
      </c>
      <c r="AD10" s="146">
        <f>+COUNTIFS('LOI and Commissioning Master Sh'!$D:$D,'Planned in Nov Dec'!$A10,'LOI and Commissioning Master Sh'!$CJ:$CJ,'Planned in Nov Dec'!AD$3,'LOI and Commissioning Master Sh'!$X:$X,"Yes")</f>
        <v>0</v>
      </c>
      <c r="AE10" s="150">
        <f t="shared" si="3"/>
        <v>3</v>
      </c>
      <c r="AH10" s="146">
        <f>+COUNTIFS('LOI and Commissioning Master Sh'!$D:$D,'Planned in Nov Dec'!$A10,'LOI and Commissioning Master Sh'!$W:$W,"Yes")</f>
        <v>9</v>
      </c>
      <c r="AI10" s="146">
        <f>+COUNTIFS('LOI and Commissioning Master Sh'!$D:$D,'Planned in Nov Dec'!$A10,'LOI and Commissioning Master Sh'!$W:$W,"No")</f>
        <v>8</v>
      </c>
      <c r="AJ10" s="147">
        <f t="shared" si="4"/>
        <v>17</v>
      </c>
      <c r="AL10" s="146">
        <f>+COUNTIFS('LOI and Commissioning Master Sh'!$D:$D,'Planned in Nov Dec'!$A10,'LOI and Commissioning Master Sh'!$W:$W,"No",'LOI and Commissioning Master Sh'!$G:$G,'Planned in Nov Dec'!AL$3)</f>
        <v>1</v>
      </c>
      <c r="AM10" s="146">
        <f>+COUNTIFS('LOI and Commissioning Master Sh'!$D:$D,'Planned in Nov Dec'!$A10,'LOI and Commissioning Master Sh'!$W:$W,"No",'LOI and Commissioning Master Sh'!$G:$G,'Planned in Nov Dec'!AM$3)</f>
        <v>0</v>
      </c>
      <c r="AN10" s="146">
        <f>+COUNTIFS('LOI and Commissioning Master Sh'!$D:$D,'Planned in Nov Dec'!$A10,'LOI and Commissioning Master Sh'!$W:$W,"No",'LOI and Commissioning Master Sh'!$G:$G,'Planned in Nov Dec'!AN$3)</f>
        <v>0</v>
      </c>
      <c r="AO10" s="146">
        <f>+COUNTIFS('LOI and Commissioning Master Sh'!$D:$D,'Planned in Nov Dec'!$A10,'LOI and Commissioning Master Sh'!$W:$W,"No",'LOI and Commissioning Master Sh'!$G:$G,'Planned in Nov Dec'!AO$3)</f>
        <v>5</v>
      </c>
      <c r="AP10" s="146">
        <f>+COUNTIFS('LOI and Commissioning Master Sh'!$D:$D,'Planned in Nov Dec'!$A10,'LOI and Commissioning Master Sh'!$W:$W,"No",'LOI and Commissioning Master Sh'!$G:$G,'Planned in Nov Dec'!AP$3)</f>
        <v>1</v>
      </c>
      <c r="AQ10" s="146">
        <f>+COUNTIFS('LOI and Commissioning Master Sh'!$D:$D,'Planned in Nov Dec'!$A10,'LOI and Commissioning Master Sh'!$W:$W,"No",'LOI and Commissioning Master Sh'!$G:$G,'Planned in Nov Dec'!AQ$3)</f>
        <v>1</v>
      </c>
      <c r="AR10" s="147">
        <f t="shared" si="5"/>
        <v>8</v>
      </c>
      <c r="AT10" s="146">
        <f>+COUNTIFS('LOI and Commissioning Master Sh'!$D:$D,'Planned in Nov Dec'!$A10,'LOI and Commissioning Master Sh'!$G:$G,'Planned in Nov Dec'!AT$3,'LOI and Commissioning Master Sh'!$W:$W,"Yes")</f>
        <v>0</v>
      </c>
      <c r="AU10" s="146">
        <f>+COUNTIFS('LOI and Commissioning Master Sh'!$D:$D,'Planned in Nov Dec'!$A10,'LOI and Commissioning Master Sh'!$G:$G,'Planned in Nov Dec'!AU$3,'LOI and Commissioning Master Sh'!$W:$W,"Yes")</f>
        <v>0</v>
      </c>
      <c r="AV10" s="146">
        <f>+COUNTIFS('LOI and Commissioning Master Sh'!$D:$D,'Planned in Nov Dec'!$A10,'LOI and Commissioning Master Sh'!$G:$G,'Planned in Nov Dec'!AV$3,'LOI and Commissioning Master Sh'!$W:$W,"Yes")</f>
        <v>0</v>
      </c>
      <c r="AW10" s="146">
        <f>+COUNTIFS('LOI and Commissioning Master Sh'!$D:$D,'Planned in Nov Dec'!$A10,'LOI and Commissioning Master Sh'!$G:$G,'Planned in Nov Dec'!AW$3,'LOI and Commissioning Master Sh'!$W:$W,"Yes")</f>
        <v>7</v>
      </c>
      <c r="AX10" s="146">
        <f>+COUNTIFS('LOI and Commissioning Master Sh'!$D:$D,'Planned in Nov Dec'!$A10,'LOI and Commissioning Master Sh'!$G:$G,'Planned in Nov Dec'!AX$3,'LOI and Commissioning Master Sh'!$W:$W,"Yes")</f>
        <v>0</v>
      </c>
      <c r="AY10" s="146">
        <f>+COUNTIFS('LOI and Commissioning Master Sh'!$D:$D,'Planned in Nov Dec'!$A10,'LOI and Commissioning Master Sh'!$G:$G,'Planned in Nov Dec'!AY$3,'LOI and Commissioning Master Sh'!$W:$W,"Yes")</f>
        <v>2</v>
      </c>
      <c r="AZ10" s="147">
        <f t="shared" si="6"/>
        <v>9</v>
      </c>
      <c r="BC10" s="138"/>
    </row>
    <row r="11" spans="1:55" ht="15.75" thickBot="1" x14ac:dyDescent="0.3">
      <c r="A11" s="145" t="s">
        <v>99</v>
      </c>
      <c r="B11" s="146">
        <f>+COUNTIFS('LOI and Commissioning Master Sh'!$D:$D,'Planned in Nov Dec'!$A11,'LOI and Commissioning Master Sh'!$G:$G,'Planned in Nov Dec'!B$3)</f>
        <v>2</v>
      </c>
      <c r="C11" s="146">
        <f>+COUNTIFS('LOI and Commissioning Master Sh'!$D:$D,'Planned in Nov Dec'!$A11,'LOI and Commissioning Master Sh'!$G:$G,'Planned in Nov Dec'!C$3)</f>
        <v>0</v>
      </c>
      <c r="D11" s="146">
        <f>+COUNTIFS('LOI and Commissioning Master Sh'!$D:$D,'Planned in Nov Dec'!$A11,'LOI and Commissioning Master Sh'!$G:$G,'Planned in Nov Dec'!D$3)</f>
        <v>2</v>
      </c>
      <c r="E11" s="146">
        <f>+COUNTIFS('LOI and Commissioning Master Sh'!$D:$D,'Planned in Nov Dec'!$A11,'LOI and Commissioning Master Sh'!$G:$G,'Planned in Nov Dec'!E$3)</f>
        <v>15</v>
      </c>
      <c r="F11" s="146">
        <f>+COUNTIFS('LOI and Commissioning Master Sh'!$D:$D,'Planned in Nov Dec'!$A11,'LOI and Commissioning Master Sh'!$G:$G,'Planned in Nov Dec'!F$3)</f>
        <v>6</v>
      </c>
      <c r="G11" s="146">
        <f>+COUNTIFS('LOI and Commissioning Master Sh'!$D:$D,'Planned in Nov Dec'!$A11,'LOI and Commissioning Master Sh'!$G:$G,'Planned in Nov Dec'!G$3)</f>
        <v>4</v>
      </c>
      <c r="H11" s="147">
        <f t="shared" si="0"/>
        <v>29</v>
      </c>
      <c r="I11" s="151"/>
      <c r="J11" s="146">
        <f>+COUNTIFS('LOI and Commissioning Master Sh'!$D:$D,'Planned in Nov Dec'!$A11,'LOI and Commissioning Master Sh'!$CJ:$CJ,'Planned in Nov Dec'!J$3)</f>
        <v>2</v>
      </c>
      <c r="K11" s="146">
        <f>+COUNTIFS('LOI and Commissioning Master Sh'!$D:$D,'Planned in Nov Dec'!$A11,'LOI and Commissioning Master Sh'!$CJ:$CJ,'Planned in Nov Dec'!K$3)</f>
        <v>13</v>
      </c>
      <c r="L11" s="146">
        <f>+COUNTIFS('LOI and Commissioning Master Sh'!$D:$D,'Planned in Nov Dec'!$A11,'LOI and Commissioning Master Sh'!$CJ:$CJ,'Planned in Nov Dec'!L$3)</f>
        <v>4</v>
      </c>
      <c r="M11" s="146">
        <f>+COUNTIFS('LOI and Commissioning Master Sh'!$D:$D,'Planned in Nov Dec'!$A11,'LOI and Commissioning Master Sh'!$CJ:$CJ,'Planned in Nov Dec'!M$3)</f>
        <v>10</v>
      </c>
      <c r="N11" s="146">
        <f>+COUNTIFS('LOI and Commissioning Master Sh'!$D:$D,'Planned in Nov Dec'!$A11,'LOI and Commissioning Master Sh'!$CJ:$CJ,'Planned in Nov Dec'!N$3)</f>
        <v>0</v>
      </c>
      <c r="O11" s="146">
        <f>+COUNTIFS('LOI and Commissioning Master Sh'!$D:$D,'Planned in Nov Dec'!$A11,'LOI and Commissioning Master Sh'!$CJ:$CJ,'Planned in Nov Dec'!O$3)</f>
        <v>0</v>
      </c>
      <c r="P11" s="150">
        <f t="shared" si="1"/>
        <v>29</v>
      </c>
      <c r="Q11" s="151"/>
      <c r="R11" s="146">
        <f>+COUNTIFS('LOI and Commissioning Master Sh'!$D:$D,'Planned in Nov Dec'!$A11,'LOI and Commissioning Master Sh'!$G:$G,'Planned in Nov Dec'!R$3,'LOI and Commissioning Master Sh'!$X:$X,"Yes")</f>
        <v>1</v>
      </c>
      <c r="S11" s="146">
        <f>+COUNTIFS('LOI and Commissioning Master Sh'!$D:$D,'Planned in Nov Dec'!$A11,'LOI and Commissioning Master Sh'!$G:$G,'Planned in Nov Dec'!S$3,'LOI and Commissioning Master Sh'!$X:$X,"Yes")</f>
        <v>0</v>
      </c>
      <c r="T11" s="146">
        <f>+COUNTIFS('LOI and Commissioning Master Sh'!$D:$D,'Planned in Nov Dec'!$A11,'LOI and Commissioning Master Sh'!$G:$G,'Planned in Nov Dec'!T$3,'LOI and Commissioning Master Sh'!$X:$X,"Yes")</f>
        <v>0</v>
      </c>
      <c r="U11" s="146">
        <f>+COUNTIFS('LOI and Commissioning Master Sh'!$D:$D,'Planned in Nov Dec'!$A11,'LOI and Commissioning Master Sh'!$G:$G,'Planned in Nov Dec'!U$3,'LOI and Commissioning Master Sh'!$X:$X,"Yes")</f>
        <v>6</v>
      </c>
      <c r="V11" s="146">
        <f>+COUNTIFS('LOI and Commissioning Master Sh'!$D:$D,'Planned in Nov Dec'!$A11,'LOI and Commissioning Master Sh'!$G:$G,'Planned in Nov Dec'!V$3,'LOI and Commissioning Master Sh'!$X:$X,"Yes")</f>
        <v>2</v>
      </c>
      <c r="W11" s="146">
        <f>+COUNTIFS('LOI and Commissioning Master Sh'!$D:$D,'Planned in Nov Dec'!$A11,'LOI and Commissioning Master Sh'!$G:$G,'Planned in Nov Dec'!W$3,'LOI and Commissioning Master Sh'!$X:$X,"Yes")</f>
        <v>2</v>
      </c>
      <c r="X11" s="147">
        <f t="shared" si="2"/>
        <v>11</v>
      </c>
      <c r="Z11" s="146">
        <f>+COUNTIFS('LOI and Commissioning Master Sh'!$D:$D,'Planned in Nov Dec'!$A11,'LOI and Commissioning Master Sh'!$CJ:$CJ,'Planned in Nov Dec'!Z$3,'LOI and Commissioning Master Sh'!$X:$X,"Yes")</f>
        <v>0</v>
      </c>
      <c r="AA11" s="146">
        <f>+COUNTIFS('LOI and Commissioning Master Sh'!$D:$D,'Planned in Nov Dec'!$A11,'LOI and Commissioning Master Sh'!$CJ:$CJ,'Planned in Nov Dec'!AA$3,'LOI and Commissioning Master Sh'!$X:$X,"Yes")</f>
        <v>7</v>
      </c>
      <c r="AB11" s="146">
        <f>+COUNTIFS('LOI and Commissioning Master Sh'!$D:$D,'Planned in Nov Dec'!$A11,'LOI and Commissioning Master Sh'!$CJ:$CJ,'Planned in Nov Dec'!AB$3,'LOI and Commissioning Master Sh'!$X:$X,"Yes")</f>
        <v>1</v>
      </c>
      <c r="AC11" s="146">
        <f>+COUNTIFS('LOI and Commissioning Master Sh'!$D:$D,'Planned in Nov Dec'!$A11,'LOI and Commissioning Master Sh'!$CJ:$CJ,'Planned in Nov Dec'!AC$3,'LOI and Commissioning Master Sh'!$X:$X,"Yes")</f>
        <v>3</v>
      </c>
      <c r="AD11" s="146">
        <f>+COUNTIFS('LOI and Commissioning Master Sh'!$D:$D,'Planned in Nov Dec'!$A11,'LOI and Commissioning Master Sh'!$CJ:$CJ,'Planned in Nov Dec'!AD$3,'LOI and Commissioning Master Sh'!$X:$X,"Yes")</f>
        <v>0</v>
      </c>
      <c r="AE11" s="150">
        <f t="shared" si="3"/>
        <v>11</v>
      </c>
      <c r="AH11" s="146">
        <f>+COUNTIFS('LOI and Commissioning Master Sh'!$D:$D,'Planned in Nov Dec'!$A11,'LOI and Commissioning Master Sh'!$W:$W,"Yes")</f>
        <v>17</v>
      </c>
      <c r="AI11" s="146">
        <f>+COUNTIFS('LOI and Commissioning Master Sh'!$D:$D,'Planned in Nov Dec'!$A11,'LOI and Commissioning Master Sh'!$W:$W,"No")</f>
        <v>12</v>
      </c>
      <c r="AJ11" s="147">
        <f t="shared" si="4"/>
        <v>29</v>
      </c>
      <c r="AL11" s="146">
        <f>+COUNTIFS('LOI and Commissioning Master Sh'!$D:$D,'Planned in Nov Dec'!$A11,'LOI and Commissioning Master Sh'!$W:$W,"No",'LOI and Commissioning Master Sh'!$G:$G,'Planned in Nov Dec'!AL$3)</f>
        <v>0</v>
      </c>
      <c r="AM11" s="146">
        <f>+COUNTIFS('LOI and Commissioning Master Sh'!$D:$D,'Planned in Nov Dec'!$A11,'LOI and Commissioning Master Sh'!$W:$W,"No",'LOI and Commissioning Master Sh'!$G:$G,'Planned in Nov Dec'!AM$3)</f>
        <v>0</v>
      </c>
      <c r="AN11" s="146">
        <f>+COUNTIFS('LOI and Commissioning Master Sh'!$D:$D,'Planned in Nov Dec'!$A11,'LOI and Commissioning Master Sh'!$W:$W,"No",'LOI and Commissioning Master Sh'!$G:$G,'Planned in Nov Dec'!AN$3)</f>
        <v>2</v>
      </c>
      <c r="AO11" s="146">
        <f>+COUNTIFS('LOI and Commissioning Master Sh'!$D:$D,'Planned in Nov Dec'!$A11,'LOI and Commissioning Master Sh'!$W:$W,"No",'LOI and Commissioning Master Sh'!$G:$G,'Planned in Nov Dec'!AO$3)</f>
        <v>5</v>
      </c>
      <c r="AP11" s="146">
        <f>+COUNTIFS('LOI and Commissioning Master Sh'!$D:$D,'Planned in Nov Dec'!$A11,'LOI and Commissioning Master Sh'!$W:$W,"No",'LOI and Commissioning Master Sh'!$G:$G,'Planned in Nov Dec'!AP$3)</f>
        <v>3</v>
      </c>
      <c r="AQ11" s="146">
        <f>+COUNTIFS('LOI and Commissioning Master Sh'!$D:$D,'Planned in Nov Dec'!$A11,'LOI and Commissioning Master Sh'!$W:$W,"No",'LOI and Commissioning Master Sh'!$G:$G,'Planned in Nov Dec'!AQ$3)</f>
        <v>2</v>
      </c>
      <c r="AR11" s="147">
        <f t="shared" si="5"/>
        <v>12</v>
      </c>
      <c r="AT11" s="146">
        <f>+COUNTIFS('LOI and Commissioning Master Sh'!$D:$D,'Planned in Nov Dec'!$A11,'LOI and Commissioning Master Sh'!$G:$G,'Planned in Nov Dec'!AT$3,'LOI and Commissioning Master Sh'!$W:$W,"Yes")</f>
        <v>2</v>
      </c>
      <c r="AU11" s="146">
        <f>+COUNTIFS('LOI and Commissioning Master Sh'!$D:$D,'Planned in Nov Dec'!$A11,'LOI and Commissioning Master Sh'!$G:$G,'Planned in Nov Dec'!AU$3,'LOI and Commissioning Master Sh'!$W:$W,"Yes")</f>
        <v>0</v>
      </c>
      <c r="AV11" s="146">
        <f>+COUNTIFS('LOI and Commissioning Master Sh'!$D:$D,'Planned in Nov Dec'!$A11,'LOI and Commissioning Master Sh'!$G:$G,'Planned in Nov Dec'!AV$3,'LOI and Commissioning Master Sh'!$W:$W,"Yes")</f>
        <v>0</v>
      </c>
      <c r="AW11" s="146">
        <f>+COUNTIFS('LOI and Commissioning Master Sh'!$D:$D,'Planned in Nov Dec'!$A11,'LOI and Commissioning Master Sh'!$G:$G,'Planned in Nov Dec'!AW$3,'LOI and Commissioning Master Sh'!$W:$W,"Yes")</f>
        <v>10</v>
      </c>
      <c r="AX11" s="146">
        <f>+COUNTIFS('LOI and Commissioning Master Sh'!$D:$D,'Planned in Nov Dec'!$A11,'LOI and Commissioning Master Sh'!$G:$G,'Planned in Nov Dec'!AX$3,'LOI and Commissioning Master Sh'!$W:$W,"Yes")</f>
        <v>3</v>
      </c>
      <c r="AY11" s="146">
        <f>+COUNTIFS('LOI and Commissioning Master Sh'!$D:$D,'Planned in Nov Dec'!$A11,'LOI and Commissioning Master Sh'!$G:$G,'Planned in Nov Dec'!AY$3,'LOI and Commissioning Master Sh'!$W:$W,"Yes")</f>
        <v>2</v>
      </c>
      <c r="AZ11" s="147">
        <f t="shared" si="6"/>
        <v>17</v>
      </c>
      <c r="BC11" s="138"/>
    </row>
    <row r="12" spans="1:55" ht="15.75" thickBot="1" x14ac:dyDescent="0.3">
      <c r="A12" s="145" t="s">
        <v>141</v>
      </c>
      <c r="B12" s="146">
        <f>+COUNTIFS('LOI and Commissioning Master Sh'!$D:$D,'Planned in Nov Dec'!$A12,'LOI and Commissioning Master Sh'!$G:$G,'Planned in Nov Dec'!B$3)</f>
        <v>0</v>
      </c>
      <c r="C12" s="146">
        <f>+COUNTIFS('LOI and Commissioning Master Sh'!$D:$D,'Planned in Nov Dec'!$A12,'LOI and Commissioning Master Sh'!$G:$G,'Planned in Nov Dec'!C$3)</f>
        <v>0</v>
      </c>
      <c r="D12" s="146">
        <f>+COUNTIFS('LOI and Commissioning Master Sh'!$D:$D,'Planned in Nov Dec'!$A12,'LOI and Commissioning Master Sh'!$G:$G,'Planned in Nov Dec'!D$3)</f>
        <v>1</v>
      </c>
      <c r="E12" s="146">
        <f>+COUNTIFS('LOI and Commissioning Master Sh'!$D:$D,'Planned in Nov Dec'!$A12,'LOI and Commissioning Master Sh'!$G:$G,'Planned in Nov Dec'!E$3)</f>
        <v>19</v>
      </c>
      <c r="F12" s="146">
        <f>+COUNTIFS('LOI and Commissioning Master Sh'!$D:$D,'Planned in Nov Dec'!$A12,'LOI and Commissioning Master Sh'!$G:$G,'Planned in Nov Dec'!F$3)</f>
        <v>4</v>
      </c>
      <c r="G12" s="146">
        <f>+COUNTIFS('LOI and Commissioning Master Sh'!$D:$D,'Planned in Nov Dec'!$A12,'LOI and Commissioning Master Sh'!$G:$G,'Planned in Nov Dec'!G$3)</f>
        <v>1</v>
      </c>
      <c r="H12" s="147">
        <f t="shared" si="0"/>
        <v>25</v>
      </c>
      <c r="I12" s="151"/>
      <c r="J12" s="146">
        <f>+COUNTIFS('LOI and Commissioning Master Sh'!$D:$D,'Planned in Nov Dec'!$A12,'LOI and Commissioning Master Sh'!$CJ:$CJ,'Planned in Nov Dec'!J$3)</f>
        <v>2</v>
      </c>
      <c r="K12" s="146">
        <f>+COUNTIFS('LOI and Commissioning Master Sh'!$D:$D,'Planned in Nov Dec'!$A12,'LOI and Commissioning Master Sh'!$CJ:$CJ,'Planned in Nov Dec'!K$3)</f>
        <v>9</v>
      </c>
      <c r="L12" s="146">
        <f>+COUNTIFS('LOI and Commissioning Master Sh'!$D:$D,'Planned in Nov Dec'!$A12,'LOI and Commissioning Master Sh'!$CJ:$CJ,'Planned in Nov Dec'!L$3)</f>
        <v>6</v>
      </c>
      <c r="M12" s="146">
        <f>+COUNTIFS('LOI and Commissioning Master Sh'!$D:$D,'Planned in Nov Dec'!$A12,'LOI and Commissioning Master Sh'!$CJ:$CJ,'Planned in Nov Dec'!M$3)</f>
        <v>6</v>
      </c>
      <c r="N12" s="146">
        <f>+COUNTIFS('LOI and Commissioning Master Sh'!$D:$D,'Planned in Nov Dec'!$A12,'LOI and Commissioning Master Sh'!$CJ:$CJ,'Planned in Nov Dec'!N$3)</f>
        <v>2</v>
      </c>
      <c r="O12" s="146">
        <f>+COUNTIFS('LOI and Commissioning Master Sh'!$D:$D,'Planned in Nov Dec'!$A12,'LOI and Commissioning Master Sh'!$CJ:$CJ,'Planned in Nov Dec'!O$3)</f>
        <v>0</v>
      </c>
      <c r="P12" s="150">
        <f t="shared" si="1"/>
        <v>25</v>
      </c>
      <c r="Q12" s="151"/>
      <c r="R12" s="146">
        <f>+COUNTIFS('LOI and Commissioning Master Sh'!$D:$D,'Planned in Nov Dec'!$A12,'LOI and Commissioning Master Sh'!$G:$G,'Planned in Nov Dec'!R$3,'LOI and Commissioning Master Sh'!$X:$X,"Yes")</f>
        <v>0</v>
      </c>
      <c r="S12" s="146">
        <f>+COUNTIFS('LOI and Commissioning Master Sh'!$D:$D,'Planned in Nov Dec'!$A12,'LOI and Commissioning Master Sh'!$G:$G,'Planned in Nov Dec'!S$3,'LOI and Commissioning Master Sh'!$X:$X,"Yes")</f>
        <v>0</v>
      </c>
      <c r="T12" s="146">
        <f>+COUNTIFS('LOI and Commissioning Master Sh'!$D:$D,'Planned in Nov Dec'!$A12,'LOI and Commissioning Master Sh'!$G:$G,'Planned in Nov Dec'!T$3,'LOI and Commissioning Master Sh'!$X:$X,"Yes")</f>
        <v>0</v>
      </c>
      <c r="U12" s="146">
        <f>+COUNTIFS('LOI and Commissioning Master Sh'!$D:$D,'Planned in Nov Dec'!$A12,'LOI and Commissioning Master Sh'!$G:$G,'Planned in Nov Dec'!U$3,'LOI and Commissioning Master Sh'!$X:$X,"Yes")</f>
        <v>4</v>
      </c>
      <c r="V12" s="146">
        <f>+COUNTIFS('LOI and Commissioning Master Sh'!$D:$D,'Planned in Nov Dec'!$A12,'LOI and Commissioning Master Sh'!$G:$G,'Planned in Nov Dec'!V$3,'LOI and Commissioning Master Sh'!$X:$X,"Yes")</f>
        <v>1</v>
      </c>
      <c r="W12" s="146">
        <f>+COUNTIFS('LOI and Commissioning Master Sh'!$D:$D,'Planned in Nov Dec'!$A12,'LOI and Commissioning Master Sh'!$G:$G,'Planned in Nov Dec'!W$3,'LOI and Commissioning Master Sh'!$X:$X,"Yes")</f>
        <v>0</v>
      </c>
      <c r="X12" s="147">
        <f t="shared" si="2"/>
        <v>5</v>
      </c>
      <c r="Z12" s="146">
        <f>+COUNTIFS('LOI and Commissioning Master Sh'!$D:$D,'Planned in Nov Dec'!$A12,'LOI and Commissioning Master Sh'!$CJ:$CJ,'Planned in Nov Dec'!Z$3,'LOI and Commissioning Master Sh'!$X:$X,"Yes")</f>
        <v>0</v>
      </c>
      <c r="AA12" s="146">
        <f>+COUNTIFS('LOI and Commissioning Master Sh'!$D:$D,'Planned in Nov Dec'!$A12,'LOI and Commissioning Master Sh'!$CJ:$CJ,'Planned in Nov Dec'!AA$3,'LOI and Commissioning Master Sh'!$X:$X,"Yes")</f>
        <v>3</v>
      </c>
      <c r="AB12" s="146">
        <f>+COUNTIFS('LOI and Commissioning Master Sh'!$D:$D,'Planned in Nov Dec'!$A12,'LOI and Commissioning Master Sh'!$CJ:$CJ,'Planned in Nov Dec'!AB$3,'LOI and Commissioning Master Sh'!$X:$X,"Yes")</f>
        <v>0</v>
      </c>
      <c r="AC12" s="146">
        <f>+COUNTIFS('LOI and Commissioning Master Sh'!$D:$D,'Planned in Nov Dec'!$A12,'LOI and Commissioning Master Sh'!$CJ:$CJ,'Planned in Nov Dec'!AC$3,'LOI and Commissioning Master Sh'!$X:$X,"Yes")</f>
        <v>1</v>
      </c>
      <c r="AD12" s="146">
        <f>+COUNTIFS('LOI and Commissioning Master Sh'!$D:$D,'Planned in Nov Dec'!$A12,'LOI and Commissioning Master Sh'!$CJ:$CJ,'Planned in Nov Dec'!AD$3,'LOI and Commissioning Master Sh'!$X:$X,"Yes")</f>
        <v>1</v>
      </c>
      <c r="AE12" s="150">
        <f t="shared" si="3"/>
        <v>5</v>
      </c>
      <c r="AH12" s="146">
        <f>+COUNTIFS('LOI and Commissioning Master Sh'!$D:$D,'Planned in Nov Dec'!$A12,'LOI and Commissioning Master Sh'!$W:$W,"Yes")</f>
        <v>9</v>
      </c>
      <c r="AI12" s="146">
        <f>+COUNTIFS('LOI and Commissioning Master Sh'!$D:$D,'Planned in Nov Dec'!$A12,'LOI and Commissioning Master Sh'!$W:$W,"No")</f>
        <v>16</v>
      </c>
      <c r="AJ12" s="147">
        <f t="shared" si="4"/>
        <v>25</v>
      </c>
      <c r="AL12" s="146">
        <f>+COUNTIFS('LOI and Commissioning Master Sh'!$D:$D,'Planned in Nov Dec'!$A12,'LOI and Commissioning Master Sh'!$W:$W,"No",'LOI and Commissioning Master Sh'!$G:$G,'Planned in Nov Dec'!AL$3)</f>
        <v>0</v>
      </c>
      <c r="AM12" s="146">
        <f>+COUNTIFS('LOI and Commissioning Master Sh'!$D:$D,'Planned in Nov Dec'!$A12,'LOI and Commissioning Master Sh'!$W:$W,"No",'LOI and Commissioning Master Sh'!$G:$G,'Planned in Nov Dec'!AM$3)</f>
        <v>0</v>
      </c>
      <c r="AN12" s="146">
        <f>+COUNTIFS('LOI and Commissioning Master Sh'!$D:$D,'Planned in Nov Dec'!$A12,'LOI and Commissioning Master Sh'!$W:$W,"No",'LOI and Commissioning Master Sh'!$G:$G,'Planned in Nov Dec'!AN$3)</f>
        <v>1</v>
      </c>
      <c r="AO12" s="146">
        <f>+COUNTIFS('LOI and Commissioning Master Sh'!$D:$D,'Planned in Nov Dec'!$A12,'LOI and Commissioning Master Sh'!$W:$W,"No",'LOI and Commissioning Master Sh'!$G:$G,'Planned in Nov Dec'!AO$3)</f>
        <v>11</v>
      </c>
      <c r="AP12" s="146">
        <f>+COUNTIFS('LOI and Commissioning Master Sh'!$D:$D,'Planned in Nov Dec'!$A12,'LOI and Commissioning Master Sh'!$W:$W,"No",'LOI and Commissioning Master Sh'!$G:$G,'Planned in Nov Dec'!AP$3)</f>
        <v>3</v>
      </c>
      <c r="AQ12" s="146">
        <f>+COUNTIFS('LOI and Commissioning Master Sh'!$D:$D,'Planned in Nov Dec'!$A12,'LOI and Commissioning Master Sh'!$W:$W,"No",'LOI and Commissioning Master Sh'!$G:$G,'Planned in Nov Dec'!AQ$3)</f>
        <v>1</v>
      </c>
      <c r="AR12" s="147">
        <f t="shared" si="5"/>
        <v>16</v>
      </c>
      <c r="AT12" s="146">
        <f>+COUNTIFS('LOI and Commissioning Master Sh'!$D:$D,'Planned in Nov Dec'!$A12,'LOI and Commissioning Master Sh'!$G:$G,'Planned in Nov Dec'!AT$3,'LOI and Commissioning Master Sh'!$W:$W,"Yes")</f>
        <v>0</v>
      </c>
      <c r="AU12" s="146">
        <f>+COUNTIFS('LOI and Commissioning Master Sh'!$D:$D,'Planned in Nov Dec'!$A12,'LOI and Commissioning Master Sh'!$G:$G,'Planned in Nov Dec'!AU$3,'LOI and Commissioning Master Sh'!$W:$W,"Yes")</f>
        <v>0</v>
      </c>
      <c r="AV12" s="146">
        <f>+COUNTIFS('LOI and Commissioning Master Sh'!$D:$D,'Planned in Nov Dec'!$A12,'LOI and Commissioning Master Sh'!$G:$G,'Planned in Nov Dec'!AV$3,'LOI and Commissioning Master Sh'!$W:$W,"Yes")</f>
        <v>0</v>
      </c>
      <c r="AW12" s="146">
        <f>+COUNTIFS('LOI and Commissioning Master Sh'!$D:$D,'Planned in Nov Dec'!$A12,'LOI and Commissioning Master Sh'!$G:$G,'Planned in Nov Dec'!AW$3,'LOI and Commissioning Master Sh'!$W:$W,"Yes")</f>
        <v>8</v>
      </c>
      <c r="AX12" s="146">
        <f>+COUNTIFS('LOI and Commissioning Master Sh'!$D:$D,'Planned in Nov Dec'!$A12,'LOI and Commissioning Master Sh'!$G:$G,'Planned in Nov Dec'!AX$3,'LOI and Commissioning Master Sh'!$W:$W,"Yes")</f>
        <v>1</v>
      </c>
      <c r="AY12" s="146">
        <f>+COUNTIFS('LOI and Commissioning Master Sh'!$D:$D,'Planned in Nov Dec'!$A12,'LOI and Commissioning Master Sh'!$G:$G,'Planned in Nov Dec'!AY$3,'LOI and Commissioning Master Sh'!$W:$W,"Yes")</f>
        <v>0</v>
      </c>
      <c r="AZ12" s="147">
        <f t="shared" si="6"/>
        <v>9</v>
      </c>
      <c r="BC12" s="138"/>
    </row>
    <row r="13" spans="1:55" ht="15.75" thickBot="1" x14ac:dyDescent="0.3">
      <c r="A13" s="145" t="s">
        <v>135</v>
      </c>
      <c r="B13" s="146">
        <f>+COUNTIFS('LOI and Commissioning Master Sh'!$D:$D,'Planned in Nov Dec'!$A13,'LOI and Commissioning Master Sh'!$G:$G,'Planned in Nov Dec'!B$3)</f>
        <v>0</v>
      </c>
      <c r="C13" s="146">
        <f>+COUNTIFS('LOI and Commissioning Master Sh'!$D:$D,'Planned in Nov Dec'!$A13,'LOI and Commissioning Master Sh'!$G:$G,'Planned in Nov Dec'!C$3)</f>
        <v>0</v>
      </c>
      <c r="D13" s="146">
        <f>+COUNTIFS('LOI and Commissioning Master Sh'!$D:$D,'Planned in Nov Dec'!$A13,'LOI and Commissioning Master Sh'!$G:$G,'Planned in Nov Dec'!D$3)</f>
        <v>4</v>
      </c>
      <c r="E13" s="146">
        <f>+COUNTIFS('LOI and Commissioning Master Sh'!$D:$D,'Planned in Nov Dec'!$A13,'LOI and Commissioning Master Sh'!$G:$G,'Planned in Nov Dec'!E$3)</f>
        <v>15</v>
      </c>
      <c r="F13" s="146">
        <f>+COUNTIFS('LOI and Commissioning Master Sh'!$D:$D,'Planned in Nov Dec'!$A13,'LOI and Commissioning Master Sh'!$G:$G,'Planned in Nov Dec'!F$3)</f>
        <v>9</v>
      </c>
      <c r="G13" s="146">
        <f>+COUNTIFS('LOI and Commissioning Master Sh'!$D:$D,'Planned in Nov Dec'!$A13,'LOI and Commissioning Master Sh'!$G:$G,'Planned in Nov Dec'!G$3)</f>
        <v>3</v>
      </c>
      <c r="H13" s="147">
        <f t="shared" si="0"/>
        <v>31</v>
      </c>
      <c r="I13" s="151"/>
      <c r="J13" s="146">
        <f>+COUNTIFS('LOI and Commissioning Master Sh'!$D:$D,'Planned in Nov Dec'!$A13,'LOI and Commissioning Master Sh'!$CJ:$CJ,'Planned in Nov Dec'!J$3)</f>
        <v>4</v>
      </c>
      <c r="K13" s="146">
        <f>+COUNTIFS('LOI and Commissioning Master Sh'!$D:$D,'Planned in Nov Dec'!$A13,'LOI and Commissioning Master Sh'!$CJ:$CJ,'Planned in Nov Dec'!K$3)</f>
        <v>12</v>
      </c>
      <c r="L13" s="146">
        <f>+COUNTIFS('LOI and Commissioning Master Sh'!$D:$D,'Planned in Nov Dec'!$A13,'LOI and Commissioning Master Sh'!$CJ:$CJ,'Planned in Nov Dec'!L$3)</f>
        <v>5</v>
      </c>
      <c r="M13" s="146">
        <f>+COUNTIFS('LOI and Commissioning Master Sh'!$D:$D,'Planned in Nov Dec'!$A13,'LOI and Commissioning Master Sh'!$CJ:$CJ,'Planned in Nov Dec'!M$3)</f>
        <v>7</v>
      </c>
      <c r="N13" s="146">
        <f>+COUNTIFS('LOI and Commissioning Master Sh'!$D:$D,'Planned in Nov Dec'!$A13,'LOI and Commissioning Master Sh'!$CJ:$CJ,'Planned in Nov Dec'!N$3)</f>
        <v>3</v>
      </c>
      <c r="O13" s="146">
        <f>+COUNTIFS('LOI and Commissioning Master Sh'!$D:$D,'Planned in Nov Dec'!$A13,'LOI and Commissioning Master Sh'!$CJ:$CJ,'Planned in Nov Dec'!O$3)</f>
        <v>0</v>
      </c>
      <c r="P13" s="150">
        <f t="shared" si="1"/>
        <v>31</v>
      </c>
      <c r="Q13" s="151"/>
      <c r="R13" s="146">
        <f>+COUNTIFS('LOI and Commissioning Master Sh'!$D:$D,'Planned in Nov Dec'!$A13,'LOI and Commissioning Master Sh'!$G:$G,'Planned in Nov Dec'!R$3,'LOI and Commissioning Master Sh'!$X:$X,"Yes")</f>
        <v>0</v>
      </c>
      <c r="S13" s="146">
        <f>+COUNTIFS('LOI and Commissioning Master Sh'!$D:$D,'Planned in Nov Dec'!$A13,'LOI and Commissioning Master Sh'!$G:$G,'Planned in Nov Dec'!S$3,'LOI and Commissioning Master Sh'!$X:$X,"Yes")</f>
        <v>0</v>
      </c>
      <c r="T13" s="146">
        <f>+COUNTIFS('LOI and Commissioning Master Sh'!$D:$D,'Planned in Nov Dec'!$A13,'LOI and Commissioning Master Sh'!$G:$G,'Planned in Nov Dec'!T$3,'LOI and Commissioning Master Sh'!$X:$X,"Yes")</f>
        <v>0</v>
      </c>
      <c r="U13" s="146">
        <f>+COUNTIFS('LOI and Commissioning Master Sh'!$D:$D,'Planned in Nov Dec'!$A13,'LOI and Commissioning Master Sh'!$G:$G,'Planned in Nov Dec'!U$3,'LOI and Commissioning Master Sh'!$X:$X,"Yes")</f>
        <v>4</v>
      </c>
      <c r="V13" s="146">
        <f>+COUNTIFS('LOI and Commissioning Master Sh'!$D:$D,'Planned in Nov Dec'!$A13,'LOI and Commissioning Master Sh'!$G:$G,'Planned in Nov Dec'!V$3,'LOI and Commissioning Master Sh'!$X:$X,"Yes")</f>
        <v>0</v>
      </c>
      <c r="W13" s="146">
        <f>+COUNTIFS('LOI and Commissioning Master Sh'!$D:$D,'Planned in Nov Dec'!$A13,'LOI and Commissioning Master Sh'!$G:$G,'Planned in Nov Dec'!W$3,'LOI and Commissioning Master Sh'!$X:$X,"Yes")</f>
        <v>1</v>
      </c>
      <c r="X13" s="147">
        <f t="shared" si="2"/>
        <v>5</v>
      </c>
      <c r="Z13" s="146">
        <f>+COUNTIFS('LOI and Commissioning Master Sh'!$D:$D,'Planned in Nov Dec'!$A13,'LOI and Commissioning Master Sh'!$CJ:$CJ,'Planned in Nov Dec'!Z$3,'LOI and Commissioning Master Sh'!$X:$X,"Yes")</f>
        <v>0</v>
      </c>
      <c r="AA13" s="146">
        <f>+COUNTIFS('LOI and Commissioning Master Sh'!$D:$D,'Planned in Nov Dec'!$A13,'LOI and Commissioning Master Sh'!$CJ:$CJ,'Planned in Nov Dec'!AA$3,'LOI and Commissioning Master Sh'!$X:$X,"Yes")</f>
        <v>3</v>
      </c>
      <c r="AB13" s="146">
        <f>+COUNTIFS('LOI and Commissioning Master Sh'!$D:$D,'Planned in Nov Dec'!$A13,'LOI and Commissioning Master Sh'!$CJ:$CJ,'Planned in Nov Dec'!AB$3,'LOI and Commissioning Master Sh'!$X:$X,"Yes")</f>
        <v>1</v>
      </c>
      <c r="AC13" s="146">
        <f>+COUNTIFS('LOI and Commissioning Master Sh'!$D:$D,'Planned in Nov Dec'!$A13,'LOI and Commissioning Master Sh'!$CJ:$CJ,'Planned in Nov Dec'!AC$3,'LOI and Commissioning Master Sh'!$X:$X,"Yes")</f>
        <v>1</v>
      </c>
      <c r="AD13" s="146">
        <f>+COUNTIFS('LOI and Commissioning Master Sh'!$D:$D,'Planned in Nov Dec'!$A13,'LOI and Commissioning Master Sh'!$CJ:$CJ,'Planned in Nov Dec'!AD$3,'LOI and Commissioning Master Sh'!$X:$X,"Yes")</f>
        <v>0</v>
      </c>
      <c r="AE13" s="150">
        <f t="shared" si="3"/>
        <v>5</v>
      </c>
      <c r="AH13" s="146">
        <f>+COUNTIFS('LOI and Commissioning Master Sh'!$D:$D,'Planned in Nov Dec'!$A13,'LOI and Commissioning Master Sh'!$W:$W,"Yes")</f>
        <v>7</v>
      </c>
      <c r="AI13" s="146">
        <f>+COUNTIFS('LOI and Commissioning Master Sh'!$D:$D,'Planned in Nov Dec'!$A13,'LOI and Commissioning Master Sh'!$W:$W,"No")</f>
        <v>24</v>
      </c>
      <c r="AJ13" s="147">
        <f t="shared" si="4"/>
        <v>31</v>
      </c>
      <c r="AL13" s="146">
        <f>+COUNTIFS('LOI and Commissioning Master Sh'!$D:$D,'Planned in Nov Dec'!$A13,'LOI and Commissioning Master Sh'!$W:$W,"No",'LOI and Commissioning Master Sh'!$G:$G,'Planned in Nov Dec'!AL$3)</f>
        <v>0</v>
      </c>
      <c r="AM13" s="146">
        <f>+COUNTIFS('LOI and Commissioning Master Sh'!$D:$D,'Planned in Nov Dec'!$A13,'LOI and Commissioning Master Sh'!$W:$W,"No",'LOI and Commissioning Master Sh'!$G:$G,'Planned in Nov Dec'!AM$3)</f>
        <v>0</v>
      </c>
      <c r="AN13" s="146">
        <f>+COUNTIFS('LOI and Commissioning Master Sh'!$D:$D,'Planned in Nov Dec'!$A13,'LOI and Commissioning Master Sh'!$W:$W,"No",'LOI and Commissioning Master Sh'!$G:$G,'Planned in Nov Dec'!AN$3)</f>
        <v>3</v>
      </c>
      <c r="AO13" s="146">
        <f>+COUNTIFS('LOI and Commissioning Master Sh'!$D:$D,'Planned in Nov Dec'!$A13,'LOI and Commissioning Master Sh'!$W:$W,"No",'LOI and Commissioning Master Sh'!$G:$G,'Planned in Nov Dec'!AO$3)</f>
        <v>10</v>
      </c>
      <c r="AP13" s="146">
        <f>+COUNTIFS('LOI and Commissioning Master Sh'!$D:$D,'Planned in Nov Dec'!$A13,'LOI and Commissioning Master Sh'!$W:$W,"No",'LOI and Commissioning Master Sh'!$G:$G,'Planned in Nov Dec'!AP$3)</f>
        <v>9</v>
      </c>
      <c r="AQ13" s="146">
        <f>+COUNTIFS('LOI and Commissioning Master Sh'!$D:$D,'Planned in Nov Dec'!$A13,'LOI and Commissioning Master Sh'!$W:$W,"No",'LOI and Commissioning Master Sh'!$G:$G,'Planned in Nov Dec'!AQ$3)</f>
        <v>2</v>
      </c>
      <c r="AR13" s="147">
        <f t="shared" si="5"/>
        <v>24</v>
      </c>
      <c r="AT13" s="146">
        <f>+COUNTIFS('LOI and Commissioning Master Sh'!$D:$D,'Planned in Nov Dec'!$A13,'LOI and Commissioning Master Sh'!$G:$G,'Planned in Nov Dec'!AT$3,'LOI and Commissioning Master Sh'!$W:$W,"Yes")</f>
        <v>0</v>
      </c>
      <c r="AU13" s="146">
        <f>+COUNTIFS('LOI and Commissioning Master Sh'!$D:$D,'Planned in Nov Dec'!$A13,'LOI and Commissioning Master Sh'!$G:$G,'Planned in Nov Dec'!AU$3,'LOI and Commissioning Master Sh'!$W:$W,"Yes")</f>
        <v>0</v>
      </c>
      <c r="AV13" s="146">
        <f>+COUNTIFS('LOI and Commissioning Master Sh'!$D:$D,'Planned in Nov Dec'!$A13,'LOI and Commissioning Master Sh'!$G:$G,'Planned in Nov Dec'!AV$3,'LOI and Commissioning Master Sh'!$W:$W,"Yes")</f>
        <v>1</v>
      </c>
      <c r="AW13" s="146">
        <f>+COUNTIFS('LOI and Commissioning Master Sh'!$D:$D,'Planned in Nov Dec'!$A13,'LOI and Commissioning Master Sh'!$G:$G,'Planned in Nov Dec'!AW$3,'LOI and Commissioning Master Sh'!$W:$W,"Yes")</f>
        <v>5</v>
      </c>
      <c r="AX13" s="146">
        <f>+COUNTIFS('LOI and Commissioning Master Sh'!$D:$D,'Planned in Nov Dec'!$A13,'LOI and Commissioning Master Sh'!$G:$G,'Planned in Nov Dec'!AX$3,'LOI and Commissioning Master Sh'!$W:$W,"Yes")</f>
        <v>0</v>
      </c>
      <c r="AY13" s="146">
        <f>+COUNTIFS('LOI and Commissioning Master Sh'!$D:$D,'Planned in Nov Dec'!$A13,'LOI and Commissioning Master Sh'!$G:$G,'Planned in Nov Dec'!AY$3,'LOI and Commissioning Master Sh'!$W:$W,"Yes")</f>
        <v>1</v>
      </c>
      <c r="AZ13" s="147">
        <f t="shared" si="6"/>
        <v>7</v>
      </c>
      <c r="BC13" s="138"/>
    </row>
    <row r="14" spans="1:55" ht="15.75" thickBot="1" x14ac:dyDescent="0.3">
      <c r="A14" s="145" t="s">
        <v>195</v>
      </c>
      <c r="B14" s="146">
        <f>+COUNTIFS('LOI and Commissioning Master Sh'!$D:$D,'Planned in Nov Dec'!$A14,'LOI and Commissioning Master Sh'!$G:$G,'Planned in Nov Dec'!B$3)</f>
        <v>0</v>
      </c>
      <c r="C14" s="146">
        <f>+COUNTIFS('LOI and Commissioning Master Sh'!$D:$D,'Planned in Nov Dec'!$A14,'LOI and Commissioning Master Sh'!$G:$G,'Planned in Nov Dec'!C$3)</f>
        <v>0</v>
      </c>
      <c r="D14" s="146">
        <f>+COUNTIFS('LOI and Commissioning Master Sh'!$D:$D,'Planned in Nov Dec'!$A14,'LOI and Commissioning Master Sh'!$G:$G,'Planned in Nov Dec'!D$3)</f>
        <v>0</v>
      </c>
      <c r="E14" s="146">
        <f>+COUNTIFS('LOI and Commissioning Master Sh'!$D:$D,'Planned in Nov Dec'!$A14,'LOI and Commissioning Master Sh'!$G:$G,'Planned in Nov Dec'!E$3)</f>
        <v>8</v>
      </c>
      <c r="F14" s="146">
        <f>+COUNTIFS('LOI and Commissioning Master Sh'!$D:$D,'Planned in Nov Dec'!$A14,'LOI and Commissioning Master Sh'!$G:$G,'Planned in Nov Dec'!F$3)</f>
        <v>6</v>
      </c>
      <c r="G14" s="146">
        <f>+COUNTIFS('LOI and Commissioning Master Sh'!$D:$D,'Planned in Nov Dec'!$A14,'LOI and Commissioning Master Sh'!$G:$G,'Planned in Nov Dec'!G$3)</f>
        <v>2</v>
      </c>
      <c r="H14" s="147">
        <f t="shared" si="0"/>
        <v>16</v>
      </c>
      <c r="I14" s="151"/>
      <c r="J14" s="146">
        <f>+COUNTIFS('LOI and Commissioning Master Sh'!$D:$D,'Planned in Nov Dec'!$A14,'LOI and Commissioning Master Sh'!$CJ:$CJ,'Planned in Nov Dec'!J$3)</f>
        <v>1</v>
      </c>
      <c r="K14" s="146">
        <f>+COUNTIFS('LOI and Commissioning Master Sh'!$D:$D,'Planned in Nov Dec'!$A14,'LOI and Commissioning Master Sh'!$CJ:$CJ,'Planned in Nov Dec'!K$3)</f>
        <v>3</v>
      </c>
      <c r="L14" s="146">
        <f>+COUNTIFS('LOI and Commissioning Master Sh'!$D:$D,'Planned in Nov Dec'!$A14,'LOI and Commissioning Master Sh'!$CJ:$CJ,'Planned in Nov Dec'!L$3)</f>
        <v>7</v>
      </c>
      <c r="M14" s="146">
        <f>+COUNTIFS('LOI and Commissioning Master Sh'!$D:$D,'Planned in Nov Dec'!$A14,'LOI and Commissioning Master Sh'!$CJ:$CJ,'Planned in Nov Dec'!M$3)</f>
        <v>3</v>
      </c>
      <c r="N14" s="146">
        <f>+COUNTIFS('LOI and Commissioning Master Sh'!$D:$D,'Planned in Nov Dec'!$A14,'LOI and Commissioning Master Sh'!$CJ:$CJ,'Planned in Nov Dec'!N$3)</f>
        <v>2</v>
      </c>
      <c r="O14" s="146">
        <f>+COUNTIFS('LOI and Commissioning Master Sh'!$D:$D,'Planned in Nov Dec'!$A14,'LOI and Commissioning Master Sh'!$CJ:$CJ,'Planned in Nov Dec'!O$3)</f>
        <v>0</v>
      </c>
      <c r="P14" s="150">
        <f t="shared" si="1"/>
        <v>16</v>
      </c>
      <c r="Q14" s="151"/>
      <c r="R14" s="146">
        <f>+COUNTIFS('LOI and Commissioning Master Sh'!$D:$D,'Planned in Nov Dec'!$A14,'LOI and Commissioning Master Sh'!$G:$G,'Planned in Nov Dec'!R$3,'LOI and Commissioning Master Sh'!$X:$X,"Yes")</f>
        <v>0</v>
      </c>
      <c r="S14" s="146">
        <f>+COUNTIFS('LOI and Commissioning Master Sh'!$D:$D,'Planned in Nov Dec'!$A14,'LOI and Commissioning Master Sh'!$G:$G,'Planned in Nov Dec'!S$3,'LOI and Commissioning Master Sh'!$X:$X,"Yes")</f>
        <v>0</v>
      </c>
      <c r="T14" s="146">
        <f>+COUNTIFS('LOI and Commissioning Master Sh'!$D:$D,'Planned in Nov Dec'!$A14,'LOI and Commissioning Master Sh'!$G:$G,'Planned in Nov Dec'!T$3,'LOI and Commissioning Master Sh'!$X:$X,"Yes")</f>
        <v>0</v>
      </c>
      <c r="U14" s="146">
        <f>+COUNTIFS('LOI and Commissioning Master Sh'!$D:$D,'Planned in Nov Dec'!$A14,'LOI and Commissioning Master Sh'!$G:$G,'Planned in Nov Dec'!U$3,'LOI and Commissioning Master Sh'!$X:$X,"Yes")</f>
        <v>3</v>
      </c>
      <c r="V14" s="146">
        <f>+COUNTIFS('LOI and Commissioning Master Sh'!$D:$D,'Planned in Nov Dec'!$A14,'LOI and Commissioning Master Sh'!$G:$G,'Planned in Nov Dec'!V$3,'LOI and Commissioning Master Sh'!$X:$X,"Yes")</f>
        <v>2</v>
      </c>
      <c r="W14" s="146">
        <f>+COUNTIFS('LOI and Commissioning Master Sh'!$D:$D,'Planned in Nov Dec'!$A14,'LOI and Commissioning Master Sh'!$G:$G,'Planned in Nov Dec'!W$3,'LOI and Commissioning Master Sh'!$X:$X,"Yes")</f>
        <v>1</v>
      </c>
      <c r="X14" s="147">
        <f t="shared" si="2"/>
        <v>6</v>
      </c>
      <c r="Z14" s="146">
        <f>+COUNTIFS('LOI and Commissioning Master Sh'!$D:$D,'Planned in Nov Dec'!$A14,'LOI and Commissioning Master Sh'!$CJ:$CJ,'Planned in Nov Dec'!Z$3,'LOI and Commissioning Master Sh'!$X:$X,"Yes")</f>
        <v>0</v>
      </c>
      <c r="AA14" s="146">
        <f>+COUNTIFS('LOI and Commissioning Master Sh'!$D:$D,'Planned in Nov Dec'!$A14,'LOI and Commissioning Master Sh'!$CJ:$CJ,'Planned in Nov Dec'!AA$3,'LOI and Commissioning Master Sh'!$X:$X,"Yes")</f>
        <v>0</v>
      </c>
      <c r="AB14" s="146">
        <f>+COUNTIFS('LOI and Commissioning Master Sh'!$D:$D,'Planned in Nov Dec'!$A14,'LOI and Commissioning Master Sh'!$CJ:$CJ,'Planned in Nov Dec'!AB$3,'LOI and Commissioning Master Sh'!$X:$X,"Yes")</f>
        <v>3</v>
      </c>
      <c r="AC14" s="146">
        <f>+COUNTIFS('LOI and Commissioning Master Sh'!$D:$D,'Planned in Nov Dec'!$A14,'LOI and Commissioning Master Sh'!$CJ:$CJ,'Planned in Nov Dec'!AC$3,'LOI and Commissioning Master Sh'!$X:$X,"Yes")</f>
        <v>1</v>
      </c>
      <c r="AD14" s="146">
        <f>+COUNTIFS('LOI and Commissioning Master Sh'!$D:$D,'Planned in Nov Dec'!$A14,'LOI and Commissioning Master Sh'!$CJ:$CJ,'Planned in Nov Dec'!AD$3,'LOI and Commissioning Master Sh'!$X:$X,"Yes")</f>
        <v>2</v>
      </c>
      <c r="AE14" s="150">
        <f t="shared" si="3"/>
        <v>6</v>
      </c>
      <c r="AH14" s="146">
        <f>+COUNTIFS('LOI and Commissioning Master Sh'!$D:$D,'Planned in Nov Dec'!$A14,'LOI and Commissioning Master Sh'!$W:$W,"Yes")</f>
        <v>10</v>
      </c>
      <c r="AI14" s="146">
        <f>+COUNTIFS('LOI and Commissioning Master Sh'!$D:$D,'Planned in Nov Dec'!$A14,'LOI and Commissioning Master Sh'!$W:$W,"No")</f>
        <v>6</v>
      </c>
      <c r="AJ14" s="147">
        <f t="shared" si="4"/>
        <v>16</v>
      </c>
      <c r="AL14" s="146">
        <f>+COUNTIFS('LOI and Commissioning Master Sh'!$D:$D,'Planned in Nov Dec'!$A14,'LOI and Commissioning Master Sh'!$W:$W,"No",'LOI and Commissioning Master Sh'!$G:$G,'Planned in Nov Dec'!AL$3)</f>
        <v>0</v>
      </c>
      <c r="AM14" s="146">
        <f>+COUNTIFS('LOI and Commissioning Master Sh'!$D:$D,'Planned in Nov Dec'!$A14,'LOI and Commissioning Master Sh'!$W:$W,"No",'LOI and Commissioning Master Sh'!$G:$G,'Planned in Nov Dec'!AM$3)</f>
        <v>0</v>
      </c>
      <c r="AN14" s="146">
        <f>+COUNTIFS('LOI and Commissioning Master Sh'!$D:$D,'Planned in Nov Dec'!$A14,'LOI and Commissioning Master Sh'!$W:$W,"No",'LOI and Commissioning Master Sh'!$G:$G,'Planned in Nov Dec'!AN$3)</f>
        <v>0</v>
      </c>
      <c r="AO14" s="146">
        <f>+COUNTIFS('LOI and Commissioning Master Sh'!$D:$D,'Planned in Nov Dec'!$A14,'LOI and Commissioning Master Sh'!$W:$W,"No",'LOI and Commissioning Master Sh'!$G:$G,'Planned in Nov Dec'!AO$3)</f>
        <v>3</v>
      </c>
      <c r="AP14" s="146">
        <f>+COUNTIFS('LOI and Commissioning Master Sh'!$D:$D,'Planned in Nov Dec'!$A14,'LOI and Commissioning Master Sh'!$W:$W,"No",'LOI and Commissioning Master Sh'!$G:$G,'Planned in Nov Dec'!AP$3)</f>
        <v>2</v>
      </c>
      <c r="AQ14" s="146">
        <f>+COUNTIFS('LOI and Commissioning Master Sh'!$D:$D,'Planned in Nov Dec'!$A14,'LOI and Commissioning Master Sh'!$W:$W,"No",'LOI and Commissioning Master Sh'!$G:$G,'Planned in Nov Dec'!AQ$3)</f>
        <v>1</v>
      </c>
      <c r="AR14" s="147">
        <f t="shared" si="5"/>
        <v>6</v>
      </c>
      <c r="AT14" s="146">
        <f>+COUNTIFS('LOI and Commissioning Master Sh'!$D:$D,'Planned in Nov Dec'!$A14,'LOI and Commissioning Master Sh'!$G:$G,'Planned in Nov Dec'!AT$3,'LOI and Commissioning Master Sh'!$W:$W,"Yes")</f>
        <v>0</v>
      </c>
      <c r="AU14" s="146">
        <f>+COUNTIFS('LOI and Commissioning Master Sh'!$D:$D,'Planned in Nov Dec'!$A14,'LOI and Commissioning Master Sh'!$G:$G,'Planned in Nov Dec'!AU$3,'LOI and Commissioning Master Sh'!$W:$W,"Yes")</f>
        <v>0</v>
      </c>
      <c r="AV14" s="146">
        <f>+COUNTIFS('LOI and Commissioning Master Sh'!$D:$D,'Planned in Nov Dec'!$A14,'LOI and Commissioning Master Sh'!$G:$G,'Planned in Nov Dec'!AV$3,'LOI and Commissioning Master Sh'!$W:$W,"Yes")</f>
        <v>0</v>
      </c>
      <c r="AW14" s="146">
        <f>+COUNTIFS('LOI and Commissioning Master Sh'!$D:$D,'Planned in Nov Dec'!$A14,'LOI and Commissioning Master Sh'!$G:$G,'Planned in Nov Dec'!AW$3,'LOI and Commissioning Master Sh'!$W:$W,"Yes")</f>
        <v>5</v>
      </c>
      <c r="AX14" s="146">
        <f>+COUNTIFS('LOI and Commissioning Master Sh'!$D:$D,'Planned in Nov Dec'!$A14,'LOI and Commissioning Master Sh'!$G:$G,'Planned in Nov Dec'!AX$3,'LOI and Commissioning Master Sh'!$W:$W,"Yes")</f>
        <v>4</v>
      </c>
      <c r="AY14" s="146">
        <f>+COUNTIFS('LOI and Commissioning Master Sh'!$D:$D,'Planned in Nov Dec'!$A14,'LOI and Commissioning Master Sh'!$G:$G,'Planned in Nov Dec'!AY$3,'LOI and Commissioning Master Sh'!$W:$W,"Yes")</f>
        <v>1</v>
      </c>
      <c r="AZ14" s="147">
        <f t="shared" si="6"/>
        <v>10</v>
      </c>
      <c r="BC14" s="138"/>
    </row>
    <row r="15" spans="1:55" ht="15.75" thickBot="1" x14ac:dyDescent="0.3">
      <c r="A15" s="152" t="s">
        <v>1355</v>
      </c>
      <c r="B15" s="147">
        <f>SUM(B4:B14)</f>
        <v>25</v>
      </c>
      <c r="C15" s="147">
        <f t="shared" ref="C15:G15" si="7">SUM(C4:C14)</f>
        <v>0</v>
      </c>
      <c r="D15" s="147">
        <f t="shared" si="7"/>
        <v>11</v>
      </c>
      <c r="E15" s="147">
        <f t="shared" si="7"/>
        <v>134</v>
      </c>
      <c r="F15" s="147">
        <f t="shared" si="7"/>
        <v>66</v>
      </c>
      <c r="G15" s="147">
        <f t="shared" si="7"/>
        <v>31</v>
      </c>
      <c r="H15" s="147">
        <f>SUM(H4:H14)</f>
        <v>267</v>
      </c>
      <c r="I15" s="148"/>
      <c r="J15" s="150">
        <f>SUM(J4:J14)</f>
        <v>9</v>
      </c>
      <c r="K15" s="150">
        <f>SUM(K4:K10)</f>
        <v>87</v>
      </c>
      <c r="L15" s="150">
        <f t="shared" ref="L15:O15" si="8">SUM(L4:L10)</f>
        <v>33</v>
      </c>
      <c r="M15" s="150">
        <f t="shared" si="8"/>
        <v>25</v>
      </c>
      <c r="N15" s="150">
        <f t="shared" si="8"/>
        <v>21</v>
      </c>
      <c r="O15" s="150">
        <f t="shared" si="8"/>
        <v>0</v>
      </c>
      <c r="P15" s="150">
        <f>SUM(P4:P14)</f>
        <v>267</v>
      </c>
      <c r="Q15" s="148"/>
      <c r="R15" s="147">
        <f>SUM(R4:R14)</f>
        <v>8</v>
      </c>
      <c r="S15" s="147">
        <f t="shared" ref="S15:W15" si="9">SUM(S4:S14)</f>
        <v>0</v>
      </c>
      <c r="T15" s="147">
        <f t="shared" si="9"/>
        <v>0</v>
      </c>
      <c r="U15" s="147">
        <f t="shared" si="9"/>
        <v>39</v>
      </c>
      <c r="V15" s="147">
        <f t="shared" si="9"/>
        <v>17</v>
      </c>
      <c r="W15" s="147">
        <f t="shared" si="9"/>
        <v>11</v>
      </c>
      <c r="X15" s="147">
        <f>SUM(X4:X14)</f>
        <v>75</v>
      </c>
      <c r="Z15" s="150">
        <f>SUM(Z4:Z14)</f>
        <v>0</v>
      </c>
      <c r="AA15" s="150">
        <f t="shared" ref="AA15:AD15" si="10">SUM(AA4:AA14)</f>
        <v>37</v>
      </c>
      <c r="AB15" s="150">
        <f t="shared" si="10"/>
        <v>14</v>
      </c>
      <c r="AC15" s="150">
        <f t="shared" si="10"/>
        <v>13</v>
      </c>
      <c r="AD15" s="150">
        <f t="shared" si="10"/>
        <v>11</v>
      </c>
      <c r="AE15" s="150">
        <f>SUM(AE4:AE14)</f>
        <v>75</v>
      </c>
      <c r="AH15" s="147">
        <f>SUM(AH4:AH14)</f>
        <v>119</v>
      </c>
      <c r="AI15" s="147">
        <f>SUM(AI4:AI14)</f>
        <v>148</v>
      </c>
      <c r="AJ15" s="147">
        <f>SUM(AJ4:AJ14)</f>
        <v>267</v>
      </c>
      <c r="AL15" s="147">
        <f>SUM(AL4:AL10)</f>
        <v>16</v>
      </c>
      <c r="AM15" s="147"/>
      <c r="AN15" s="147">
        <f>SUM(AN4:AN10)</f>
        <v>4</v>
      </c>
      <c r="AO15" s="147">
        <f>SUM(AO4:AO10)</f>
        <v>37</v>
      </c>
      <c r="AP15" s="147">
        <f>SUM(AP4:AP10)</f>
        <v>23</v>
      </c>
      <c r="AQ15" s="147">
        <f>SUM(AQ4:AQ10)</f>
        <v>10</v>
      </c>
      <c r="AR15" s="147">
        <f>SUM(AR4:AR14)</f>
        <v>148</v>
      </c>
      <c r="AT15" s="147">
        <f>SUM(AT4:AT10)</f>
        <v>7</v>
      </c>
      <c r="AU15" s="147">
        <f t="shared" ref="AU15:AY15" si="11">SUM(AU4:AU10)</f>
        <v>0</v>
      </c>
      <c r="AV15" s="147">
        <f t="shared" si="11"/>
        <v>0</v>
      </c>
      <c r="AW15" s="147">
        <f t="shared" si="11"/>
        <v>40</v>
      </c>
      <c r="AX15" s="147">
        <f t="shared" si="11"/>
        <v>18</v>
      </c>
      <c r="AY15" s="147">
        <f t="shared" si="11"/>
        <v>11</v>
      </c>
      <c r="AZ15" s="147">
        <f>SUM(AZ4:AZ14)</f>
        <v>119</v>
      </c>
      <c r="BC15" s="138"/>
    </row>
    <row r="16" spans="1:55" ht="15.75" hidden="1" thickBot="1" x14ac:dyDescent="0.3"/>
    <row r="17" spans="1:54" ht="15.75" hidden="1" customHeight="1" thickBot="1" x14ac:dyDescent="0.3">
      <c r="A17" s="340" t="s">
        <v>1420</v>
      </c>
      <c r="B17" s="342" t="s">
        <v>1430</v>
      </c>
      <c r="C17" s="342"/>
      <c r="D17" s="343"/>
      <c r="E17" s="343"/>
      <c r="F17" s="343"/>
      <c r="G17" s="343"/>
      <c r="H17" s="343"/>
      <c r="I17" s="153"/>
      <c r="J17" s="342" t="s">
        <v>1431</v>
      </c>
      <c r="K17" s="343"/>
      <c r="L17" s="343"/>
      <c r="M17" s="343"/>
      <c r="N17" s="343"/>
      <c r="O17" s="343"/>
      <c r="P17" s="343"/>
      <c r="Q17" s="153"/>
      <c r="R17" s="344" t="s">
        <v>1432</v>
      </c>
      <c r="S17" s="345"/>
      <c r="T17" s="345"/>
      <c r="U17" s="345"/>
      <c r="V17" s="345"/>
      <c r="W17" s="345"/>
      <c r="X17" s="345"/>
      <c r="Y17" s="154"/>
      <c r="Z17" s="354" t="s">
        <v>1433</v>
      </c>
      <c r="AA17" s="355"/>
      <c r="AB17" s="355"/>
      <c r="AC17" s="355"/>
      <c r="AD17" s="355"/>
      <c r="AE17" s="355"/>
      <c r="AF17" s="355"/>
      <c r="AG17" s="153"/>
      <c r="AH17" s="346" t="s">
        <v>1434</v>
      </c>
      <c r="AI17" s="347"/>
      <c r="AJ17" s="347"/>
      <c r="AK17" s="347"/>
      <c r="AL17" s="347"/>
      <c r="AM17" s="347"/>
      <c r="AN17" s="347"/>
      <c r="AO17" s="347"/>
      <c r="AP17" s="347"/>
      <c r="AQ17" s="347"/>
      <c r="AR17" s="347"/>
      <c r="AS17" s="347"/>
      <c r="AT17" s="347"/>
      <c r="AW17" s="366" t="s">
        <v>1435</v>
      </c>
      <c r="AX17" s="367"/>
      <c r="AY17" s="367"/>
    </row>
    <row r="18" spans="1:54" ht="15.75" hidden="1" thickBot="1" x14ac:dyDescent="0.3">
      <c r="A18" s="341"/>
      <c r="B18" s="141" t="s">
        <v>101</v>
      </c>
      <c r="C18" s="141" t="s">
        <v>122</v>
      </c>
      <c r="D18" s="141" t="s">
        <v>634</v>
      </c>
      <c r="E18" s="141" t="s">
        <v>142</v>
      </c>
      <c r="F18" s="141" t="s">
        <v>169</v>
      </c>
      <c r="G18" s="141" t="s">
        <v>100</v>
      </c>
      <c r="H18" s="141" t="s">
        <v>1344</v>
      </c>
      <c r="I18" s="142"/>
      <c r="J18" s="141" t="s">
        <v>101</v>
      </c>
      <c r="K18" s="141" t="s">
        <v>122</v>
      </c>
      <c r="L18" s="141" t="s">
        <v>634</v>
      </c>
      <c r="M18" s="141" t="s">
        <v>142</v>
      </c>
      <c r="N18" s="141" t="s">
        <v>169</v>
      </c>
      <c r="O18" s="141" t="s">
        <v>100</v>
      </c>
      <c r="P18" s="141" t="s">
        <v>1344</v>
      </c>
      <c r="Q18" s="142"/>
      <c r="R18" s="143" t="s">
        <v>101</v>
      </c>
      <c r="S18" s="143" t="s">
        <v>122</v>
      </c>
      <c r="T18" s="143" t="s">
        <v>634</v>
      </c>
      <c r="U18" s="143" t="s">
        <v>142</v>
      </c>
      <c r="V18" s="143" t="s">
        <v>169</v>
      </c>
      <c r="W18" s="143" t="s">
        <v>100</v>
      </c>
      <c r="X18" s="143" t="s">
        <v>1344</v>
      </c>
      <c r="Y18" s="155"/>
      <c r="Z18" s="143" t="s">
        <v>101</v>
      </c>
      <c r="AA18" s="143" t="s">
        <v>122</v>
      </c>
      <c r="AB18" s="143" t="s">
        <v>634</v>
      </c>
      <c r="AC18" s="143" t="s">
        <v>142</v>
      </c>
      <c r="AD18" s="143" t="s">
        <v>169</v>
      </c>
      <c r="AE18" s="143" t="s">
        <v>100</v>
      </c>
      <c r="AF18" s="143" t="s">
        <v>1344</v>
      </c>
      <c r="AG18" s="142"/>
      <c r="AH18" s="156">
        <v>46113</v>
      </c>
      <c r="AI18" s="156">
        <v>46143</v>
      </c>
      <c r="AJ18" s="156">
        <v>46174</v>
      </c>
      <c r="AK18" s="156">
        <v>46204</v>
      </c>
      <c r="AL18" s="156">
        <v>46235</v>
      </c>
      <c r="AM18" s="156">
        <v>46266</v>
      </c>
      <c r="AN18" s="156">
        <v>46296</v>
      </c>
      <c r="AO18" s="156">
        <v>46327</v>
      </c>
      <c r="AP18" s="156">
        <v>46357</v>
      </c>
      <c r="AQ18" s="156">
        <v>46388</v>
      </c>
      <c r="AR18" s="156">
        <v>46419</v>
      </c>
      <c r="AS18" s="156">
        <v>46447</v>
      </c>
      <c r="AT18" s="156" t="s">
        <v>1344</v>
      </c>
      <c r="AU18" s="144"/>
      <c r="AV18" s="144"/>
      <c r="AW18" s="157" t="s">
        <v>1436</v>
      </c>
      <c r="AX18" s="157" t="s">
        <v>102</v>
      </c>
      <c r="AY18" s="157" t="s">
        <v>1437</v>
      </c>
      <c r="AZ18" s="144"/>
      <c r="BA18" s="144"/>
      <c r="BB18" s="144"/>
    </row>
    <row r="19" spans="1:54" ht="15.75" hidden="1" thickBot="1" x14ac:dyDescent="0.3">
      <c r="A19" s="145" t="s">
        <v>190</v>
      </c>
      <c r="B19" s="146">
        <f>+COUNTIFS('LOI and Commissioning Master Sh'!$D:$D,'Planned in Nov Dec'!$A19,'LOI and Commissioning Master Sh'!$G:$G,'Planned in Nov Dec'!B$3,'LOI and Commissioning Master Sh'!$X:$X,"Yes",'LOI and Commissioning Master Sh'!$H:$H,"A")</f>
        <v>0</v>
      </c>
      <c r="C19" s="146">
        <f>+COUNTIFS('LOI and Commissioning Master Sh'!$D:$D,'Planned in Nov Dec'!$A19,'LOI and Commissioning Master Sh'!$G:$G,'Planned in Nov Dec'!C$3,'LOI and Commissioning Master Sh'!$X:$X,"Yes",'LOI and Commissioning Master Sh'!$H:$H,"A")</f>
        <v>0</v>
      </c>
      <c r="D19" s="146">
        <f>+COUNTIFS('LOI and Commissioning Master Sh'!$D:$D,'Planned in Nov Dec'!$A19,'LOI and Commissioning Master Sh'!$G:$G,'Planned in Nov Dec'!D$3,'LOI and Commissioning Master Sh'!$X:$X,"Yes",'LOI and Commissioning Master Sh'!$H:$H,"A")</f>
        <v>0</v>
      </c>
      <c r="E19" s="146">
        <f>+COUNTIFS('LOI and Commissioning Master Sh'!$D:$D,'Planned in Nov Dec'!$A19,'LOI and Commissioning Master Sh'!$G:$G,'Planned in Nov Dec'!E$3,'LOI and Commissioning Master Sh'!$X:$X,"Yes",'LOI and Commissioning Master Sh'!$H:$H,"A")</f>
        <v>3</v>
      </c>
      <c r="F19" s="146">
        <f>+COUNTIFS('LOI and Commissioning Master Sh'!$D:$D,'Planned in Nov Dec'!$A19,'LOI and Commissioning Master Sh'!$G:$G,'Planned in Nov Dec'!F$3,'LOI and Commissioning Master Sh'!$X:$X,"Yes",'LOI and Commissioning Master Sh'!$H:$H,"A")</f>
        <v>1</v>
      </c>
      <c r="G19" s="146">
        <f>+COUNTIFS('LOI and Commissioning Master Sh'!$D:$D,'Planned in Nov Dec'!$A19,'LOI and Commissioning Master Sh'!$G:$G,'Planned in Nov Dec'!G$3,'LOI and Commissioning Master Sh'!$X:$X,"Yes",'LOI and Commissioning Master Sh'!$H:$H,"A")</f>
        <v>0</v>
      </c>
      <c r="H19" s="147">
        <f t="shared" ref="H19:H29" si="12">SUM(B19:G19)</f>
        <v>4</v>
      </c>
      <c r="I19" s="148"/>
      <c r="J19" s="146">
        <f>+COUNTIFS('LOI and Commissioning Master Sh'!$D:$D,'Planned in Nov Dec'!$A19,'LOI and Commissioning Master Sh'!$G:$G,'Planned in Nov Dec'!J$18,'LOI and Commissioning Master Sh'!$X:$X,"Yes",'LOI and Commissioning Master Sh'!$H:$H,"B")</f>
        <v>0</v>
      </c>
      <c r="K19" s="146">
        <f>+COUNTIFS('LOI and Commissioning Master Sh'!$D:$D,'Planned in Nov Dec'!$A19,'LOI and Commissioning Master Sh'!$G:$G,'Planned in Nov Dec'!K$18,'LOI and Commissioning Master Sh'!$X:$X,"Yes",'LOI and Commissioning Master Sh'!$H:$H,"B")</f>
        <v>0</v>
      </c>
      <c r="L19" s="146">
        <f>+COUNTIFS('LOI and Commissioning Master Sh'!$D:$D,'Planned in Nov Dec'!$A19,'LOI and Commissioning Master Sh'!$G:$G,'Planned in Nov Dec'!L$18,'LOI and Commissioning Master Sh'!$X:$X,"Yes",'LOI and Commissioning Master Sh'!$H:$H,"B")</f>
        <v>0</v>
      </c>
      <c r="M19" s="146">
        <f>+COUNTIFS('LOI and Commissioning Master Sh'!$D:$D,'Planned in Nov Dec'!$A19,'LOI and Commissioning Master Sh'!$G:$G,'Planned in Nov Dec'!M$18,'LOI and Commissioning Master Sh'!$X:$X,"Yes",'LOI and Commissioning Master Sh'!$H:$H,"B")</f>
        <v>0</v>
      </c>
      <c r="N19" s="146">
        <f>+COUNTIFS('LOI and Commissioning Master Sh'!$D:$D,'Planned in Nov Dec'!$A19,'LOI and Commissioning Master Sh'!$G:$G,'Planned in Nov Dec'!N$18,'LOI and Commissioning Master Sh'!$X:$X,"Yes",'LOI and Commissioning Master Sh'!$H:$H,"B")</f>
        <v>3</v>
      </c>
      <c r="O19" s="146">
        <f>+COUNTIFS('LOI and Commissioning Master Sh'!$D:$D,'Planned in Nov Dec'!$A19,'LOI and Commissioning Master Sh'!$G:$G,'Planned in Nov Dec'!O$18,'LOI and Commissioning Master Sh'!$X:$X,"Yes",'LOI and Commissioning Master Sh'!$H:$H,"B")</f>
        <v>1</v>
      </c>
      <c r="P19" s="147">
        <f>SUM(J19:O19)</f>
        <v>4</v>
      </c>
      <c r="Q19" s="148"/>
      <c r="R19" s="146">
        <f>+COUNTIFS('LOI and Commissioning Master Sh'!$D:$D,'Planned in Nov Dec'!$A19,'LOI and Commissioning Master Sh'!$G:$G,'Planned in Nov Dec'!R$3,'LOI and Commissioning Master Sh'!$X:$X,"Yes",'LOI and Commissioning Master Sh'!$H:$H,"A",'LOI and Commissioning Master Sh'!$BW:$BW,"Commissioned")</f>
        <v>0</v>
      </c>
      <c r="S19" s="146">
        <f>+COUNTIFS('LOI and Commissioning Master Sh'!$D:$D,'Planned in Nov Dec'!$A19,'LOI and Commissioning Master Sh'!$G:$G,'Planned in Nov Dec'!S$3,'LOI and Commissioning Master Sh'!$X:$X,"Yes",'LOI and Commissioning Master Sh'!$H:$H,"A",'LOI and Commissioning Master Sh'!$BW:$BW,"Commissioned")</f>
        <v>0</v>
      </c>
      <c r="T19" s="146">
        <f>+COUNTIFS('LOI and Commissioning Master Sh'!$D:$D,'Planned in Nov Dec'!$A19,'LOI and Commissioning Master Sh'!$G:$G,'Planned in Nov Dec'!T$3,'LOI and Commissioning Master Sh'!$X:$X,"Yes",'LOI and Commissioning Master Sh'!$H:$H,"A",'LOI and Commissioning Master Sh'!$BW:$BW,"Commissioned")</f>
        <v>0</v>
      </c>
      <c r="U19" s="146">
        <f>+COUNTIFS('LOI and Commissioning Master Sh'!$D:$D,'Planned in Nov Dec'!$A19,'LOI and Commissioning Master Sh'!$G:$G,'Planned in Nov Dec'!U$3,'LOI and Commissioning Master Sh'!$X:$X,"Yes",'LOI and Commissioning Master Sh'!$H:$H,"A",'LOI and Commissioning Master Sh'!$BW:$BW,"Commissioned")</f>
        <v>0</v>
      </c>
      <c r="V19" s="146">
        <f>+COUNTIFS('LOI and Commissioning Master Sh'!$D:$D,'Planned in Nov Dec'!$A19,'LOI and Commissioning Master Sh'!$G:$G,'Planned in Nov Dec'!V$3,'LOI and Commissioning Master Sh'!$X:$X,"Yes",'LOI and Commissioning Master Sh'!$H:$H,"A",'LOI and Commissioning Master Sh'!$BW:$BW,"Commissioned")</f>
        <v>0</v>
      </c>
      <c r="W19" s="146">
        <f>+COUNTIFS('LOI and Commissioning Master Sh'!$D:$D,'Planned in Nov Dec'!$A19,'LOI and Commissioning Master Sh'!$G:$G,'Planned in Nov Dec'!W$3,'LOI and Commissioning Master Sh'!$X:$X,"Yes",'LOI and Commissioning Master Sh'!$H:$H,"A",'LOI and Commissioning Master Sh'!$BW:$BW,"Commissioned")</f>
        <v>0</v>
      </c>
      <c r="X19" s="150">
        <f t="shared" ref="X19:X29" si="13">SUM(R19:W19)</f>
        <v>0</v>
      </c>
      <c r="Y19" s="158"/>
      <c r="Z19" s="146">
        <f>+COUNTIFS('LOI and Commissioning Master Sh'!$D:$D,'Planned in Nov Dec'!$A19,'LOI and Commissioning Master Sh'!$G:$G,'Planned in Nov Dec'!Z$18,'LOI and Commissioning Master Sh'!$X:$X,"Yes",'LOI and Commissioning Master Sh'!$H:$H,"B",'LOI and Commissioning Master Sh'!$BW:$BW,"Commissioned")</f>
        <v>0</v>
      </c>
      <c r="AA19" s="146">
        <f>+COUNTIFS('LOI and Commissioning Master Sh'!$D:$D,'Planned in Nov Dec'!$A19,'LOI and Commissioning Master Sh'!$G:$G,'Planned in Nov Dec'!AA$18,'LOI and Commissioning Master Sh'!$X:$X,"Yes",'LOI and Commissioning Master Sh'!$H:$H,"B",'LOI and Commissioning Master Sh'!$BW:$BW,"Commissioned")</f>
        <v>0</v>
      </c>
      <c r="AB19" s="146">
        <f>+COUNTIFS('LOI and Commissioning Master Sh'!$D:$D,'Planned in Nov Dec'!$A19,'LOI and Commissioning Master Sh'!$G:$G,'Planned in Nov Dec'!AB$18,'LOI and Commissioning Master Sh'!$X:$X,"Yes",'LOI and Commissioning Master Sh'!$H:$H,"B",'LOI and Commissioning Master Sh'!$BW:$BW,"Commissioned")</f>
        <v>0</v>
      </c>
      <c r="AC19" s="146">
        <f>+COUNTIFS('LOI and Commissioning Master Sh'!$D:$D,'Planned in Nov Dec'!$A19,'LOI and Commissioning Master Sh'!$G:$G,'Planned in Nov Dec'!AC$18,'LOI and Commissioning Master Sh'!$X:$X,"Yes",'LOI and Commissioning Master Sh'!$H:$H,"B",'LOI and Commissioning Master Sh'!$BW:$BW,"Commissioned")</f>
        <v>0</v>
      </c>
      <c r="AD19" s="146">
        <f>+COUNTIFS('LOI and Commissioning Master Sh'!$D:$D,'Planned in Nov Dec'!$A19,'LOI and Commissioning Master Sh'!$G:$G,'Planned in Nov Dec'!AD$18,'LOI and Commissioning Master Sh'!$X:$X,"Yes",'LOI and Commissioning Master Sh'!$H:$H,"B",'LOI and Commissioning Master Sh'!$BW:$BW,"Commissioned")</f>
        <v>0</v>
      </c>
      <c r="AE19" s="146">
        <f>+COUNTIFS('LOI and Commissioning Master Sh'!$D:$D,'Planned in Nov Dec'!$A19,'LOI and Commissioning Master Sh'!$G:$G,'Planned in Nov Dec'!AE$18,'LOI and Commissioning Master Sh'!$X:$X,"Yes",'LOI and Commissioning Master Sh'!$H:$H,"B",'LOI and Commissioning Master Sh'!$BW:$BW,"Commissioned")</f>
        <v>0</v>
      </c>
      <c r="AF19" s="150">
        <f t="shared" ref="AF19:AF29" si="14">SUM(Z19:AE19)</f>
        <v>0</v>
      </c>
      <c r="AG19" s="148"/>
      <c r="AH19" s="146">
        <f>+COUNTIFS('LOI and Commissioning Master Sh'!$D:$D,'Planned in Nov Dec'!$A19,'LOI and Commissioning Master Sh'!$G:$G,'Planned in Nov Dec'!AH$3,'LOI and Commissioning Master Sh'!$X:$X,"Yes",'LOI and Commissioning Master Sh'!$BW:$BW,"Commissioned",'LOI and Commissioning Master Sh'!$AS:$AS,'Planned in Nov Dec'!AH$18)</f>
        <v>0</v>
      </c>
      <c r="AI19" s="146">
        <f>+COUNTIFS('LOI and Commissioning Master Sh'!$D:$D,'Planned in Nov Dec'!$A19,'LOI and Commissioning Master Sh'!$G:$G,'Planned in Nov Dec'!AI$3,'LOI and Commissioning Master Sh'!$X:$X,"Yes",'LOI and Commissioning Master Sh'!$BW:$BW,"Commissioned",'LOI and Commissioning Master Sh'!$AS:$AS,'Planned in Nov Dec'!AI$18)</f>
        <v>0</v>
      </c>
      <c r="AJ19" s="146">
        <f>+COUNTIFS('LOI and Commissioning Master Sh'!$D:$D,'Planned in Nov Dec'!$A19,'LOI and Commissioning Master Sh'!$G:$G,'Planned in Nov Dec'!AJ$3,'LOI and Commissioning Master Sh'!$X:$X,"Yes",'LOI and Commissioning Master Sh'!$BW:$BW,"Commissioned",'LOI and Commissioning Master Sh'!$AS:$AS,'Planned in Nov Dec'!AJ$18)</f>
        <v>0</v>
      </c>
      <c r="AK19" s="146">
        <f>+COUNTIFS('LOI and Commissioning Master Sh'!$D:$D,'Planned in Nov Dec'!$A19,'LOI and Commissioning Master Sh'!$G:$G,'Planned in Nov Dec'!AK$3,'LOI and Commissioning Master Sh'!$X:$X,"Yes",'LOI and Commissioning Master Sh'!$BW:$BW,"Commissioned",'LOI and Commissioning Master Sh'!$AS:$AS,'Planned in Nov Dec'!AK$18)</f>
        <v>0</v>
      </c>
      <c r="AL19" s="146">
        <f>+COUNTIFS('LOI and Commissioning Master Sh'!$D:$D,'Planned in Nov Dec'!$A19,'LOI and Commissioning Master Sh'!$G:$G,'Planned in Nov Dec'!AL$3,'LOI and Commissioning Master Sh'!$X:$X,"Yes",'LOI and Commissioning Master Sh'!$BW:$BW,"Commissioned",'LOI and Commissioning Master Sh'!$AS:$AS,'Planned in Nov Dec'!AL$18)</f>
        <v>0</v>
      </c>
      <c r="AM19" s="146">
        <f>+COUNTIFS('LOI and Commissioning Master Sh'!$D:$D,'Planned in Nov Dec'!$A19,'LOI and Commissioning Master Sh'!$G:$G,'Planned in Nov Dec'!AM$3,'LOI and Commissioning Master Sh'!$X:$X,"Yes",'LOI and Commissioning Master Sh'!$BW:$BW,"Commissioned",'LOI and Commissioning Master Sh'!$AS:$AS,'Planned in Nov Dec'!AM$18)</f>
        <v>0</v>
      </c>
      <c r="AN19" s="146">
        <f>+COUNTIFS('LOI and Commissioning Master Sh'!$D:$D,'Planned in Nov Dec'!$A19,'LOI and Commissioning Master Sh'!$G:$G,'Planned in Nov Dec'!AN$3,'LOI and Commissioning Master Sh'!$X:$X,"Yes",'LOI and Commissioning Master Sh'!$BW:$BW,"Commissioned",'LOI and Commissioning Master Sh'!$AS:$AS,'Planned in Nov Dec'!AN$18)</f>
        <v>0</v>
      </c>
      <c r="AO19" s="146">
        <f>+COUNTIFS('LOI and Commissioning Master Sh'!$D:$D,'Planned in Nov Dec'!$A19,'LOI and Commissioning Master Sh'!$G:$G,'Planned in Nov Dec'!AO$3,'LOI and Commissioning Master Sh'!$X:$X,"Yes",'LOI and Commissioning Master Sh'!$BW:$BW,"Commissioned",'LOI and Commissioning Master Sh'!$AS:$AS,'Planned in Nov Dec'!AO$18)</f>
        <v>0</v>
      </c>
      <c r="AP19" s="146">
        <f>+COUNTIFS('LOI and Commissioning Master Sh'!$D:$D,'Planned in Nov Dec'!$A19,'LOI and Commissioning Master Sh'!$G:$G,'Planned in Nov Dec'!AP$3,'LOI and Commissioning Master Sh'!$X:$X,"Yes",'LOI and Commissioning Master Sh'!$BW:$BW,"Commissioned",'LOI and Commissioning Master Sh'!$AS:$AS,'Planned in Nov Dec'!AP$18)</f>
        <v>0</v>
      </c>
      <c r="AQ19" s="146">
        <f>+COUNTIFS('LOI and Commissioning Master Sh'!$D:$D,'Planned in Nov Dec'!$A19,'LOI and Commissioning Master Sh'!$G:$G,'Planned in Nov Dec'!AQ$3,'LOI and Commissioning Master Sh'!$X:$X,"Yes",'LOI and Commissioning Master Sh'!$BW:$BW,"Commissioned",'LOI and Commissioning Master Sh'!$AS:$AS,'Planned in Nov Dec'!AQ$18)</f>
        <v>0</v>
      </c>
      <c r="AR19" s="146">
        <f>+COUNTIFS('LOI and Commissioning Master Sh'!$D:$D,'Planned in Nov Dec'!$A19,'LOI and Commissioning Master Sh'!$G:$G,'Planned in Nov Dec'!AR$3,'LOI and Commissioning Master Sh'!$X:$X,"Yes",'LOI and Commissioning Master Sh'!$BW:$BW,"Commissioned",'LOI and Commissioning Master Sh'!$AS:$AS,'Planned in Nov Dec'!AR$18)</f>
        <v>0</v>
      </c>
      <c r="AS19" s="146">
        <f>+COUNTIFS('LOI and Commissioning Master Sh'!$D:$D,'Planned in Nov Dec'!$A19,'LOI and Commissioning Master Sh'!$G:$G,'Planned in Nov Dec'!AS$3,'LOI and Commissioning Master Sh'!$X:$X,"Yes",'LOI and Commissioning Master Sh'!$BW:$BW,"Commissioned",'LOI and Commissioning Master Sh'!$AS:$AS,'Planned in Nov Dec'!AS$18)</f>
        <v>0</v>
      </c>
      <c r="AT19" s="160">
        <f>SUM(AH19:AS19)</f>
        <v>0</v>
      </c>
      <c r="AW19" s="146">
        <f>+COUNTIFS('LOI and Commissioning Master Sh'!$D:$D,'Planned in Nov Dec'!$A19,'LOI and Commissioning Master Sh'!$G:$G,'Planned in Nov Dec'!AW$18,'LOI and Commissioning Master Sh'!$X:$X,"Yes",'LOI and Commissioning Master Sh'!$I:$I,'Planned in Nov Dec'!AW$18,'LOI and Commissioning Master Sh'!$BW:$BW,"Commissioned")</f>
        <v>0</v>
      </c>
      <c r="AX19" s="146">
        <f>+COUNTIFS('LOI and Commissioning Master Sh'!$D:$D,'Planned in Nov Dec'!$A19,'LOI and Commissioning Master Sh'!$G:$G,'Planned in Nov Dec'!AX$18,'LOI and Commissioning Master Sh'!$X:$X,"Yes",'LOI and Commissioning Master Sh'!$I:$I,'Planned in Nov Dec'!AX$18,'LOI and Commissioning Master Sh'!$BW:$BW,"Commissioned")</f>
        <v>0</v>
      </c>
      <c r="AY19" s="161">
        <f>SUM(AW19:AX19)</f>
        <v>0</v>
      </c>
    </row>
    <row r="20" spans="1:54" ht="15.75" hidden="1" thickBot="1" x14ac:dyDescent="0.3">
      <c r="A20" s="145" t="s">
        <v>156</v>
      </c>
      <c r="B20" s="146">
        <f>+COUNTIFS('LOI and Commissioning Master Sh'!$D:$D,'Planned in Nov Dec'!$A20,'LOI and Commissioning Master Sh'!$G:$G,'Planned in Nov Dec'!B$3,'LOI and Commissioning Master Sh'!$X:$X,"Yes",'LOI and Commissioning Master Sh'!$H:$H,"A")</f>
        <v>0</v>
      </c>
      <c r="C20" s="146">
        <f>+COUNTIFS('LOI and Commissioning Master Sh'!$D:$D,'Planned in Nov Dec'!$A20,'LOI and Commissioning Master Sh'!$G:$G,'Planned in Nov Dec'!C$3,'LOI and Commissioning Master Sh'!$X:$X,"Yes",'LOI and Commissioning Master Sh'!$H:$H,"A")</f>
        <v>0</v>
      </c>
      <c r="D20" s="146">
        <f>+COUNTIFS('LOI and Commissioning Master Sh'!$D:$D,'Planned in Nov Dec'!$A20,'LOI and Commissioning Master Sh'!$G:$G,'Planned in Nov Dec'!D$3,'LOI and Commissioning Master Sh'!$X:$X,"Yes",'LOI and Commissioning Master Sh'!$H:$H,"A")</f>
        <v>0</v>
      </c>
      <c r="E20" s="146">
        <f>+COUNTIFS('LOI and Commissioning Master Sh'!$D:$D,'Planned in Nov Dec'!$A20,'LOI and Commissioning Master Sh'!$G:$G,'Planned in Nov Dec'!E$3,'LOI and Commissioning Master Sh'!$X:$X,"Yes",'LOI and Commissioning Master Sh'!$H:$H,"A")</f>
        <v>0</v>
      </c>
      <c r="F20" s="146">
        <f>+COUNTIFS('LOI and Commissioning Master Sh'!$D:$D,'Planned in Nov Dec'!$A20,'LOI and Commissioning Master Sh'!$G:$G,'Planned in Nov Dec'!F$3,'LOI and Commissioning Master Sh'!$X:$X,"Yes",'LOI and Commissioning Master Sh'!$H:$H,"A")</f>
        <v>1</v>
      </c>
      <c r="G20" s="146">
        <f>+COUNTIFS('LOI and Commissioning Master Sh'!$D:$D,'Planned in Nov Dec'!$A20,'LOI and Commissioning Master Sh'!$G:$G,'Planned in Nov Dec'!G$3,'LOI and Commissioning Master Sh'!$X:$X,"Yes",'LOI and Commissioning Master Sh'!$H:$H,"A")</f>
        <v>0</v>
      </c>
      <c r="H20" s="147">
        <f t="shared" si="12"/>
        <v>1</v>
      </c>
      <c r="I20" s="151"/>
      <c r="J20" s="146">
        <f>+COUNTIFS('LOI and Commissioning Master Sh'!$D:$D,'Planned in Nov Dec'!$A20,'LOI and Commissioning Master Sh'!$G:$G,'Planned in Nov Dec'!J$18,'LOI and Commissioning Master Sh'!$X:$X,"Yes",'LOI and Commissioning Master Sh'!$H:$H,"B")</f>
        <v>0</v>
      </c>
      <c r="K20" s="146">
        <f>+COUNTIFS('LOI and Commissioning Master Sh'!$D:$D,'Planned in Nov Dec'!$A20,'LOI and Commissioning Master Sh'!$G:$G,'Planned in Nov Dec'!K$18,'LOI and Commissioning Master Sh'!$X:$X,"Yes",'LOI and Commissioning Master Sh'!$H:$H,"B")</f>
        <v>0</v>
      </c>
      <c r="L20" s="146">
        <f>+COUNTIFS('LOI and Commissioning Master Sh'!$D:$D,'Planned in Nov Dec'!$A20,'LOI and Commissioning Master Sh'!$G:$G,'Planned in Nov Dec'!L$18,'LOI and Commissioning Master Sh'!$X:$X,"Yes",'LOI and Commissioning Master Sh'!$H:$H,"B")</f>
        <v>0</v>
      </c>
      <c r="M20" s="146">
        <f>+COUNTIFS('LOI and Commissioning Master Sh'!$D:$D,'Planned in Nov Dec'!$A20,'LOI and Commissioning Master Sh'!$G:$G,'Planned in Nov Dec'!M$18,'LOI and Commissioning Master Sh'!$X:$X,"Yes",'LOI and Commissioning Master Sh'!$H:$H,"B")</f>
        <v>5</v>
      </c>
      <c r="N20" s="146">
        <f>+COUNTIFS('LOI and Commissioning Master Sh'!$D:$D,'Planned in Nov Dec'!$A20,'LOI and Commissioning Master Sh'!$G:$G,'Planned in Nov Dec'!N$18,'LOI and Commissioning Master Sh'!$X:$X,"Yes",'LOI and Commissioning Master Sh'!$H:$H,"B")</f>
        <v>2</v>
      </c>
      <c r="O20" s="146">
        <f>+COUNTIFS('LOI and Commissioning Master Sh'!$D:$D,'Planned in Nov Dec'!$A20,'LOI and Commissioning Master Sh'!$G:$G,'Planned in Nov Dec'!O$18,'LOI and Commissioning Master Sh'!$X:$X,"Yes",'LOI and Commissioning Master Sh'!$H:$H,"B")</f>
        <v>3</v>
      </c>
      <c r="P20" s="147">
        <f t="shared" ref="P20:P29" si="15">SUM(J20:O20)</f>
        <v>10</v>
      </c>
      <c r="Q20" s="151"/>
      <c r="R20" s="146">
        <f>+COUNTIFS('LOI and Commissioning Master Sh'!$D:$D,'Planned in Nov Dec'!$A20,'LOI and Commissioning Master Sh'!$G:$G,'Planned in Nov Dec'!R$3,'LOI and Commissioning Master Sh'!$X:$X,"Yes",'LOI and Commissioning Master Sh'!$H:$H,"A",'LOI and Commissioning Master Sh'!$BW:$BW,"Commissioned")</f>
        <v>0</v>
      </c>
      <c r="S20" s="146">
        <f>+COUNTIFS('LOI and Commissioning Master Sh'!$D:$D,'Planned in Nov Dec'!$A20,'LOI and Commissioning Master Sh'!$G:$G,'Planned in Nov Dec'!S$3,'LOI and Commissioning Master Sh'!$X:$X,"Yes",'LOI and Commissioning Master Sh'!$H:$H,"A",'LOI and Commissioning Master Sh'!$BW:$BW,"Commissioned")</f>
        <v>0</v>
      </c>
      <c r="T20" s="146">
        <f>+COUNTIFS('LOI and Commissioning Master Sh'!$D:$D,'Planned in Nov Dec'!$A20,'LOI and Commissioning Master Sh'!$G:$G,'Planned in Nov Dec'!T$3,'LOI and Commissioning Master Sh'!$X:$X,"Yes",'LOI and Commissioning Master Sh'!$H:$H,"A",'LOI and Commissioning Master Sh'!$BW:$BW,"Commissioned")</f>
        <v>0</v>
      </c>
      <c r="U20" s="146">
        <f>+COUNTIFS('LOI and Commissioning Master Sh'!$D:$D,'Planned in Nov Dec'!$A20,'LOI and Commissioning Master Sh'!$G:$G,'Planned in Nov Dec'!U$3,'LOI and Commissioning Master Sh'!$X:$X,"Yes",'LOI and Commissioning Master Sh'!$H:$H,"A",'LOI and Commissioning Master Sh'!$BW:$BW,"Commissioned")</f>
        <v>0</v>
      </c>
      <c r="V20" s="146">
        <f>+COUNTIFS('LOI and Commissioning Master Sh'!$D:$D,'Planned in Nov Dec'!$A20,'LOI and Commissioning Master Sh'!$G:$G,'Planned in Nov Dec'!V$3,'LOI and Commissioning Master Sh'!$X:$X,"Yes",'LOI and Commissioning Master Sh'!$H:$H,"A",'LOI and Commissioning Master Sh'!$BW:$BW,"Commissioned")</f>
        <v>0</v>
      </c>
      <c r="W20" s="146">
        <f>+COUNTIFS('LOI and Commissioning Master Sh'!$D:$D,'Planned in Nov Dec'!$A20,'LOI and Commissioning Master Sh'!$G:$G,'Planned in Nov Dec'!W$3,'LOI and Commissioning Master Sh'!$X:$X,"Yes",'LOI and Commissioning Master Sh'!$H:$H,"A",'LOI and Commissioning Master Sh'!$BW:$BW,"Commissioned")</f>
        <v>0</v>
      </c>
      <c r="X20" s="150">
        <f t="shared" si="13"/>
        <v>0</v>
      </c>
      <c r="Y20" s="158"/>
      <c r="Z20" s="146">
        <f>+COUNTIFS('LOI and Commissioning Master Sh'!$D:$D,'Planned in Nov Dec'!$A20,'LOI and Commissioning Master Sh'!$G:$G,'Planned in Nov Dec'!Z$18,'LOI and Commissioning Master Sh'!$X:$X,"Yes",'LOI and Commissioning Master Sh'!$H:$H,"B",'LOI and Commissioning Master Sh'!$BW:$BW,"Commissioned")</f>
        <v>0</v>
      </c>
      <c r="AA20" s="146">
        <f>+COUNTIFS('LOI and Commissioning Master Sh'!$D:$D,'Planned in Nov Dec'!$A20,'LOI and Commissioning Master Sh'!$G:$G,'Planned in Nov Dec'!AA$18,'LOI and Commissioning Master Sh'!$X:$X,"Yes",'LOI and Commissioning Master Sh'!$H:$H,"B",'LOI and Commissioning Master Sh'!$BW:$BW,"Commissioned")</f>
        <v>0</v>
      </c>
      <c r="AB20" s="146">
        <f>+COUNTIFS('LOI and Commissioning Master Sh'!$D:$D,'Planned in Nov Dec'!$A20,'LOI and Commissioning Master Sh'!$G:$G,'Planned in Nov Dec'!AB$18,'LOI and Commissioning Master Sh'!$X:$X,"Yes",'LOI and Commissioning Master Sh'!$H:$H,"B",'LOI and Commissioning Master Sh'!$BW:$BW,"Commissioned")</f>
        <v>0</v>
      </c>
      <c r="AC20" s="146">
        <f>+COUNTIFS('LOI and Commissioning Master Sh'!$D:$D,'Planned in Nov Dec'!$A20,'LOI and Commissioning Master Sh'!$G:$G,'Planned in Nov Dec'!AC$18,'LOI and Commissioning Master Sh'!$X:$X,"Yes",'LOI and Commissioning Master Sh'!$H:$H,"B",'LOI and Commissioning Master Sh'!$BW:$BW,"Commissioned")</f>
        <v>1</v>
      </c>
      <c r="AD20" s="146">
        <f>+COUNTIFS('LOI and Commissioning Master Sh'!$D:$D,'Planned in Nov Dec'!$A20,'LOI and Commissioning Master Sh'!$G:$G,'Planned in Nov Dec'!AD$18,'LOI and Commissioning Master Sh'!$X:$X,"Yes",'LOI and Commissioning Master Sh'!$H:$H,"B",'LOI and Commissioning Master Sh'!$BW:$BW,"Commissioned")</f>
        <v>0</v>
      </c>
      <c r="AE20" s="146">
        <f>+COUNTIFS('LOI and Commissioning Master Sh'!$D:$D,'Planned in Nov Dec'!$A20,'LOI and Commissioning Master Sh'!$G:$G,'Planned in Nov Dec'!AE$18,'LOI and Commissioning Master Sh'!$X:$X,"Yes",'LOI and Commissioning Master Sh'!$H:$H,"B",'LOI and Commissioning Master Sh'!$BW:$BW,"Commissioned")</f>
        <v>0</v>
      </c>
      <c r="AF20" s="150">
        <f t="shared" si="14"/>
        <v>1</v>
      </c>
      <c r="AG20" s="151"/>
      <c r="AH20" s="146">
        <f>+COUNTIFS('LOI and Commissioning Master Sh'!$D:$D,'Planned in Nov Dec'!$A20,'LOI and Commissioning Master Sh'!$G:$G,'Planned in Nov Dec'!AH$3,'LOI and Commissioning Master Sh'!$X:$X,"Yes",'LOI and Commissioning Master Sh'!$BW:$BW,"Commissioned",'LOI and Commissioning Master Sh'!$AS:$AS,'Planned in Nov Dec'!AH$18)</f>
        <v>0</v>
      </c>
      <c r="AI20" s="146">
        <f>+COUNTIFS('LOI and Commissioning Master Sh'!$D:$D,'Planned in Nov Dec'!$A20,'LOI and Commissioning Master Sh'!$G:$G,'Planned in Nov Dec'!AI$3,'LOI and Commissioning Master Sh'!$X:$X,"Yes",'LOI and Commissioning Master Sh'!$BW:$BW,"Commissioned",'LOI and Commissioning Master Sh'!$AS:$AS,'Planned in Nov Dec'!AI$18)</f>
        <v>0</v>
      </c>
      <c r="AJ20" s="146">
        <f>+COUNTIFS('LOI and Commissioning Master Sh'!$D:$D,'Planned in Nov Dec'!$A20,'LOI and Commissioning Master Sh'!$G:$G,'Planned in Nov Dec'!AJ$3,'LOI and Commissioning Master Sh'!$X:$X,"Yes",'LOI and Commissioning Master Sh'!$BW:$BW,"Commissioned",'LOI and Commissioning Master Sh'!$AS:$AS,'Planned in Nov Dec'!AJ$18)</f>
        <v>0</v>
      </c>
      <c r="AK20" s="146">
        <f>+COUNTIFS('LOI and Commissioning Master Sh'!$D:$D,'Planned in Nov Dec'!$A20,'LOI and Commissioning Master Sh'!$G:$G,'Planned in Nov Dec'!AK$3,'LOI and Commissioning Master Sh'!$X:$X,"Yes",'LOI and Commissioning Master Sh'!$BW:$BW,"Commissioned",'LOI and Commissioning Master Sh'!$AS:$AS,'Planned in Nov Dec'!AK$18)</f>
        <v>0</v>
      </c>
      <c r="AL20" s="146">
        <f>+COUNTIFS('LOI and Commissioning Master Sh'!$D:$D,'Planned in Nov Dec'!$A20,'LOI and Commissioning Master Sh'!$G:$G,'Planned in Nov Dec'!AL$3,'LOI and Commissioning Master Sh'!$X:$X,"Yes",'LOI and Commissioning Master Sh'!$BW:$BW,"Commissioned",'LOI and Commissioning Master Sh'!$AS:$AS,'Planned in Nov Dec'!AL$18)</f>
        <v>0</v>
      </c>
      <c r="AM20" s="146">
        <f>+COUNTIFS('LOI and Commissioning Master Sh'!$D:$D,'Planned in Nov Dec'!$A20,'LOI and Commissioning Master Sh'!$G:$G,'Planned in Nov Dec'!AM$3,'LOI and Commissioning Master Sh'!$X:$X,"Yes",'LOI and Commissioning Master Sh'!$BW:$BW,"Commissioned",'LOI and Commissioning Master Sh'!$AS:$AS,'Planned in Nov Dec'!AM$18)</f>
        <v>0</v>
      </c>
      <c r="AN20" s="146">
        <f>+COUNTIFS('LOI and Commissioning Master Sh'!$D:$D,'Planned in Nov Dec'!$A20,'LOI and Commissioning Master Sh'!$G:$G,'Planned in Nov Dec'!AN$3,'LOI and Commissioning Master Sh'!$X:$X,"Yes",'LOI and Commissioning Master Sh'!$BW:$BW,"Commissioned",'LOI and Commissioning Master Sh'!$AS:$AS,'Planned in Nov Dec'!AN$18)</f>
        <v>0</v>
      </c>
      <c r="AO20" s="146">
        <f>+COUNTIFS('LOI and Commissioning Master Sh'!$D:$D,'Planned in Nov Dec'!$A20,'LOI and Commissioning Master Sh'!$G:$G,'Planned in Nov Dec'!AO$3,'LOI and Commissioning Master Sh'!$X:$X,"Yes",'LOI and Commissioning Master Sh'!$BW:$BW,"Commissioned",'LOI and Commissioning Master Sh'!$AS:$AS,'Planned in Nov Dec'!AO$18)</f>
        <v>0</v>
      </c>
      <c r="AP20" s="146">
        <f>+COUNTIFS('LOI and Commissioning Master Sh'!$D:$D,'Planned in Nov Dec'!$A20,'LOI and Commissioning Master Sh'!$G:$G,'Planned in Nov Dec'!AP$3,'LOI and Commissioning Master Sh'!$X:$X,"Yes",'LOI and Commissioning Master Sh'!$BW:$BW,"Commissioned",'LOI and Commissioning Master Sh'!$AS:$AS,'Planned in Nov Dec'!AP$18)</f>
        <v>0</v>
      </c>
      <c r="AQ20" s="146">
        <f>+COUNTIFS('LOI and Commissioning Master Sh'!$D:$D,'Planned in Nov Dec'!$A20,'LOI and Commissioning Master Sh'!$G:$G,'Planned in Nov Dec'!AQ$3,'LOI and Commissioning Master Sh'!$X:$X,"Yes",'LOI and Commissioning Master Sh'!$BW:$BW,"Commissioned",'LOI and Commissioning Master Sh'!$AS:$AS,'Planned in Nov Dec'!AQ$18)</f>
        <v>0</v>
      </c>
      <c r="AR20" s="146">
        <f>+COUNTIFS('LOI and Commissioning Master Sh'!$D:$D,'Planned in Nov Dec'!$A20,'LOI and Commissioning Master Sh'!$G:$G,'Planned in Nov Dec'!AR$3,'LOI and Commissioning Master Sh'!$X:$X,"Yes",'LOI and Commissioning Master Sh'!$BW:$BW,"Commissioned",'LOI and Commissioning Master Sh'!$AS:$AS,'Planned in Nov Dec'!AR$18)</f>
        <v>0</v>
      </c>
      <c r="AS20" s="146">
        <f>+COUNTIFS('LOI and Commissioning Master Sh'!$D:$D,'Planned in Nov Dec'!$A20,'LOI and Commissioning Master Sh'!$G:$G,'Planned in Nov Dec'!AS$3,'LOI and Commissioning Master Sh'!$X:$X,"Yes",'LOI and Commissioning Master Sh'!$BW:$BW,"Commissioned",'LOI and Commissioning Master Sh'!$AS:$AS,'Planned in Nov Dec'!AS$18)</f>
        <v>0</v>
      </c>
      <c r="AT20" s="160">
        <f t="shared" ref="AT20:AT29" si="16">SUM(AH20:AS20)</f>
        <v>0</v>
      </c>
      <c r="AW20" s="146">
        <f>+COUNTIFS('LOI and Commissioning Master Sh'!$D:$D,'Planned in Nov Dec'!$A20,'LOI and Commissioning Master Sh'!$G:$G,'Planned in Nov Dec'!AW$18,'LOI and Commissioning Master Sh'!$X:$X,"Yes",'LOI and Commissioning Master Sh'!$I:$I,'Planned in Nov Dec'!AW$18,'LOI and Commissioning Master Sh'!$BW:$BW,"Commissioned")</f>
        <v>0</v>
      </c>
      <c r="AX20" s="146">
        <f>+COUNTIFS('LOI and Commissioning Master Sh'!$D:$D,'Planned in Nov Dec'!$A20,'LOI and Commissioning Master Sh'!$G:$G,'Planned in Nov Dec'!AX$18,'LOI and Commissioning Master Sh'!$X:$X,"Yes",'LOI and Commissioning Master Sh'!$I:$I,'Planned in Nov Dec'!AX$18,'LOI and Commissioning Master Sh'!$BW:$BW,"Commissioned")</f>
        <v>0</v>
      </c>
      <c r="AY20" s="161">
        <f t="shared" ref="AY20:AY30" si="17">SUM(AW20:AX20)</f>
        <v>0</v>
      </c>
    </row>
    <row r="21" spans="1:54" ht="15.75" hidden="1" thickBot="1" x14ac:dyDescent="0.3">
      <c r="A21" s="145" t="s">
        <v>383</v>
      </c>
      <c r="B21" s="146">
        <f>+COUNTIFS('LOI and Commissioning Master Sh'!$D:$D,'Planned in Nov Dec'!$A21,'LOI and Commissioning Master Sh'!$G:$G,'Planned in Nov Dec'!B$3,'LOI and Commissioning Master Sh'!$X:$X,"Yes",'LOI and Commissioning Master Sh'!$H:$H,"A")</f>
        <v>1</v>
      </c>
      <c r="C21" s="146">
        <f>+COUNTIFS('LOI and Commissioning Master Sh'!$D:$D,'Planned in Nov Dec'!$A21,'LOI and Commissioning Master Sh'!$G:$G,'Planned in Nov Dec'!C$3,'LOI and Commissioning Master Sh'!$X:$X,"Yes",'LOI and Commissioning Master Sh'!$H:$H,"A")</f>
        <v>0</v>
      </c>
      <c r="D21" s="146">
        <f>+COUNTIFS('LOI and Commissioning Master Sh'!$D:$D,'Planned in Nov Dec'!$A21,'LOI and Commissioning Master Sh'!$G:$G,'Planned in Nov Dec'!D$3,'LOI and Commissioning Master Sh'!$X:$X,"Yes",'LOI and Commissioning Master Sh'!$H:$H,"A")</f>
        <v>0</v>
      </c>
      <c r="E21" s="146">
        <f>+COUNTIFS('LOI and Commissioning Master Sh'!$D:$D,'Planned in Nov Dec'!$A21,'LOI and Commissioning Master Sh'!$G:$G,'Planned in Nov Dec'!E$3,'LOI and Commissioning Master Sh'!$X:$X,"Yes",'LOI and Commissioning Master Sh'!$H:$H,"A")</f>
        <v>1</v>
      </c>
      <c r="F21" s="146">
        <f>+COUNTIFS('LOI and Commissioning Master Sh'!$D:$D,'Planned in Nov Dec'!$A21,'LOI and Commissioning Master Sh'!$G:$G,'Planned in Nov Dec'!F$3,'LOI and Commissioning Master Sh'!$X:$X,"Yes",'LOI and Commissioning Master Sh'!$H:$H,"A")</f>
        <v>0</v>
      </c>
      <c r="G21" s="146">
        <f>+COUNTIFS('LOI and Commissioning Master Sh'!$D:$D,'Planned in Nov Dec'!$A21,'LOI and Commissioning Master Sh'!$G:$G,'Planned in Nov Dec'!G$3,'LOI and Commissioning Master Sh'!$X:$X,"Yes",'LOI and Commissioning Master Sh'!$H:$H,"A")</f>
        <v>0</v>
      </c>
      <c r="H21" s="147">
        <f t="shared" si="12"/>
        <v>2</v>
      </c>
      <c r="I21" s="151"/>
      <c r="J21" s="146">
        <f>+COUNTIFS('LOI and Commissioning Master Sh'!$D:$D,'Planned in Nov Dec'!$A21,'LOI and Commissioning Master Sh'!$G:$G,'Planned in Nov Dec'!J$18,'LOI and Commissioning Master Sh'!$X:$X,"Yes",'LOI and Commissioning Master Sh'!$H:$H,"B")</f>
        <v>1</v>
      </c>
      <c r="K21" s="146">
        <f>+COUNTIFS('LOI and Commissioning Master Sh'!$D:$D,'Planned in Nov Dec'!$A21,'LOI and Commissioning Master Sh'!$G:$G,'Planned in Nov Dec'!K$18,'LOI and Commissioning Master Sh'!$X:$X,"Yes",'LOI and Commissioning Master Sh'!$H:$H,"B")</f>
        <v>0</v>
      </c>
      <c r="L21" s="146">
        <f>+COUNTIFS('LOI and Commissioning Master Sh'!$D:$D,'Planned in Nov Dec'!$A21,'LOI and Commissioning Master Sh'!$G:$G,'Planned in Nov Dec'!L$18,'LOI and Commissioning Master Sh'!$X:$X,"Yes",'LOI and Commissioning Master Sh'!$H:$H,"B")</f>
        <v>0</v>
      </c>
      <c r="M21" s="146">
        <f>+COUNTIFS('LOI and Commissioning Master Sh'!$D:$D,'Planned in Nov Dec'!$A21,'LOI and Commissioning Master Sh'!$G:$G,'Planned in Nov Dec'!M$18,'LOI and Commissioning Master Sh'!$X:$X,"Yes",'LOI and Commissioning Master Sh'!$H:$H,"B")</f>
        <v>0</v>
      </c>
      <c r="N21" s="146">
        <f>+COUNTIFS('LOI and Commissioning Master Sh'!$D:$D,'Planned in Nov Dec'!$A21,'LOI and Commissioning Master Sh'!$G:$G,'Planned in Nov Dec'!N$18,'LOI and Commissioning Master Sh'!$X:$X,"Yes",'LOI and Commissioning Master Sh'!$H:$H,"B")</f>
        <v>0</v>
      </c>
      <c r="O21" s="146">
        <f>+COUNTIFS('LOI and Commissioning Master Sh'!$D:$D,'Planned in Nov Dec'!$A21,'LOI and Commissioning Master Sh'!$G:$G,'Planned in Nov Dec'!O$18,'LOI and Commissioning Master Sh'!$X:$X,"Yes",'LOI and Commissioning Master Sh'!$H:$H,"B")</f>
        <v>0</v>
      </c>
      <c r="P21" s="147">
        <f t="shared" si="15"/>
        <v>1</v>
      </c>
      <c r="Q21" s="151"/>
      <c r="R21" s="146">
        <f>+COUNTIFS('LOI and Commissioning Master Sh'!$D:$D,'Planned in Nov Dec'!$A21,'LOI and Commissioning Master Sh'!$G:$G,'Planned in Nov Dec'!R$3,'LOI and Commissioning Master Sh'!$X:$X,"Yes",'LOI and Commissioning Master Sh'!$H:$H,"A",'LOI and Commissioning Master Sh'!$BW:$BW,"Commissioned")</f>
        <v>0</v>
      </c>
      <c r="S21" s="146">
        <f>+COUNTIFS('LOI and Commissioning Master Sh'!$D:$D,'Planned in Nov Dec'!$A21,'LOI and Commissioning Master Sh'!$G:$G,'Planned in Nov Dec'!S$3,'LOI and Commissioning Master Sh'!$X:$X,"Yes",'LOI and Commissioning Master Sh'!$H:$H,"A",'LOI and Commissioning Master Sh'!$BW:$BW,"Commissioned")</f>
        <v>0</v>
      </c>
      <c r="T21" s="146">
        <f>+COUNTIFS('LOI and Commissioning Master Sh'!$D:$D,'Planned in Nov Dec'!$A21,'LOI and Commissioning Master Sh'!$G:$G,'Planned in Nov Dec'!T$3,'LOI and Commissioning Master Sh'!$X:$X,"Yes",'LOI and Commissioning Master Sh'!$H:$H,"A",'LOI and Commissioning Master Sh'!$BW:$BW,"Commissioned")</f>
        <v>0</v>
      </c>
      <c r="U21" s="146">
        <f>+COUNTIFS('LOI and Commissioning Master Sh'!$D:$D,'Planned in Nov Dec'!$A21,'LOI and Commissioning Master Sh'!$G:$G,'Planned in Nov Dec'!U$3,'LOI and Commissioning Master Sh'!$X:$X,"Yes",'LOI and Commissioning Master Sh'!$H:$H,"A",'LOI and Commissioning Master Sh'!$BW:$BW,"Commissioned")</f>
        <v>0</v>
      </c>
      <c r="V21" s="146">
        <f>+COUNTIFS('LOI and Commissioning Master Sh'!$D:$D,'Planned in Nov Dec'!$A21,'LOI and Commissioning Master Sh'!$G:$G,'Planned in Nov Dec'!V$3,'LOI and Commissioning Master Sh'!$X:$X,"Yes",'LOI and Commissioning Master Sh'!$H:$H,"A",'LOI and Commissioning Master Sh'!$BW:$BW,"Commissioned")</f>
        <v>0</v>
      </c>
      <c r="W21" s="146">
        <f>+COUNTIFS('LOI and Commissioning Master Sh'!$D:$D,'Planned in Nov Dec'!$A21,'LOI and Commissioning Master Sh'!$G:$G,'Planned in Nov Dec'!W$3,'LOI and Commissioning Master Sh'!$X:$X,"Yes",'LOI and Commissioning Master Sh'!$H:$H,"A",'LOI and Commissioning Master Sh'!$BW:$BW,"Commissioned")</f>
        <v>0</v>
      </c>
      <c r="X21" s="150">
        <f t="shared" si="13"/>
        <v>0</v>
      </c>
      <c r="Y21" s="158"/>
      <c r="Z21" s="146">
        <f>+COUNTIFS('LOI and Commissioning Master Sh'!$D:$D,'Planned in Nov Dec'!$A21,'LOI and Commissioning Master Sh'!$G:$G,'Planned in Nov Dec'!Z$18,'LOI and Commissioning Master Sh'!$X:$X,"Yes",'LOI and Commissioning Master Sh'!$H:$H,"B",'LOI and Commissioning Master Sh'!$BW:$BW,"Commissioned")</f>
        <v>0</v>
      </c>
      <c r="AA21" s="146">
        <f>+COUNTIFS('LOI and Commissioning Master Sh'!$D:$D,'Planned in Nov Dec'!$A21,'LOI and Commissioning Master Sh'!$G:$G,'Planned in Nov Dec'!AA$18,'LOI and Commissioning Master Sh'!$X:$X,"Yes",'LOI and Commissioning Master Sh'!$H:$H,"B",'LOI and Commissioning Master Sh'!$BW:$BW,"Commissioned")</f>
        <v>0</v>
      </c>
      <c r="AB21" s="146">
        <f>+COUNTIFS('LOI and Commissioning Master Sh'!$D:$D,'Planned in Nov Dec'!$A21,'LOI and Commissioning Master Sh'!$G:$G,'Planned in Nov Dec'!AB$18,'LOI and Commissioning Master Sh'!$X:$X,"Yes",'LOI and Commissioning Master Sh'!$H:$H,"B",'LOI and Commissioning Master Sh'!$BW:$BW,"Commissioned")</f>
        <v>0</v>
      </c>
      <c r="AC21" s="146">
        <f>+COUNTIFS('LOI and Commissioning Master Sh'!$D:$D,'Planned in Nov Dec'!$A21,'LOI and Commissioning Master Sh'!$G:$G,'Planned in Nov Dec'!AC$18,'LOI and Commissioning Master Sh'!$X:$X,"Yes",'LOI and Commissioning Master Sh'!$H:$H,"B",'LOI and Commissioning Master Sh'!$BW:$BW,"Commissioned")</f>
        <v>0</v>
      </c>
      <c r="AD21" s="146">
        <f>+COUNTIFS('LOI and Commissioning Master Sh'!$D:$D,'Planned in Nov Dec'!$A21,'LOI and Commissioning Master Sh'!$G:$G,'Planned in Nov Dec'!AD$18,'LOI and Commissioning Master Sh'!$X:$X,"Yes",'LOI and Commissioning Master Sh'!$H:$H,"B",'LOI and Commissioning Master Sh'!$BW:$BW,"Commissioned")</f>
        <v>0</v>
      </c>
      <c r="AE21" s="146">
        <f>+COUNTIFS('LOI and Commissioning Master Sh'!$D:$D,'Planned in Nov Dec'!$A21,'LOI and Commissioning Master Sh'!$G:$G,'Planned in Nov Dec'!AE$18,'LOI and Commissioning Master Sh'!$X:$X,"Yes",'LOI and Commissioning Master Sh'!$H:$H,"B",'LOI and Commissioning Master Sh'!$BW:$BW,"Commissioned")</f>
        <v>0</v>
      </c>
      <c r="AF21" s="150">
        <f t="shared" si="14"/>
        <v>0</v>
      </c>
      <c r="AG21" s="151"/>
      <c r="AH21" s="146">
        <f>+COUNTIFS('LOI and Commissioning Master Sh'!$D:$D,'Planned in Nov Dec'!$A21,'LOI and Commissioning Master Sh'!$G:$G,'Planned in Nov Dec'!AH$3,'LOI and Commissioning Master Sh'!$X:$X,"Yes",'LOI and Commissioning Master Sh'!$BW:$BW,"Commissioned",'LOI and Commissioning Master Sh'!$AS:$AS,'Planned in Nov Dec'!AH$18)</f>
        <v>0</v>
      </c>
      <c r="AI21" s="146">
        <f>+COUNTIFS('LOI and Commissioning Master Sh'!$D:$D,'Planned in Nov Dec'!$A21,'LOI and Commissioning Master Sh'!$G:$G,'Planned in Nov Dec'!AI$3,'LOI and Commissioning Master Sh'!$X:$X,"Yes",'LOI and Commissioning Master Sh'!$BW:$BW,"Commissioned",'LOI and Commissioning Master Sh'!$AS:$AS,'Planned in Nov Dec'!AI$18)</f>
        <v>0</v>
      </c>
      <c r="AJ21" s="146">
        <f>+COUNTIFS('LOI and Commissioning Master Sh'!$D:$D,'Planned in Nov Dec'!$A21,'LOI and Commissioning Master Sh'!$G:$G,'Planned in Nov Dec'!AJ$3,'LOI and Commissioning Master Sh'!$X:$X,"Yes",'LOI and Commissioning Master Sh'!$BW:$BW,"Commissioned",'LOI and Commissioning Master Sh'!$AS:$AS,'Planned in Nov Dec'!AJ$18)</f>
        <v>0</v>
      </c>
      <c r="AK21" s="146">
        <f>+COUNTIFS('LOI and Commissioning Master Sh'!$D:$D,'Planned in Nov Dec'!$A21,'LOI and Commissioning Master Sh'!$G:$G,'Planned in Nov Dec'!AK$3,'LOI and Commissioning Master Sh'!$X:$X,"Yes",'LOI and Commissioning Master Sh'!$BW:$BW,"Commissioned",'LOI and Commissioning Master Sh'!$AS:$AS,'Planned in Nov Dec'!AK$18)</f>
        <v>0</v>
      </c>
      <c r="AL21" s="146">
        <f>+COUNTIFS('LOI and Commissioning Master Sh'!$D:$D,'Planned in Nov Dec'!$A21,'LOI and Commissioning Master Sh'!$G:$G,'Planned in Nov Dec'!AL$3,'LOI and Commissioning Master Sh'!$X:$X,"Yes",'LOI and Commissioning Master Sh'!$BW:$BW,"Commissioned",'LOI and Commissioning Master Sh'!$AS:$AS,'Planned in Nov Dec'!AL$18)</f>
        <v>0</v>
      </c>
      <c r="AM21" s="146">
        <f>+COUNTIFS('LOI and Commissioning Master Sh'!$D:$D,'Planned in Nov Dec'!$A21,'LOI and Commissioning Master Sh'!$G:$G,'Planned in Nov Dec'!AM$3,'LOI and Commissioning Master Sh'!$X:$X,"Yes",'LOI and Commissioning Master Sh'!$BW:$BW,"Commissioned",'LOI and Commissioning Master Sh'!$AS:$AS,'Planned in Nov Dec'!AM$18)</f>
        <v>0</v>
      </c>
      <c r="AN21" s="146">
        <f>+COUNTIFS('LOI and Commissioning Master Sh'!$D:$D,'Planned in Nov Dec'!$A21,'LOI and Commissioning Master Sh'!$G:$G,'Planned in Nov Dec'!AN$3,'LOI and Commissioning Master Sh'!$X:$X,"Yes",'LOI and Commissioning Master Sh'!$BW:$BW,"Commissioned",'LOI and Commissioning Master Sh'!$AS:$AS,'Planned in Nov Dec'!AN$18)</f>
        <v>0</v>
      </c>
      <c r="AO21" s="146">
        <f>+COUNTIFS('LOI and Commissioning Master Sh'!$D:$D,'Planned in Nov Dec'!$A21,'LOI and Commissioning Master Sh'!$G:$G,'Planned in Nov Dec'!AO$3,'LOI and Commissioning Master Sh'!$X:$X,"Yes",'LOI and Commissioning Master Sh'!$BW:$BW,"Commissioned",'LOI and Commissioning Master Sh'!$AS:$AS,'Planned in Nov Dec'!AO$18)</f>
        <v>0</v>
      </c>
      <c r="AP21" s="146">
        <f>+COUNTIFS('LOI and Commissioning Master Sh'!$D:$D,'Planned in Nov Dec'!$A21,'LOI and Commissioning Master Sh'!$G:$G,'Planned in Nov Dec'!AP$3,'LOI and Commissioning Master Sh'!$X:$X,"Yes",'LOI and Commissioning Master Sh'!$BW:$BW,"Commissioned",'LOI and Commissioning Master Sh'!$AS:$AS,'Planned in Nov Dec'!AP$18)</f>
        <v>0</v>
      </c>
      <c r="AQ21" s="146">
        <f>+COUNTIFS('LOI and Commissioning Master Sh'!$D:$D,'Planned in Nov Dec'!$A21,'LOI and Commissioning Master Sh'!$G:$G,'Planned in Nov Dec'!AQ$3,'LOI and Commissioning Master Sh'!$X:$X,"Yes",'LOI and Commissioning Master Sh'!$BW:$BW,"Commissioned",'LOI and Commissioning Master Sh'!$AS:$AS,'Planned in Nov Dec'!AQ$18)</f>
        <v>0</v>
      </c>
      <c r="AR21" s="146">
        <f>+COUNTIFS('LOI and Commissioning Master Sh'!$D:$D,'Planned in Nov Dec'!$A21,'LOI and Commissioning Master Sh'!$G:$G,'Planned in Nov Dec'!AR$3,'LOI and Commissioning Master Sh'!$X:$X,"Yes",'LOI and Commissioning Master Sh'!$BW:$BW,"Commissioned",'LOI and Commissioning Master Sh'!$AS:$AS,'Planned in Nov Dec'!AR$18)</f>
        <v>0</v>
      </c>
      <c r="AS21" s="146">
        <f>+COUNTIFS('LOI and Commissioning Master Sh'!$D:$D,'Planned in Nov Dec'!$A21,'LOI and Commissioning Master Sh'!$G:$G,'Planned in Nov Dec'!AS$3,'LOI and Commissioning Master Sh'!$X:$X,"Yes",'LOI and Commissioning Master Sh'!$BW:$BW,"Commissioned",'LOI and Commissioning Master Sh'!$AS:$AS,'Planned in Nov Dec'!AS$18)</f>
        <v>0</v>
      </c>
      <c r="AT21" s="160">
        <f t="shared" si="16"/>
        <v>0</v>
      </c>
      <c r="AW21" s="146">
        <f>+COUNTIFS('LOI and Commissioning Master Sh'!$D:$D,'Planned in Nov Dec'!$A21,'LOI and Commissioning Master Sh'!$G:$G,'Planned in Nov Dec'!AW$18,'LOI and Commissioning Master Sh'!$X:$X,"Yes",'LOI and Commissioning Master Sh'!$I:$I,'Planned in Nov Dec'!AW$18,'LOI and Commissioning Master Sh'!$BW:$BW,"Commissioned")</f>
        <v>0</v>
      </c>
      <c r="AX21" s="146">
        <f>+COUNTIFS('LOI and Commissioning Master Sh'!$D:$D,'Planned in Nov Dec'!$A21,'LOI and Commissioning Master Sh'!$G:$G,'Planned in Nov Dec'!AX$18,'LOI and Commissioning Master Sh'!$X:$X,"Yes",'LOI and Commissioning Master Sh'!$I:$I,'Planned in Nov Dec'!AX$18,'LOI and Commissioning Master Sh'!$BW:$BW,"Commissioned")</f>
        <v>0</v>
      </c>
      <c r="AY21" s="161">
        <f t="shared" si="17"/>
        <v>0</v>
      </c>
    </row>
    <row r="22" spans="1:54" ht="15.75" hidden="1" thickBot="1" x14ac:dyDescent="0.3">
      <c r="A22" s="145" t="s">
        <v>150</v>
      </c>
      <c r="B22" s="146">
        <f>+COUNTIFS('LOI and Commissioning Master Sh'!$D:$D,'Planned in Nov Dec'!$A22,'LOI and Commissioning Master Sh'!$G:$G,'Planned in Nov Dec'!B$3,'LOI and Commissioning Master Sh'!$X:$X,"Yes",'LOI and Commissioning Master Sh'!$H:$H,"A")</f>
        <v>4</v>
      </c>
      <c r="C22" s="146">
        <f>+COUNTIFS('LOI and Commissioning Master Sh'!$D:$D,'Planned in Nov Dec'!$A22,'LOI and Commissioning Master Sh'!$G:$G,'Planned in Nov Dec'!C$3,'LOI and Commissioning Master Sh'!$X:$X,"Yes",'LOI and Commissioning Master Sh'!$H:$H,"A")</f>
        <v>0</v>
      </c>
      <c r="D22" s="146">
        <f>+COUNTIFS('LOI and Commissioning Master Sh'!$D:$D,'Planned in Nov Dec'!$A22,'LOI and Commissioning Master Sh'!$G:$G,'Planned in Nov Dec'!D$3,'LOI and Commissioning Master Sh'!$X:$X,"Yes",'LOI and Commissioning Master Sh'!$H:$H,"A")</f>
        <v>0</v>
      </c>
      <c r="E22" s="146">
        <f>+COUNTIFS('LOI and Commissioning Master Sh'!$D:$D,'Planned in Nov Dec'!$A22,'LOI and Commissioning Master Sh'!$G:$G,'Planned in Nov Dec'!E$3,'LOI and Commissioning Master Sh'!$X:$X,"Yes",'LOI and Commissioning Master Sh'!$H:$H,"A")</f>
        <v>1</v>
      </c>
      <c r="F22" s="146">
        <f>+COUNTIFS('LOI and Commissioning Master Sh'!$D:$D,'Planned in Nov Dec'!$A22,'LOI and Commissioning Master Sh'!$G:$G,'Planned in Nov Dec'!F$3,'LOI and Commissioning Master Sh'!$X:$X,"Yes",'LOI and Commissioning Master Sh'!$H:$H,"A")</f>
        <v>0</v>
      </c>
      <c r="G22" s="146">
        <f>+COUNTIFS('LOI and Commissioning Master Sh'!$D:$D,'Planned in Nov Dec'!$A22,'LOI and Commissioning Master Sh'!$G:$G,'Planned in Nov Dec'!G$3,'LOI and Commissioning Master Sh'!$X:$X,"Yes",'LOI and Commissioning Master Sh'!$H:$H,"A")</f>
        <v>0</v>
      </c>
      <c r="H22" s="147">
        <f t="shared" si="12"/>
        <v>5</v>
      </c>
      <c r="I22" s="151"/>
      <c r="J22" s="146">
        <f>+COUNTIFS('LOI and Commissioning Master Sh'!$D:$D,'Planned in Nov Dec'!$A22,'LOI and Commissioning Master Sh'!$G:$G,'Planned in Nov Dec'!J$18,'LOI and Commissioning Master Sh'!$X:$X,"Yes",'LOI and Commissioning Master Sh'!$H:$H,"B")</f>
        <v>1</v>
      </c>
      <c r="K22" s="146">
        <f>+COUNTIFS('LOI and Commissioning Master Sh'!$D:$D,'Planned in Nov Dec'!$A22,'LOI and Commissioning Master Sh'!$G:$G,'Planned in Nov Dec'!K$18,'LOI and Commissioning Master Sh'!$X:$X,"Yes",'LOI and Commissioning Master Sh'!$H:$H,"B")</f>
        <v>0</v>
      </c>
      <c r="L22" s="146">
        <f>+COUNTIFS('LOI and Commissioning Master Sh'!$D:$D,'Planned in Nov Dec'!$A22,'LOI and Commissioning Master Sh'!$G:$G,'Planned in Nov Dec'!L$18,'LOI and Commissioning Master Sh'!$X:$X,"Yes",'LOI and Commissioning Master Sh'!$H:$H,"B")</f>
        <v>0</v>
      </c>
      <c r="M22" s="146">
        <f>+COUNTIFS('LOI and Commissioning Master Sh'!$D:$D,'Planned in Nov Dec'!$A22,'LOI and Commissioning Master Sh'!$G:$G,'Planned in Nov Dec'!M$18,'LOI and Commissioning Master Sh'!$X:$X,"Yes",'LOI and Commissioning Master Sh'!$H:$H,"B")</f>
        <v>0</v>
      </c>
      <c r="N22" s="146">
        <f>+COUNTIFS('LOI and Commissioning Master Sh'!$D:$D,'Planned in Nov Dec'!$A22,'LOI and Commissioning Master Sh'!$G:$G,'Planned in Nov Dec'!N$18,'LOI and Commissioning Master Sh'!$X:$X,"Yes",'LOI and Commissioning Master Sh'!$H:$H,"B")</f>
        <v>0</v>
      </c>
      <c r="O22" s="146">
        <f>+COUNTIFS('LOI and Commissioning Master Sh'!$D:$D,'Planned in Nov Dec'!$A22,'LOI and Commissioning Master Sh'!$G:$G,'Planned in Nov Dec'!O$18,'LOI and Commissioning Master Sh'!$X:$X,"Yes",'LOI and Commissioning Master Sh'!$H:$H,"B")</f>
        <v>0</v>
      </c>
      <c r="P22" s="147">
        <f t="shared" si="15"/>
        <v>1</v>
      </c>
      <c r="Q22" s="151"/>
      <c r="R22" s="146">
        <f>+COUNTIFS('LOI and Commissioning Master Sh'!$D:$D,'Planned in Nov Dec'!$A22,'LOI and Commissioning Master Sh'!$G:$G,'Planned in Nov Dec'!R$3,'LOI and Commissioning Master Sh'!$X:$X,"Yes",'LOI and Commissioning Master Sh'!$H:$H,"A",'LOI and Commissioning Master Sh'!$BW:$BW,"Commissioned")</f>
        <v>1</v>
      </c>
      <c r="S22" s="146">
        <f>+COUNTIFS('LOI and Commissioning Master Sh'!$D:$D,'Planned in Nov Dec'!$A22,'LOI and Commissioning Master Sh'!$G:$G,'Planned in Nov Dec'!S$3,'LOI and Commissioning Master Sh'!$X:$X,"Yes",'LOI and Commissioning Master Sh'!$H:$H,"A",'LOI and Commissioning Master Sh'!$BW:$BW,"Commissioned")</f>
        <v>0</v>
      </c>
      <c r="T22" s="146">
        <f>+COUNTIFS('LOI and Commissioning Master Sh'!$D:$D,'Planned in Nov Dec'!$A22,'LOI and Commissioning Master Sh'!$G:$G,'Planned in Nov Dec'!T$3,'LOI and Commissioning Master Sh'!$X:$X,"Yes",'LOI and Commissioning Master Sh'!$H:$H,"A",'LOI and Commissioning Master Sh'!$BW:$BW,"Commissioned")</f>
        <v>0</v>
      </c>
      <c r="U22" s="146">
        <f>+COUNTIFS('LOI and Commissioning Master Sh'!$D:$D,'Planned in Nov Dec'!$A22,'LOI and Commissioning Master Sh'!$G:$G,'Planned in Nov Dec'!U$3,'LOI and Commissioning Master Sh'!$X:$X,"Yes",'LOI and Commissioning Master Sh'!$H:$H,"A",'LOI and Commissioning Master Sh'!$BW:$BW,"Commissioned")</f>
        <v>0</v>
      </c>
      <c r="V22" s="146">
        <f>+COUNTIFS('LOI and Commissioning Master Sh'!$D:$D,'Planned in Nov Dec'!$A22,'LOI and Commissioning Master Sh'!$G:$G,'Planned in Nov Dec'!V$3,'LOI and Commissioning Master Sh'!$X:$X,"Yes",'LOI and Commissioning Master Sh'!$H:$H,"A",'LOI and Commissioning Master Sh'!$BW:$BW,"Commissioned")</f>
        <v>0</v>
      </c>
      <c r="W22" s="146">
        <f>+COUNTIFS('LOI and Commissioning Master Sh'!$D:$D,'Planned in Nov Dec'!$A22,'LOI and Commissioning Master Sh'!$G:$G,'Planned in Nov Dec'!W$3,'LOI and Commissioning Master Sh'!$X:$X,"Yes",'LOI and Commissioning Master Sh'!$H:$H,"A",'LOI and Commissioning Master Sh'!$BW:$BW,"Commissioned")</f>
        <v>0</v>
      </c>
      <c r="X22" s="150">
        <f t="shared" si="13"/>
        <v>1</v>
      </c>
      <c r="Y22" s="158"/>
      <c r="Z22" s="146">
        <f>+COUNTIFS('LOI and Commissioning Master Sh'!$D:$D,'Planned in Nov Dec'!$A22,'LOI and Commissioning Master Sh'!$G:$G,'Planned in Nov Dec'!Z$18,'LOI and Commissioning Master Sh'!$X:$X,"Yes",'LOI and Commissioning Master Sh'!$H:$H,"B",'LOI and Commissioning Master Sh'!$BW:$BW,"Commissioned")</f>
        <v>0</v>
      </c>
      <c r="AA22" s="146">
        <f>+COUNTIFS('LOI and Commissioning Master Sh'!$D:$D,'Planned in Nov Dec'!$A22,'LOI and Commissioning Master Sh'!$G:$G,'Planned in Nov Dec'!AA$18,'LOI and Commissioning Master Sh'!$X:$X,"Yes",'LOI and Commissioning Master Sh'!$H:$H,"B",'LOI and Commissioning Master Sh'!$BW:$BW,"Commissioned")</f>
        <v>0</v>
      </c>
      <c r="AB22" s="146">
        <f>+COUNTIFS('LOI and Commissioning Master Sh'!$D:$D,'Planned in Nov Dec'!$A22,'LOI and Commissioning Master Sh'!$G:$G,'Planned in Nov Dec'!AB$18,'LOI and Commissioning Master Sh'!$X:$X,"Yes",'LOI and Commissioning Master Sh'!$H:$H,"B",'LOI and Commissioning Master Sh'!$BW:$BW,"Commissioned")</f>
        <v>0</v>
      </c>
      <c r="AC22" s="146">
        <f>+COUNTIFS('LOI and Commissioning Master Sh'!$D:$D,'Planned in Nov Dec'!$A22,'LOI and Commissioning Master Sh'!$G:$G,'Planned in Nov Dec'!AC$18,'LOI and Commissioning Master Sh'!$X:$X,"Yes",'LOI and Commissioning Master Sh'!$H:$H,"B",'LOI and Commissioning Master Sh'!$BW:$BW,"Commissioned")</f>
        <v>0</v>
      </c>
      <c r="AD22" s="146">
        <f>+COUNTIFS('LOI and Commissioning Master Sh'!$D:$D,'Planned in Nov Dec'!$A22,'LOI and Commissioning Master Sh'!$G:$G,'Planned in Nov Dec'!AD$18,'LOI and Commissioning Master Sh'!$X:$X,"Yes",'LOI and Commissioning Master Sh'!$H:$H,"B",'LOI and Commissioning Master Sh'!$BW:$BW,"Commissioned")</f>
        <v>0</v>
      </c>
      <c r="AE22" s="146">
        <f>+COUNTIFS('LOI and Commissioning Master Sh'!$D:$D,'Planned in Nov Dec'!$A22,'LOI and Commissioning Master Sh'!$G:$G,'Planned in Nov Dec'!AE$18,'LOI and Commissioning Master Sh'!$X:$X,"Yes",'LOI and Commissioning Master Sh'!$H:$H,"B",'LOI and Commissioning Master Sh'!$BW:$BW,"Commissioned")</f>
        <v>0</v>
      </c>
      <c r="AF22" s="150">
        <f t="shared" si="14"/>
        <v>0</v>
      </c>
      <c r="AG22" s="151"/>
      <c r="AH22" s="146">
        <f>+COUNTIFS('LOI and Commissioning Master Sh'!$D:$D,'Planned in Nov Dec'!$A22,'LOI and Commissioning Master Sh'!$G:$G,'Planned in Nov Dec'!AH$3,'LOI and Commissioning Master Sh'!$X:$X,"Yes",'LOI and Commissioning Master Sh'!$BW:$BW,"Commissioned",'LOI and Commissioning Master Sh'!$AS:$AS,'Planned in Nov Dec'!AH$18)</f>
        <v>0</v>
      </c>
      <c r="AI22" s="146">
        <f>+COUNTIFS('LOI and Commissioning Master Sh'!$D:$D,'Planned in Nov Dec'!$A22,'LOI and Commissioning Master Sh'!$G:$G,'Planned in Nov Dec'!AI$3,'LOI and Commissioning Master Sh'!$X:$X,"Yes",'LOI and Commissioning Master Sh'!$BW:$BW,"Commissioned",'LOI and Commissioning Master Sh'!$AS:$AS,'Planned in Nov Dec'!AI$18)</f>
        <v>0</v>
      </c>
      <c r="AJ22" s="146">
        <f>+COUNTIFS('LOI and Commissioning Master Sh'!$D:$D,'Planned in Nov Dec'!$A22,'LOI and Commissioning Master Sh'!$G:$G,'Planned in Nov Dec'!AJ$3,'LOI and Commissioning Master Sh'!$X:$X,"Yes",'LOI and Commissioning Master Sh'!$BW:$BW,"Commissioned",'LOI and Commissioning Master Sh'!$AS:$AS,'Planned in Nov Dec'!AJ$18)</f>
        <v>0</v>
      </c>
      <c r="AK22" s="146">
        <f>+COUNTIFS('LOI and Commissioning Master Sh'!$D:$D,'Planned in Nov Dec'!$A22,'LOI and Commissioning Master Sh'!$G:$G,'Planned in Nov Dec'!AK$3,'LOI and Commissioning Master Sh'!$X:$X,"Yes",'LOI and Commissioning Master Sh'!$BW:$BW,"Commissioned",'LOI and Commissioning Master Sh'!$AS:$AS,'Planned in Nov Dec'!AK$18)</f>
        <v>0</v>
      </c>
      <c r="AL22" s="146">
        <f>+COUNTIFS('LOI and Commissioning Master Sh'!$D:$D,'Planned in Nov Dec'!$A22,'LOI and Commissioning Master Sh'!$G:$G,'Planned in Nov Dec'!AL$3,'LOI and Commissioning Master Sh'!$X:$X,"Yes",'LOI and Commissioning Master Sh'!$BW:$BW,"Commissioned",'LOI and Commissioning Master Sh'!$AS:$AS,'Planned in Nov Dec'!AL$18)</f>
        <v>0</v>
      </c>
      <c r="AM22" s="146">
        <f>+COUNTIFS('LOI and Commissioning Master Sh'!$D:$D,'Planned in Nov Dec'!$A22,'LOI and Commissioning Master Sh'!$G:$G,'Planned in Nov Dec'!AM$3,'LOI and Commissioning Master Sh'!$X:$X,"Yes",'LOI and Commissioning Master Sh'!$BW:$BW,"Commissioned",'LOI and Commissioning Master Sh'!$AS:$AS,'Planned in Nov Dec'!AM$18)</f>
        <v>0</v>
      </c>
      <c r="AN22" s="146">
        <f>+COUNTIFS('LOI and Commissioning Master Sh'!$D:$D,'Planned in Nov Dec'!$A22,'LOI and Commissioning Master Sh'!$G:$G,'Planned in Nov Dec'!AN$3,'LOI and Commissioning Master Sh'!$X:$X,"Yes",'LOI and Commissioning Master Sh'!$BW:$BW,"Commissioned",'LOI and Commissioning Master Sh'!$AS:$AS,'Planned in Nov Dec'!AN$18)</f>
        <v>0</v>
      </c>
      <c r="AO22" s="146">
        <f>+COUNTIFS('LOI and Commissioning Master Sh'!$D:$D,'Planned in Nov Dec'!$A22,'LOI and Commissioning Master Sh'!$G:$G,'Planned in Nov Dec'!AO$3,'LOI and Commissioning Master Sh'!$X:$X,"Yes",'LOI and Commissioning Master Sh'!$BW:$BW,"Commissioned",'LOI and Commissioning Master Sh'!$AS:$AS,'Planned in Nov Dec'!AO$18)</f>
        <v>0</v>
      </c>
      <c r="AP22" s="146">
        <f>+COUNTIFS('LOI and Commissioning Master Sh'!$D:$D,'Planned in Nov Dec'!$A22,'LOI and Commissioning Master Sh'!$G:$G,'Planned in Nov Dec'!AP$3,'LOI and Commissioning Master Sh'!$X:$X,"Yes",'LOI and Commissioning Master Sh'!$BW:$BW,"Commissioned",'LOI and Commissioning Master Sh'!$AS:$AS,'Planned in Nov Dec'!AP$18)</f>
        <v>0</v>
      </c>
      <c r="AQ22" s="146">
        <f>+COUNTIFS('LOI and Commissioning Master Sh'!$D:$D,'Planned in Nov Dec'!$A22,'LOI and Commissioning Master Sh'!$G:$G,'Planned in Nov Dec'!AQ$3,'LOI and Commissioning Master Sh'!$X:$X,"Yes",'LOI and Commissioning Master Sh'!$BW:$BW,"Commissioned",'LOI and Commissioning Master Sh'!$AS:$AS,'Planned in Nov Dec'!AQ$18)</f>
        <v>0</v>
      </c>
      <c r="AR22" s="146">
        <f>+COUNTIFS('LOI and Commissioning Master Sh'!$D:$D,'Planned in Nov Dec'!$A22,'LOI and Commissioning Master Sh'!$G:$G,'Planned in Nov Dec'!AR$3,'LOI and Commissioning Master Sh'!$X:$X,"Yes",'LOI and Commissioning Master Sh'!$BW:$BW,"Commissioned",'LOI and Commissioning Master Sh'!$AS:$AS,'Planned in Nov Dec'!AR$18)</f>
        <v>0</v>
      </c>
      <c r="AS22" s="146">
        <f>+COUNTIFS('LOI and Commissioning Master Sh'!$D:$D,'Planned in Nov Dec'!$A22,'LOI and Commissioning Master Sh'!$G:$G,'Planned in Nov Dec'!AS$3,'LOI and Commissioning Master Sh'!$X:$X,"Yes",'LOI and Commissioning Master Sh'!$BW:$BW,"Commissioned",'LOI and Commissioning Master Sh'!$AS:$AS,'Planned in Nov Dec'!AS$18)</f>
        <v>0</v>
      </c>
      <c r="AT22" s="160">
        <f t="shared" si="16"/>
        <v>0</v>
      </c>
      <c r="AW22" s="146">
        <f>+COUNTIFS('LOI and Commissioning Master Sh'!$D:$D,'Planned in Nov Dec'!$A22,'LOI and Commissioning Master Sh'!$G:$G,'Planned in Nov Dec'!AW$18,'LOI and Commissioning Master Sh'!$X:$X,"Yes",'LOI and Commissioning Master Sh'!$I:$I,'Planned in Nov Dec'!AW$18,'LOI and Commissioning Master Sh'!$BW:$BW,"Commissioned")</f>
        <v>0</v>
      </c>
      <c r="AX22" s="146">
        <f>+COUNTIFS('LOI and Commissioning Master Sh'!$D:$D,'Planned in Nov Dec'!$A22,'LOI and Commissioning Master Sh'!$G:$G,'Planned in Nov Dec'!AX$18,'LOI and Commissioning Master Sh'!$X:$X,"Yes",'LOI and Commissioning Master Sh'!$I:$I,'Planned in Nov Dec'!AX$18,'LOI and Commissioning Master Sh'!$BW:$BW,"Commissioned")</f>
        <v>0</v>
      </c>
      <c r="AY22" s="161">
        <f t="shared" si="17"/>
        <v>0</v>
      </c>
    </row>
    <row r="23" spans="1:54" ht="15.75" hidden="1" thickBot="1" x14ac:dyDescent="0.3">
      <c r="A23" s="145" t="s">
        <v>121</v>
      </c>
      <c r="B23" s="146">
        <f>+COUNTIFS('LOI and Commissioning Master Sh'!$D:$D,'Planned in Nov Dec'!$A23,'LOI and Commissioning Master Sh'!$G:$G,'Planned in Nov Dec'!B$3,'LOI and Commissioning Master Sh'!$X:$X,"Yes",'LOI and Commissioning Master Sh'!$H:$H,"A")</f>
        <v>0</v>
      </c>
      <c r="C23" s="146">
        <f>+COUNTIFS('LOI and Commissioning Master Sh'!$D:$D,'Planned in Nov Dec'!$A23,'LOI and Commissioning Master Sh'!$G:$G,'Planned in Nov Dec'!C$3,'LOI and Commissioning Master Sh'!$X:$X,"Yes",'LOI and Commissioning Master Sh'!$H:$H,"A")</f>
        <v>0</v>
      </c>
      <c r="D23" s="146">
        <f>+COUNTIFS('LOI and Commissioning Master Sh'!$D:$D,'Planned in Nov Dec'!$A23,'LOI and Commissioning Master Sh'!$G:$G,'Planned in Nov Dec'!D$3,'LOI and Commissioning Master Sh'!$X:$X,"Yes",'LOI and Commissioning Master Sh'!$H:$H,"A")</f>
        <v>0</v>
      </c>
      <c r="E23" s="146">
        <f>+COUNTIFS('LOI and Commissioning Master Sh'!$D:$D,'Planned in Nov Dec'!$A23,'LOI and Commissioning Master Sh'!$G:$G,'Planned in Nov Dec'!E$3,'LOI and Commissioning Master Sh'!$X:$X,"Yes",'LOI and Commissioning Master Sh'!$H:$H,"A")</f>
        <v>4</v>
      </c>
      <c r="F23" s="146">
        <f>+COUNTIFS('LOI and Commissioning Master Sh'!$D:$D,'Planned in Nov Dec'!$A23,'LOI and Commissioning Master Sh'!$G:$G,'Planned in Nov Dec'!F$3,'LOI and Commissioning Master Sh'!$X:$X,"Yes",'LOI and Commissioning Master Sh'!$H:$H,"A")</f>
        <v>0</v>
      </c>
      <c r="G23" s="146">
        <f>+COUNTIFS('LOI and Commissioning Master Sh'!$D:$D,'Planned in Nov Dec'!$A23,'LOI and Commissioning Master Sh'!$G:$G,'Planned in Nov Dec'!G$3,'LOI and Commissioning Master Sh'!$X:$X,"Yes",'LOI and Commissioning Master Sh'!$H:$H,"A")</f>
        <v>0</v>
      </c>
      <c r="H23" s="147">
        <f t="shared" si="12"/>
        <v>4</v>
      </c>
      <c r="I23" s="151"/>
      <c r="J23" s="146">
        <f>+COUNTIFS('LOI and Commissioning Master Sh'!$D:$D,'Planned in Nov Dec'!$A23,'LOI and Commissioning Master Sh'!$G:$G,'Planned in Nov Dec'!J$18,'LOI and Commissioning Master Sh'!$X:$X,"Yes",'LOI and Commissioning Master Sh'!$H:$H,"B")</f>
        <v>0</v>
      </c>
      <c r="K23" s="146">
        <f>+COUNTIFS('LOI and Commissioning Master Sh'!$D:$D,'Planned in Nov Dec'!$A23,'LOI and Commissioning Master Sh'!$G:$G,'Planned in Nov Dec'!K$18,'LOI and Commissioning Master Sh'!$X:$X,"Yes",'LOI and Commissioning Master Sh'!$H:$H,"B")</f>
        <v>0</v>
      </c>
      <c r="L23" s="146">
        <f>+COUNTIFS('LOI and Commissioning Master Sh'!$D:$D,'Planned in Nov Dec'!$A23,'LOI and Commissioning Master Sh'!$G:$G,'Planned in Nov Dec'!L$18,'LOI and Commissioning Master Sh'!$X:$X,"Yes",'LOI and Commissioning Master Sh'!$H:$H,"B")</f>
        <v>0</v>
      </c>
      <c r="M23" s="146">
        <f>+COUNTIFS('LOI and Commissioning Master Sh'!$D:$D,'Planned in Nov Dec'!$A23,'LOI and Commissioning Master Sh'!$G:$G,'Planned in Nov Dec'!M$18,'LOI and Commissioning Master Sh'!$X:$X,"Yes",'LOI and Commissioning Master Sh'!$H:$H,"B")</f>
        <v>3</v>
      </c>
      <c r="N23" s="146">
        <f>+COUNTIFS('LOI and Commissioning Master Sh'!$D:$D,'Planned in Nov Dec'!$A23,'LOI and Commissioning Master Sh'!$G:$G,'Planned in Nov Dec'!N$18,'LOI and Commissioning Master Sh'!$X:$X,"Yes",'LOI and Commissioning Master Sh'!$H:$H,"B")</f>
        <v>0</v>
      </c>
      <c r="O23" s="146">
        <f>+COUNTIFS('LOI and Commissioning Master Sh'!$D:$D,'Planned in Nov Dec'!$A23,'LOI and Commissioning Master Sh'!$G:$G,'Planned in Nov Dec'!O$18,'LOI and Commissioning Master Sh'!$X:$X,"Yes",'LOI and Commissioning Master Sh'!$H:$H,"B")</f>
        <v>2</v>
      </c>
      <c r="P23" s="147">
        <f t="shared" si="15"/>
        <v>5</v>
      </c>
      <c r="Q23" s="151"/>
      <c r="R23" s="146">
        <f>+COUNTIFS('LOI and Commissioning Master Sh'!$D:$D,'Planned in Nov Dec'!$A23,'LOI and Commissioning Master Sh'!$G:$G,'Planned in Nov Dec'!R$3,'LOI and Commissioning Master Sh'!$X:$X,"Yes",'LOI and Commissioning Master Sh'!$H:$H,"A",'LOI and Commissioning Master Sh'!$BW:$BW,"Commissioned")</f>
        <v>0</v>
      </c>
      <c r="S23" s="146">
        <f>+COUNTIFS('LOI and Commissioning Master Sh'!$D:$D,'Planned in Nov Dec'!$A23,'LOI and Commissioning Master Sh'!$G:$G,'Planned in Nov Dec'!S$3,'LOI and Commissioning Master Sh'!$X:$X,"Yes",'LOI and Commissioning Master Sh'!$H:$H,"A",'LOI and Commissioning Master Sh'!$BW:$BW,"Commissioned")</f>
        <v>0</v>
      </c>
      <c r="T23" s="146">
        <f>+COUNTIFS('LOI and Commissioning Master Sh'!$D:$D,'Planned in Nov Dec'!$A23,'LOI and Commissioning Master Sh'!$G:$G,'Planned in Nov Dec'!T$3,'LOI and Commissioning Master Sh'!$X:$X,"Yes",'LOI and Commissioning Master Sh'!$H:$H,"A",'LOI and Commissioning Master Sh'!$BW:$BW,"Commissioned")</f>
        <v>0</v>
      </c>
      <c r="U23" s="146">
        <f>+COUNTIFS('LOI and Commissioning Master Sh'!$D:$D,'Planned in Nov Dec'!$A23,'LOI and Commissioning Master Sh'!$G:$G,'Planned in Nov Dec'!U$3,'LOI and Commissioning Master Sh'!$X:$X,"Yes",'LOI and Commissioning Master Sh'!$H:$H,"A",'LOI and Commissioning Master Sh'!$BW:$BW,"Commissioned")</f>
        <v>1</v>
      </c>
      <c r="V23" s="146">
        <f>+COUNTIFS('LOI and Commissioning Master Sh'!$D:$D,'Planned in Nov Dec'!$A23,'LOI and Commissioning Master Sh'!$G:$G,'Planned in Nov Dec'!V$3,'LOI and Commissioning Master Sh'!$X:$X,"Yes",'LOI and Commissioning Master Sh'!$H:$H,"A",'LOI and Commissioning Master Sh'!$BW:$BW,"Commissioned")</f>
        <v>0</v>
      </c>
      <c r="W23" s="146">
        <f>+COUNTIFS('LOI and Commissioning Master Sh'!$D:$D,'Planned in Nov Dec'!$A23,'LOI and Commissioning Master Sh'!$G:$G,'Planned in Nov Dec'!W$3,'LOI and Commissioning Master Sh'!$X:$X,"Yes",'LOI and Commissioning Master Sh'!$H:$H,"A",'LOI and Commissioning Master Sh'!$BW:$BW,"Commissioned")</f>
        <v>0</v>
      </c>
      <c r="X23" s="150">
        <f t="shared" si="13"/>
        <v>1</v>
      </c>
      <c r="Y23" s="158"/>
      <c r="Z23" s="146">
        <f>+COUNTIFS('LOI and Commissioning Master Sh'!$D:$D,'Planned in Nov Dec'!$A23,'LOI and Commissioning Master Sh'!$G:$G,'Planned in Nov Dec'!Z$18,'LOI and Commissioning Master Sh'!$X:$X,"Yes",'LOI and Commissioning Master Sh'!$H:$H,"B",'LOI and Commissioning Master Sh'!$BW:$BW,"Commissioned")</f>
        <v>0</v>
      </c>
      <c r="AA23" s="146">
        <f>+COUNTIFS('LOI and Commissioning Master Sh'!$D:$D,'Planned in Nov Dec'!$A23,'LOI and Commissioning Master Sh'!$G:$G,'Planned in Nov Dec'!AA$18,'LOI and Commissioning Master Sh'!$X:$X,"Yes",'LOI and Commissioning Master Sh'!$H:$H,"B",'LOI and Commissioning Master Sh'!$BW:$BW,"Commissioned")</f>
        <v>0</v>
      </c>
      <c r="AB23" s="146">
        <f>+COUNTIFS('LOI and Commissioning Master Sh'!$D:$D,'Planned in Nov Dec'!$A23,'LOI and Commissioning Master Sh'!$G:$G,'Planned in Nov Dec'!AB$18,'LOI and Commissioning Master Sh'!$X:$X,"Yes",'LOI and Commissioning Master Sh'!$H:$H,"B",'LOI and Commissioning Master Sh'!$BW:$BW,"Commissioned")</f>
        <v>0</v>
      </c>
      <c r="AC23" s="146">
        <f>+COUNTIFS('LOI and Commissioning Master Sh'!$D:$D,'Planned in Nov Dec'!$A23,'LOI and Commissioning Master Sh'!$G:$G,'Planned in Nov Dec'!AC$18,'LOI and Commissioning Master Sh'!$X:$X,"Yes",'LOI and Commissioning Master Sh'!$H:$H,"B",'LOI and Commissioning Master Sh'!$BW:$BW,"Commissioned")</f>
        <v>0</v>
      </c>
      <c r="AD23" s="146">
        <f>+COUNTIFS('LOI and Commissioning Master Sh'!$D:$D,'Planned in Nov Dec'!$A23,'LOI and Commissioning Master Sh'!$G:$G,'Planned in Nov Dec'!AD$18,'LOI and Commissioning Master Sh'!$X:$X,"Yes",'LOI and Commissioning Master Sh'!$H:$H,"B",'LOI and Commissioning Master Sh'!$BW:$BW,"Commissioned")</f>
        <v>0</v>
      </c>
      <c r="AE23" s="146">
        <f>+COUNTIFS('LOI and Commissioning Master Sh'!$D:$D,'Planned in Nov Dec'!$A23,'LOI and Commissioning Master Sh'!$G:$G,'Planned in Nov Dec'!AE$18,'LOI and Commissioning Master Sh'!$X:$X,"Yes",'LOI and Commissioning Master Sh'!$H:$H,"B",'LOI and Commissioning Master Sh'!$BW:$BW,"Commissioned")</f>
        <v>1</v>
      </c>
      <c r="AF23" s="150">
        <f t="shared" si="14"/>
        <v>1</v>
      </c>
      <c r="AG23" s="151"/>
      <c r="AH23" s="146">
        <f>+COUNTIFS('LOI and Commissioning Master Sh'!$D:$D,'Planned in Nov Dec'!$A23,'LOI and Commissioning Master Sh'!$G:$G,'Planned in Nov Dec'!AH$3,'LOI and Commissioning Master Sh'!$X:$X,"Yes",'LOI and Commissioning Master Sh'!$BW:$BW,"Commissioned",'LOI and Commissioning Master Sh'!$AS:$AS,'Planned in Nov Dec'!AH$18)</f>
        <v>0</v>
      </c>
      <c r="AI23" s="146">
        <f>+COUNTIFS('LOI and Commissioning Master Sh'!$D:$D,'Planned in Nov Dec'!$A23,'LOI and Commissioning Master Sh'!$G:$G,'Planned in Nov Dec'!AI$3,'LOI and Commissioning Master Sh'!$X:$X,"Yes",'LOI and Commissioning Master Sh'!$BW:$BW,"Commissioned",'LOI and Commissioning Master Sh'!$AS:$AS,'Planned in Nov Dec'!AI$18)</f>
        <v>0</v>
      </c>
      <c r="AJ23" s="146">
        <f>+COUNTIFS('LOI and Commissioning Master Sh'!$D:$D,'Planned in Nov Dec'!$A23,'LOI and Commissioning Master Sh'!$G:$G,'Planned in Nov Dec'!AJ$3,'LOI and Commissioning Master Sh'!$X:$X,"Yes",'LOI and Commissioning Master Sh'!$BW:$BW,"Commissioned",'LOI and Commissioning Master Sh'!$AS:$AS,'Planned in Nov Dec'!AJ$18)</f>
        <v>0</v>
      </c>
      <c r="AK23" s="146">
        <f>+COUNTIFS('LOI and Commissioning Master Sh'!$D:$D,'Planned in Nov Dec'!$A23,'LOI and Commissioning Master Sh'!$G:$G,'Planned in Nov Dec'!AK$3,'LOI and Commissioning Master Sh'!$X:$X,"Yes",'LOI and Commissioning Master Sh'!$BW:$BW,"Commissioned",'LOI and Commissioning Master Sh'!$AS:$AS,'Planned in Nov Dec'!AK$18)</f>
        <v>0</v>
      </c>
      <c r="AL23" s="146">
        <f>+COUNTIFS('LOI and Commissioning Master Sh'!$D:$D,'Planned in Nov Dec'!$A23,'LOI and Commissioning Master Sh'!$G:$G,'Planned in Nov Dec'!AL$3,'LOI and Commissioning Master Sh'!$X:$X,"Yes",'LOI and Commissioning Master Sh'!$BW:$BW,"Commissioned",'LOI and Commissioning Master Sh'!$AS:$AS,'Planned in Nov Dec'!AL$18)</f>
        <v>0</v>
      </c>
      <c r="AM23" s="146">
        <f>+COUNTIFS('LOI and Commissioning Master Sh'!$D:$D,'Planned in Nov Dec'!$A23,'LOI and Commissioning Master Sh'!$G:$G,'Planned in Nov Dec'!AM$3,'LOI and Commissioning Master Sh'!$X:$X,"Yes",'LOI and Commissioning Master Sh'!$BW:$BW,"Commissioned",'LOI and Commissioning Master Sh'!$AS:$AS,'Planned in Nov Dec'!AM$18)</f>
        <v>0</v>
      </c>
      <c r="AN23" s="146">
        <f>+COUNTIFS('LOI and Commissioning Master Sh'!$D:$D,'Planned in Nov Dec'!$A23,'LOI and Commissioning Master Sh'!$G:$G,'Planned in Nov Dec'!AN$3,'LOI and Commissioning Master Sh'!$X:$X,"Yes",'LOI and Commissioning Master Sh'!$BW:$BW,"Commissioned",'LOI and Commissioning Master Sh'!$AS:$AS,'Planned in Nov Dec'!AN$18)</f>
        <v>0</v>
      </c>
      <c r="AO23" s="146">
        <f>+COUNTIFS('LOI and Commissioning Master Sh'!$D:$D,'Planned in Nov Dec'!$A23,'LOI and Commissioning Master Sh'!$G:$G,'Planned in Nov Dec'!AO$3,'LOI and Commissioning Master Sh'!$X:$X,"Yes",'LOI and Commissioning Master Sh'!$BW:$BW,"Commissioned",'LOI and Commissioning Master Sh'!$AS:$AS,'Planned in Nov Dec'!AO$18)</f>
        <v>0</v>
      </c>
      <c r="AP23" s="146">
        <f>+COUNTIFS('LOI and Commissioning Master Sh'!$D:$D,'Planned in Nov Dec'!$A23,'LOI and Commissioning Master Sh'!$G:$G,'Planned in Nov Dec'!AP$3,'LOI and Commissioning Master Sh'!$X:$X,"Yes",'LOI and Commissioning Master Sh'!$BW:$BW,"Commissioned",'LOI and Commissioning Master Sh'!$AS:$AS,'Planned in Nov Dec'!AP$18)</f>
        <v>0</v>
      </c>
      <c r="AQ23" s="146">
        <f>+COUNTIFS('LOI and Commissioning Master Sh'!$D:$D,'Planned in Nov Dec'!$A23,'LOI and Commissioning Master Sh'!$G:$G,'Planned in Nov Dec'!AQ$3,'LOI and Commissioning Master Sh'!$X:$X,"Yes",'LOI and Commissioning Master Sh'!$BW:$BW,"Commissioned",'LOI and Commissioning Master Sh'!$AS:$AS,'Planned in Nov Dec'!AQ$18)</f>
        <v>0</v>
      </c>
      <c r="AR23" s="146">
        <f>+COUNTIFS('LOI and Commissioning Master Sh'!$D:$D,'Planned in Nov Dec'!$A23,'LOI and Commissioning Master Sh'!$G:$G,'Planned in Nov Dec'!AR$3,'LOI and Commissioning Master Sh'!$X:$X,"Yes",'LOI and Commissioning Master Sh'!$BW:$BW,"Commissioned",'LOI and Commissioning Master Sh'!$AS:$AS,'Planned in Nov Dec'!AR$18)</f>
        <v>0</v>
      </c>
      <c r="AS23" s="146">
        <f>+COUNTIFS('LOI and Commissioning Master Sh'!$D:$D,'Planned in Nov Dec'!$A23,'LOI and Commissioning Master Sh'!$G:$G,'Planned in Nov Dec'!AS$3,'LOI and Commissioning Master Sh'!$X:$X,"Yes",'LOI and Commissioning Master Sh'!$BW:$BW,"Commissioned",'LOI and Commissioning Master Sh'!$AS:$AS,'Planned in Nov Dec'!AS$18)</f>
        <v>0</v>
      </c>
      <c r="AT23" s="160">
        <f t="shared" si="16"/>
        <v>0</v>
      </c>
      <c r="AW23" s="146">
        <f>+COUNTIFS('LOI and Commissioning Master Sh'!$D:$D,'Planned in Nov Dec'!$A23,'LOI and Commissioning Master Sh'!$G:$G,'Planned in Nov Dec'!AW$18,'LOI and Commissioning Master Sh'!$X:$X,"Yes",'LOI and Commissioning Master Sh'!$I:$I,'Planned in Nov Dec'!AW$18,'LOI and Commissioning Master Sh'!$BW:$BW,"Commissioned")</f>
        <v>0</v>
      </c>
      <c r="AX23" s="146">
        <f>+COUNTIFS('LOI and Commissioning Master Sh'!$D:$D,'Planned in Nov Dec'!$A23,'LOI and Commissioning Master Sh'!$G:$G,'Planned in Nov Dec'!AX$18,'LOI and Commissioning Master Sh'!$X:$X,"Yes",'LOI and Commissioning Master Sh'!$I:$I,'Planned in Nov Dec'!AX$18,'LOI and Commissioning Master Sh'!$BW:$BW,"Commissioned")</f>
        <v>0</v>
      </c>
      <c r="AY23" s="161">
        <f t="shared" si="17"/>
        <v>0</v>
      </c>
    </row>
    <row r="24" spans="1:54" ht="15.75" hidden="1" thickBot="1" x14ac:dyDescent="0.3">
      <c r="A24" s="145" t="s">
        <v>220</v>
      </c>
      <c r="B24" s="146">
        <f>+COUNTIFS('LOI and Commissioning Master Sh'!$D:$D,'Planned in Nov Dec'!$A24,'LOI and Commissioning Master Sh'!$G:$G,'Planned in Nov Dec'!B$3,'LOI and Commissioning Master Sh'!$X:$X,"Yes",'LOI and Commissioning Master Sh'!$H:$H,"A")</f>
        <v>0</v>
      </c>
      <c r="C24" s="146">
        <f>+COUNTIFS('LOI and Commissioning Master Sh'!$D:$D,'Planned in Nov Dec'!$A24,'LOI and Commissioning Master Sh'!$G:$G,'Planned in Nov Dec'!C$3,'LOI and Commissioning Master Sh'!$X:$X,"Yes",'LOI and Commissioning Master Sh'!$H:$H,"A")</f>
        <v>0</v>
      </c>
      <c r="D24" s="146">
        <f>+COUNTIFS('LOI and Commissioning Master Sh'!$D:$D,'Planned in Nov Dec'!$A24,'LOI and Commissioning Master Sh'!$G:$G,'Planned in Nov Dec'!D$3,'LOI and Commissioning Master Sh'!$X:$X,"Yes",'LOI and Commissioning Master Sh'!$H:$H,"A")</f>
        <v>0</v>
      </c>
      <c r="E24" s="146">
        <f>+COUNTIFS('LOI and Commissioning Master Sh'!$D:$D,'Planned in Nov Dec'!$A24,'LOI and Commissioning Master Sh'!$G:$G,'Planned in Nov Dec'!E$3,'LOI and Commissioning Master Sh'!$X:$X,"Yes",'LOI and Commissioning Master Sh'!$H:$H,"A")</f>
        <v>1</v>
      </c>
      <c r="F24" s="146">
        <f>+COUNTIFS('LOI and Commissioning Master Sh'!$D:$D,'Planned in Nov Dec'!$A24,'LOI and Commissioning Master Sh'!$G:$G,'Planned in Nov Dec'!F$3,'LOI and Commissioning Master Sh'!$X:$X,"Yes",'LOI and Commissioning Master Sh'!$H:$H,"A")</f>
        <v>1</v>
      </c>
      <c r="G24" s="146">
        <f>+COUNTIFS('LOI and Commissioning Master Sh'!$D:$D,'Planned in Nov Dec'!$A24,'LOI and Commissioning Master Sh'!$G:$G,'Planned in Nov Dec'!G$3,'LOI and Commissioning Master Sh'!$X:$X,"Yes",'LOI and Commissioning Master Sh'!$H:$H,"A")</f>
        <v>0</v>
      </c>
      <c r="H24" s="147">
        <f t="shared" si="12"/>
        <v>2</v>
      </c>
      <c r="I24" s="151"/>
      <c r="J24" s="146">
        <f>+COUNTIFS('LOI and Commissioning Master Sh'!$D:$D,'Planned in Nov Dec'!$A24,'LOI and Commissioning Master Sh'!$G:$G,'Planned in Nov Dec'!J$18,'LOI and Commissioning Master Sh'!$X:$X,"Yes",'LOI and Commissioning Master Sh'!$H:$H,"B")</f>
        <v>0</v>
      </c>
      <c r="K24" s="146">
        <f>+COUNTIFS('LOI and Commissioning Master Sh'!$D:$D,'Planned in Nov Dec'!$A24,'LOI and Commissioning Master Sh'!$G:$G,'Planned in Nov Dec'!K$18,'LOI and Commissioning Master Sh'!$X:$X,"Yes",'LOI and Commissioning Master Sh'!$H:$H,"B")</f>
        <v>0</v>
      </c>
      <c r="L24" s="146">
        <f>+COUNTIFS('LOI and Commissioning Master Sh'!$D:$D,'Planned in Nov Dec'!$A24,'LOI and Commissioning Master Sh'!$G:$G,'Planned in Nov Dec'!L$18,'LOI and Commissioning Master Sh'!$X:$X,"Yes",'LOI and Commissioning Master Sh'!$H:$H,"B")</f>
        <v>0</v>
      </c>
      <c r="M24" s="146">
        <f>+COUNTIFS('LOI and Commissioning Master Sh'!$D:$D,'Planned in Nov Dec'!$A24,'LOI and Commissioning Master Sh'!$G:$G,'Planned in Nov Dec'!M$18,'LOI and Commissioning Master Sh'!$X:$X,"Yes",'LOI and Commissioning Master Sh'!$H:$H,"B")</f>
        <v>2</v>
      </c>
      <c r="N24" s="146">
        <f>+COUNTIFS('LOI and Commissioning Master Sh'!$D:$D,'Planned in Nov Dec'!$A24,'LOI and Commissioning Master Sh'!$G:$G,'Planned in Nov Dec'!N$18,'LOI and Commissioning Master Sh'!$X:$X,"Yes",'LOI and Commissioning Master Sh'!$H:$H,"B")</f>
        <v>4</v>
      </c>
      <c r="O24" s="146">
        <f>+COUNTIFS('LOI and Commissioning Master Sh'!$D:$D,'Planned in Nov Dec'!$A24,'LOI and Commissioning Master Sh'!$G:$G,'Planned in Nov Dec'!O$18,'LOI and Commissioning Master Sh'!$X:$X,"Yes",'LOI and Commissioning Master Sh'!$H:$H,"B")</f>
        <v>0</v>
      </c>
      <c r="P24" s="147">
        <f t="shared" si="15"/>
        <v>6</v>
      </c>
      <c r="Q24" s="151"/>
      <c r="R24" s="146">
        <f>+COUNTIFS('LOI and Commissioning Master Sh'!$D:$D,'Planned in Nov Dec'!$A24,'LOI and Commissioning Master Sh'!$G:$G,'Planned in Nov Dec'!R$3,'LOI and Commissioning Master Sh'!$X:$X,"Yes",'LOI and Commissioning Master Sh'!$H:$H,"A",'LOI and Commissioning Master Sh'!$BW:$BW,"Commissioned")</f>
        <v>0</v>
      </c>
      <c r="S24" s="146">
        <f>+COUNTIFS('LOI and Commissioning Master Sh'!$D:$D,'Planned in Nov Dec'!$A24,'LOI and Commissioning Master Sh'!$G:$G,'Planned in Nov Dec'!S$3,'LOI and Commissioning Master Sh'!$X:$X,"Yes",'LOI and Commissioning Master Sh'!$H:$H,"A",'LOI and Commissioning Master Sh'!$BW:$BW,"Commissioned")</f>
        <v>0</v>
      </c>
      <c r="T24" s="146">
        <f>+COUNTIFS('LOI and Commissioning Master Sh'!$D:$D,'Planned in Nov Dec'!$A24,'LOI and Commissioning Master Sh'!$G:$G,'Planned in Nov Dec'!T$3,'LOI and Commissioning Master Sh'!$X:$X,"Yes",'LOI and Commissioning Master Sh'!$H:$H,"A",'LOI and Commissioning Master Sh'!$BW:$BW,"Commissioned")</f>
        <v>0</v>
      </c>
      <c r="U24" s="146">
        <f>+COUNTIFS('LOI and Commissioning Master Sh'!$D:$D,'Planned in Nov Dec'!$A24,'LOI and Commissioning Master Sh'!$G:$G,'Planned in Nov Dec'!U$3,'LOI and Commissioning Master Sh'!$X:$X,"Yes",'LOI and Commissioning Master Sh'!$H:$H,"A",'LOI and Commissioning Master Sh'!$BW:$BW,"Commissioned")</f>
        <v>0</v>
      </c>
      <c r="V24" s="146">
        <f>+COUNTIFS('LOI and Commissioning Master Sh'!$D:$D,'Planned in Nov Dec'!$A24,'LOI and Commissioning Master Sh'!$G:$G,'Planned in Nov Dec'!V$3,'LOI and Commissioning Master Sh'!$X:$X,"Yes",'LOI and Commissioning Master Sh'!$H:$H,"A",'LOI and Commissioning Master Sh'!$BW:$BW,"Commissioned")</f>
        <v>0</v>
      </c>
      <c r="W24" s="146">
        <f>+COUNTIFS('LOI and Commissioning Master Sh'!$D:$D,'Planned in Nov Dec'!$A24,'LOI and Commissioning Master Sh'!$G:$G,'Planned in Nov Dec'!W$3,'LOI and Commissioning Master Sh'!$X:$X,"Yes",'LOI and Commissioning Master Sh'!$H:$H,"A",'LOI and Commissioning Master Sh'!$BW:$BW,"Commissioned")</f>
        <v>0</v>
      </c>
      <c r="X24" s="150">
        <f t="shared" si="13"/>
        <v>0</v>
      </c>
      <c r="Y24" s="158"/>
      <c r="Z24" s="146">
        <f>+COUNTIFS('LOI and Commissioning Master Sh'!$D:$D,'Planned in Nov Dec'!$A24,'LOI and Commissioning Master Sh'!$G:$G,'Planned in Nov Dec'!Z$18,'LOI and Commissioning Master Sh'!$X:$X,"Yes",'LOI and Commissioning Master Sh'!$H:$H,"B",'LOI and Commissioning Master Sh'!$BW:$BW,"Commissioned")</f>
        <v>0</v>
      </c>
      <c r="AA24" s="146">
        <f>+COUNTIFS('LOI and Commissioning Master Sh'!$D:$D,'Planned in Nov Dec'!$A24,'LOI and Commissioning Master Sh'!$G:$G,'Planned in Nov Dec'!AA$18,'LOI and Commissioning Master Sh'!$X:$X,"Yes",'LOI and Commissioning Master Sh'!$H:$H,"B",'LOI and Commissioning Master Sh'!$BW:$BW,"Commissioned")</f>
        <v>0</v>
      </c>
      <c r="AB24" s="146">
        <f>+COUNTIFS('LOI and Commissioning Master Sh'!$D:$D,'Planned in Nov Dec'!$A24,'LOI and Commissioning Master Sh'!$G:$G,'Planned in Nov Dec'!AB$18,'LOI and Commissioning Master Sh'!$X:$X,"Yes",'LOI and Commissioning Master Sh'!$H:$H,"B",'LOI and Commissioning Master Sh'!$BW:$BW,"Commissioned")</f>
        <v>0</v>
      </c>
      <c r="AC24" s="146">
        <f>+COUNTIFS('LOI and Commissioning Master Sh'!$D:$D,'Planned in Nov Dec'!$A24,'LOI and Commissioning Master Sh'!$G:$G,'Planned in Nov Dec'!AC$18,'LOI and Commissioning Master Sh'!$X:$X,"Yes",'LOI and Commissioning Master Sh'!$H:$H,"B",'LOI and Commissioning Master Sh'!$BW:$BW,"Commissioned")</f>
        <v>0</v>
      </c>
      <c r="AD24" s="146">
        <f>+COUNTIFS('LOI and Commissioning Master Sh'!$D:$D,'Planned in Nov Dec'!$A24,'LOI and Commissioning Master Sh'!$G:$G,'Planned in Nov Dec'!AD$18,'LOI and Commissioning Master Sh'!$X:$X,"Yes",'LOI and Commissioning Master Sh'!$H:$H,"B",'LOI and Commissioning Master Sh'!$BW:$BW,"Commissioned")</f>
        <v>0</v>
      </c>
      <c r="AE24" s="146">
        <f>+COUNTIFS('LOI and Commissioning Master Sh'!$D:$D,'Planned in Nov Dec'!$A24,'LOI and Commissioning Master Sh'!$G:$G,'Planned in Nov Dec'!AE$18,'LOI and Commissioning Master Sh'!$X:$X,"Yes",'LOI and Commissioning Master Sh'!$H:$H,"B",'LOI and Commissioning Master Sh'!$BW:$BW,"Commissioned")</f>
        <v>0</v>
      </c>
      <c r="AF24" s="150">
        <f t="shared" si="14"/>
        <v>0</v>
      </c>
      <c r="AG24" s="151"/>
      <c r="AH24" s="146">
        <f>+COUNTIFS('LOI and Commissioning Master Sh'!$D:$D,'Planned in Nov Dec'!$A24,'LOI and Commissioning Master Sh'!$G:$G,'Planned in Nov Dec'!AH$3,'LOI and Commissioning Master Sh'!$X:$X,"Yes",'LOI and Commissioning Master Sh'!$BW:$BW,"Commissioned",'LOI and Commissioning Master Sh'!$AS:$AS,'Planned in Nov Dec'!AH$18)</f>
        <v>0</v>
      </c>
      <c r="AI24" s="146">
        <f>+COUNTIFS('LOI and Commissioning Master Sh'!$D:$D,'Planned in Nov Dec'!$A24,'LOI and Commissioning Master Sh'!$G:$G,'Planned in Nov Dec'!AI$3,'LOI and Commissioning Master Sh'!$X:$X,"Yes",'LOI and Commissioning Master Sh'!$BW:$BW,"Commissioned",'LOI and Commissioning Master Sh'!$AS:$AS,'Planned in Nov Dec'!AI$18)</f>
        <v>0</v>
      </c>
      <c r="AJ24" s="146">
        <f>+COUNTIFS('LOI and Commissioning Master Sh'!$D:$D,'Planned in Nov Dec'!$A24,'LOI and Commissioning Master Sh'!$G:$G,'Planned in Nov Dec'!AJ$3,'LOI and Commissioning Master Sh'!$X:$X,"Yes",'LOI and Commissioning Master Sh'!$BW:$BW,"Commissioned",'LOI and Commissioning Master Sh'!$AS:$AS,'Planned in Nov Dec'!AJ$18)</f>
        <v>0</v>
      </c>
      <c r="AK24" s="146">
        <f>+COUNTIFS('LOI and Commissioning Master Sh'!$D:$D,'Planned in Nov Dec'!$A24,'LOI and Commissioning Master Sh'!$G:$G,'Planned in Nov Dec'!AK$3,'LOI and Commissioning Master Sh'!$X:$X,"Yes",'LOI and Commissioning Master Sh'!$BW:$BW,"Commissioned",'LOI and Commissioning Master Sh'!$AS:$AS,'Planned in Nov Dec'!AK$18)</f>
        <v>0</v>
      </c>
      <c r="AL24" s="146">
        <f>+COUNTIFS('LOI and Commissioning Master Sh'!$D:$D,'Planned in Nov Dec'!$A24,'LOI and Commissioning Master Sh'!$G:$G,'Planned in Nov Dec'!AL$3,'LOI and Commissioning Master Sh'!$X:$X,"Yes",'LOI and Commissioning Master Sh'!$BW:$BW,"Commissioned",'LOI and Commissioning Master Sh'!$AS:$AS,'Planned in Nov Dec'!AL$18)</f>
        <v>0</v>
      </c>
      <c r="AM24" s="146">
        <f>+COUNTIFS('LOI and Commissioning Master Sh'!$D:$D,'Planned in Nov Dec'!$A24,'LOI and Commissioning Master Sh'!$G:$G,'Planned in Nov Dec'!AM$3,'LOI and Commissioning Master Sh'!$X:$X,"Yes",'LOI and Commissioning Master Sh'!$BW:$BW,"Commissioned",'LOI and Commissioning Master Sh'!$AS:$AS,'Planned in Nov Dec'!AM$18)</f>
        <v>0</v>
      </c>
      <c r="AN24" s="146">
        <f>+COUNTIFS('LOI and Commissioning Master Sh'!$D:$D,'Planned in Nov Dec'!$A24,'LOI and Commissioning Master Sh'!$G:$G,'Planned in Nov Dec'!AN$3,'LOI and Commissioning Master Sh'!$X:$X,"Yes",'LOI and Commissioning Master Sh'!$BW:$BW,"Commissioned",'LOI and Commissioning Master Sh'!$AS:$AS,'Planned in Nov Dec'!AN$18)</f>
        <v>0</v>
      </c>
      <c r="AO24" s="146">
        <f>+COUNTIFS('LOI and Commissioning Master Sh'!$D:$D,'Planned in Nov Dec'!$A24,'LOI and Commissioning Master Sh'!$G:$G,'Planned in Nov Dec'!AO$3,'LOI and Commissioning Master Sh'!$X:$X,"Yes",'LOI and Commissioning Master Sh'!$BW:$BW,"Commissioned",'LOI and Commissioning Master Sh'!$AS:$AS,'Planned in Nov Dec'!AO$18)</f>
        <v>0</v>
      </c>
      <c r="AP24" s="146">
        <f>+COUNTIFS('LOI and Commissioning Master Sh'!$D:$D,'Planned in Nov Dec'!$A24,'LOI and Commissioning Master Sh'!$G:$G,'Planned in Nov Dec'!AP$3,'LOI and Commissioning Master Sh'!$X:$X,"Yes",'LOI and Commissioning Master Sh'!$BW:$BW,"Commissioned",'LOI and Commissioning Master Sh'!$AS:$AS,'Planned in Nov Dec'!AP$18)</f>
        <v>0</v>
      </c>
      <c r="AQ24" s="146">
        <f>+COUNTIFS('LOI and Commissioning Master Sh'!$D:$D,'Planned in Nov Dec'!$A24,'LOI and Commissioning Master Sh'!$G:$G,'Planned in Nov Dec'!AQ$3,'LOI and Commissioning Master Sh'!$X:$X,"Yes",'LOI and Commissioning Master Sh'!$BW:$BW,"Commissioned",'LOI and Commissioning Master Sh'!$AS:$AS,'Planned in Nov Dec'!AQ$18)</f>
        <v>0</v>
      </c>
      <c r="AR24" s="146">
        <f>+COUNTIFS('LOI and Commissioning Master Sh'!$D:$D,'Planned in Nov Dec'!$A24,'LOI and Commissioning Master Sh'!$G:$G,'Planned in Nov Dec'!AR$3,'LOI and Commissioning Master Sh'!$X:$X,"Yes",'LOI and Commissioning Master Sh'!$BW:$BW,"Commissioned",'LOI and Commissioning Master Sh'!$AS:$AS,'Planned in Nov Dec'!AR$18)</f>
        <v>0</v>
      </c>
      <c r="AS24" s="146">
        <f>+COUNTIFS('LOI and Commissioning Master Sh'!$D:$D,'Planned in Nov Dec'!$A24,'LOI and Commissioning Master Sh'!$G:$G,'Planned in Nov Dec'!AS$3,'LOI and Commissioning Master Sh'!$X:$X,"Yes",'LOI and Commissioning Master Sh'!$BW:$BW,"Commissioned",'LOI and Commissioning Master Sh'!$AS:$AS,'Planned in Nov Dec'!AS$18)</f>
        <v>0</v>
      </c>
      <c r="AT24" s="160">
        <f t="shared" si="16"/>
        <v>0</v>
      </c>
      <c r="AW24" s="146">
        <f>+COUNTIFS('LOI and Commissioning Master Sh'!$D:$D,'Planned in Nov Dec'!$A24,'LOI and Commissioning Master Sh'!$G:$G,'Planned in Nov Dec'!AW$18,'LOI and Commissioning Master Sh'!$X:$X,"Yes",'LOI and Commissioning Master Sh'!$I:$I,'Planned in Nov Dec'!AW$18,'LOI and Commissioning Master Sh'!$BW:$BW,"Commissioned")</f>
        <v>0</v>
      </c>
      <c r="AX24" s="146">
        <f>+COUNTIFS('LOI and Commissioning Master Sh'!$D:$D,'Planned in Nov Dec'!$A24,'LOI and Commissioning Master Sh'!$G:$G,'Planned in Nov Dec'!AX$18,'LOI and Commissioning Master Sh'!$X:$X,"Yes",'LOI and Commissioning Master Sh'!$I:$I,'Planned in Nov Dec'!AX$18,'LOI and Commissioning Master Sh'!$BW:$BW,"Commissioned")</f>
        <v>0</v>
      </c>
      <c r="AY24" s="161">
        <f t="shared" si="17"/>
        <v>0</v>
      </c>
    </row>
    <row r="25" spans="1:54" ht="15.75" hidden="1" thickBot="1" x14ac:dyDescent="0.3">
      <c r="A25" s="145" t="s">
        <v>398</v>
      </c>
      <c r="B25" s="146">
        <f>+COUNTIFS('LOI and Commissioning Master Sh'!$D:$D,'Planned in Nov Dec'!$A25,'LOI and Commissioning Master Sh'!$G:$G,'Planned in Nov Dec'!B$3,'LOI and Commissioning Master Sh'!$X:$X,"Yes",'LOI and Commissioning Master Sh'!$H:$H,"A")</f>
        <v>0</v>
      </c>
      <c r="C25" s="146">
        <f>+COUNTIFS('LOI and Commissioning Master Sh'!$D:$D,'Planned in Nov Dec'!$A25,'LOI and Commissioning Master Sh'!$G:$G,'Planned in Nov Dec'!C$3,'LOI and Commissioning Master Sh'!$X:$X,"Yes",'LOI and Commissioning Master Sh'!$H:$H,"A")</f>
        <v>0</v>
      </c>
      <c r="D25" s="146">
        <f>+COUNTIFS('LOI and Commissioning Master Sh'!$D:$D,'Planned in Nov Dec'!$A25,'LOI and Commissioning Master Sh'!$G:$G,'Planned in Nov Dec'!D$3,'LOI and Commissioning Master Sh'!$X:$X,"Yes",'LOI and Commissioning Master Sh'!$H:$H,"A")</f>
        <v>0</v>
      </c>
      <c r="E25" s="146">
        <f>+COUNTIFS('LOI and Commissioning Master Sh'!$D:$D,'Planned in Nov Dec'!$A25,'LOI and Commissioning Master Sh'!$G:$G,'Planned in Nov Dec'!E$3,'LOI and Commissioning Master Sh'!$X:$X,"Yes",'LOI and Commissioning Master Sh'!$H:$H,"A")</f>
        <v>2</v>
      </c>
      <c r="F25" s="146">
        <f>+COUNTIFS('LOI and Commissioning Master Sh'!$D:$D,'Planned in Nov Dec'!$A25,'LOI and Commissioning Master Sh'!$G:$G,'Planned in Nov Dec'!F$3,'LOI and Commissioning Master Sh'!$X:$X,"Yes",'LOI and Commissioning Master Sh'!$H:$H,"A")</f>
        <v>0</v>
      </c>
      <c r="G25" s="146">
        <f>+COUNTIFS('LOI and Commissioning Master Sh'!$D:$D,'Planned in Nov Dec'!$A25,'LOI and Commissioning Master Sh'!$G:$G,'Planned in Nov Dec'!G$3,'LOI and Commissioning Master Sh'!$X:$X,"Yes",'LOI and Commissioning Master Sh'!$H:$H,"A")</f>
        <v>1</v>
      </c>
      <c r="H25" s="147">
        <f t="shared" si="12"/>
        <v>3</v>
      </c>
      <c r="I25" s="151"/>
      <c r="J25" s="146">
        <f>+COUNTIFS('LOI and Commissioning Master Sh'!$D:$D,'Planned in Nov Dec'!$A25,'LOI and Commissioning Master Sh'!$G:$G,'Planned in Nov Dec'!J$18,'LOI and Commissioning Master Sh'!$X:$X,"Yes",'LOI and Commissioning Master Sh'!$H:$H,"B")</f>
        <v>0</v>
      </c>
      <c r="K25" s="146">
        <f>+COUNTIFS('LOI and Commissioning Master Sh'!$D:$D,'Planned in Nov Dec'!$A25,'LOI and Commissioning Master Sh'!$G:$G,'Planned in Nov Dec'!K$18,'LOI and Commissioning Master Sh'!$X:$X,"Yes",'LOI and Commissioning Master Sh'!$H:$H,"B")</f>
        <v>0</v>
      </c>
      <c r="L25" s="146">
        <f>+COUNTIFS('LOI and Commissioning Master Sh'!$D:$D,'Planned in Nov Dec'!$A25,'LOI and Commissioning Master Sh'!$G:$G,'Planned in Nov Dec'!L$18,'LOI and Commissioning Master Sh'!$X:$X,"Yes",'LOI and Commissioning Master Sh'!$H:$H,"B")</f>
        <v>0</v>
      </c>
      <c r="M25" s="146">
        <f>+COUNTIFS('LOI and Commissioning Master Sh'!$D:$D,'Planned in Nov Dec'!$A25,'LOI and Commissioning Master Sh'!$G:$G,'Planned in Nov Dec'!M$18,'LOI and Commissioning Master Sh'!$X:$X,"Yes",'LOI and Commissioning Master Sh'!$H:$H,"B")</f>
        <v>0</v>
      </c>
      <c r="N25" s="146">
        <f>+COUNTIFS('LOI and Commissioning Master Sh'!$D:$D,'Planned in Nov Dec'!$A25,'LOI and Commissioning Master Sh'!$G:$G,'Planned in Nov Dec'!N$18,'LOI and Commissioning Master Sh'!$X:$X,"Yes",'LOI and Commissioning Master Sh'!$H:$H,"B")</f>
        <v>0</v>
      </c>
      <c r="O25" s="146">
        <f>+COUNTIFS('LOI and Commissioning Master Sh'!$D:$D,'Planned in Nov Dec'!$A25,'LOI and Commissioning Master Sh'!$G:$G,'Planned in Nov Dec'!O$18,'LOI and Commissioning Master Sh'!$X:$X,"Yes",'LOI and Commissioning Master Sh'!$H:$H,"B")</f>
        <v>0</v>
      </c>
      <c r="P25" s="147">
        <f t="shared" si="15"/>
        <v>0</v>
      </c>
      <c r="Q25" s="151"/>
      <c r="R25" s="146">
        <f>+COUNTIFS('LOI and Commissioning Master Sh'!$D:$D,'Planned in Nov Dec'!$A25,'LOI and Commissioning Master Sh'!$G:$G,'Planned in Nov Dec'!R$3,'LOI and Commissioning Master Sh'!$X:$X,"Yes",'LOI and Commissioning Master Sh'!$H:$H,"A",'LOI and Commissioning Master Sh'!$BW:$BW,"Commissioned")</f>
        <v>0</v>
      </c>
      <c r="S25" s="146">
        <f>+COUNTIFS('LOI and Commissioning Master Sh'!$D:$D,'Planned in Nov Dec'!$A25,'LOI and Commissioning Master Sh'!$G:$G,'Planned in Nov Dec'!S$3,'LOI and Commissioning Master Sh'!$X:$X,"Yes",'LOI and Commissioning Master Sh'!$H:$H,"A",'LOI and Commissioning Master Sh'!$BW:$BW,"Commissioned")</f>
        <v>0</v>
      </c>
      <c r="T25" s="146">
        <f>+COUNTIFS('LOI and Commissioning Master Sh'!$D:$D,'Planned in Nov Dec'!$A25,'LOI and Commissioning Master Sh'!$G:$G,'Planned in Nov Dec'!T$3,'LOI and Commissioning Master Sh'!$X:$X,"Yes",'LOI and Commissioning Master Sh'!$H:$H,"A",'LOI and Commissioning Master Sh'!$BW:$BW,"Commissioned")</f>
        <v>0</v>
      </c>
      <c r="U25" s="146">
        <f>+COUNTIFS('LOI and Commissioning Master Sh'!$D:$D,'Planned in Nov Dec'!$A25,'LOI and Commissioning Master Sh'!$G:$G,'Planned in Nov Dec'!U$3,'LOI and Commissioning Master Sh'!$X:$X,"Yes",'LOI and Commissioning Master Sh'!$H:$H,"A",'LOI and Commissioning Master Sh'!$BW:$BW,"Commissioned")</f>
        <v>0</v>
      </c>
      <c r="V25" s="146">
        <f>+COUNTIFS('LOI and Commissioning Master Sh'!$D:$D,'Planned in Nov Dec'!$A25,'LOI and Commissioning Master Sh'!$G:$G,'Planned in Nov Dec'!V$3,'LOI and Commissioning Master Sh'!$X:$X,"Yes",'LOI and Commissioning Master Sh'!$H:$H,"A",'LOI and Commissioning Master Sh'!$BW:$BW,"Commissioned")</f>
        <v>0</v>
      </c>
      <c r="W25" s="146">
        <f>+COUNTIFS('LOI and Commissioning Master Sh'!$D:$D,'Planned in Nov Dec'!$A25,'LOI and Commissioning Master Sh'!$G:$G,'Planned in Nov Dec'!W$3,'LOI and Commissioning Master Sh'!$X:$X,"Yes",'LOI and Commissioning Master Sh'!$H:$H,"A",'LOI and Commissioning Master Sh'!$BW:$BW,"Commissioned")</f>
        <v>0</v>
      </c>
      <c r="X25" s="150">
        <f t="shared" si="13"/>
        <v>0</v>
      </c>
      <c r="Y25" s="158"/>
      <c r="Z25" s="146">
        <f>+COUNTIFS('LOI and Commissioning Master Sh'!$D:$D,'Planned in Nov Dec'!$A25,'LOI and Commissioning Master Sh'!$G:$G,'Planned in Nov Dec'!Z$18,'LOI and Commissioning Master Sh'!$X:$X,"Yes",'LOI and Commissioning Master Sh'!$H:$H,"B",'LOI and Commissioning Master Sh'!$BW:$BW,"Commissioned")</f>
        <v>0</v>
      </c>
      <c r="AA25" s="146">
        <f>+COUNTIFS('LOI and Commissioning Master Sh'!$D:$D,'Planned in Nov Dec'!$A25,'LOI and Commissioning Master Sh'!$G:$G,'Planned in Nov Dec'!AA$18,'LOI and Commissioning Master Sh'!$X:$X,"Yes",'LOI and Commissioning Master Sh'!$H:$H,"B",'LOI and Commissioning Master Sh'!$BW:$BW,"Commissioned")</f>
        <v>0</v>
      </c>
      <c r="AB25" s="146">
        <f>+COUNTIFS('LOI and Commissioning Master Sh'!$D:$D,'Planned in Nov Dec'!$A25,'LOI and Commissioning Master Sh'!$G:$G,'Planned in Nov Dec'!AB$18,'LOI and Commissioning Master Sh'!$X:$X,"Yes",'LOI and Commissioning Master Sh'!$H:$H,"B",'LOI and Commissioning Master Sh'!$BW:$BW,"Commissioned")</f>
        <v>0</v>
      </c>
      <c r="AC25" s="146">
        <f>+COUNTIFS('LOI and Commissioning Master Sh'!$D:$D,'Planned in Nov Dec'!$A25,'LOI and Commissioning Master Sh'!$G:$G,'Planned in Nov Dec'!AC$18,'LOI and Commissioning Master Sh'!$X:$X,"Yes",'LOI and Commissioning Master Sh'!$H:$H,"B",'LOI and Commissioning Master Sh'!$BW:$BW,"Commissioned")</f>
        <v>0</v>
      </c>
      <c r="AD25" s="146">
        <f>+COUNTIFS('LOI and Commissioning Master Sh'!$D:$D,'Planned in Nov Dec'!$A25,'LOI and Commissioning Master Sh'!$G:$G,'Planned in Nov Dec'!AD$18,'LOI and Commissioning Master Sh'!$X:$X,"Yes",'LOI and Commissioning Master Sh'!$H:$H,"B",'LOI and Commissioning Master Sh'!$BW:$BW,"Commissioned")</f>
        <v>0</v>
      </c>
      <c r="AE25" s="146">
        <f>+COUNTIFS('LOI and Commissioning Master Sh'!$D:$D,'Planned in Nov Dec'!$A25,'LOI and Commissioning Master Sh'!$G:$G,'Planned in Nov Dec'!AE$18,'LOI and Commissioning Master Sh'!$X:$X,"Yes",'LOI and Commissioning Master Sh'!$H:$H,"B",'LOI and Commissioning Master Sh'!$BW:$BW,"Commissioned")</f>
        <v>0</v>
      </c>
      <c r="AF25" s="150">
        <f t="shared" si="14"/>
        <v>0</v>
      </c>
      <c r="AG25" s="151"/>
      <c r="AH25" s="146">
        <f>+COUNTIFS('LOI and Commissioning Master Sh'!$D:$D,'Planned in Nov Dec'!$A25,'LOI and Commissioning Master Sh'!$G:$G,'Planned in Nov Dec'!AH$3,'LOI and Commissioning Master Sh'!$X:$X,"Yes",'LOI and Commissioning Master Sh'!$BW:$BW,"Commissioned",'LOI and Commissioning Master Sh'!$AS:$AS,'Planned in Nov Dec'!AH$18)</f>
        <v>0</v>
      </c>
      <c r="AI25" s="146">
        <f>+COUNTIFS('LOI and Commissioning Master Sh'!$D:$D,'Planned in Nov Dec'!$A25,'LOI and Commissioning Master Sh'!$G:$G,'Planned in Nov Dec'!AI$3,'LOI and Commissioning Master Sh'!$X:$X,"Yes",'LOI and Commissioning Master Sh'!$BW:$BW,"Commissioned",'LOI and Commissioning Master Sh'!$AS:$AS,'Planned in Nov Dec'!AI$18)</f>
        <v>0</v>
      </c>
      <c r="AJ25" s="146">
        <f>+COUNTIFS('LOI and Commissioning Master Sh'!$D:$D,'Planned in Nov Dec'!$A25,'LOI and Commissioning Master Sh'!$G:$G,'Planned in Nov Dec'!AJ$3,'LOI and Commissioning Master Sh'!$X:$X,"Yes",'LOI and Commissioning Master Sh'!$BW:$BW,"Commissioned",'LOI and Commissioning Master Sh'!$AS:$AS,'Planned in Nov Dec'!AJ$18)</f>
        <v>0</v>
      </c>
      <c r="AK25" s="146">
        <f>+COUNTIFS('LOI and Commissioning Master Sh'!$D:$D,'Planned in Nov Dec'!$A25,'LOI and Commissioning Master Sh'!$G:$G,'Planned in Nov Dec'!AK$3,'LOI and Commissioning Master Sh'!$X:$X,"Yes",'LOI and Commissioning Master Sh'!$BW:$BW,"Commissioned",'LOI and Commissioning Master Sh'!$AS:$AS,'Planned in Nov Dec'!AK$18)</f>
        <v>0</v>
      </c>
      <c r="AL25" s="146">
        <f>+COUNTIFS('LOI and Commissioning Master Sh'!$D:$D,'Planned in Nov Dec'!$A25,'LOI and Commissioning Master Sh'!$G:$G,'Planned in Nov Dec'!AL$3,'LOI and Commissioning Master Sh'!$X:$X,"Yes",'LOI and Commissioning Master Sh'!$BW:$BW,"Commissioned",'LOI and Commissioning Master Sh'!$AS:$AS,'Planned in Nov Dec'!AL$18)</f>
        <v>0</v>
      </c>
      <c r="AM25" s="146">
        <f>+COUNTIFS('LOI and Commissioning Master Sh'!$D:$D,'Planned in Nov Dec'!$A25,'LOI and Commissioning Master Sh'!$G:$G,'Planned in Nov Dec'!AM$3,'LOI and Commissioning Master Sh'!$X:$X,"Yes",'LOI and Commissioning Master Sh'!$BW:$BW,"Commissioned",'LOI and Commissioning Master Sh'!$AS:$AS,'Planned in Nov Dec'!AM$18)</f>
        <v>0</v>
      </c>
      <c r="AN25" s="146">
        <f>+COUNTIFS('LOI and Commissioning Master Sh'!$D:$D,'Planned in Nov Dec'!$A25,'LOI and Commissioning Master Sh'!$G:$G,'Planned in Nov Dec'!AN$3,'LOI and Commissioning Master Sh'!$X:$X,"Yes",'LOI and Commissioning Master Sh'!$BW:$BW,"Commissioned",'LOI and Commissioning Master Sh'!$AS:$AS,'Planned in Nov Dec'!AN$18)</f>
        <v>0</v>
      </c>
      <c r="AO25" s="146">
        <f>+COUNTIFS('LOI and Commissioning Master Sh'!$D:$D,'Planned in Nov Dec'!$A25,'LOI and Commissioning Master Sh'!$G:$G,'Planned in Nov Dec'!AO$3,'LOI and Commissioning Master Sh'!$X:$X,"Yes",'LOI and Commissioning Master Sh'!$BW:$BW,"Commissioned",'LOI and Commissioning Master Sh'!$AS:$AS,'Planned in Nov Dec'!AO$18)</f>
        <v>0</v>
      </c>
      <c r="AP25" s="146">
        <f>+COUNTIFS('LOI and Commissioning Master Sh'!$D:$D,'Planned in Nov Dec'!$A25,'LOI and Commissioning Master Sh'!$G:$G,'Planned in Nov Dec'!AP$3,'LOI and Commissioning Master Sh'!$X:$X,"Yes",'LOI and Commissioning Master Sh'!$BW:$BW,"Commissioned",'LOI and Commissioning Master Sh'!$AS:$AS,'Planned in Nov Dec'!AP$18)</f>
        <v>0</v>
      </c>
      <c r="AQ25" s="146">
        <f>+COUNTIFS('LOI and Commissioning Master Sh'!$D:$D,'Planned in Nov Dec'!$A25,'LOI and Commissioning Master Sh'!$G:$G,'Planned in Nov Dec'!AQ$3,'LOI and Commissioning Master Sh'!$X:$X,"Yes",'LOI and Commissioning Master Sh'!$BW:$BW,"Commissioned",'LOI and Commissioning Master Sh'!$AS:$AS,'Planned in Nov Dec'!AQ$18)</f>
        <v>0</v>
      </c>
      <c r="AR25" s="146">
        <f>+COUNTIFS('LOI and Commissioning Master Sh'!$D:$D,'Planned in Nov Dec'!$A25,'LOI and Commissioning Master Sh'!$G:$G,'Planned in Nov Dec'!AR$3,'LOI and Commissioning Master Sh'!$X:$X,"Yes",'LOI and Commissioning Master Sh'!$BW:$BW,"Commissioned",'LOI and Commissioning Master Sh'!$AS:$AS,'Planned in Nov Dec'!AR$18)</f>
        <v>0</v>
      </c>
      <c r="AS25" s="146">
        <f>+COUNTIFS('LOI and Commissioning Master Sh'!$D:$D,'Planned in Nov Dec'!$A25,'LOI and Commissioning Master Sh'!$G:$G,'Planned in Nov Dec'!AS$3,'LOI and Commissioning Master Sh'!$X:$X,"Yes",'LOI and Commissioning Master Sh'!$BW:$BW,"Commissioned",'LOI and Commissioning Master Sh'!$AS:$AS,'Planned in Nov Dec'!AS$18)</f>
        <v>0</v>
      </c>
      <c r="AT25" s="160">
        <f t="shared" si="16"/>
        <v>0</v>
      </c>
      <c r="AW25" s="146">
        <f>+COUNTIFS('LOI and Commissioning Master Sh'!$D:$D,'Planned in Nov Dec'!$A25,'LOI and Commissioning Master Sh'!$G:$G,'Planned in Nov Dec'!AW$18,'LOI and Commissioning Master Sh'!$X:$X,"Yes",'LOI and Commissioning Master Sh'!$I:$I,'Planned in Nov Dec'!AW$18,'LOI and Commissioning Master Sh'!$BW:$BW,"Commissioned")</f>
        <v>0</v>
      </c>
      <c r="AX25" s="146">
        <f>+COUNTIFS('LOI and Commissioning Master Sh'!$D:$D,'Planned in Nov Dec'!$A25,'LOI and Commissioning Master Sh'!$G:$G,'Planned in Nov Dec'!AX$18,'LOI and Commissioning Master Sh'!$X:$X,"Yes",'LOI and Commissioning Master Sh'!$I:$I,'Planned in Nov Dec'!AX$18,'LOI and Commissioning Master Sh'!$BW:$BW,"Commissioned")</f>
        <v>0</v>
      </c>
      <c r="AY25" s="161">
        <f t="shared" si="17"/>
        <v>0</v>
      </c>
    </row>
    <row r="26" spans="1:54" ht="15.75" hidden="1" thickBot="1" x14ac:dyDescent="0.3">
      <c r="A26" s="145" t="s">
        <v>99</v>
      </c>
      <c r="B26" s="146">
        <f>+COUNTIFS('LOI and Commissioning Master Sh'!$D:$D,'Planned in Nov Dec'!$A26,'LOI and Commissioning Master Sh'!$G:$G,'Planned in Nov Dec'!B$3,'LOI and Commissioning Master Sh'!$X:$X,"Yes",'LOI and Commissioning Master Sh'!$H:$H,"A")</f>
        <v>1</v>
      </c>
      <c r="C26" s="146">
        <f>+COUNTIFS('LOI and Commissioning Master Sh'!$D:$D,'Planned in Nov Dec'!$A26,'LOI and Commissioning Master Sh'!$G:$G,'Planned in Nov Dec'!C$3,'LOI and Commissioning Master Sh'!$X:$X,"Yes",'LOI and Commissioning Master Sh'!$H:$H,"A")</f>
        <v>0</v>
      </c>
      <c r="D26" s="146">
        <f>+COUNTIFS('LOI and Commissioning Master Sh'!$D:$D,'Planned in Nov Dec'!$A26,'LOI and Commissioning Master Sh'!$G:$G,'Planned in Nov Dec'!D$3,'LOI and Commissioning Master Sh'!$X:$X,"Yes",'LOI and Commissioning Master Sh'!$H:$H,"A")</f>
        <v>0</v>
      </c>
      <c r="E26" s="146">
        <f>+COUNTIFS('LOI and Commissioning Master Sh'!$D:$D,'Planned in Nov Dec'!$A26,'LOI and Commissioning Master Sh'!$G:$G,'Planned in Nov Dec'!E$3,'LOI and Commissioning Master Sh'!$X:$X,"Yes",'LOI and Commissioning Master Sh'!$H:$H,"A")</f>
        <v>3</v>
      </c>
      <c r="F26" s="146">
        <f>+COUNTIFS('LOI and Commissioning Master Sh'!$D:$D,'Planned in Nov Dec'!$A26,'LOI and Commissioning Master Sh'!$G:$G,'Planned in Nov Dec'!F$3,'LOI and Commissioning Master Sh'!$X:$X,"Yes",'LOI and Commissioning Master Sh'!$H:$H,"A")</f>
        <v>2</v>
      </c>
      <c r="G26" s="146">
        <f>+COUNTIFS('LOI and Commissioning Master Sh'!$D:$D,'Planned in Nov Dec'!$A26,'LOI and Commissioning Master Sh'!$G:$G,'Planned in Nov Dec'!G$3,'LOI and Commissioning Master Sh'!$X:$X,"Yes",'LOI and Commissioning Master Sh'!$H:$H,"A")</f>
        <v>1</v>
      </c>
      <c r="H26" s="147">
        <f t="shared" si="12"/>
        <v>7</v>
      </c>
      <c r="I26" s="151"/>
      <c r="J26" s="146">
        <f>+COUNTIFS('LOI and Commissioning Master Sh'!$D:$D,'Planned in Nov Dec'!$A26,'LOI and Commissioning Master Sh'!$G:$G,'Planned in Nov Dec'!J$18,'LOI and Commissioning Master Sh'!$X:$X,"Yes",'LOI and Commissioning Master Sh'!$H:$H,"B")</f>
        <v>0</v>
      </c>
      <c r="K26" s="146">
        <f>+COUNTIFS('LOI and Commissioning Master Sh'!$D:$D,'Planned in Nov Dec'!$A26,'LOI and Commissioning Master Sh'!$G:$G,'Planned in Nov Dec'!K$18,'LOI and Commissioning Master Sh'!$X:$X,"Yes",'LOI and Commissioning Master Sh'!$H:$H,"B")</f>
        <v>0</v>
      </c>
      <c r="L26" s="146">
        <f>+COUNTIFS('LOI and Commissioning Master Sh'!$D:$D,'Planned in Nov Dec'!$A26,'LOI and Commissioning Master Sh'!$G:$G,'Planned in Nov Dec'!L$18,'LOI and Commissioning Master Sh'!$X:$X,"Yes",'LOI and Commissioning Master Sh'!$H:$H,"B")</f>
        <v>0</v>
      </c>
      <c r="M26" s="146">
        <f>+COUNTIFS('LOI and Commissioning Master Sh'!$D:$D,'Planned in Nov Dec'!$A26,'LOI and Commissioning Master Sh'!$G:$G,'Planned in Nov Dec'!M$18,'LOI and Commissioning Master Sh'!$X:$X,"Yes",'LOI and Commissioning Master Sh'!$H:$H,"B")</f>
        <v>3</v>
      </c>
      <c r="N26" s="146">
        <f>+COUNTIFS('LOI and Commissioning Master Sh'!$D:$D,'Planned in Nov Dec'!$A26,'LOI and Commissioning Master Sh'!$G:$G,'Planned in Nov Dec'!N$18,'LOI and Commissioning Master Sh'!$X:$X,"Yes",'LOI and Commissioning Master Sh'!$H:$H,"B")</f>
        <v>0</v>
      </c>
      <c r="O26" s="146">
        <f>+COUNTIFS('LOI and Commissioning Master Sh'!$D:$D,'Planned in Nov Dec'!$A26,'LOI and Commissioning Master Sh'!$G:$G,'Planned in Nov Dec'!O$18,'LOI and Commissioning Master Sh'!$X:$X,"Yes",'LOI and Commissioning Master Sh'!$H:$H,"B")</f>
        <v>1</v>
      </c>
      <c r="P26" s="147">
        <f t="shared" si="15"/>
        <v>4</v>
      </c>
      <c r="Q26" s="151"/>
      <c r="R26" s="146">
        <f>+COUNTIFS('LOI and Commissioning Master Sh'!$D:$D,'Planned in Nov Dec'!$A26,'LOI and Commissioning Master Sh'!$G:$G,'Planned in Nov Dec'!R$3,'LOI and Commissioning Master Sh'!$X:$X,"Yes",'LOI and Commissioning Master Sh'!$H:$H,"A",'LOI and Commissioning Master Sh'!$BW:$BW,"Commissioned")</f>
        <v>0</v>
      </c>
      <c r="S26" s="146">
        <f>+COUNTIFS('LOI and Commissioning Master Sh'!$D:$D,'Planned in Nov Dec'!$A26,'LOI and Commissioning Master Sh'!$G:$G,'Planned in Nov Dec'!S$3,'LOI and Commissioning Master Sh'!$X:$X,"Yes",'LOI and Commissioning Master Sh'!$H:$H,"A",'LOI and Commissioning Master Sh'!$BW:$BW,"Commissioned")</f>
        <v>0</v>
      </c>
      <c r="T26" s="146">
        <f>+COUNTIFS('LOI and Commissioning Master Sh'!$D:$D,'Planned in Nov Dec'!$A26,'LOI and Commissioning Master Sh'!$G:$G,'Planned in Nov Dec'!T$3,'LOI and Commissioning Master Sh'!$X:$X,"Yes",'LOI and Commissioning Master Sh'!$H:$H,"A",'LOI and Commissioning Master Sh'!$BW:$BW,"Commissioned")</f>
        <v>0</v>
      </c>
      <c r="U26" s="146">
        <f>+COUNTIFS('LOI and Commissioning Master Sh'!$D:$D,'Planned in Nov Dec'!$A26,'LOI and Commissioning Master Sh'!$G:$G,'Planned in Nov Dec'!U$3,'LOI and Commissioning Master Sh'!$X:$X,"Yes",'LOI and Commissioning Master Sh'!$H:$H,"A",'LOI and Commissioning Master Sh'!$BW:$BW,"Commissioned")</f>
        <v>0</v>
      </c>
      <c r="V26" s="146">
        <f>+COUNTIFS('LOI and Commissioning Master Sh'!$D:$D,'Planned in Nov Dec'!$A26,'LOI and Commissioning Master Sh'!$G:$G,'Planned in Nov Dec'!V$3,'LOI and Commissioning Master Sh'!$X:$X,"Yes",'LOI and Commissioning Master Sh'!$H:$H,"A",'LOI and Commissioning Master Sh'!$BW:$BW,"Commissioned")</f>
        <v>1</v>
      </c>
      <c r="W26" s="146">
        <f>+COUNTIFS('LOI and Commissioning Master Sh'!$D:$D,'Planned in Nov Dec'!$A26,'LOI and Commissioning Master Sh'!$G:$G,'Planned in Nov Dec'!W$3,'LOI and Commissioning Master Sh'!$X:$X,"Yes",'LOI and Commissioning Master Sh'!$H:$H,"A",'LOI and Commissioning Master Sh'!$BW:$BW,"Commissioned")</f>
        <v>1</v>
      </c>
      <c r="X26" s="150">
        <f t="shared" si="13"/>
        <v>2</v>
      </c>
      <c r="Y26" s="158"/>
      <c r="Z26" s="146">
        <f>+COUNTIFS('LOI and Commissioning Master Sh'!$D:$D,'Planned in Nov Dec'!$A26,'LOI and Commissioning Master Sh'!$G:$G,'Planned in Nov Dec'!Z$18,'LOI and Commissioning Master Sh'!$X:$X,"Yes",'LOI and Commissioning Master Sh'!$H:$H,"B",'LOI and Commissioning Master Sh'!$BW:$BW,"Commissioned")</f>
        <v>0</v>
      </c>
      <c r="AA26" s="146">
        <f>+COUNTIFS('LOI and Commissioning Master Sh'!$D:$D,'Planned in Nov Dec'!$A26,'LOI and Commissioning Master Sh'!$G:$G,'Planned in Nov Dec'!AA$18,'LOI and Commissioning Master Sh'!$X:$X,"Yes",'LOI and Commissioning Master Sh'!$H:$H,"B",'LOI and Commissioning Master Sh'!$BW:$BW,"Commissioned")</f>
        <v>0</v>
      </c>
      <c r="AB26" s="146">
        <f>+COUNTIFS('LOI and Commissioning Master Sh'!$D:$D,'Planned in Nov Dec'!$A26,'LOI and Commissioning Master Sh'!$G:$G,'Planned in Nov Dec'!AB$18,'LOI and Commissioning Master Sh'!$X:$X,"Yes",'LOI and Commissioning Master Sh'!$H:$H,"B",'LOI and Commissioning Master Sh'!$BW:$BW,"Commissioned")</f>
        <v>0</v>
      </c>
      <c r="AC26" s="146">
        <f>+COUNTIFS('LOI and Commissioning Master Sh'!$D:$D,'Planned in Nov Dec'!$A26,'LOI and Commissioning Master Sh'!$G:$G,'Planned in Nov Dec'!AC$18,'LOI and Commissioning Master Sh'!$X:$X,"Yes",'LOI and Commissioning Master Sh'!$H:$H,"B",'LOI and Commissioning Master Sh'!$BW:$BW,"Commissioned")</f>
        <v>0</v>
      </c>
      <c r="AD26" s="146">
        <f>+COUNTIFS('LOI and Commissioning Master Sh'!$D:$D,'Planned in Nov Dec'!$A26,'LOI and Commissioning Master Sh'!$G:$G,'Planned in Nov Dec'!AD$18,'LOI and Commissioning Master Sh'!$X:$X,"Yes",'LOI and Commissioning Master Sh'!$H:$H,"B",'LOI and Commissioning Master Sh'!$BW:$BW,"Commissioned")</f>
        <v>0</v>
      </c>
      <c r="AE26" s="146">
        <f>+COUNTIFS('LOI and Commissioning Master Sh'!$D:$D,'Planned in Nov Dec'!$A26,'LOI and Commissioning Master Sh'!$G:$G,'Planned in Nov Dec'!AE$18,'LOI and Commissioning Master Sh'!$X:$X,"Yes",'LOI and Commissioning Master Sh'!$H:$H,"B",'LOI and Commissioning Master Sh'!$BW:$BW,"Commissioned")</f>
        <v>0</v>
      </c>
      <c r="AF26" s="150">
        <f t="shared" si="14"/>
        <v>0</v>
      </c>
      <c r="AG26" s="151"/>
      <c r="AH26" s="146">
        <f>+COUNTIFS('LOI and Commissioning Master Sh'!$D:$D,'Planned in Nov Dec'!$A26,'LOI and Commissioning Master Sh'!$G:$G,'Planned in Nov Dec'!AH$3,'LOI and Commissioning Master Sh'!$X:$X,"Yes",'LOI and Commissioning Master Sh'!$BW:$BW,"Commissioned",'LOI and Commissioning Master Sh'!$AS:$AS,'Planned in Nov Dec'!AH$18)</f>
        <v>0</v>
      </c>
      <c r="AI26" s="146">
        <f>+COUNTIFS('LOI and Commissioning Master Sh'!$D:$D,'Planned in Nov Dec'!$A26,'LOI and Commissioning Master Sh'!$G:$G,'Planned in Nov Dec'!AI$3,'LOI and Commissioning Master Sh'!$X:$X,"Yes",'LOI and Commissioning Master Sh'!$BW:$BW,"Commissioned",'LOI and Commissioning Master Sh'!$AS:$AS,'Planned in Nov Dec'!AI$18)</f>
        <v>0</v>
      </c>
      <c r="AJ26" s="146">
        <f>+COUNTIFS('LOI and Commissioning Master Sh'!$D:$D,'Planned in Nov Dec'!$A26,'LOI and Commissioning Master Sh'!$G:$G,'Planned in Nov Dec'!AJ$3,'LOI and Commissioning Master Sh'!$X:$X,"Yes",'LOI and Commissioning Master Sh'!$BW:$BW,"Commissioned",'LOI and Commissioning Master Sh'!$AS:$AS,'Planned in Nov Dec'!AJ$18)</f>
        <v>0</v>
      </c>
      <c r="AK26" s="146">
        <f>+COUNTIFS('LOI and Commissioning Master Sh'!$D:$D,'Planned in Nov Dec'!$A26,'LOI and Commissioning Master Sh'!$G:$G,'Planned in Nov Dec'!AK$3,'LOI and Commissioning Master Sh'!$X:$X,"Yes",'LOI and Commissioning Master Sh'!$BW:$BW,"Commissioned",'LOI and Commissioning Master Sh'!$AS:$AS,'Planned in Nov Dec'!AK$18)</f>
        <v>0</v>
      </c>
      <c r="AL26" s="146">
        <f>+COUNTIFS('LOI and Commissioning Master Sh'!$D:$D,'Planned in Nov Dec'!$A26,'LOI and Commissioning Master Sh'!$G:$G,'Planned in Nov Dec'!AL$3,'LOI and Commissioning Master Sh'!$X:$X,"Yes",'LOI and Commissioning Master Sh'!$BW:$BW,"Commissioned",'LOI and Commissioning Master Sh'!$AS:$AS,'Planned in Nov Dec'!AL$18)</f>
        <v>0</v>
      </c>
      <c r="AM26" s="146">
        <f>+COUNTIFS('LOI and Commissioning Master Sh'!$D:$D,'Planned in Nov Dec'!$A26,'LOI and Commissioning Master Sh'!$G:$G,'Planned in Nov Dec'!AM$3,'LOI and Commissioning Master Sh'!$X:$X,"Yes",'LOI and Commissioning Master Sh'!$BW:$BW,"Commissioned",'LOI and Commissioning Master Sh'!$AS:$AS,'Planned in Nov Dec'!AM$18)</f>
        <v>0</v>
      </c>
      <c r="AN26" s="146">
        <f>+COUNTIFS('LOI and Commissioning Master Sh'!$D:$D,'Planned in Nov Dec'!$A26,'LOI and Commissioning Master Sh'!$G:$G,'Planned in Nov Dec'!AN$3,'LOI and Commissioning Master Sh'!$X:$X,"Yes",'LOI and Commissioning Master Sh'!$BW:$BW,"Commissioned",'LOI and Commissioning Master Sh'!$AS:$AS,'Planned in Nov Dec'!AN$18)</f>
        <v>0</v>
      </c>
      <c r="AO26" s="146">
        <f>+COUNTIFS('LOI and Commissioning Master Sh'!$D:$D,'Planned in Nov Dec'!$A26,'LOI and Commissioning Master Sh'!$G:$G,'Planned in Nov Dec'!AO$3,'LOI and Commissioning Master Sh'!$X:$X,"Yes",'LOI and Commissioning Master Sh'!$BW:$BW,"Commissioned",'LOI and Commissioning Master Sh'!$AS:$AS,'Planned in Nov Dec'!AO$18)</f>
        <v>0</v>
      </c>
      <c r="AP26" s="146">
        <f>+COUNTIFS('LOI and Commissioning Master Sh'!$D:$D,'Planned in Nov Dec'!$A26,'LOI and Commissioning Master Sh'!$G:$G,'Planned in Nov Dec'!AP$3,'LOI and Commissioning Master Sh'!$X:$X,"Yes",'LOI and Commissioning Master Sh'!$BW:$BW,"Commissioned",'LOI and Commissioning Master Sh'!$AS:$AS,'Planned in Nov Dec'!AP$18)</f>
        <v>0</v>
      </c>
      <c r="AQ26" s="146">
        <f>+COUNTIFS('LOI and Commissioning Master Sh'!$D:$D,'Planned in Nov Dec'!$A26,'LOI and Commissioning Master Sh'!$G:$G,'Planned in Nov Dec'!AQ$3,'LOI and Commissioning Master Sh'!$X:$X,"Yes",'LOI and Commissioning Master Sh'!$BW:$BW,"Commissioned",'LOI and Commissioning Master Sh'!$AS:$AS,'Planned in Nov Dec'!AQ$18)</f>
        <v>0</v>
      </c>
      <c r="AR26" s="146">
        <f>+COUNTIFS('LOI and Commissioning Master Sh'!$D:$D,'Planned in Nov Dec'!$A26,'LOI and Commissioning Master Sh'!$G:$G,'Planned in Nov Dec'!AR$3,'LOI and Commissioning Master Sh'!$X:$X,"Yes",'LOI and Commissioning Master Sh'!$BW:$BW,"Commissioned",'LOI and Commissioning Master Sh'!$AS:$AS,'Planned in Nov Dec'!AR$18)</f>
        <v>0</v>
      </c>
      <c r="AS26" s="146">
        <f>+COUNTIFS('LOI and Commissioning Master Sh'!$D:$D,'Planned in Nov Dec'!$A26,'LOI and Commissioning Master Sh'!$G:$G,'Planned in Nov Dec'!AS$3,'LOI and Commissioning Master Sh'!$X:$X,"Yes",'LOI and Commissioning Master Sh'!$BW:$BW,"Commissioned",'LOI and Commissioning Master Sh'!$AS:$AS,'Planned in Nov Dec'!AS$18)</f>
        <v>0</v>
      </c>
      <c r="AT26" s="160">
        <f t="shared" si="16"/>
        <v>0</v>
      </c>
      <c r="AW26" s="146">
        <f>+COUNTIFS('LOI and Commissioning Master Sh'!$D:$D,'Planned in Nov Dec'!$A26,'LOI and Commissioning Master Sh'!$G:$G,'Planned in Nov Dec'!AW$18,'LOI and Commissioning Master Sh'!$X:$X,"Yes",'LOI and Commissioning Master Sh'!$I:$I,'Planned in Nov Dec'!AW$18,'LOI and Commissioning Master Sh'!$BW:$BW,"Commissioned")</f>
        <v>0</v>
      </c>
      <c r="AX26" s="146">
        <f>+COUNTIFS('LOI and Commissioning Master Sh'!$D:$D,'Planned in Nov Dec'!$A26,'LOI and Commissioning Master Sh'!$G:$G,'Planned in Nov Dec'!AX$18,'LOI and Commissioning Master Sh'!$X:$X,"Yes",'LOI and Commissioning Master Sh'!$I:$I,'Planned in Nov Dec'!AX$18,'LOI and Commissioning Master Sh'!$BW:$BW,"Commissioned")</f>
        <v>0</v>
      </c>
      <c r="AY26" s="161">
        <f t="shared" si="17"/>
        <v>0</v>
      </c>
    </row>
    <row r="27" spans="1:54" ht="15.75" hidden="1" thickBot="1" x14ac:dyDescent="0.3">
      <c r="A27" s="145" t="s">
        <v>141</v>
      </c>
      <c r="B27" s="146">
        <f>+COUNTIFS('LOI and Commissioning Master Sh'!$D:$D,'Planned in Nov Dec'!$A27,'LOI and Commissioning Master Sh'!$G:$G,'Planned in Nov Dec'!B$3,'LOI and Commissioning Master Sh'!$X:$X,"Yes",'LOI and Commissioning Master Sh'!$H:$H,"A")</f>
        <v>0</v>
      </c>
      <c r="C27" s="146">
        <f>+COUNTIFS('LOI and Commissioning Master Sh'!$D:$D,'Planned in Nov Dec'!$A27,'LOI and Commissioning Master Sh'!$G:$G,'Planned in Nov Dec'!C$3,'LOI and Commissioning Master Sh'!$X:$X,"Yes",'LOI and Commissioning Master Sh'!$H:$H,"A")</f>
        <v>0</v>
      </c>
      <c r="D27" s="146">
        <f>+COUNTIFS('LOI and Commissioning Master Sh'!$D:$D,'Planned in Nov Dec'!$A27,'LOI and Commissioning Master Sh'!$G:$G,'Planned in Nov Dec'!D$3,'LOI and Commissioning Master Sh'!$X:$X,"Yes",'LOI and Commissioning Master Sh'!$H:$H,"A")</f>
        <v>0</v>
      </c>
      <c r="E27" s="146">
        <f>+COUNTIFS('LOI and Commissioning Master Sh'!$D:$D,'Planned in Nov Dec'!$A27,'LOI and Commissioning Master Sh'!$G:$G,'Planned in Nov Dec'!E$3,'LOI and Commissioning Master Sh'!$X:$X,"Yes",'LOI and Commissioning Master Sh'!$H:$H,"A")</f>
        <v>1</v>
      </c>
      <c r="F27" s="146">
        <f>+COUNTIFS('LOI and Commissioning Master Sh'!$D:$D,'Planned in Nov Dec'!$A27,'LOI and Commissioning Master Sh'!$G:$G,'Planned in Nov Dec'!F$3,'LOI and Commissioning Master Sh'!$X:$X,"Yes",'LOI and Commissioning Master Sh'!$H:$H,"A")</f>
        <v>1</v>
      </c>
      <c r="G27" s="146">
        <f>+COUNTIFS('LOI and Commissioning Master Sh'!$D:$D,'Planned in Nov Dec'!$A27,'LOI and Commissioning Master Sh'!$G:$G,'Planned in Nov Dec'!G$3,'LOI and Commissioning Master Sh'!$X:$X,"Yes",'LOI and Commissioning Master Sh'!$H:$H,"A")</f>
        <v>0</v>
      </c>
      <c r="H27" s="147">
        <f t="shared" si="12"/>
        <v>2</v>
      </c>
      <c r="I27" s="151"/>
      <c r="J27" s="146">
        <f>+COUNTIFS('LOI and Commissioning Master Sh'!$D:$D,'Planned in Nov Dec'!$A27,'LOI and Commissioning Master Sh'!$G:$G,'Planned in Nov Dec'!J$18,'LOI and Commissioning Master Sh'!$X:$X,"Yes",'LOI and Commissioning Master Sh'!$H:$H,"B")</f>
        <v>0</v>
      </c>
      <c r="K27" s="146">
        <f>+COUNTIFS('LOI and Commissioning Master Sh'!$D:$D,'Planned in Nov Dec'!$A27,'LOI and Commissioning Master Sh'!$G:$G,'Planned in Nov Dec'!K$18,'LOI and Commissioning Master Sh'!$X:$X,"Yes",'LOI and Commissioning Master Sh'!$H:$H,"B")</f>
        <v>0</v>
      </c>
      <c r="L27" s="146">
        <f>+COUNTIFS('LOI and Commissioning Master Sh'!$D:$D,'Planned in Nov Dec'!$A27,'LOI and Commissioning Master Sh'!$G:$G,'Planned in Nov Dec'!L$18,'LOI and Commissioning Master Sh'!$X:$X,"Yes",'LOI and Commissioning Master Sh'!$H:$H,"B")</f>
        <v>0</v>
      </c>
      <c r="M27" s="146">
        <f>+COUNTIFS('LOI and Commissioning Master Sh'!$D:$D,'Planned in Nov Dec'!$A27,'LOI and Commissioning Master Sh'!$G:$G,'Planned in Nov Dec'!M$18,'LOI and Commissioning Master Sh'!$X:$X,"Yes",'LOI and Commissioning Master Sh'!$H:$H,"B")</f>
        <v>3</v>
      </c>
      <c r="N27" s="146">
        <f>+COUNTIFS('LOI and Commissioning Master Sh'!$D:$D,'Planned in Nov Dec'!$A27,'LOI and Commissioning Master Sh'!$G:$G,'Planned in Nov Dec'!N$18,'LOI and Commissioning Master Sh'!$X:$X,"Yes",'LOI and Commissioning Master Sh'!$H:$H,"B")</f>
        <v>0</v>
      </c>
      <c r="O27" s="146">
        <f>+COUNTIFS('LOI and Commissioning Master Sh'!$D:$D,'Planned in Nov Dec'!$A27,'LOI and Commissioning Master Sh'!$G:$G,'Planned in Nov Dec'!O$18,'LOI and Commissioning Master Sh'!$X:$X,"Yes",'LOI and Commissioning Master Sh'!$H:$H,"B")</f>
        <v>0</v>
      </c>
      <c r="P27" s="147">
        <f t="shared" si="15"/>
        <v>3</v>
      </c>
      <c r="Q27" s="151"/>
      <c r="R27" s="146">
        <f>+COUNTIFS('LOI and Commissioning Master Sh'!$D:$D,'Planned in Nov Dec'!$A27,'LOI and Commissioning Master Sh'!$G:$G,'Planned in Nov Dec'!R$3,'LOI and Commissioning Master Sh'!$X:$X,"Yes",'LOI and Commissioning Master Sh'!$H:$H,"A",'LOI and Commissioning Master Sh'!$BW:$BW,"Commissioned")</f>
        <v>0</v>
      </c>
      <c r="S27" s="146">
        <f>+COUNTIFS('LOI and Commissioning Master Sh'!$D:$D,'Planned in Nov Dec'!$A27,'LOI and Commissioning Master Sh'!$G:$G,'Planned in Nov Dec'!S$3,'LOI and Commissioning Master Sh'!$X:$X,"Yes",'LOI and Commissioning Master Sh'!$H:$H,"A",'LOI and Commissioning Master Sh'!$BW:$BW,"Commissioned")</f>
        <v>0</v>
      </c>
      <c r="T27" s="146">
        <f>+COUNTIFS('LOI and Commissioning Master Sh'!$D:$D,'Planned in Nov Dec'!$A27,'LOI and Commissioning Master Sh'!$G:$G,'Planned in Nov Dec'!T$3,'LOI and Commissioning Master Sh'!$X:$X,"Yes",'LOI and Commissioning Master Sh'!$H:$H,"A",'LOI and Commissioning Master Sh'!$BW:$BW,"Commissioned")</f>
        <v>0</v>
      </c>
      <c r="U27" s="146">
        <f>+COUNTIFS('LOI and Commissioning Master Sh'!$D:$D,'Planned in Nov Dec'!$A27,'LOI and Commissioning Master Sh'!$G:$G,'Planned in Nov Dec'!U$3,'LOI and Commissioning Master Sh'!$X:$X,"Yes",'LOI and Commissioning Master Sh'!$H:$H,"A",'LOI and Commissioning Master Sh'!$BW:$BW,"Commissioned")</f>
        <v>0</v>
      </c>
      <c r="V27" s="146">
        <f>+COUNTIFS('LOI and Commissioning Master Sh'!$D:$D,'Planned in Nov Dec'!$A27,'LOI and Commissioning Master Sh'!$G:$G,'Planned in Nov Dec'!V$3,'LOI and Commissioning Master Sh'!$X:$X,"Yes",'LOI and Commissioning Master Sh'!$H:$H,"A",'LOI and Commissioning Master Sh'!$BW:$BW,"Commissioned")</f>
        <v>0</v>
      </c>
      <c r="W27" s="146">
        <f>+COUNTIFS('LOI and Commissioning Master Sh'!$D:$D,'Planned in Nov Dec'!$A27,'LOI and Commissioning Master Sh'!$G:$G,'Planned in Nov Dec'!W$3,'LOI and Commissioning Master Sh'!$X:$X,"Yes",'LOI and Commissioning Master Sh'!$H:$H,"A",'LOI and Commissioning Master Sh'!$BW:$BW,"Commissioned")</f>
        <v>0</v>
      </c>
      <c r="X27" s="150">
        <f t="shared" si="13"/>
        <v>0</v>
      </c>
      <c r="Y27" s="158"/>
      <c r="Z27" s="146">
        <f>+COUNTIFS('LOI and Commissioning Master Sh'!$D:$D,'Planned in Nov Dec'!$A27,'LOI and Commissioning Master Sh'!$G:$G,'Planned in Nov Dec'!Z$18,'LOI and Commissioning Master Sh'!$X:$X,"Yes",'LOI and Commissioning Master Sh'!$H:$H,"B",'LOI and Commissioning Master Sh'!$BW:$BW,"Commissioned")</f>
        <v>0</v>
      </c>
      <c r="AA27" s="146">
        <f>+COUNTIFS('LOI and Commissioning Master Sh'!$D:$D,'Planned in Nov Dec'!$A27,'LOI and Commissioning Master Sh'!$G:$G,'Planned in Nov Dec'!AA$18,'LOI and Commissioning Master Sh'!$X:$X,"Yes",'LOI and Commissioning Master Sh'!$H:$H,"B",'LOI and Commissioning Master Sh'!$BW:$BW,"Commissioned")</f>
        <v>0</v>
      </c>
      <c r="AB27" s="146">
        <f>+COUNTIFS('LOI and Commissioning Master Sh'!$D:$D,'Planned in Nov Dec'!$A27,'LOI and Commissioning Master Sh'!$G:$G,'Planned in Nov Dec'!AB$18,'LOI and Commissioning Master Sh'!$X:$X,"Yes",'LOI and Commissioning Master Sh'!$H:$H,"B",'LOI and Commissioning Master Sh'!$BW:$BW,"Commissioned")</f>
        <v>0</v>
      </c>
      <c r="AC27" s="146">
        <f>+COUNTIFS('LOI and Commissioning Master Sh'!$D:$D,'Planned in Nov Dec'!$A27,'LOI and Commissioning Master Sh'!$G:$G,'Planned in Nov Dec'!AC$18,'LOI and Commissioning Master Sh'!$X:$X,"Yes",'LOI and Commissioning Master Sh'!$H:$H,"B",'LOI and Commissioning Master Sh'!$BW:$BW,"Commissioned")</f>
        <v>1</v>
      </c>
      <c r="AD27" s="146">
        <f>+COUNTIFS('LOI and Commissioning Master Sh'!$D:$D,'Planned in Nov Dec'!$A27,'LOI and Commissioning Master Sh'!$G:$G,'Planned in Nov Dec'!AD$18,'LOI and Commissioning Master Sh'!$X:$X,"Yes",'LOI and Commissioning Master Sh'!$H:$H,"B",'LOI and Commissioning Master Sh'!$BW:$BW,"Commissioned")</f>
        <v>0</v>
      </c>
      <c r="AE27" s="146">
        <f>+COUNTIFS('LOI and Commissioning Master Sh'!$D:$D,'Planned in Nov Dec'!$A27,'LOI and Commissioning Master Sh'!$G:$G,'Planned in Nov Dec'!AE$18,'LOI and Commissioning Master Sh'!$X:$X,"Yes",'LOI and Commissioning Master Sh'!$H:$H,"B",'LOI and Commissioning Master Sh'!$BW:$BW,"Commissioned")</f>
        <v>0</v>
      </c>
      <c r="AF27" s="150">
        <f t="shared" si="14"/>
        <v>1</v>
      </c>
      <c r="AG27" s="151"/>
      <c r="AH27" s="146">
        <f>+COUNTIFS('LOI and Commissioning Master Sh'!$D:$D,'Planned in Nov Dec'!$A27,'LOI and Commissioning Master Sh'!$G:$G,'Planned in Nov Dec'!AH$3,'LOI and Commissioning Master Sh'!$X:$X,"Yes",'LOI and Commissioning Master Sh'!$BW:$BW,"Commissioned",'LOI and Commissioning Master Sh'!$AS:$AS,'Planned in Nov Dec'!AH$18)</f>
        <v>0</v>
      </c>
      <c r="AI27" s="146">
        <f>+COUNTIFS('LOI and Commissioning Master Sh'!$D:$D,'Planned in Nov Dec'!$A27,'LOI and Commissioning Master Sh'!$G:$G,'Planned in Nov Dec'!AI$3,'LOI and Commissioning Master Sh'!$X:$X,"Yes",'LOI and Commissioning Master Sh'!$BW:$BW,"Commissioned",'LOI and Commissioning Master Sh'!$AS:$AS,'Planned in Nov Dec'!AI$18)</f>
        <v>0</v>
      </c>
      <c r="AJ27" s="146">
        <f>+COUNTIFS('LOI and Commissioning Master Sh'!$D:$D,'Planned in Nov Dec'!$A27,'LOI and Commissioning Master Sh'!$G:$G,'Planned in Nov Dec'!AJ$3,'LOI and Commissioning Master Sh'!$X:$X,"Yes",'LOI and Commissioning Master Sh'!$BW:$BW,"Commissioned",'LOI and Commissioning Master Sh'!$AS:$AS,'Planned in Nov Dec'!AJ$18)</f>
        <v>0</v>
      </c>
      <c r="AK27" s="146">
        <f>+COUNTIFS('LOI and Commissioning Master Sh'!$D:$D,'Planned in Nov Dec'!$A27,'LOI and Commissioning Master Sh'!$G:$G,'Planned in Nov Dec'!AK$3,'LOI and Commissioning Master Sh'!$X:$X,"Yes",'LOI and Commissioning Master Sh'!$BW:$BW,"Commissioned",'LOI and Commissioning Master Sh'!$AS:$AS,'Planned in Nov Dec'!AK$18)</f>
        <v>0</v>
      </c>
      <c r="AL27" s="146">
        <f>+COUNTIFS('LOI and Commissioning Master Sh'!$D:$D,'Planned in Nov Dec'!$A27,'LOI and Commissioning Master Sh'!$G:$G,'Planned in Nov Dec'!AL$3,'LOI and Commissioning Master Sh'!$X:$X,"Yes",'LOI and Commissioning Master Sh'!$BW:$BW,"Commissioned",'LOI and Commissioning Master Sh'!$AS:$AS,'Planned in Nov Dec'!AL$18)</f>
        <v>0</v>
      </c>
      <c r="AM27" s="146">
        <f>+COUNTIFS('LOI and Commissioning Master Sh'!$D:$D,'Planned in Nov Dec'!$A27,'LOI and Commissioning Master Sh'!$G:$G,'Planned in Nov Dec'!AM$3,'LOI and Commissioning Master Sh'!$X:$X,"Yes",'LOI and Commissioning Master Sh'!$BW:$BW,"Commissioned",'LOI and Commissioning Master Sh'!$AS:$AS,'Planned in Nov Dec'!AM$18)</f>
        <v>0</v>
      </c>
      <c r="AN27" s="146">
        <f>+COUNTIFS('LOI and Commissioning Master Sh'!$D:$D,'Planned in Nov Dec'!$A27,'LOI and Commissioning Master Sh'!$G:$G,'Planned in Nov Dec'!AN$3,'LOI and Commissioning Master Sh'!$X:$X,"Yes",'LOI and Commissioning Master Sh'!$BW:$BW,"Commissioned",'LOI and Commissioning Master Sh'!$AS:$AS,'Planned in Nov Dec'!AN$18)</f>
        <v>0</v>
      </c>
      <c r="AO27" s="146">
        <f>+COUNTIFS('LOI and Commissioning Master Sh'!$D:$D,'Planned in Nov Dec'!$A27,'LOI and Commissioning Master Sh'!$G:$G,'Planned in Nov Dec'!AO$3,'LOI and Commissioning Master Sh'!$X:$X,"Yes",'LOI and Commissioning Master Sh'!$BW:$BW,"Commissioned",'LOI and Commissioning Master Sh'!$AS:$AS,'Planned in Nov Dec'!AO$18)</f>
        <v>0</v>
      </c>
      <c r="AP27" s="146">
        <f>+COUNTIFS('LOI and Commissioning Master Sh'!$D:$D,'Planned in Nov Dec'!$A27,'LOI and Commissioning Master Sh'!$G:$G,'Planned in Nov Dec'!AP$3,'LOI and Commissioning Master Sh'!$X:$X,"Yes",'LOI and Commissioning Master Sh'!$BW:$BW,"Commissioned",'LOI and Commissioning Master Sh'!$AS:$AS,'Planned in Nov Dec'!AP$18)</f>
        <v>0</v>
      </c>
      <c r="AQ27" s="146">
        <f>+COUNTIFS('LOI and Commissioning Master Sh'!$D:$D,'Planned in Nov Dec'!$A27,'LOI and Commissioning Master Sh'!$G:$G,'Planned in Nov Dec'!AQ$3,'LOI and Commissioning Master Sh'!$X:$X,"Yes",'LOI and Commissioning Master Sh'!$BW:$BW,"Commissioned",'LOI and Commissioning Master Sh'!$AS:$AS,'Planned in Nov Dec'!AQ$18)</f>
        <v>0</v>
      </c>
      <c r="AR27" s="146">
        <f>+COUNTIFS('LOI and Commissioning Master Sh'!$D:$D,'Planned in Nov Dec'!$A27,'LOI and Commissioning Master Sh'!$G:$G,'Planned in Nov Dec'!AR$3,'LOI and Commissioning Master Sh'!$X:$X,"Yes",'LOI and Commissioning Master Sh'!$BW:$BW,"Commissioned",'LOI and Commissioning Master Sh'!$AS:$AS,'Planned in Nov Dec'!AR$18)</f>
        <v>0</v>
      </c>
      <c r="AS27" s="146">
        <f>+COUNTIFS('LOI and Commissioning Master Sh'!$D:$D,'Planned in Nov Dec'!$A27,'LOI and Commissioning Master Sh'!$G:$G,'Planned in Nov Dec'!AS$3,'LOI and Commissioning Master Sh'!$X:$X,"Yes",'LOI and Commissioning Master Sh'!$BW:$BW,"Commissioned",'LOI and Commissioning Master Sh'!$AS:$AS,'Planned in Nov Dec'!AS$18)</f>
        <v>0</v>
      </c>
      <c r="AT27" s="160">
        <f t="shared" si="16"/>
        <v>0</v>
      </c>
      <c r="AW27" s="146">
        <f>+COUNTIFS('LOI and Commissioning Master Sh'!$D:$D,'Planned in Nov Dec'!$A27,'LOI and Commissioning Master Sh'!$G:$G,'Planned in Nov Dec'!AW$18,'LOI and Commissioning Master Sh'!$X:$X,"Yes",'LOI and Commissioning Master Sh'!$I:$I,'Planned in Nov Dec'!AW$18,'LOI and Commissioning Master Sh'!$BW:$BW,"Commissioned")</f>
        <v>0</v>
      </c>
      <c r="AX27" s="146">
        <f>+COUNTIFS('LOI and Commissioning Master Sh'!$D:$D,'Planned in Nov Dec'!$A27,'LOI and Commissioning Master Sh'!$G:$G,'Planned in Nov Dec'!AX$18,'LOI and Commissioning Master Sh'!$X:$X,"Yes",'LOI and Commissioning Master Sh'!$I:$I,'Planned in Nov Dec'!AX$18,'LOI and Commissioning Master Sh'!$BW:$BW,"Commissioned")</f>
        <v>0</v>
      </c>
      <c r="AY27" s="161">
        <f t="shared" si="17"/>
        <v>0</v>
      </c>
    </row>
    <row r="28" spans="1:54" ht="15.75" hidden="1" thickBot="1" x14ac:dyDescent="0.3">
      <c r="A28" s="145" t="s">
        <v>135</v>
      </c>
      <c r="B28" s="146">
        <f>+COUNTIFS('LOI and Commissioning Master Sh'!$D:$D,'Planned in Nov Dec'!$A28,'LOI and Commissioning Master Sh'!$G:$G,'Planned in Nov Dec'!B$3,'LOI and Commissioning Master Sh'!$X:$X,"Yes",'LOI and Commissioning Master Sh'!$H:$H,"A")</f>
        <v>0</v>
      </c>
      <c r="C28" s="146">
        <f>+COUNTIFS('LOI and Commissioning Master Sh'!$D:$D,'Planned in Nov Dec'!$A28,'LOI and Commissioning Master Sh'!$G:$G,'Planned in Nov Dec'!C$3,'LOI and Commissioning Master Sh'!$X:$X,"Yes",'LOI and Commissioning Master Sh'!$H:$H,"A")</f>
        <v>0</v>
      </c>
      <c r="D28" s="146">
        <f>+COUNTIFS('LOI and Commissioning Master Sh'!$D:$D,'Planned in Nov Dec'!$A28,'LOI and Commissioning Master Sh'!$G:$G,'Planned in Nov Dec'!D$3,'LOI and Commissioning Master Sh'!$X:$X,"Yes",'LOI and Commissioning Master Sh'!$H:$H,"A")</f>
        <v>0</v>
      </c>
      <c r="E28" s="146">
        <f>+COUNTIFS('LOI and Commissioning Master Sh'!$D:$D,'Planned in Nov Dec'!$A28,'LOI and Commissioning Master Sh'!$G:$G,'Planned in Nov Dec'!E$3,'LOI and Commissioning Master Sh'!$X:$X,"Yes",'LOI and Commissioning Master Sh'!$H:$H,"A")</f>
        <v>1</v>
      </c>
      <c r="F28" s="146">
        <f>+COUNTIFS('LOI and Commissioning Master Sh'!$D:$D,'Planned in Nov Dec'!$A28,'LOI and Commissioning Master Sh'!$G:$G,'Planned in Nov Dec'!F$3,'LOI and Commissioning Master Sh'!$X:$X,"Yes",'LOI and Commissioning Master Sh'!$H:$H,"A")</f>
        <v>0</v>
      </c>
      <c r="G28" s="146">
        <f>+COUNTIFS('LOI and Commissioning Master Sh'!$D:$D,'Planned in Nov Dec'!$A28,'LOI and Commissioning Master Sh'!$G:$G,'Planned in Nov Dec'!G$3,'LOI and Commissioning Master Sh'!$X:$X,"Yes",'LOI and Commissioning Master Sh'!$H:$H,"A")</f>
        <v>0</v>
      </c>
      <c r="H28" s="147">
        <f t="shared" si="12"/>
        <v>1</v>
      </c>
      <c r="I28" s="151"/>
      <c r="J28" s="146">
        <f>+COUNTIFS('LOI and Commissioning Master Sh'!$D:$D,'Planned in Nov Dec'!$A28,'LOI and Commissioning Master Sh'!$G:$G,'Planned in Nov Dec'!J$18,'LOI and Commissioning Master Sh'!$X:$X,"Yes",'LOI and Commissioning Master Sh'!$H:$H,"B")</f>
        <v>0</v>
      </c>
      <c r="K28" s="146">
        <f>+COUNTIFS('LOI and Commissioning Master Sh'!$D:$D,'Planned in Nov Dec'!$A28,'LOI and Commissioning Master Sh'!$G:$G,'Planned in Nov Dec'!K$18,'LOI and Commissioning Master Sh'!$X:$X,"Yes",'LOI and Commissioning Master Sh'!$H:$H,"B")</f>
        <v>0</v>
      </c>
      <c r="L28" s="146">
        <f>+COUNTIFS('LOI and Commissioning Master Sh'!$D:$D,'Planned in Nov Dec'!$A28,'LOI and Commissioning Master Sh'!$G:$G,'Planned in Nov Dec'!L$18,'LOI and Commissioning Master Sh'!$X:$X,"Yes",'LOI and Commissioning Master Sh'!$H:$H,"B")</f>
        <v>0</v>
      </c>
      <c r="M28" s="146">
        <f>+COUNTIFS('LOI and Commissioning Master Sh'!$D:$D,'Planned in Nov Dec'!$A28,'LOI and Commissioning Master Sh'!$G:$G,'Planned in Nov Dec'!M$18,'LOI and Commissioning Master Sh'!$X:$X,"Yes",'LOI and Commissioning Master Sh'!$H:$H,"B")</f>
        <v>3</v>
      </c>
      <c r="N28" s="146">
        <f>+COUNTIFS('LOI and Commissioning Master Sh'!$D:$D,'Planned in Nov Dec'!$A28,'LOI and Commissioning Master Sh'!$G:$G,'Planned in Nov Dec'!N$18,'LOI and Commissioning Master Sh'!$X:$X,"Yes",'LOI and Commissioning Master Sh'!$H:$H,"B")</f>
        <v>0</v>
      </c>
      <c r="O28" s="146">
        <f>+COUNTIFS('LOI and Commissioning Master Sh'!$D:$D,'Planned in Nov Dec'!$A28,'LOI and Commissioning Master Sh'!$G:$G,'Planned in Nov Dec'!O$18,'LOI and Commissioning Master Sh'!$X:$X,"Yes",'LOI and Commissioning Master Sh'!$H:$H,"B")</f>
        <v>1</v>
      </c>
      <c r="P28" s="147">
        <f t="shared" si="15"/>
        <v>4</v>
      </c>
      <c r="Q28" s="151"/>
      <c r="R28" s="146">
        <f>+COUNTIFS('LOI and Commissioning Master Sh'!$D:$D,'Planned in Nov Dec'!$A28,'LOI and Commissioning Master Sh'!$G:$G,'Planned in Nov Dec'!R$3,'LOI and Commissioning Master Sh'!$X:$X,"Yes",'LOI and Commissioning Master Sh'!$H:$H,"A",'LOI and Commissioning Master Sh'!$BW:$BW,"Commissioned")</f>
        <v>0</v>
      </c>
      <c r="S28" s="146">
        <f>+COUNTIFS('LOI and Commissioning Master Sh'!$D:$D,'Planned in Nov Dec'!$A28,'LOI and Commissioning Master Sh'!$G:$G,'Planned in Nov Dec'!S$3,'LOI and Commissioning Master Sh'!$X:$X,"Yes",'LOI and Commissioning Master Sh'!$H:$H,"A",'LOI and Commissioning Master Sh'!$BW:$BW,"Commissioned")</f>
        <v>0</v>
      </c>
      <c r="T28" s="146">
        <f>+COUNTIFS('LOI and Commissioning Master Sh'!$D:$D,'Planned in Nov Dec'!$A28,'LOI and Commissioning Master Sh'!$G:$G,'Planned in Nov Dec'!T$3,'LOI and Commissioning Master Sh'!$X:$X,"Yes",'LOI and Commissioning Master Sh'!$H:$H,"A",'LOI and Commissioning Master Sh'!$BW:$BW,"Commissioned")</f>
        <v>0</v>
      </c>
      <c r="U28" s="146">
        <f>+COUNTIFS('LOI and Commissioning Master Sh'!$D:$D,'Planned in Nov Dec'!$A28,'LOI and Commissioning Master Sh'!$G:$G,'Planned in Nov Dec'!U$3,'LOI and Commissioning Master Sh'!$X:$X,"Yes",'LOI and Commissioning Master Sh'!$H:$H,"A",'LOI and Commissioning Master Sh'!$BW:$BW,"Commissioned")</f>
        <v>0</v>
      </c>
      <c r="V28" s="146">
        <f>+COUNTIFS('LOI and Commissioning Master Sh'!$D:$D,'Planned in Nov Dec'!$A28,'LOI and Commissioning Master Sh'!$G:$G,'Planned in Nov Dec'!V$3,'LOI and Commissioning Master Sh'!$X:$X,"Yes",'LOI and Commissioning Master Sh'!$H:$H,"A",'LOI and Commissioning Master Sh'!$BW:$BW,"Commissioned")</f>
        <v>0</v>
      </c>
      <c r="W28" s="146">
        <f>+COUNTIFS('LOI and Commissioning Master Sh'!$D:$D,'Planned in Nov Dec'!$A28,'LOI and Commissioning Master Sh'!$G:$G,'Planned in Nov Dec'!W$3,'LOI and Commissioning Master Sh'!$X:$X,"Yes",'LOI and Commissioning Master Sh'!$H:$H,"A",'LOI and Commissioning Master Sh'!$BW:$BW,"Commissioned")</f>
        <v>0</v>
      </c>
      <c r="X28" s="150">
        <f t="shared" si="13"/>
        <v>0</v>
      </c>
      <c r="Y28" s="158"/>
      <c r="Z28" s="146">
        <f>+COUNTIFS('LOI and Commissioning Master Sh'!$D:$D,'Planned in Nov Dec'!$A28,'LOI and Commissioning Master Sh'!$G:$G,'Planned in Nov Dec'!Z$18,'LOI and Commissioning Master Sh'!$X:$X,"Yes",'LOI and Commissioning Master Sh'!$H:$H,"B",'LOI and Commissioning Master Sh'!$BW:$BW,"Commissioned")</f>
        <v>0</v>
      </c>
      <c r="AA28" s="146">
        <f>+COUNTIFS('LOI and Commissioning Master Sh'!$D:$D,'Planned in Nov Dec'!$A28,'LOI and Commissioning Master Sh'!$G:$G,'Planned in Nov Dec'!AA$18,'LOI and Commissioning Master Sh'!$X:$X,"Yes",'LOI and Commissioning Master Sh'!$H:$H,"B",'LOI and Commissioning Master Sh'!$BW:$BW,"Commissioned")</f>
        <v>0</v>
      </c>
      <c r="AB28" s="146">
        <f>+COUNTIFS('LOI and Commissioning Master Sh'!$D:$D,'Planned in Nov Dec'!$A28,'LOI and Commissioning Master Sh'!$G:$G,'Planned in Nov Dec'!AB$18,'LOI and Commissioning Master Sh'!$X:$X,"Yes",'LOI and Commissioning Master Sh'!$H:$H,"B",'LOI and Commissioning Master Sh'!$BW:$BW,"Commissioned")</f>
        <v>0</v>
      </c>
      <c r="AC28" s="146">
        <f>+COUNTIFS('LOI and Commissioning Master Sh'!$D:$D,'Planned in Nov Dec'!$A28,'LOI and Commissioning Master Sh'!$G:$G,'Planned in Nov Dec'!AC$18,'LOI and Commissioning Master Sh'!$X:$X,"Yes",'LOI and Commissioning Master Sh'!$H:$H,"B",'LOI and Commissioning Master Sh'!$BW:$BW,"Commissioned")</f>
        <v>0</v>
      </c>
      <c r="AD28" s="146">
        <f>+COUNTIFS('LOI and Commissioning Master Sh'!$D:$D,'Planned in Nov Dec'!$A28,'LOI and Commissioning Master Sh'!$G:$G,'Planned in Nov Dec'!AD$18,'LOI and Commissioning Master Sh'!$X:$X,"Yes",'LOI and Commissioning Master Sh'!$H:$H,"B",'LOI and Commissioning Master Sh'!$BW:$BW,"Commissioned")</f>
        <v>0</v>
      </c>
      <c r="AE28" s="146">
        <f>+COUNTIFS('LOI and Commissioning Master Sh'!$D:$D,'Planned in Nov Dec'!$A28,'LOI and Commissioning Master Sh'!$G:$G,'Planned in Nov Dec'!AE$18,'LOI and Commissioning Master Sh'!$X:$X,"Yes",'LOI and Commissioning Master Sh'!$H:$H,"B",'LOI and Commissioning Master Sh'!$BW:$BW,"Commissioned")</f>
        <v>1</v>
      </c>
      <c r="AF28" s="150">
        <f t="shared" si="14"/>
        <v>1</v>
      </c>
      <c r="AG28" s="151"/>
      <c r="AH28" s="146">
        <f>+COUNTIFS('LOI and Commissioning Master Sh'!$D:$D,'Planned in Nov Dec'!$A28,'LOI and Commissioning Master Sh'!$G:$G,'Planned in Nov Dec'!AH$3,'LOI and Commissioning Master Sh'!$X:$X,"Yes",'LOI and Commissioning Master Sh'!$BW:$BW,"Commissioned",'LOI and Commissioning Master Sh'!$AS:$AS,'Planned in Nov Dec'!AH$18)</f>
        <v>0</v>
      </c>
      <c r="AI28" s="146">
        <f>+COUNTIFS('LOI and Commissioning Master Sh'!$D:$D,'Planned in Nov Dec'!$A28,'LOI and Commissioning Master Sh'!$G:$G,'Planned in Nov Dec'!AI$3,'LOI and Commissioning Master Sh'!$X:$X,"Yes",'LOI and Commissioning Master Sh'!$BW:$BW,"Commissioned",'LOI and Commissioning Master Sh'!$AS:$AS,'Planned in Nov Dec'!AI$18)</f>
        <v>0</v>
      </c>
      <c r="AJ28" s="146">
        <f>+COUNTIFS('LOI and Commissioning Master Sh'!$D:$D,'Planned in Nov Dec'!$A28,'LOI and Commissioning Master Sh'!$G:$G,'Planned in Nov Dec'!AJ$3,'LOI and Commissioning Master Sh'!$X:$X,"Yes",'LOI and Commissioning Master Sh'!$BW:$BW,"Commissioned",'LOI and Commissioning Master Sh'!$AS:$AS,'Planned in Nov Dec'!AJ$18)</f>
        <v>0</v>
      </c>
      <c r="AK28" s="146">
        <f>+COUNTIFS('LOI and Commissioning Master Sh'!$D:$D,'Planned in Nov Dec'!$A28,'LOI and Commissioning Master Sh'!$G:$G,'Planned in Nov Dec'!AK$3,'LOI and Commissioning Master Sh'!$X:$X,"Yes",'LOI and Commissioning Master Sh'!$BW:$BW,"Commissioned",'LOI and Commissioning Master Sh'!$AS:$AS,'Planned in Nov Dec'!AK$18)</f>
        <v>0</v>
      </c>
      <c r="AL28" s="146">
        <f>+COUNTIFS('LOI and Commissioning Master Sh'!$D:$D,'Planned in Nov Dec'!$A28,'LOI and Commissioning Master Sh'!$G:$G,'Planned in Nov Dec'!AL$3,'LOI and Commissioning Master Sh'!$X:$X,"Yes",'LOI and Commissioning Master Sh'!$BW:$BW,"Commissioned",'LOI and Commissioning Master Sh'!$AS:$AS,'Planned in Nov Dec'!AL$18)</f>
        <v>0</v>
      </c>
      <c r="AM28" s="146">
        <f>+COUNTIFS('LOI and Commissioning Master Sh'!$D:$D,'Planned in Nov Dec'!$A28,'LOI and Commissioning Master Sh'!$G:$G,'Planned in Nov Dec'!AM$3,'LOI and Commissioning Master Sh'!$X:$X,"Yes",'LOI and Commissioning Master Sh'!$BW:$BW,"Commissioned",'LOI and Commissioning Master Sh'!$AS:$AS,'Planned in Nov Dec'!AM$18)</f>
        <v>0</v>
      </c>
      <c r="AN28" s="146">
        <f>+COUNTIFS('LOI and Commissioning Master Sh'!$D:$D,'Planned in Nov Dec'!$A28,'LOI and Commissioning Master Sh'!$G:$G,'Planned in Nov Dec'!AN$3,'LOI and Commissioning Master Sh'!$X:$X,"Yes",'LOI and Commissioning Master Sh'!$BW:$BW,"Commissioned",'LOI and Commissioning Master Sh'!$AS:$AS,'Planned in Nov Dec'!AN$18)</f>
        <v>0</v>
      </c>
      <c r="AO28" s="146">
        <f>+COUNTIFS('LOI and Commissioning Master Sh'!$D:$D,'Planned in Nov Dec'!$A28,'LOI and Commissioning Master Sh'!$G:$G,'Planned in Nov Dec'!AO$3,'LOI and Commissioning Master Sh'!$X:$X,"Yes",'LOI and Commissioning Master Sh'!$BW:$BW,"Commissioned",'LOI and Commissioning Master Sh'!$AS:$AS,'Planned in Nov Dec'!AO$18)</f>
        <v>0</v>
      </c>
      <c r="AP28" s="146">
        <f>+COUNTIFS('LOI and Commissioning Master Sh'!$D:$D,'Planned in Nov Dec'!$A28,'LOI and Commissioning Master Sh'!$G:$G,'Planned in Nov Dec'!AP$3,'LOI and Commissioning Master Sh'!$X:$X,"Yes",'LOI and Commissioning Master Sh'!$BW:$BW,"Commissioned",'LOI and Commissioning Master Sh'!$AS:$AS,'Planned in Nov Dec'!AP$18)</f>
        <v>0</v>
      </c>
      <c r="AQ28" s="146">
        <f>+COUNTIFS('LOI and Commissioning Master Sh'!$D:$D,'Planned in Nov Dec'!$A28,'LOI and Commissioning Master Sh'!$G:$G,'Planned in Nov Dec'!AQ$3,'LOI and Commissioning Master Sh'!$X:$X,"Yes",'LOI and Commissioning Master Sh'!$BW:$BW,"Commissioned",'LOI and Commissioning Master Sh'!$AS:$AS,'Planned in Nov Dec'!AQ$18)</f>
        <v>0</v>
      </c>
      <c r="AR28" s="146">
        <f>+COUNTIFS('LOI and Commissioning Master Sh'!$D:$D,'Planned in Nov Dec'!$A28,'LOI and Commissioning Master Sh'!$G:$G,'Planned in Nov Dec'!AR$3,'LOI and Commissioning Master Sh'!$X:$X,"Yes",'LOI and Commissioning Master Sh'!$BW:$BW,"Commissioned",'LOI and Commissioning Master Sh'!$AS:$AS,'Planned in Nov Dec'!AR$18)</f>
        <v>0</v>
      </c>
      <c r="AS28" s="146">
        <f>+COUNTIFS('LOI and Commissioning Master Sh'!$D:$D,'Planned in Nov Dec'!$A28,'LOI and Commissioning Master Sh'!$G:$G,'Planned in Nov Dec'!AS$3,'LOI and Commissioning Master Sh'!$X:$X,"Yes",'LOI and Commissioning Master Sh'!$BW:$BW,"Commissioned",'LOI and Commissioning Master Sh'!$AS:$AS,'Planned in Nov Dec'!AS$18)</f>
        <v>0</v>
      </c>
      <c r="AT28" s="160">
        <f t="shared" si="16"/>
        <v>0</v>
      </c>
      <c r="AW28" s="146">
        <f>+COUNTIFS('LOI and Commissioning Master Sh'!$D:$D,'Planned in Nov Dec'!$A28,'LOI and Commissioning Master Sh'!$G:$G,'Planned in Nov Dec'!AW$18,'LOI and Commissioning Master Sh'!$X:$X,"Yes",'LOI and Commissioning Master Sh'!$I:$I,'Planned in Nov Dec'!AW$18,'LOI and Commissioning Master Sh'!$BW:$BW,"Commissioned")</f>
        <v>0</v>
      </c>
      <c r="AX28" s="146">
        <f>+COUNTIFS('LOI and Commissioning Master Sh'!$D:$D,'Planned in Nov Dec'!$A28,'LOI and Commissioning Master Sh'!$G:$G,'Planned in Nov Dec'!AX$18,'LOI and Commissioning Master Sh'!$X:$X,"Yes",'LOI and Commissioning Master Sh'!$I:$I,'Planned in Nov Dec'!AX$18,'LOI and Commissioning Master Sh'!$BW:$BW,"Commissioned")</f>
        <v>0</v>
      </c>
      <c r="AY28" s="161">
        <f t="shared" si="17"/>
        <v>0</v>
      </c>
    </row>
    <row r="29" spans="1:54" ht="15.75" hidden="1" thickBot="1" x14ac:dyDescent="0.3">
      <c r="A29" s="145" t="s">
        <v>195</v>
      </c>
      <c r="B29" s="146">
        <f>+COUNTIFS('LOI and Commissioning Master Sh'!$D:$D,'Planned in Nov Dec'!$A29,'LOI and Commissioning Master Sh'!$G:$G,'Planned in Nov Dec'!B$3,'LOI and Commissioning Master Sh'!$X:$X,"Yes",'LOI and Commissioning Master Sh'!$H:$H,"A")</f>
        <v>0</v>
      </c>
      <c r="C29" s="146">
        <f>+COUNTIFS('LOI and Commissioning Master Sh'!$D:$D,'Planned in Nov Dec'!$A29,'LOI and Commissioning Master Sh'!$G:$G,'Planned in Nov Dec'!C$3,'LOI and Commissioning Master Sh'!$X:$X,"Yes",'LOI and Commissioning Master Sh'!$H:$H,"A")</f>
        <v>0</v>
      </c>
      <c r="D29" s="146">
        <f>+COUNTIFS('LOI and Commissioning Master Sh'!$D:$D,'Planned in Nov Dec'!$A29,'LOI and Commissioning Master Sh'!$G:$G,'Planned in Nov Dec'!D$3,'LOI and Commissioning Master Sh'!$X:$X,"Yes",'LOI and Commissioning Master Sh'!$H:$H,"A")</f>
        <v>0</v>
      </c>
      <c r="E29" s="146">
        <f>+COUNTIFS('LOI and Commissioning Master Sh'!$D:$D,'Planned in Nov Dec'!$A29,'LOI and Commissioning Master Sh'!$G:$G,'Planned in Nov Dec'!E$3,'LOI and Commissioning Master Sh'!$X:$X,"Yes",'LOI and Commissioning Master Sh'!$H:$H,"A")</f>
        <v>1</v>
      </c>
      <c r="F29" s="146">
        <f>+COUNTIFS('LOI and Commissioning Master Sh'!$D:$D,'Planned in Nov Dec'!$A29,'LOI and Commissioning Master Sh'!$G:$G,'Planned in Nov Dec'!F$3,'LOI and Commissioning Master Sh'!$X:$X,"Yes",'LOI and Commissioning Master Sh'!$H:$H,"A")</f>
        <v>2</v>
      </c>
      <c r="G29" s="146">
        <f>+COUNTIFS('LOI and Commissioning Master Sh'!$D:$D,'Planned in Nov Dec'!$A29,'LOI and Commissioning Master Sh'!$G:$G,'Planned in Nov Dec'!G$3,'LOI and Commissioning Master Sh'!$X:$X,"Yes",'LOI and Commissioning Master Sh'!$H:$H,"A")</f>
        <v>1</v>
      </c>
      <c r="H29" s="147">
        <f t="shared" si="12"/>
        <v>4</v>
      </c>
      <c r="I29" s="151"/>
      <c r="J29" s="146">
        <f>+COUNTIFS('LOI and Commissioning Master Sh'!$D:$D,'Planned in Nov Dec'!$A29,'LOI and Commissioning Master Sh'!$G:$G,'Planned in Nov Dec'!J$18,'LOI and Commissioning Master Sh'!$X:$X,"Yes",'LOI and Commissioning Master Sh'!$H:$H,"B")</f>
        <v>0</v>
      </c>
      <c r="K29" s="146">
        <f>+COUNTIFS('LOI and Commissioning Master Sh'!$D:$D,'Planned in Nov Dec'!$A29,'LOI and Commissioning Master Sh'!$G:$G,'Planned in Nov Dec'!K$18,'LOI and Commissioning Master Sh'!$X:$X,"Yes",'LOI and Commissioning Master Sh'!$H:$H,"B")</f>
        <v>0</v>
      </c>
      <c r="L29" s="146">
        <f>+COUNTIFS('LOI and Commissioning Master Sh'!$D:$D,'Planned in Nov Dec'!$A29,'LOI and Commissioning Master Sh'!$G:$G,'Planned in Nov Dec'!L$18,'LOI and Commissioning Master Sh'!$X:$X,"Yes",'LOI and Commissioning Master Sh'!$H:$H,"B")</f>
        <v>0</v>
      </c>
      <c r="M29" s="146">
        <f>+COUNTIFS('LOI and Commissioning Master Sh'!$D:$D,'Planned in Nov Dec'!$A29,'LOI and Commissioning Master Sh'!$G:$G,'Planned in Nov Dec'!M$18,'LOI and Commissioning Master Sh'!$X:$X,"Yes",'LOI and Commissioning Master Sh'!$H:$H,"B")</f>
        <v>2</v>
      </c>
      <c r="N29" s="146">
        <f>+COUNTIFS('LOI and Commissioning Master Sh'!$D:$D,'Planned in Nov Dec'!$A29,'LOI and Commissioning Master Sh'!$G:$G,'Planned in Nov Dec'!N$18,'LOI and Commissioning Master Sh'!$X:$X,"Yes",'LOI and Commissioning Master Sh'!$H:$H,"B")</f>
        <v>0</v>
      </c>
      <c r="O29" s="146">
        <f>+COUNTIFS('LOI and Commissioning Master Sh'!$D:$D,'Planned in Nov Dec'!$A29,'LOI and Commissioning Master Sh'!$G:$G,'Planned in Nov Dec'!O$18,'LOI and Commissioning Master Sh'!$X:$X,"Yes",'LOI and Commissioning Master Sh'!$H:$H,"B")</f>
        <v>0</v>
      </c>
      <c r="P29" s="147">
        <f t="shared" si="15"/>
        <v>2</v>
      </c>
      <c r="Q29" s="151"/>
      <c r="R29" s="146">
        <f>+COUNTIFS('LOI and Commissioning Master Sh'!$D:$D,'Planned in Nov Dec'!$A29,'LOI and Commissioning Master Sh'!$G:$G,'Planned in Nov Dec'!R$3,'LOI and Commissioning Master Sh'!$X:$X,"Yes",'LOI and Commissioning Master Sh'!$H:$H,"A",'LOI and Commissioning Master Sh'!$BW:$BW,"Commissioned")</f>
        <v>0</v>
      </c>
      <c r="S29" s="146">
        <f>+COUNTIFS('LOI and Commissioning Master Sh'!$D:$D,'Planned in Nov Dec'!$A29,'LOI and Commissioning Master Sh'!$G:$G,'Planned in Nov Dec'!S$3,'LOI and Commissioning Master Sh'!$X:$X,"Yes",'LOI and Commissioning Master Sh'!$H:$H,"A",'LOI and Commissioning Master Sh'!$BW:$BW,"Commissioned")</f>
        <v>0</v>
      </c>
      <c r="T29" s="146">
        <f>+COUNTIFS('LOI and Commissioning Master Sh'!$D:$D,'Planned in Nov Dec'!$A29,'LOI and Commissioning Master Sh'!$G:$G,'Planned in Nov Dec'!T$3,'LOI and Commissioning Master Sh'!$X:$X,"Yes",'LOI and Commissioning Master Sh'!$H:$H,"A",'LOI and Commissioning Master Sh'!$BW:$BW,"Commissioned")</f>
        <v>0</v>
      </c>
      <c r="U29" s="146">
        <f>+COUNTIFS('LOI and Commissioning Master Sh'!$D:$D,'Planned in Nov Dec'!$A29,'LOI and Commissioning Master Sh'!$G:$G,'Planned in Nov Dec'!U$3,'LOI and Commissioning Master Sh'!$X:$X,"Yes",'LOI and Commissioning Master Sh'!$H:$H,"A",'LOI and Commissioning Master Sh'!$BW:$BW,"Commissioned")</f>
        <v>0</v>
      </c>
      <c r="V29" s="146">
        <f>+COUNTIFS('LOI and Commissioning Master Sh'!$D:$D,'Planned in Nov Dec'!$A29,'LOI and Commissioning Master Sh'!$G:$G,'Planned in Nov Dec'!V$3,'LOI and Commissioning Master Sh'!$X:$X,"Yes",'LOI and Commissioning Master Sh'!$H:$H,"A",'LOI and Commissioning Master Sh'!$BW:$BW,"Commissioned")</f>
        <v>0</v>
      </c>
      <c r="W29" s="146">
        <f>+COUNTIFS('LOI and Commissioning Master Sh'!$D:$D,'Planned in Nov Dec'!$A29,'LOI and Commissioning Master Sh'!$G:$G,'Planned in Nov Dec'!W$3,'LOI and Commissioning Master Sh'!$X:$X,"Yes",'LOI and Commissioning Master Sh'!$H:$H,"A",'LOI and Commissioning Master Sh'!$BW:$BW,"Commissioned")</f>
        <v>0</v>
      </c>
      <c r="X29" s="150">
        <f t="shared" si="13"/>
        <v>0</v>
      </c>
      <c r="Y29" s="158"/>
      <c r="Z29" s="146">
        <f>+COUNTIFS('LOI and Commissioning Master Sh'!$D:$D,'Planned in Nov Dec'!$A29,'LOI and Commissioning Master Sh'!$G:$G,'Planned in Nov Dec'!Z$18,'LOI and Commissioning Master Sh'!$X:$X,"Yes",'LOI and Commissioning Master Sh'!$H:$H,"B",'LOI and Commissioning Master Sh'!$BW:$BW,"Commissioned")</f>
        <v>0</v>
      </c>
      <c r="AA29" s="146">
        <f>+COUNTIFS('LOI and Commissioning Master Sh'!$D:$D,'Planned in Nov Dec'!$A29,'LOI and Commissioning Master Sh'!$G:$G,'Planned in Nov Dec'!AA$18,'LOI and Commissioning Master Sh'!$X:$X,"Yes",'LOI and Commissioning Master Sh'!$H:$H,"B",'LOI and Commissioning Master Sh'!$BW:$BW,"Commissioned")</f>
        <v>0</v>
      </c>
      <c r="AB29" s="146">
        <f>+COUNTIFS('LOI and Commissioning Master Sh'!$D:$D,'Planned in Nov Dec'!$A29,'LOI and Commissioning Master Sh'!$G:$G,'Planned in Nov Dec'!AB$18,'LOI and Commissioning Master Sh'!$X:$X,"Yes",'LOI and Commissioning Master Sh'!$H:$H,"B",'LOI and Commissioning Master Sh'!$BW:$BW,"Commissioned")</f>
        <v>0</v>
      </c>
      <c r="AC29" s="146">
        <f>+COUNTIFS('LOI and Commissioning Master Sh'!$D:$D,'Planned in Nov Dec'!$A29,'LOI and Commissioning Master Sh'!$G:$G,'Planned in Nov Dec'!AC$18,'LOI and Commissioning Master Sh'!$X:$X,"Yes",'LOI and Commissioning Master Sh'!$H:$H,"B",'LOI and Commissioning Master Sh'!$BW:$BW,"Commissioned")</f>
        <v>0</v>
      </c>
      <c r="AD29" s="146">
        <f>+COUNTIFS('LOI and Commissioning Master Sh'!$D:$D,'Planned in Nov Dec'!$A29,'LOI and Commissioning Master Sh'!$G:$G,'Planned in Nov Dec'!AD$18,'LOI and Commissioning Master Sh'!$X:$X,"Yes",'LOI and Commissioning Master Sh'!$H:$H,"B",'LOI and Commissioning Master Sh'!$BW:$BW,"Commissioned")</f>
        <v>0</v>
      </c>
      <c r="AE29" s="146">
        <f>+COUNTIFS('LOI and Commissioning Master Sh'!$D:$D,'Planned in Nov Dec'!$A29,'LOI and Commissioning Master Sh'!$G:$G,'Planned in Nov Dec'!AE$18,'LOI and Commissioning Master Sh'!$X:$X,"Yes",'LOI and Commissioning Master Sh'!$H:$H,"B",'LOI and Commissioning Master Sh'!$BW:$BW,"Commissioned")</f>
        <v>0</v>
      </c>
      <c r="AF29" s="150">
        <f t="shared" si="14"/>
        <v>0</v>
      </c>
      <c r="AG29" s="151"/>
      <c r="AH29" s="146">
        <f>+COUNTIFS('LOI and Commissioning Master Sh'!$D:$D,'Planned in Nov Dec'!$A29,'LOI and Commissioning Master Sh'!$G:$G,'Planned in Nov Dec'!AH$3,'LOI and Commissioning Master Sh'!$X:$X,"Yes",'LOI and Commissioning Master Sh'!$BW:$BW,"Commissioned",'LOI and Commissioning Master Sh'!$AS:$AS,'Planned in Nov Dec'!AH$18)</f>
        <v>0</v>
      </c>
      <c r="AI29" s="146">
        <f>+COUNTIFS('LOI and Commissioning Master Sh'!$D:$D,'Planned in Nov Dec'!$A29,'LOI and Commissioning Master Sh'!$G:$G,'Planned in Nov Dec'!AI$3,'LOI and Commissioning Master Sh'!$X:$X,"Yes",'LOI and Commissioning Master Sh'!$BW:$BW,"Commissioned",'LOI and Commissioning Master Sh'!$AS:$AS,'Planned in Nov Dec'!AI$18)</f>
        <v>0</v>
      </c>
      <c r="AJ29" s="146">
        <f>+COUNTIFS('LOI and Commissioning Master Sh'!$D:$D,'Planned in Nov Dec'!$A29,'LOI and Commissioning Master Sh'!$G:$G,'Planned in Nov Dec'!AJ$3,'LOI and Commissioning Master Sh'!$X:$X,"Yes",'LOI and Commissioning Master Sh'!$BW:$BW,"Commissioned",'LOI and Commissioning Master Sh'!$AS:$AS,'Planned in Nov Dec'!AJ$18)</f>
        <v>0</v>
      </c>
      <c r="AK29" s="146">
        <f>+COUNTIFS('LOI and Commissioning Master Sh'!$D:$D,'Planned in Nov Dec'!$A29,'LOI and Commissioning Master Sh'!$G:$G,'Planned in Nov Dec'!AK$3,'LOI and Commissioning Master Sh'!$X:$X,"Yes",'LOI and Commissioning Master Sh'!$BW:$BW,"Commissioned",'LOI and Commissioning Master Sh'!$AS:$AS,'Planned in Nov Dec'!AK$18)</f>
        <v>0</v>
      </c>
      <c r="AL29" s="146">
        <f>+COUNTIFS('LOI and Commissioning Master Sh'!$D:$D,'Planned in Nov Dec'!$A29,'LOI and Commissioning Master Sh'!$G:$G,'Planned in Nov Dec'!AL$3,'LOI and Commissioning Master Sh'!$X:$X,"Yes",'LOI and Commissioning Master Sh'!$BW:$BW,"Commissioned",'LOI and Commissioning Master Sh'!$AS:$AS,'Planned in Nov Dec'!AL$18)</f>
        <v>0</v>
      </c>
      <c r="AM29" s="146">
        <f>+COUNTIFS('LOI and Commissioning Master Sh'!$D:$D,'Planned in Nov Dec'!$A29,'LOI and Commissioning Master Sh'!$G:$G,'Planned in Nov Dec'!AM$3,'LOI and Commissioning Master Sh'!$X:$X,"Yes",'LOI and Commissioning Master Sh'!$BW:$BW,"Commissioned",'LOI and Commissioning Master Sh'!$AS:$AS,'Planned in Nov Dec'!AM$18)</f>
        <v>0</v>
      </c>
      <c r="AN29" s="146">
        <f>+COUNTIFS('LOI and Commissioning Master Sh'!$D:$D,'Planned in Nov Dec'!$A29,'LOI and Commissioning Master Sh'!$G:$G,'Planned in Nov Dec'!AN$3,'LOI and Commissioning Master Sh'!$X:$X,"Yes",'LOI and Commissioning Master Sh'!$BW:$BW,"Commissioned",'LOI and Commissioning Master Sh'!$AS:$AS,'Planned in Nov Dec'!AN$18)</f>
        <v>0</v>
      </c>
      <c r="AO29" s="146">
        <f>+COUNTIFS('LOI and Commissioning Master Sh'!$D:$D,'Planned in Nov Dec'!$A29,'LOI and Commissioning Master Sh'!$G:$G,'Planned in Nov Dec'!AO$3,'LOI and Commissioning Master Sh'!$X:$X,"Yes",'LOI and Commissioning Master Sh'!$BW:$BW,"Commissioned",'LOI and Commissioning Master Sh'!$AS:$AS,'Planned in Nov Dec'!AO$18)</f>
        <v>0</v>
      </c>
      <c r="AP29" s="146">
        <f>+COUNTIFS('LOI and Commissioning Master Sh'!$D:$D,'Planned in Nov Dec'!$A29,'LOI and Commissioning Master Sh'!$G:$G,'Planned in Nov Dec'!AP$3,'LOI and Commissioning Master Sh'!$X:$X,"Yes",'LOI and Commissioning Master Sh'!$BW:$BW,"Commissioned",'LOI and Commissioning Master Sh'!$AS:$AS,'Planned in Nov Dec'!AP$18)</f>
        <v>0</v>
      </c>
      <c r="AQ29" s="146">
        <f>+COUNTIFS('LOI and Commissioning Master Sh'!$D:$D,'Planned in Nov Dec'!$A29,'LOI and Commissioning Master Sh'!$G:$G,'Planned in Nov Dec'!AQ$3,'LOI and Commissioning Master Sh'!$X:$X,"Yes",'LOI and Commissioning Master Sh'!$BW:$BW,"Commissioned",'LOI and Commissioning Master Sh'!$AS:$AS,'Planned in Nov Dec'!AQ$18)</f>
        <v>0</v>
      </c>
      <c r="AR29" s="146">
        <f>+COUNTIFS('LOI and Commissioning Master Sh'!$D:$D,'Planned in Nov Dec'!$A29,'LOI and Commissioning Master Sh'!$G:$G,'Planned in Nov Dec'!AR$3,'LOI and Commissioning Master Sh'!$X:$X,"Yes",'LOI and Commissioning Master Sh'!$BW:$BW,"Commissioned",'LOI and Commissioning Master Sh'!$AS:$AS,'Planned in Nov Dec'!AR$18)</f>
        <v>0</v>
      </c>
      <c r="AS29" s="146">
        <f>+COUNTIFS('LOI and Commissioning Master Sh'!$D:$D,'Planned in Nov Dec'!$A29,'LOI and Commissioning Master Sh'!$G:$G,'Planned in Nov Dec'!AS$3,'LOI and Commissioning Master Sh'!$X:$X,"Yes",'LOI and Commissioning Master Sh'!$BW:$BW,"Commissioned",'LOI and Commissioning Master Sh'!$AS:$AS,'Planned in Nov Dec'!AS$18)</f>
        <v>0</v>
      </c>
      <c r="AT29" s="160">
        <f t="shared" si="16"/>
        <v>0</v>
      </c>
      <c r="AW29" s="146">
        <f>+COUNTIFS('LOI and Commissioning Master Sh'!$D:$D,'Planned in Nov Dec'!$A29,'LOI and Commissioning Master Sh'!$G:$G,'Planned in Nov Dec'!AW$18,'LOI and Commissioning Master Sh'!$X:$X,"Yes",'LOI and Commissioning Master Sh'!$I:$I,'Planned in Nov Dec'!AW$18,'LOI and Commissioning Master Sh'!$BW:$BW,"Commissioned")</f>
        <v>0</v>
      </c>
      <c r="AX29" s="146">
        <f>+COUNTIFS('LOI and Commissioning Master Sh'!$D:$D,'Planned in Nov Dec'!$A29,'LOI and Commissioning Master Sh'!$G:$G,'Planned in Nov Dec'!AX$18,'LOI and Commissioning Master Sh'!$X:$X,"Yes",'LOI and Commissioning Master Sh'!$I:$I,'Planned in Nov Dec'!AX$18,'LOI and Commissioning Master Sh'!$BW:$BW,"Commissioned")</f>
        <v>0</v>
      </c>
      <c r="AY29" s="161">
        <f t="shared" si="17"/>
        <v>0</v>
      </c>
    </row>
    <row r="30" spans="1:54" ht="15.75" hidden="1" thickBot="1" x14ac:dyDescent="0.3">
      <c r="A30" s="152" t="s">
        <v>1355</v>
      </c>
      <c r="B30" s="147">
        <f>SUM(B19:B29)</f>
        <v>6</v>
      </c>
      <c r="C30" s="147">
        <f t="shared" ref="C30:G30" si="18">SUM(C19:C29)</f>
        <v>0</v>
      </c>
      <c r="D30" s="147">
        <f t="shared" si="18"/>
        <v>0</v>
      </c>
      <c r="E30" s="147">
        <f t="shared" si="18"/>
        <v>18</v>
      </c>
      <c r="F30" s="147">
        <f t="shared" si="18"/>
        <v>8</v>
      </c>
      <c r="G30" s="147">
        <f t="shared" si="18"/>
        <v>3</v>
      </c>
      <c r="H30" s="147">
        <f>SUM(H19:H29)</f>
        <v>35</v>
      </c>
      <c r="I30" s="148"/>
      <c r="J30" s="147">
        <f>SUM(J19:J24)</f>
        <v>2</v>
      </c>
      <c r="K30" s="147">
        <f t="shared" ref="K30:O30" si="19">SUM(K19:K24)</f>
        <v>0</v>
      </c>
      <c r="L30" s="147">
        <f t="shared" si="19"/>
        <v>0</v>
      </c>
      <c r="M30" s="147">
        <f t="shared" si="19"/>
        <v>10</v>
      </c>
      <c r="N30" s="147">
        <f t="shared" si="19"/>
        <v>9</v>
      </c>
      <c r="O30" s="147">
        <f t="shared" si="19"/>
        <v>6</v>
      </c>
      <c r="P30" s="147">
        <f>SUM(P19:P29)</f>
        <v>40</v>
      </c>
      <c r="Q30" s="148"/>
      <c r="R30" s="150">
        <f>SUM(R19:R29)</f>
        <v>1</v>
      </c>
      <c r="S30" s="150">
        <f t="shared" ref="S30:W30" si="20">SUM(S19:S29)</f>
        <v>0</v>
      </c>
      <c r="T30" s="150">
        <f t="shared" si="20"/>
        <v>0</v>
      </c>
      <c r="U30" s="150">
        <f t="shared" si="20"/>
        <v>1</v>
      </c>
      <c r="V30" s="150">
        <f t="shared" si="20"/>
        <v>1</v>
      </c>
      <c r="W30" s="150">
        <f t="shared" si="20"/>
        <v>1</v>
      </c>
      <c r="X30" s="150">
        <f>SUM(X19:X29)</f>
        <v>4</v>
      </c>
      <c r="Y30" s="158"/>
      <c r="Z30" s="150">
        <f>SUM(Z19:Z29)</f>
        <v>0</v>
      </c>
      <c r="AA30" s="150">
        <f t="shared" ref="AA30:AE30" si="21">SUM(AA19:AA29)</f>
        <v>0</v>
      </c>
      <c r="AB30" s="150">
        <f t="shared" si="21"/>
        <v>0</v>
      </c>
      <c r="AC30" s="150">
        <f t="shared" si="21"/>
        <v>2</v>
      </c>
      <c r="AD30" s="150">
        <f t="shared" si="21"/>
        <v>0</v>
      </c>
      <c r="AE30" s="150">
        <f t="shared" si="21"/>
        <v>2</v>
      </c>
      <c r="AF30" s="150">
        <f>SUM(AF19:AF29)</f>
        <v>4</v>
      </c>
      <c r="AG30" s="148"/>
      <c r="AH30" s="160">
        <f>SUM(AH19:AH29)</f>
        <v>0</v>
      </c>
      <c r="AI30" s="160">
        <f t="shared" ref="AI30:AS30" si="22">SUM(AI19:AI29)</f>
        <v>0</v>
      </c>
      <c r="AJ30" s="160">
        <f t="shared" si="22"/>
        <v>0</v>
      </c>
      <c r="AK30" s="160">
        <f t="shared" si="22"/>
        <v>0</v>
      </c>
      <c r="AL30" s="160">
        <f t="shared" si="22"/>
        <v>0</v>
      </c>
      <c r="AM30" s="160">
        <f t="shared" si="22"/>
        <v>0</v>
      </c>
      <c r="AN30" s="160">
        <f t="shared" si="22"/>
        <v>0</v>
      </c>
      <c r="AO30" s="160">
        <f t="shared" si="22"/>
        <v>0</v>
      </c>
      <c r="AP30" s="160">
        <f t="shared" si="22"/>
        <v>0</v>
      </c>
      <c r="AQ30" s="160">
        <f t="shared" si="22"/>
        <v>0</v>
      </c>
      <c r="AR30" s="160">
        <f t="shared" si="22"/>
        <v>0</v>
      </c>
      <c r="AS30" s="160">
        <f t="shared" si="22"/>
        <v>0</v>
      </c>
      <c r="AT30" s="160">
        <f>SUM(AT19:AT29)</f>
        <v>0</v>
      </c>
      <c r="AW30" s="162">
        <f>SUM(AW19:AW29)</f>
        <v>0</v>
      </c>
      <c r="AX30" s="162">
        <f>SUM(AX19:AX29)</f>
        <v>0</v>
      </c>
      <c r="AY30" s="161">
        <f t="shared" si="17"/>
        <v>0</v>
      </c>
    </row>
    <row r="32" spans="1:54" ht="15.75" thickBot="1" x14ac:dyDescent="0.3"/>
    <row r="33" spans="1:55" ht="15.75" customHeight="1" thickBot="1" x14ac:dyDescent="0.3">
      <c r="A33" s="340" t="s">
        <v>21</v>
      </c>
      <c r="B33" s="342" t="s">
        <v>1430</v>
      </c>
      <c r="C33" s="342"/>
      <c r="D33" s="343"/>
      <c r="E33" s="343"/>
      <c r="F33" s="343"/>
      <c r="G33" s="343"/>
      <c r="H33" s="343"/>
      <c r="I33" s="153"/>
      <c r="J33" s="342" t="s">
        <v>1431</v>
      </c>
      <c r="K33" s="343"/>
      <c r="L33" s="343"/>
      <c r="M33" s="343"/>
      <c r="N33" s="343"/>
      <c r="O33" s="343"/>
      <c r="P33" s="343"/>
      <c r="Q33" s="153"/>
      <c r="R33" s="344" t="s">
        <v>1432</v>
      </c>
      <c r="S33" s="345"/>
      <c r="T33" s="345"/>
      <c r="U33" s="345"/>
      <c r="V33" s="345"/>
      <c r="W33" s="345"/>
      <c r="X33" s="345"/>
      <c r="Y33" s="154"/>
      <c r="Z33" s="356" t="s">
        <v>1433</v>
      </c>
      <c r="AA33" s="357"/>
      <c r="AB33" s="357"/>
      <c r="AC33" s="357"/>
      <c r="AD33" s="357"/>
      <c r="AE33" s="357"/>
      <c r="AF33" s="357"/>
      <c r="AG33" s="153"/>
      <c r="AH33" s="346" t="s">
        <v>1434</v>
      </c>
      <c r="AI33" s="347"/>
      <c r="AJ33" s="347"/>
      <c r="AK33" s="347"/>
      <c r="AL33" s="347"/>
      <c r="AM33" s="347"/>
      <c r="AN33" s="347"/>
      <c r="AO33" s="347"/>
      <c r="AP33" s="347"/>
      <c r="AQ33" s="347"/>
      <c r="AR33" s="347"/>
      <c r="AS33" s="347"/>
      <c r="AT33" s="347"/>
      <c r="AW33" s="366" t="s">
        <v>1435</v>
      </c>
      <c r="AX33" s="367"/>
      <c r="AY33" s="367"/>
    </row>
    <row r="34" spans="1:55" ht="15.75" thickBot="1" x14ac:dyDescent="0.3">
      <c r="A34" s="341"/>
      <c r="B34" s="141" t="s">
        <v>101</v>
      </c>
      <c r="C34" s="141" t="s">
        <v>122</v>
      </c>
      <c r="D34" s="141" t="s">
        <v>634</v>
      </c>
      <c r="E34" s="141" t="s">
        <v>142</v>
      </c>
      <c r="F34" s="141" t="s">
        <v>169</v>
      </c>
      <c r="G34" s="141" t="s">
        <v>100</v>
      </c>
      <c r="H34" s="141" t="s">
        <v>1344</v>
      </c>
      <c r="I34" s="142"/>
      <c r="J34" s="141" t="s">
        <v>101</v>
      </c>
      <c r="K34" s="141" t="s">
        <v>122</v>
      </c>
      <c r="L34" s="141" t="s">
        <v>634</v>
      </c>
      <c r="M34" s="141" t="s">
        <v>142</v>
      </c>
      <c r="N34" s="141" t="s">
        <v>169</v>
      </c>
      <c r="O34" s="141" t="s">
        <v>100</v>
      </c>
      <c r="P34" s="141" t="s">
        <v>1344</v>
      </c>
      <c r="Q34" s="142"/>
      <c r="R34" s="143" t="s">
        <v>101</v>
      </c>
      <c r="S34" s="143" t="s">
        <v>122</v>
      </c>
      <c r="T34" s="143" t="s">
        <v>634</v>
      </c>
      <c r="U34" s="143" t="s">
        <v>142</v>
      </c>
      <c r="V34" s="143" t="s">
        <v>169</v>
      </c>
      <c r="W34" s="143" t="s">
        <v>100</v>
      </c>
      <c r="X34" s="143" t="s">
        <v>1344</v>
      </c>
      <c r="Y34" s="155"/>
      <c r="Z34" s="143" t="s">
        <v>101</v>
      </c>
      <c r="AA34" s="143" t="s">
        <v>122</v>
      </c>
      <c r="AB34" s="143" t="s">
        <v>634</v>
      </c>
      <c r="AC34" s="143" t="s">
        <v>142</v>
      </c>
      <c r="AD34" s="143" t="s">
        <v>169</v>
      </c>
      <c r="AE34" s="143" t="s">
        <v>100</v>
      </c>
      <c r="AF34" s="143" t="s">
        <v>1344</v>
      </c>
      <c r="AG34" s="142"/>
      <c r="AH34" s="156">
        <v>46113</v>
      </c>
      <c r="AI34" s="156">
        <v>46143</v>
      </c>
      <c r="AJ34" s="156">
        <v>46174</v>
      </c>
      <c r="AK34" s="156">
        <v>46204</v>
      </c>
      <c r="AL34" s="156">
        <v>46235</v>
      </c>
      <c r="AM34" s="156">
        <v>46266</v>
      </c>
      <c r="AN34" s="156">
        <v>46296</v>
      </c>
      <c r="AO34" s="156">
        <v>46327</v>
      </c>
      <c r="AP34" s="156">
        <v>46357</v>
      </c>
      <c r="AQ34" s="156">
        <v>46023</v>
      </c>
      <c r="AR34" s="156">
        <v>46054</v>
      </c>
      <c r="AS34" s="156">
        <v>46082</v>
      </c>
      <c r="AT34" s="156" t="s">
        <v>1344</v>
      </c>
      <c r="AW34" s="157" t="s">
        <v>1436</v>
      </c>
      <c r="AX34" s="157" t="s">
        <v>102</v>
      </c>
      <c r="AY34" s="157" t="s">
        <v>1437</v>
      </c>
    </row>
    <row r="35" spans="1:55" ht="15.75" thickBot="1" x14ac:dyDescent="0.3">
      <c r="A35" s="145" t="s">
        <v>1438</v>
      </c>
      <c r="B35" s="146">
        <f>+COUNTIFS('LOI and Commissioning Master Sh'!$P:$P,'Planned in Nov Dec'!$A35,'LOI and Commissioning Master Sh'!$G:$G,'Planned in Nov Dec'!B$3,'LOI and Commissioning Master Sh'!$X:$X,"Yes",'LOI and Commissioning Master Sh'!$H:$H,"A")</f>
        <v>0</v>
      </c>
      <c r="C35" s="146">
        <f>+COUNTIFS('LOI and Commissioning Master Sh'!$P:$P,'Planned in Nov Dec'!$A35,'LOI and Commissioning Master Sh'!$G:$G,'Planned in Nov Dec'!C$3,'LOI and Commissioning Master Sh'!$X:$X,"Yes",'LOI and Commissioning Master Sh'!$H:$H,"A")</f>
        <v>0</v>
      </c>
      <c r="D35" s="146">
        <f>+COUNTIFS('LOI and Commissioning Master Sh'!$P:$P,'Planned in Nov Dec'!$A35,'LOI and Commissioning Master Sh'!$G:$G,'Planned in Nov Dec'!D$3,'LOI and Commissioning Master Sh'!$X:$X,"Yes",'LOI and Commissioning Master Sh'!$H:$H,"A")</f>
        <v>0</v>
      </c>
      <c r="E35" s="146">
        <f>+COUNTIFS('LOI and Commissioning Master Sh'!$P:$P,'Planned in Nov Dec'!$A35,'LOI and Commissioning Master Sh'!$G:$G,'Planned in Nov Dec'!E$3,'LOI and Commissioning Master Sh'!$X:$X,"Yes",'LOI and Commissioning Master Sh'!$H:$H,"A")</f>
        <v>4</v>
      </c>
      <c r="F35" s="146">
        <f>+COUNTIFS('LOI and Commissioning Master Sh'!$P:$P,'Planned in Nov Dec'!$A35,'LOI and Commissioning Master Sh'!$G:$G,'Planned in Nov Dec'!F$3,'LOI and Commissioning Master Sh'!$X:$X,"Yes",'LOI and Commissioning Master Sh'!$H:$H,"A")</f>
        <v>4</v>
      </c>
      <c r="G35" s="146">
        <f>+COUNTIFS('LOI and Commissioning Master Sh'!$P:$P,'Planned in Nov Dec'!$A35,'LOI and Commissioning Master Sh'!$G:$G,'Planned in Nov Dec'!G$3,'LOI and Commissioning Master Sh'!$X:$X,"Yes",'LOI and Commissioning Master Sh'!$H:$H,"A")</f>
        <v>1</v>
      </c>
      <c r="H35" s="147">
        <f>SUM(B35:G35)</f>
        <v>9</v>
      </c>
      <c r="I35" s="151"/>
      <c r="J35" s="146">
        <f>+COUNTIFS('LOI and Commissioning Master Sh'!$P:$P,'Planned in Nov Dec'!$A35,'LOI and Commissioning Master Sh'!$G:$G,'Planned in Nov Dec'!J$18,'LOI and Commissioning Master Sh'!$X:$X,"Yes",'LOI and Commissioning Master Sh'!$H:$H,"B")</f>
        <v>0</v>
      </c>
      <c r="K35" s="146">
        <f>+COUNTIFS('LOI and Commissioning Master Sh'!$P:$P,'Planned in Nov Dec'!$A35,'LOI and Commissioning Master Sh'!$G:$G,'Planned in Nov Dec'!K$18,'LOI and Commissioning Master Sh'!$X:$X,"Yes",'LOI and Commissioning Master Sh'!$H:$H,"B")</f>
        <v>0</v>
      </c>
      <c r="L35" s="146">
        <f>+COUNTIFS('LOI and Commissioning Master Sh'!$P:$P,'Planned in Nov Dec'!$A35,'LOI and Commissioning Master Sh'!$G:$G,'Planned in Nov Dec'!L$18,'LOI and Commissioning Master Sh'!$X:$X,"Yes",'LOI and Commissioning Master Sh'!$H:$H,"B")</f>
        <v>0</v>
      </c>
      <c r="M35" s="146">
        <f>+COUNTIFS('LOI and Commissioning Master Sh'!$P:$P,'Planned in Nov Dec'!$A35,'LOI and Commissioning Master Sh'!$G:$G,'Planned in Nov Dec'!M$18,'LOI and Commissioning Master Sh'!$X:$X,"Yes",'LOI and Commissioning Master Sh'!$H:$H,"B")</f>
        <v>7</v>
      </c>
      <c r="N35" s="146">
        <f>+COUNTIFS('LOI and Commissioning Master Sh'!$P:$P,'Planned in Nov Dec'!$A35,'LOI and Commissioning Master Sh'!$G:$G,'Planned in Nov Dec'!N$18,'LOI and Commissioning Master Sh'!$X:$X,"Yes",'LOI and Commissioning Master Sh'!$H:$H,"B")</f>
        <v>4</v>
      </c>
      <c r="O35" s="146">
        <f>+COUNTIFS('LOI and Commissioning Master Sh'!$P:$P,'Planned in Nov Dec'!$A35,'LOI and Commissioning Master Sh'!$G:$G,'Planned in Nov Dec'!O$18,'LOI and Commissioning Master Sh'!$X:$X,"Yes",'LOI and Commissioning Master Sh'!$H:$H,"B")</f>
        <v>4</v>
      </c>
      <c r="P35" s="147">
        <f>SUM(J35:O35)</f>
        <v>15</v>
      </c>
      <c r="Q35" s="151"/>
      <c r="R35" s="146">
        <f>+COUNTIFS('LOI and Commissioning Master Sh'!$P:$P,'Planned in Nov Dec'!$A35,'LOI and Commissioning Master Sh'!$G:$G,'Planned in Nov Dec'!R$3,'LOI and Commissioning Master Sh'!$X:$X,"Yes",'LOI and Commissioning Master Sh'!$H:$H,"A",'LOI and Commissioning Master Sh'!$BW:$BW,"Commissioned")</f>
        <v>0</v>
      </c>
      <c r="S35" s="146">
        <f>+COUNTIFS('LOI and Commissioning Master Sh'!$P:$P,'Planned in Nov Dec'!$A35,'LOI and Commissioning Master Sh'!$G:$G,'Planned in Nov Dec'!S$3,'LOI and Commissioning Master Sh'!$X:$X,"Yes",'LOI and Commissioning Master Sh'!$H:$H,"A",'LOI and Commissioning Master Sh'!$BW:$BW,"Commissioned")</f>
        <v>0</v>
      </c>
      <c r="T35" s="146">
        <f>+COUNTIFS('LOI and Commissioning Master Sh'!$P:$P,'Planned in Nov Dec'!$A35,'LOI and Commissioning Master Sh'!$G:$G,'Planned in Nov Dec'!T$3,'LOI and Commissioning Master Sh'!$X:$X,"Yes",'LOI and Commissioning Master Sh'!$H:$H,"A",'LOI and Commissioning Master Sh'!$BW:$BW,"Commissioned")</f>
        <v>0</v>
      </c>
      <c r="U35" s="146">
        <f>+COUNTIFS('LOI and Commissioning Master Sh'!$P:$P,'Planned in Nov Dec'!$A35,'LOI and Commissioning Master Sh'!$G:$G,'Planned in Nov Dec'!U$3,'LOI and Commissioning Master Sh'!$X:$X,"Yes",'LOI and Commissioning Master Sh'!$H:$H,"A",'LOI and Commissioning Master Sh'!$BW:$BW,"Commissioned")</f>
        <v>0</v>
      </c>
      <c r="V35" s="146">
        <f>+COUNTIFS('LOI and Commissioning Master Sh'!$P:$P,'Planned in Nov Dec'!$A35,'LOI and Commissioning Master Sh'!$G:$G,'Planned in Nov Dec'!V$3,'LOI and Commissioning Master Sh'!$X:$X,"Yes",'LOI and Commissioning Master Sh'!$H:$H,"A",'LOI and Commissioning Master Sh'!$BW:$BW,"Commissioned")</f>
        <v>0</v>
      </c>
      <c r="W35" s="146">
        <f>+COUNTIFS('LOI and Commissioning Master Sh'!$P:$P,'Planned in Nov Dec'!$A35,'LOI and Commissioning Master Sh'!$G:$G,'Planned in Nov Dec'!W$3,'LOI and Commissioning Master Sh'!$X:$X,"Yes",'LOI and Commissioning Master Sh'!$H:$H,"A",'LOI and Commissioning Master Sh'!$BW:$BW,"Commissioned")</f>
        <v>0</v>
      </c>
      <c r="X35" s="150">
        <f t="shared" ref="X35:X37" si="23">SUM(R35:W35)</f>
        <v>0</v>
      </c>
      <c r="Y35" s="158"/>
      <c r="Z35" s="146">
        <f>+COUNTIFS('LOI and Commissioning Master Sh'!$P:$P,'Planned in Nov Dec'!$A35,'LOI and Commissioning Master Sh'!$G:$G,'Planned in Nov Dec'!Z$3,'LOI and Commissioning Master Sh'!$X:$X,"Yes",'LOI and Commissioning Master Sh'!$H:$H,"B",'LOI and Commissioning Master Sh'!$BW:$BW,"Commissioned")</f>
        <v>0</v>
      </c>
      <c r="AA35" s="146">
        <f>+COUNTIFS('LOI and Commissioning Master Sh'!$P:$P,'Planned in Nov Dec'!$A35,'LOI and Commissioning Master Sh'!$G:$G,'Planned in Nov Dec'!AA$3,'LOI and Commissioning Master Sh'!$X:$X,"Yes",'LOI and Commissioning Master Sh'!$H:$H,"B",'LOI and Commissioning Master Sh'!$BW:$BW,"Commissioned")</f>
        <v>0</v>
      </c>
      <c r="AB35" s="146">
        <f>+COUNTIFS('LOI and Commissioning Master Sh'!$P:$P,'Planned in Nov Dec'!$A35,'LOI and Commissioning Master Sh'!$G:$G,'Planned in Nov Dec'!AB$3,'LOI and Commissioning Master Sh'!$X:$X,"Yes",'LOI and Commissioning Master Sh'!$H:$H,"B",'LOI and Commissioning Master Sh'!$BW:$BW,"Commissioned")</f>
        <v>0</v>
      </c>
      <c r="AC35" s="146">
        <f>+COUNTIFS('LOI and Commissioning Master Sh'!$P:$P,'Planned in Nov Dec'!$A35,'LOI and Commissioning Master Sh'!$G:$G,'Planned in Nov Dec'!AC$3,'LOI and Commissioning Master Sh'!$X:$X,"Yes",'LOI and Commissioning Master Sh'!$H:$H,"B",'LOI and Commissioning Master Sh'!$BW:$BW,"Commissioned")</f>
        <v>0</v>
      </c>
      <c r="AD35" s="146">
        <f>+COUNTIFS('LOI and Commissioning Master Sh'!$P:$P,'Planned in Nov Dec'!$A35,'LOI and Commissioning Master Sh'!$G:$G,'Planned in Nov Dec'!AD$3,'LOI and Commissioning Master Sh'!$X:$X,"Yes",'LOI and Commissioning Master Sh'!$H:$H,"B",'LOI and Commissioning Master Sh'!$BW:$BW,"Commissioned")</f>
        <v>0</v>
      </c>
      <c r="AE35" s="146">
        <f>+COUNTIFS('LOI and Commissioning Master Sh'!$P:$P,'Planned in Nov Dec'!$A35,'LOI and Commissioning Master Sh'!$G:$G,'Planned in Nov Dec'!AE$3,'LOI and Commissioning Master Sh'!$X:$X,"Yes",'LOI and Commissioning Master Sh'!$H:$H,"B",'LOI and Commissioning Master Sh'!$BW:$BW,"Commissioned")</f>
        <v>0</v>
      </c>
      <c r="AF35" s="149">
        <f>SUM(Z35:AE35)</f>
        <v>0</v>
      </c>
      <c r="AG35" s="151"/>
      <c r="AH35" s="146">
        <f>+COUNTIFS('LOI and Commissioning Master Sh'!$P:$P,'Planned in Nov Dec'!$A35,'LOI and Commissioning Master Sh'!$G:$G,'Planned in Nov Dec'!AH$3,'LOI and Commissioning Master Sh'!$X:$X,"Yes",'LOI and Commissioning Master Sh'!$BW:$BW,"Commissioned",'LOI and Commissioning Master Sh'!$AS:$AS,'Planned in Nov Dec'!AH$18)</f>
        <v>0</v>
      </c>
      <c r="AI35" s="146">
        <f>+COUNTIFS('LOI and Commissioning Master Sh'!$P:$P,'Planned in Nov Dec'!$A35,'LOI and Commissioning Master Sh'!$G:$G,'Planned in Nov Dec'!AI$3,'LOI and Commissioning Master Sh'!$X:$X,"Yes",'LOI and Commissioning Master Sh'!$BW:$BW,"Commissioned",'LOI and Commissioning Master Sh'!$AS:$AS,'Planned in Nov Dec'!AI$18)</f>
        <v>0</v>
      </c>
      <c r="AJ35" s="146">
        <f>+COUNTIFS('LOI and Commissioning Master Sh'!$P:$P,'Planned in Nov Dec'!$A35,'LOI and Commissioning Master Sh'!$G:$G,'Planned in Nov Dec'!AJ$3,'LOI and Commissioning Master Sh'!$X:$X,"Yes",'LOI and Commissioning Master Sh'!$BW:$BW,"Commissioned",'LOI and Commissioning Master Sh'!$AS:$AS,'Planned in Nov Dec'!AJ$18)</f>
        <v>0</v>
      </c>
      <c r="AK35" s="146">
        <f>+COUNTIFS('LOI and Commissioning Master Sh'!$P:$P,'Planned in Nov Dec'!$A35,'LOI and Commissioning Master Sh'!$G:$G,'Planned in Nov Dec'!AK$3,'LOI and Commissioning Master Sh'!$X:$X,"Yes",'LOI and Commissioning Master Sh'!$BW:$BW,"Commissioned",'LOI and Commissioning Master Sh'!$AS:$AS,'Planned in Nov Dec'!AK$18)</f>
        <v>0</v>
      </c>
      <c r="AL35" s="146">
        <f>+COUNTIFS('LOI and Commissioning Master Sh'!$P:$P,'Planned in Nov Dec'!$A35,'LOI and Commissioning Master Sh'!$G:$G,'Planned in Nov Dec'!AL$3,'LOI and Commissioning Master Sh'!$X:$X,"Yes",'LOI and Commissioning Master Sh'!$BW:$BW,"Commissioned",'LOI and Commissioning Master Sh'!$AS:$AS,'Planned in Nov Dec'!AL$18)</f>
        <v>0</v>
      </c>
      <c r="AM35" s="146">
        <f>+COUNTIFS('LOI and Commissioning Master Sh'!$P:$P,'Planned in Nov Dec'!$A35,'LOI and Commissioning Master Sh'!$G:$G,'Planned in Nov Dec'!AM$3,'LOI and Commissioning Master Sh'!$X:$X,"Yes",'LOI and Commissioning Master Sh'!$BW:$BW,"Commissioned",'LOI and Commissioning Master Sh'!$AS:$AS,'Planned in Nov Dec'!AM$18)</f>
        <v>0</v>
      </c>
      <c r="AN35" s="146">
        <f>+COUNTIFS('LOI and Commissioning Master Sh'!$P:$P,'Planned in Nov Dec'!$A35,'LOI and Commissioning Master Sh'!$G:$G,'Planned in Nov Dec'!AN$3,'LOI and Commissioning Master Sh'!$X:$X,"Yes",'LOI and Commissioning Master Sh'!$BW:$BW,"Commissioned",'LOI and Commissioning Master Sh'!$AS:$AS,'Planned in Nov Dec'!AN$18)</f>
        <v>0</v>
      </c>
      <c r="AO35" s="146">
        <f>+COUNTIFS('LOI and Commissioning Master Sh'!$P:$P,'Planned in Nov Dec'!$A35,'LOI and Commissioning Master Sh'!$G:$G,'Planned in Nov Dec'!AO$3,'LOI and Commissioning Master Sh'!$X:$X,"Yes",'LOI and Commissioning Master Sh'!$BW:$BW,"Commissioned",'LOI and Commissioning Master Sh'!$AS:$AS,'Planned in Nov Dec'!AO$18)</f>
        <v>0</v>
      </c>
      <c r="AP35" s="146">
        <f>+COUNTIFS('LOI and Commissioning Master Sh'!$P:$P,'Planned in Nov Dec'!$A35,'LOI and Commissioning Master Sh'!$G:$G,'Planned in Nov Dec'!AP$3,'LOI and Commissioning Master Sh'!$X:$X,"Yes",'LOI and Commissioning Master Sh'!$BW:$BW,"Commissioned",'LOI and Commissioning Master Sh'!$AS:$AS,'Planned in Nov Dec'!AP$18)</f>
        <v>0</v>
      </c>
      <c r="AQ35" s="146">
        <f>+COUNTIFS('LOI and Commissioning Master Sh'!$P:$P,'Planned in Nov Dec'!$A35,'LOI and Commissioning Master Sh'!$G:$G,'Planned in Nov Dec'!AQ$3,'LOI and Commissioning Master Sh'!$X:$X,"Yes",'LOI and Commissioning Master Sh'!$BW:$BW,"Commissioned",'LOI and Commissioning Master Sh'!$AS:$AS,'Planned in Nov Dec'!AQ$18)</f>
        <v>0</v>
      </c>
      <c r="AR35" s="146">
        <f>+COUNTIFS('LOI and Commissioning Master Sh'!$P:$P,'Planned in Nov Dec'!$A35,'LOI and Commissioning Master Sh'!$G:$G,'Planned in Nov Dec'!AR$3,'LOI and Commissioning Master Sh'!$X:$X,"Yes",'LOI and Commissioning Master Sh'!$BW:$BW,"Commissioned",'LOI and Commissioning Master Sh'!$AS:$AS,'Planned in Nov Dec'!AR$18)</f>
        <v>0</v>
      </c>
      <c r="AS35" s="146">
        <f>+COUNTIFS('LOI and Commissioning Master Sh'!$P:$P,'Planned in Nov Dec'!$A35,'LOI and Commissioning Master Sh'!$G:$G,'Planned in Nov Dec'!AS$3,'LOI and Commissioning Master Sh'!$X:$X,"Yes",'LOI and Commissioning Master Sh'!$BW:$BW,"Commissioned",'LOI and Commissioning Master Sh'!$AS:$AS,'Planned in Nov Dec'!AS$18)</f>
        <v>0</v>
      </c>
      <c r="AT35" s="160">
        <f>SUM(AH35:AS35)</f>
        <v>0</v>
      </c>
      <c r="AW35" s="146">
        <f>+COUNTIFS('LOI and Commissioning Master Sh'!$P:$P,'Planned in Nov Dec'!$A35,'LOI and Commissioning Master Sh'!$G:$G,'Planned in Nov Dec'!AW$18,'LOI and Commissioning Master Sh'!$X:$X,"Yes",'LOI and Commissioning Master Sh'!$I:$I,'Planned in Nov Dec'!AW$18,'LOI and Commissioning Master Sh'!$BW:$BW,"Commissioned")</f>
        <v>0</v>
      </c>
      <c r="AX35" s="146">
        <f>+COUNTIFS('LOI and Commissioning Master Sh'!$P:$P,'Planned in Nov Dec'!$A35,'LOI and Commissioning Master Sh'!$G:$G,'Planned in Nov Dec'!AX$18,'LOI and Commissioning Master Sh'!$X:$X,"Yes",'LOI and Commissioning Master Sh'!$I:$I,'Planned in Nov Dec'!AX$18,'LOI and Commissioning Master Sh'!$BW:$BW,"Commissioned")</f>
        <v>0</v>
      </c>
      <c r="AY35" s="161">
        <f t="shared" ref="AY35:AY37" si="24">SUM(AW35:AX35)</f>
        <v>0</v>
      </c>
    </row>
    <row r="36" spans="1:55" ht="15.75" thickBot="1" x14ac:dyDescent="0.3">
      <c r="A36" s="145" t="s">
        <v>239</v>
      </c>
      <c r="B36" s="146">
        <f>+COUNTIFS('LOI and Commissioning Master Sh'!$P:$P,'Planned in Nov Dec'!$A36,'LOI and Commissioning Master Sh'!$G:$G,'Planned in Nov Dec'!B$3,'LOI and Commissioning Master Sh'!$X:$X,"Yes",'LOI and Commissioning Master Sh'!$H:$H,"A")</f>
        <v>6</v>
      </c>
      <c r="C36" s="146">
        <f>+COUNTIFS('LOI and Commissioning Master Sh'!$P:$P,'Planned in Nov Dec'!$A36,'LOI and Commissioning Master Sh'!$G:$G,'Planned in Nov Dec'!C$3,'LOI and Commissioning Master Sh'!$X:$X,"Yes",'LOI and Commissioning Master Sh'!$H:$H,"A")</f>
        <v>0</v>
      </c>
      <c r="D36" s="146">
        <f>+COUNTIFS('LOI and Commissioning Master Sh'!$P:$P,'Planned in Nov Dec'!$A36,'LOI and Commissioning Master Sh'!$G:$G,'Planned in Nov Dec'!D$3,'LOI and Commissioning Master Sh'!$X:$X,"Yes",'LOI and Commissioning Master Sh'!$H:$H,"A")</f>
        <v>0</v>
      </c>
      <c r="E36" s="146">
        <f>+COUNTIFS('LOI and Commissioning Master Sh'!$P:$P,'Planned in Nov Dec'!$A36,'LOI and Commissioning Master Sh'!$G:$G,'Planned in Nov Dec'!E$3,'LOI and Commissioning Master Sh'!$X:$X,"Yes",'LOI and Commissioning Master Sh'!$H:$H,"A")</f>
        <v>12</v>
      </c>
      <c r="F36" s="146">
        <f>+COUNTIFS('LOI and Commissioning Master Sh'!$P:$P,'Planned in Nov Dec'!$A36,'LOI and Commissioning Master Sh'!$G:$G,'Planned in Nov Dec'!F$3,'LOI and Commissioning Master Sh'!$X:$X,"Yes",'LOI and Commissioning Master Sh'!$H:$H,"A")</f>
        <v>3</v>
      </c>
      <c r="G36" s="146">
        <f>+COUNTIFS('LOI and Commissioning Master Sh'!$P:$P,'Planned in Nov Dec'!$A36,'LOI and Commissioning Master Sh'!$G:$G,'Planned in Nov Dec'!G$3,'LOI and Commissioning Master Sh'!$X:$X,"Yes",'LOI and Commissioning Master Sh'!$H:$H,"A")</f>
        <v>2</v>
      </c>
      <c r="H36" s="147">
        <f t="shared" ref="H36:H37" si="25">SUM(B36:G36)</f>
        <v>23</v>
      </c>
      <c r="I36" s="151"/>
      <c r="J36" s="146">
        <f>+COUNTIFS('LOI and Commissioning Master Sh'!$P:$P,'Planned in Nov Dec'!$A36,'LOI and Commissioning Master Sh'!$G:$G,'Planned in Nov Dec'!J$18,'LOI and Commissioning Master Sh'!$X:$X,"Yes",'LOI and Commissioning Master Sh'!$H:$H,"B")</f>
        <v>2</v>
      </c>
      <c r="K36" s="146">
        <f>+COUNTIFS('LOI and Commissioning Master Sh'!$P:$P,'Planned in Nov Dec'!$A36,'LOI and Commissioning Master Sh'!$G:$G,'Planned in Nov Dec'!K$18,'LOI and Commissioning Master Sh'!$X:$X,"Yes",'LOI and Commissioning Master Sh'!$H:$H,"B")</f>
        <v>0</v>
      </c>
      <c r="L36" s="146">
        <f>+COUNTIFS('LOI and Commissioning Master Sh'!$P:$P,'Planned in Nov Dec'!$A36,'LOI and Commissioning Master Sh'!$G:$G,'Planned in Nov Dec'!L$18,'LOI and Commissioning Master Sh'!$X:$X,"Yes",'LOI and Commissioning Master Sh'!$H:$H,"B")</f>
        <v>0</v>
      </c>
      <c r="M36" s="146">
        <f>+COUNTIFS('LOI and Commissioning Master Sh'!$P:$P,'Planned in Nov Dec'!$A36,'LOI and Commissioning Master Sh'!$G:$G,'Planned in Nov Dec'!M$18,'LOI and Commissioning Master Sh'!$X:$X,"Yes",'LOI and Commissioning Master Sh'!$H:$H,"B")</f>
        <v>8</v>
      </c>
      <c r="N36" s="146">
        <f>+COUNTIFS('LOI and Commissioning Master Sh'!$P:$P,'Planned in Nov Dec'!$A36,'LOI and Commissioning Master Sh'!$G:$G,'Planned in Nov Dec'!N$18,'LOI and Commissioning Master Sh'!$X:$X,"Yes",'LOI and Commissioning Master Sh'!$H:$H,"B")</f>
        <v>5</v>
      </c>
      <c r="O36" s="146">
        <f>+COUNTIFS('LOI and Commissioning Master Sh'!$P:$P,'Planned in Nov Dec'!$A36,'LOI and Commissioning Master Sh'!$G:$G,'Planned in Nov Dec'!O$18,'LOI and Commissioning Master Sh'!$X:$X,"Yes",'LOI and Commissioning Master Sh'!$H:$H,"B")</f>
        <v>3</v>
      </c>
      <c r="P36" s="147">
        <f t="shared" ref="P36:P37" si="26">SUM(J36:O36)</f>
        <v>18</v>
      </c>
      <c r="Q36" s="151"/>
      <c r="R36" s="146">
        <f>+COUNTIFS('LOI and Commissioning Master Sh'!$P:$P,'Planned in Nov Dec'!$A36,'LOI and Commissioning Master Sh'!$G:$G,'Planned in Nov Dec'!R$3,'LOI and Commissioning Master Sh'!$X:$X,"Yes",'LOI and Commissioning Master Sh'!$H:$H,"A",'LOI and Commissioning Master Sh'!$BW:$BW,"Commissioned")</f>
        <v>1</v>
      </c>
      <c r="S36" s="146">
        <f>+COUNTIFS('LOI and Commissioning Master Sh'!$P:$P,'Planned in Nov Dec'!$A36,'LOI and Commissioning Master Sh'!$G:$G,'Planned in Nov Dec'!S$3,'LOI and Commissioning Master Sh'!$X:$X,"Yes",'LOI and Commissioning Master Sh'!$H:$H,"A",'LOI and Commissioning Master Sh'!$BW:$BW,"Commissioned")</f>
        <v>0</v>
      </c>
      <c r="T36" s="146">
        <f>+COUNTIFS('LOI and Commissioning Master Sh'!$P:$P,'Planned in Nov Dec'!$A36,'LOI and Commissioning Master Sh'!$G:$G,'Planned in Nov Dec'!T$3,'LOI and Commissioning Master Sh'!$X:$X,"Yes",'LOI and Commissioning Master Sh'!$H:$H,"A",'LOI and Commissioning Master Sh'!$BW:$BW,"Commissioned")</f>
        <v>0</v>
      </c>
      <c r="U36" s="146">
        <f>+COUNTIFS('LOI and Commissioning Master Sh'!$P:$P,'Planned in Nov Dec'!$A36,'LOI and Commissioning Master Sh'!$G:$G,'Planned in Nov Dec'!U$3,'LOI and Commissioning Master Sh'!$X:$X,"Yes",'LOI and Commissioning Master Sh'!$H:$H,"A",'LOI and Commissioning Master Sh'!$BW:$BW,"Commissioned")</f>
        <v>1</v>
      </c>
      <c r="V36" s="146">
        <f>+COUNTIFS('LOI and Commissioning Master Sh'!$P:$P,'Planned in Nov Dec'!$A36,'LOI and Commissioning Master Sh'!$G:$G,'Planned in Nov Dec'!V$3,'LOI and Commissioning Master Sh'!$X:$X,"Yes",'LOI and Commissioning Master Sh'!$H:$H,"A",'LOI and Commissioning Master Sh'!$BW:$BW,"Commissioned")</f>
        <v>1</v>
      </c>
      <c r="W36" s="146">
        <f>+COUNTIFS('LOI and Commissioning Master Sh'!$P:$P,'Planned in Nov Dec'!$A36,'LOI and Commissioning Master Sh'!$G:$G,'Planned in Nov Dec'!W$3,'LOI and Commissioning Master Sh'!$X:$X,"Yes",'LOI and Commissioning Master Sh'!$H:$H,"A",'LOI and Commissioning Master Sh'!$BW:$BW,"Commissioned")</f>
        <v>1</v>
      </c>
      <c r="X36" s="150">
        <f t="shared" si="23"/>
        <v>4</v>
      </c>
      <c r="Y36" s="158"/>
      <c r="Z36" s="146">
        <f>+COUNTIFS('LOI and Commissioning Master Sh'!$P:$P,'Planned in Nov Dec'!$A36,'LOI and Commissioning Master Sh'!$G:$G,'Planned in Nov Dec'!Z$3,'LOI and Commissioning Master Sh'!$X:$X,"Yes",'LOI and Commissioning Master Sh'!$H:$H,"B",'LOI and Commissioning Master Sh'!$BW:$BW,"Commissioned")</f>
        <v>0</v>
      </c>
      <c r="AA36" s="146">
        <f>+COUNTIFS('LOI and Commissioning Master Sh'!$P:$P,'Planned in Nov Dec'!$A36,'LOI and Commissioning Master Sh'!$G:$G,'Planned in Nov Dec'!AA$3,'LOI and Commissioning Master Sh'!$X:$X,"Yes",'LOI and Commissioning Master Sh'!$H:$H,"B",'LOI and Commissioning Master Sh'!$BW:$BW,"Commissioned")</f>
        <v>0</v>
      </c>
      <c r="AB36" s="146">
        <f>+COUNTIFS('LOI and Commissioning Master Sh'!$P:$P,'Planned in Nov Dec'!$A36,'LOI and Commissioning Master Sh'!$G:$G,'Planned in Nov Dec'!AB$3,'LOI and Commissioning Master Sh'!$X:$X,"Yes",'LOI and Commissioning Master Sh'!$H:$H,"B",'LOI and Commissioning Master Sh'!$BW:$BW,"Commissioned")</f>
        <v>0</v>
      </c>
      <c r="AC36" s="146">
        <f>+COUNTIFS('LOI and Commissioning Master Sh'!$P:$P,'Planned in Nov Dec'!$A36,'LOI and Commissioning Master Sh'!$G:$G,'Planned in Nov Dec'!AC$3,'LOI and Commissioning Master Sh'!$X:$X,"Yes",'LOI and Commissioning Master Sh'!$H:$H,"B",'LOI and Commissioning Master Sh'!$BW:$BW,"Commissioned")</f>
        <v>0</v>
      </c>
      <c r="AD36" s="146">
        <f>+COUNTIFS('LOI and Commissioning Master Sh'!$P:$P,'Planned in Nov Dec'!$A36,'LOI and Commissioning Master Sh'!$G:$G,'Planned in Nov Dec'!AD$3,'LOI and Commissioning Master Sh'!$X:$X,"Yes",'LOI and Commissioning Master Sh'!$H:$H,"B",'LOI and Commissioning Master Sh'!$BW:$BW,"Commissioned")</f>
        <v>0</v>
      </c>
      <c r="AE36" s="146">
        <f>+COUNTIFS('LOI and Commissioning Master Sh'!$P:$P,'Planned in Nov Dec'!$A36,'LOI and Commissioning Master Sh'!$G:$G,'Planned in Nov Dec'!AE$3,'LOI and Commissioning Master Sh'!$X:$X,"Yes",'LOI and Commissioning Master Sh'!$H:$H,"B",'LOI and Commissioning Master Sh'!$BW:$BW,"Commissioned")</f>
        <v>0</v>
      </c>
      <c r="AF36" s="149">
        <f t="shared" ref="AF36:AF38" si="27">SUM(Z36:AE36)</f>
        <v>0</v>
      </c>
      <c r="AG36" s="151"/>
      <c r="AH36" s="146">
        <f>+COUNTIFS('LOI and Commissioning Master Sh'!$P:$P,'Planned in Nov Dec'!$A36,'LOI and Commissioning Master Sh'!$G:$G,'Planned in Nov Dec'!AH$3,'LOI and Commissioning Master Sh'!$X:$X,"Yes",'LOI and Commissioning Master Sh'!$BW:$BW,"Commissioned",'LOI and Commissioning Master Sh'!$AS:$AS,'Planned in Nov Dec'!AH$18)</f>
        <v>0</v>
      </c>
      <c r="AI36" s="146">
        <f>+COUNTIFS('LOI and Commissioning Master Sh'!$P:$P,'Planned in Nov Dec'!$A36,'LOI and Commissioning Master Sh'!$G:$G,'Planned in Nov Dec'!AI$3,'LOI and Commissioning Master Sh'!$X:$X,"Yes",'LOI and Commissioning Master Sh'!$BW:$BW,"Commissioned",'LOI and Commissioning Master Sh'!$AS:$AS,'Planned in Nov Dec'!AI$18)</f>
        <v>0</v>
      </c>
      <c r="AJ36" s="146">
        <f>+COUNTIFS('LOI and Commissioning Master Sh'!$P:$P,'Planned in Nov Dec'!$A36,'LOI and Commissioning Master Sh'!$G:$G,'Planned in Nov Dec'!AJ$3,'LOI and Commissioning Master Sh'!$X:$X,"Yes",'LOI and Commissioning Master Sh'!$BW:$BW,"Commissioned",'LOI and Commissioning Master Sh'!$AS:$AS,'Planned in Nov Dec'!AJ$18)</f>
        <v>0</v>
      </c>
      <c r="AK36" s="146">
        <f>+COUNTIFS('LOI and Commissioning Master Sh'!$P:$P,'Planned in Nov Dec'!$A36,'LOI and Commissioning Master Sh'!$G:$G,'Planned in Nov Dec'!AK$3,'LOI and Commissioning Master Sh'!$X:$X,"Yes",'LOI and Commissioning Master Sh'!$BW:$BW,"Commissioned",'LOI and Commissioning Master Sh'!$AS:$AS,'Planned in Nov Dec'!AK$18)</f>
        <v>0</v>
      </c>
      <c r="AL36" s="146">
        <f>+COUNTIFS('LOI and Commissioning Master Sh'!$P:$P,'Planned in Nov Dec'!$A36,'LOI and Commissioning Master Sh'!$G:$G,'Planned in Nov Dec'!AL$3,'LOI and Commissioning Master Sh'!$X:$X,"Yes",'LOI and Commissioning Master Sh'!$BW:$BW,"Commissioned",'LOI and Commissioning Master Sh'!$AS:$AS,'Planned in Nov Dec'!AL$18)</f>
        <v>0</v>
      </c>
      <c r="AM36" s="146">
        <f>+COUNTIFS('LOI and Commissioning Master Sh'!$P:$P,'Planned in Nov Dec'!$A36,'LOI and Commissioning Master Sh'!$G:$G,'Planned in Nov Dec'!AM$3,'LOI and Commissioning Master Sh'!$X:$X,"Yes",'LOI and Commissioning Master Sh'!$BW:$BW,"Commissioned",'LOI and Commissioning Master Sh'!$AS:$AS,'Planned in Nov Dec'!AM$18)</f>
        <v>0</v>
      </c>
      <c r="AN36" s="146">
        <f>+COUNTIFS('LOI and Commissioning Master Sh'!$P:$P,'Planned in Nov Dec'!$A36,'LOI and Commissioning Master Sh'!$G:$G,'Planned in Nov Dec'!AN$3,'LOI and Commissioning Master Sh'!$X:$X,"Yes",'LOI and Commissioning Master Sh'!$BW:$BW,"Commissioned",'LOI and Commissioning Master Sh'!$AS:$AS,'Planned in Nov Dec'!AN$18)</f>
        <v>0</v>
      </c>
      <c r="AO36" s="146">
        <f>+COUNTIFS('LOI and Commissioning Master Sh'!$P:$P,'Planned in Nov Dec'!$A36,'LOI and Commissioning Master Sh'!$G:$G,'Planned in Nov Dec'!AO$3,'LOI and Commissioning Master Sh'!$X:$X,"Yes",'LOI and Commissioning Master Sh'!$BW:$BW,"Commissioned",'LOI and Commissioning Master Sh'!$AS:$AS,'Planned in Nov Dec'!AO$18)</f>
        <v>0</v>
      </c>
      <c r="AP36" s="146">
        <f>+COUNTIFS('LOI and Commissioning Master Sh'!$P:$P,'Planned in Nov Dec'!$A36,'LOI and Commissioning Master Sh'!$G:$G,'Planned in Nov Dec'!AP$3,'LOI and Commissioning Master Sh'!$X:$X,"Yes",'LOI and Commissioning Master Sh'!$BW:$BW,"Commissioned",'LOI and Commissioning Master Sh'!$AS:$AS,'Planned in Nov Dec'!AP$18)</f>
        <v>0</v>
      </c>
      <c r="AQ36" s="146">
        <f>+COUNTIFS('LOI and Commissioning Master Sh'!$P:$P,'Planned in Nov Dec'!$A36,'LOI and Commissioning Master Sh'!$G:$G,'Planned in Nov Dec'!AQ$3,'LOI and Commissioning Master Sh'!$X:$X,"Yes",'LOI and Commissioning Master Sh'!$BW:$BW,"Commissioned",'LOI and Commissioning Master Sh'!$AS:$AS,'Planned in Nov Dec'!AQ$18)</f>
        <v>0</v>
      </c>
      <c r="AR36" s="146">
        <f>+COUNTIFS('LOI and Commissioning Master Sh'!$P:$P,'Planned in Nov Dec'!$A36,'LOI and Commissioning Master Sh'!$G:$G,'Planned in Nov Dec'!AR$3,'LOI and Commissioning Master Sh'!$X:$X,"Yes",'LOI and Commissioning Master Sh'!$BW:$BW,"Commissioned",'LOI and Commissioning Master Sh'!$AS:$AS,'Planned in Nov Dec'!AR$18)</f>
        <v>0</v>
      </c>
      <c r="AS36" s="146">
        <f>+COUNTIFS('LOI and Commissioning Master Sh'!$P:$P,'Planned in Nov Dec'!$A36,'LOI and Commissioning Master Sh'!$G:$G,'Planned in Nov Dec'!AS$3,'LOI and Commissioning Master Sh'!$X:$X,"Yes",'LOI and Commissioning Master Sh'!$BW:$BW,"Commissioned",'LOI and Commissioning Master Sh'!$AS:$AS,'Planned in Nov Dec'!AS$18)</f>
        <v>0</v>
      </c>
      <c r="AT36" s="160">
        <f t="shared" ref="AT36:AT38" si="28">SUM(AH36:AS36)</f>
        <v>0</v>
      </c>
      <c r="AW36" s="146">
        <f>+COUNTIFS('LOI and Commissioning Master Sh'!$P:$P,'Planned in Nov Dec'!$A36,'LOI and Commissioning Master Sh'!$G:$G,'Planned in Nov Dec'!AW$18,'LOI and Commissioning Master Sh'!$X:$X,"Yes",'LOI and Commissioning Master Sh'!$I:$I,'Planned in Nov Dec'!AW$18,'LOI and Commissioning Master Sh'!$BW:$BW,"Commissioned")</f>
        <v>0</v>
      </c>
      <c r="AX36" s="146">
        <f>+COUNTIFS('LOI and Commissioning Master Sh'!$P:$P,'Planned in Nov Dec'!$A36,'LOI and Commissioning Master Sh'!$G:$G,'Planned in Nov Dec'!AX$18,'LOI and Commissioning Master Sh'!$X:$X,"Yes",'LOI and Commissioning Master Sh'!$I:$I,'Planned in Nov Dec'!AX$18,'LOI and Commissioning Master Sh'!$BW:$BW,"Commissioned")</f>
        <v>0</v>
      </c>
      <c r="AY36" s="161">
        <f t="shared" si="24"/>
        <v>0</v>
      </c>
    </row>
    <row r="37" spans="1:55" ht="15.75" thickBot="1" x14ac:dyDescent="0.3">
      <c r="A37" s="145" t="s">
        <v>1439</v>
      </c>
      <c r="B37" s="146">
        <f>+COUNTIFS('LOI and Commissioning Master Sh'!$P:$P,'Planned in Nov Dec'!$A37,'LOI and Commissioning Master Sh'!$G:$G,'Planned in Nov Dec'!B$3,'LOI and Commissioning Master Sh'!$X:$X,"Yes",'LOI and Commissioning Master Sh'!$H:$H,"A")</f>
        <v>0</v>
      </c>
      <c r="C37" s="146">
        <f>+COUNTIFS('LOI and Commissioning Master Sh'!$P:$P,'Planned in Nov Dec'!$A37,'LOI and Commissioning Master Sh'!$G:$G,'Planned in Nov Dec'!C$3,'LOI and Commissioning Master Sh'!$X:$X,"Yes",'LOI and Commissioning Master Sh'!$H:$H,"A")</f>
        <v>0</v>
      </c>
      <c r="D37" s="146">
        <f>+COUNTIFS('LOI and Commissioning Master Sh'!$P:$P,'Planned in Nov Dec'!$A37,'LOI and Commissioning Master Sh'!$G:$G,'Planned in Nov Dec'!D$3,'LOI and Commissioning Master Sh'!$X:$X,"Yes",'LOI and Commissioning Master Sh'!$H:$H,"A")</f>
        <v>0</v>
      </c>
      <c r="E37" s="146">
        <f>+COUNTIFS('LOI and Commissioning Master Sh'!$P:$P,'Planned in Nov Dec'!$A37,'LOI and Commissioning Master Sh'!$G:$G,'Planned in Nov Dec'!E$3,'LOI and Commissioning Master Sh'!$X:$X,"Yes",'LOI and Commissioning Master Sh'!$H:$H,"A")</f>
        <v>2</v>
      </c>
      <c r="F37" s="146">
        <f>+COUNTIFS('LOI and Commissioning Master Sh'!$P:$P,'Planned in Nov Dec'!$A37,'LOI and Commissioning Master Sh'!$G:$G,'Planned in Nov Dec'!F$3,'LOI and Commissioning Master Sh'!$X:$X,"Yes",'LOI and Commissioning Master Sh'!$H:$H,"A")</f>
        <v>1</v>
      </c>
      <c r="G37" s="146">
        <f>+COUNTIFS('LOI and Commissioning Master Sh'!$P:$P,'Planned in Nov Dec'!$A37,'LOI and Commissioning Master Sh'!$G:$G,'Planned in Nov Dec'!G$3,'LOI and Commissioning Master Sh'!$X:$X,"Yes",'LOI and Commissioning Master Sh'!$H:$H,"A")</f>
        <v>0</v>
      </c>
      <c r="H37" s="147">
        <f t="shared" si="25"/>
        <v>3</v>
      </c>
      <c r="I37" s="151"/>
      <c r="J37" s="146">
        <f>+COUNTIFS('LOI and Commissioning Master Sh'!$P:$P,'Planned in Nov Dec'!$A37,'LOI and Commissioning Master Sh'!$G:$G,'Planned in Nov Dec'!J$18,'LOI and Commissioning Master Sh'!$X:$X,"Yes",'LOI and Commissioning Master Sh'!$H:$H,"B")</f>
        <v>0</v>
      </c>
      <c r="K37" s="146">
        <f>+COUNTIFS('LOI and Commissioning Master Sh'!$P:$P,'Planned in Nov Dec'!$A37,'LOI and Commissioning Master Sh'!$G:$G,'Planned in Nov Dec'!K$18,'LOI and Commissioning Master Sh'!$X:$X,"Yes",'LOI and Commissioning Master Sh'!$H:$H,"B")</f>
        <v>0</v>
      </c>
      <c r="L37" s="146">
        <f>+COUNTIFS('LOI and Commissioning Master Sh'!$P:$P,'Planned in Nov Dec'!$A37,'LOI and Commissioning Master Sh'!$G:$G,'Planned in Nov Dec'!L$18,'LOI and Commissioning Master Sh'!$X:$X,"Yes",'LOI and Commissioning Master Sh'!$H:$H,"B")</f>
        <v>0</v>
      </c>
      <c r="M37" s="146">
        <f>+COUNTIFS('LOI and Commissioning Master Sh'!$P:$P,'Planned in Nov Dec'!$A37,'LOI and Commissioning Master Sh'!$G:$G,'Planned in Nov Dec'!M$18,'LOI and Commissioning Master Sh'!$X:$X,"Yes",'LOI and Commissioning Master Sh'!$H:$H,"B")</f>
        <v>6</v>
      </c>
      <c r="N37" s="146">
        <f>+COUNTIFS('LOI and Commissioning Master Sh'!$P:$P,'Planned in Nov Dec'!$A37,'LOI and Commissioning Master Sh'!$G:$G,'Planned in Nov Dec'!N$18,'LOI and Commissioning Master Sh'!$X:$X,"Yes",'LOI and Commissioning Master Sh'!$H:$H,"B")</f>
        <v>0</v>
      </c>
      <c r="O37" s="146">
        <f>+COUNTIFS('LOI and Commissioning Master Sh'!$P:$P,'Planned in Nov Dec'!$A37,'LOI and Commissioning Master Sh'!$G:$G,'Planned in Nov Dec'!O$18,'LOI and Commissioning Master Sh'!$X:$X,"Yes",'LOI and Commissioning Master Sh'!$H:$H,"B")</f>
        <v>1</v>
      </c>
      <c r="P37" s="147">
        <f t="shared" si="26"/>
        <v>7</v>
      </c>
      <c r="Q37" s="151"/>
      <c r="R37" s="146">
        <f>+COUNTIFS('LOI and Commissioning Master Sh'!$P:$P,'Planned in Nov Dec'!$A37,'LOI and Commissioning Master Sh'!$G:$G,'Planned in Nov Dec'!R$3,'LOI and Commissioning Master Sh'!$X:$X,"Yes",'LOI and Commissioning Master Sh'!$H:$H,"A",'LOI and Commissioning Master Sh'!$BW:$BW,"Commissioned")</f>
        <v>0</v>
      </c>
      <c r="S37" s="146">
        <f>+COUNTIFS('LOI and Commissioning Master Sh'!$P:$P,'Planned in Nov Dec'!$A37,'LOI and Commissioning Master Sh'!$G:$G,'Planned in Nov Dec'!S$3,'LOI and Commissioning Master Sh'!$X:$X,"Yes",'LOI and Commissioning Master Sh'!$H:$H,"A",'LOI and Commissioning Master Sh'!$BW:$BW,"Commissioned")</f>
        <v>0</v>
      </c>
      <c r="T37" s="146">
        <f>+COUNTIFS('LOI and Commissioning Master Sh'!$P:$P,'Planned in Nov Dec'!$A37,'LOI and Commissioning Master Sh'!$G:$G,'Planned in Nov Dec'!T$3,'LOI and Commissioning Master Sh'!$X:$X,"Yes",'LOI and Commissioning Master Sh'!$H:$H,"A",'LOI and Commissioning Master Sh'!$BW:$BW,"Commissioned")</f>
        <v>0</v>
      </c>
      <c r="U37" s="146">
        <f>+COUNTIFS('LOI and Commissioning Master Sh'!$P:$P,'Planned in Nov Dec'!$A37,'LOI and Commissioning Master Sh'!$G:$G,'Planned in Nov Dec'!U$3,'LOI and Commissioning Master Sh'!$X:$X,"Yes",'LOI and Commissioning Master Sh'!$H:$H,"A",'LOI and Commissioning Master Sh'!$BW:$BW,"Commissioned")</f>
        <v>0</v>
      </c>
      <c r="V37" s="146">
        <f>+COUNTIFS('LOI and Commissioning Master Sh'!$P:$P,'Planned in Nov Dec'!$A37,'LOI and Commissioning Master Sh'!$G:$G,'Planned in Nov Dec'!V$3,'LOI and Commissioning Master Sh'!$X:$X,"Yes",'LOI and Commissioning Master Sh'!$H:$H,"A",'LOI and Commissioning Master Sh'!$BW:$BW,"Commissioned")</f>
        <v>0</v>
      </c>
      <c r="W37" s="146">
        <f>+COUNTIFS('LOI and Commissioning Master Sh'!$P:$P,'Planned in Nov Dec'!$A37,'LOI and Commissioning Master Sh'!$G:$G,'Planned in Nov Dec'!W$3,'LOI and Commissioning Master Sh'!$X:$X,"Yes",'LOI and Commissioning Master Sh'!$H:$H,"A",'LOI and Commissioning Master Sh'!$BW:$BW,"Commissioned")</f>
        <v>0</v>
      </c>
      <c r="X37" s="150">
        <f t="shared" si="23"/>
        <v>0</v>
      </c>
      <c r="Y37" s="158"/>
      <c r="Z37" s="146">
        <f>+COUNTIFS('LOI and Commissioning Master Sh'!$P:$P,'Planned in Nov Dec'!$A37,'LOI and Commissioning Master Sh'!$G:$G,'Planned in Nov Dec'!Z$3,'LOI and Commissioning Master Sh'!$X:$X,"Yes",'LOI and Commissioning Master Sh'!$H:$H,"B",'LOI and Commissioning Master Sh'!$BW:$BW,"Commissioned")</f>
        <v>0</v>
      </c>
      <c r="AA37" s="146">
        <f>+COUNTIFS('LOI and Commissioning Master Sh'!$P:$P,'Planned in Nov Dec'!$A37,'LOI and Commissioning Master Sh'!$G:$G,'Planned in Nov Dec'!AA$3,'LOI and Commissioning Master Sh'!$X:$X,"Yes",'LOI and Commissioning Master Sh'!$H:$H,"B",'LOI and Commissioning Master Sh'!$BW:$BW,"Commissioned")</f>
        <v>0</v>
      </c>
      <c r="AB37" s="146">
        <f>+COUNTIFS('LOI and Commissioning Master Sh'!$P:$P,'Planned in Nov Dec'!$A37,'LOI and Commissioning Master Sh'!$G:$G,'Planned in Nov Dec'!AB$3,'LOI and Commissioning Master Sh'!$X:$X,"Yes",'LOI and Commissioning Master Sh'!$H:$H,"B",'LOI and Commissioning Master Sh'!$BW:$BW,"Commissioned")</f>
        <v>0</v>
      </c>
      <c r="AC37" s="146">
        <f>+COUNTIFS('LOI and Commissioning Master Sh'!$P:$P,'Planned in Nov Dec'!$A37,'LOI and Commissioning Master Sh'!$G:$G,'Planned in Nov Dec'!AC$3,'LOI and Commissioning Master Sh'!$X:$X,"Yes",'LOI and Commissioning Master Sh'!$H:$H,"B",'LOI and Commissioning Master Sh'!$BW:$BW,"Commissioned")</f>
        <v>0</v>
      </c>
      <c r="AD37" s="146">
        <f>+COUNTIFS('LOI and Commissioning Master Sh'!$P:$P,'Planned in Nov Dec'!$A37,'LOI and Commissioning Master Sh'!$G:$G,'Planned in Nov Dec'!AD$3,'LOI and Commissioning Master Sh'!$X:$X,"Yes",'LOI and Commissioning Master Sh'!$H:$H,"B",'LOI and Commissioning Master Sh'!$BW:$BW,"Commissioned")</f>
        <v>0</v>
      </c>
      <c r="AE37" s="146">
        <f>+COUNTIFS('LOI and Commissioning Master Sh'!$P:$P,'Planned in Nov Dec'!$A37,'LOI and Commissioning Master Sh'!$G:$G,'Planned in Nov Dec'!AE$3,'LOI and Commissioning Master Sh'!$X:$X,"Yes",'LOI and Commissioning Master Sh'!$H:$H,"B",'LOI and Commissioning Master Sh'!$BW:$BW,"Commissioned")</f>
        <v>0</v>
      </c>
      <c r="AF37" s="149">
        <f t="shared" si="27"/>
        <v>0</v>
      </c>
      <c r="AG37" s="151"/>
      <c r="AH37" s="146">
        <f>+COUNTIFS('LOI and Commissioning Master Sh'!$P:$P,'Planned in Nov Dec'!$A37,'LOI and Commissioning Master Sh'!$G:$G,'Planned in Nov Dec'!AH$3,'LOI and Commissioning Master Sh'!$X:$X,"Yes",'LOI and Commissioning Master Sh'!$BW:$BW,"Commissioned",'LOI and Commissioning Master Sh'!$AS:$AS,'Planned in Nov Dec'!AH$18)</f>
        <v>0</v>
      </c>
      <c r="AI37" s="146">
        <f>+COUNTIFS('LOI and Commissioning Master Sh'!$P:$P,'Planned in Nov Dec'!$A37,'LOI and Commissioning Master Sh'!$G:$G,'Planned in Nov Dec'!AI$3,'LOI and Commissioning Master Sh'!$X:$X,"Yes",'LOI and Commissioning Master Sh'!$BW:$BW,"Commissioned",'LOI and Commissioning Master Sh'!$AS:$AS,'Planned in Nov Dec'!AI$18)</f>
        <v>0</v>
      </c>
      <c r="AJ37" s="146">
        <f>+COUNTIFS('LOI and Commissioning Master Sh'!$P:$P,'Planned in Nov Dec'!$A37,'LOI and Commissioning Master Sh'!$G:$G,'Planned in Nov Dec'!AJ$3,'LOI and Commissioning Master Sh'!$X:$X,"Yes",'LOI and Commissioning Master Sh'!$BW:$BW,"Commissioned",'LOI and Commissioning Master Sh'!$AS:$AS,'Planned in Nov Dec'!AJ$18)</f>
        <v>0</v>
      </c>
      <c r="AK37" s="146">
        <f>+COUNTIFS('LOI and Commissioning Master Sh'!$P:$P,'Planned in Nov Dec'!$A37,'LOI and Commissioning Master Sh'!$G:$G,'Planned in Nov Dec'!AK$3,'LOI and Commissioning Master Sh'!$X:$X,"Yes",'LOI and Commissioning Master Sh'!$BW:$BW,"Commissioned",'LOI and Commissioning Master Sh'!$AS:$AS,'Planned in Nov Dec'!AK$18)</f>
        <v>0</v>
      </c>
      <c r="AL37" s="146">
        <f>+COUNTIFS('LOI and Commissioning Master Sh'!$P:$P,'Planned in Nov Dec'!$A37,'LOI and Commissioning Master Sh'!$G:$G,'Planned in Nov Dec'!AL$3,'LOI and Commissioning Master Sh'!$X:$X,"Yes",'LOI and Commissioning Master Sh'!$BW:$BW,"Commissioned",'LOI and Commissioning Master Sh'!$AS:$AS,'Planned in Nov Dec'!AL$18)</f>
        <v>0</v>
      </c>
      <c r="AM37" s="146">
        <f>+COUNTIFS('LOI and Commissioning Master Sh'!$P:$P,'Planned in Nov Dec'!$A37,'LOI and Commissioning Master Sh'!$G:$G,'Planned in Nov Dec'!AM$3,'LOI and Commissioning Master Sh'!$X:$X,"Yes",'LOI and Commissioning Master Sh'!$BW:$BW,"Commissioned",'LOI and Commissioning Master Sh'!$AS:$AS,'Planned in Nov Dec'!AM$18)</f>
        <v>0</v>
      </c>
      <c r="AN37" s="146">
        <f>+COUNTIFS('LOI and Commissioning Master Sh'!$P:$P,'Planned in Nov Dec'!$A37,'LOI and Commissioning Master Sh'!$G:$G,'Planned in Nov Dec'!AN$3,'LOI and Commissioning Master Sh'!$X:$X,"Yes",'LOI and Commissioning Master Sh'!$BW:$BW,"Commissioned",'LOI and Commissioning Master Sh'!$AS:$AS,'Planned in Nov Dec'!AN$18)</f>
        <v>0</v>
      </c>
      <c r="AO37" s="146">
        <f>+COUNTIFS('LOI and Commissioning Master Sh'!$P:$P,'Planned in Nov Dec'!$A37,'LOI and Commissioning Master Sh'!$G:$G,'Planned in Nov Dec'!AO$3,'LOI and Commissioning Master Sh'!$X:$X,"Yes",'LOI and Commissioning Master Sh'!$BW:$BW,"Commissioned",'LOI and Commissioning Master Sh'!$AS:$AS,'Planned in Nov Dec'!AO$18)</f>
        <v>0</v>
      </c>
      <c r="AP37" s="146">
        <f>+COUNTIFS('LOI and Commissioning Master Sh'!$P:$P,'Planned in Nov Dec'!$A37,'LOI and Commissioning Master Sh'!$G:$G,'Planned in Nov Dec'!AP$3,'LOI and Commissioning Master Sh'!$X:$X,"Yes",'LOI and Commissioning Master Sh'!$BW:$BW,"Commissioned",'LOI and Commissioning Master Sh'!$AS:$AS,'Planned in Nov Dec'!AP$18)</f>
        <v>0</v>
      </c>
      <c r="AQ37" s="146">
        <f>+COUNTIFS('LOI and Commissioning Master Sh'!$P:$P,'Planned in Nov Dec'!$A37,'LOI and Commissioning Master Sh'!$G:$G,'Planned in Nov Dec'!AQ$3,'LOI and Commissioning Master Sh'!$X:$X,"Yes",'LOI and Commissioning Master Sh'!$BW:$BW,"Commissioned",'LOI and Commissioning Master Sh'!$AS:$AS,'Planned in Nov Dec'!AQ$18)</f>
        <v>0</v>
      </c>
      <c r="AR37" s="146">
        <f>+COUNTIFS('LOI and Commissioning Master Sh'!$P:$P,'Planned in Nov Dec'!$A37,'LOI and Commissioning Master Sh'!$G:$G,'Planned in Nov Dec'!AR$3,'LOI and Commissioning Master Sh'!$X:$X,"Yes",'LOI and Commissioning Master Sh'!$BW:$BW,"Commissioned",'LOI and Commissioning Master Sh'!$AS:$AS,'Planned in Nov Dec'!AR$18)</f>
        <v>0</v>
      </c>
      <c r="AS37" s="146">
        <f>+COUNTIFS('LOI and Commissioning Master Sh'!$P:$P,'Planned in Nov Dec'!$A37,'LOI and Commissioning Master Sh'!$G:$G,'Planned in Nov Dec'!AS$3,'LOI and Commissioning Master Sh'!$X:$X,"Yes",'LOI and Commissioning Master Sh'!$BW:$BW,"Commissioned",'LOI and Commissioning Master Sh'!$AS:$AS,'Planned in Nov Dec'!AS$18)</f>
        <v>0</v>
      </c>
      <c r="AT37" s="160">
        <f t="shared" si="28"/>
        <v>0</v>
      </c>
      <c r="AW37" s="146">
        <f>+COUNTIFS('LOI and Commissioning Master Sh'!$P:$P,'Planned in Nov Dec'!$A37,'LOI and Commissioning Master Sh'!$G:$G,'Planned in Nov Dec'!AW$18,'LOI and Commissioning Master Sh'!$X:$X,"Yes",'LOI and Commissioning Master Sh'!$I:$I,'Planned in Nov Dec'!AW$18,'LOI and Commissioning Master Sh'!$BW:$BW,"Commissioned")</f>
        <v>0</v>
      </c>
      <c r="AX37" s="146">
        <f>+COUNTIFS('LOI and Commissioning Master Sh'!$P:$P,'Planned in Nov Dec'!$A37,'LOI and Commissioning Master Sh'!$G:$G,'Planned in Nov Dec'!AX$18,'LOI and Commissioning Master Sh'!$X:$X,"Yes",'LOI and Commissioning Master Sh'!$I:$I,'Planned in Nov Dec'!AX$18,'LOI and Commissioning Master Sh'!$BW:$BW,"Commissioned")</f>
        <v>0</v>
      </c>
      <c r="AY37" s="161">
        <f t="shared" si="24"/>
        <v>0</v>
      </c>
    </row>
    <row r="38" spans="1:55" ht="15.75" thickBot="1" x14ac:dyDescent="0.3">
      <c r="A38" s="152" t="s">
        <v>1355</v>
      </c>
      <c r="B38" s="147">
        <f>SUM(B35:B37)</f>
        <v>6</v>
      </c>
      <c r="C38" s="147">
        <f t="shared" ref="C38:G38" si="29">SUM(C35:C37)</f>
        <v>0</v>
      </c>
      <c r="D38" s="147">
        <f t="shared" si="29"/>
        <v>0</v>
      </c>
      <c r="E38" s="147">
        <f t="shared" si="29"/>
        <v>18</v>
      </c>
      <c r="F38" s="147">
        <f t="shared" si="29"/>
        <v>8</v>
      </c>
      <c r="G38" s="147">
        <f t="shared" si="29"/>
        <v>3</v>
      </c>
      <c r="H38" s="147">
        <f>SUM(H35:H37)</f>
        <v>35</v>
      </c>
      <c r="I38" s="148"/>
      <c r="J38" s="147">
        <f>SUM(J35:J37)</f>
        <v>2</v>
      </c>
      <c r="K38" s="147">
        <f t="shared" ref="K38:P38" si="30">SUM(K35:K37)</f>
        <v>0</v>
      </c>
      <c r="L38" s="147">
        <f t="shared" si="30"/>
        <v>0</v>
      </c>
      <c r="M38" s="147">
        <f t="shared" si="30"/>
        <v>21</v>
      </c>
      <c r="N38" s="147">
        <f t="shared" si="30"/>
        <v>9</v>
      </c>
      <c r="O38" s="147">
        <f t="shared" si="30"/>
        <v>8</v>
      </c>
      <c r="P38" s="147">
        <f t="shared" si="30"/>
        <v>40</v>
      </c>
      <c r="Q38" s="148"/>
      <c r="R38" s="150">
        <f>SUM(R35:R37)</f>
        <v>1</v>
      </c>
      <c r="S38" s="150">
        <f t="shared" ref="S38:W38" si="31">SUM(S35:S37)</f>
        <v>0</v>
      </c>
      <c r="T38" s="150">
        <f t="shared" si="31"/>
        <v>0</v>
      </c>
      <c r="U38" s="150">
        <f t="shared" si="31"/>
        <v>1</v>
      </c>
      <c r="V38" s="150">
        <f t="shared" si="31"/>
        <v>1</v>
      </c>
      <c r="W38" s="150">
        <f t="shared" si="31"/>
        <v>1</v>
      </c>
      <c r="X38" s="150">
        <f>SUM(X35:X37)</f>
        <v>4</v>
      </c>
      <c r="Y38" s="158"/>
      <c r="Z38" s="150">
        <f>SUM(Z35:Z37)</f>
        <v>0</v>
      </c>
      <c r="AA38" s="150">
        <f t="shared" ref="AA38:AE38" si="32">SUM(AA35:AA37)</f>
        <v>0</v>
      </c>
      <c r="AB38" s="150">
        <f t="shared" si="32"/>
        <v>0</v>
      </c>
      <c r="AC38" s="150">
        <f t="shared" si="32"/>
        <v>0</v>
      </c>
      <c r="AD38" s="150">
        <f t="shared" si="32"/>
        <v>0</v>
      </c>
      <c r="AE38" s="150">
        <f t="shared" si="32"/>
        <v>0</v>
      </c>
      <c r="AF38" s="149">
        <f t="shared" si="27"/>
        <v>0</v>
      </c>
      <c r="AG38" s="148"/>
      <c r="AH38" s="160">
        <f t="shared" ref="AH38:AS38" si="33">SUM(AH35:AH37)</f>
        <v>0</v>
      </c>
      <c r="AI38" s="160">
        <f t="shared" si="33"/>
        <v>0</v>
      </c>
      <c r="AJ38" s="160">
        <f t="shared" si="33"/>
        <v>0</v>
      </c>
      <c r="AK38" s="160">
        <f t="shared" si="33"/>
        <v>0</v>
      </c>
      <c r="AL38" s="160">
        <f t="shared" si="33"/>
        <v>0</v>
      </c>
      <c r="AM38" s="160">
        <f t="shared" si="33"/>
        <v>0</v>
      </c>
      <c r="AN38" s="160">
        <f t="shared" si="33"/>
        <v>0</v>
      </c>
      <c r="AO38" s="160">
        <f t="shared" si="33"/>
        <v>0</v>
      </c>
      <c r="AP38" s="160">
        <f t="shared" si="33"/>
        <v>0</v>
      </c>
      <c r="AQ38" s="160">
        <f t="shared" si="33"/>
        <v>0</v>
      </c>
      <c r="AR38" s="160">
        <f t="shared" si="33"/>
        <v>0</v>
      </c>
      <c r="AS38" s="160">
        <f t="shared" si="33"/>
        <v>0</v>
      </c>
      <c r="AT38" s="160">
        <f t="shared" si="28"/>
        <v>0</v>
      </c>
      <c r="AW38" s="162">
        <f>SUM(AW35:AW37)</f>
        <v>0</v>
      </c>
      <c r="AX38" s="162">
        <f>SUM(AX35:AX37)</f>
        <v>0</v>
      </c>
      <c r="AY38" s="162">
        <f>SUM(AY35:AY37)</f>
        <v>0</v>
      </c>
    </row>
    <row r="40" spans="1:55" ht="15.75" thickBot="1" x14ac:dyDescent="0.3"/>
    <row r="41" spans="1:55" ht="46.5" customHeight="1" thickBot="1" x14ac:dyDescent="0.3">
      <c r="A41" s="333" t="s">
        <v>1420</v>
      </c>
      <c r="B41" s="335" t="s">
        <v>1440</v>
      </c>
      <c r="C41" s="335"/>
      <c r="D41" s="336"/>
      <c r="E41" s="336"/>
      <c r="F41" s="336"/>
      <c r="G41" s="163"/>
      <c r="H41" s="163"/>
      <c r="I41" s="163"/>
      <c r="J41" s="337" t="s">
        <v>1441</v>
      </c>
      <c r="K41" s="338"/>
      <c r="L41" s="338"/>
      <c r="M41" s="338"/>
      <c r="N41" s="338"/>
      <c r="O41" s="338"/>
      <c r="P41" s="339"/>
      <c r="Q41" s="163"/>
      <c r="R41" s="368" t="s">
        <v>1442</v>
      </c>
      <c r="S41" s="369"/>
      <c r="T41" s="369"/>
      <c r="U41" s="370"/>
      <c r="V41" s="163"/>
      <c r="W41" s="368" t="s">
        <v>1443</v>
      </c>
      <c r="X41" s="369"/>
      <c r="Y41" s="369"/>
      <c r="Z41" s="370"/>
      <c r="AA41" s="163"/>
      <c r="AB41" s="371" t="s">
        <v>1444</v>
      </c>
      <c r="AC41" s="372"/>
      <c r="AD41" s="372"/>
      <c r="AE41" s="372"/>
      <c r="AF41" s="372"/>
      <c r="AG41" s="373"/>
      <c r="AH41" s="178"/>
      <c r="AI41" s="361" t="s">
        <v>1445</v>
      </c>
      <c r="AJ41" s="362"/>
      <c r="AK41" s="362"/>
      <c r="AL41" s="363"/>
      <c r="AN41" s="361" t="s">
        <v>1445</v>
      </c>
      <c r="AO41" s="362"/>
      <c r="AP41" s="362"/>
      <c r="AQ41" s="362"/>
      <c r="AR41" s="362"/>
      <c r="AS41" s="362"/>
      <c r="AT41" s="362"/>
      <c r="AU41" s="163"/>
      <c r="AW41" s="361" t="s">
        <v>1446</v>
      </c>
      <c r="AX41" s="362"/>
      <c r="AY41" s="362"/>
      <c r="AZ41" s="362"/>
      <c r="BA41" s="362"/>
      <c r="BB41" s="362"/>
      <c r="BC41" s="362"/>
    </row>
    <row r="42" spans="1:55" ht="64.5" thickBot="1" x14ac:dyDescent="0.3">
      <c r="A42" s="334"/>
      <c r="B42" s="164" t="s">
        <v>1447</v>
      </c>
      <c r="C42" s="164"/>
      <c r="D42" s="164" t="s">
        <v>1448</v>
      </c>
      <c r="E42" s="164" t="s">
        <v>1449</v>
      </c>
      <c r="F42" s="164" t="s">
        <v>1450</v>
      </c>
      <c r="J42" s="165" t="s">
        <v>1451</v>
      </c>
      <c r="K42" s="165" t="s">
        <v>1452</v>
      </c>
      <c r="L42" s="165" t="s">
        <v>1453</v>
      </c>
      <c r="M42" s="165" t="s">
        <v>47</v>
      </c>
      <c r="N42" s="165" t="s">
        <v>1454</v>
      </c>
      <c r="O42" s="165" t="s">
        <v>1455</v>
      </c>
      <c r="P42" s="165" t="s">
        <v>1344</v>
      </c>
      <c r="R42" s="166" t="s">
        <v>1451</v>
      </c>
      <c r="S42" s="166" t="s">
        <v>1456</v>
      </c>
      <c r="T42" s="166" t="s">
        <v>1457</v>
      </c>
      <c r="U42" s="166" t="s">
        <v>1458</v>
      </c>
      <c r="W42" s="166" t="s">
        <v>1451</v>
      </c>
      <c r="X42" s="166" t="s">
        <v>1459</v>
      </c>
      <c r="Y42" s="166" t="s">
        <v>1460</v>
      </c>
      <c r="Z42" s="166" t="s">
        <v>1461</v>
      </c>
      <c r="AB42" s="167" t="s">
        <v>1451</v>
      </c>
      <c r="AC42" s="167" t="s">
        <v>1462</v>
      </c>
      <c r="AD42" s="167" t="s">
        <v>1463</v>
      </c>
      <c r="AE42" s="167" t="s">
        <v>1464</v>
      </c>
      <c r="AF42" s="167" t="s">
        <v>1465</v>
      </c>
      <c r="AG42" s="167" t="s">
        <v>1465</v>
      </c>
      <c r="AI42" s="157" t="s">
        <v>1451</v>
      </c>
      <c r="AJ42" s="157" t="s">
        <v>1452</v>
      </c>
      <c r="AK42" s="157" t="s">
        <v>42</v>
      </c>
      <c r="AL42" s="157" t="s">
        <v>1466</v>
      </c>
      <c r="AN42" s="157" t="s">
        <v>1467</v>
      </c>
      <c r="AO42" s="157" t="s">
        <v>1468</v>
      </c>
      <c r="AP42" s="168" t="s">
        <v>1344</v>
      </c>
      <c r="AQ42" s="157" t="s">
        <v>1469</v>
      </c>
      <c r="AR42" s="157" t="s">
        <v>1470</v>
      </c>
      <c r="AS42" s="168" t="s">
        <v>1344</v>
      </c>
      <c r="AT42" s="169" t="s">
        <v>1369</v>
      </c>
      <c r="AW42" s="157" t="s">
        <v>1467</v>
      </c>
      <c r="AX42" s="157" t="s">
        <v>1468</v>
      </c>
      <c r="AY42" s="168" t="s">
        <v>1344</v>
      </c>
      <c r="AZ42" s="157" t="s">
        <v>1469</v>
      </c>
      <c r="BA42" s="157" t="s">
        <v>1470</v>
      </c>
      <c r="BB42" s="168" t="s">
        <v>1344</v>
      </c>
      <c r="BC42" s="169" t="s">
        <v>1369</v>
      </c>
    </row>
    <row r="43" spans="1:55" ht="15.75" thickBot="1" x14ac:dyDescent="0.3">
      <c r="A43" s="145" t="s">
        <v>190</v>
      </c>
      <c r="B43" s="146">
        <f>+COUNTIFS('LOI and Commissioning Master Sh'!$D:$D,'Planned in Nov Dec'!$A43,'LOI and Commissioning Master Sh'!$X:$X,"Yes",'LOI and Commissioning Master Sh'!$H:$H,"A")</f>
        <v>4</v>
      </c>
      <c r="C43" s="170"/>
      <c r="D43" s="146">
        <f>+COUNTIFS('LOI and Commissioning Master Sh'!$D:$D,'Planned in Nov Dec'!$A43,'LOI and Commissioning Master Sh'!$X:$X,"Yes",'LOI and Commissioning Master Sh'!$H:$H,"A",'LOI and Commissioning Master Sh'!$AJ:$AJ,"Yes")</f>
        <v>3</v>
      </c>
      <c r="E43" s="146">
        <f>+COUNTIFS('LOI and Commissioning Master Sh'!$D:$D,'Planned in Nov Dec'!$A43,'LOI and Commissioning Master Sh'!$X:$X,"Yes",'LOI and Commissioning Master Sh'!$H:$H,"A",'LOI and Commissioning Master Sh'!$AI:$AI,"Yes",'LOI and Commissioning Master Sh'!$AJ:$AJ,"Pending")</f>
        <v>1</v>
      </c>
      <c r="F43" s="146">
        <f>+COUNTIFS('LOI and Commissioning Master Sh'!$D:$D,'Planned in Nov Dec'!$A43,'LOI and Commissioning Master Sh'!$X:$X,"Yes",'LOI and Commissioning Master Sh'!$H:$H,"A",'LOI and Commissioning Master Sh'!$AI:$AI,"Pending",'LOI and Commissioning Master Sh'!$AJ:$AJ,"Pending")</f>
        <v>0</v>
      </c>
      <c r="J43" s="146">
        <f>+COUNTIFS('LOI and Commissioning Master Sh'!$D:$D,'Planned in Nov Dec'!$A43,'LOI and Commissioning Master Sh'!$X:$X,"Yes")</f>
        <v>8</v>
      </c>
      <c r="K43" s="146">
        <f>+COUNTIFS('LOI and Commissioning Master Sh'!$D:$D,'Planned in Nov Dec'!$A43,'LOI and Commissioning Master Sh'!$X:$X,"Yes",'LOI and Commissioning Master Sh'!$BW:$BW,"Commissioned")</f>
        <v>0</v>
      </c>
      <c r="L43" s="146">
        <f>+COUNTIFS('LOI and Commissioning Master Sh'!$D:$D,'Planned in Nov Dec'!$A43,'LOI and Commissioning Master Sh'!$X:$X,"Yes",'LOI and Commissioning Master Sh'!$BW:$BW,"Pending")</f>
        <v>8</v>
      </c>
      <c r="M43" s="146">
        <f>+COUNTIFS('LOI and Commissioning Master Sh'!$D:$D,'Planned in Nov Dec'!$A43,'LOI and Commissioning Master Sh'!$X:$X,"Yes",'LOI and Commissioning Master Sh'!$BW:$BW,"Pending",'LOI and Commissioning Master Sh'!$AO:$AO,"Approved")</f>
        <v>2</v>
      </c>
      <c r="N43" s="146">
        <f>+COUNTIFS('LOI and Commissioning Master Sh'!$D:$D,'Planned in Nov Dec'!$A43,'LOI and Commissioning Master Sh'!$X:$X,"Yes",'LOI and Commissioning Master Sh'!$BW:$BW,"Pending",'LOI and Commissioning Master Sh'!$AO:$AO,"Sent")</f>
        <v>2</v>
      </c>
      <c r="O43" s="146">
        <f>+COUNTIFS('LOI and Commissioning Master Sh'!$D:$D,'Planned in Nov Dec'!$A43,'LOI and Commissioning Master Sh'!$X:$X,"Yes",'LOI and Commissioning Master Sh'!$BW:$BW,"Pending",'LOI and Commissioning Master Sh'!$AO:$AO,"To be initiated")</f>
        <v>4</v>
      </c>
      <c r="P43" s="171">
        <f>+SUM(M43:O43)</f>
        <v>8</v>
      </c>
      <c r="R43" s="146">
        <f>+COUNTIFS('LOI and Commissioning Master Sh'!$D:$D,'Planned in Nov Dec'!$A43,'LOI and Commissioning Master Sh'!$X:$X,"Yes",'LOI and Commissioning Master Sh'!$H:$H,"A")</f>
        <v>4</v>
      </c>
      <c r="S43" s="146">
        <f>+COUNTIFS('LOI and Commissioning Master Sh'!$D:$D,'Planned in Nov Dec'!$A43,'LOI and Commissioning Master Sh'!$X:$X,"Yes",'LOI and Commissioning Master Sh'!$H:$H,"A",'LOI and Commissioning Master Sh'!$Z:$Z,"In Process")</f>
        <v>0</v>
      </c>
      <c r="T43" s="146">
        <f>+COUNTIFS('LOI and Commissioning Master Sh'!$D:$D,'Planned in Nov Dec'!$A43,'LOI and Commissioning Master Sh'!$X:$X,"Yes",'LOI and Commissioning Master Sh'!$H:$H,"A",'LOI and Commissioning Master Sh'!$Z:$Z,"Yet to Initiate")</f>
        <v>2</v>
      </c>
      <c r="U43" s="146">
        <f>+COUNTIFS('LOI and Commissioning Master Sh'!$D:$D,'Planned in Nov Dec'!$A43,'LOI and Commissioning Master Sh'!$X:$X,"Yes",'LOI and Commissioning Master Sh'!$H:$H,"A",'LOI and Commissioning Master Sh'!$Z:$Z,"Approved")</f>
        <v>2</v>
      </c>
      <c r="W43" s="146">
        <f>+COUNTIFS('LOI and Commissioning Master Sh'!$D:$D,'Planned in Nov Dec'!$A43,'LOI and Commissioning Master Sh'!$X:$X,"Yes")</f>
        <v>8</v>
      </c>
      <c r="X43" s="146">
        <f>+COUNTIFS('LOI and Commissioning Master Sh'!$D:$D,'Planned in Nov Dec'!$A43,'LOI and Commissioning Master Sh'!$X:$X,"Yes",'LOI and Commissioning Master Sh'!$BL:$BL,"Applied But Not Received")</f>
        <v>0</v>
      </c>
      <c r="Y43" s="146">
        <f>+COUNTIFS('LOI and Commissioning Master Sh'!$D:$D,'Planned in Nov Dec'!$A43,'LOI and Commissioning Master Sh'!$X:$X,"Yes",'LOI and Commissioning Master Sh'!$BL:$BL,"Received")</f>
        <v>3</v>
      </c>
      <c r="Z43" s="146">
        <f>+COUNTIFS('LOI and Commissioning Master Sh'!$D:$D,'Planned in Nov Dec'!$A43,'LOI and Commissioning Master Sh'!$X:$X,"Yes",'LOI and Commissioning Master Sh'!$BL:$BL,"To Be Applied")</f>
        <v>0</v>
      </c>
      <c r="AB43" s="146">
        <f>+COUNTIFS('LOI and Commissioning Master Sh'!$D:$D,'Planned in Nov Dec'!$A43,'LOI and Commissioning Master Sh'!$X:$X,"Yes")</f>
        <v>8</v>
      </c>
      <c r="AC43" s="146">
        <f>+COUNTIFS('LOI and Commissioning Master Sh'!$D:$D,'Planned in Nov Dec'!$A43,'LOI and Commissioning Master Sh'!$X:$X,"Yes",'LOI and Commissioning Master Sh'!$BG:$BG,"Received")</f>
        <v>6</v>
      </c>
      <c r="AD43" s="146">
        <f>+COUNTIFS('LOI and Commissioning Master Sh'!$D:$D,'Planned in Nov Dec'!$A43,'LOI and Commissioning Master Sh'!$X:$X,"Yes",'LOI and Commissioning Master Sh'!$BG:$BG,"In Process")</f>
        <v>1</v>
      </c>
      <c r="AE43" s="146">
        <f>+COUNTIFS('LOI and Commissioning Master Sh'!$D:$D,'Planned in Nov Dec'!$A43,'LOI and Commissioning Master Sh'!$X:$X,"Yes",'LOI and Commissioning Master Sh'!$BG:$BG,"Yet to Assign")</f>
        <v>1</v>
      </c>
      <c r="AF43" s="146">
        <f>+SUM(AC43:AE43)</f>
        <v>8</v>
      </c>
      <c r="AG43" s="146">
        <f>+SUM(AD43:AF43)</f>
        <v>10</v>
      </c>
      <c r="AI43" s="146">
        <f>+COUNTIFS('LOI and Commissioning Master Sh'!$D:$D,'Planned in Nov Dec'!$A43,'LOI and Commissioning Master Sh'!$X:$X,"Yes")</f>
        <v>8</v>
      </c>
      <c r="AJ43" s="146">
        <f>+COUNTIFS('LOI and Commissioning Master Sh'!$D:$D,'Planned in Nov Dec'!$A43,'LOI and Commissioning Master Sh'!$X:$X,"Yes",'LOI and Commissioning Master Sh'!$BW:$BW,"Commissioned")</f>
        <v>0</v>
      </c>
      <c r="AK43" s="146">
        <f>+COUNTIFS('LOI and Commissioning Master Sh'!$D:$D,'Planned in Nov Dec'!$A43,'LOI and Commissioning Master Sh'!$X:$X,"Yes",'LOI and Commissioning Master Sh'!$AC:$AC,"Yes")</f>
        <v>1</v>
      </c>
      <c r="AL43" s="161">
        <f>+AI43-AK43</f>
        <v>7</v>
      </c>
      <c r="AN43" s="146">
        <f>+COUNTIFS('LOI and Commissioning Master Sh'!$D:$D,'Planned in Nov Dec'!$A43,'LOI and Commissioning Master Sh'!$X:$X,"Yes",'LOI and Commissioning Master Sh'!$AC:$AC,"Yes",'LOI and Commissioning Master Sh'!$H:$H,"A",'LOI and Commissioning Master Sh'!$I:$I,"RO")</f>
        <v>1</v>
      </c>
      <c r="AO43" s="146">
        <f>+COUNTIFS('LOI and Commissioning Master Sh'!$D:$D,'Planned in Nov Dec'!$A43,'LOI and Commissioning Master Sh'!$X:$X,"Yes",'LOI and Commissioning Master Sh'!$AC:$AC,"Yes",'LOI and Commissioning Master Sh'!$H:$H,"B",'LOI and Commissioning Master Sh'!$I:$I,"RO")</f>
        <v>0</v>
      </c>
      <c r="AP43" s="172">
        <f>+SUM(AN43:AO43)</f>
        <v>1</v>
      </c>
      <c r="AQ43" s="146">
        <f>+COUNTIFS('LOI and Commissioning Master Sh'!$D:$D,'Planned in Nov Dec'!$A43,'LOI and Commissioning Master Sh'!$X:$X,"Yes",'LOI and Commissioning Master Sh'!$AC:$AC,"Yes",'LOI and Commissioning Master Sh'!$H:$H,"A",'LOI and Commissioning Master Sh'!$I:$I,"KSK")</f>
        <v>0</v>
      </c>
      <c r="AR43" s="146">
        <f>+COUNTIFS('LOI and Commissioning Master Sh'!$D:$D,'Planned in Nov Dec'!$A43,'LOI and Commissioning Master Sh'!$X:$X,"Yes",'LOI and Commissioning Master Sh'!$AC:$AC,"Yes",'LOI and Commissioning Master Sh'!$H:$H,"B",'LOI and Commissioning Master Sh'!$I:$I,"KSK")</f>
        <v>0</v>
      </c>
      <c r="AS43" s="172">
        <f>+SUM(AQ43:AR43)</f>
        <v>0</v>
      </c>
      <c r="AT43" s="173">
        <f t="shared" ref="AT43:AT53" si="34">AP43+AS43</f>
        <v>1</v>
      </c>
      <c r="AW43" s="146">
        <f>+COUNTIFS('LOI and Commissioning Master Sh'!$D:$D,'Planned in Nov Dec'!$A43,'LOI and Commissioning Master Sh'!$X:$X,"Yes",'LOI and Commissioning Master Sh'!$AP:$AP,"No",'LOI and Commissioning Master Sh'!$H:$H,"A",'LOI and Commissioning Master Sh'!$I:$I,"RO")</f>
        <v>2</v>
      </c>
      <c r="AX43" s="146">
        <f>+COUNTIFS('LOI and Commissioning Master Sh'!$D:$D,'Planned in Nov Dec'!$A43,'LOI and Commissioning Master Sh'!$X:$X,"Yes",'LOI and Commissioning Master Sh'!$AP:$AP,"No",'LOI and Commissioning Master Sh'!$H:$H,"B",'LOI and Commissioning Master Sh'!$I:$I,"RO")</f>
        <v>1</v>
      </c>
      <c r="AY43" s="172">
        <f t="shared" ref="AY43:AY53" si="35">SUM(AW43:AX43)</f>
        <v>3</v>
      </c>
      <c r="AZ43" s="146">
        <f>+COUNTIFS('LOI and Commissioning Master Sh'!$D:$D,'Planned in Nov Dec'!$A43,'LOI and Commissioning Master Sh'!$X:$X,"Yes",'LOI and Commissioning Master Sh'!$AP:$AP,"No",'LOI and Commissioning Master Sh'!$H:$H,"A",'LOI and Commissioning Master Sh'!$I:$I,"KSK")</f>
        <v>0</v>
      </c>
      <c r="BA43" s="146">
        <f>+COUNTIFS('LOI and Commissioning Master Sh'!$D:$D,'Planned in Nov Dec'!$A43,'LOI and Commissioning Master Sh'!$X:$X,"Yes",'LOI and Commissioning Master Sh'!$AP:$AP,"No",'LOI and Commissioning Master Sh'!$H:$H,"B",'LOI and Commissioning Master Sh'!$I:$I,"KSK")</f>
        <v>0</v>
      </c>
      <c r="BB43" s="172">
        <f t="shared" ref="BB43:BB53" si="36">SUM(AZ43:BA43)</f>
        <v>0</v>
      </c>
      <c r="BC43" s="173">
        <f t="shared" ref="BC43:BC53" si="37">AY43+BB43</f>
        <v>3</v>
      </c>
    </row>
    <row r="44" spans="1:55" ht="15.75" thickBot="1" x14ac:dyDescent="0.3">
      <c r="A44" s="145" t="s">
        <v>156</v>
      </c>
      <c r="B44" s="146">
        <f>+COUNTIFS('LOI and Commissioning Master Sh'!$D:$D,'Planned in Nov Dec'!$A44,'LOI and Commissioning Master Sh'!$X:$X,"Yes",'LOI and Commissioning Master Sh'!$H:$H,"A")</f>
        <v>1</v>
      </c>
      <c r="C44" s="170"/>
      <c r="D44" s="146">
        <f>+COUNTIFS('LOI and Commissioning Master Sh'!$D:$D,'Planned in Nov Dec'!$A44,'LOI and Commissioning Master Sh'!$X:$X,"Yes",'LOI and Commissioning Master Sh'!$H:$H,"A",'LOI and Commissioning Master Sh'!$AJ:$AJ,"Yes")</f>
        <v>1</v>
      </c>
      <c r="E44" s="146">
        <f>+COUNTIFS('LOI and Commissioning Master Sh'!$D:$D,'Planned in Nov Dec'!$A44,'LOI and Commissioning Master Sh'!$X:$X,"Yes",'LOI and Commissioning Master Sh'!$H:$H,"A",'LOI and Commissioning Master Sh'!$AI:$AI,"Yes",'LOI and Commissioning Master Sh'!$AJ:$AJ,"Pending")</f>
        <v>0</v>
      </c>
      <c r="F44" s="146">
        <f>+COUNTIFS('LOI and Commissioning Master Sh'!$D:$D,'Planned in Nov Dec'!$A44,'LOI and Commissioning Master Sh'!$X:$X,"Yes",'LOI and Commissioning Master Sh'!$H:$H,"A",'LOI and Commissioning Master Sh'!$AI:$AI,"Pending",'LOI and Commissioning Master Sh'!$AJ:$AJ,"Pending")</f>
        <v>0</v>
      </c>
      <c r="J44" s="146">
        <f>+COUNTIFS('LOI and Commissioning Master Sh'!$D:$D,'Planned in Nov Dec'!$A44,'LOI and Commissioning Master Sh'!$X:$X,"Yes")</f>
        <v>11</v>
      </c>
      <c r="K44" s="146">
        <f>+COUNTIFS('LOI and Commissioning Master Sh'!$D:$D,'Planned in Nov Dec'!$A44,'LOI and Commissioning Master Sh'!$X:$X,"Yes",'LOI and Commissioning Master Sh'!$BW:$BW,"Commissioned")</f>
        <v>1</v>
      </c>
      <c r="L44" s="146">
        <f>+COUNTIFS('LOI and Commissioning Master Sh'!$D:$D,'Planned in Nov Dec'!$A44,'LOI and Commissioning Master Sh'!$X:$X,"Yes",'LOI and Commissioning Master Sh'!$BW:$BW,"Pending")</f>
        <v>10</v>
      </c>
      <c r="M44" s="146">
        <f>+COUNTIFS('LOI and Commissioning Master Sh'!$D:$D,'Planned in Nov Dec'!$A44,'LOI and Commissioning Master Sh'!$X:$X,"Yes",'LOI and Commissioning Master Sh'!$BW:$BW,"Pending",'LOI and Commissioning Master Sh'!$AO:$AO,"Approved")</f>
        <v>3</v>
      </c>
      <c r="N44" s="146">
        <f>+COUNTIFS('LOI and Commissioning Master Sh'!$D:$D,'Planned in Nov Dec'!$A44,'LOI and Commissioning Master Sh'!$X:$X,"Yes",'LOI and Commissioning Master Sh'!$BW:$BW,"Pending",'LOI and Commissioning Master Sh'!$AO:$AO,"Sent")</f>
        <v>2</v>
      </c>
      <c r="O44" s="146">
        <f>+COUNTIFS('LOI and Commissioning Master Sh'!$D:$D,'Planned in Nov Dec'!$A44,'LOI and Commissioning Master Sh'!$X:$X,"Yes",'LOI and Commissioning Master Sh'!$BW:$BW,"Pending",'LOI and Commissioning Master Sh'!$AO:$AO,"To be initiated")</f>
        <v>5</v>
      </c>
      <c r="P44" s="171">
        <f t="shared" ref="P44:P53" si="38">+SUM(M44:O44)</f>
        <v>10</v>
      </c>
      <c r="R44" s="146">
        <f>+COUNTIFS('LOI and Commissioning Master Sh'!$D:$D,'Planned in Nov Dec'!$A44,'LOI and Commissioning Master Sh'!$X:$X,"Yes",'LOI and Commissioning Master Sh'!$H:$H,"A")</f>
        <v>1</v>
      </c>
      <c r="S44" s="146">
        <f>+COUNTIFS('LOI and Commissioning Master Sh'!$D:$D,'Planned in Nov Dec'!$A44,'LOI and Commissioning Master Sh'!$X:$X,"Yes",'LOI and Commissioning Master Sh'!$H:$H,"A",'LOI and Commissioning Master Sh'!$Z:$Z,"In Process")</f>
        <v>0</v>
      </c>
      <c r="T44" s="146">
        <f>+COUNTIFS('LOI and Commissioning Master Sh'!$D:$D,'Planned in Nov Dec'!$A44,'LOI and Commissioning Master Sh'!$X:$X,"Yes",'LOI and Commissioning Master Sh'!$H:$H,"A",'LOI and Commissioning Master Sh'!$Z:$Z,"Yet to Initiate")</f>
        <v>0</v>
      </c>
      <c r="U44" s="146">
        <f>+COUNTIFS('LOI and Commissioning Master Sh'!$D:$D,'Planned in Nov Dec'!$A44,'LOI and Commissioning Master Sh'!$X:$X,"Yes",'LOI and Commissioning Master Sh'!$H:$H,"A",'LOI and Commissioning Master Sh'!$Z:$Z,"Approved")</f>
        <v>1</v>
      </c>
      <c r="W44" s="146">
        <f>+COUNTIFS('LOI and Commissioning Master Sh'!$D:$D,'Planned in Nov Dec'!$A44,'LOI and Commissioning Master Sh'!$X:$X,"Yes")</f>
        <v>11</v>
      </c>
      <c r="X44" s="146">
        <f>+COUNTIFS('LOI and Commissioning Master Sh'!$D:$D,'Planned in Nov Dec'!$A44,'LOI and Commissioning Master Sh'!$X:$X,"Yes",'LOI and Commissioning Master Sh'!$BL:$BL,"Applied But Not Received")</f>
        <v>0</v>
      </c>
      <c r="Y44" s="146">
        <f>+COUNTIFS('LOI and Commissioning Master Sh'!$D:$D,'Planned in Nov Dec'!$A44,'LOI and Commissioning Master Sh'!$X:$X,"Yes",'LOI and Commissioning Master Sh'!$BL:$BL,"Received")</f>
        <v>6</v>
      </c>
      <c r="Z44" s="146">
        <f>+COUNTIFS('LOI and Commissioning Master Sh'!$D:$D,'Planned in Nov Dec'!$A44,'LOI and Commissioning Master Sh'!$X:$X,"Yes",'LOI and Commissioning Master Sh'!$BL:$BL,"To Be Applied")</f>
        <v>3</v>
      </c>
      <c r="AB44" s="146">
        <f>+COUNTIFS('LOI and Commissioning Master Sh'!$D:$D,'Planned in Nov Dec'!$A44,'LOI and Commissioning Master Sh'!$X:$X,"Yes")</f>
        <v>11</v>
      </c>
      <c r="AC44" s="146">
        <f>+COUNTIFS('LOI and Commissioning Master Sh'!$D:$D,'Planned in Nov Dec'!$A44,'LOI and Commissioning Master Sh'!$X:$X,"Yes",'LOI and Commissioning Master Sh'!$BG:$BG,"Received")</f>
        <v>5</v>
      </c>
      <c r="AD44" s="146">
        <f>+COUNTIFS('LOI and Commissioning Master Sh'!$D:$D,'Planned in Nov Dec'!$A44,'LOI and Commissioning Master Sh'!$X:$X,"Yes",'LOI and Commissioning Master Sh'!$BG:$BG,"In Process")</f>
        <v>4</v>
      </c>
      <c r="AE44" s="146">
        <f>+COUNTIFS('LOI and Commissioning Master Sh'!$D:$D,'Planned in Nov Dec'!$A44,'LOI and Commissioning Master Sh'!$X:$X,"Yes",'LOI and Commissioning Master Sh'!$BG:$BG,"Yet to Assign")</f>
        <v>2</v>
      </c>
      <c r="AF44" s="146">
        <f t="shared" ref="AF44:AG53" si="39">+SUM(AC44:AE44)</f>
        <v>11</v>
      </c>
      <c r="AG44" s="146">
        <f t="shared" si="39"/>
        <v>17</v>
      </c>
      <c r="AI44" s="146">
        <f>+COUNTIFS('LOI and Commissioning Master Sh'!$D:$D,'Planned in Nov Dec'!$A44,'LOI and Commissioning Master Sh'!$X:$X,"Yes")</f>
        <v>11</v>
      </c>
      <c r="AJ44" s="146">
        <f>+COUNTIFS('LOI and Commissioning Master Sh'!$D:$D,'Planned in Nov Dec'!$A44,'LOI and Commissioning Master Sh'!$X:$X,"Yes",'LOI and Commissioning Master Sh'!$BW:$BW,"Commissioned")</f>
        <v>1</v>
      </c>
      <c r="AK44" s="146">
        <f>+COUNTIFS('LOI and Commissioning Master Sh'!$D:$D,'Planned in Nov Dec'!$A44,'LOI and Commissioning Master Sh'!$X:$X,"Yes",'LOI and Commissioning Master Sh'!$AC:$AC,"Yes")</f>
        <v>1</v>
      </c>
      <c r="AL44" s="161">
        <f t="shared" ref="AL44:AL53" si="40">+AI44-AK44</f>
        <v>10</v>
      </c>
      <c r="AN44" s="146">
        <f>+COUNTIFS('LOI and Commissioning Master Sh'!$D:$D,'Planned in Nov Dec'!$A44,'LOI and Commissioning Master Sh'!$X:$X,"Yes",'LOI and Commissioning Master Sh'!$AC:$AC,"Yes",'LOI and Commissioning Master Sh'!$H:$H,"A",'LOI and Commissioning Master Sh'!$I:$I,"RO")</f>
        <v>1</v>
      </c>
      <c r="AO44" s="146">
        <f>+COUNTIFS('LOI and Commissioning Master Sh'!$D:$D,'Planned in Nov Dec'!$A44,'LOI and Commissioning Master Sh'!$X:$X,"Yes",'LOI and Commissioning Master Sh'!$AC:$AC,"Yes",'LOI and Commissioning Master Sh'!$H:$H,"B",'LOI and Commissioning Master Sh'!$I:$I,"RO")</f>
        <v>0</v>
      </c>
      <c r="AP44" s="172">
        <f t="shared" ref="AP44:AP53" si="41">+SUM(AN44:AO44)</f>
        <v>1</v>
      </c>
      <c r="AQ44" s="146">
        <f>+COUNTIFS('LOI and Commissioning Master Sh'!$D:$D,'Planned in Nov Dec'!$A44,'LOI and Commissioning Master Sh'!$X:$X,"Yes",'LOI and Commissioning Master Sh'!$AC:$AC,"Yes",'LOI and Commissioning Master Sh'!$H:$H,"A",'LOI and Commissioning Master Sh'!$I:$I,"KSK")</f>
        <v>0</v>
      </c>
      <c r="AR44" s="146">
        <f>+COUNTIFS('LOI and Commissioning Master Sh'!$D:$D,'Planned in Nov Dec'!$A44,'LOI and Commissioning Master Sh'!$X:$X,"Yes",'LOI and Commissioning Master Sh'!$AC:$AC,"Yes",'LOI and Commissioning Master Sh'!$H:$H,"B",'LOI and Commissioning Master Sh'!$I:$I,"KSK")</f>
        <v>0</v>
      </c>
      <c r="AS44" s="172">
        <f t="shared" ref="AS44:AS53" si="42">+SUM(AQ44:AR44)</f>
        <v>0</v>
      </c>
      <c r="AT44" s="173">
        <f t="shared" si="34"/>
        <v>1</v>
      </c>
      <c r="AW44" s="146">
        <f>+COUNTIFS('LOI and Commissioning Master Sh'!$D:$D,'Planned in Nov Dec'!$A44,'LOI and Commissioning Master Sh'!$X:$X,"Yes",'LOI and Commissioning Master Sh'!$AP:$AP,"No",'LOI and Commissioning Master Sh'!$H:$H,"A",'LOI and Commissioning Master Sh'!$I:$I,"RO")</f>
        <v>1</v>
      </c>
      <c r="AX44" s="146">
        <f>+COUNTIFS('LOI and Commissioning Master Sh'!$D:$D,'Planned in Nov Dec'!$A44,'LOI and Commissioning Master Sh'!$X:$X,"Yes",'LOI and Commissioning Master Sh'!$AP:$AP,"No",'LOI and Commissioning Master Sh'!$H:$H,"B",'LOI and Commissioning Master Sh'!$I:$I,"RO")</f>
        <v>2</v>
      </c>
      <c r="AY44" s="172">
        <f t="shared" si="35"/>
        <v>3</v>
      </c>
      <c r="AZ44" s="146">
        <f>+COUNTIFS('LOI and Commissioning Master Sh'!$D:$D,'Planned in Nov Dec'!$A44,'LOI and Commissioning Master Sh'!$X:$X,"Yes",'LOI and Commissioning Master Sh'!$AP:$AP,"No",'LOI and Commissioning Master Sh'!$H:$H,"A",'LOI and Commissioning Master Sh'!$I:$I,"KSK")</f>
        <v>0</v>
      </c>
      <c r="BA44" s="146">
        <f>+COUNTIFS('LOI and Commissioning Master Sh'!$D:$D,'Planned in Nov Dec'!$A44,'LOI and Commissioning Master Sh'!$X:$X,"Yes",'LOI and Commissioning Master Sh'!$AP:$AP,"No",'LOI and Commissioning Master Sh'!$H:$H,"B",'LOI and Commissioning Master Sh'!$I:$I,"KSK")</f>
        <v>3</v>
      </c>
      <c r="BB44" s="172">
        <f t="shared" si="36"/>
        <v>3</v>
      </c>
      <c r="BC44" s="173">
        <f t="shared" si="37"/>
        <v>6</v>
      </c>
    </row>
    <row r="45" spans="1:55" ht="15.75" thickBot="1" x14ac:dyDescent="0.3">
      <c r="A45" s="145" t="s">
        <v>383</v>
      </c>
      <c r="B45" s="146">
        <f>+COUNTIFS('LOI and Commissioning Master Sh'!$D:$D,'Planned in Nov Dec'!$A45,'LOI and Commissioning Master Sh'!$X:$X,"Yes",'LOI and Commissioning Master Sh'!$H:$H,"A")</f>
        <v>2</v>
      </c>
      <c r="C45" s="170"/>
      <c r="D45" s="146">
        <f>+COUNTIFS('LOI and Commissioning Master Sh'!$D:$D,'Planned in Nov Dec'!$A45,'LOI and Commissioning Master Sh'!$X:$X,"Yes",'LOI and Commissioning Master Sh'!$H:$H,"A",'LOI and Commissioning Master Sh'!$AJ:$AJ,"Yes")</f>
        <v>1</v>
      </c>
      <c r="E45" s="146">
        <f>+COUNTIFS('LOI and Commissioning Master Sh'!$D:$D,'Planned in Nov Dec'!$A45,'LOI and Commissioning Master Sh'!$X:$X,"Yes",'LOI and Commissioning Master Sh'!$H:$H,"A",'LOI and Commissioning Master Sh'!$AI:$AI,"Yes",'LOI and Commissioning Master Sh'!$AJ:$AJ,"Pending")</f>
        <v>1</v>
      </c>
      <c r="F45" s="146">
        <f>+COUNTIFS('LOI and Commissioning Master Sh'!$D:$D,'Planned in Nov Dec'!$A45,'LOI and Commissioning Master Sh'!$X:$X,"Yes",'LOI and Commissioning Master Sh'!$H:$H,"A",'LOI and Commissioning Master Sh'!$AI:$AI,"Pending",'LOI and Commissioning Master Sh'!$AJ:$AJ,"Pending")</f>
        <v>0</v>
      </c>
      <c r="J45" s="146">
        <f>+COUNTIFS('LOI and Commissioning Master Sh'!$D:$D,'Planned in Nov Dec'!$A45,'LOI and Commissioning Master Sh'!$X:$X,"Yes")</f>
        <v>3</v>
      </c>
      <c r="K45" s="146">
        <f>+COUNTIFS('LOI and Commissioning Master Sh'!$D:$D,'Planned in Nov Dec'!$A45,'LOI and Commissioning Master Sh'!$X:$X,"Yes",'LOI and Commissioning Master Sh'!$BW:$BW,"Commissioned")</f>
        <v>0</v>
      </c>
      <c r="L45" s="146">
        <f>+COUNTIFS('LOI and Commissioning Master Sh'!$D:$D,'Planned in Nov Dec'!$A45,'LOI and Commissioning Master Sh'!$X:$X,"Yes",'LOI and Commissioning Master Sh'!$BW:$BW,"Pending")</f>
        <v>3</v>
      </c>
      <c r="M45" s="146">
        <f>+COUNTIFS('LOI and Commissioning Master Sh'!$D:$D,'Planned in Nov Dec'!$A45,'LOI and Commissioning Master Sh'!$X:$X,"Yes",'LOI and Commissioning Master Sh'!$BW:$BW,"Pending",'LOI and Commissioning Master Sh'!$AO:$AO,"Approved")</f>
        <v>1</v>
      </c>
      <c r="N45" s="146">
        <f>+COUNTIFS('LOI and Commissioning Master Sh'!$D:$D,'Planned in Nov Dec'!$A45,'LOI and Commissioning Master Sh'!$X:$X,"Yes",'LOI and Commissioning Master Sh'!$BW:$BW,"Pending",'LOI and Commissioning Master Sh'!$AO:$AO,"Sent")</f>
        <v>0</v>
      </c>
      <c r="O45" s="146">
        <f>+COUNTIFS('LOI and Commissioning Master Sh'!$D:$D,'Planned in Nov Dec'!$A45,'LOI and Commissioning Master Sh'!$X:$X,"Yes",'LOI and Commissioning Master Sh'!$BW:$BW,"Pending",'LOI and Commissioning Master Sh'!$AO:$AO,"To be initiated")</f>
        <v>2</v>
      </c>
      <c r="P45" s="171">
        <f t="shared" si="38"/>
        <v>3</v>
      </c>
      <c r="R45" s="146">
        <f>+COUNTIFS('LOI and Commissioning Master Sh'!$D:$D,'Planned in Nov Dec'!$A45,'LOI and Commissioning Master Sh'!$X:$X,"Yes",'LOI and Commissioning Master Sh'!$H:$H,"A")</f>
        <v>2</v>
      </c>
      <c r="S45" s="146">
        <f>+COUNTIFS('LOI and Commissioning Master Sh'!$D:$D,'Planned in Nov Dec'!$A45,'LOI and Commissioning Master Sh'!$X:$X,"Yes",'LOI and Commissioning Master Sh'!$H:$H,"A",'LOI and Commissioning Master Sh'!$Z:$Z,"In Process")</f>
        <v>0</v>
      </c>
      <c r="T45" s="146">
        <f>+COUNTIFS('LOI and Commissioning Master Sh'!$D:$D,'Planned in Nov Dec'!$A45,'LOI and Commissioning Master Sh'!$X:$X,"Yes",'LOI and Commissioning Master Sh'!$H:$H,"A",'LOI and Commissioning Master Sh'!$Z:$Z,"Yet to Initiate")</f>
        <v>1</v>
      </c>
      <c r="U45" s="146">
        <f>+COUNTIFS('LOI and Commissioning Master Sh'!$D:$D,'Planned in Nov Dec'!$A45,'LOI and Commissioning Master Sh'!$X:$X,"Yes",'LOI and Commissioning Master Sh'!$H:$H,"A",'LOI and Commissioning Master Sh'!$Z:$Z,"Approved")</f>
        <v>1</v>
      </c>
      <c r="W45" s="146">
        <f>+COUNTIFS('LOI and Commissioning Master Sh'!$D:$D,'Planned in Nov Dec'!$A45,'LOI and Commissioning Master Sh'!$X:$X,"Yes")</f>
        <v>3</v>
      </c>
      <c r="X45" s="146">
        <f>+COUNTIFS('LOI and Commissioning Master Sh'!$D:$D,'Planned in Nov Dec'!$A45,'LOI and Commissioning Master Sh'!$X:$X,"Yes",'LOI and Commissioning Master Sh'!$BL:$BL,"Applied But Not Received")</f>
        <v>0</v>
      </c>
      <c r="Y45" s="146">
        <f>+COUNTIFS('LOI and Commissioning Master Sh'!$D:$D,'Planned in Nov Dec'!$A45,'LOI and Commissioning Master Sh'!$X:$X,"Yes",'LOI and Commissioning Master Sh'!$BL:$BL,"Received")</f>
        <v>2</v>
      </c>
      <c r="Z45" s="146">
        <f>+COUNTIFS('LOI and Commissioning Master Sh'!$D:$D,'Planned in Nov Dec'!$A45,'LOI and Commissioning Master Sh'!$X:$X,"Yes",'LOI and Commissioning Master Sh'!$BL:$BL,"To Be Applied")</f>
        <v>0</v>
      </c>
      <c r="AB45" s="146">
        <f>+COUNTIFS('LOI and Commissioning Master Sh'!$D:$D,'Planned in Nov Dec'!$A45,'LOI and Commissioning Master Sh'!$X:$X,"Yes")</f>
        <v>3</v>
      </c>
      <c r="AC45" s="146">
        <f>+COUNTIFS('LOI and Commissioning Master Sh'!$D:$D,'Planned in Nov Dec'!$A45,'LOI and Commissioning Master Sh'!$X:$X,"Yes",'LOI and Commissioning Master Sh'!$BG:$BG,"Received")</f>
        <v>1</v>
      </c>
      <c r="AD45" s="146">
        <f>+COUNTIFS('LOI and Commissioning Master Sh'!$D:$D,'Planned in Nov Dec'!$A45,'LOI and Commissioning Master Sh'!$X:$X,"Yes",'LOI and Commissioning Master Sh'!$BG:$BG,"In Process")</f>
        <v>2</v>
      </c>
      <c r="AE45" s="146">
        <f>+COUNTIFS('LOI and Commissioning Master Sh'!$D:$D,'Planned in Nov Dec'!$A45,'LOI and Commissioning Master Sh'!$X:$X,"Yes",'LOI and Commissioning Master Sh'!$BG:$BG,"Yet to Assign")</f>
        <v>0</v>
      </c>
      <c r="AF45" s="146">
        <f t="shared" si="39"/>
        <v>3</v>
      </c>
      <c r="AG45" s="146">
        <f t="shared" si="39"/>
        <v>5</v>
      </c>
      <c r="AI45" s="146">
        <f>+COUNTIFS('LOI and Commissioning Master Sh'!$D:$D,'Planned in Nov Dec'!$A45,'LOI and Commissioning Master Sh'!$X:$X,"Yes")</f>
        <v>3</v>
      </c>
      <c r="AJ45" s="146">
        <f>+COUNTIFS('LOI and Commissioning Master Sh'!$D:$D,'Planned in Nov Dec'!$A45,'LOI and Commissioning Master Sh'!$X:$X,"Yes",'LOI and Commissioning Master Sh'!$BW:$BW,"Commissioned")</f>
        <v>0</v>
      </c>
      <c r="AK45" s="146">
        <f>+COUNTIFS('LOI and Commissioning Master Sh'!$D:$D,'Planned in Nov Dec'!$A45,'LOI and Commissioning Master Sh'!$X:$X,"Yes",'LOI and Commissioning Master Sh'!$AC:$AC,"Yes")</f>
        <v>0</v>
      </c>
      <c r="AL45" s="161">
        <f t="shared" si="40"/>
        <v>3</v>
      </c>
      <c r="AN45" s="146">
        <f>+COUNTIFS('LOI and Commissioning Master Sh'!$D:$D,'Planned in Nov Dec'!$A45,'LOI and Commissioning Master Sh'!$X:$X,"Yes",'LOI and Commissioning Master Sh'!$AC:$AC,"Yes",'LOI and Commissioning Master Sh'!$H:$H,"A",'LOI and Commissioning Master Sh'!$I:$I,"RO")</f>
        <v>0</v>
      </c>
      <c r="AO45" s="146">
        <f>+COUNTIFS('LOI and Commissioning Master Sh'!$D:$D,'Planned in Nov Dec'!$A45,'LOI and Commissioning Master Sh'!$X:$X,"Yes",'LOI and Commissioning Master Sh'!$AC:$AC,"Yes",'LOI and Commissioning Master Sh'!$H:$H,"B",'LOI and Commissioning Master Sh'!$I:$I,"RO")</f>
        <v>0</v>
      </c>
      <c r="AP45" s="172">
        <f t="shared" si="41"/>
        <v>0</v>
      </c>
      <c r="AQ45" s="146">
        <f>+COUNTIFS('LOI and Commissioning Master Sh'!$D:$D,'Planned in Nov Dec'!$A45,'LOI and Commissioning Master Sh'!$X:$X,"Yes",'LOI and Commissioning Master Sh'!$AC:$AC,"Yes",'LOI and Commissioning Master Sh'!$H:$H,"A",'LOI and Commissioning Master Sh'!$I:$I,"KSK")</f>
        <v>0</v>
      </c>
      <c r="AR45" s="146">
        <f>+COUNTIFS('LOI and Commissioning Master Sh'!$D:$D,'Planned in Nov Dec'!$A45,'LOI and Commissioning Master Sh'!$X:$X,"Yes",'LOI and Commissioning Master Sh'!$AC:$AC,"Yes",'LOI and Commissioning Master Sh'!$H:$H,"B",'LOI and Commissioning Master Sh'!$I:$I,"KSK")</f>
        <v>0</v>
      </c>
      <c r="AS45" s="172">
        <f t="shared" si="42"/>
        <v>0</v>
      </c>
      <c r="AT45" s="173">
        <f t="shared" si="34"/>
        <v>0</v>
      </c>
      <c r="AW45" s="146">
        <f>+COUNTIFS('LOI and Commissioning Master Sh'!$D:$D,'Planned in Nov Dec'!$A45,'LOI and Commissioning Master Sh'!$X:$X,"Yes",'LOI and Commissioning Master Sh'!$AP:$AP,"No",'LOI and Commissioning Master Sh'!$H:$H,"A",'LOI and Commissioning Master Sh'!$I:$I,"RO")</f>
        <v>1</v>
      </c>
      <c r="AX45" s="146">
        <f>+COUNTIFS('LOI and Commissioning Master Sh'!$D:$D,'Planned in Nov Dec'!$A45,'LOI and Commissioning Master Sh'!$X:$X,"Yes",'LOI and Commissioning Master Sh'!$AP:$AP,"No",'LOI and Commissioning Master Sh'!$H:$H,"B",'LOI and Commissioning Master Sh'!$I:$I,"RO")</f>
        <v>1</v>
      </c>
      <c r="AY45" s="172">
        <f t="shared" si="35"/>
        <v>2</v>
      </c>
      <c r="AZ45" s="146">
        <f>+COUNTIFS('LOI and Commissioning Master Sh'!$D:$D,'Planned in Nov Dec'!$A45,'LOI and Commissioning Master Sh'!$X:$X,"Yes",'LOI and Commissioning Master Sh'!$AP:$AP,"No",'LOI and Commissioning Master Sh'!$H:$H,"A",'LOI and Commissioning Master Sh'!$I:$I,"KSK")</f>
        <v>0</v>
      </c>
      <c r="BA45" s="146">
        <f>+COUNTIFS('LOI and Commissioning Master Sh'!$D:$D,'Planned in Nov Dec'!$A45,'LOI and Commissioning Master Sh'!$X:$X,"Yes",'LOI and Commissioning Master Sh'!$AP:$AP,"No",'LOI and Commissioning Master Sh'!$H:$H,"B",'LOI and Commissioning Master Sh'!$I:$I,"KSK")</f>
        <v>0</v>
      </c>
      <c r="BB45" s="172">
        <f t="shared" si="36"/>
        <v>0</v>
      </c>
      <c r="BC45" s="173">
        <f t="shared" si="37"/>
        <v>2</v>
      </c>
    </row>
    <row r="46" spans="1:55" ht="15.75" thickBot="1" x14ac:dyDescent="0.3">
      <c r="A46" s="145" t="s">
        <v>150</v>
      </c>
      <c r="B46" s="146">
        <f>+COUNTIFS('LOI and Commissioning Master Sh'!$D:$D,'Planned in Nov Dec'!$A46,'LOI and Commissioning Master Sh'!$X:$X,"Yes",'LOI and Commissioning Master Sh'!$H:$H,"A")</f>
        <v>5</v>
      </c>
      <c r="C46" s="170"/>
      <c r="D46" s="146">
        <f>+COUNTIFS('LOI and Commissioning Master Sh'!$D:$D,'Planned in Nov Dec'!$A46,'LOI and Commissioning Master Sh'!$X:$X,"Yes",'LOI and Commissioning Master Sh'!$H:$H,"A",'LOI and Commissioning Master Sh'!$AJ:$AJ,"Yes")</f>
        <v>3</v>
      </c>
      <c r="E46" s="146">
        <f>+COUNTIFS('LOI and Commissioning Master Sh'!$D:$D,'Planned in Nov Dec'!$A46,'LOI and Commissioning Master Sh'!$X:$X,"Yes",'LOI and Commissioning Master Sh'!$H:$H,"A",'LOI and Commissioning Master Sh'!$AI:$AI,"Yes",'LOI and Commissioning Master Sh'!$AJ:$AJ,"Pending")</f>
        <v>1</v>
      </c>
      <c r="F46" s="146">
        <f>+COUNTIFS('LOI and Commissioning Master Sh'!$D:$D,'Planned in Nov Dec'!$A46,'LOI and Commissioning Master Sh'!$X:$X,"Yes",'LOI and Commissioning Master Sh'!$H:$H,"A",'LOI and Commissioning Master Sh'!$AI:$AI,"Pending",'LOI and Commissioning Master Sh'!$AJ:$AJ,"Pending")</f>
        <v>0</v>
      </c>
      <c r="J46" s="146">
        <f>+COUNTIFS('LOI and Commissioning Master Sh'!$D:$D,'Planned in Nov Dec'!$A46,'LOI and Commissioning Master Sh'!$X:$X,"Yes")</f>
        <v>6</v>
      </c>
      <c r="K46" s="146">
        <f>+COUNTIFS('LOI and Commissioning Master Sh'!$D:$D,'Planned in Nov Dec'!$A46,'LOI and Commissioning Master Sh'!$X:$X,"Yes",'LOI and Commissioning Master Sh'!$BW:$BW,"Commissioned")</f>
        <v>1</v>
      </c>
      <c r="L46" s="146">
        <f>+COUNTIFS('LOI and Commissioning Master Sh'!$D:$D,'Planned in Nov Dec'!$A46,'LOI and Commissioning Master Sh'!$X:$X,"Yes",'LOI and Commissioning Master Sh'!$BW:$BW,"Pending")</f>
        <v>5</v>
      </c>
      <c r="M46" s="146">
        <f>+COUNTIFS('LOI and Commissioning Master Sh'!$D:$D,'Planned in Nov Dec'!$A46,'LOI and Commissioning Master Sh'!$X:$X,"Yes",'LOI and Commissioning Master Sh'!$BW:$BW,"Pending",'LOI and Commissioning Master Sh'!$AO:$AO,"Approved")</f>
        <v>2</v>
      </c>
      <c r="N46" s="146">
        <f>+COUNTIFS('LOI and Commissioning Master Sh'!$D:$D,'Planned in Nov Dec'!$A46,'LOI and Commissioning Master Sh'!$X:$X,"Yes",'LOI and Commissioning Master Sh'!$BW:$BW,"Pending",'LOI and Commissioning Master Sh'!$AO:$AO,"Sent")</f>
        <v>1</v>
      </c>
      <c r="O46" s="146">
        <f>+COUNTIFS('LOI and Commissioning Master Sh'!$D:$D,'Planned in Nov Dec'!$A46,'LOI and Commissioning Master Sh'!$X:$X,"Yes",'LOI and Commissioning Master Sh'!$BW:$BW,"Pending",'LOI and Commissioning Master Sh'!$AO:$AO,"To be initiated")</f>
        <v>2</v>
      </c>
      <c r="P46" s="171">
        <f t="shared" si="38"/>
        <v>5</v>
      </c>
      <c r="R46" s="146">
        <f>+COUNTIFS('LOI and Commissioning Master Sh'!$D:$D,'Planned in Nov Dec'!$A46,'LOI and Commissioning Master Sh'!$X:$X,"Yes",'LOI and Commissioning Master Sh'!$H:$H,"A")</f>
        <v>5</v>
      </c>
      <c r="S46" s="146">
        <f>+COUNTIFS('LOI and Commissioning Master Sh'!$D:$D,'Planned in Nov Dec'!$A46,'LOI and Commissioning Master Sh'!$X:$X,"Yes",'LOI and Commissioning Master Sh'!$H:$H,"A",'LOI and Commissioning Master Sh'!$Z:$Z,"In Process")</f>
        <v>0</v>
      </c>
      <c r="T46" s="146">
        <f>+COUNTIFS('LOI and Commissioning Master Sh'!$D:$D,'Planned in Nov Dec'!$A46,'LOI and Commissioning Master Sh'!$X:$X,"Yes",'LOI and Commissioning Master Sh'!$H:$H,"A",'LOI and Commissioning Master Sh'!$Z:$Z,"Yet to Initiate")</f>
        <v>2</v>
      </c>
      <c r="U46" s="146">
        <f>+COUNTIFS('LOI and Commissioning Master Sh'!$D:$D,'Planned in Nov Dec'!$A46,'LOI and Commissioning Master Sh'!$X:$X,"Yes",'LOI and Commissioning Master Sh'!$H:$H,"A",'LOI and Commissioning Master Sh'!$Z:$Z,"Approved")</f>
        <v>3</v>
      </c>
      <c r="W46" s="146">
        <f>+COUNTIFS('LOI and Commissioning Master Sh'!$D:$D,'Planned in Nov Dec'!$A46,'LOI and Commissioning Master Sh'!$X:$X,"Yes")</f>
        <v>6</v>
      </c>
      <c r="X46" s="146">
        <f>+COUNTIFS('LOI and Commissioning Master Sh'!$D:$D,'Planned in Nov Dec'!$A46,'LOI and Commissioning Master Sh'!$X:$X,"Yes",'LOI and Commissioning Master Sh'!$BL:$BL,"Applied But Not Received")</f>
        <v>0</v>
      </c>
      <c r="Y46" s="146">
        <f>+COUNTIFS('LOI and Commissioning Master Sh'!$D:$D,'Planned in Nov Dec'!$A46,'LOI and Commissioning Master Sh'!$X:$X,"Yes",'LOI and Commissioning Master Sh'!$BL:$BL,"Received")</f>
        <v>5</v>
      </c>
      <c r="Z46" s="146">
        <f>+COUNTIFS('LOI and Commissioning Master Sh'!$D:$D,'Planned in Nov Dec'!$A46,'LOI and Commissioning Master Sh'!$X:$X,"Yes",'LOI and Commissioning Master Sh'!$BL:$BL,"To Be Applied")</f>
        <v>1</v>
      </c>
      <c r="AB46" s="146">
        <f>+COUNTIFS('LOI and Commissioning Master Sh'!$D:$D,'Planned in Nov Dec'!$A46,'LOI and Commissioning Master Sh'!$X:$X,"Yes")</f>
        <v>6</v>
      </c>
      <c r="AC46" s="146">
        <f>+COUNTIFS('LOI and Commissioning Master Sh'!$D:$D,'Planned in Nov Dec'!$A46,'LOI and Commissioning Master Sh'!$X:$X,"Yes",'LOI and Commissioning Master Sh'!$BG:$BG,"Received")</f>
        <v>5</v>
      </c>
      <c r="AD46" s="146">
        <f>+COUNTIFS('LOI and Commissioning Master Sh'!$D:$D,'Planned in Nov Dec'!$A46,'LOI and Commissioning Master Sh'!$X:$X,"Yes",'LOI and Commissioning Master Sh'!$BG:$BG,"In Process")</f>
        <v>1</v>
      </c>
      <c r="AE46" s="146">
        <f>+COUNTIFS('LOI and Commissioning Master Sh'!$D:$D,'Planned in Nov Dec'!$A46,'LOI and Commissioning Master Sh'!$X:$X,"Yes",'LOI and Commissioning Master Sh'!$BG:$BG,"Yet to Assign")</f>
        <v>0</v>
      </c>
      <c r="AF46" s="146">
        <f t="shared" si="39"/>
        <v>6</v>
      </c>
      <c r="AG46" s="146">
        <f t="shared" si="39"/>
        <v>7</v>
      </c>
      <c r="AI46" s="146">
        <f>+COUNTIFS('LOI and Commissioning Master Sh'!$D:$D,'Planned in Nov Dec'!$A46,'LOI and Commissioning Master Sh'!$X:$X,"Yes")</f>
        <v>6</v>
      </c>
      <c r="AJ46" s="146">
        <f>+COUNTIFS('LOI and Commissioning Master Sh'!$D:$D,'Planned in Nov Dec'!$A46,'LOI and Commissioning Master Sh'!$X:$X,"Yes",'LOI and Commissioning Master Sh'!$BW:$BW,"Commissioned")</f>
        <v>1</v>
      </c>
      <c r="AK46" s="146">
        <f>+COUNTIFS('LOI and Commissioning Master Sh'!$D:$D,'Planned in Nov Dec'!$A46,'LOI and Commissioning Master Sh'!$X:$X,"Yes",'LOI and Commissioning Master Sh'!$AC:$AC,"Yes")</f>
        <v>1</v>
      </c>
      <c r="AL46" s="161">
        <f t="shared" si="40"/>
        <v>5</v>
      </c>
      <c r="AN46" s="146">
        <f>+COUNTIFS('LOI and Commissioning Master Sh'!$D:$D,'Planned in Nov Dec'!$A46,'LOI and Commissioning Master Sh'!$X:$X,"Yes",'LOI and Commissioning Master Sh'!$AC:$AC,"Yes",'LOI and Commissioning Master Sh'!$H:$H,"A",'LOI and Commissioning Master Sh'!$I:$I,"RO")</f>
        <v>1</v>
      </c>
      <c r="AO46" s="146">
        <f>+COUNTIFS('LOI and Commissioning Master Sh'!$D:$D,'Planned in Nov Dec'!$A46,'LOI and Commissioning Master Sh'!$X:$X,"Yes",'LOI and Commissioning Master Sh'!$AC:$AC,"Yes",'LOI and Commissioning Master Sh'!$H:$H,"B",'LOI and Commissioning Master Sh'!$I:$I,"RO")</f>
        <v>0</v>
      </c>
      <c r="AP46" s="172">
        <f t="shared" si="41"/>
        <v>1</v>
      </c>
      <c r="AQ46" s="146">
        <f>+COUNTIFS('LOI and Commissioning Master Sh'!$D:$D,'Planned in Nov Dec'!$A46,'LOI and Commissioning Master Sh'!$X:$X,"Yes",'LOI and Commissioning Master Sh'!$AC:$AC,"Yes",'LOI and Commissioning Master Sh'!$H:$H,"A",'LOI and Commissioning Master Sh'!$I:$I,"KSK")</f>
        <v>0</v>
      </c>
      <c r="AR46" s="146">
        <f>+COUNTIFS('LOI and Commissioning Master Sh'!$D:$D,'Planned in Nov Dec'!$A46,'LOI and Commissioning Master Sh'!$X:$X,"Yes",'LOI and Commissioning Master Sh'!$AC:$AC,"Yes",'LOI and Commissioning Master Sh'!$H:$H,"B",'LOI and Commissioning Master Sh'!$I:$I,"KSK")</f>
        <v>0</v>
      </c>
      <c r="AS46" s="172">
        <f t="shared" si="42"/>
        <v>0</v>
      </c>
      <c r="AT46" s="173">
        <f t="shared" si="34"/>
        <v>1</v>
      </c>
      <c r="AW46" s="146">
        <f>+COUNTIFS('LOI and Commissioning Master Sh'!$D:$D,'Planned in Nov Dec'!$A46,'LOI and Commissioning Master Sh'!$X:$X,"Yes",'LOI and Commissioning Master Sh'!$AP:$AP,"No",'LOI and Commissioning Master Sh'!$H:$H,"A",'LOI and Commissioning Master Sh'!$I:$I,"RO")</f>
        <v>3</v>
      </c>
      <c r="AX46" s="146">
        <f>+COUNTIFS('LOI and Commissioning Master Sh'!$D:$D,'Planned in Nov Dec'!$A46,'LOI and Commissioning Master Sh'!$X:$X,"Yes",'LOI and Commissioning Master Sh'!$AP:$AP,"No",'LOI and Commissioning Master Sh'!$H:$H,"B",'LOI and Commissioning Master Sh'!$I:$I,"RO")</f>
        <v>0</v>
      </c>
      <c r="AY46" s="172">
        <f t="shared" si="35"/>
        <v>3</v>
      </c>
      <c r="AZ46" s="146">
        <f>+COUNTIFS('LOI and Commissioning Master Sh'!$D:$D,'Planned in Nov Dec'!$A46,'LOI and Commissioning Master Sh'!$X:$X,"Yes",'LOI and Commissioning Master Sh'!$AP:$AP,"No",'LOI and Commissioning Master Sh'!$H:$H,"A",'LOI and Commissioning Master Sh'!$I:$I,"KSK")</f>
        <v>0</v>
      </c>
      <c r="BA46" s="146">
        <f>+COUNTIFS('LOI and Commissioning Master Sh'!$D:$D,'Planned in Nov Dec'!$A46,'LOI and Commissioning Master Sh'!$X:$X,"Yes",'LOI and Commissioning Master Sh'!$AP:$AP,"No",'LOI and Commissioning Master Sh'!$H:$H,"B",'LOI and Commissioning Master Sh'!$I:$I,"KSK")</f>
        <v>0</v>
      </c>
      <c r="BB46" s="172">
        <f t="shared" si="36"/>
        <v>0</v>
      </c>
      <c r="BC46" s="173">
        <f t="shared" si="37"/>
        <v>3</v>
      </c>
    </row>
    <row r="47" spans="1:55" ht="15.75" thickBot="1" x14ac:dyDescent="0.3">
      <c r="A47" s="145" t="s">
        <v>121</v>
      </c>
      <c r="B47" s="146">
        <f>+COUNTIFS('LOI and Commissioning Master Sh'!$D:$D,'Planned in Nov Dec'!$A47,'LOI and Commissioning Master Sh'!$X:$X,"Yes",'LOI and Commissioning Master Sh'!$H:$H,"A")</f>
        <v>4</v>
      </c>
      <c r="C47" s="170"/>
      <c r="D47" s="146">
        <f>+COUNTIFS('LOI and Commissioning Master Sh'!$D:$D,'Planned in Nov Dec'!$A47,'LOI and Commissioning Master Sh'!$X:$X,"Yes",'LOI and Commissioning Master Sh'!$H:$H,"A",'LOI and Commissioning Master Sh'!$AJ:$AJ,"Yes")</f>
        <v>3</v>
      </c>
      <c r="E47" s="146">
        <f>+COUNTIFS('LOI and Commissioning Master Sh'!$D:$D,'Planned in Nov Dec'!$A47,'LOI and Commissioning Master Sh'!$X:$X,"Yes",'LOI and Commissioning Master Sh'!$H:$H,"A",'LOI and Commissioning Master Sh'!$AI:$AI,"Yes",'LOI and Commissioning Master Sh'!$AJ:$AJ,"Pending")</f>
        <v>1</v>
      </c>
      <c r="F47" s="146">
        <f>+COUNTIFS('LOI and Commissioning Master Sh'!$D:$D,'Planned in Nov Dec'!$A47,'LOI and Commissioning Master Sh'!$X:$X,"Yes",'LOI and Commissioning Master Sh'!$H:$H,"A",'LOI and Commissioning Master Sh'!$AI:$AI,"Pending",'LOI and Commissioning Master Sh'!$AJ:$AJ,"Pending")</f>
        <v>0</v>
      </c>
      <c r="J47" s="146">
        <f>+COUNTIFS('LOI and Commissioning Master Sh'!$D:$D,'Planned in Nov Dec'!$A47,'LOI and Commissioning Master Sh'!$X:$X,"Yes")</f>
        <v>9</v>
      </c>
      <c r="K47" s="146">
        <f>+COUNTIFS('LOI and Commissioning Master Sh'!$D:$D,'Planned in Nov Dec'!$A47,'LOI and Commissioning Master Sh'!$X:$X,"Yes",'LOI and Commissioning Master Sh'!$BW:$BW,"Commissioned")</f>
        <v>2</v>
      </c>
      <c r="L47" s="146">
        <f>+COUNTIFS('LOI and Commissioning Master Sh'!$D:$D,'Planned in Nov Dec'!$A47,'LOI and Commissioning Master Sh'!$X:$X,"Yes",'LOI and Commissioning Master Sh'!$BW:$BW,"Pending")</f>
        <v>7</v>
      </c>
      <c r="M47" s="146">
        <f>+COUNTIFS('LOI and Commissioning Master Sh'!$D:$D,'Planned in Nov Dec'!$A47,'LOI and Commissioning Master Sh'!$X:$X,"Yes",'LOI and Commissioning Master Sh'!$BW:$BW,"Pending",'LOI and Commissioning Master Sh'!$AO:$AO,"Approved")</f>
        <v>1</v>
      </c>
      <c r="N47" s="146">
        <f>+COUNTIFS('LOI and Commissioning Master Sh'!$D:$D,'Planned in Nov Dec'!$A47,'LOI and Commissioning Master Sh'!$X:$X,"Yes",'LOI and Commissioning Master Sh'!$BW:$BW,"Pending",'LOI and Commissioning Master Sh'!$AO:$AO,"Sent")</f>
        <v>1</v>
      </c>
      <c r="O47" s="146">
        <f>+COUNTIFS('LOI and Commissioning Master Sh'!$D:$D,'Planned in Nov Dec'!$A47,'LOI and Commissioning Master Sh'!$X:$X,"Yes",'LOI and Commissioning Master Sh'!$BW:$BW,"Pending",'LOI and Commissioning Master Sh'!$AO:$AO,"To be initiated")</f>
        <v>5</v>
      </c>
      <c r="P47" s="171">
        <f t="shared" si="38"/>
        <v>7</v>
      </c>
      <c r="R47" s="146">
        <f>+COUNTIFS('LOI and Commissioning Master Sh'!$D:$D,'Planned in Nov Dec'!$A47,'LOI and Commissioning Master Sh'!$X:$X,"Yes",'LOI and Commissioning Master Sh'!$H:$H,"A")</f>
        <v>4</v>
      </c>
      <c r="S47" s="146">
        <f>+COUNTIFS('LOI and Commissioning Master Sh'!$D:$D,'Planned in Nov Dec'!$A47,'LOI and Commissioning Master Sh'!$X:$X,"Yes",'LOI and Commissioning Master Sh'!$H:$H,"A",'LOI and Commissioning Master Sh'!$Z:$Z,"In Process")</f>
        <v>0</v>
      </c>
      <c r="T47" s="146">
        <f>+COUNTIFS('LOI and Commissioning Master Sh'!$D:$D,'Planned in Nov Dec'!$A47,'LOI and Commissioning Master Sh'!$X:$X,"Yes",'LOI and Commissioning Master Sh'!$H:$H,"A",'LOI and Commissioning Master Sh'!$Z:$Z,"Yet to Initiate")</f>
        <v>1</v>
      </c>
      <c r="U47" s="146">
        <f>+COUNTIFS('LOI and Commissioning Master Sh'!$D:$D,'Planned in Nov Dec'!$A47,'LOI and Commissioning Master Sh'!$X:$X,"Yes",'LOI and Commissioning Master Sh'!$H:$H,"A",'LOI and Commissioning Master Sh'!$Z:$Z,"Approved")</f>
        <v>3</v>
      </c>
      <c r="W47" s="146">
        <f>+COUNTIFS('LOI and Commissioning Master Sh'!$D:$D,'Planned in Nov Dec'!$A47,'LOI and Commissioning Master Sh'!$X:$X,"Yes")</f>
        <v>9</v>
      </c>
      <c r="X47" s="146">
        <f>+COUNTIFS('LOI and Commissioning Master Sh'!$D:$D,'Planned in Nov Dec'!$A47,'LOI and Commissioning Master Sh'!$X:$X,"Yes",'LOI and Commissioning Master Sh'!$BL:$BL,"Applied But Not Received")</f>
        <v>0</v>
      </c>
      <c r="Y47" s="146">
        <f>+COUNTIFS('LOI and Commissioning Master Sh'!$D:$D,'Planned in Nov Dec'!$A47,'LOI and Commissioning Master Sh'!$X:$X,"Yes",'LOI and Commissioning Master Sh'!$BL:$BL,"Received")</f>
        <v>9</v>
      </c>
      <c r="Z47" s="146">
        <f>+COUNTIFS('LOI and Commissioning Master Sh'!$D:$D,'Planned in Nov Dec'!$A47,'LOI and Commissioning Master Sh'!$X:$X,"Yes",'LOI and Commissioning Master Sh'!$BL:$BL,"To Be Applied")</f>
        <v>0</v>
      </c>
      <c r="AB47" s="146">
        <f>+COUNTIFS('LOI and Commissioning Master Sh'!$D:$D,'Planned in Nov Dec'!$A47,'LOI and Commissioning Master Sh'!$X:$X,"Yes")</f>
        <v>9</v>
      </c>
      <c r="AC47" s="146">
        <f>+COUNTIFS('LOI and Commissioning Master Sh'!$D:$D,'Planned in Nov Dec'!$A47,'LOI and Commissioning Master Sh'!$X:$X,"Yes",'LOI and Commissioning Master Sh'!$BG:$BG,"Received")</f>
        <v>4</v>
      </c>
      <c r="AD47" s="146">
        <f>+COUNTIFS('LOI and Commissioning Master Sh'!$D:$D,'Planned in Nov Dec'!$A47,'LOI and Commissioning Master Sh'!$X:$X,"Yes",'LOI and Commissioning Master Sh'!$BG:$BG,"In Process")</f>
        <v>5</v>
      </c>
      <c r="AE47" s="146">
        <f>+COUNTIFS('LOI and Commissioning Master Sh'!$D:$D,'Planned in Nov Dec'!$A47,'LOI and Commissioning Master Sh'!$X:$X,"Yes",'LOI and Commissioning Master Sh'!$BG:$BG,"Yet to Assign")</f>
        <v>0</v>
      </c>
      <c r="AF47" s="146">
        <f t="shared" si="39"/>
        <v>9</v>
      </c>
      <c r="AG47" s="146">
        <f t="shared" si="39"/>
        <v>14</v>
      </c>
      <c r="AI47" s="146">
        <f>+COUNTIFS('LOI and Commissioning Master Sh'!$D:$D,'Planned in Nov Dec'!$A47,'LOI and Commissioning Master Sh'!$X:$X,"Yes")</f>
        <v>9</v>
      </c>
      <c r="AJ47" s="146">
        <f>+COUNTIFS('LOI and Commissioning Master Sh'!$D:$D,'Planned in Nov Dec'!$A47,'LOI and Commissioning Master Sh'!$X:$X,"Yes",'LOI and Commissioning Master Sh'!$BW:$BW,"Commissioned")</f>
        <v>2</v>
      </c>
      <c r="AK47" s="146">
        <f>+COUNTIFS('LOI and Commissioning Master Sh'!$D:$D,'Planned in Nov Dec'!$A47,'LOI and Commissioning Master Sh'!$X:$X,"Yes",'LOI and Commissioning Master Sh'!$AC:$AC,"Yes")</f>
        <v>2</v>
      </c>
      <c r="AL47" s="161">
        <f t="shared" si="40"/>
        <v>7</v>
      </c>
      <c r="AN47" s="146">
        <f>+COUNTIFS('LOI and Commissioning Master Sh'!$D:$D,'Planned in Nov Dec'!$A47,'LOI and Commissioning Master Sh'!$X:$X,"Yes",'LOI and Commissioning Master Sh'!$AC:$AC,"Yes",'LOI and Commissioning Master Sh'!$H:$H,"A",'LOI and Commissioning Master Sh'!$I:$I,"RO")</f>
        <v>1</v>
      </c>
      <c r="AO47" s="146">
        <f>+COUNTIFS('LOI and Commissioning Master Sh'!$D:$D,'Planned in Nov Dec'!$A47,'LOI and Commissioning Master Sh'!$X:$X,"Yes",'LOI and Commissioning Master Sh'!$AC:$AC,"Yes",'LOI and Commissioning Master Sh'!$H:$H,"B",'LOI and Commissioning Master Sh'!$I:$I,"RO")</f>
        <v>0</v>
      </c>
      <c r="AP47" s="172">
        <f t="shared" si="41"/>
        <v>1</v>
      </c>
      <c r="AQ47" s="146">
        <f>+COUNTIFS('LOI and Commissioning Master Sh'!$D:$D,'Planned in Nov Dec'!$A47,'LOI and Commissioning Master Sh'!$X:$X,"Yes",'LOI and Commissioning Master Sh'!$AC:$AC,"Yes",'LOI and Commissioning Master Sh'!$H:$H,"A",'LOI and Commissioning Master Sh'!$I:$I,"KSK")</f>
        <v>0</v>
      </c>
      <c r="AR47" s="146">
        <f>+COUNTIFS('LOI and Commissioning Master Sh'!$D:$D,'Planned in Nov Dec'!$A47,'LOI and Commissioning Master Sh'!$X:$X,"Yes",'LOI and Commissioning Master Sh'!$AC:$AC,"Yes",'LOI and Commissioning Master Sh'!$H:$H,"B",'LOI and Commissioning Master Sh'!$I:$I,"KSK")</f>
        <v>1</v>
      </c>
      <c r="AS47" s="172">
        <f t="shared" si="42"/>
        <v>1</v>
      </c>
      <c r="AT47" s="173">
        <f t="shared" si="34"/>
        <v>2</v>
      </c>
      <c r="AW47" s="146">
        <f>+COUNTIFS('LOI and Commissioning Master Sh'!$D:$D,'Planned in Nov Dec'!$A47,'LOI and Commissioning Master Sh'!$X:$X,"Yes",'LOI and Commissioning Master Sh'!$AP:$AP,"No",'LOI and Commissioning Master Sh'!$H:$H,"A",'LOI and Commissioning Master Sh'!$I:$I,"RO")</f>
        <v>2</v>
      </c>
      <c r="AX47" s="146">
        <f>+COUNTIFS('LOI and Commissioning Master Sh'!$D:$D,'Planned in Nov Dec'!$A47,'LOI and Commissioning Master Sh'!$X:$X,"Yes",'LOI and Commissioning Master Sh'!$AP:$AP,"No",'LOI and Commissioning Master Sh'!$H:$H,"B",'LOI and Commissioning Master Sh'!$I:$I,"RO")</f>
        <v>3</v>
      </c>
      <c r="AY47" s="172">
        <f t="shared" si="35"/>
        <v>5</v>
      </c>
      <c r="AZ47" s="146">
        <f>+COUNTIFS('LOI and Commissioning Master Sh'!$D:$D,'Planned in Nov Dec'!$A47,'LOI and Commissioning Master Sh'!$X:$X,"Yes",'LOI and Commissioning Master Sh'!$AP:$AP,"No",'LOI and Commissioning Master Sh'!$H:$H,"A",'LOI and Commissioning Master Sh'!$I:$I,"KSK")</f>
        <v>0</v>
      </c>
      <c r="BA47" s="146">
        <f>+COUNTIFS('LOI and Commissioning Master Sh'!$D:$D,'Planned in Nov Dec'!$A47,'LOI and Commissioning Master Sh'!$X:$X,"Yes",'LOI and Commissioning Master Sh'!$AP:$AP,"No",'LOI and Commissioning Master Sh'!$H:$H,"B",'LOI and Commissioning Master Sh'!$I:$I,"KSK")</f>
        <v>1</v>
      </c>
      <c r="BB47" s="172">
        <f t="shared" si="36"/>
        <v>1</v>
      </c>
      <c r="BC47" s="173">
        <f t="shared" si="37"/>
        <v>6</v>
      </c>
    </row>
    <row r="48" spans="1:55" ht="15.75" thickBot="1" x14ac:dyDescent="0.3">
      <c r="A48" s="145" t="s">
        <v>220</v>
      </c>
      <c r="B48" s="146">
        <f>+COUNTIFS('LOI and Commissioning Master Sh'!$D:$D,'Planned in Nov Dec'!$A48,'LOI and Commissioning Master Sh'!$X:$X,"Yes",'LOI and Commissioning Master Sh'!$H:$H,"A")</f>
        <v>2</v>
      </c>
      <c r="C48" s="170"/>
      <c r="D48" s="146">
        <f>+COUNTIFS('LOI and Commissioning Master Sh'!$D:$D,'Planned in Nov Dec'!$A48,'LOI and Commissioning Master Sh'!$X:$X,"Yes",'LOI and Commissioning Master Sh'!$H:$H,"A",'LOI and Commissioning Master Sh'!$AJ:$AJ,"Yes")</f>
        <v>0</v>
      </c>
      <c r="E48" s="146">
        <f>+COUNTIFS('LOI and Commissioning Master Sh'!$D:$D,'Planned in Nov Dec'!$A48,'LOI and Commissioning Master Sh'!$X:$X,"Yes",'LOI and Commissioning Master Sh'!$H:$H,"A",'LOI and Commissioning Master Sh'!$AI:$AI,"Yes",'LOI and Commissioning Master Sh'!$AJ:$AJ,"Pending")</f>
        <v>2</v>
      </c>
      <c r="F48" s="146">
        <f>+COUNTIFS('LOI and Commissioning Master Sh'!$D:$D,'Planned in Nov Dec'!$A48,'LOI and Commissioning Master Sh'!$X:$X,"Yes",'LOI and Commissioning Master Sh'!$H:$H,"A",'LOI and Commissioning Master Sh'!$AI:$AI,"Pending",'LOI and Commissioning Master Sh'!$AJ:$AJ,"Pending")</f>
        <v>0</v>
      </c>
      <c r="J48" s="146">
        <f>+COUNTIFS('LOI and Commissioning Master Sh'!$D:$D,'Planned in Nov Dec'!$A48,'LOI and Commissioning Master Sh'!$X:$X,"Yes")</f>
        <v>8</v>
      </c>
      <c r="K48" s="146">
        <f>+COUNTIFS('LOI and Commissioning Master Sh'!$D:$D,'Planned in Nov Dec'!$A48,'LOI and Commissioning Master Sh'!$X:$X,"Yes",'LOI and Commissioning Master Sh'!$BW:$BW,"Commissioned")</f>
        <v>0</v>
      </c>
      <c r="L48" s="146">
        <f>+COUNTIFS('LOI and Commissioning Master Sh'!$D:$D,'Planned in Nov Dec'!$A48,'LOI and Commissioning Master Sh'!$X:$X,"Yes",'LOI and Commissioning Master Sh'!$BW:$BW,"Pending")</f>
        <v>8</v>
      </c>
      <c r="M48" s="146">
        <f>+COUNTIFS('LOI and Commissioning Master Sh'!$D:$D,'Planned in Nov Dec'!$A48,'LOI and Commissioning Master Sh'!$X:$X,"Yes",'LOI and Commissioning Master Sh'!$BW:$BW,"Pending",'LOI and Commissioning Master Sh'!$AO:$AO,"Approved")</f>
        <v>3</v>
      </c>
      <c r="N48" s="146">
        <f>+COUNTIFS('LOI and Commissioning Master Sh'!$D:$D,'Planned in Nov Dec'!$A48,'LOI and Commissioning Master Sh'!$X:$X,"Yes",'LOI and Commissioning Master Sh'!$BW:$BW,"Pending",'LOI and Commissioning Master Sh'!$AO:$AO,"Sent")</f>
        <v>0</v>
      </c>
      <c r="O48" s="146">
        <f>+COUNTIFS('LOI and Commissioning Master Sh'!$D:$D,'Planned in Nov Dec'!$A48,'LOI and Commissioning Master Sh'!$X:$X,"Yes",'LOI and Commissioning Master Sh'!$BW:$BW,"Pending",'LOI and Commissioning Master Sh'!$AO:$AO,"To be initiated")</f>
        <v>5</v>
      </c>
      <c r="P48" s="171">
        <f t="shared" si="38"/>
        <v>8</v>
      </c>
      <c r="R48" s="146">
        <f>+COUNTIFS('LOI and Commissioning Master Sh'!$D:$D,'Planned in Nov Dec'!$A48,'LOI and Commissioning Master Sh'!$X:$X,"Yes",'LOI and Commissioning Master Sh'!$H:$H,"A")</f>
        <v>2</v>
      </c>
      <c r="S48" s="146">
        <f>+COUNTIFS('LOI and Commissioning Master Sh'!$D:$D,'Planned in Nov Dec'!$A48,'LOI and Commissioning Master Sh'!$X:$X,"Yes",'LOI and Commissioning Master Sh'!$H:$H,"A",'LOI and Commissioning Master Sh'!$Z:$Z,"In Process")</f>
        <v>0</v>
      </c>
      <c r="T48" s="146">
        <f>+COUNTIFS('LOI and Commissioning Master Sh'!$D:$D,'Planned in Nov Dec'!$A48,'LOI and Commissioning Master Sh'!$X:$X,"Yes",'LOI and Commissioning Master Sh'!$H:$H,"A",'LOI and Commissioning Master Sh'!$Z:$Z,"Yet to Initiate")</f>
        <v>2</v>
      </c>
      <c r="U48" s="146">
        <f>+COUNTIFS('LOI and Commissioning Master Sh'!$D:$D,'Planned in Nov Dec'!$A48,'LOI and Commissioning Master Sh'!$X:$X,"Yes",'LOI and Commissioning Master Sh'!$H:$H,"A",'LOI and Commissioning Master Sh'!$Z:$Z,"Approved")</f>
        <v>0</v>
      </c>
      <c r="W48" s="146">
        <f>+COUNTIFS('LOI and Commissioning Master Sh'!$D:$D,'Planned in Nov Dec'!$A48,'LOI and Commissioning Master Sh'!$X:$X,"Yes")</f>
        <v>8</v>
      </c>
      <c r="X48" s="146">
        <f>+COUNTIFS('LOI and Commissioning Master Sh'!$D:$D,'Planned in Nov Dec'!$A48,'LOI and Commissioning Master Sh'!$X:$X,"Yes",'LOI and Commissioning Master Sh'!$BL:$BL,"Applied But Not Received")</f>
        <v>0</v>
      </c>
      <c r="Y48" s="146">
        <f>+COUNTIFS('LOI and Commissioning Master Sh'!$D:$D,'Planned in Nov Dec'!$A48,'LOI and Commissioning Master Sh'!$X:$X,"Yes",'LOI and Commissioning Master Sh'!$BL:$BL,"Received")</f>
        <v>6</v>
      </c>
      <c r="Z48" s="146">
        <f>+COUNTIFS('LOI and Commissioning Master Sh'!$D:$D,'Planned in Nov Dec'!$A48,'LOI and Commissioning Master Sh'!$X:$X,"Yes",'LOI and Commissioning Master Sh'!$BL:$BL,"To Be Applied")</f>
        <v>1</v>
      </c>
      <c r="AB48" s="146">
        <f>+COUNTIFS('LOI and Commissioning Master Sh'!$D:$D,'Planned in Nov Dec'!$A48,'LOI and Commissioning Master Sh'!$X:$X,"Yes")</f>
        <v>8</v>
      </c>
      <c r="AC48" s="146">
        <f>+COUNTIFS('LOI and Commissioning Master Sh'!$D:$D,'Planned in Nov Dec'!$A48,'LOI and Commissioning Master Sh'!$X:$X,"Yes",'LOI and Commissioning Master Sh'!$BG:$BG,"Received")</f>
        <v>4</v>
      </c>
      <c r="AD48" s="146">
        <f>+COUNTIFS('LOI and Commissioning Master Sh'!$D:$D,'Planned in Nov Dec'!$A48,'LOI and Commissioning Master Sh'!$X:$X,"Yes",'LOI and Commissioning Master Sh'!$BG:$BG,"In Process")</f>
        <v>2</v>
      </c>
      <c r="AE48" s="146">
        <f>+COUNTIFS('LOI and Commissioning Master Sh'!$D:$D,'Planned in Nov Dec'!$A48,'LOI and Commissioning Master Sh'!$X:$X,"Yes",'LOI and Commissioning Master Sh'!$BG:$BG,"Yet to Assign")</f>
        <v>2</v>
      </c>
      <c r="AF48" s="146">
        <f t="shared" si="39"/>
        <v>8</v>
      </c>
      <c r="AG48" s="146">
        <f t="shared" si="39"/>
        <v>12</v>
      </c>
      <c r="AI48" s="146">
        <f>+COUNTIFS('LOI and Commissioning Master Sh'!$D:$D,'Planned in Nov Dec'!$A48,'LOI and Commissioning Master Sh'!$X:$X,"Yes")</f>
        <v>8</v>
      </c>
      <c r="AJ48" s="146">
        <f>+COUNTIFS('LOI and Commissioning Master Sh'!$D:$D,'Planned in Nov Dec'!$A48,'LOI and Commissioning Master Sh'!$X:$X,"Yes",'LOI and Commissioning Master Sh'!$BW:$BW,"Commissioned")</f>
        <v>0</v>
      </c>
      <c r="AK48" s="146">
        <f>+COUNTIFS('LOI and Commissioning Master Sh'!$D:$D,'Planned in Nov Dec'!$A48,'LOI and Commissioning Master Sh'!$X:$X,"Yes",'LOI and Commissioning Master Sh'!$AC:$AC,"Yes")</f>
        <v>1</v>
      </c>
      <c r="AL48" s="161">
        <f t="shared" si="40"/>
        <v>7</v>
      </c>
      <c r="AN48" s="146">
        <f>+COUNTIFS('LOI and Commissioning Master Sh'!$D:$D,'Planned in Nov Dec'!$A48,'LOI and Commissioning Master Sh'!$X:$X,"Yes",'LOI and Commissioning Master Sh'!$AC:$AC,"Yes",'LOI and Commissioning Master Sh'!$H:$H,"A",'LOI and Commissioning Master Sh'!$I:$I,"RO")</f>
        <v>0</v>
      </c>
      <c r="AO48" s="146">
        <f>+COUNTIFS('LOI and Commissioning Master Sh'!$D:$D,'Planned in Nov Dec'!$A48,'LOI and Commissioning Master Sh'!$X:$X,"Yes",'LOI and Commissioning Master Sh'!$AC:$AC,"Yes",'LOI and Commissioning Master Sh'!$H:$H,"B",'LOI and Commissioning Master Sh'!$I:$I,"RO")</f>
        <v>1</v>
      </c>
      <c r="AP48" s="172">
        <f t="shared" si="41"/>
        <v>1</v>
      </c>
      <c r="AQ48" s="146">
        <f>+COUNTIFS('LOI and Commissioning Master Sh'!$D:$D,'Planned in Nov Dec'!$A48,'LOI and Commissioning Master Sh'!$X:$X,"Yes",'LOI and Commissioning Master Sh'!$AC:$AC,"Yes",'LOI and Commissioning Master Sh'!$H:$H,"A",'LOI and Commissioning Master Sh'!$I:$I,"KSK")</f>
        <v>0</v>
      </c>
      <c r="AR48" s="146">
        <f>+COUNTIFS('LOI and Commissioning Master Sh'!$D:$D,'Planned in Nov Dec'!$A48,'LOI and Commissioning Master Sh'!$X:$X,"Yes",'LOI and Commissioning Master Sh'!$AC:$AC,"Yes",'LOI and Commissioning Master Sh'!$H:$H,"B",'LOI and Commissioning Master Sh'!$I:$I,"KSK")</f>
        <v>0</v>
      </c>
      <c r="AS48" s="172">
        <f t="shared" si="42"/>
        <v>0</v>
      </c>
      <c r="AT48" s="173">
        <f t="shared" si="34"/>
        <v>1</v>
      </c>
      <c r="AW48" s="146">
        <f>+COUNTIFS('LOI and Commissioning Master Sh'!$D:$D,'Planned in Nov Dec'!$A48,'LOI and Commissioning Master Sh'!$X:$X,"Yes",'LOI and Commissioning Master Sh'!$AP:$AP,"No",'LOI and Commissioning Master Sh'!$H:$H,"A",'LOI and Commissioning Master Sh'!$I:$I,"RO")</f>
        <v>2</v>
      </c>
      <c r="AX48" s="146">
        <f>+COUNTIFS('LOI and Commissioning Master Sh'!$D:$D,'Planned in Nov Dec'!$A48,'LOI and Commissioning Master Sh'!$X:$X,"Yes",'LOI and Commissioning Master Sh'!$AP:$AP,"No",'LOI and Commissioning Master Sh'!$H:$H,"B",'LOI and Commissioning Master Sh'!$I:$I,"RO")</f>
        <v>3</v>
      </c>
      <c r="AY48" s="172">
        <f t="shared" si="35"/>
        <v>5</v>
      </c>
      <c r="AZ48" s="146">
        <f>+COUNTIFS('LOI and Commissioning Master Sh'!$D:$D,'Planned in Nov Dec'!$A48,'LOI and Commissioning Master Sh'!$X:$X,"Yes",'LOI and Commissioning Master Sh'!$AP:$AP,"No",'LOI and Commissioning Master Sh'!$H:$H,"A",'LOI and Commissioning Master Sh'!$I:$I,"KSK")</f>
        <v>0</v>
      </c>
      <c r="BA48" s="146">
        <f>+COUNTIFS('LOI and Commissioning Master Sh'!$D:$D,'Planned in Nov Dec'!$A48,'LOI and Commissioning Master Sh'!$X:$X,"Yes",'LOI and Commissioning Master Sh'!$AP:$AP,"No",'LOI and Commissioning Master Sh'!$H:$H,"B",'LOI and Commissioning Master Sh'!$I:$I,"KSK")</f>
        <v>0</v>
      </c>
      <c r="BB48" s="172">
        <f t="shared" si="36"/>
        <v>0</v>
      </c>
      <c r="BC48" s="173">
        <f t="shared" si="37"/>
        <v>5</v>
      </c>
    </row>
    <row r="49" spans="1:55" ht="15.75" thickBot="1" x14ac:dyDescent="0.3">
      <c r="A49" s="145" t="s">
        <v>398</v>
      </c>
      <c r="B49" s="146">
        <f>+COUNTIFS('LOI and Commissioning Master Sh'!$D:$D,'Planned in Nov Dec'!$A49,'LOI and Commissioning Master Sh'!$X:$X,"Yes",'LOI and Commissioning Master Sh'!$H:$H,"A")</f>
        <v>3</v>
      </c>
      <c r="C49" s="170"/>
      <c r="D49" s="146">
        <f>+COUNTIFS('LOI and Commissioning Master Sh'!$D:$D,'Planned in Nov Dec'!$A49,'LOI and Commissioning Master Sh'!$X:$X,"Yes",'LOI and Commissioning Master Sh'!$H:$H,"A",'LOI and Commissioning Master Sh'!$AJ:$AJ,"Yes")</f>
        <v>1</v>
      </c>
      <c r="E49" s="146">
        <f>+COUNTIFS('LOI and Commissioning Master Sh'!$D:$D,'Planned in Nov Dec'!$A49,'LOI and Commissioning Master Sh'!$X:$X,"Yes",'LOI and Commissioning Master Sh'!$H:$H,"A",'LOI and Commissioning Master Sh'!$AI:$AI,"Yes",'LOI and Commissioning Master Sh'!$AJ:$AJ,"Pending")</f>
        <v>1</v>
      </c>
      <c r="F49" s="146">
        <f>+COUNTIFS('LOI and Commissioning Master Sh'!$D:$D,'Planned in Nov Dec'!$A49,'LOI and Commissioning Master Sh'!$X:$X,"Yes",'LOI and Commissioning Master Sh'!$H:$H,"A",'LOI and Commissioning Master Sh'!$AI:$AI,"Pending",'LOI and Commissioning Master Sh'!$AJ:$AJ,"Pending")</f>
        <v>0</v>
      </c>
      <c r="J49" s="146">
        <f>+COUNTIFS('LOI and Commissioning Master Sh'!$D:$D,'Planned in Nov Dec'!$A49,'LOI and Commissioning Master Sh'!$X:$X,"Yes")</f>
        <v>3</v>
      </c>
      <c r="K49" s="146">
        <f>+COUNTIFS('LOI and Commissioning Master Sh'!$D:$D,'Planned in Nov Dec'!$A49,'LOI and Commissioning Master Sh'!$X:$X,"Yes",'LOI and Commissioning Master Sh'!$BW:$BW,"Commissioned")</f>
        <v>0</v>
      </c>
      <c r="L49" s="146">
        <f>+COUNTIFS('LOI and Commissioning Master Sh'!$D:$D,'Planned in Nov Dec'!$A49,'LOI and Commissioning Master Sh'!$X:$X,"Yes",'LOI and Commissioning Master Sh'!$BW:$BW,"Pending")</f>
        <v>3</v>
      </c>
      <c r="M49" s="146">
        <f>+COUNTIFS('LOI and Commissioning Master Sh'!$D:$D,'Planned in Nov Dec'!$A49,'LOI and Commissioning Master Sh'!$X:$X,"Yes",'LOI and Commissioning Master Sh'!$BW:$BW,"Pending",'LOI and Commissioning Master Sh'!$AO:$AO,"Approved")</f>
        <v>1</v>
      </c>
      <c r="N49" s="146">
        <f>+COUNTIFS('LOI and Commissioning Master Sh'!$D:$D,'Planned in Nov Dec'!$A49,'LOI and Commissioning Master Sh'!$X:$X,"Yes",'LOI and Commissioning Master Sh'!$BW:$BW,"Pending",'LOI and Commissioning Master Sh'!$AO:$AO,"Sent")</f>
        <v>0</v>
      </c>
      <c r="O49" s="146">
        <f>+COUNTIFS('LOI and Commissioning Master Sh'!$D:$D,'Planned in Nov Dec'!$A49,'LOI and Commissioning Master Sh'!$X:$X,"Yes",'LOI and Commissioning Master Sh'!$BW:$BW,"Pending",'LOI and Commissioning Master Sh'!$AO:$AO,"To be initiated")</f>
        <v>2</v>
      </c>
      <c r="P49" s="171">
        <f t="shared" si="38"/>
        <v>3</v>
      </c>
      <c r="R49" s="146">
        <f>+COUNTIFS('LOI and Commissioning Master Sh'!$D:$D,'Planned in Nov Dec'!$A49,'LOI and Commissioning Master Sh'!$X:$X,"Yes",'LOI and Commissioning Master Sh'!$H:$H,"A")</f>
        <v>3</v>
      </c>
      <c r="S49" s="146">
        <f>+COUNTIFS('LOI and Commissioning Master Sh'!$D:$D,'Planned in Nov Dec'!$A49,'LOI and Commissioning Master Sh'!$X:$X,"Yes",'LOI and Commissioning Master Sh'!$H:$H,"A",'LOI and Commissioning Master Sh'!$Z:$Z,"In Process")</f>
        <v>0</v>
      </c>
      <c r="T49" s="146">
        <f>+COUNTIFS('LOI and Commissioning Master Sh'!$D:$D,'Planned in Nov Dec'!$A49,'LOI and Commissioning Master Sh'!$X:$X,"Yes",'LOI and Commissioning Master Sh'!$H:$H,"A",'LOI and Commissioning Master Sh'!$Z:$Z,"Yet to Initiate")</f>
        <v>2</v>
      </c>
      <c r="U49" s="146">
        <f>+COUNTIFS('LOI and Commissioning Master Sh'!$D:$D,'Planned in Nov Dec'!$A49,'LOI and Commissioning Master Sh'!$X:$X,"Yes",'LOI and Commissioning Master Sh'!$H:$H,"A",'LOI and Commissioning Master Sh'!$Z:$Z,"Approved")</f>
        <v>1</v>
      </c>
      <c r="W49" s="146">
        <f>+COUNTIFS('LOI and Commissioning Master Sh'!$D:$D,'Planned in Nov Dec'!$A49,'LOI and Commissioning Master Sh'!$X:$X,"Yes")</f>
        <v>3</v>
      </c>
      <c r="X49" s="146">
        <f>+COUNTIFS('LOI and Commissioning Master Sh'!$D:$D,'Planned in Nov Dec'!$A49,'LOI and Commissioning Master Sh'!$X:$X,"Yes",'LOI and Commissioning Master Sh'!$BL:$BL,"Applied But Not Received")</f>
        <v>0</v>
      </c>
      <c r="Y49" s="146">
        <f>+COUNTIFS('LOI and Commissioning Master Sh'!$D:$D,'Planned in Nov Dec'!$A49,'LOI and Commissioning Master Sh'!$X:$X,"Yes",'LOI and Commissioning Master Sh'!$BL:$BL,"Received")</f>
        <v>2</v>
      </c>
      <c r="Z49" s="146">
        <f>+COUNTIFS('LOI and Commissioning Master Sh'!$D:$D,'Planned in Nov Dec'!$A49,'LOI and Commissioning Master Sh'!$X:$X,"Yes",'LOI and Commissioning Master Sh'!$BL:$BL,"To Be Applied")</f>
        <v>0</v>
      </c>
      <c r="AB49" s="146">
        <f>+COUNTIFS('LOI and Commissioning Master Sh'!$D:$D,'Planned in Nov Dec'!$A49,'LOI and Commissioning Master Sh'!$X:$X,"Yes")</f>
        <v>3</v>
      </c>
      <c r="AC49" s="146">
        <f>+COUNTIFS('LOI and Commissioning Master Sh'!$D:$D,'Planned in Nov Dec'!$A49,'LOI and Commissioning Master Sh'!$X:$X,"Yes",'LOI and Commissioning Master Sh'!$BG:$BG,"Received")</f>
        <v>1</v>
      </c>
      <c r="AD49" s="146">
        <f>+COUNTIFS('LOI and Commissioning Master Sh'!$D:$D,'Planned in Nov Dec'!$A49,'LOI and Commissioning Master Sh'!$X:$X,"Yes",'LOI and Commissioning Master Sh'!$BG:$BG,"In Process")</f>
        <v>2</v>
      </c>
      <c r="AE49" s="146">
        <f>+COUNTIFS('LOI and Commissioning Master Sh'!$D:$D,'Planned in Nov Dec'!$A49,'LOI and Commissioning Master Sh'!$X:$X,"Yes",'LOI and Commissioning Master Sh'!$BG:$BG,"Yet to Assign")</f>
        <v>0</v>
      </c>
      <c r="AF49" s="146">
        <f t="shared" si="39"/>
        <v>3</v>
      </c>
      <c r="AG49" s="146">
        <f t="shared" si="39"/>
        <v>5</v>
      </c>
      <c r="AI49" s="146">
        <f>+COUNTIFS('LOI and Commissioning Master Sh'!$D:$D,'Planned in Nov Dec'!$A49,'LOI and Commissioning Master Sh'!$X:$X,"Yes")</f>
        <v>3</v>
      </c>
      <c r="AJ49" s="146">
        <f>+COUNTIFS('LOI and Commissioning Master Sh'!$D:$D,'Planned in Nov Dec'!$A49,'LOI and Commissioning Master Sh'!$X:$X,"Yes",'LOI and Commissioning Master Sh'!$BW:$BW,"Commissioned")</f>
        <v>0</v>
      </c>
      <c r="AK49" s="146">
        <f>+COUNTIFS('LOI and Commissioning Master Sh'!$D:$D,'Planned in Nov Dec'!$A49,'LOI and Commissioning Master Sh'!$X:$X,"Yes",'LOI and Commissioning Master Sh'!$AC:$AC,"Yes")</f>
        <v>0</v>
      </c>
      <c r="AL49" s="161">
        <f t="shared" si="40"/>
        <v>3</v>
      </c>
      <c r="AN49" s="146">
        <f>+COUNTIFS('LOI and Commissioning Master Sh'!$D:$D,'Planned in Nov Dec'!$A49,'LOI and Commissioning Master Sh'!$X:$X,"Yes",'LOI and Commissioning Master Sh'!$AC:$AC,"Yes",'LOI and Commissioning Master Sh'!$H:$H,"A",'LOI and Commissioning Master Sh'!$I:$I,"RO")</f>
        <v>0</v>
      </c>
      <c r="AO49" s="146">
        <f>+COUNTIFS('LOI and Commissioning Master Sh'!$D:$D,'Planned in Nov Dec'!$A49,'LOI and Commissioning Master Sh'!$X:$X,"Yes",'LOI and Commissioning Master Sh'!$AC:$AC,"Yes",'LOI and Commissioning Master Sh'!$H:$H,"B",'LOI and Commissioning Master Sh'!$I:$I,"RO")</f>
        <v>0</v>
      </c>
      <c r="AP49" s="172">
        <f t="shared" si="41"/>
        <v>0</v>
      </c>
      <c r="AQ49" s="146">
        <f>+COUNTIFS('LOI and Commissioning Master Sh'!$D:$D,'Planned in Nov Dec'!$A49,'LOI and Commissioning Master Sh'!$X:$X,"Yes",'LOI and Commissioning Master Sh'!$AC:$AC,"Yes",'LOI and Commissioning Master Sh'!$H:$H,"A",'LOI and Commissioning Master Sh'!$I:$I,"KSK")</f>
        <v>0</v>
      </c>
      <c r="AR49" s="146">
        <f>+COUNTIFS('LOI and Commissioning Master Sh'!$D:$D,'Planned in Nov Dec'!$A49,'LOI and Commissioning Master Sh'!$X:$X,"Yes",'LOI and Commissioning Master Sh'!$AC:$AC,"Yes",'LOI and Commissioning Master Sh'!$H:$H,"B",'LOI and Commissioning Master Sh'!$I:$I,"KSK")</f>
        <v>0</v>
      </c>
      <c r="AS49" s="172">
        <f t="shared" si="42"/>
        <v>0</v>
      </c>
      <c r="AT49" s="173">
        <f t="shared" si="34"/>
        <v>0</v>
      </c>
      <c r="AW49" s="146">
        <f>+COUNTIFS('LOI and Commissioning Master Sh'!$D:$D,'Planned in Nov Dec'!$A49,'LOI and Commissioning Master Sh'!$X:$X,"Yes",'LOI and Commissioning Master Sh'!$AP:$AP,"No",'LOI and Commissioning Master Sh'!$H:$H,"A",'LOI and Commissioning Master Sh'!$I:$I,"RO")</f>
        <v>0</v>
      </c>
      <c r="AX49" s="146">
        <f>+COUNTIFS('LOI and Commissioning Master Sh'!$D:$D,'Planned in Nov Dec'!$A49,'LOI and Commissioning Master Sh'!$X:$X,"Yes",'LOI and Commissioning Master Sh'!$AP:$AP,"No",'LOI and Commissioning Master Sh'!$H:$H,"B",'LOI and Commissioning Master Sh'!$I:$I,"RO")</f>
        <v>0</v>
      </c>
      <c r="AY49" s="172">
        <f t="shared" si="35"/>
        <v>0</v>
      </c>
      <c r="AZ49" s="146">
        <f>+COUNTIFS('LOI and Commissioning Master Sh'!$D:$D,'Planned in Nov Dec'!$A49,'LOI and Commissioning Master Sh'!$X:$X,"Yes",'LOI and Commissioning Master Sh'!$AP:$AP,"No",'LOI and Commissioning Master Sh'!$H:$H,"A",'LOI and Commissioning Master Sh'!$I:$I,"KSK")</f>
        <v>0</v>
      </c>
      <c r="BA49" s="146">
        <f>+COUNTIFS('LOI and Commissioning Master Sh'!$D:$D,'Planned in Nov Dec'!$A49,'LOI and Commissioning Master Sh'!$X:$X,"Yes",'LOI and Commissioning Master Sh'!$AP:$AP,"No",'LOI and Commissioning Master Sh'!$H:$H,"B",'LOI and Commissioning Master Sh'!$I:$I,"KSK")</f>
        <v>0</v>
      </c>
      <c r="BB49" s="172">
        <f t="shared" si="36"/>
        <v>0</v>
      </c>
      <c r="BC49" s="173">
        <f t="shared" si="37"/>
        <v>0</v>
      </c>
    </row>
    <row r="50" spans="1:55" ht="15.75" thickBot="1" x14ac:dyDescent="0.3">
      <c r="A50" s="145" t="s">
        <v>99</v>
      </c>
      <c r="B50" s="146">
        <f>+COUNTIFS('LOI and Commissioning Master Sh'!$D:$D,'Planned in Nov Dec'!$A50,'LOI and Commissioning Master Sh'!$X:$X,"Yes",'LOI and Commissioning Master Sh'!$H:$H,"A")</f>
        <v>7</v>
      </c>
      <c r="C50" s="170"/>
      <c r="D50" s="146">
        <f>+COUNTIFS('LOI and Commissioning Master Sh'!$D:$D,'Planned in Nov Dec'!$A50,'LOI and Commissioning Master Sh'!$X:$X,"Yes",'LOI and Commissioning Master Sh'!$H:$H,"A",'LOI and Commissioning Master Sh'!$AJ:$AJ,"Yes")</f>
        <v>3</v>
      </c>
      <c r="E50" s="146">
        <f>+COUNTIFS('LOI and Commissioning Master Sh'!$D:$D,'Planned in Nov Dec'!$A50,'LOI and Commissioning Master Sh'!$X:$X,"Yes",'LOI and Commissioning Master Sh'!$H:$H,"A",'LOI and Commissioning Master Sh'!$AI:$AI,"Yes",'LOI and Commissioning Master Sh'!$AJ:$AJ,"Pending")</f>
        <v>4</v>
      </c>
      <c r="F50" s="146">
        <f>+COUNTIFS('LOI and Commissioning Master Sh'!$D:$D,'Planned in Nov Dec'!$A50,'LOI and Commissioning Master Sh'!$X:$X,"Yes",'LOI and Commissioning Master Sh'!$H:$H,"A",'LOI and Commissioning Master Sh'!$AI:$AI,"Pending",'LOI and Commissioning Master Sh'!$AJ:$AJ,"Pending")</f>
        <v>0</v>
      </c>
      <c r="J50" s="146">
        <f>+COUNTIFS('LOI and Commissioning Master Sh'!$D:$D,'Planned in Nov Dec'!$A50,'LOI and Commissioning Master Sh'!$X:$X,"Yes")</f>
        <v>11</v>
      </c>
      <c r="K50" s="146">
        <f>+COUNTIFS('LOI and Commissioning Master Sh'!$D:$D,'Planned in Nov Dec'!$A50,'LOI and Commissioning Master Sh'!$X:$X,"Yes",'LOI and Commissioning Master Sh'!$BW:$BW,"Commissioned")</f>
        <v>2</v>
      </c>
      <c r="L50" s="146">
        <f>+COUNTIFS('LOI and Commissioning Master Sh'!$D:$D,'Planned in Nov Dec'!$A50,'LOI and Commissioning Master Sh'!$X:$X,"Yes",'LOI and Commissioning Master Sh'!$BW:$BW,"Pending")</f>
        <v>9</v>
      </c>
      <c r="M50" s="146">
        <f>+COUNTIFS('LOI and Commissioning Master Sh'!$D:$D,'Planned in Nov Dec'!$A50,'LOI and Commissioning Master Sh'!$X:$X,"Yes",'LOI and Commissioning Master Sh'!$BW:$BW,"Pending",'LOI and Commissioning Master Sh'!$AO:$AO,"Approved")</f>
        <v>1</v>
      </c>
      <c r="N50" s="146">
        <f>+COUNTIFS('LOI and Commissioning Master Sh'!$D:$D,'Planned in Nov Dec'!$A50,'LOI and Commissioning Master Sh'!$X:$X,"Yes",'LOI and Commissioning Master Sh'!$BW:$BW,"Pending",'LOI and Commissioning Master Sh'!$AO:$AO,"Sent")</f>
        <v>1</v>
      </c>
      <c r="O50" s="146">
        <f>+COUNTIFS('LOI and Commissioning Master Sh'!$D:$D,'Planned in Nov Dec'!$A50,'LOI and Commissioning Master Sh'!$X:$X,"Yes",'LOI and Commissioning Master Sh'!$BW:$BW,"Pending",'LOI and Commissioning Master Sh'!$AO:$AO,"To be initiated")</f>
        <v>7</v>
      </c>
      <c r="P50" s="171">
        <f t="shared" si="38"/>
        <v>9</v>
      </c>
      <c r="R50" s="146">
        <f>+COUNTIFS('LOI and Commissioning Master Sh'!$D:$D,'Planned in Nov Dec'!$A50,'LOI and Commissioning Master Sh'!$X:$X,"Yes",'LOI and Commissioning Master Sh'!$H:$H,"A")</f>
        <v>7</v>
      </c>
      <c r="S50" s="146">
        <f>+COUNTIFS('LOI and Commissioning Master Sh'!$D:$D,'Planned in Nov Dec'!$A50,'LOI and Commissioning Master Sh'!$X:$X,"Yes",'LOI and Commissioning Master Sh'!$H:$H,"A",'LOI and Commissioning Master Sh'!$Z:$Z,"In Process")</f>
        <v>0</v>
      </c>
      <c r="T50" s="146">
        <f>+COUNTIFS('LOI and Commissioning Master Sh'!$D:$D,'Planned in Nov Dec'!$A50,'LOI and Commissioning Master Sh'!$X:$X,"Yes",'LOI and Commissioning Master Sh'!$H:$H,"A",'LOI and Commissioning Master Sh'!$Z:$Z,"Yet to Initiate")</f>
        <v>4</v>
      </c>
      <c r="U50" s="146">
        <f>+COUNTIFS('LOI and Commissioning Master Sh'!$D:$D,'Planned in Nov Dec'!$A50,'LOI and Commissioning Master Sh'!$X:$X,"Yes",'LOI and Commissioning Master Sh'!$H:$H,"A",'LOI and Commissioning Master Sh'!$Z:$Z,"Approved")</f>
        <v>3</v>
      </c>
      <c r="W50" s="146">
        <f>+COUNTIFS('LOI and Commissioning Master Sh'!$D:$D,'Planned in Nov Dec'!$A50,'LOI and Commissioning Master Sh'!$X:$X,"Yes")</f>
        <v>11</v>
      </c>
      <c r="X50" s="146">
        <f>+COUNTIFS('LOI and Commissioning Master Sh'!$D:$D,'Planned in Nov Dec'!$A50,'LOI and Commissioning Master Sh'!$X:$X,"Yes",'LOI and Commissioning Master Sh'!$BL:$BL,"Applied But Not Received")</f>
        <v>0</v>
      </c>
      <c r="Y50" s="146">
        <f>+COUNTIFS('LOI and Commissioning Master Sh'!$D:$D,'Planned in Nov Dec'!$A50,'LOI and Commissioning Master Sh'!$X:$X,"Yes",'LOI and Commissioning Master Sh'!$BL:$BL,"Received")</f>
        <v>10</v>
      </c>
      <c r="Z50" s="146">
        <f>+COUNTIFS('LOI and Commissioning Master Sh'!$D:$D,'Planned in Nov Dec'!$A50,'LOI and Commissioning Master Sh'!$X:$X,"Yes",'LOI and Commissioning Master Sh'!$BL:$BL,"To Be Applied")</f>
        <v>1</v>
      </c>
      <c r="AB50" s="146">
        <f>+COUNTIFS('LOI and Commissioning Master Sh'!$D:$D,'Planned in Nov Dec'!$A50,'LOI and Commissioning Master Sh'!$X:$X,"Yes")</f>
        <v>11</v>
      </c>
      <c r="AC50" s="146">
        <f>+COUNTIFS('LOI and Commissioning Master Sh'!$D:$D,'Planned in Nov Dec'!$A50,'LOI and Commissioning Master Sh'!$X:$X,"Yes",'LOI and Commissioning Master Sh'!$BG:$BG,"Received")</f>
        <v>5</v>
      </c>
      <c r="AD50" s="146">
        <f>+COUNTIFS('LOI and Commissioning Master Sh'!$D:$D,'Planned in Nov Dec'!$A50,'LOI and Commissioning Master Sh'!$X:$X,"Yes",'LOI and Commissioning Master Sh'!$BG:$BG,"In Process")</f>
        <v>6</v>
      </c>
      <c r="AE50" s="146">
        <f>+COUNTIFS('LOI and Commissioning Master Sh'!$D:$D,'Planned in Nov Dec'!$A50,'LOI and Commissioning Master Sh'!$X:$X,"Yes",'LOI and Commissioning Master Sh'!$BG:$BG,"Yet to Assign")</f>
        <v>0</v>
      </c>
      <c r="AF50" s="146">
        <f t="shared" si="39"/>
        <v>11</v>
      </c>
      <c r="AG50" s="146">
        <f t="shared" si="39"/>
        <v>17</v>
      </c>
      <c r="AI50" s="146">
        <f>+COUNTIFS('LOI and Commissioning Master Sh'!$D:$D,'Planned in Nov Dec'!$A50,'LOI and Commissioning Master Sh'!$X:$X,"Yes")</f>
        <v>11</v>
      </c>
      <c r="AJ50" s="146">
        <f>+COUNTIFS('LOI and Commissioning Master Sh'!$D:$D,'Planned in Nov Dec'!$A50,'LOI and Commissioning Master Sh'!$X:$X,"Yes",'LOI and Commissioning Master Sh'!$BW:$BW,"Commissioned")</f>
        <v>2</v>
      </c>
      <c r="AK50" s="146">
        <f>+COUNTIFS('LOI and Commissioning Master Sh'!$D:$D,'Planned in Nov Dec'!$A50,'LOI and Commissioning Master Sh'!$X:$X,"Yes",'LOI and Commissioning Master Sh'!$AC:$AC,"Yes")</f>
        <v>2</v>
      </c>
      <c r="AL50" s="161">
        <f t="shared" si="40"/>
        <v>9</v>
      </c>
      <c r="AN50" s="146">
        <f>+COUNTIFS('LOI and Commissioning Master Sh'!$D:$D,'Planned in Nov Dec'!$A50,'LOI and Commissioning Master Sh'!$X:$X,"Yes",'LOI and Commissioning Master Sh'!$AC:$AC,"Yes",'LOI and Commissioning Master Sh'!$H:$H,"A",'LOI and Commissioning Master Sh'!$I:$I,"RO")</f>
        <v>1</v>
      </c>
      <c r="AO50" s="146">
        <f>+COUNTIFS('LOI and Commissioning Master Sh'!$D:$D,'Planned in Nov Dec'!$A50,'LOI and Commissioning Master Sh'!$X:$X,"Yes",'LOI and Commissioning Master Sh'!$AC:$AC,"Yes",'LOI and Commissioning Master Sh'!$H:$H,"B",'LOI and Commissioning Master Sh'!$I:$I,"RO")</f>
        <v>0</v>
      </c>
      <c r="AP50" s="172">
        <f t="shared" si="41"/>
        <v>1</v>
      </c>
      <c r="AQ50" s="146">
        <f>+COUNTIFS('LOI and Commissioning Master Sh'!$D:$D,'Planned in Nov Dec'!$A50,'LOI and Commissioning Master Sh'!$X:$X,"Yes",'LOI and Commissioning Master Sh'!$AC:$AC,"Yes",'LOI and Commissioning Master Sh'!$H:$H,"A",'LOI and Commissioning Master Sh'!$I:$I,"KSK")</f>
        <v>1</v>
      </c>
      <c r="AR50" s="146">
        <f>+COUNTIFS('LOI and Commissioning Master Sh'!$D:$D,'Planned in Nov Dec'!$A50,'LOI and Commissioning Master Sh'!$X:$X,"Yes",'LOI and Commissioning Master Sh'!$AC:$AC,"Yes",'LOI and Commissioning Master Sh'!$H:$H,"B",'LOI and Commissioning Master Sh'!$I:$I,"KSK")</f>
        <v>0</v>
      </c>
      <c r="AS50" s="172">
        <f t="shared" si="42"/>
        <v>1</v>
      </c>
      <c r="AT50" s="173">
        <f t="shared" si="34"/>
        <v>2</v>
      </c>
      <c r="AW50" s="146">
        <f>+COUNTIFS('LOI and Commissioning Master Sh'!$D:$D,'Planned in Nov Dec'!$A50,'LOI and Commissioning Master Sh'!$X:$X,"Yes",'LOI and Commissioning Master Sh'!$AP:$AP,"No",'LOI and Commissioning Master Sh'!$H:$H,"A",'LOI and Commissioning Master Sh'!$I:$I,"RO")</f>
        <v>5</v>
      </c>
      <c r="AX50" s="146">
        <f>+COUNTIFS('LOI and Commissioning Master Sh'!$D:$D,'Planned in Nov Dec'!$A50,'LOI and Commissioning Master Sh'!$X:$X,"Yes",'LOI and Commissioning Master Sh'!$AP:$AP,"No",'LOI and Commissioning Master Sh'!$H:$H,"B",'LOI and Commissioning Master Sh'!$I:$I,"RO")</f>
        <v>2</v>
      </c>
      <c r="AY50" s="172">
        <f t="shared" si="35"/>
        <v>7</v>
      </c>
      <c r="AZ50" s="146">
        <f>+COUNTIFS('LOI and Commissioning Master Sh'!$D:$D,'Planned in Nov Dec'!$A50,'LOI and Commissioning Master Sh'!$X:$X,"Yes",'LOI and Commissioning Master Sh'!$AP:$AP,"No",'LOI and Commissioning Master Sh'!$H:$H,"A",'LOI and Commissioning Master Sh'!$I:$I,"KSK")</f>
        <v>0</v>
      </c>
      <c r="BA50" s="146">
        <f>+COUNTIFS('LOI and Commissioning Master Sh'!$D:$D,'Planned in Nov Dec'!$A50,'LOI and Commissioning Master Sh'!$X:$X,"Yes",'LOI and Commissioning Master Sh'!$AP:$AP,"No",'LOI and Commissioning Master Sh'!$H:$H,"B",'LOI and Commissioning Master Sh'!$I:$I,"KSK")</f>
        <v>1</v>
      </c>
      <c r="BB50" s="172">
        <f t="shared" si="36"/>
        <v>1</v>
      </c>
      <c r="BC50" s="173">
        <f t="shared" si="37"/>
        <v>8</v>
      </c>
    </row>
    <row r="51" spans="1:55" ht="15.75" thickBot="1" x14ac:dyDescent="0.3">
      <c r="A51" s="145" t="s">
        <v>141</v>
      </c>
      <c r="B51" s="146">
        <f>+COUNTIFS('LOI and Commissioning Master Sh'!$D:$D,'Planned in Nov Dec'!$A51,'LOI and Commissioning Master Sh'!$X:$X,"Yes",'LOI and Commissioning Master Sh'!$H:$H,"A")</f>
        <v>2</v>
      </c>
      <c r="C51" s="170"/>
      <c r="D51" s="146">
        <f>+COUNTIFS('LOI and Commissioning Master Sh'!$D:$D,'Planned in Nov Dec'!$A51,'LOI and Commissioning Master Sh'!$X:$X,"Yes",'LOI and Commissioning Master Sh'!$H:$H,"A",'LOI and Commissioning Master Sh'!$AJ:$AJ,"Yes")</f>
        <v>0</v>
      </c>
      <c r="E51" s="146">
        <f>+COUNTIFS('LOI and Commissioning Master Sh'!$D:$D,'Planned in Nov Dec'!$A51,'LOI and Commissioning Master Sh'!$X:$X,"Yes",'LOI and Commissioning Master Sh'!$H:$H,"A",'LOI and Commissioning Master Sh'!$AI:$AI,"Yes",'LOI and Commissioning Master Sh'!$AJ:$AJ,"Pending")</f>
        <v>2</v>
      </c>
      <c r="F51" s="146">
        <f>+COUNTIFS('LOI and Commissioning Master Sh'!$D:$D,'Planned in Nov Dec'!$A51,'LOI and Commissioning Master Sh'!$X:$X,"Yes",'LOI and Commissioning Master Sh'!$H:$H,"A",'LOI and Commissioning Master Sh'!$AI:$AI,"Pending",'LOI and Commissioning Master Sh'!$AJ:$AJ,"Pending")</f>
        <v>0</v>
      </c>
      <c r="J51" s="146">
        <f>+COUNTIFS('LOI and Commissioning Master Sh'!$D:$D,'Planned in Nov Dec'!$A51,'LOI and Commissioning Master Sh'!$X:$X,"Yes")</f>
        <v>5</v>
      </c>
      <c r="K51" s="146">
        <f>+COUNTIFS('LOI and Commissioning Master Sh'!$D:$D,'Planned in Nov Dec'!$A51,'LOI and Commissioning Master Sh'!$X:$X,"Yes",'LOI and Commissioning Master Sh'!$BW:$BW,"Commissioned")</f>
        <v>1</v>
      </c>
      <c r="L51" s="146">
        <f>+COUNTIFS('LOI and Commissioning Master Sh'!$D:$D,'Planned in Nov Dec'!$A51,'LOI and Commissioning Master Sh'!$X:$X,"Yes",'LOI and Commissioning Master Sh'!$BW:$BW,"Pending")</f>
        <v>4</v>
      </c>
      <c r="M51" s="146">
        <f>+COUNTIFS('LOI and Commissioning Master Sh'!$D:$D,'Planned in Nov Dec'!$A51,'LOI and Commissioning Master Sh'!$X:$X,"Yes",'LOI and Commissioning Master Sh'!$BW:$BW,"Pending",'LOI and Commissioning Master Sh'!$AO:$AO,"Approved")</f>
        <v>1</v>
      </c>
      <c r="N51" s="146">
        <f>+COUNTIFS('LOI and Commissioning Master Sh'!$D:$D,'Planned in Nov Dec'!$A51,'LOI and Commissioning Master Sh'!$X:$X,"Yes",'LOI and Commissioning Master Sh'!$BW:$BW,"Pending",'LOI and Commissioning Master Sh'!$AO:$AO,"Sent")</f>
        <v>0</v>
      </c>
      <c r="O51" s="146">
        <f>+COUNTIFS('LOI and Commissioning Master Sh'!$D:$D,'Planned in Nov Dec'!$A51,'LOI and Commissioning Master Sh'!$X:$X,"Yes",'LOI and Commissioning Master Sh'!$BW:$BW,"Pending",'LOI and Commissioning Master Sh'!$AO:$AO,"To be initiated")</f>
        <v>3</v>
      </c>
      <c r="P51" s="171">
        <f t="shared" si="38"/>
        <v>4</v>
      </c>
      <c r="R51" s="146">
        <f>+COUNTIFS('LOI and Commissioning Master Sh'!$D:$D,'Planned in Nov Dec'!$A51,'LOI and Commissioning Master Sh'!$X:$X,"Yes",'LOI and Commissioning Master Sh'!$H:$H,"A")</f>
        <v>2</v>
      </c>
      <c r="S51" s="146">
        <f>+COUNTIFS('LOI and Commissioning Master Sh'!$D:$D,'Planned in Nov Dec'!$A51,'LOI and Commissioning Master Sh'!$X:$X,"Yes",'LOI and Commissioning Master Sh'!$H:$H,"A",'LOI and Commissioning Master Sh'!$Z:$Z,"In Process")</f>
        <v>0</v>
      </c>
      <c r="T51" s="146">
        <f>+COUNTIFS('LOI and Commissioning Master Sh'!$D:$D,'Planned in Nov Dec'!$A51,'LOI and Commissioning Master Sh'!$X:$X,"Yes",'LOI and Commissioning Master Sh'!$H:$H,"A",'LOI and Commissioning Master Sh'!$Z:$Z,"Yet to Initiate")</f>
        <v>2</v>
      </c>
      <c r="U51" s="146">
        <f>+COUNTIFS('LOI and Commissioning Master Sh'!$D:$D,'Planned in Nov Dec'!$A51,'LOI and Commissioning Master Sh'!$X:$X,"Yes",'LOI and Commissioning Master Sh'!$H:$H,"A",'LOI and Commissioning Master Sh'!$Z:$Z,"Approved")</f>
        <v>0</v>
      </c>
      <c r="W51" s="146">
        <f>+COUNTIFS('LOI and Commissioning Master Sh'!$D:$D,'Planned in Nov Dec'!$A51,'LOI and Commissioning Master Sh'!$X:$X,"Yes")</f>
        <v>5</v>
      </c>
      <c r="X51" s="146">
        <f>+COUNTIFS('LOI and Commissioning Master Sh'!$D:$D,'Planned in Nov Dec'!$A51,'LOI and Commissioning Master Sh'!$X:$X,"Yes",'LOI and Commissioning Master Sh'!$BL:$BL,"Applied But Not Received")</f>
        <v>0</v>
      </c>
      <c r="Y51" s="146">
        <f>+COUNTIFS('LOI and Commissioning Master Sh'!$D:$D,'Planned in Nov Dec'!$A51,'LOI and Commissioning Master Sh'!$X:$X,"Yes",'LOI and Commissioning Master Sh'!$BL:$BL,"Received")</f>
        <v>4</v>
      </c>
      <c r="Z51" s="146">
        <f>+COUNTIFS('LOI and Commissioning Master Sh'!$D:$D,'Planned in Nov Dec'!$A51,'LOI and Commissioning Master Sh'!$X:$X,"Yes",'LOI and Commissioning Master Sh'!$BL:$BL,"To Be Applied")</f>
        <v>0</v>
      </c>
      <c r="AB51" s="146">
        <f>+COUNTIFS('LOI and Commissioning Master Sh'!$D:$D,'Planned in Nov Dec'!$A51,'LOI and Commissioning Master Sh'!$X:$X,"Yes")</f>
        <v>5</v>
      </c>
      <c r="AC51" s="146">
        <f>+COUNTIFS('LOI and Commissioning Master Sh'!$D:$D,'Planned in Nov Dec'!$A51,'LOI and Commissioning Master Sh'!$X:$X,"Yes",'LOI and Commissioning Master Sh'!$BG:$BG,"Received")</f>
        <v>1</v>
      </c>
      <c r="AD51" s="146">
        <f>+COUNTIFS('LOI and Commissioning Master Sh'!$D:$D,'Planned in Nov Dec'!$A51,'LOI and Commissioning Master Sh'!$X:$X,"Yes",'LOI and Commissioning Master Sh'!$BG:$BG,"In Process")</f>
        <v>4</v>
      </c>
      <c r="AE51" s="146">
        <f>+COUNTIFS('LOI and Commissioning Master Sh'!$D:$D,'Planned in Nov Dec'!$A51,'LOI and Commissioning Master Sh'!$X:$X,"Yes",'LOI and Commissioning Master Sh'!$BG:$BG,"Yet to Assign")</f>
        <v>0</v>
      </c>
      <c r="AF51" s="146">
        <f t="shared" si="39"/>
        <v>5</v>
      </c>
      <c r="AG51" s="146">
        <f t="shared" si="39"/>
        <v>9</v>
      </c>
      <c r="AI51" s="146">
        <f>+COUNTIFS('LOI and Commissioning Master Sh'!$D:$D,'Planned in Nov Dec'!$A51,'LOI and Commissioning Master Sh'!$X:$X,"Yes")</f>
        <v>5</v>
      </c>
      <c r="AJ51" s="146">
        <f>+COUNTIFS('LOI and Commissioning Master Sh'!$D:$D,'Planned in Nov Dec'!$A51,'LOI and Commissioning Master Sh'!$X:$X,"Yes",'LOI and Commissioning Master Sh'!$BW:$BW,"Commissioned")</f>
        <v>1</v>
      </c>
      <c r="AK51" s="146">
        <f>+COUNTIFS('LOI and Commissioning Master Sh'!$D:$D,'Planned in Nov Dec'!$A51,'LOI and Commissioning Master Sh'!$X:$X,"Yes",'LOI and Commissioning Master Sh'!$AC:$AC,"Yes")</f>
        <v>1</v>
      </c>
      <c r="AL51" s="161">
        <f t="shared" si="40"/>
        <v>4</v>
      </c>
      <c r="AN51" s="146">
        <f>+COUNTIFS('LOI and Commissioning Master Sh'!$D:$D,'Planned in Nov Dec'!$A51,'LOI and Commissioning Master Sh'!$X:$X,"Yes",'LOI and Commissioning Master Sh'!$AC:$AC,"Yes",'LOI and Commissioning Master Sh'!$H:$H,"A",'LOI and Commissioning Master Sh'!$I:$I,"RO")</f>
        <v>0</v>
      </c>
      <c r="AO51" s="146">
        <f>+COUNTIFS('LOI and Commissioning Master Sh'!$D:$D,'Planned in Nov Dec'!$A51,'LOI and Commissioning Master Sh'!$X:$X,"Yes",'LOI and Commissioning Master Sh'!$AC:$AC,"Yes",'LOI and Commissioning Master Sh'!$H:$H,"B",'LOI and Commissioning Master Sh'!$I:$I,"RO")</f>
        <v>1</v>
      </c>
      <c r="AP51" s="172">
        <f t="shared" si="41"/>
        <v>1</v>
      </c>
      <c r="AQ51" s="146">
        <f>+COUNTIFS('LOI and Commissioning Master Sh'!$D:$D,'Planned in Nov Dec'!$A51,'LOI and Commissioning Master Sh'!$X:$X,"Yes",'LOI and Commissioning Master Sh'!$AC:$AC,"Yes",'LOI and Commissioning Master Sh'!$H:$H,"A",'LOI and Commissioning Master Sh'!$I:$I,"KSK")</f>
        <v>0</v>
      </c>
      <c r="AR51" s="146">
        <f>+COUNTIFS('LOI and Commissioning Master Sh'!$D:$D,'Planned in Nov Dec'!$A51,'LOI and Commissioning Master Sh'!$X:$X,"Yes",'LOI and Commissioning Master Sh'!$AC:$AC,"Yes",'LOI and Commissioning Master Sh'!$H:$H,"B",'LOI and Commissioning Master Sh'!$I:$I,"KSK")</f>
        <v>0</v>
      </c>
      <c r="AS51" s="172">
        <f t="shared" si="42"/>
        <v>0</v>
      </c>
      <c r="AT51" s="173">
        <f t="shared" si="34"/>
        <v>1</v>
      </c>
      <c r="AW51" s="146">
        <f>+COUNTIFS('LOI and Commissioning Master Sh'!$D:$D,'Planned in Nov Dec'!$A51,'LOI and Commissioning Master Sh'!$X:$X,"Yes",'LOI and Commissioning Master Sh'!$AP:$AP,"No",'LOI and Commissioning Master Sh'!$H:$H,"A",'LOI and Commissioning Master Sh'!$I:$I,"RO")</f>
        <v>2</v>
      </c>
      <c r="AX51" s="146">
        <f>+COUNTIFS('LOI and Commissioning Master Sh'!$D:$D,'Planned in Nov Dec'!$A51,'LOI and Commissioning Master Sh'!$X:$X,"Yes",'LOI and Commissioning Master Sh'!$AP:$AP,"No",'LOI and Commissioning Master Sh'!$H:$H,"B",'LOI and Commissioning Master Sh'!$I:$I,"RO")</f>
        <v>1</v>
      </c>
      <c r="AY51" s="172">
        <f t="shared" si="35"/>
        <v>3</v>
      </c>
      <c r="AZ51" s="146">
        <f>+COUNTIFS('LOI and Commissioning Master Sh'!$D:$D,'Planned in Nov Dec'!$A51,'LOI and Commissioning Master Sh'!$X:$X,"Yes",'LOI and Commissioning Master Sh'!$AP:$AP,"No",'LOI and Commissioning Master Sh'!$H:$H,"A",'LOI and Commissioning Master Sh'!$I:$I,"KSK")</f>
        <v>0</v>
      </c>
      <c r="BA51" s="146">
        <f>+COUNTIFS('LOI and Commissioning Master Sh'!$D:$D,'Planned in Nov Dec'!$A51,'LOI and Commissioning Master Sh'!$X:$X,"Yes",'LOI and Commissioning Master Sh'!$AP:$AP,"No",'LOI and Commissioning Master Sh'!$H:$H,"B",'LOI and Commissioning Master Sh'!$I:$I,"KSK")</f>
        <v>0</v>
      </c>
      <c r="BB51" s="172">
        <f t="shared" si="36"/>
        <v>0</v>
      </c>
      <c r="BC51" s="173">
        <f t="shared" si="37"/>
        <v>3</v>
      </c>
    </row>
    <row r="52" spans="1:55" ht="15.75" thickBot="1" x14ac:dyDescent="0.3">
      <c r="A52" s="145" t="s">
        <v>135</v>
      </c>
      <c r="B52" s="146">
        <f>+COUNTIFS('LOI and Commissioning Master Sh'!$D:$D,'Planned in Nov Dec'!$A52,'LOI and Commissioning Master Sh'!$X:$X,"Yes",'LOI and Commissioning Master Sh'!$H:$H,"A")</f>
        <v>1</v>
      </c>
      <c r="C52" s="170"/>
      <c r="D52" s="146">
        <f>+COUNTIFS('LOI and Commissioning Master Sh'!$D:$D,'Planned in Nov Dec'!$A52,'LOI and Commissioning Master Sh'!$X:$X,"Yes",'LOI and Commissioning Master Sh'!$H:$H,"A",'LOI and Commissioning Master Sh'!$AJ:$AJ,"Yes")</f>
        <v>1</v>
      </c>
      <c r="E52" s="146">
        <f>+COUNTIFS('LOI and Commissioning Master Sh'!$D:$D,'Planned in Nov Dec'!$A52,'LOI and Commissioning Master Sh'!$X:$X,"Yes",'LOI and Commissioning Master Sh'!$H:$H,"A",'LOI and Commissioning Master Sh'!$AI:$AI,"Yes",'LOI and Commissioning Master Sh'!$AJ:$AJ,"Pending")</f>
        <v>0</v>
      </c>
      <c r="F52" s="146">
        <f>+COUNTIFS('LOI and Commissioning Master Sh'!$D:$D,'Planned in Nov Dec'!$A52,'LOI and Commissioning Master Sh'!$X:$X,"Yes",'LOI and Commissioning Master Sh'!$H:$H,"A",'LOI and Commissioning Master Sh'!$AI:$AI,"Pending",'LOI and Commissioning Master Sh'!$AJ:$AJ,"Pending")</f>
        <v>0</v>
      </c>
      <c r="J52" s="146">
        <f>+COUNTIFS('LOI and Commissioning Master Sh'!$D:$D,'Planned in Nov Dec'!$A52,'LOI and Commissioning Master Sh'!$X:$X,"Yes")</f>
        <v>5</v>
      </c>
      <c r="K52" s="146">
        <f>+COUNTIFS('LOI and Commissioning Master Sh'!$D:$D,'Planned in Nov Dec'!$A52,'LOI and Commissioning Master Sh'!$X:$X,"Yes",'LOI and Commissioning Master Sh'!$BW:$BW,"Commissioned")</f>
        <v>1</v>
      </c>
      <c r="L52" s="146">
        <f>+COUNTIFS('LOI and Commissioning Master Sh'!$D:$D,'Planned in Nov Dec'!$A52,'LOI and Commissioning Master Sh'!$X:$X,"Yes",'LOI and Commissioning Master Sh'!$BW:$BW,"Pending")</f>
        <v>4</v>
      </c>
      <c r="M52" s="146">
        <f>+COUNTIFS('LOI and Commissioning Master Sh'!$D:$D,'Planned in Nov Dec'!$A52,'LOI and Commissioning Master Sh'!$X:$X,"Yes",'LOI and Commissioning Master Sh'!$BW:$BW,"Pending",'LOI and Commissioning Master Sh'!$AO:$AO,"Approved")</f>
        <v>4</v>
      </c>
      <c r="N52" s="146">
        <f>+COUNTIFS('LOI and Commissioning Master Sh'!$D:$D,'Planned in Nov Dec'!$A52,'LOI and Commissioning Master Sh'!$X:$X,"Yes",'LOI and Commissioning Master Sh'!$BW:$BW,"Pending",'LOI and Commissioning Master Sh'!$AO:$AO,"Sent")</f>
        <v>0</v>
      </c>
      <c r="O52" s="146">
        <f>+COUNTIFS('LOI and Commissioning Master Sh'!$D:$D,'Planned in Nov Dec'!$A52,'LOI and Commissioning Master Sh'!$X:$X,"Yes",'LOI and Commissioning Master Sh'!$BW:$BW,"Pending",'LOI and Commissioning Master Sh'!$AO:$AO,"To be initiated")</f>
        <v>0</v>
      </c>
      <c r="P52" s="171">
        <f t="shared" si="38"/>
        <v>4</v>
      </c>
      <c r="R52" s="146">
        <f>+COUNTIFS('LOI and Commissioning Master Sh'!$D:$D,'Planned in Nov Dec'!$A52,'LOI and Commissioning Master Sh'!$X:$X,"Yes",'LOI and Commissioning Master Sh'!$H:$H,"A")</f>
        <v>1</v>
      </c>
      <c r="S52" s="146">
        <f>+COUNTIFS('LOI and Commissioning Master Sh'!$D:$D,'Planned in Nov Dec'!$A52,'LOI and Commissioning Master Sh'!$X:$X,"Yes",'LOI and Commissioning Master Sh'!$H:$H,"A",'LOI and Commissioning Master Sh'!$Z:$Z,"In Process")</f>
        <v>0</v>
      </c>
      <c r="T52" s="146">
        <f>+COUNTIFS('LOI and Commissioning Master Sh'!$D:$D,'Planned in Nov Dec'!$A52,'LOI and Commissioning Master Sh'!$X:$X,"Yes",'LOI and Commissioning Master Sh'!$H:$H,"A",'LOI and Commissioning Master Sh'!$Z:$Z,"Yet to Initiate")</f>
        <v>0</v>
      </c>
      <c r="U52" s="146">
        <f>+COUNTIFS('LOI and Commissioning Master Sh'!$D:$D,'Planned in Nov Dec'!$A52,'LOI and Commissioning Master Sh'!$X:$X,"Yes",'LOI and Commissioning Master Sh'!$H:$H,"A",'LOI and Commissioning Master Sh'!$Z:$Z,"Approved")</f>
        <v>1</v>
      </c>
      <c r="W52" s="146">
        <f>+COUNTIFS('LOI and Commissioning Master Sh'!$D:$D,'Planned in Nov Dec'!$A52,'LOI and Commissioning Master Sh'!$X:$X,"Yes")</f>
        <v>5</v>
      </c>
      <c r="X52" s="146">
        <f>+COUNTIFS('LOI and Commissioning Master Sh'!$D:$D,'Planned in Nov Dec'!$A52,'LOI and Commissioning Master Sh'!$X:$X,"Yes",'LOI and Commissioning Master Sh'!$BL:$BL,"Applied But Not Received")</f>
        <v>0</v>
      </c>
      <c r="Y52" s="146">
        <f>+COUNTIFS('LOI and Commissioning Master Sh'!$D:$D,'Planned in Nov Dec'!$A52,'LOI and Commissioning Master Sh'!$X:$X,"Yes",'LOI and Commissioning Master Sh'!$BL:$BL,"Received")</f>
        <v>5</v>
      </c>
      <c r="Z52" s="146">
        <f>+COUNTIFS('LOI and Commissioning Master Sh'!$D:$D,'Planned in Nov Dec'!$A52,'LOI and Commissioning Master Sh'!$X:$X,"Yes",'LOI and Commissioning Master Sh'!$BL:$BL,"To Be Applied")</f>
        <v>0</v>
      </c>
      <c r="AB52" s="146">
        <f>+COUNTIFS('LOI and Commissioning Master Sh'!$D:$D,'Planned in Nov Dec'!$A52,'LOI and Commissioning Master Sh'!$X:$X,"Yes")</f>
        <v>5</v>
      </c>
      <c r="AC52" s="146">
        <f>+COUNTIFS('LOI and Commissioning Master Sh'!$D:$D,'Planned in Nov Dec'!$A52,'LOI and Commissioning Master Sh'!$X:$X,"Yes",'LOI and Commissioning Master Sh'!$BG:$BG,"Received")</f>
        <v>4</v>
      </c>
      <c r="AD52" s="146">
        <f>+COUNTIFS('LOI and Commissioning Master Sh'!$D:$D,'Planned in Nov Dec'!$A52,'LOI and Commissioning Master Sh'!$X:$X,"Yes",'LOI and Commissioning Master Sh'!$BG:$BG,"In Process")</f>
        <v>1</v>
      </c>
      <c r="AE52" s="146">
        <f>+COUNTIFS('LOI and Commissioning Master Sh'!$D:$D,'Planned in Nov Dec'!$A52,'LOI and Commissioning Master Sh'!$X:$X,"Yes",'LOI and Commissioning Master Sh'!$BG:$BG,"Yet to Assign")</f>
        <v>0</v>
      </c>
      <c r="AF52" s="146">
        <f t="shared" si="39"/>
        <v>5</v>
      </c>
      <c r="AG52" s="146">
        <f t="shared" si="39"/>
        <v>6</v>
      </c>
      <c r="AI52" s="146">
        <f>+COUNTIFS('LOI and Commissioning Master Sh'!$D:$D,'Planned in Nov Dec'!$A52,'LOI and Commissioning Master Sh'!$X:$X,"Yes")</f>
        <v>5</v>
      </c>
      <c r="AJ52" s="146">
        <f>+COUNTIFS('LOI and Commissioning Master Sh'!$D:$D,'Planned in Nov Dec'!$A52,'LOI and Commissioning Master Sh'!$X:$X,"Yes",'LOI and Commissioning Master Sh'!$BW:$BW,"Commissioned")</f>
        <v>1</v>
      </c>
      <c r="AK52" s="146">
        <f>+COUNTIFS('LOI and Commissioning Master Sh'!$D:$D,'Planned in Nov Dec'!$A52,'LOI and Commissioning Master Sh'!$X:$X,"Yes",'LOI and Commissioning Master Sh'!$AC:$AC,"Yes")</f>
        <v>2</v>
      </c>
      <c r="AL52" s="161">
        <f t="shared" si="40"/>
        <v>3</v>
      </c>
      <c r="AN52" s="146">
        <f>+COUNTIFS('LOI and Commissioning Master Sh'!$D:$D,'Planned in Nov Dec'!$A52,'LOI and Commissioning Master Sh'!$X:$X,"Yes",'LOI and Commissioning Master Sh'!$AC:$AC,"Yes",'LOI and Commissioning Master Sh'!$H:$H,"A",'LOI and Commissioning Master Sh'!$I:$I,"RO")</f>
        <v>1</v>
      </c>
      <c r="AO52" s="146">
        <f>+COUNTIFS('LOI and Commissioning Master Sh'!$D:$D,'Planned in Nov Dec'!$A52,'LOI and Commissioning Master Sh'!$X:$X,"Yes",'LOI and Commissioning Master Sh'!$AC:$AC,"Yes",'LOI and Commissioning Master Sh'!$H:$H,"B",'LOI and Commissioning Master Sh'!$I:$I,"RO")</f>
        <v>0</v>
      </c>
      <c r="AP52" s="172">
        <f t="shared" si="41"/>
        <v>1</v>
      </c>
      <c r="AQ52" s="146">
        <f>+COUNTIFS('LOI and Commissioning Master Sh'!$D:$D,'Planned in Nov Dec'!$A52,'LOI and Commissioning Master Sh'!$X:$X,"Yes",'LOI and Commissioning Master Sh'!$AC:$AC,"Yes",'LOI and Commissioning Master Sh'!$H:$H,"A",'LOI and Commissioning Master Sh'!$I:$I,"KSK")</f>
        <v>0</v>
      </c>
      <c r="AR52" s="146">
        <f>+COUNTIFS('LOI and Commissioning Master Sh'!$D:$D,'Planned in Nov Dec'!$A52,'LOI and Commissioning Master Sh'!$X:$X,"Yes",'LOI and Commissioning Master Sh'!$AC:$AC,"Yes",'LOI and Commissioning Master Sh'!$H:$H,"B",'LOI and Commissioning Master Sh'!$I:$I,"KSK")</f>
        <v>1</v>
      </c>
      <c r="AS52" s="172">
        <f t="shared" si="42"/>
        <v>1</v>
      </c>
      <c r="AT52" s="173">
        <f t="shared" si="34"/>
        <v>2</v>
      </c>
      <c r="AW52" s="146">
        <f>+COUNTIFS('LOI and Commissioning Master Sh'!$D:$D,'Planned in Nov Dec'!$A52,'LOI and Commissioning Master Sh'!$X:$X,"Yes",'LOI and Commissioning Master Sh'!$AP:$AP,"No",'LOI and Commissioning Master Sh'!$H:$H,"A",'LOI and Commissioning Master Sh'!$I:$I,"RO")</f>
        <v>0</v>
      </c>
      <c r="AX52" s="146">
        <f>+COUNTIFS('LOI and Commissioning Master Sh'!$D:$D,'Planned in Nov Dec'!$A52,'LOI and Commissioning Master Sh'!$X:$X,"Yes",'LOI and Commissioning Master Sh'!$AP:$AP,"No",'LOI and Commissioning Master Sh'!$H:$H,"B",'LOI and Commissioning Master Sh'!$I:$I,"RO")</f>
        <v>0</v>
      </c>
      <c r="AY52" s="172">
        <f t="shared" si="35"/>
        <v>0</v>
      </c>
      <c r="AZ52" s="146">
        <f>+COUNTIFS('LOI and Commissioning Master Sh'!$D:$D,'Planned in Nov Dec'!$A52,'LOI and Commissioning Master Sh'!$X:$X,"Yes",'LOI and Commissioning Master Sh'!$AP:$AP,"No",'LOI and Commissioning Master Sh'!$H:$H,"A",'LOI and Commissioning Master Sh'!$I:$I,"KSK")</f>
        <v>0</v>
      </c>
      <c r="BA52" s="146">
        <f>+COUNTIFS('LOI and Commissioning Master Sh'!$D:$D,'Planned in Nov Dec'!$A52,'LOI and Commissioning Master Sh'!$X:$X,"Yes",'LOI and Commissioning Master Sh'!$AP:$AP,"No",'LOI and Commissioning Master Sh'!$H:$H,"B",'LOI and Commissioning Master Sh'!$I:$I,"KSK")</f>
        <v>0</v>
      </c>
      <c r="BB52" s="172">
        <f t="shared" si="36"/>
        <v>0</v>
      </c>
      <c r="BC52" s="173">
        <f t="shared" si="37"/>
        <v>0</v>
      </c>
    </row>
    <row r="53" spans="1:55" ht="15.75" thickBot="1" x14ac:dyDescent="0.3">
      <c r="A53" s="145" t="s">
        <v>195</v>
      </c>
      <c r="B53" s="146">
        <f>+COUNTIFS('LOI and Commissioning Master Sh'!$D:$D,'Planned in Nov Dec'!$A53,'LOI and Commissioning Master Sh'!$X:$X,"Yes",'LOI and Commissioning Master Sh'!$H:$H,"A")</f>
        <v>4</v>
      </c>
      <c r="C53" s="170"/>
      <c r="D53" s="146">
        <f>+COUNTIFS('LOI and Commissioning Master Sh'!$D:$D,'Planned in Nov Dec'!$A53,'LOI and Commissioning Master Sh'!$X:$X,"Yes",'LOI and Commissioning Master Sh'!$H:$H,"A",'LOI and Commissioning Master Sh'!$AJ:$AJ,"Yes")</f>
        <v>3</v>
      </c>
      <c r="E53" s="146">
        <f>+COUNTIFS('LOI and Commissioning Master Sh'!$D:$D,'Planned in Nov Dec'!$A53,'LOI and Commissioning Master Sh'!$X:$X,"Yes",'LOI and Commissioning Master Sh'!$H:$H,"A",'LOI and Commissioning Master Sh'!$AI:$AI,"Yes",'LOI and Commissioning Master Sh'!$AJ:$AJ,"Pending")</f>
        <v>0</v>
      </c>
      <c r="F53" s="146">
        <f>+COUNTIFS('LOI and Commissioning Master Sh'!$D:$D,'Planned in Nov Dec'!$A53,'LOI and Commissioning Master Sh'!$X:$X,"Yes",'LOI and Commissioning Master Sh'!$H:$H,"A",'LOI and Commissioning Master Sh'!$AI:$AI,"Pending",'LOI and Commissioning Master Sh'!$AJ:$AJ,"Pending")</f>
        <v>0</v>
      </c>
      <c r="J53" s="146">
        <f>+COUNTIFS('LOI and Commissioning Master Sh'!$D:$D,'Planned in Nov Dec'!$A53,'LOI and Commissioning Master Sh'!$X:$X,"Yes")</f>
        <v>6</v>
      </c>
      <c r="K53" s="146">
        <f>+COUNTIFS('LOI and Commissioning Master Sh'!$D:$D,'Planned in Nov Dec'!$A53,'LOI and Commissioning Master Sh'!$X:$X,"Yes",'LOI and Commissioning Master Sh'!$BW:$BW,"Commissioned")</f>
        <v>0</v>
      </c>
      <c r="L53" s="146">
        <f>+COUNTIFS('LOI and Commissioning Master Sh'!$D:$D,'Planned in Nov Dec'!$A53,'LOI and Commissioning Master Sh'!$X:$X,"Yes",'LOI and Commissioning Master Sh'!$BW:$BW,"Pending")</f>
        <v>6</v>
      </c>
      <c r="M53" s="146">
        <f>+COUNTIFS('LOI and Commissioning Master Sh'!$D:$D,'Planned in Nov Dec'!$A53,'LOI and Commissioning Master Sh'!$X:$X,"Yes",'LOI and Commissioning Master Sh'!$BW:$BW,"Pending",'LOI and Commissioning Master Sh'!$AO:$AO,"Approved")</f>
        <v>3</v>
      </c>
      <c r="N53" s="146">
        <f>+COUNTIFS('LOI and Commissioning Master Sh'!$D:$D,'Planned in Nov Dec'!$A53,'LOI and Commissioning Master Sh'!$X:$X,"Yes",'LOI and Commissioning Master Sh'!$BW:$BW,"Pending",'LOI and Commissioning Master Sh'!$AO:$AO,"Sent")</f>
        <v>0</v>
      </c>
      <c r="O53" s="146">
        <f>+COUNTIFS('LOI and Commissioning Master Sh'!$D:$D,'Planned in Nov Dec'!$A53,'LOI and Commissioning Master Sh'!$X:$X,"Yes",'LOI and Commissioning Master Sh'!$BW:$BW,"Pending",'LOI and Commissioning Master Sh'!$AO:$AO,"To be initiated")</f>
        <v>3</v>
      </c>
      <c r="P53" s="171">
        <f t="shared" si="38"/>
        <v>6</v>
      </c>
      <c r="R53" s="146">
        <f>+COUNTIFS('LOI and Commissioning Master Sh'!$D:$D,'Planned in Nov Dec'!$A53,'LOI and Commissioning Master Sh'!$X:$X,"Yes",'LOI and Commissioning Master Sh'!$H:$H,"A")</f>
        <v>4</v>
      </c>
      <c r="S53" s="146">
        <f>+COUNTIFS('LOI and Commissioning Master Sh'!$D:$D,'Planned in Nov Dec'!$A53,'LOI and Commissioning Master Sh'!$X:$X,"Yes",'LOI and Commissioning Master Sh'!$H:$H,"A",'LOI and Commissioning Master Sh'!$Z:$Z,"In Process")</f>
        <v>0</v>
      </c>
      <c r="T53" s="146">
        <f>+COUNTIFS('LOI and Commissioning Master Sh'!$D:$D,'Planned in Nov Dec'!$A53,'LOI and Commissioning Master Sh'!$X:$X,"Yes",'LOI and Commissioning Master Sh'!$H:$H,"A",'LOI and Commissioning Master Sh'!$Z:$Z,"Yet to Initiate")</f>
        <v>2</v>
      </c>
      <c r="U53" s="146">
        <f>+COUNTIFS('LOI and Commissioning Master Sh'!$D:$D,'Planned in Nov Dec'!$A53,'LOI and Commissioning Master Sh'!$X:$X,"Yes",'LOI and Commissioning Master Sh'!$H:$H,"A",'LOI and Commissioning Master Sh'!$Z:$Z,"Approved")</f>
        <v>2</v>
      </c>
      <c r="W53" s="146">
        <f>+COUNTIFS('LOI and Commissioning Master Sh'!$D:$D,'Planned in Nov Dec'!$A53,'LOI and Commissioning Master Sh'!$X:$X,"Yes")</f>
        <v>6</v>
      </c>
      <c r="X53" s="146">
        <f>+COUNTIFS('LOI and Commissioning Master Sh'!$D:$D,'Planned in Nov Dec'!$A53,'LOI and Commissioning Master Sh'!$X:$X,"Yes",'LOI and Commissioning Master Sh'!$BL:$BL,"Applied But Not Received")</f>
        <v>1</v>
      </c>
      <c r="Y53" s="146">
        <f>+COUNTIFS('LOI and Commissioning Master Sh'!$D:$D,'Planned in Nov Dec'!$A53,'LOI and Commissioning Master Sh'!$X:$X,"Yes",'LOI and Commissioning Master Sh'!$BL:$BL,"Received")</f>
        <v>2</v>
      </c>
      <c r="Z53" s="146">
        <f>+COUNTIFS('LOI and Commissioning Master Sh'!$D:$D,'Planned in Nov Dec'!$A53,'LOI and Commissioning Master Sh'!$X:$X,"Yes",'LOI and Commissioning Master Sh'!$BL:$BL,"To Be Applied")</f>
        <v>1</v>
      </c>
      <c r="AB53" s="146">
        <f>+COUNTIFS('LOI and Commissioning Master Sh'!$D:$D,'Planned in Nov Dec'!$A53,'LOI and Commissioning Master Sh'!$X:$X,"Yes")</f>
        <v>6</v>
      </c>
      <c r="AC53" s="146">
        <f>+COUNTIFS('LOI and Commissioning Master Sh'!$D:$D,'Planned in Nov Dec'!$A53,'LOI and Commissioning Master Sh'!$X:$X,"Yes",'LOI and Commissioning Master Sh'!$BG:$BG,"Received")</f>
        <v>3</v>
      </c>
      <c r="AD53" s="146">
        <f>+COUNTIFS('LOI and Commissioning Master Sh'!$D:$D,'Planned in Nov Dec'!$A53,'LOI and Commissioning Master Sh'!$X:$X,"Yes",'LOI and Commissioning Master Sh'!$BG:$BG,"In Process")</f>
        <v>2</v>
      </c>
      <c r="AE53" s="146">
        <f>+COUNTIFS('LOI and Commissioning Master Sh'!$D:$D,'Planned in Nov Dec'!$A53,'LOI and Commissioning Master Sh'!$X:$X,"Yes",'LOI and Commissioning Master Sh'!$BG:$BG,"Yet to Assign")</f>
        <v>1</v>
      </c>
      <c r="AF53" s="146">
        <f t="shared" si="39"/>
        <v>6</v>
      </c>
      <c r="AG53" s="146">
        <f t="shared" si="39"/>
        <v>9</v>
      </c>
      <c r="AI53" s="146">
        <f>+COUNTIFS('LOI and Commissioning Master Sh'!$D:$D,'Planned in Nov Dec'!$A53,'LOI and Commissioning Master Sh'!$X:$X,"Yes")</f>
        <v>6</v>
      </c>
      <c r="AJ53" s="146">
        <f>+COUNTIFS('LOI and Commissioning Master Sh'!$D:$D,'Planned in Nov Dec'!$A53,'LOI and Commissioning Master Sh'!$X:$X,"Yes",'LOI and Commissioning Master Sh'!$BW:$BW,"Commissioned")</f>
        <v>0</v>
      </c>
      <c r="AK53" s="146">
        <f>+COUNTIFS('LOI and Commissioning Master Sh'!$D:$D,'Planned in Nov Dec'!$A53,'LOI and Commissioning Master Sh'!$X:$X,"Yes",'LOI and Commissioning Master Sh'!$AC:$AC,"Yes")</f>
        <v>0</v>
      </c>
      <c r="AL53" s="161">
        <f t="shared" si="40"/>
        <v>6</v>
      </c>
      <c r="AN53" s="146">
        <f>+COUNTIFS('LOI and Commissioning Master Sh'!$D:$D,'Planned in Nov Dec'!$A53,'LOI and Commissioning Master Sh'!$X:$X,"Yes",'LOI and Commissioning Master Sh'!$AC:$AC,"Yes",'LOI and Commissioning Master Sh'!$H:$H,"A",'LOI and Commissioning Master Sh'!$I:$I,"RO")</f>
        <v>0</v>
      </c>
      <c r="AO53" s="146">
        <f>+COUNTIFS('LOI and Commissioning Master Sh'!$D:$D,'Planned in Nov Dec'!$A53,'LOI and Commissioning Master Sh'!$X:$X,"Yes",'LOI and Commissioning Master Sh'!$AC:$AC,"Yes",'LOI and Commissioning Master Sh'!$H:$H,"B",'LOI and Commissioning Master Sh'!$I:$I,"RO")</f>
        <v>0</v>
      </c>
      <c r="AP53" s="172">
        <f t="shared" si="41"/>
        <v>0</v>
      </c>
      <c r="AQ53" s="146">
        <f>+COUNTIFS('LOI and Commissioning Master Sh'!$D:$D,'Planned in Nov Dec'!$A53,'LOI and Commissioning Master Sh'!$X:$X,"Yes",'LOI and Commissioning Master Sh'!$AC:$AC,"Yes",'LOI and Commissioning Master Sh'!$H:$H,"A",'LOI and Commissioning Master Sh'!$I:$I,"KSK")</f>
        <v>0</v>
      </c>
      <c r="AR53" s="146">
        <f>+COUNTIFS('LOI and Commissioning Master Sh'!$D:$D,'Planned in Nov Dec'!$A53,'LOI and Commissioning Master Sh'!$X:$X,"Yes",'LOI and Commissioning Master Sh'!$AC:$AC,"Yes",'LOI and Commissioning Master Sh'!$H:$H,"B",'LOI and Commissioning Master Sh'!$I:$I,"KSK")</f>
        <v>0</v>
      </c>
      <c r="AS53" s="172">
        <f t="shared" si="42"/>
        <v>0</v>
      </c>
      <c r="AT53" s="173">
        <f t="shared" si="34"/>
        <v>0</v>
      </c>
      <c r="AW53" s="146">
        <f>+COUNTIFS('LOI and Commissioning Master Sh'!$D:$D,'Planned in Nov Dec'!$A53,'LOI and Commissioning Master Sh'!$X:$X,"Yes",'LOI and Commissioning Master Sh'!$AP:$AP,"No",'LOI and Commissioning Master Sh'!$H:$H,"A",'LOI and Commissioning Master Sh'!$I:$I,"RO")</f>
        <v>1</v>
      </c>
      <c r="AX53" s="146">
        <f>+COUNTIFS('LOI and Commissioning Master Sh'!$D:$D,'Planned in Nov Dec'!$A53,'LOI and Commissioning Master Sh'!$X:$X,"Yes",'LOI and Commissioning Master Sh'!$AP:$AP,"No",'LOI and Commissioning Master Sh'!$H:$H,"B",'LOI and Commissioning Master Sh'!$I:$I,"RO")</f>
        <v>1</v>
      </c>
      <c r="AY53" s="172">
        <f t="shared" si="35"/>
        <v>2</v>
      </c>
      <c r="AZ53" s="146">
        <f>+COUNTIFS('LOI and Commissioning Master Sh'!$D:$D,'Planned in Nov Dec'!$A53,'LOI and Commissioning Master Sh'!$X:$X,"Yes",'LOI and Commissioning Master Sh'!$AP:$AP,"No",'LOI and Commissioning Master Sh'!$H:$H,"A",'LOI and Commissioning Master Sh'!$I:$I,"KSK")</f>
        <v>0</v>
      </c>
      <c r="BA53" s="146">
        <f>+COUNTIFS('LOI and Commissioning Master Sh'!$D:$D,'Planned in Nov Dec'!$A53,'LOI and Commissioning Master Sh'!$X:$X,"Yes",'LOI and Commissioning Master Sh'!$AP:$AP,"No",'LOI and Commissioning Master Sh'!$H:$H,"B",'LOI and Commissioning Master Sh'!$I:$I,"KSK")</f>
        <v>0</v>
      </c>
      <c r="BB53" s="172">
        <f t="shared" si="36"/>
        <v>0</v>
      </c>
      <c r="BC53" s="173">
        <f t="shared" si="37"/>
        <v>2</v>
      </c>
    </row>
    <row r="54" spans="1:55" ht="15.75" thickBot="1" x14ac:dyDescent="0.3">
      <c r="A54" s="152" t="s">
        <v>1355</v>
      </c>
      <c r="B54" s="146">
        <f>SUM(B43:B53)</f>
        <v>35</v>
      </c>
      <c r="C54" s="146"/>
      <c r="D54" s="146">
        <f>SUM(D43:D53)</f>
        <v>19</v>
      </c>
      <c r="E54" s="146">
        <f>SUM(E43:E53)</f>
        <v>13</v>
      </c>
      <c r="F54" s="146">
        <f>SUM(F43:F53)</f>
        <v>0</v>
      </c>
      <c r="G54" s="146"/>
      <c r="H54" s="146"/>
      <c r="I54" s="146"/>
      <c r="J54" s="146">
        <f t="shared" ref="J54:P54" si="43">SUM(J43:J53)</f>
        <v>75</v>
      </c>
      <c r="K54" s="146">
        <f t="shared" si="43"/>
        <v>8</v>
      </c>
      <c r="L54" s="146">
        <f t="shared" si="43"/>
        <v>67</v>
      </c>
      <c r="M54" s="146">
        <f t="shared" si="43"/>
        <v>22</v>
      </c>
      <c r="N54" s="146">
        <f t="shared" si="43"/>
        <v>7</v>
      </c>
      <c r="O54" s="146">
        <f t="shared" si="43"/>
        <v>38</v>
      </c>
      <c r="P54" s="146">
        <f t="shared" si="43"/>
        <v>67</v>
      </c>
      <c r="Q54" s="146"/>
      <c r="R54" s="146">
        <f>SUM(R43:R53)</f>
        <v>35</v>
      </c>
      <c r="S54" s="146">
        <f>SUM(S43:S53)</f>
        <v>0</v>
      </c>
      <c r="T54" s="146">
        <f>SUM(T43:T53)</f>
        <v>18</v>
      </c>
      <c r="U54" s="146">
        <f>SUM(U43:U53)</f>
        <v>17</v>
      </c>
      <c r="V54" s="174"/>
      <c r="W54" s="175">
        <f>SUM(W43:W53)</f>
        <v>75</v>
      </c>
      <c r="X54" s="175">
        <f>SUM(X43:X53)</f>
        <v>1</v>
      </c>
      <c r="Y54" s="175">
        <f>SUM(Y43:Y49)</f>
        <v>33</v>
      </c>
      <c r="Z54" s="175">
        <f>SUM(Z43:Z53)</f>
        <v>7</v>
      </c>
      <c r="AA54" s="174"/>
      <c r="AB54" s="146">
        <f t="shared" ref="AB54:AG54" si="44">SUM(AB43:AB53)</f>
        <v>75</v>
      </c>
      <c r="AC54" s="146">
        <f t="shared" si="44"/>
        <v>39</v>
      </c>
      <c r="AD54" s="146">
        <f t="shared" si="44"/>
        <v>30</v>
      </c>
      <c r="AE54" s="146">
        <f t="shared" si="44"/>
        <v>6</v>
      </c>
      <c r="AF54" s="146">
        <f t="shared" si="44"/>
        <v>75</v>
      </c>
      <c r="AG54" s="146">
        <f t="shared" si="44"/>
        <v>111</v>
      </c>
      <c r="AH54" s="174"/>
      <c r="AI54" s="162">
        <f>SUM(AI43:AI53)</f>
        <v>75</v>
      </c>
      <c r="AJ54" s="162">
        <f>SUM(AJ43:AJ53)</f>
        <v>8</v>
      </c>
      <c r="AK54" s="162">
        <f>SUM(AK43:AK53)</f>
        <v>11</v>
      </c>
      <c r="AL54" s="162">
        <f>SUM(AL43:AL53)</f>
        <v>64</v>
      </c>
      <c r="AM54" s="174"/>
      <c r="AN54" s="162">
        <f>SUM(AN43:AN53)</f>
        <v>6</v>
      </c>
      <c r="AO54" s="162">
        <f t="shared" ref="AO54:AP54" si="45">SUM(AO43:AO53)</f>
        <v>2</v>
      </c>
      <c r="AP54" s="162">
        <f t="shared" si="45"/>
        <v>8</v>
      </c>
      <c r="AQ54" s="162">
        <f>SUM(AQ43:AQ53)</f>
        <v>1</v>
      </c>
      <c r="AR54" s="162">
        <f>SUM(AR43:AR53)</f>
        <v>2</v>
      </c>
      <c r="AS54" s="176">
        <f>SUM(AS43:AS53)</f>
        <v>3</v>
      </c>
      <c r="AT54" s="177">
        <f>SUM(AT43:AT53)</f>
        <v>11</v>
      </c>
      <c r="AU54" s="174"/>
      <c r="AV54" s="174"/>
      <c r="AW54" s="162">
        <f t="shared" ref="AW54:BC54" si="46">SUM(AW43:AW53)</f>
        <v>19</v>
      </c>
      <c r="AX54" s="162">
        <f t="shared" si="46"/>
        <v>14</v>
      </c>
      <c r="AY54" s="176">
        <f t="shared" si="46"/>
        <v>33</v>
      </c>
      <c r="AZ54" s="162">
        <f t="shared" si="46"/>
        <v>0</v>
      </c>
      <c r="BA54" s="162">
        <f t="shared" si="46"/>
        <v>5</v>
      </c>
      <c r="BB54" s="176">
        <f t="shared" si="46"/>
        <v>5</v>
      </c>
      <c r="BC54" s="177">
        <f t="shared" si="46"/>
        <v>38</v>
      </c>
    </row>
    <row r="57" spans="1:55" ht="15.75" thickBot="1" x14ac:dyDescent="0.3"/>
    <row r="58" spans="1:55" ht="15.75" thickBot="1" x14ac:dyDescent="0.3">
      <c r="A58" s="331" t="s">
        <v>1349</v>
      </c>
      <c r="B58" s="358" t="s">
        <v>1471</v>
      </c>
      <c r="C58" s="359"/>
      <c r="D58" s="359"/>
      <c r="E58" s="359"/>
      <c r="F58" s="359"/>
      <c r="G58" s="359"/>
      <c r="H58" s="359"/>
      <c r="I58" s="359"/>
      <c r="J58" s="359"/>
      <c r="K58" s="359"/>
      <c r="L58" s="359"/>
      <c r="M58" s="359"/>
      <c r="N58" s="360"/>
      <c r="AZ58"/>
      <c r="BA58"/>
      <c r="BB58"/>
    </row>
    <row r="59" spans="1:55" ht="15.75" thickBot="1" x14ac:dyDescent="0.3">
      <c r="A59" s="332"/>
      <c r="B59" s="156">
        <v>46113</v>
      </c>
      <c r="C59" s="156">
        <v>46143</v>
      </c>
      <c r="D59" s="156">
        <v>46174</v>
      </c>
      <c r="E59" s="156">
        <v>46204</v>
      </c>
      <c r="F59" s="156">
        <v>46235</v>
      </c>
      <c r="G59" s="156">
        <v>46266</v>
      </c>
      <c r="H59" s="156">
        <v>46296</v>
      </c>
      <c r="I59" s="156">
        <v>46327</v>
      </c>
      <c r="J59" s="156">
        <v>46357</v>
      </c>
      <c r="K59" s="156">
        <v>46388</v>
      </c>
      <c r="L59" s="156">
        <v>46419</v>
      </c>
      <c r="M59" s="156">
        <v>46447</v>
      </c>
      <c r="N59" s="156" t="s">
        <v>1344</v>
      </c>
      <c r="AZ59"/>
      <c r="BA59"/>
      <c r="BB59"/>
    </row>
    <row r="60" spans="1:55" ht="15.75" thickBot="1" x14ac:dyDescent="0.3">
      <c r="A60" s="145" t="s">
        <v>190</v>
      </c>
      <c r="B60" s="159"/>
      <c r="C60" s="159"/>
      <c r="D60" s="159"/>
      <c r="E60" s="159"/>
      <c r="F60" s="159"/>
      <c r="G60" s="159"/>
      <c r="H60" s="159"/>
      <c r="I60" s="159"/>
      <c r="J60" s="160"/>
      <c r="K60" s="159"/>
      <c r="L60" s="159"/>
      <c r="M60" s="159"/>
      <c r="N60" s="160">
        <f>SUM(B60:M60)</f>
        <v>0</v>
      </c>
      <c r="AZ60"/>
      <c r="BA60"/>
      <c r="BB60"/>
    </row>
    <row r="61" spans="1:55" ht="15.75" thickBot="1" x14ac:dyDescent="0.3">
      <c r="A61" s="145" t="s">
        <v>156</v>
      </c>
      <c r="B61" s="159"/>
      <c r="C61" s="159"/>
      <c r="D61" s="159"/>
      <c r="E61" s="159"/>
      <c r="F61" s="159"/>
      <c r="G61" s="159"/>
      <c r="H61" s="159"/>
      <c r="I61" s="159"/>
      <c r="J61" s="160"/>
      <c r="K61" s="159"/>
      <c r="L61" s="159"/>
      <c r="M61" s="159"/>
      <c r="N61" s="160">
        <f t="shared" ref="N61:N70" si="47">SUM(B61:M61)</f>
        <v>0</v>
      </c>
      <c r="AZ61"/>
      <c r="BA61"/>
      <c r="BB61"/>
    </row>
    <row r="62" spans="1:55" ht="15.75" thickBot="1" x14ac:dyDescent="0.3">
      <c r="A62" s="145" t="s">
        <v>383</v>
      </c>
      <c r="B62" s="159"/>
      <c r="C62" s="159"/>
      <c r="D62" s="159"/>
      <c r="E62" s="159"/>
      <c r="F62" s="159"/>
      <c r="G62" s="159"/>
      <c r="H62" s="159"/>
      <c r="I62" s="159"/>
      <c r="J62" s="160"/>
      <c r="K62" s="159"/>
      <c r="L62" s="159"/>
      <c r="M62" s="159"/>
      <c r="N62" s="160">
        <f t="shared" si="47"/>
        <v>0</v>
      </c>
      <c r="AZ62"/>
      <c r="BA62"/>
      <c r="BB62"/>
    </row>
    <row r="63" spans="1:55" ht="15.75" thickBot="1" x14ac:dyDescent="0.3">
      <c r="A63" s="145" t="s">
        <v>150</v>
      </c>
      <c r="B63" s="159"/>
      <c r="C63" s="159"/>
      <c r="D63" s="159"/>
      <c r="E63" s="159"/>
      <c r="F63" s="159"/>
      <c r="G63" s="159"/>
      <c r="H63" s="159"/>
      <c r="I63" s="159"/>
      <c r="J63" s="160"/>
      <c r="K63" s="159"/>
      <c r="L63" s="159"/>
      <c r="M63" s="159"/>
      <c r="N63" s="160">
        <f t="shared" si="47"/>
        <v>0</v>
      </c>
      <c r="AZ63"/>
      <c r="BA63"/>
      <c r="BB63"/>
    </row>
    <row r="64" spans="1:55" ht="15.75" thickBot="1" x14ac:dyDescent="0.3">
      <c r="A64" s="145" t="s">
        <v>121</v>
      </c>
      <c r="B64" s="159"/>
      <c r="C64" s="159"/>
      <c r="D64" s="159"/>
      <c r="E64" s="159"/>
      <c r="F64" s="159"/>
      <c r="G64" s="159"/>
      <c r="H64" s="159"/>
      <c r="I64" s="159"/>
      <c r="J64" s="160"/>
      <c r="K64" s="159"/>
      <c r="L64" s="159"/>
      <c r="M64" s="159"/>
      <c r="N64" s="160">
        <f t="shared" si="47"/>
        <v>0</v>
      </c>
      <c r="AZ64"/>
      <c r="BA64"/>
      <c r="BB64"/>
    </row>
    <row r="65" spans="1:54" ht="15.75" thickBot="1" x14ac:dyDescent="0.3">
      <c r="A65" s="145" t="s">
        <v>220</v>
      </c>
      <c r="B65" s="159"/>
      <c r="C65" s="159"/>
      <c r="D65" s="159"/>
      <c r="E65" s="159"/>
      <c r="F65" s="159"/>
      <c r="G65" s="159"/>
      <c r="H65" s="159"/>
      <c r="I65" s="159"/>
      <c r="J65" s="160"/>
      <c r="K65" s="159"/>
      <c r="L65" s="159"/>
      <c r="M65" s="159"/>
      <c r="N65" s="160">
        <f t="shared" si="47"/>
        <v>0</v>
      </c>
      <c r="AZ65"/>
      <c r="BA65"/>
      <c r="BB65"/>
    </row>
    <row r="66" spans="1:54" ht="15.75" thickBot="1" x14ac:dyDescent="0.3">
      <c r="A66" s="145" t="s">
        <v>398</v>
      </c>
      <c r="B66" s="159"/>
      <c r="C66" s="159"/>
      <c r="D66" s="159"/>
      <c r="E66" s="159"/>
      <c r="F66" s="159"/>
      <c r="G66" s="159"/>
      <c r="H66" s="159"/>
      <c r="I66" s="159"/>
      <c r="J66" s="160"/>
      <c r="K66" s="159"/>
      <c r="L66" s="159"/>
      <c r="M66" s="159"/>
      <c r="N66" s="160">
        <f t="shared" si="47"/>
        <v>0</v>
      </c>
      <c r="AZ66"/>
      <c r="BA66"/>
      <c r="BB66"/>
    </row>
    <row r="67" spans="1:54" ht="15.75" thickBot="1" x14ac:dyDescent="0.3">
      <c r="A67" s="145" t="s">
        <v>99</v>
      </c>
      <c r="B67" s="159"/>
      <c r="C67" s="159"/>
      <c r="D67" s="159"/>
      <c r="E67" s="159"/>
      <c r="F67" s="159"/>
      <c r="G67" s="159"/>
      <c r="H67" s="159"/>
      <c r="I67" s="159"/>
      <c r="J67" s="160"/>
      <c r="K67" s="159"/>
      <c r="L67" s="159"/>
      <c r="M67" s="159"/>
      <c r="N67" s="160">
        <f t="shared" si="47"/>
        <v>0</v>
      </c>
      <c r="AZ67"/>
      <c r="BA67"/>
      <c r="BB67"/>
    </row>
    <row r="68" spans="1:54" ht="15.75" thickBot="1" x14ac:dyDescent="0.3">
      <c r="A68" s="145" t="s">
        <v>141</v>
      </c>
      <c r="B68" s="159"/>
      <c r="C68" s="159"/>
      <c r="D68" s="159"/>
      <c r="E68" s="159"/>
      <c r="F68" s="159"/>
      <c r="G68" s="159"/>
      <c r="H68" s="159"/>
      <c r="I68" s="159"/>
      <c r="J68" s="160"/>
      <c r="K68" s="159"/>
      <c r="L68" s="159"/>
      <c r="M68" s="159"/>
      <c r="N68" s="160">
        <f t="shared" si="47"/>
        <v>0</v>
      </c>
      <c r="AZ68"/>
      <c r="BA68"/>
      <c r="BB68"/>
    </row>
    <row r="69" spans="1:54" ht="15.75" thickBot="1" x14ac:dyDescent="0.3">
      <c r="A69" s="145" t="s">
        <v>135</v>
      </c>
      <c r="B69" s="159"/>
      <c r="C69" s="159"/>
      <c r="D69" s="159"/>
      <c r="E69" s="159"/>
      <c r="F69" s="159"/>
      <c r="G69" s="159"/>
      <c r="H69" s="159"/>
      <c r="I69" s="159"/>
      <c r="J69" s="160"/>
      <c r="K69" s="159"/>
      <c r="L69" s="159"/>
      <c r="M69" s="159"/>
      <c r="N69" s="160">
        <f t="shared" si="47"/>
        <v>0</v>
      </c>
      <c r="AZ69"/>
      <c r="BA69"/>
      <c r="BB69"/>
    </row>
    <row r="70" spans="1:54" ht="15.75" thickBot="1" x14ac:dyDescent="0.3">
      <c r="A70" s="145" t="s">
        <v>195</v>
      </c>
      <c r="B70" s="159"/>
      <c r="C70" s="159"/>
      <c r="D70" s="159"/>
      <c r="E70" s="159"/>
      <c r="F70" s="159"/>
      <c r="G70" s="159"/>
      <c r="H70" s="159"/>
      <c r="I70" s="159"/>
      <c r="J70" s="160"/>
      <c r="K70" s="159"/>
      <c r="L70" s="159"/>
      <c r="M70" s="159"/>
      <c r="N70" s="160">
        <f t="shared" si="47"/>
        <v>0</v>
      </c>
      <c r="AZ70"/>
      <c r="BA70"/>
      <c r="BB70"/>
    </row>
    <row r="71" spans="1:54" ht="15.75" thickBot="1" x14ac:dyDescent="0.3">
      <c r="A71" s="152" t="s">
        <v>1355</v>
      </c>
      <c r="B71" s="160">
        <f>SUM(B60:B70)</f>
        <v>0</v>
      </c>
      <c r="C71" s="160">
        <f t="shared" ref="C71:N71" si="48">SUM(C60:C70)</f>
        <v>0</v>
      </c>
      <c r="D71" s="160">
        <f t="shared" si="48"/>
        <v>0</v>
      </c>
      <c r="E71" s="160">
        <f t="shared" si="48"/>
        <v>0</v>
      </c>
      <c r="F71" s="160">
        <f t="shared" si="48"/>
        <v>0</v>
      </c>
      <c r="G71" s="160">
        <f t="shared" si="48"/>
        <v>0</v>
      </c>
      <c r="H71" s="160">
        <f t="shared" si="48"/>
        <v>0</v>
      </c>
      <c r="I71" s="160">
        <f t="shared" si="48"/>
        <v>0</v>
      </c>
      <c r="J71" s="160">
        <f t="shared" si="48"/>
        <v>0</v>
      </c>
      <c r="K71" s="160">
        <f t="shared" si="48"/>
        <v>0</v>
      </c>
      <c r="L71" s="160">
        <f t="shared" si="48"/>
        <v>0</v>
      </c>
      <c r="M71" s="160">
        <f t="shared" si="48"/>
        <v>0</v>
      </c>
      <c r="N71" s="160">
        <f t="shared" si="48"/>
        <v>0</v>
      </c>
      <c r="AZ71"/>
      <c r="BA71"/>
      <c r="BB71"/>
    </row>
    <row r="73" spans="1:54" ht="15.75" thickBot="1" x14ac:dyDescent="0.3"/>
    <row r="74" spans="1:54" ht="15.75" thickBot="1" x14ac:dyDescent="0.3">
      <c r="A74" s="331" t="s">
        <v>1349</v>
      </c>
      <c r="B74" s="358" t="s">
        <v>1472</v>
      </c>
      <c r="C74" s="359"/>
      <c r="D74" s="359"/>
      <c r="E74" s="359"/>
      <c r="F74" s="359"/>
      <c r="G74" s="359"/>
      <c r="H74" s="359"/>
      <c r="I74" s="359"/>
      <c r="J74" s="359"/>
      <c r="K74" s="359"/>
      <c r="L74" s="359"/>
      <c r="M74" s="359"/>
      <c r="N74" s="360"/>
      <c r="BA74"/>
      <c r="BB74"/>
    </row>
    <row r="75" spans="1:54" ht="15.75" thickBot="1" x14ac:dyDescent="0.3">
      <c r="A75" s="332"/>
      <c r="B75" s="156">
        <v>46113</v>
      </c>
      <c r="C75" s="156">
        <v>46143</v>
      </c>
      <c r="D75" s="156">
        <v>46174</v>
      </c>
      <c r="E75" s="156">
        <v>46204</v>
      </c>
      <c r="F75" s="156">
        <v>46235</v>
      </c>
      <c r="G75" s="156">
        <v>46266</v>
      </c>
      <c r="H75" s="156">
        <v>46296</v>
      </c>
      <c r="I75" s="156">
        <v>46327</v>
      </c>
      <c r="J75" s="156">
        <v>46357</v>
      </c>
      <c r="K75" s="156">
        <v>46388</v>
      </c>
      <c r="L75" s="156">
        <v>46419</v>
      </c>
      <c r="M75" s="156">
        <v>46447</v>
      </c>
      <c r="N75" s="156" t="s">
        <v>1344</v>
      </c>
      <c r="BA75"/>
      <c r="BB75"/>
    </row>
    <row r="76" spans="1:54" ht="15.75" thickBot="1" x14ac:dyDescent="0.3">
      <c r="A76" s="145" t="s">
        <v>190</v>
      </c>
      <c r="B76" s="159"/>
      <c r="C76" s="159"/>
      <c r="D76" s="159"/>
      <c r="E76" s="159"/>
      <c r="F76" s="159"/>
      <c r="G76" s="159"/>
      <c r="H76" s="159"/>
      <c r="I76" s="159"/>
      <c r="J76" s="160"/>
      <c r="K76" s="159"/>
      <c r="L76" s="159"/>
      <c r="M76" s="159"/>
      <c r="N76" s="160">
        <f>SUM(B76:M76)</f>
        <v>0</v>
      </c>
      <c r="BA76"/>
      <c r="BB76"/>
    </row>
    <row r="77" spans="1:54" ht="15.75" thickBot="1" x14ac:dyDescent="0.3">
      <c r="A77" s="145" t="s">
        <v>156</v>
      </c>
      <c r="B77" s="159"/>
      <c r="C77" s="159"/>
      <c r="D77" s="159"/>
      <c r="E77" s="159"/>
      <c r="F77" s="159"/>
      <c r="G77" s="159"/>
      <c r="H77" s="159"/>
      <c r="I77" s="159"/>
      <c r="J77" s="160"/>
      <c r="K77" s="159"/>
      <c r="L77" s="159"/>
      <c r="M77" s="159"/>
      <c r="N77" s="160">
        <f t="shared" ref="N77:N86" si="49">SUM(B77:M77)</f>
        <v>0</v>
      </c>
      <c r="BA77"/>
      <c r="BB77"/>
    </row>
    <row r="78" spans="1:54" ht="15.75" thickBot="1" x14ac:dyDescent="0.3">
      <c r="A78" s="145" t="s">
        <v>383</v>
      </c>
      <c r="B78" s="159"/>
      <c r="C78" s="159"/>
      <c r="D78" s="159"/>
      <c r="E78" s="159"/>
      <c r="F78" s="159"/>
      <c r="G78" s="159"/>
      <c r="H78" s="159"/>
      <c r="I78" s="159"/>
      <c r="J78" s="160"/>
      <c r="K78" s="159"/>
      <c r="L78" s="159"/>
      <c r="M78" s="159"/>
      <c r="N78" s="160">
        <f t="shared" si="49"/>
        <v>0</v>
      </c>
      <c r="BA78"/>
      <c r="BB78"/>
    </row>
    <row r="79" spans="1:54" ht="15.75" thickBot="1" x14ac:dyDescent="0.3">
      <c r="A79" s="145" t="s">
        <v>150</v>
      </c>
      <c r="B79" s="159"/>
      <c r="C79" s="159"/>
      <c r="D79" s="159"/>
      <c r="E79" s="159"/>
      <c r="F79" s="159"/>
      <c r="G79" s="159"/>
      <c r="H79" s="159"/>
      <c r="I79" s="159"/>
      <c r="J79" s="160"/>
      <c r="K79" s="159"/>
      <c r="L79" s="159"/>
      <c r="M79" s="159"/>
      <c r="N79" s="160">
        <f t="shared" si="49"/>
        <v>0</v>
      </c>
      <c r="BA79"/>
      <c r="BB79"/>
    </row>
    <row r="80" spans="1:54" ht="15.75" thickBot="1" x14ac:dyDescent="0.3">
      <c r="A80" s="145" t="s">
        <v>121</v>
      </c>
      <c r="B80" s="159"/>
      <c r="C80" s="159"/>
      <c r="D80" s="159"/>
      <c r="E80" s="159"/>
      <c r="F80" s="159"/>
      <c r="G80" s="159"/>
      <c r="H80" s="159"/>
      <c r="I80" s="159"/>
      <c r="J80" s="160"/>
      <c r="K80" s="159"/>
      <c r="L80" s="159"/>
      <c r="M80" s="159"/>
      <c r="N80" s="160">
        <f t="shared" si="49"/>
        <v>0</v>
      </c>
      <c r="BA80"/>
      <c r="BB80"/>
    </row>
    <row r="81" spans="1:54" ht="15.75" thickBot="1" x14ac:dyDescent="0.3">
      <c r="A81" s="145" t="s">
        <v>220</v>
      </c>
      <c r="B81" s="159"/>
      <c r="C81" s="159"/>
      <c r="D81" s="159"/>
      <c r="E81" s="159"/>
      <c r="F81" s="159"/>
      <c r="G81" s="159"/>
      <c r="H81" s="159"/>
      <c r="I81" s="159"/>
      <c r="J81" s="160"/>
      <c r="K81" s="159"/>
      <c r="L81" s="159"/>
      <c r="M81" s="159"/>
      <c r="N81" s="160">
        <f t="shared" si="49"/>
        <v>0</v>
      </c>
      <c r="BA81"/>
      <c r="BB81"/>
    </row>
    <row r="82" spans="1:54" ht="15.75" thickBot="1" x14ac:dyDescent="0.3">
      <c r="A82" s="145" t="s">
        <v>398</v>
      </c>
      <c r="B82" s="159"/>
      <c r="C82" s="159"/>
      <c r="D82" s="159"/>
      <c r="E82" s="159"/>
      <c r="F82" s="159"/>
      <c r="G82" s="159"/>
      <c r="H82" s="159"/>
      <c r="I82" s="159"/>
      <c r="J82" s="160"/>
      <c r="K82" s="159"/>
      <c r="L82" s="159"/>
      <c r="M82" s="159"/>
      <c r="N82" s="160">
        <f t="shared" si="49"/>
        <v>0</v>
      </c>
      <c r="BA82"/>
      <c r="BB82"/>
    </row>
    <row r="83" spans="1:54" ht="15.75" thickBot="1" x14ac:dyDescent="0.3">
      <c r="A83" s="145" t="s">
        <v>99</v>
      </c>
      <c r="B83" s="159"/>
      <c r="C83" s="159"/>
      <c r="D83" s="159"/>
      <c r="E83" s="159"/>
      <c r="F83" s="159"/>
      <c r="G83" s="159"/>
      <c r="H83" s="159"/>
      <c r="I83" s="159"/>
      <c r="J83" s="160"/>
      <c r="K83" s="159"/>
      <c r="L83" s="159"/>
      <c r="M83" s="159"/>
      <c r="N83" s="160">
        <f t="shared" si="49"/>
        <v>0</v>
      </c>
      <c r="BA83"/>
      <c r="BB83"/>
    </row>
    <row r="84" spans="1:54" ht="15.75" thickBot="1" x14ac:dyDescent="0.3">
      <c r="A84" s="145" t="s">
        <v>141</v>
      </c>
      <c r="B84" s="159"/>
      <c r="C84" s="159"/>
      <c r="D84" s="159"/>
      <c r="E84" s="159"/>
      <c r="F84" s="159"/>
      <c r="G84" s="159"/>
      <c r="H84" s="159"/>
      <c r="I84" s="159"/>
      <c r="J84" s="160"/>
      <c r="K84" s="159"/>
      <c r="L84" s="159"/>
      <c r="M84" s="159"/>
      <c r="N84" s="160">
        <f t="shared" si="49"/>
        <v>0</v>
      </c>
      <c r="BA84"/>
      <c r="BB84"/>
    </row>
    <row r="85" spans="1:54" ht="15.75" thickBot="1" x14ac:dyDescent="0.3">
      <c r="A85" s="145" t="s">
        <v>135</v>
      </c>
      <c r="B85" s="159"/>
      <c r="C85" s="159"/>
      <c r="D85" s="159"/>
      <c r="E85" s="159"/>
      <c r="F85" s="159"/>
      <c r="G85" s="159"/>
      <c r="H85" s="159"/>
      <c r="I85" s="159"/>
      <c r="J85" s="160"/>
      <c r="K85" s="159"/>
      <c r="L85" s="159"/>
      <c r="M85" s="159"/>
      <c r="N85" s="160">
        <f t="shared" si="49"/>
        <v>0</v>
      </c>
      <c r="BA85"/>
      <c r="BB85"/>
    </row>
    <row r="86" spans="1:54" ht="15.75" thickBot="1" x14ac:dyDescent="0.3">
      <c r="A86" s="145" t="s">
        <v>195</v>
      </c>
      <c r="B86" s="159"/>
      <c r="C86" s="159"/>
      <c r="D86" s="159"/>
      <c r="E86" s="159"/>
      <c r="F86" s="159"/>
      <c r="G86" s="159"/>
      <c r="H86" s="159"/>
      <c r="I86" s="159"/>
      <c r="J86" s="160"/>
      <c r="K86" s="159"/>
      <c r="L86" s="159"/>
      <c r="M86" s="159"/>
      <c r="N86" s="160">
        <f t="shared" si="49"/>
        <v>0</v>
      </c>
      <c r="BA86"/>
      <c r="BB86"/>
    </row>
    <row r="87" spans="1:54" ht="15.75" thickBot="1" x14ac:dyDescent="0.3">
      <c r="A87" s="152" t="s">
        <v>1355</v>
      </c>
      <c r="B87" s="160">
        <f>SUM(B76:B86)</f>
        <v>0</v>
      </c>
      <c r="C87" s="160">
        <f t="shared" ref="C87" si="50">SUM(C76:C86)</f>
        <v>0</v>
      </c>
      <c r="D87" s="160">
        <f t="shared" ref="D87" si="51">SUM(D76:D86)</f>
        <v>0</v>
      </c>
      <c r="E87" s="160">
        <f t="shared" ref="E87" si="52">SUM(E76:E86)</f>
        <v>0</v>
      </c>
      <c r="F87" s="160">
        <f t="shared" ref="F87" si="53">SUM(F76:F86)</f>
        <v>0</v>
      </c>
      <c r="G87" s="160">
        <f t="shared" ref="G87" si="54">SUM(G76:G86)</f>
        <v>0</v>
      </c>
      <c r="H87" s="160">
        <f t="shared" ref="H87" si="55">SUM(H76:H86)</f>
        <v>0</v>
      </c>
      <c r="I87" s="160">
        <f t="shared" ref="I87" si="56">SUM(I76:I86)</f>
        <v>0</v>
      </c>
      <c r="J87" s="160">
        <f t="shared" ref="J87" si="57">SUM(J76:J86)</f>
        <v>0</v>
      </c>
      <c r="K87" s="160">
        <f t="shared" ref="K87" si="58">SUM(K76:K86)</f>
        <v>0</v>
      </c>
      <c r="L87" s="160">
        <f t="shared" ref="L87" si="59">SUM(L76:L86)</f>
        <v>0</v>
      </c>
      <c r="M87" s="160">
        <f t="shared" ref="M87" si="60">SUM(M76:M86)</f>
        <v>0</v>
      </c>
      <c r="N87" s="160">
        <f t="shared" ref="N87" si="61">SUM(N76:N86)</f>
        <v>0</v>
      </c>
      <c r="BA87"/>
      <c r="BB87"/>
    </row>
    <row r="88" spans="1:54" x14ac:dyDescent="0.25">
      <c r="BA88"/>
      <c r="BB88"/>
    </row>
  </sheetData>
  <mergeCells count="35">
    <mergeCell ref="AT2:AZ2"/>
    <mergeCell ref="Z17:AF17"/>
    <mergeCell ref="Z33:AF33"/>
    <mergeCell ref="B58:N58"/>
    <mergeCell ref="B74:N74"/>
    <mergeCell ref="AI41:AL41"/>
    <mergeCell ref="AN41:AT41"/>
    <mergeCell ref="AW41:BC41"/>
    <mergeCell ref="AL2:AR2"/>
    <mergeCell ref="AH2:AJ2"/>
    <mergeCell ref="AW17:AY17"/>
    <mergeCell ref="AW33:AY33"/>
    <mergeCell ref="R41:U41"/>
    <mergeCell ref="W41:Z41"/>
    <mergeCell ref="AB41:AG41"/>
    <mergeCell ref="A2:A3"/>
    <mergeCell ref="B2:H2"/>
    <mergeCell ref="J2:P2"/>
    <mergeCell ref="R2:X2"/>
    <mergeCell ref="Z2:AE2"/>
    <mergeCell ref="A33:A34"/>
    <mergeCell ref="B33:H33"/>
    <mergeCell ref="J33:P33"/>
    <mergeCell ref="R33:X33"/>
    <mergeCell ref="AH33:AT33"/>
    <mergeCell ref="A17:A18"/>
    <mergeCell ref="B17:H17"/>
    <mergeCell ref="J17:P17"/>
    <mergeCell ref="R17:X17"/>
    <mergeCell ref="AH17:AT17"/>
    <mergeCell ref="A74:A75"/>
    <mergeCell ref="A41:A42"/>
    <mergeCell ref="B41:F41"/>
    <mergeCell ref="J41:P41"/>
    <mergeCell ref="A58:A59"/>
  </mergeCells>
  <pageMargins left="0.70866141732283472" right="0.70866141732283472" top="0.74803149606299213" bottom="0.74803149606299213" header="0.31496062992125984" footer="0.31496062992125984"/>
  <pageSetup paperSize="9" scale="28"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3054C7-A67E-4D67-972D-634F41B4A27A}">
  <dimension ref="A1:Q111"/>
  <sheetViews>
    <sheetView view="pageBreakPreview" topLeftCell="A52" zoomScaleNormal="85" zoomScaleSheetLayoutView="100" workbookViewId="0">
      <selection activeCell="A83" sqref="A83"/>
    </sheetView>
  </sheetViews>
  <sheetFormatPr defaultRowHeight="18.75" x14ac:dyDescent="0.3"/>
  <cols>
    <col min="1" max="1" width="24" style="39" customWidth="1"/>
    <col min="2" max="3" width="16.28515625" style="39" customWidth="1"/>
    <col min="4" max="4" width="19.42578125" style="39" customWidth="1"/>
    <col min="5" max="17" width="10.7109375" style="39" customWidth="1"/>
  </cols>
  <sheetData>
    <row r="1" spans="1:17" x14ac:dyDescent="0.3">
      <c r="A1" s="39" t="s">
        <v>101</v>
      </c>
    </row>
    <row r="2" spans="1:17" s="1" customFormat="1" ht="72" customHeight="1" x14ac:dyDescent="0.25">
      <c r="A2" s="103" t="s">
        <v>1473</v>
      </c>
      <c r="B2" s="103" t="s">
        <v>1474</v>
      </c>
      <c r="C2" s="103" t="s">
        <v>1475</v>
      </c>
      <c r="D2" s="103" t="s">
        <v>1476</v>
      </c>
      <c r="E2" s="104">
        <v>46113</v>
      </c>
      <c r="F2" s="104">
        <v>46143</v>
      </c>
      <c r="G2" s="104">
        <v>46174</v>
      </c>
      <c r="H2" s="104">
        <v>46204</v>
      </c>
      <c r="I2" s="104">
        <v>46235</v>
      </c>
      <c r="J2" s="104">
        <v>46266</v>
      </c>
      <c r="K2" s="104">
        <v>46296</v>
      </c>
      <c r="L2" s="104">
        <v>46327</v>
      </c>
      <c r="M2" s="104">
        <v>46357</v>
      </c>
      <c r="N2" s="104">
        <v>46388</v>
      </c>
      <c r="O2" s="104">
        <v>46419</v>
      </c>
      <c r="P2" s="104">
        <v>46447</v>
      </c>
      <c r="Q2" s="103" t="s">
        <v>1344</v>
      </c>
    </row>
    <row r="3" spans="1:17" ht="18" x14ac:dyDescent="0.25">
      <c r="A3" s="107" t="s">
        <v>190</v>
      </c>
      <c r="B3" s="105">
        <f>+COUNTIFS('LOI and Commissioning Master Sh'!$D:$D,'Review PPT update '!$A3, 'LOI and Commissioning Master Sh'!$G:$G,"A")</f>
        <v>0</v>
      </c>
      <c r="C3" s="105">
        <f>+COUNTIFS('LOI and Commissioning Master Sh'!$D:$D,'Review PPT update '!$A3, 'LOI and Commissioning Master Sh'!$G:$G,"A", 'LOI and Commissioning Master Sh'!$W:$W,"Yes")</f>
        <v>0</v>
      </c>
      <c r="D3" s="105">
        <f>+COUNTIFS('LOI and Commissioning Master Sh'!$D:$D,'Review PPT update '!$A3, 'LOI and Commissioning Master Sh'!$G:$G,"A", 'LOI and Commissioning Master Sh'!$X:$X,"Yes")</f>
        <v>0</v>
      </c>
      <c r="E3" s="105">
        <f>+COUNTIFS('LOI and Commissioning Master Sh'!$D:$D,'Review PPT update '!$A3, 'LOI and Commissioning Master Sh'!$G:$G,"A", 'LOI and Commissioning Master Sh'!$X:$X,"Yes",'LOI and Commissioning Master Sh'!$AE:$AE,E$2)</f>
        <v>0</v>
      </c>
      <c r="F3" s="105">
        <f>+COUNTIFS('LOI and Commissioning Master Sh'!$D:$D,'Review PPT update '!$A3, 'LOI and Commissioning Master Sh'!$G:$G,"A", 'LOI and Commissioning Master Sh'!$X:$X,"Yes",'LOI and Commissioning Master Sh'!$AE:$AE,F$2)</f>
        <v>0</v>
      </c>
      <c r="G3" s="105">
        <f>+COUNTIFS('LOI and Commissioning Master Sh'!$D:$D,'Review PPT update '!$A3, 'LOI and Commissioning Master Sh'!$G:$G,"A", 'LOI and Commissioning Master Sh'!$X:$X,"Yes",'LOI and Commissioning Master Sh'!$AE:$AE,G$2)</f>
        <v>0</v>
      </c>
      <c r="H3" s="105">
        <f>+COUNTIFS('LOI and Commissioning Master Sh'!$D:$D,'Review PPT update '!$A3, 'LOI and Commissioning Master Sh'!$G:$G,"A", 'LOI and Commissioning Master Sh'!$X:$X,"Yes",'LOI and Commissioning Master Sh'!$AE:$AE,H$2)</f>
        <v>0</v>
      </c>
      <c r="I3" s="105">
        <f>+COUNTIFS('LOI and Commissioning Master Sh'!$D:$D,'Review PPT update '!$A3, 'LOI and Commissioning Master Sh'!$G:$G,"A", 'LOI and Commissioning Master Sh'!$X:$X,"Yes",'LOI and Commissioning Master Sh'!$AE:$AE,I$2)</f>
        <v>0</v>
      </c>
      <c r="J3" s="105">
        <f>+COUNTIFS('LOI and Commissioning Master Sh'!$D:$D,'Review PPT update '!$A3, 'LOI and Commissioning Master Sh'!$G:$G,"A", 'LOI and Commissioning Master Sh'!$X:$X,"Yes",'LOI and Commissioning Master Sh'!$AE:$AE,J$2)</f>
        <v>0</v>
      </c>
      <c r="K3" s="105">
        <f>+COUNTIFS('LOI and Commissioning Master Sh'!$D:$D,'Review PPT update '!$A3, 'LOI and Commissioning Master Sh'!$G:$G,"A", 'LOI and Commissioning Master Sh'!$X:$X,"Yes",'LOI and Commissioning Master Sh'!$AE:$AE,K$2)</f>
        <v>0</v>
      </c>
      <c r="L3" s="105">
        <f>+COUNTIFS('LOI and Commissioning Master Sh'!$D:$D,'Review PPT update '!$A3, 'LOI and Commissioning Master Sh'!$G:$G,"A", 'LOI and Commissioning Master Sh'!$X:$X,"Yes",'LOI and Commissioning Master Sh'!$AE:$AE,L$2)</f>
        <v>0</v>
      </c>
      <c r="M3" s="105">
        <f>+COUNTIFS('LOI and Commissioning Master Sh'!$D:$D,'Review PPT update '!$A3, 'LOI and Commissioning Master Sh'!$G:$G,"A", 'LOI and Commissioning Master Sh'!$X:$X,"Yes",'LOI and Commissioning Master Sh'!$AE:$AE,M$2)</f>
        <v>0</v>
      </c>
      <c r="N3" s="105">
        <f>+COUNTIFS('LOI and Commissioning Master Sh'!$D:$D,'Review PPT update '!$A3, 'LOI and Commissioning Master Sh'!$G:$G,"A", 'LOI and Commissioning Master Sh'!$X:$X,"Yes",'LOI and Commissioning Master Sh'!$AE:$AE,N$2)</f>
        <v>0</v>
      </c>
      <c r="O3" s="105">
        <f>+COUNTIFS('LOI and Commissioning Master Sh'!$D:$D,'Review PPT update '!$A3, 'LOI and Commissioning Master Sh'!$G:$G,"A", 'LOI and Commissioning Master Sh'!$X:$X,"Yes",'LOI and Commissioning Master Sh'!$AE:$AE,O$2)</f>
        <v>0</v>
      </c>
      <c r="P3" s="105">
        <f>+COUNTIFS('LOI and Commissioning Master Sh'!$D:$D,'Review PPT update '!$A3, 'LOI and Commissioning Master Sh'!$G:$G,"A", 'LOI and Commissioning Master Sh'!$X:$X,"Yes",'LOI and Commissioning Master Sh'!$AE:$AE,P$2)</f>
        <v>0</v>
      </c>
      <c r="Q3" s="105">
        <f t="shared" ref="Q3" si="0">+SUM(E3:P3)</f>
        <v>0</v>
      </c>
    </row>
    <row r="4" spans="1:17" ht="18" x14ac:dyDescent="0.25">
      <c r="A4" s="107" t="s">
        <v>156</v>
      </c>
      <c r="B4" s="105">
        <f>+COUNTIFS('LOI and Commissioning Master Sh'!$D:$D,'Review PPT update '!$A4, 'LOI and Commissioning Master Sh'!$G:$G,"A")</f>
        <v>0</v>
      </c>
      <c r="C4" s="105">
        <f>+COUNTIFS('LOI and Commissioning Master Sh'!$D:$D,'Review PPT update '!$A4, 'LOI and Commissioning Master Sh'!$G:$G,"A", 'LOI and Commissioning Master Sh'!$W:$W,"Yes")</f>
        <v>0</v>
      </c>
      <c r="D4" s="105">
        <f>+COUNTIFS('LOI and Commissioning Master Sh'!$D:$D,'Review PPT update '!$A4, 'LOI and Commissioning Master Sh'!$G:$G,"A", 'LOI and Commissioning Master Sh'!$X:$X,"Yes")</f>
        <v>0</v>
      </c>
      <c r="E4" s="105">
        <f>+COUNTIFS('LOI and Commissioning Master Sh'!$D:$D,'Review PPT update '!$A4, 'LOI and Commissioning Master Sh'!$G:$G,"A", 'LOI and Commissioning Master Sh'!$X:$X,"Yes",'LOI and Commissioning Master Sh'!$AE:$AE,E$2)</f>
        <v>0</v>
      </c>
      <c r="F4" s="105">
        <f>+COUNTIFS('LOI and Commissioning Master Sh'!$D:$D,'Review PPT update '!$A4, 'LOI and Commissioning Master Sh'!$G:$G,"A", 'LOI and Commissioning Master Sh'!$X:$X,"Yes",'LOI and Commissioning Master Sh'!$AE:$AE,F$2)</f>
        <v>0</v>
      </c>
      <c r="G4" s="105">
        <f>+COUNTIFS('LOI and Commissioning Master Sh'!$D:$D,'Review PPT update '!$A4, 'LOI and Commissioning Master Sh'!$G:$G,"A", 'LOI and Commissioning Master Sh'!$X:$X,"Yes",'LOI and Commissioning Master Sh'!$AE:$AE,G$2)</f>
        <v>0</v>
      </c>
      <c r="H4" s="105">
        <f>+COUNTIFS('LOI and Commissioning Master Sh'!$D:$D,'Review PPT update '!$A4, 'LOI and Commissioning Master Sh'!$G:$G,"A", 'LOI and Commissioning Master Sh'!$X:$X,"Yes",'LOI and Commissioning Master Sh'!$AE:$AE,H$2)</f>
        <v>0</v>
      </c>
      <c r="I4" s="105">
        <f>+COUNTIFS('LOI and Commissioning Master Sh'!$D:$D,'Review PPT update '!$A4, 'LOI and Commissioning Master Sh'!$G:$G,"A", 'LOI and Commissioning Master Sh'!$X:$X,"Yes",'LOI and Commissioning Master Sh'!$AE:$AE,I$2)</f>
        <v>0</v>
      </c>
      <c r="J4" s="105">
        <f>+COUNTIFS('LOI and Commissioning Master Sh'!$D:$D,'Review PPT update '!$A4, 'LOI and Commissioning Master Sh'!$G:$G,"A", 'LOI and Commissioning Master Sh'!$X:$X,"Yes",'LOI and Commissioning Master Sh'!$AE:$AE,J$2)</f>
        <v>0</v>
      </c>
      <c r="K4" s="105">
        <f>+COUNTIFS('LOI and Commissioning Master Sh'!$D:$D,'Review PPT update '!$A4, 'LOI and Commissioning Master Sh'!$G:$G,"A", 'LOI and Commissioning Master Sh'!$X:$X,"Yes",'LOI and Commissioning Master Sh'!$AE:$AE,K$2)</f>
        <v>0</v>
      </c>
      <c r="L4" s="105">
        <f>+COUNTIFS('LOI and Commissioning Master Sh'!$D:$D,'Review PPT update '!$A4, 'LOI and Commissioning Master Sh'!$G:$G,"A", 'LOI and Commissioning Master Sh'!$X:$X,"Yes",'LOI and Commissioning Master Sh'!$AE:$AE,L$2)</f>
        <v>0</v>
      </c>
      <c r="M4" s="105">
        <f>+COUNTIFS('LOI and Commissioning Master Sh'!$D:$D,'Review PPT update '!$A4, 'LOI and Commissioning Master Sh'!$G:$G,"A", 'LOI and Commissioning Master Sh'!$X:$X,"Yes",'LOI and Commissioning Master Sh'!$AE:$AE,M$2)</f>
        <v>0</v>
      </c>
      <c r="N4" s="105">
        <f>+COUNTIFS('LOI and Commissioning Master Sh'!$D:$D,'Review PPT update '!$A4, 'LOI and Commissioning Master Sh'!$G:$G,"A", 'LOI and Commissioning Master Sh'!$X:$X,"Yes",'LOI and Commissioning Master Sh'!$AE:$AE,N$2)</f>
        <v>0</v>
      </c>
      <c r="O4" s="105">
        <f>+COUNTIFS('LOI and Commissioning Master Sh'!$D:$D,'Review PPT update '!$A4, 'LOI and Commissioning Master Sh'!$G:$G,"A", 'LOI and Commissioning Master Sh'!$X:$X,"Yes",'LOI and Commissioning Master Sh'!$AE:$AE,O$2)</f>
        <v>0</v>
      </c>
      <c r="P4" s="105">
        <f>+COUNTIFS('LOI and Commissioning Master Sh'!$D:$D,'Review PPT update '!$A4, 'LOI and Commissioning Master Sh'!$G:$G,"A", 'LOI and Commissioning Master Sh'!$X:$X,"Yes",'LOI and Commissioning Master Sh'!$AE:$AE,P$2)</f>
        <v>0</v>
      </c>
      <c r="Q4" s="105">
        <f t="shared" ref="Q4:Q13" si="1">+SUM(E4:P4)</f>
        <v>0</v>
      </c>
    </row>
    <row r="5" spans="1:17" ht="18" x14ac:dyDescent="0.25">
      <c r="A5" s="107" t="s">
        <v>383</v>
      </c>
      <c r="B5" s="105">
        <f>+COUNTIFS('LOI and Commissioning Master Sh'!$D:$D,'Review PPT update '!$A5, 'LOI and Commissioning Master Sh'!$G:$G,"A")</f>
        <v>12</v>
      </c>
      <c r="C5" s="105">
        <f>+COUNTIFS('LOI and Commissioning Master Sh'!$D:$D,'Review PPT update '!$A5, 'LOI and Commissioning Master Sh'!$G:$G,"A", 'LOI and Commissioning Master Sh'!$W:$W,"Yes")</f>
        <v>2</v>
      </c>
      <c r="D5" s="105">
        <f>+COUNTIFS('LOI and Commissioning Master Sh'!$D:$D,'Review PPT update '!$A5, 'LOI and Commissioning Master Sh'!$G:$G,"A", 'LOI and Commissioning Master Sh'!$X:$X,"Yes")</f>
        <v>2</v>
      </c>
      <c r="E5" s="105">
        <f>+COUNTIFS('LOI and Commissioning Master Sh'!$D:$D,'Review PPT update '!$A5, 'LOI and Commissioning Master Sh'!$G:$G,"A", 'LOI and Commissioning Master Sh'!$X:$X,"Yes",'LOI and Commissioning Master Sh'!$AE:$AE,E$2)</f>
        <v>0</v>
      </c>
      <c r="F5" s="105">
        <f>+COUNTIFS('LOI and Commissioning Master Sh'!$D:$D,'Review PPT update '!$A5, 'LOI and Commissioning Master Sh'!$G:$G,"A", 'LOI and Commissioning Master Sh'!$X:$X,"Yes",'LOI and Commissioning Master Sh'!$AE:$AE,F$2)</f>
        <v>0</v>
      </c>
      <c r="G5" s="105">
        <f>+COUNTIFS('LOI and Commissioning Master Sh'!$D:$D,'Review PPT update '!$A5, 'LOI and Commissioning Master Sh'!$G:$G,"A", 'LOI and Commissioning Master Sh'!$X:$X,"Yes",'LOI and Commissioning Master Sh'!$AE:$AE,G$2)</f>
        <v>0</v>
      </c>
      <c r="H5" s="105">
        <f>+COUNTIFS('LOI and Commissioning Master Sh'!$D:$D,'Review PPT update '!$A5, 'LOI and Commissioning Master Sh'!$G:$G,"A", 'LOI and Commissioning Master Sh'!$X:$X,"Yes",'LOI and Commissioning Master Sh'!$AE:$AE,H$2)</f>
        <v>0</v>
      </c>
      <c r="I5" s="105">
        <f>+COUNTIFS('LOI and Commissioning Master Sh'!$D:$D,'Review PPT update '!$A5, 'LOI and Commissioning Master Sh'!$G:$G,"A", 'LOI and Commissioning Master Sh'!$X:$X,"Yes",'LOI and Commissioning Master Sh'!$AE:$AE,I$2)</f>
        <v>0</v>
      </c>
      <c r="J5" s="105">
        <f>+COUNTIFS('LOI and Commissioning Master Sh'!$D:$D,'Review PPT update '!$A5, 'LOI and Commissioning Master Sh'!$G:$G,"A", 'LOI and Commissioning Master Sh'!$X:$X,"Yes",'LOI and Commissioning Master Sh'!$AE:$AE,J$2)</f>
        <v>0</v>
      </c>
      <c r="K5" s="105">
        <f>+COUNTIFS('LOI and Commissioning Master Sh'!$D:$D,'Review PPT update '!$A5, 'LOI and Commissioning Master Sh'!$G:$G,"A", 'LOI and Commissioning Master Sh'!$X:$X,"Yes",'LOI and Commissioning Master Sh'!$AE:$AE,K$2)</f>
        <v>0</v>
      </c>
      <c r="L5" s="105">
        <f>+COUNTIFS('LOI and Commissioning Master Sh'!$D:$D,'Review PPT update '!$A5, 'LOI and Commissioning Master Sh'!$G:$G,"A", 'LOI and Commissioning Master Sh'!$X:$X,"Yes",'LOI and Commissioning Master Sh'!$AE:$AE,L$2)</f>
        <v>0</v>
      </c>
      <c r="M5" s="105">
        <f>+COUNTIFS('LOI and Commissioning Master Sh'!$D:$D,'Review PPT update '!$A5, 'LOI and Commissioning Master Sh'!$G:$G,"A", 'LOI and Commissioning Master Sh'!$X:$X,"Yes",'LOI and Commissioning Master Sh'!$AE:$AE,M$2)</f>
        <v>1</v>
      </c>
      <c r="N5" s="105">
        <f>+COUNTIFS('LOI and Commissioning Master Sh'!$D:$D,'Review PPT update '!$A5, 'LOI and Commissioning Master Sh'!$G:$G,"A", 'LOI and Commissioning Master Sh'!$X:$X,"Yes",'LOI and Commissioning Master Sh'!$AE:$AE,N$2)</f>
        <v>0</v>
      </c>
      <c r="O5" s="105">
        <f>+COUNTIFS('LOI and Commissioning Master Sh'!$D:$D,'Review PPT update '!$A5, 'LOI and Commissioning Master Sh'!$G:$G,"A", 'LOI and Commissioning Master Sh'!$X:$X,"Yes",'LOI and Commissioning Master Sh'!$AE:$AE,O$2)</f>
        <v>1</v>
      </c>
      <c r="P5" s="105">
        <f>+COUNTIFS('LOI and Commissioning Master Sh'!$D:$D,'Review PPT update '!$A5, 'LOI and Commissioning Master Sh'!$G:$G,"A", 'LOI and Commissioning Master Sh'!$X:$X,"Yes",'LOI and Commissioning Master Sh'!$AE:$AE,P$2)</f>
        <v>0</v>
      </c>
      <c r="Q5" s="105">
        <f t="shared" si="1"/>
        <v>2</v>
      </c>
    </row>
    <row r="6" spans="1:17" ht="18" x14ac:dyDescent="0.25">
      <c r="A6" s="107" t="s">
        <v>150</v>
      </c>
      <c r="B6" s="105">
        <f>+COUNTIFS('LOI and Commissioning Master Sh'!$D:$D,'Review PPT update '!$A6, 'LOI and Commissioning Master Sh'!$G:$G,"A")</f>
        <v>10</v>
      </c>
      <c r="C6" s="105">
        <f>+COUNTIFS('LOI and Commissioning Master Sh'!$D:$D,'Review PPT update '!$A6, 'LOI and Commissioning Master Sh'!$G:$G,"A", 'LOI and Commissioning Master Sh'!$W:$W,"Yes")</f>
        <v>5</v>
      </c>
      <c r="D6" s="105">
        <f>+COUNTIFS('LOI and Commissioning Master Sh'!$D:$D,'Review PPT update '!$A6, 'LOI and Commissioning Master Sh'!$G:$G,"A", 'LOI and Commissioning Master Sh'!$X:$X,"Yes")</f>
        <v>5</v>
      </c>
      <c r="E6" s="105">
        <f>+COUNTIFS('LOI and Commissioning Master Sh'!$D:$D,'Review PPT update '!$A6, 'LOI and Commissioning Master Sh'!$G:$G,"A", 'LOI and Commissioning Master Sh'!$X:$X,"Yes",'LOI and Commissioning Master Sh'!$AE:$AE,E$2)</f>
        <v>0</v>
      </c>
      <c r="F6" s="105">
        <f>+COUNTIFS('LOI and Commissioning Master Sh'!$D:$D,'Review PPT update '!$A6, 'LOI and Commissioning Master Sh'!$G:$G,"A", 'LOI and Commissioning Master Sh'!$X:$X,"Yes",'LOI and Commissioning Master Sh'!$AE:$AE,F$2)</f>
        <v>1</v>
      </c>
      <c r="G6" s="105">
        <f>+COUNTIFS('LOI and Commissioning Master Sh'!$D:$D,'Review PPT update '!$A6, 'LOI and Commissioning Master Sh'!$G:$G,"A", 'LOI and Commissioning Master Sh'!$X:$X,"Yes",'LOI and Commissioning Master Sh'!$AE:$AE,G$2)</f>
        <v>0</v>
      </c>
      <c r="H6" s="105">
        <f>+COUNTIFS('LOI and Commissioning Master Sh'!$D:$D,'Review PPT update '!$A6, 'LOI and Commissioning Master Sh'!$G:$G,"A", 'LOI and Commissioning Master Sh'!$X:$X,"Yes",'LOI and Commissioning Master Sh'!$AE:$AE,H$2)</f>
        <v>1</v>
      </c>
      <c r="I6" s="105">
        <f>+COUNTIFS('LOI and Commissioning Master Sh'!$D:$D,'Review PPT update '!$A6, 'LOI and Commissioning Master Sh'!$G:$G,"A", 'LOI and Commissioning Master Sh'!$X:$X,"Yes",'LOI and Commissioning Master Sh'!$AE:$AE,I$2)</f>
        <v>0</v>
      </c>
      <c r="J6" s="105">
        <f>+COUNTIFS('LOI and Commissioning Master Sh'!$D:$D,'Review PPT update '!$A6, 'LOI and Commissioning Master Sh'!$G:$G,"A", 'LOI and Commissioning Master Sh'!$X:$X,"Yes",'LOI and Commissioning Master Sh'!$AE:$AE,J$2)</f>
        <v>1</v>
      </c>
      <c r="K6" s="105">
        <f>+COUNTIFS('LOI and Commissioning Master Sh'!$D:$D,'Review PPT update '!$A6, 'LOI and Commissioning Master Sh'!$G:$G,"A", 'LOI and Commissioning Master Sh'!$X:$X,"Yes",'LOI and Commissioning Master Sh'!$AE:$AE,K$2)</f>
        <v>0</v>
      </c>
      <c r="L6" s="105">
        <f>+COUNTIFS('LOI and Commissioning Master Sh'!$D:$D,'Review PPT update '!$A6, 'LOI and Commissioning Master Sh'!$G:$G,"A", 'LOI and Commissioning Master Sh'!$X:$X,"Yes",'LOI and Commissioning Master Sh'!$AE:$AE,L$2)</f>
        <v>0</v>
      </c>
      <c r="M6" s="105">
        <f>+COUNTIFS('LOI and Commissioning Master Sh'!$D:$D,'Review PPT update '!$A6, 'LOI and Commissioning Master Sh'!$G:$G,"A", 'LOI and Commissioning Master Sh'!$X:$X,"Yes",'LOI and Commissioning Master Sh'!$AE:$AE,M$2)</f>
        <v>1</v>
      </c>
      <c r="N6" s="105">
        <f>+COUNTIFS('LOI and Commissioning Master Sh'!$D:$D,'Review PPT update '!$A6, 'LOI and Commissioning Master Sh'!$G:$G,"A", 'LOI and Commissioning Master Sh'!$X:$X,"Yes",'LOI and Commissioning Master Sh'!$AE:$AE,N$2)</f>
        <v>0</v>
      </c>
      <c r="O6" s="105">
        <f>+COUNTIFS('LOI and Commissioning Master Sh'!$D:$D,'Review PPT update '!$A6, 'LOI and Commissioning Master Sh'!$G:$G,"A", 'LOI and Commissioning Master Sh'!$X:$X,"Yes",'LOI and Commissioning Master Sh'!$AE:$AE,O$2)</f>
        <v>0</v>
      </c>
      <c r="P6" s="105">
        <f>+COUNTIFS('LOI and Commissioning Master Sh'!$D:$D,'Review PPT update '!$A6, 'LOI and Commissioning Master Sh'!$G:$G,"A", 'LOI and Commissioning Master Sh'!$X:$X,"Yes",'LOI and Commissioning Master Sh'!$AE:$AE,P$2)</f>
        <v>1</v>
      </c>
      <c r="Q6" s="105">
        <f t="shared" si="1"/>
        <v>5</v>
      </c>
    </row>
    <row r="7" spans="1:17" ht="18" x14ac:dyDescent="0.25">
      <c r="A7" s="107" t="s">
        <v>121</v>
      </c>
      <c r="B7" s="105">
        <f>+COUNTIFS('LOI and Commissioning Master Sh'!$D:$D,'Review PPT update '!$A7, 'LOI and Commissioning Master Sh'!$G:$G,"A")</f>
        <v>0</v>
      </c>
      <c r="C7" s="105">
        <f>+COUNTIFS('LOI and Commissioning Master Sh'!$D:$D,'Review PPT update '!$A7, 'LOI and Commissioning Master Sh'!$G:$G,"A", 'LOI and Commissioning Master Sh'!$W:$W,"Yes")</f>
        <v>0</v>
      </c>
      <c r="D7" s="105">
        <f>+COUNTIFS('LOI and Commissioning Master Sh'!$D:$D,'Review PPT update '!$A7, 'LOI and Commissioning Master Sh'!$G:$G,"A", 'LOI and Commissioning Master Sh'!$X:$X,"Yes")</f>
        <v>0</v>
      </c>
      <c r="E7" s="105">
        <f>+COUNTIFS('LOI and Commissioning Master Sh'!$D:$D,'Review PPT update '!$A7, 'LOI and Commissioning Master Sh'!$G:$G,"A", 'LOI and Commissioning Master Sh'!$X:$X,"Yes",'LOI and Commissioning Master Sh'!$AE:$AE,E$2)</f>
        <v>0</v>
      </c>
      <c r="F7" s="105">
        <f>+COUNTIFS('LOI and Commissioning Master Sh'!$D:$D,'Review PPT update '!$A7, 'LOI and Commissioning Master Sh'!$G:$G,"A", 'LOI and Commissioning Master Sh'!$X:$X,"Yes",'LOI and Commissioning Master Sh'!$AE:$AE,F$2)</f>
        <v>0</v>
      </c>
      <c r="G7" s="105">
        <f>+COUNTIFS('LOI and Commissioning Master Sh'!$D:$D,'Review PPT update '!$A7, 'LOI and Commissioning Master Sh'!$G:$G,"A", 'LOI and Commissioning Master Sh'!$X:$X,"Yes",'LOI and Commissioning Master Sh'!$AE:$AE,G$2)</f>
        <v>0</v>
      </c>
      <c r="H7" s="105">
        <f>+COUNTIFS('LOI and Commissioning Master Sh'!$D:$D,'Review PPT update '!$A7, 'LOI and Commissioning Master Sh'!$G:$G,"A", 'LOI and Commissioning Master Sh'!$X:$X,"Yes",'LOI and Commissioning Master Sh'!$AE:$AE,H$2)</f>
        <v>0</v>
      </c>
      <c r="I7" s="105">
        <f>+COUNTIFS('LOI and Commissioning Master Sh'!$D:$D,'Review PPT update '!$A7, 'LOI and Commissioning Master Sh'!$G:$G,"A", 'LOI and Commissioning Master Sh'!$X:$X,"Yes",'LOI and Commissioning Master Sh'!$AE:$AE,I$2)</f>
        <v>0</v>
      </c>
      <c r="J7" s="105">
        <f>+COUNTIFS('LOI and Commissioning Master Sh'!$D:$D,'Review PPT update '!$A7, 'LOI and Commissioning Master Sh'!$G:$G,"A", 'LOI and Commissioning Master Sh'!$X:$X,"Yes",'LOI and Commissioning Master Sh'!$AE:$AE,J$2)</f>
        <v>0</v>
      </c>
      <c r="K7" s="105">
        <f>+COUNTIFS('LOI and Commissioning Master Sh'!$D:$D,'Review PPT update '!$A7, 'LOI and Commissioning Master Sh'!$G:$G,"A", 'LOI and Commissioning Master Sh'!$X:$X,"Yes",'LOI and Commissioning Master Sh'!$AE:$AE,K$2)</f>
        <v>0</v>
      </c>
      <c r="L7" s="105">
        <f>+COUNTIFS('LOI and Commissioning Master Sh'!$D:$D,'Review PPT update '!$A7, 'LOI and Commissioning Master Sh'!$G:$G,"A", 'LOI and Commissioning Master Sh'!$X:$X,"Yes",'LOI and Commissioning Master Sh'!$AE:$AE,L$2)</f>
        <v>0</v>
      </c>
      <c r="M7" s="105">
        <f>+COUNTIFS('LOI and Commissioning Master Sh'!$D:$D,'Review PPT update '!$A7, 'LOI and Commissioning Master Sh'!$G:$G,"A", 'LOI and Commissioning Master Sh'!$X:$X,"Yes",'LOI and Commissioning Master Sh'!$AE:$AE,M$2)</f>
        <v>0</v>
      </c>
      <c r="N7" s="105">
        <f>+COUNTIFS('LOI and Commissioning Master Sh'!$D:$D,'Review PPT update '!$A7, 'LOI and Commissioning Master Sh'!$G:$G,"A", 'LOI and Commissioning Master Sh'!$X:$X,"Yes",'LOI and Commissioning Master Sh'!$AE:$AE,N$2)</f>
        <v>0</v>
      </c>
      <c r="O7" s="105">
        <f>+COUNTIFS('LOI and Commissioning Master Sh'!$D:$D,'Review PPT update '!$A7, 'LOI and Commissioning Master Sh'!$G:$G,"A", 'LOI and Commissioning Master Sh'!$X:$X,"Yes",'LOI and Commissioning Master Sh'!$AE:$AE,O$2)</f>
        <v>0</v>
      </c>
      <c r="P7" s="105">
        <f>+COUNTIFS('LOI and Commissioning Master Sh'!$D:$D,'Review PPT update '!$A7, 'LOI and Commissioning Master Sh'!$G:$G,"A", 'LOI and Commissioning Master Sh'!$X:$X,"Yes",'LOI and Commissioning Master Sh'!$AE:$AE,P$2)</f>
        <v>0</v>
      </c>
      <c r="Q7" s="105">
        <f t="shared" si="1"/>
        <v>0</v>
      </c>
    </row>
    <row r="8" spans="1:17" ht="18" x14ac:dyDescent="0.25">
      <c r="A8" s="107" t="s">
        <v>220</v>
      </c>
      <c r="B8" s="105">
        <f>+COUNTIFS('LOI and Commissioning Master Sh'!$D:$D,'Review PPT update '!$A8, 'LOI and Commissioning Master Sh'!$G:$G,"A")</f>
        <v>0</v>
      </c>
      <c r="C8" s="105">
        <f>+COUNTIFS('LOI and Commissioning Master Sh'!$D:$D,'Review PPT update '!$A8, 'LOI and Commissioning Master Sh'!$G:$G,"A", 'LOI and Commissioning Master Sh'!$W:$W,"Yes")</f>
        <v>0</v>
      </c>
      <c r="D8" s="105">
        <f>+COUNTIFS('LOI and Commissioning Master Sh'!$D:$D,'Review PPT update '!$A8, 'LOI and Commissioning Master Sh'!$G:$G,"A", 'LOI and Commissioning Master Sh'!$X:$X,"Yes")</f>
        <v>0</v>
      </c>
      <c r="E8" s="105">
        <f>+COUNTIFS('LOI and Commissioning Master Sh'!$D:$D,'Review PPT update '!$A8, 'LOI and Commissioning Master Sh'!$G:$G,"A", 'LOI and Commissioning Master Sh'!$X:$X,"Yes",'LOI and Commissioning Master Sh'!$AE:$AE,E$2)</f>
        <v>0</v>
      </c>
      <c r="F8" s="105">
        <f>+COUNTIFS('LOI and Commissioning Master Sh'!$D:$D,'Review PPT update '!$A8, 'LOI and Commissioning Master Sh'!$G:$G,"A", 'LOI and Commissioning Master Sh'!$X:$X,"Yes",'LOI and Commissioning Master Sh'!$AE:$AE,F$2)</f>
        <v>0</v>
      </c>
      <c r="G8" s="105">
        <f>+COUNTIFS('LOI and Commissioning Master Sh'!$D:$D,'Review PPT update '!$A8, 'LOI and Commissioning Master Sh'!$G:$G,"A", 'LOI and Commissioning Master Sh'!$X:$X,"Yes",'LOI and Commissioning Master Sh'!$AE:$AE,G$2)</f>
        <v>0</v>
      </c>
      <c r="H8" s="105">
        <f>+COUNTIFS('LOI and Commissioning Master Sh'!$D:$D,'Review PPT update '!$A8, 'LOI and Commissioning Master Sh'!$G:$G,"A", 'LOI and Commissioning Master Sh'!$X:$X,"Yes",'LOI and Commissioning Master Sh'!$AE:$AE,H$2)</f>
        <v>0</v>
      </c>
      <c r="I8" s="105">
        <f>+COUNTIFS('LOI and Commissioning Master Sh'!$D:$D,'Review PPT update '!$A8, 'LOI and Commissioning Master Sh'!$G:$G,"A", 'LOI and Commissioning Master Sh'!$X:$X,"Yes",'LOI and Commissioning Master Sh'!$AE:$AE,I$2)</f>
        <v>0</v>
      </c>
      <c r="J8" s="105">
        <f>+COUNTIFS('LOI and Commissioning Master Sh'!$D:$D,'Review PPT update '!$A8, 'LOI and Commissioning Master Sh'!$G:$G,"A", 'LOI and Commissioning Master Sh'!$X:$X,"Yes",'LOI and Commissioning Master Sh'!$AE:$AE,J$2)</f>
        <v>0</v>
      </c>
      <c r="K8" s="105">
        <f>+COUNTIFS('LOI and Commissioning Master Sh'!$D:$D,'Review PPT update '!$A8, 'LOI and Commissioning Master Sh'!$G:$G,"A", 'LOI and Commissioning Master Sh'!$X:$X,"Yes",'LOI and Commissioning Master Sh'!$AE:$AE,K$2)</f>
        <v>0</v>
      </c>
      <c r="L8" s="105">
        <f>+COUNTIFS('LOI and Commissioning Master Sh'!$D:$D,'Review PPT update '!$A8, 'LOI and Commissioning Master Sh'!$G:$G,"A", 'LOI and Commissioning Master Sh'!$X:$X,"Yes",'LOI and Commissioning Master Sh'!$AE:$AE,L$2)</f>
        <v>0</v>
      </c>
      <c r="M8" s="105">
        <f>+COUNTIFS('LOI and Commissioning Master Sh'!$D:$D,'Review PPT update '!$A8, 'LOI and Commissioning Master Sh'!$G:$G,"A", 'LOI and Commissioning Master Sh'!$X:$X,"Yes",'LOI and Commissioning Master Sh'!$AE:$AE,M$2)</f>
        <v>0</v>
      </c>
      <c r="N8" s="105">
        <f>+COUNTIFS('LOI and Commissioning Master Sh'!$D:$D,'Review PPT update '!$A8, 'LOI and Commissioning Master Sh'!$G:$G,"A", 'LOI and Commissioning Master Sh'!$X:$X,"Yes",'LOI and Commissioning Master Sh'!$AE:$AE,N$2)</f>
        <v>0</v>
      </c>
      <c r="O8" s="105">
        <f>+COUNTIFS('LOI and Commissioning Master Sh'!$D:$D,'Review PPT update '!$A8, 'LOI and Commissioning Master Sh'!$G:$G,"A", 'LOI and Commissioning Master Sh'!$X:$X,"Yes",'LOI and Commissioning Master Sh'!$AE:$AE,O$2)</f>
        <v>0</v>
      </c>
      <c r="P8" s="105">
        <f>+COUNTIFS('LOI and Commissioning Master Sh'!$D:$D,'Review PPT update '!$A8, 'LOI and Commissioning Master Sh'!$G:$G,"A", 'LOI and Commissioning Master Sh'!$X:$X,"Yes",'LOI and Commissioning Master Sh'!$AE:$AE,P$2)</f>
        <v>0</v>
      </c>
      <c r="Q8" s="105">
        <f t="shared" si="1"/>
        <v>0</v>
      </c>
    </row>
    <row r="9" spans="1:17" ht="18" x14ac:dyDescent="0.25">
      <c r="A9" s="107" t="s">
        <v>398</v>
      </c>
      <c r="B9" s="105">
        <f>+COUNTIFS('LOI and Commissioning Master Sh'!$D:$D,'Review PPT update '!$A9, 'LOI and Commissioning Master Sh'!$G:$G,"A")</f>
        <v>1</v>
      </c>
      <c r="C9" s="105">
        <f>+COUNTIFS('LOI and Commissioning Master Sh'!$D:$D,'Review PPT update '!$A9, 'LOI and Commissioning Master Sh'!$G:$G,"A", 'LOI and Commissioning Master Sh'!$W:$W,"Yes")</f>
        <v>0</v>
      </c>
      <c r="D9" s="105">
        <f>+COUNTIFS('LOI and Commissioning Master Sh'!$D:$D,'Review PPT update '!$A9, 'LOI and Commissioning Master Sh'!$G:$G,"A", 'LOI and Commissioning Master Sh'!$X:$X,"Yes")</f>
        <v>0</v>
      </c>
      <c r="E9" s="105">
        <f>+COUNTIFS('LOI and Commissioning Master Sh'!$D:$D,'Review PPT update '!$A9, 'LOI and Commissioning Master Sh'!$G:$G,"A", 'LOI and Commissioning Master Sh'!$X:$X,"Yes",'LOI and Commissioning Master Sh'!$AE:$AE,E$2)</f>
        <v>0</v>
      </c>
      <c r="F9" s="105">
        <f>+COUNTIFS('LOI and Commissioning Master Sh'!$D:$D,'Review PPT update '!$A9, 'LOI and Commissioning Master Sh'!$G:$G,"A", 'LOI and Commissioning Master Sh'!$X:$X,"Yes",'LOI and Commissioning Master Sh'!$AE:$AE,F$2)</f>
        <v>0</v>
      </c>
      <c r="G9" s="105">
        <f>+COUNTIFS('LOI and Commissioning Master Sh'!$D:$D,'Review PPT update '!$A9, 'LOI and Commissioning Master Sh'!$G:$G,"A", 'LOI and Commissioning Master Sh'!$X:$X,"Yes",'LOI and Commissioning Master Sh'!$AE:$AE,G$2)</f>
        <v>0</v>
      </c>
      <c r="H9" s="105">
        <f>+COUNTIFS('LOI and Commissioning Master Sh'!$D:$D,'Review PPT update '!$A9, 'LOI and Commissioning Master Sh'!$G:$G,"A", 'LOI and Commissioning Master Sh'!$X:$X,"Yes",'LOI and Commissioning Master Sh'!$AE:$AE,H$2)</f>
        <v>0</v>
      </c>
      <c r="I9" s="105">
        <f>+COUNTIFS('LOI and Commissioning Master Sh'!$D:$D,'Review PPT update '!$A9, 'LOI and Commissioning Master Sh'!$G:$G,"A", 'LOI and Commissioning Master Sh'!$X:$X,"Yes",'LOI and Commissioning Master Sh'!$AE:$AE,I$2)</f>
        <v>0</v>
      </c>
      <c r="J9" s="105">
        <f>+COUNTIFS('LOI and Commissioning Master Sh'!$D:$D,'Review PPT update '!$A9, 'LOI and Commissioning Master Sh'!$G:$G,"A", 'LOI and Commissioning Master Sh'!$X:$X,"Yes",'LOI and Commissioning Master Sh'!$AE:$AE,J$2)</f>
        <v>0</v>
      </c>
      <c r="K9" s="105">
        <f>+COUNTIFS('LOI and Commissioning Master Sh'!$D:$D,'Review PPT update '!$A9, 'LOI and Commissioning Master Sh'!$G:$G,"A", 'LOI and Commissioning Master Sh'!$X:$X,"Yes",'LOI and Commissioning Master Sh'!$AE:$AE,K$2)</f>
        <v>0</v>
      </c>
      <c r="L9" s="105">
        <f>+COUNTIFS('LOI and Commissioning Master Sh'!$D:$D,'Review PPT update '!$A9, 'LOI and Commissioning Master Sh'!$G:$G,"A", 'LOI and Commissioning Master Sh'!$X:$X,"Yes",'LOI and Commissioning Master Sh'!$AE:$AE,L$2)</f>
        <v>0</v>
      </c>
      <c r="M9" s="105">
        <f>+COUNTIFS('LOI and Commissioning Master Sh'!$D:$D,'Review PPT update '!$A9, 'LOI and Commissioning Master Sh'!$G:$G,"A", 'LOI and Commissioning Master Sh'!$X:$X,"Yes",'LOI and Commissioning Master Sh'!$AE:$AE,M$2)</f>
        <v>0</v>
      </c>
      <c r="N9" s="105">
        <f>+COUNTIFS('LOI and Commissioning Master Sh'!$D:$D,'Review PPT update '!$A9, 'LOI and Commissioning Master Sh'!$G:$G,"A", 'LOI and Commissioning Master Sh'!$X:$X,"Yes",'LOI and Commissioning Master Sh'!$AE:$AE,N$2)</f>
        <v>0</v>
      </c>
      <c r="O9" s="105">
        <f>+COUNTIFS('LOI and Commissioning Master Sh'!$D:$D,'Review PPT update '!$A9, 'LOI and Commissioning Master Sh'!$G:$G,"A", 'LOI and Commissioning Master Sh'!$X:$X,"Yes",'LOI and Commissioning Master Sh'!$AE:$AE,O$2)</f>
        <v>0</v>
      </c>
      <c r="P9" s="105">
        <f>+COUNTIFS('LOI and Commissioning Master Sh'!$D:$D,'Review PPT update '!$A9, 'LOI and Commissioning Master Sh'!$G:$G,"A", 'LOI and Commissioning Master Sh'!$X:$X,"Yes",'LOI and Commissioning Master Sh'!$AE:$AE,P$2)</f>
        <v>0</v>
      </c>
      <c r="Q9" s="105">
        <f t="shared" si="1"/>
        <v>0</v>
      </c>
    </row>
    <row r="10" spans="1:17" ht="18" x14ac:dyDescent="0.25">
      <c r="A10" s="107" t="s">
        <v>99</v>
      </c>
      <c r="B10" s="105">
        <f>+COUNTIFS('LOI and Commissioning Master Sh'!$D:$D,'Review PPT update '!$A10, 'LOI and Commissioning Master Sh'!$G:$G,"A")</f>
        <v>2</v>
      </c>
      <c r="C10" s="105">
        <f>+COUNTIFS('LOI and Commissioning Master Sh'!$D:$D,'Review PPT update '!$A10, 'LOI and Commissioning Master Sh'!$G:$G,"A", 'LOI and Commissioning Master Sh'!$W:$W,"Yes")</f>
        <v>2</v>
      </c>
      <c r="D10" s="105">
        <f>+COUNTIFS('LOI and Commissioning Master Sh'!$D:$D,'Review PPT update '!$A10, 'LOI and Commissioning Master Sh'!$G:$G,"A", 'LOI and Commissioning Master Sh'!$X:$X,"Yes")</f>
        <v>1</v>
      </c>
      <c r="E10" s="105">
        <f>+COUNTIFS('LOI and Commissioning Master Sh'!$D:$D,'Review PPT update '!$A10, 'LOI and Commissioning Master Sh'!$G:$G,"A", 'LOI and Commissioning Master Sh'!$X:$X,"Yes",'LOI and Commissioning Master Sh'!$AE:$AE,E$2)</f>
        <v>0</v>
      </c>
      <c r="F10" s="105">
        <f>+COUNTIFS('LOI and Commissioning Master Sh'!$D:$D,'Review PPT update '!$A10, 'LOI and Commissioning Master Sh'!$G:$G,"A", 'LOI and Commissioning Master Sh'!$X:$X,"Yes",'LOI and Commissioning Master Sh'!$AE:$AE,F$2)</f>
        <v>0</v>
      </c>
      <c r="G10" s="105">
        <f>+COUNTIFS('LOI and Commissioning Master Sh'!$D:$D,'Review PPT update '!$A10, 'LOI and Commissioning Master Sh'!$G:$G,"A", 'LOI and Commissioning Master Sh'!$X:$X,"Yes",'LOI and Commissioning Master Sh'!$AE:$AE,G$2)</f>
        <v>0</v>
      </c>
      <c r="H10" s="105">
        <f>+COUNTIFS('LOI and Commissioning Master Sh'!$D:$D,'Review PPT update '!$A10, 'LOI and Commissioning Master Sh'!$G:$G,"A", 'LOI and Commissioning Master Sh'!$X:$X,"Yes",'LOI and Commissioning Master Sh'!$AE:$AE,H$2)</f>
        <v>0</v>
      </c>
      <c r="I10" s="105">
        <f>+COUNTIFS('LOI and Commissioning Master Sh'!$D:$D,'Review PPT update '!$A10, 'LOI and Commissioning Master Sh'!$G:$G,"A", 'LOI and Commissioning Master Sh'!$X:$X,"Yes",'LOI and Commissioning Master Sh'!$AE:$AE,I$2)</f>
        <v>0</v>
      </c>
      <c r="J10" s="105">
        <f>+COUNTIFS('LOI and Commissioning Master Sh'!$D:$D,'Review PPT update '!$A10, 'LOI and Commissioning Master Sh'!$G:$G,"A", 'LOI and Commissioning Master Sh'!$X:$X,"Yes",'LOI and Commissioning Master Sh'!$AE:$AE,J$2)</f>
        <v>0</v>
      </c>
      <c r="K10" s="105">
        <f>+COUNTIFS('LOI and Commissioning Master Sh'!$D:$D,'Review PPT update '!$A10, 'LOI and Commissioning Master Sh'!$G:$G,"A", 'LOI and Commissioning Master Sh'!$X:$X,"Yes",'LOI and Commissioning Master Sh'!$AE:$AE,K$2)</f>
        <v>0</v>
      </c>
      <c r="L10" s="105">
        <f>+COUNTIFS('LOI and Commissioning Master Sh'!$D:$D,'Review PPT update '!$A10, 'LOI and Commissioning Master Sh'!$G:$G,"A", 'LOI and Commissioning Master Sh'!$X:$X,"Yes",'LOI and Commissioning Master Sh'!$AE:$AE,L$2)</f>
        <v>0</v>
      </c>
      <c r="M10" s="105">
        <f>+COUNTIFS('LOI and Commissioning Master Sh'!$D:$D,'Review PPT update '!$A10, 'LOI and Commissioning Master Sh'!$G:$G,"A", 'LOI and Commissioning Master Sh'!$X:$X,"Yes",'LOI and Commissioning Master Sh'!$AE:$AE,M$2)</f>
        <v>1</v>
      </c>
      <c r="N10" s="105">
        <f>+COUNTIFS('LOI and Commissioning Master Sh'!$D:$D,'Review PPT update '!$A10, 'LOI and Commissioning Master Sh'!$G:$G,"A", 'LOI and Commissioning Master Sh'!$X:$X,"Yes",'LOI and Commissioning Master Sh'!$AE:$AE,N$2)</f>
        <v>0</v>
      </c>
      <c r="O10" s="105">
        <f>+COUNTIFS('LOI and Commissioning Master Sh'!$D:$D,'Review PPT update '!$A10, 'LOI and Commissioning Master Sh'!$G:$G,"A", 'LOI and Commissioning Master Sh'!$X:$X,"Yes",'LOI and Commissioning Master Sh'!$AE:$AE,O$2)</f>
        <v>0</v>
      </c>
      <c r="P10" s="105">
        <f>+COUNTIFS('LOI and Commissioning Master Sh'!$D:$D,'Review PPT update '!$A10, 'LOI and Commissioning Master Sh'!$G:$G,"A", 'LOI and Commissioning Master Sh'!$X:$X,"Yes",'LOI and Commissioning Master Sh'!$AE:$AE,P$2)</f>
        <v>0</v>
      </c>
      <c r="Q10" s="105">
        <f t="shared" si="1"/>
        <v>1</v>
      </c>
    </row>
    <row r="11" spans="1:17" ht="18" x14ac:dyDescent="0.25">
      <c r="A11" s="107" t="s">
        <v>141</v>
      </c>
      <c r="B11" s="105">
        <f>+COUNTIFS('LOI and Commissioning Master Sh'!$D:$D,'Review PPT update '!$A11, 'LOI and Commissioning Master Sh'!$G:$G,"A")</f>
        <v>0</v>
      </c>
      <c r="C11" s="105">
        <f>+COUNTIFS('LOI and Commissioning Master Sh'!$D:$D,'Review PPT update '!$A11, 'LOI and Commissioning Master Sh'!$G:$G,"A", 'LOI and Commissioning Master Sh'!$W:$W,"Yes")</f>
        <v>0</v>
      </c>
      <c r="D11" s="105">
        <f>+COUNTIFS('LOI and Commissioning Master Sh'!$D:$D,'Review PPT update '!$A11, 'LOI and Commissioning Master Sh'!$G:$G,"A", 'LOI and Commissioning Master Sh'!$X:$X,"Yes")</f>
        <v>0</v>
      </c>
      <c r="E11" s="105">
        <f>+COUNTIFS('LOI and Commissioning Master Sh'!$D:$D,'Review PPT update '!$A11, 'LOI and Commissioning Master Sh'!$G:$G,"A", 'LOI and Commissioning Master Sh'!$X:$X,"Yes",'LOI and Commissioning Master Sh'!$AE:$AE,E$2)</f>
        <v>0</v>
      </c>
      <c r="F11" s="105">
        <f>+COUNTIFS('LOI and Commissioning Master Sh'!$D:$D,'Review PPT update '!$A11, 'LOI and Commissioning Master Sh'!$G:$G,"A", 'LOI and Commissioning Master Sh'!$X:$X,"Yes",'LOI and Commissioning Master Sh'!$AE:$AE,F$2)</f>
        <v>0</v>
      </c>
      <c r="G11" s="105">
        <f>+COUNTIFS('LOI and Commissioning Master Sh'!$D:$D,'Review PPT update '!$A11, 'LOI and Commissioning Master Sh'!$G:$G,"A", 'LOI and Commissioning Master Sh'!$X:$X,"Yes",'LOI and Commissioning Master Sh'!$AE:$AE,G$2)</f>
        <v>0</v>
      </c>
      <c r="H11" s="105">
        <f>+COUNTIFS('LOI and Commissioning Master Sh'!$D:$D,'Review PPT update '!$A11, 'LOI and Commissioning Master Sh'!$G:$G,"A", 'LOI and Commissioning Master Sh'!$X:$X,"Yes",'LOI and Commissioning Master Sh'!$AE:$AE,H$2)</f>
        <v>0</v>
      </c>
      <c r="I11" s="105">
        <f>+COUNTIFS('LOI and Commissioning Master Sh'!$D:$D,'Review PPT update '!$A11, 'LOI and Commissioning Master Sh'!$G:$G,"A", 'LOI and Commissioning Master Sh'!$X:$X,"Yes",'LOI and Commissioning Master Sh'!$AE:$AE,I$2)</f>
        <v>0</v>
      </c>
      <c r="J11" s="105">
        <f>+COUNTIFS('LOI and Commissioning Master Sh'!$D:$D,'Review PPT update '!$A11, 'LOI and Commissioning Master Sh'!$G:$G,"A", 'LOI and Commissioning Master Sh'!$X:$X,"Yes",'LOI and Commissioning Master Sh'!$AE:$AE,J$2)</f>
        <v>0</v>
      </c>
      <c r="K11" s="105">
        <f>+COUNTIFS('LOI and Commissioning Master Sh'!$D:$D,'Review PPT update '!$A11, 'LOI and Commissioning Master Sh'!$G:$G,"A", 'LOI and Commissioning Master Sh'!$X:$X,"Yes",'LOI and Commissioning Master Sh'!$AE:$AE,K$2)</f>
        <v>0</v>
      </c>
      <c r="L11" s="105">
        <f>+COUNTIFS('LOI and Commissioning Master Sh'!$D:$D,'Review PPT update '!$A11, 'LOI and Commissioning Master Sh'!$G:$G,"A", 'LOI and Commissioning Master Sh'!$X:$X,"Yes",'LOI and Commissioning Master Sh'!$AE:$AE,L$2)</f>
        <v>0</v>
      </c>
      <c r="M11" s="105">
        <f>+COUNTIFS('LOI and Commissioning Master Sh'!$D:$D,'Review PPT update '!$A11, 'LOI and Commissioning Master Sh'!$G:$G,"A", 'LOI and Commissioning Master Sh'!$X:$X,"Yes",'LOI and Commissioning Master Sh'!$AE:$AE,M$2)</f>
        <v>0</v>
      </c>
      <c r="N11" s="105">
        <f>+COUNTIFS('LOI and Commissioning Master Sh'!$D:$D,'Review PPT update '!$A11, 'LOI and Commissioning Master Sh'!$G:$G,"A", 'LOI and Commissioning Master Sh'!$X:$X,"Yes",'LOI and Commissioning Master Sh'!$AE:$AE,N$2)</f>
        <v>0</v>
      </c>
      <c r="O11" s="105">
        <f>+COUNTIFS('LOI and Commissioning Master Sh'!$D:$D,'Review PPT update '!$A11, 'LOI and Commissioning Master Sh'!$G:$G,"A", 'LOI and Commissioning Master Sh'!$X:$X,"Yes",'LOI and Commissioning Master Sh'!$AE:$AE,O$2)</f>
        <v>0</v>
      </c>
      <c r="P11" s="105">
        <f>+COUNTIFS('LOI and Commissioning Master Sh'!$D:$D,'Review PPT update '!$A11, 'LOI and Commissioning Master Sh'!$G:$G,"A", 'LOI and Commissioning Master Sh'!$X:$X,"Yes",'LOI and Commissioning Master Sh'!$AE:$AE,P$2)</f>
        <v>0</v>
      </c>
      <c r="Q11" s="105">
        <f t="shared" si="1"/>
        <v>0</v>
      </c>
    </row>
    <row r="12" spans="1:17" ht="18" x14ac:dyDescent="0.25">
      <c r="A12" s="107" t="s">
        <v>135</v>
      </c>
      <c r="B12" s="105">
        <f>+COUNTIFS('LOI and Commissioning Master Sh'!$D:$D,'Review PPT update '!$A12, 'LOI and Commissioning Master Sh'!$G:$G,"A")</f>
        <v>0</v>
      </c>
      <c r="C12" s="105">
        <f>+COUNTIFS('LOI and Commissioning Master Sh'!$D:$D,'Review PPT update '!$A12, 'LOI and Commissioning Master Sh'!$G:$G,"A", 'LOI and Commissioning Master Sh'!$W:$W,"Yes")</f>
        <v>0</v>
      </c>
      <c r="D12" s="105">
        <f>+COUNTIFS('LOI and Commissioning Master Sh'!$D:$D,'Review PPT update '!$A12, 'LOI and Commissioning Master Sh'!$G:$G,"A", 'LOI and Commissioning Master Sh'!$X:$X,"Yes")</f>
        <v>0</v>
      </c>
      <c r="E12" s="105">
        <f>+COUNTIFS('LOI and Commissioning Master Sh'!$D:$D,'Review PPT update '!$A12, 'LOI and Commissioning Master Sh'!$G:$G,"A", 'LOI and Commissioning Master Sh'!$X:$X,"Yes",'LOI and Commissioning Master Sh'!$AE:$AE,E$2)</f>
        <v>0</v>
      </c>
      <c r="F12" s="105">
        <f>+COUNTIFS('LOI and Commissioning Master Sh'!$D:$D,'Review PPT update '!$A12, 'LOI and Commissioning Master Sh'!$G:$G,"A", 'LOI and Commissioning Master Sh'!$X:$X,"Yes",'LOI and Commissioning Master Sh'!$AE:$AE,F$2)</f>
        <v>0</v>
      </c>
      <c r="G12" s="105">
        <f>+COUNTIFS('LOI and Commissioning Master Sh'!$D:$D,'Review PPT update '!$A12, 'LOI and Commissioning Master Sh'!$G:$G,"A", 'LOI and Commissioning Master Sh'!$X:$X,"Yes",'LOI and Commissioning Master Sh'!$AE:$AE,G$2)</f>
        <v>0</v>
      </c>
      <c r="H12" s="105">
        <f>+COUNTIFS('LOI and Commissioning Master Sh'!$D:$D,'Review PPT update '!$A12, 'LOI and Commissioning Master Sh'!$G:$G,"A", 'LOI and Commissioning Master Sh'!$X:$X,"Yes",'LOI and Commissioning Master Sh'!$AE:$AE,H$2)</f>
        <v>0</v>
      </c>
      <c r="I12" s="105">
        <f>+COUNTIFS('LOI and Commissioning Master Sh'!$D:$D,'Review PPT update '!$A12, 'LOI and Commissioning Master Sh'!$G:$G,"A", 'LOI and Commissioning Master Sh'!$X:$X,"Yes",'LOI and Commissioning Master Sh'!$AE:$AE,I$2)</f>
        <v>0</v>
      </c>
      <c r="J12" s="105">
        <f>+COUNTIFS('LOI and Commissioning Master Sh'!$D:$D,'Review PPT update '!$A12, 'LOI and Commissioning Master Sh'!$G:$G,"A", 'LOI and Commissioning Master Sh'!$X:$X,"Yes",'LOI and Commissioning Master Sh'!$AE:$AE,J$2)</f>
        <v>0</v>
      </c>
      <c r="K12" s="105">
        <f>+COUNTIFS('LOI and Commissioning Master Sh'!$D:$D,'Review PPT update '!$A12, 'LOI and Commissioning Master Sh'!$G:$G,"A", 'LOI and Commissioning Master Sh'!$X:$X,"Yes",'LOI and Commissioning Master Sh'!$AE:$AE,K$2)</f>
        <v>0</v>
      </c>
      <c r="L12" s="105">
        <f>+COUNTIFS('LOI and Commissioning Master Sh'!$D:$D,'Review PPT update '!$A12, 'LOI and Commissioning Master Sh'!$G:$G,"A", 'LOI and Commissioning Master Sh'!$X:$X,"Yes",'LOI and Commissioning Master Sh'!$AE:$AE,L$2)</f>
        <v>0</v>
      </c>
      <c r="M12" s="105">
        <f>+COUNTIFS('LOI and Commissioning Master Sh'!$D:$D,'Review PPT update '!$A12, 'LOI and Commissioning Master Sh'!$G:$G,"A", 'LOI and Commissioning Master Sh'!$X:$X,"Yes",'LOI and Commissioning Master Sh'!$AE:$AE,M$2)</f>
        <v>0</v>
      </c>
      <c r="N12" s="105">
        <f>+COUNTIFS('LOI and Commissioning Master Sh'!$D:$D,'Review PPT update '!$A12, 'LOI and Commissioning Master Sh'!$G:$G,"A", 'LOI and Commissioning Master Sh'!$X:$X,"Yes",'LOI and Commissioning Master Sh'!$AE:$AE,N$2)</f>
        <v>0</v>
      </c>
      <c r="O12" s="105">
        <f>+COUNTIFS('LOI and Commissioning Master Sh'!$D:$D,'Review PPT update '!$A12, 'LOI and Commissioning Master Sh'!$G:$G,"A", 'LOI and Commissioning Master Sh'!$X:$X,"Yes",'LOI and Commissioning Master Sh'!$AE:$AE,O$2)</f>
        <v>0</v>
      </c>
      <c r="P12" s="105">
        <f>+COUNTIFS('LOI and Commissioning Master Sh'!$D:$D,'Review PPT update '!$A12, 'LOI and Commissioning Master Sh'!$G:$G,"A", 'LOI and Commissioning Master Sh'!$X:$X,"Yes",'LOI and Commissioning Master Sh'!$AE:$AE,P$2)</f>
        <v>0</v>
      </c>
      <c r="Q12" s="105">
        <f t="shared" si="1"/>
        <v>0</v>
      </c>
    </row>
    <row r="13" spans="1:17" ht="18" x14ac:dyDescent="0.25">
      <c r="A13" s="107" t="s">
        <v>195</v>
      </c>
      <c r="B13" s="105">
        <f>+COUNTIFS('LOI and Commissioning Master Sh'!$D:$D,'Review PPT update '!$A13, 'LOI and Commissioning Master Sh'!$G:$G,"A")</f>
        <v>0</v>
      </c>
      <c r="C13" s="105">
        <f>+COUNTIFS('LOI and Commissioning Master Sh'!$D:$D,'Review PPT update '!$A13, 'LOI and Commissioning Master Sh'!$G:$G,"A", 'LOI and Commissioning Master Sh'!$W:$W,"Yes")</f>
        <v>0</v>
      </c>
      <c r="D13" s="105">
        <f>+COUNTIFS('LOI and Commissioning Master Sh'!$D:$D,'Review PPT update '!$A13, 'LOI and Commissioning Master Sh'!$G:$G,"A", 'LOI and Commissioning Master Sh'!$X:$X,"Yes")</f>
        <v>0</v>
      </c>
      <c r="E13" s="105">
        <f>+COUNTIFS('LOI and Commissioning Master Sh'!$D:$D,'Review PPT update '!$A13, 'LOI and Commissioning Master Sh'!$G:$G,"A", 'LOI and Commissioning Master Sh'!$X:$X,"Yes",'LOI and Commissioning Master Sh'!$AE:$AE,E$2)</f>
        <v>0</v>
      </c>
      <c r="F13" s="105">
        <f>+COUNTIFS('LOI and Commissioning Master Sh'!$D:$D,'Review PPT update '!$A13, 'LOI and Commissioning Master Sh'!$G:$G,"A", 'LOI and Commissioning Master Sh'!$X:$X,"Yes",'LOI and Commissioning Master Sh'!$AE:$AE,F$2)</f>
        <v>0</v>
      </c>
      <c r="G13" s="105">
        <f>+COUNTIFS('LOI and Commissioning Master Sh'!$D:$D,'Review PPT update '!$A13, 'LOI and Commissioning Master Sh'!$G:$G,"A", 'LOI and Commissioning Master Sh'!$X:$X,"Yes",'LOI and Commissioning Master Sh'!$AE:$AE,G$2)</f>
        <v>0</v>
      </c>
      <c r="H13" s="105">
        <f>+COUNTIFS('LOI and Commissioning Master Sh'!$D:$D,'Review PPT update '!$A13, 'LOI and Commissioning Master Sh'!$G:$G,"A", 'LOI and Commissioning Master Sh'!$X:$X,"Yes",'LOI and Commissioning Master Sh'!$AE:$AE,H$2)</f>
        <v>0</v>
      </c>
      <c r="I13" s="105">
        <f>+COUNTIFS('LOI and Commissioning Master Sh'!$D:$D,'Review PPT update '!$A13, 'LOI and Commissioning Master Sh'!$G:$G,"A", 'LOI and Commissioning Master Sh'!$X:$X,"Yes",'LOI and Commissioning Master Sh'!$AE:$AE,I$2)</f>
        <v>0</v>
      </c>
      <c r="J13" s="105">
        <f>+COUNTIFS('LOI and Commissioning Master Sh'!$D:$D,'Review PPT update '!$A13, 'LOI and Commissioning Master Sh'!$G:$G,"A", 'LOI and Commissioning Master Sh'!$X:$X,"Yes",'LOI and Commissioning Master Sh'!$AE:$AE,J$2)</f>
        <v>0</v>
      </c>
      <c r="K13" s="105">
        <f>+COUNTIFS('LOI and Commissioning Master Sh'!$D:$D,'Review PPT update '!$A13, 'LOI and Commissioning Master Sh'!$G:$G,"A", 'LOI and Commissioning Master Sh'!$X:$X,"Yes",'LOI and Commissioning Master Sh'!$AE:$AE,K$2)</f>
        <v>0</v>
      </c>
      <c r="L13" s="105">
        <f>+COUNTIFS('LOI and Commissioning Master Sh'!$D:$D,'Review PPT update '!$A13, 'LOI and Commissioning Master Sh'!$G:$G,"A", 'LOI and Commissioning Master Sh'!$X:$X,"Yes",'LOI and Commissioning Master Sh'!$AE:$AE,L$2)</f>
        <v>0</v>
      </c>
      <c r="M13" s="105">
        <f>+COUNTIFS('LOI and Commissioning Master Sh'!$D:$D,'Review PPT update '!$A13, 'LOI and Commissioning Master Sh'!$G:$G,"A", 'LOI and Commissioning Master Sh'!$X:$X,"Yes",'LOI and Commissioning Master Sh'!$AE:$AE,M$2)</f>
        <v>0</v>
      </c>
      <c r="N13" s="105">
        <f>+COUNTIFS('LOI and Commissioning Master Sh'!$D:$D,'Review PPT update '!$A13, 'LOI and Commissioning Master Sh'!$G:$G,"A", 'LOI and Commissioning Master Sh'!$X:$X,"Yes",'LOI and Commissioning Master Sh'!$AE:$AE,N$2)</f>
        <v>0</v>
      </c>
      <c r="O13" s="105">
        <f>+COUNTIFS('LOI and Commissioning Master Sh'!$D:$D,'Review PPT update '!$A13, 'LOI and Commissioning Master Sh'!$G:$G,"A", 'LOI and Commissioning Master Sh'!$X:$X,"Yes",'LOI and Commissioning Master Sh'!$AE:$AE,O$2)</f>
        <v>0</v>
      </c>
      <c r="P13" s="105">
        <f>+COUNTIFS('LOI and Commissioning Master Sh'!$D:$D,'Review PPT update '!$A13, 'LOI and Commissioning Master Sh'!$G:$G,"A", 'LOI and Commissioning Master Sh'!$X:$X,"Yes",'LOI and Commissioning Master Sh'!$AE:$AE,P$2)</f>
        <v>0</v>
      </c>
      <c r="Q13" s="105">
        <f t="shared" si="1"/>
        <v>0</v>
      </c>
    </row>
    <row r="14" spans="1:17" ht="18" x14ac:dyDescent="0.25">
      <c r="A14" s="108" t="s">
        <v>1344</v>
      </c>
      <c r="B14" s="108">
        <f t="shared" ref="B14" si="2">SUM(B3:B6)</f>
        <v>22</v>
      </c>
      <c r="C14" s="108">
        <f>SUM(C3:C13)</f>
        <v>9</v>
      </c>
      <c r="D14" s="108">
        <f t="shared" ref="D14:Q14" si="3">SUM(D3:D13)</f>
        <v>8</v>
      </c>
      <c r="E14" s="108">
        <f t="shared" si="3"/>
        <v>0</v>
      </c>
      <c r="F14" s="108">
        <f t="shared" si="3"/>
        <v>1</v>
      </c>
      <c r="G14" s="108">
        <f t="shared" si="3"/>
        <v>0</v>
      </c>
      <c r="H14" s="108">
        <f t="shared" si="3"/>
        <v>1</v>
      </c>
      <c r="I14" s="108">
        <f t="shared" si="3"/>
        <v>0</v>
      </c>
      <c r="J14" s="108">
        <f t="shared" si="3"/>
        <v>1</v>
      </c>
      <c r="K14" s="108">
        <f t="shared" si="3"/>
        <v>0</v>
      </c>
      <c r="L14" s="108">
        <f t="shared" si="3"/>
        <v>0</v>
      </c>
      <c r="M14" s="108">
        <f t="shared" si="3"/>
        <v>3</v>
      </c>
      <c r="N14" s="108">
        <f t="shared" si="3"/>
        <v>0</v>
      </c>
      <c r="O14" s="108">
        <f t="shared" si="3"/>
        <v>1</v>
      </c>
      <c r="P14" s="108">
        <f t="shared" si="3"/>
        <v>1</v>
      </c>
      <c r="Q14" s="108">
        <f t="shared" si="3"/>
        <v>8</v>
      </c>
    </row>
    <row r="18" spans="1:17" ht="19.5" thickBot="1" x14ac:dyDescent="0.35">
      <c r="A18" s="39" t="s">
        <v>142</v>
      </c>
    </row>
    <row r="19" spans="1:17" ht="72.75" thickBot="1" x14ac:dyDescent="0.3">
      <c r="A19" s="37" t="s">
        <v>1473</v>
      </c>
      <c r="B19" s="103" t="s">
        <v>1474</v>
      </c>
      <c r="C19" s="103" t="s">
        <v>1475</v>
      </c>
      <c r="D19" s="103" t="s">
        <v>1476</v>
      </c>
      <c r="E19" s="104">
        <v>46113</v>
      </c>
      <c r="F19" s="104">
        <v>46143</v>
      </c>
      <c r="G19" s="104">
        <v>46174</v>
      </c>
      <c r="H19" s="104">
        <v>46204</v>
      </c>
      <c r="I19" s="104">
        <v>46235</v>
      </c>
      <c r="J19" s="104">
        <v>46266</v>
      </c>
      <c r="K19" s="104">
        <v>46296</v>
      </c>
      <c r="L19" s="104">
        <v>46327</v>
      </c>
      <c r="M19" s="104">
        <v>46357</v>
      </c>
      <c r="N19" s="104">
        <v>46388</v>
      </c>
      <c r="O19" s="104">
        <v>46419</v>
      </c>
      <c r="P19" s="104">
        <v>46447</v>
      </c>
      <c r="Q19" s="103" t="s">
        <v>1344</v>
      </c>
    </row>
    <row r="20" spans="1:17" thickBot="1" x14ac:dyDescent="0.3">
      <c r="A20" s="107" t="s">
        <v>190</v>
      </c>
      <c r="B20" s="38">
        <f>+COUNTIFS('LOI and Commissioning Master Sh'!$D:$D,'Review PPT update '!$A20, 'LOI and Commissioning Master Sh'!$G:$G,"D1")</f>
        <v>8</v>
      </c>
      <c r="C20" s="38">
        <f>+COUNTIFS('LOI and Commissioning Master Sh'!$D:$D,'Review PPT update '!$A20, 'LOI and Commissioning Master Sh'!$G:$G,"D1", 'LOI and Commissioning Master Sh'!$W:$W,"Yes")</f>
        <v>6</v>
      </c>
      <c r="D20" s="38">
        <f>+COUNTIFS('LOI and Commissioning Master Sh'!$D:$D,'Review PPT update '!$A20, 'LOI and Commissioning Master Sh'!$G:$G,"D1", 'LOI and Commissioning Master Sh'!$X:$X,"Yes")</f>
        <v>3</v>
      </c>
      <c r="E20" s="38">
        <f>+COUNTIFS('LOI and Commissioning Master Sh'!$D:$D,'Review PPT update '!$A20, 'LOI and Commissioning Master Sh'!$G:$G,"D1", 'LOI and Commissioning Master Sh'!$X:$X,"Yes",'LOI and Commissioning Master Sh'!$AE:$AE,E$19)</f>
        <v>0</v>
      </c>
      <c r="F20" s="38">
        <f>+COUNTIFS('LOI and Commissioning Master Sh'!$D:$D,'Review PPT update '!$A20, 'LOI and Commissioning Master Sh'!$G:$G,"D1", 'LOI and Commissioning Master Sh'!$X:$X,"Yes",'LOI and Commissioning Master Sh'!$AE:$AE,F$19)</f>
        <v>0</v>
      </c>
      <c r="G20" s="38">
        <f>+COUNTIFS('LOI and Commissioning Master Sh'!$D:$D,'Review PPT update '!$A20, 'LOI and Commissioning Master Sh'!$G:$G,"D1", 'LOI and Commissioning Master Sh'!$X:$X,"Yes",'LOI and Commissioning Master Sh'!$AE:$AE,G$19)</f>
        <v>0</v>
      </c>
      <c r="H20" s="38">
        <f>+COUNTIFS('LOI and Commissioning Master Sh'!$D:$D,'Review PPT update '!$A20, 'LOI and Commissioning Master Sh'!$G:$G,"D1", 'LOI and Commissioning Master Sh'!$X:$X,"Yes",'LOI and Commissioning Master Sh'!$AE:$AE,H$19)</f>
        <v>0</v>
      </c>
      <c r="I20" s="38">
        <f>+COUNTIFS('LOI and Commissioning Master Sh'!$D:$D,'Review PPT update '!$A20, 'LOI and Commissioning Master Sh'!$G:$G,"D1", 'LOI and Commissioning Master Sh'!$X:$X,"Yes",'LOI and Commissioning Master Sh'!$AE:$AE,I$19)</f>
        <v>0</v>
      </c>
      <c r="J20" s="38">
        <f>+COUNTIFS('LOI and Commissioning Master Sh'!$D:$D,'Review PPT update '!$A20, 'LOI and Commissioning Master Sh'!$G:$G,"D1", 'LOI and Commissioning Master Sh'!$X:$X,"Yes",'LOI and Commissioning Master Sh'!$AE:$AE,J$19)</f>
        <v>1</v>
      </c>
      <c r="K20" s="38">
        <f>+COUNTIFS('LOI and Commissioning Master Sh'!$D:$D,'Review PPT update '!$A20, 'LOI and Commissioning Master Sh'!$G:$G,"D1", 'LOI and Commissioning Master Sh'!$X:$X,"Yes",'LOI and Commissioning Master Sh'!$AE:$AE,K$19)</f>
        <v>1</v>
      </c>
      <c r="L20" s="38">
        <f>+COUNTIFS('LOI and Commissioning Master Sh'!$D:$D,'Review PPT update '!$A20, 'LOI and Commissioning Master Sh'!$G:$G,"D1", 'LOI and Commissioning Master Sh'!$X:$X,"Yes",'LOI and Commissioning Master Sh'!$AE:$AE,L$19)</f>
        <v>0</v>
      </c>
      <c r="M20" s="38">
        <f>+COUNTIFS('LOI and Commissioning Master Sh'!$D:$D,'Review PPT update '!$A20, 'LOI and Commissioning Master Sh'!$G:$G,"D1", 'LOI and Commissioning Master Sh'!$X:$X,"Yes",'LOI and Commissioning Master Sh'!$AE:$AE,M$19)</f>
        <v>0</v>
      </c>
      <c r="N20" s="38">
        <f>+COUNTIFS('LOI and Commissioning Master Sh'!$D:$D,'Review PPT update '!$A20, 'LOI and Commissioning Master Sh'!$G:$G,"D1", 'LOI and Commissioning Master Sh'!$X:$X,"Yes",'LOI and Commissioning Master Sh'!$AE:$AE,N$19)</f>
        <v>1</v>
      </c>
      <c r="O20" s="38">
        <f>+COUNTIFS('LOI and Commissioning Master Sh'!$D:$D,'Review PPT update '!$A20, 'LOI and Commissioning Master Sh'!$G:$G,"D1", 'LOI and Commissioning Master Sh'!$X:$X,"Yes",'LOI and Commissioning Master Sh'!$AE:$AE,O$19)</f>
        <v>0</v>
      </c>
      <c r="P20" s="38">
        <f>+COUNTIFS('LOI and Commissioning Master Sh'!$D:$D,'Review PPT update '!$A20, 'LOI and Commissioning Master Sh'!$G:$G,"D1", 'LOI and Commissioning Master Sh'!$X:$X,"Yes",'LOI and Commissioning Master Sh'!$AE:$AE,P$19)</f>
        <v>0</v>
      </c>
      <c r="Q20" s="38">
        <f t="shared" ref="Q20" si="4">+SUM(E20:P20)</f>
        <v>3</v>
      </c>
    </row>
    <row r="21" spans="1:17" thickBot="1" x14ac:dyDescent="0.3">
      <c r="A21" s="107" t="s">
        <v>156</v>
      </c>
      <c r="B21" s="38">
        <f>+COUNTIFS('LOI and Commissioning Master Sh'!$D:$D,'Review PPT update '!$A21, 'LOI and Commissioning Master Sh'!$G:$G,"D1")</f>
        <v>13</v>
      </c>
      <c r="C21" s="38">
        <f>+COUNTIFS('LOI and Commissioning Master Sh'!$D:$D,'Review PPT update '!$A21, 'LOI and Commissioning Master Sh'!$G:$G,"D1", 'LOI and Commissioning Master Sh'!$W:$W,"Yes")</f>
        <v>6</v>
      </c>
      <c r="D21" s="38">
        <f>+COUNTIFS('LOI and Commissioning Master Sh'!$D:$D,'Review PPT update '!$A21, 'LOI and Commissioning Master Sh'!$G:$G,"D1", 'LOI and Commissioning Master Sh'!$X:$X,"Yes")</f>
        <v>5</v>
      </c>
      <c r="E21" s="38">
        <f>+COUNTIFS('LOI and Commissioning Master Sh'!$D:$D,'Review PPT update '!$A21, 'LOI and Commissioning Master Sh'!$G:$G,"D1", 'LOI and Commissioning Master Sh'!$X:$X,"Yes",'LOI and Commissioning Master Sh'!$AE:$AE,E$19)</f>
        <v>0</v>
      </c>
      <c r="F21" s="38">
        <f>+COUNTIFS('LOI and Commissioning Master Sh'!$D:$D,'Review PPT update '!$A21, 'LOI and Commissioning Master Sh'!$G:$G,"D1", 'LOI and Commissioning Master Sh'!$X:$X,"Yes",'LOI and Commissioning Master Sh'!$AE:$AE,F$19)</f>
        <v>1</v>
      </c>
      <c r="G21" s="38">
        <f>+COUNTIFS('LOI and Commissioning Master Sh'!$D:$D,'Review PPT update '!$A21, 'LOI and Commissioning Master Sh'!$G:$G,"D1", 'LOI and Commissioning Master Sh'!$X:$X,"Yes",'LOI and Commissioning Master Sh'!$AE:$AE,G$19)</f>
        <v>2</v>
      </c>
      <c r="H21" s="38">
        <f>+COUNTIFS('LOI and Commissioning Master Sh'!$D:$D,'Review PPT update '!$A21, 'LOI and Commissioning Master Sh'!$G:$G,"D1", 'LOI and Commissioning Master Sh'!$X:$X,"Yes",'LOI and Commissioning Master Sh'!$AE:$AE,H$19)</f>
        <v>0</v>
      </c>
      <c r="I21" s="38">
        <f>+COUNTIFS('LOI and Commissioning Master Sh'!$D:$D,'Review PPT update '!$A21, 'LOI and Commissioning Master Sh'!$G:$G,"D1", 'LOI and Commissioning Master Sh'!$X:$X,"Yes",'LOI and Commissioning Master Sh'!$AE:$AE,I$19)</f>
        <v>0</v>
      </c>
      <c r="J21" s="38">
        <f>+COUNTIFS('LOI and Commissioning Master Sh'!$D:$D,'Review PPT update '!$A21, 'LOI and Commissioning Master Sh'!$G:$G,"D1", 'LOI and Commissioning Master Sh'!$X:$X,"Yes",'LOI and Commissioning Master Sh'!$AE:$AE,J$19)</f>
        <v>0</v>
      </c>
      <c r="K21" s="38">
        <f>+COUNTIFS('LOI and Commissioning Master Sh'!$D:$D,'Review PPT update '!$A21, 'LOI and Commissioning Master Sh'!$G:$G,"D1", 'LOI and Commissioning Master Sh'!$X:$X,"Yes",'LOI and Commissioning Master Sh'!$AE:$AE,K$19)</f>
        <v>0</v>
      </c>
      <c r="L21" s="38">
        <f>+COUNTIFS('LOI and Commissioning Master Sh'!$D:$D,'Review PPT update '!$A21, 'LOI and Commissioning Master Sh'!$G:$G,"D1", 'LOI and Commissioning Master Sh'!$X:$X,"Yes",'LOI and Commissioning Master Sh'!$AE:$AE,L$19)</f>
        <v>1</v>
      </c>
      <c r="M21" s="38">
        <f>+COUNTIFS('LOI and Commissioning Master Sh'!$D:$D,'Review PPT update '!$A21, 'LOI and Commissioning Master Sh'!$G:$G,"D1", 'LOI and Commissioning Master Sh'!$X:$X,"Yes",'LOI and Commissioning Master Sh'!$AE:$AE,M$19)</f>
        <v>0</v>
      </c>
      <c r="N21" s="38">
        <f>+COUNTIFS('LOI and Commissioning Master Sh'!$D:$D,'Review PPT update '!$A21, 'LOI and Commissioning Master Sh'!$G:$G,"D1", 'LOI and Commissioning Master Sh'!$X:$X,"Yes",'LOI and Commissioning Master Sh'!$AE:$AE,N$19)</f>
        <v>1</v>
      </c>
      <c r="O21" s="38">
        <f>+COUNTIFS('LOI and Commissioning Master Sh'!$D:$D,'Review PPT update '!$A21, 'LOI and Commissioning Master Sh'!$G:$G,"D1", 'LOI and Commissioning Master Sh'!$X:$X,"Yes",'LOI and Commissioning Master Sh'!$AE:$AE,O$19)</f>
        <v>0</v>
      </c>
      <c r="P21" s="38">
        <f>+COUNTIFS('LOI and Commissioning Master Sh'!$D:$D,'Review PPT update '!$A21, 'LOI and Commissioning Master Sh'!$G:$G,"D1", 'LOI and Commissioning Master Sh'!$X:$X,"Yes",'LOI and Commissioning Master Sh'!$AE:$AE,P$19)</f>
        <v>0</v>
      </c>
      <c r="Q21" s="38">
        <f t="shared" ref="Q21:Q30" si="5">+SUM(E21:P21)</f>
        <v>5</v>
      </c>
    </row>
    <row r="22" spans="1:17" thickBot="1" x14ac:dyDescent="0.3">
      <c r="A22" s="107" t="s">
        <v>383</v>
      </c>
      <c r="B22" s="38">
        <f>+COUNTIFS('LOI and Commissioning Master Sh'!$D:$D,'Review PPT update '!$A22, 'LOI and Commissioning Master Sh'!$G:$G,"D1")</f>
        <v>2</v>
      </c>
      <c r="C22" s="38">
        <f>+COUNTIFS('LOI and Commissioning Master Sh'!$D:$D,'Review PPT update '!$A22, 'LOI and Commissioning Master Sh'!$G:$G,"D1", 'LOI and Commissioning Master Sh'!$W:$W,"Yes")</f>
        <v>1</v>
      </c>
      <c r="D22" s="38">
        <f>+COUNTIFS('LOI and Commissioning Master Sh'!$D:$D,'Review PPT update '!$A22, 'LOI and Commissioning Master Sh'!$G:$G,"D1", 'LOI and Commissioning Master Sh'!$X:$X,"Yes")</f>
        <v>1</v>
      </c>
      <c r="E22" s="38">
        <f>+COUNTIFS('LOI and Commissioning Master Sh'!$D:$D,'Review PPT update '!$A22, 'LOI and Commissioning Master Sh'!$G:$G,"D1", 'LOI and Commissioning Master Sh'!$X:$X,"Yes",'LOI and Commissioning Master Sh'!$AE:$AE,E$19)</f>
        <v>0</v>
      </c>
      <c r="F22" s="38">
        <f>+COUNTIFS('LOI and Commissioning Master Sh'!$D:$D,'Review PPT update '!$A22, 'LOI and Commissioning Master Sh'!$G:$G,"D1", 'LOI and Commissioning Master Sh'!$X:$X,"Yes",'LOI and Commissioning Master Sh'!$AE:$AE,F$19)</f>
        <v>0</v>
      </c>
      <c r="G22" s="38">
        <f>+COUNTIFS('LOI and Commissioning Master Sh'!$D:$D,'Review PPT update '!$A22, 'LOI and Commissioning Master Sh'!$G:$G,"D1", 'LOI and Commissioning Master Sh'!$X:$X,"Yes",'LOI and Commissioning Master Sh'!$AE:$AE,G$19)</f>
        <v>0</v>
      </c>
      <c r="H22" s="38">
        <f>+COUNTIFS('LOI and Commissioning Master Sh'!$D:$D,'Review PPT update '!$A22, 'LOI and Commissioning Master Sh'!$G:$G,"D1", 'LOI and Commissioning Master Sh'!$X:$X,"Yes",'LOI and Commissioning Master Sh'!$AE:$AE,H$19)</f>
        <v>0</v>
      </c>
      <c r="I22" s="38">
        <f>+COUNTIFS('LOI and Commissioning Master Sh'!$D:$D,'Review PPT update '!$A22, 'LOI and Commissioning Master Sh'!$G:$G,"D1", 'LOI and Commissioning Master Sh'!$X:$X,"Yes",'LOI and Commissioning Master Sh'!$AE:$AE,I$19)</f>
        <v>0</v>
      </c>
      <c r="J22" s="38">
        <f>+COUNTIFS('LOI and Commissioning Master Sh'!$D:$D,'Review PPT update '!$A22, 'LOI and Commissioning Master Sh'!$G:$G,"D1", 'LOI and Commissioning Master Sh'!$X:$X,"Yes",'LOI and Commissioning Master Sh'!$AE:$AE,J$19)</f>
        <v>0</v>
      </c>
      <c r="K22" s="38">
        <f>+COUNTIFS('LOI and Commissioning Master Sh'!$D:$D,'Review PPT update '!$A22, 'LOI and Commissioning Master Sh'!$G:$G,"D1", 'LOI and Commissioning Master Sh'!$X:$X,"Yes",'LOI and Commissioning Master Sh'!$AE:$AE,K$19)</f>
        <v>0</v>
      </c>
      <c r="L22" s="38">
        <f>+COUNTIFS('LOI and Commissioning Master Sh'!$D:$D,'Review PPT update '!$A22, 'LOI and Commissioning Master Sh'!$G:$G,"D1", 'LOI and Commissioning Master Sh'!$X:$X,"Yes",'LOI and Commissioning Master Sh'!$AE:$AE,L$19)</f>
        <v>0</v>
      </c>
      <c r="M22" s="38">
        <f>+COUNTIFS('LOI and Commissioning Master Sh'!$D:$D,'Review PPT update '!$A22, 'LOI and Commissioning Master Sh'!$G:$G,"D1", 'LOI and Commissioning Master Sh'!$X:$X,"Yes",'LOI and Commissioning Master Sh'!$AE:$AE,M$19)</f>
        <v>0</v>
      </c>
      <c r="N22" s="38">
        <f>+COUNTIFS('LOI and Commissioning Master Sh'!$D:$D,'Review PPT update '!$A22, 'LOI and Commissioning Master Sh'!$G:$G,"D1", 'LOI and Commissioning Master Sh'!$X:$X,"Yes",'LOI and Commissioning Master Sh'!$AE:$AE,N$19)</f>
        <v>0</v>
      </c>
      <c r="O22" s="38">
        <f>+COUNTIFS('LOI and Commissioning Master Sh'!$D:$D,'Review PPT update '!$A22, 'LOI and Commissioning Master Sh'!$G:$G,"D1", 'LOI and Commissioning Master Sh'!$X:$X,"Yes",'LOI and Commissioning Master Sh'!$AE:$AE,O$19)</f>
        <v>1</v>
      </c>
      <c r="P22" s="38">
        <f>+COUNTIFS('LOI and Commissioning Master Sh'!$D:$D,'Review PPT update '!$A22, 'LOI and Commissioning Master Sh'!$G:$G,"D1", 'LOI and Commissioning Master Sh'!$X:$X,"Yes",'LOI and Commissioning Master Sh'!$AE:$AE,P$19)</f>
        <v>0</v>
      </c>
      <c r="Q22" s="38">
        <f t="shared" si="5"/>
        <v>1</v>
      </c>
    </row>
    <row r="23" spans="1:17" thickBot="1" x14ac:dyDescent="0.3">
      <c r="A23" s="107" t="s">
        <v>150</v>
      </c>
      <c r="B23" s="38">
        <f>+COUNTIFS('LOI and Commissioning Master Sh'!$D:$D,'Review PPT update '!$A23, 'LOI and Commissioning Master Sh'!$G:$G,"D1")</f>
        <v>5</v>
      </c>
      <c r="C23" s="38">
        <f>+COUNTIFS('LOI and Commissioning Master Sh'!$D:$D,'Review PPT update '!$A23, 'LOI and Commissioning Master Sh'!$G:$G,"D1", 'LOI and Commissioning Master Sh'!$W:$W,"Yes")</f>
        <v>2</v>
      </c>
      <c r="D23" s="38">
        <f>+COUNTIFS('LOI and Commissioning Master Sh'!$D:$D,'Review PPT update '!$A23, 'LOI and Commissioning Master Sh'!$G:$G,"D1", 'LOI and Commissioning Master Sh'!$X:$X,"Yes")</f>
        <v>1</v>
      </c>
      <c r="E23" s="38">
        <f>+COUNTIFS('LOI and Commissioning Master Sh'!$D:$D,'Review PPT update '!$A23, 'LOI and Commissioning Master Sh'!$G:$G,"D1", 'LOI and Commissioning Master Sh'!$X:$X,"Yes",'LOI and Commissioning Master Sh'!$AE:$AE,E$19)</f>
        <v>0</v>
      </c>
      <c r="F23" s="38">
        <f>+COUNTIFS('LOI and Commissioning Master Sh'!$D:$D,'Review PPT update '!$A23, 'LOI and Commissioning Master Sh'!$G:$G,"D1", 'LOI and Commissioning Master Sh'!$X:$X,"Yes",'LOI and Commissioning Master Sh'!$AE:$AE,F$19)</f>
        <v>0</v>
      </c>
      <c r="G23" s="38">
        <f>+COUNTIFS('LOI and Commissioning Master Sh'!$D:$D,'Review PPT update '!$A23, 'LOI and Commissioning Master Sh'!$G:$G,"D1", 'LOI and Commissioning Master Sh'!$X:$X,"Yes",'LOI and Commissioning Master Sh'!$AE:$AE,G$19)</f>
        <v>0</v>
      </c>
      <c r="H23" s="38">
        <f>+COUNTIFS('LOI and Commissioning Master Sh'!$D:$D,'Review PPT update '!$A23, 'LOI and Commissioning Master Sh'!$G:$G,"D1", 'LOI and Commissioning Master Sh'!$X:$X,"Yes",'LOI and Commissioning Master Sh'!$AE:$AE,H$19)</f>
        <v>0</v>
      </c>
      <c r="I23" s="38">
        <f>+COUNTIFS('LOI and Commissioning Master Sh'!$D:$D,'Review PPT update '!$A23, 'LOI and Commissioning Master Sh'!$G:$G,"D1", 'LOI and Commissioning Master Sh'!$X:$X,"Yes",'LOI and Commissioning Master Sh'!$AE:$AE,I$19)</f>
        <v>0</v>
      </c>
      <c r="J23" s="38">
        <f>+COUNTIFS('LOI and Commissioning Master Sh'!$D:$D,'Review PPT update '!$A23, 'LOI and Commissioning Master Sh'!$G:$G,"D1", 'LOI and Commissioning Master Sh'!$X:$X,"Yes",'LOI and Commissioning Master Sh'!$AE:$AE,J$19)</f>
        <v>1</v>
      </c>
      <c r="K23" s="38">
        <f>+COUNTIFS('LOI and Commissioning Master Sh'!$D:$D,'Review PPT update '!$A23, 'LOI and Commissioning Master Sh'!$G:$G,"D1", 'LOI and Commissioning Master Sh'!$X:$X,"Yes",'LOI and Commissioning Master Sh'!$AE:$AE,K$19)</f>
        <v>0</v>
      </c>
      <c r="L23" s="38">
        <f>+COUNTIFS('LOI and Commissioning Master Sh'!$D:$D,'Review PPT update '!$A23, 'LOI and Commissioning Master Sh'!$G:$G,"D1", 'LOI and Commissioning Master Sh'!$X:$X,"Yes",'LOI and Commissioning Master Sh'!$AE:$AE,L$19)</f>
        <v>0</v>
      </c>
      <c r="M23" s="38">
        <f>+COUNTIFS('LOI and Commissioning Master Sh'!$D:$D,'Review PPT update '!$A23, 'LOI and Commissioning Master Sh'!$G:$G,"D1", 'LOI and Commissioning Master Sh'!$X:$X,"Yes",'LOI and Commissioning Master Sh'!$AE:$AE,M$19)</f>
        <v>0</v>
      </c>
      <c r="N23" s="38">
        <f>+COUNTIFS('LOI and Commissioning Master Sh'!$D:$D,'Review PPT update '!$A23, 'LOI and Commissioning Master Sh'!$G:$G,"D1", 'LOI and Commissioning Master Sh'!$X:$X,"Yes",'LOI and Commissioning Master Sh'!$AE:$AE,N$19)</f>
        <v>0</v>
      </c>
      <c r="O23" s="38">
        <f>+COUNTIFS('LOI and Commissioning Master Sh'!$D:$D,'Review PPT update '!$A23, 'LOI and Commissioning Master Sh'!$G:$G,"D1", 'LOI and Commissioning Master Sh'!$X:$X,"Yes",'LOI and Commissioning Master Sh'!$AE:$AE,O$19)</f>
        <v>0</v>
      </c>
      <c r="P23" s="38">
        <f>+COUNTIFS('LOI and Commissioning Master Sh'!$D:$D,'Review PPT update '!$A23, 'LOI and Commissioning Master Sh'!$G:$G,"D1", 'LOI and Commissioning Master Sh'!$X:$X,"Yes",'LOI and Commissioning Master Sh'!$AE:$AE,P$19)</f>
        <v>0</v>
      </c>
      <c r="Q23" s="38">
        <f t="shared" si="5"/>
        <v>1</v>
      </c>
    </row>
    <row r="24" spans="1:17" thickBot="1" x14ac:dyDescent="0.3">
      <c r="A24" s="107" t="s">
        <v>121</v>
      </c>
      <c r="B24" s="38">
        <f>+COUNTIFS('LOI and Commissioning Master Sh'!$D:$D,'Review PPT update '!$A24, 'LOI and Commissioning Master Sh'!$G:$G,"D1")</f>
        <v>18</v>
      </c>
      <c r="C24" s="38">
        <f>+COUNTIFS('LOI and Commissioning Master Sh'!$D:$D,'Review PPT update '!$A24, 'LOI and Commissioning Master Sh'!$G:$G,"D1", 'LOI and Commissioning Master Sh'!$W:$W,"Yes")</f>
        <v>10</v>
      </c>
      <c r="D24" s="38">
        <f>+COUNTIFS('LOI and Commissioning Master Sh'!$D:$D,'Review PPT update '!$A24, 'LOI and Commissioning Master Sh'!$G:$G,"D1", 'LOI and Commissioning Master Sh'!$X:$X,"Yes")</f>
        <v>7</v>
      </c>
      <c r="E24" s="38">
        <f>+COUNTIFS('LOI and Commissioning Master Sh'!$D:$D,'Review PPT update '!$A24, 'LOI and Commissioning Master Sh'!$G:$G,"D1", 'LOI and Commissioning Master Sh'!$X:$X,"Yes",'LOI and Commissioning Master Sh'!$AE:$AE,E$19)</f>
        <v>0</v>
      </c>
      <c r="F24" s="38">
        <f>+COUNTIFS('LOI and Commissioning Master Sh'!$D:$D,'Review PPT update '!$A24, 'LOI and Commissioning Master Sh'!$G:$G,"D1", 'LOI and Commissioning Master Sh'!$X:$X,"Yes",'LOI and Commissioning Master Sh'!$AE:$AE,F$19)</f>
        <v>1</v>
      </c>
      <c r="G24" s="38">
        <f>+COUNTIFS('LOI and Commissioning Master Sh'!$D:$D,'Review PPT update '!$A24, 'LOI and Commissioning Master Sh'!$G:$G,"D1", 'LOI and Commissioning Master Sh'!$X:$X,"Yes",'LOI and Commissioning Master Sh'!$AE:$AE,G$19)</f>
        <v>2</v>
      </c>
      <c r="H24" s="38">
        <f>+COUNTIFS('LOI and Commissioning Master Sh'!$D:$D,'Review PPT update '!$A24, 'LOI and Commissioning Master Sh'!$G:$G,"D1", 'LOI and Commissioning Master Sh'!$X:$X,"Yes",'LOI and Commissioning Master Sh'!$AE:$AE,H$19)</f>
        <v>0</v>
      </c>
      <c r="I24" s="38">
        <f>+COUNTIFS('LOI and Commissioning Master Sh'!$D:$D,'Review PPT update '!$A24, 'LOI and Commissioning Master Sh'!$G:$G,"D1", 'LOI and Commissioning Master Sh'!$X:$X,"Yes",'LOI and Commissioning Master Sh'!$AE:$AE,I$19)</f>
        <v>0</v>
      </c>
      <c r="J24" s="38">
        <f>+COUNTIFS('LOI and Commissioning Master Sh'!$D:$D,'Review PPT update '!$A24, 'LOI and Commissioning Master Sh'!$G:$G,"D1", 'LOI and Commissioning Master Sh'!$X:$X,"Yes",'LOI and Commissioning Master Sh'!$AE:$AE,J$19)</f>
        <v>0</v>
      </c>
      <c r="K24" s="38">
        <f>+COUNTIFS('LOI and Commissioning Master Sh'!$D:$D,'Review PPT update '!$A24, 'LOI and Commissioning Master Sh'!$G:$G,"D1", 'LOI and Commissioning Master Sh'!$X:$X,"Yes",'LOI and Commissioning Master Sh'!$AE:$AE,K$19)</f>
        <v>1</v>
      </c>
      <c r="L24" s="38">
        <f>+COUNTIFS('LOI and Commissioning Master Sh'!$D:$D,'Review PPT update '!$A24, 'LOI and Commissioning Master Sh'!$G:$G,"D1", 'LOI and Commissioning Master Sh'!$X:$X,"Yes",'LOI and Commissioning Master Sh'!$AE:$AE,L$19)</f>
        <v>1</v>
      </c>
      <c r="M24" s="38">
        <f>+COUNTIFS('LOI and Commissioning Master Sh'!$D:$D,'Review PPT update '!$A24, 'LOI and Commissioning Master Sh'!$G:$G,"D1", 'LOI and Commissioning Master Sh'!$X:$X,"Yes",'LOI and Commissioning Master Sh'!$AE:$AE,M$19)</f>
        <v>0</v>
      </c>
      <c r="N24" s="38">
        <f>+COUNTIFS('LOI and Commissioning Master Sh'!$D:$D,'Review PPT update '!$A24, 'LOI and Commissioning Master Sh'!$G:$G,"D1", 'LOI and Commissioning Master Sh'!$X:$X,"Yes",'LOI and Commissioning Master Sh'!$AE:$AE,N$19)</f>
        <v>1</v>
      </c>
      <c r="O24" s="38">
        <f>+COUNTIFS('LOI and Commissioning Master Sh'!$D:$D,'Review PPT update '!$A24, 'LOI and Commissioning Master Sh'!$G:$G,"D1", 'LOI and Commissioning Master Sh'!$X:$X,"Yes",'LOI and Commissioning Master Sh'!$AE:$AE,O$19)</f>
        <v>1</v>
      </c>
      <c r="P24" s="38">
        <f>+COUNTIFS('LOI and Commissioning Master Sh'!$D:$D,'Review PPT update '!$A24, 'LOI and Commissioning Master Sh'!$G:$G,"D1", 'LOI and Commissioning Master Sh'!$X:$X,"Yes",'LOI and Commissioning Master Sh'!$AE:$AE,P$19)</f>
        <v>0</v>
      </c>
      <c r="Q24" s="38">
        <f t="shared" si="5"/>
        <v>7</v>
      </c>
    </row>
    <row r="25" spans="1:17" thickBot="1" x14ac:dyDescent="0.3">
      <c r="A25" s="107" t="s">
        <v>220</v>
      </c>
      <c r="B25" s="38">
        <f>+COUNTIFS('LOI and Commissioning Master Sh'!$D:$D,'Review PPT update '!$A25, 'LOI and Commissioning Master Sh'!$G:$G,"D1")</f>
        <v>19</v>
      </c>
      <c r="C25" s="38">
        <f>+COUNTIFS('LOI and Commissioning Master Sh'!$D:$D,'Review PPT update '!$A25, 'LOI and Commissioning Master Sh'!$G:$G,"D1", 'LOI and Commissioning Master Sh'!$W:$W,"Yes")</f>
        <v>8</v>
      </c>
      <c r="D25" s="38">
        <f>+COUNTIFS('LOI and Commissioning Master Sh'!$D:$D,'Review PPT update '!$A25, 'LOI and Commissioning Master Sh'!$G:$G,"D1", 'LOI and Commissioning Master Sh'!$X:$X,"Yes")</f>
        <v>3</v>
      </c>
      <c r="E25" s="38">
        <f>+COUNTIFS('LOI and Commissioning Master Sh'!$D:$D,'Review PPT update '!$A25, 'LOI and Commissioning Master Sh'!$G:$G,"D1", 'LOI and Commissioning Master Sh'!$X:$X,"Yes",'LOI and Commissioning Master Sh'!$AE:$AE,E$19)</f>
        <v>0</v>
      </c>
      <c r="F25" s="38">
        <f>+COUNTIFS('LOI and Commissioning Master Sh'!$D:$D,'Review PPT update '!$A25, 'LOI and Commissioning Master Sh'!$G:$G,"D1", 'LOI and Commissioning Master Sh'!$X:$X,"Yes",'LOI and Commissioning Master Sh'!$AE:$AE,F$19)</f>
        <v>0</v>
      </c>
      <c r="G25" s="38">
        <f>+COUNTIFS('LOI and Commissioning Master Sh'!$D:$D,'Review PPT update '!$A25, 'LOI and Commissioning Master Sh'!$G:$G,"D1", 'LOI and Commissioning Master Sh'!$X:$X,"Yes",'LOI and Commissioning Master Sh'!$AE:$AE,G$19)</f>
        <v>1</v>
      </c>
      <c r="H25" s="38">
        <f>+COUNTIFS('LOI and Commissioning Master Sh'!$D:$D,'Review PPT update '!$A25, 'LOI and Commissioning Master Sh'!$G:$G,"D1", 'LOI and Commissioning Master Sh'!$X:$X,"Yes",'LOI and Commissioning Master Sh'!$AE:$AE,H$19)</f>
        <v>0</v>
      </c>
      <c r="I25" s="38">
        <f>+COUNTIFS('LOI and Commissioning Master Sh'!$D:$D,'Review PPT update '!$A25, 'LOI and Commissioning Master Sh'!$G:$G,"D1", 'LOI and Commissioning Master Sh'!$X:$X,"Yes",'LOI and Commissioning Master Sh'!$AE:$AE,I$19)</f>
        <v>0</v>
      </c>
      <c r="J25" s="38">
        <f>+COUNTIFS('LOI and Commissioning Master Sh'!$D:$D,'Review PPT update '!$A25, 'LOI and Commissioning Master Sh'!$G:$G,"D1", 'LOI and Commissioning Master Sh'!$X:$X,"Yes",'LOI and Commissioning Master Sh'!$AE:$AE,J$19)</f>
        <v>0</v>
      </c>
      <c r="K25" s="38">
        <f>+COUNTIFS('LOI and Commissioning Master Sh'!$D:$D,'Review PPT update '!$A25, 'LOI and Commissioning Master Sh'!$G:$G,"D1", 'LOI and Commissioning Master Sh'!$X:$X,"Yes",'LOI and Commissioning Master Sh'!$AE:$AE,K$19)</f>
        <v>0</v>
      </c>
      <c r="L25" s="38">
        <f>+COUNTIFS('LOI and Commissioning Master Sh'!$D:$D,'Review PPT update '!$A25, 'LOI and Commissioning Master Sh'!$G:$G,"D1", 'LOI and Commissioning Master Sh'!$X:$X,"Yes",'LOI and Commissioning Master Sh'!$AE:$AE,L$19)</f>
        <v>0</v>
      </c>
      <c r="M25" s="38">
        <f>+COUNTIFS('LOI and Commissioning Master Sh'!$D:$D,'Review PPT update '!$A25, 'LOI and Commissioning Master Sh'!$G:$G,"D1", 'LOI and Commissioning Master Sh'!$X:$X,"Yes",'LOI and Commissioning Master Sh'!$AE:$AE,M$19)</f>
        <v>1</v>
      </c>
      <c r="N25" s="38">
        <f>+COUNTIFS('LOI and Commissioning Master Sh'!$D:$D,'Review PPT update '!$A25, 'LOI and Commissioning Master Sh'!$G:$G,"D1", 'LOI and Commissioning Master Sh'!$X:$X,"Yes",'LOI and Commissioning Master Sh'!$AE:$AE,N$19)</f>
        <v>1</v>
      </c>
      <c r="O25" s="38">
        <f>+COUNTIFS('LOI and Commissioning Master Sh'!$D:$D,'Review PPT update '!$A25, 'LOI and Commissioning Master Sh'!$G:$G,"D1", 'LOI and Commissioning Master Sh'!$X:$X,"Yes",'LOI and Commissioning Master Sh'!$AE:$AE,O$19)</f>
        <v>0</v>
      </c>
      <c r="P25" s="38">
        <f>+COUNTIFS('LOI and Commissioning Master Sh'!$D:$D,'Review PPT update '!$A25, 'LOI and Commissioning Master Sh'!$G:$G,"D1", 'LOI and Commissioning Master Sh'!$X:$X,"Yes",'LOI and Commissioning Master Sh'!$AE:$AE,P$19)</f>
        <v>0</v>
      </c>
      <c r="Q25" s="38">
        <f t="shared" si="5"/>
        <v>3</v>
      </c>
    </row>
    <row r="26" spans="1:17" thickBot="1" x14ac:dyDescent="0.3">
      <c r="A26" s="107" t="s">
        <v>398</v>
      </c>
      <c r="B26" s="38">
        <f>+COUNTIFS('LOI and Commissioning Master Sh'!$D:$D,'Review PPT update '!$A26, 'LOI and Commissioning Master Sh'!$G:$G,"D1")</f>
        <v>12</v>
      </c>
      <c r="C26" s="38">
        <f>+COUNTIFS('LOI and Commissioning Master Sh'!$D:$D,'Review PPT update '!$A26, 'LOI and Commissioning Master Sh'!$G:$G,"D1", 'LOI and Commissioning Master Sh'!$W:$W,"Yes")</f>
        <v>7</v>
      </c>
      <c r="D26" s="38">
        <f>+COUNTIFS('LOI and Commissioning Master Sh'!$D:$D,'Review PPT update '!$A26, 'LOI and Commissioning Master Sh'!$G:$G,"D1", 'LOI and Commissioning Master Sh'!$X:$X,"Yes")</f>
        <v>2</v>
      </c>
      <c r="E26" s="38">
        <f>+COUNTIFS('LOI and Commissioning Master Sh'!$D:$D,'Review PPT update '!$A26, 'LOI and Commissioning Master Sh'!$G:$G,"D1", 'LOI and Commissioning Master Sh'!$X:$X,"Yes",'LOI and Commissioning Master Sh'!$AE:$AE,E$19)</f>
        <v>0</v>
      </c>
      <c r="F26" s="38">
        <f>+COUNTIFS('LOI and Commissioning Master Sh'!$D:$D,'Review PPT update '!$A26, 'LOI and Commissioning Master Sh'!$G:$G,"D1", 'LOI and Commissioning Master Sh'!$X:$X,"Yes",'LOI and Commissioning Master Sh'!$AE:$AE,F$19)</f>
        <v>0</v>
      </c>
      <c r="G26" s="38">
        <f>+COUNTIFS('LOI and Commissioning Master Sh'!$D:$D,'Review PPT update '!$A26, 'LOI and Commissioning Master Sh'!$G:$G,"D1", 'LOI and Commissioning Master Sh'!$X:$X,"Yes",'LOI and Commissioning Master Sh'!$AE:$AE,G$19)</f>
        <v>0</v>
      </c>
      <c r="H26" s="38">
        <f>+COUNTIFS('LOI and Commissioning Master Sh'!$D:$D,'Review PPT update '!$A26, 'LOI and Commissioning Master Sh'!$G:$G,"D1", 'LOI and Commissioning Master Sh'!$X:$X,"Yes",'LOI and Commissioning Master Sh'!$AE:$AE,H$19)</f>
        <v>0</v>
      </c>
      <c r="I26" s="38">
        <f>+COUNTIFS('LOI and Commissioning Master Sh'!$D:$D,'Review PPT update '!$A26, 'LOI and Commissioning Master Sh'!$G:$G,"D1", 'LOI and Commissioning Master Sh'!$X:$X,"Yes",'LOI and Commissioning Master Sh'!$AE:$AE,I$19)</f>
        <v>0</v>
      </c>
      <c r="J26" s="38">
        <f>+COUNTIFS('LOI and Commissioning Master Sh'!$D:$D,'Review PPT update '!$A26, 'LOI and Commissioning Master Sh'!$G:$G,"D1", 'LOI and Commissioning Master Sh'!$X:$X,"Yes",'LOI and Commissioning Master Sh'!$AE:$AE,J$19)</f>
        <v>0</v>
      </c>
      <c r="K26" s="38">
        <f>+COUNTIFS('LOI and Commissioning Master Sh'!$D:$D,'Review PPT update '!$A26, 'LOI and Commissioning Master Sh'!$G:$G,"D1", 'LOI and Commissioning Master Sh'!$X:$X,"Yes",'LOI and Commissioning Master Sh'!$AE:$AE,K$19)</f>
        <v>0</v>
      </c>
      <c r="L26" s="38">
        <f>+COUNTIFS('LOI and Commissioning Master Sh'!$D:$D,'Review PPT update '!$A26, 'LOI and Commissioning Master Sh'!$G:$G,"D1", 'LOI and Commissioning Master Sh'!$X:$X,"Yes",'LOI and Commissioning Master Sh'!$AE:$AE,L$19)</f>
        <v>0</v>
      </c>
      <c r="M26" s="38">
        <f>+COUNTIFS('LOI and Commissioning Master Sh'!$D:$D,'Review PPT update '!$A26, 'LOI and Commissioning Master Sh'!$G:$G,"D1", 'LOI and Commissioning Master Sh'!$X:$X,"Yes",'LOI and Commissioning Master Sh'!$AE:$AE,M$19)</f>
        <v>0</v>
      </c>
      <c r="N26" s="38">
        <f>+COUNTIFS('LOI and Commissioning Master Sh'!$D:$D,'Review PPT update '!$A26, 'LOI and Commissioning Master Sh'!$G:$G,"D1", 'LOI and Commissioning Master Sh'!$X:$X,"Yes",'LOI and Commissioning Master Sh'!$AE:$AE,N$19)</f>
        <v>1</v>
      </c>
      <c r="O26" s="38">
        <f>+COUNTIFS('LOI and Commissioning Master Sh'!$D:$D,'Review PPT update '!$A26, 'LOI and Commissioning Master Sh'!$G:$G,"D1", 'LOI and Commissioning Master Sh'!$X:$X,"Yes",'LOI and Commissioning Master Sh'!$AE:$AE,O$19)</f>
        <v>1</v>
      </c>
      <c r="P26" s="38">
        <f>+COUNTIFS('LOI and Commissioning Master Sh'!$D:$D,'Review PPT update '!$A26, 'LOI and Commissioning Master Sh'!$G:$G,"D1", 'LOI and Commissioning Master Sh'!$X:$X,"Yes",'LOI and Commissioning Master Sh'!$AE:$AE,P$19)</f>
        <v>0</v>
      </c>
      <c r="Q26" s="38">
        <f t="shared" si="5"/>
        <v>2</v>
      </c>
    </row>
    <row r="27" spans="1:17" thickBot="1" x14ac:dyDescent="0.3">
      <c r="A27" s="107" t="s">
        <v>99</v>
      </c>
      <c r="B27" s="38">
        <f>+COUNTIFS('LOI and Commissioning Master Sh'!$D:$D,'Review PPT update '!$A27, 'LOI and Commissioning Master Sh'!$G:$G,"D1")</f>
        <v>15</v>
      </c>
      <c r="C27" s="38">
        <f>+COUNTIFS('LOI and Commissioning Master Sh'!$D:$D,'Review PPT update '!$A27, 'LOI and Commissioning Master Sh'!$G:$G,"D1", 'LOI and Commissioning Master Sh'!$W:$W,"Yes")</f>
        <v>10</v>
      </c>
      <c r="D27" s="38">
        <f>+COUNTIFS('LOI and Commissioning Master Sh'!$D:$D,'Review PPT update '!$A27, 'LOI and Commissioning Master Sh'!$G:$G,"D1", 'LOI and Commissioning Master Sh'!$X:$X,"Yes")</f>
        <v>6</v>
      </c>
      <c r="E27" s="38">
        <f>+COUNTIFS('LOI and Commissioning Master Sh'!$D:$D,'Review PPT update '!$A27, 'LOI and Commissioning Master Sh'!$G:$G,"D1", 'LOI and Commissioning Master Sh'!$X:$X,"Yes",'LOI and Commissioning Master Sh'!$AE:$AE,E$19)</f>
        <v>0</v>
      </c>
      <c r="F27" s="38">
        <f>+COUNTIFS('LOI and Commissioning Master Sh'!$D:$D,'Review PPT update '!$A27, 'LOI and Commissioning Master Sh'!$G:$G,"D1", 'LOI and Commissioning Master Sh'!$X:$X,"Yes",'LOI and Commissioning Master Sh'!$AE:$AE,F$19)</f>
        <v>0</v>
      </c>
      <c r="G27" s="38">
        <f>+COUNTIFS('LOI and Commissioning Master Sh'!$D:$D,'Review PPT update '!$A27, 'LOI and Commissioning Master Sh'!$G:$G,"D1", 'LOI and Commissioning Master Sh'!$X:$X,"Yes",'LOI and Commissioning Master Sh'!$AE:$AE,G$19)</f>
        <v>0</v>
      </c>
      <c r="H27" s="38">
        <f>+COUNTIFS('LOI and Commissioning Master Sh'!$D:$D,'Review PPT update '!$A27, 'LOI and Commissioning Master Sh'!$G:$G,"D1", 'LOI and Commissioning Master Sh'!$X:$X,"Yes",'LOI and Commissioning Master Sh'!$AE:$AE,H$19)</f>
        <v>0</v>
      </c>
      <c r="I27" s="38">
        <f>+COUNTIFS('LOI and Commissioning Master Sh'!$D:$D,'Review PPT update '!$A27, 'LOI and Commissioning Master Sh'!$G:$G,"D1", 'LOI and Commissioning Master Sh'!$X:$X,"Yes",'LOI and Commissioning Master Sh'!$AE:$AE,I$19)</f>
        <v>0</v>
      </c>
      <c r="J27" s="38">
        <f>+COUNTIFS('LOI and Commissioning Master Sh'!$D:$D,'Review PPT update '!$A27, 'LOI and Commissioning Master Sh'!$G:$G,"D1", 'LOI and Commissioning Master Sh'!$X:$X,"Yes",'LOI and Commissioning Master Sh'!$AE:$AE,J$19)</f>
        <v>1</v>
      </c>
      <c r="K27" s="38">
        <f>+COUNTIFS('LOI and Commissioning Master Sh'!$D:$D,'Review PPT update '!$A27, 'LOI and Commissioning Master Sh'!$G:$G,"D1", 'LOI and Commissioning Master Sh'!$X:$X,"Yes",'LOI and Commissioning Master Sh'!$AE:$AE,K$19)</f>
        <v>0</v>
      </c>
      <c r="L27" s="38">
        <f>+COUNTIFS('LOI and Commissioning Master Sh'!$D:$D,'Review PPT update '!$A27, 'LOI and Commissioning Master Sh'!$G:$G,"D1", 'LOI and Commissioning Master Sh'!$X:$X,"Yes",'LOI and Commissioning Master Sh'!$AE:$AE,L$19)</f>
        <v>1</v>
      </c>
      <c r="M27" s="38">
        <f>+COUNTIFS('LOI and Commissioning Master Sh'!$D:$D,'Review PPT update '!$A27, 'LOI and Commissioning Master Sh'!$G:$G,"D1", 'LOI and Commissioning Master Sh'!$X:$X,"Yes",'LOI and Commissioning Master Sh'!$AE:$AE,M$19)</f>
        <v>0</v>
      </c>
      <c r="N27" s="38">
        <f>+COUNTIFS('LOI and Commissioning Master Sh'!$D:$D,'Review PPT update '!$A27, 'LOI and Commissioning Master Sh'!$G:$G,"D1", 'LOI and Commissioning Master Sh'!$X:$X,"Yes",'LOI and Commissioning Master Sh'!$AE:$AE,N$19)</f>
        <v>0</v>
      </c>
      <c r="O27" s="38">
        <f>+COUNTIFS('LOI and Commissioning Master Sh'!$D:$D,'Review PPT update '!$A27, 'LOI and Commissioning Master Sh'!$G:$G,"D1", 'LOI and Commissioning Master Sh'!$X:$X,"Yes",'LOI and Commissioning Master Sh'!$AE:$AE,O$19)</f>
        <v>1</v>
      </c>
      <c r="P27" s="38">
        <f>+COUNTIFS('LOI and Commissioning Master Sh'!$D:$D,'Review PPT update '!$A27, 'LOI and Commissioning Master Sh'!$G:$G,"D1", 'LOI and Commissioning Master Sh'!$X:$X,"Yes",'LOI and Commissioning Master Sh'!$AE:$AE,P$19)</f>
        <v>3</v>
      </c>
      <c r="Q27" s="38">
        <f t="shared" si="5"/>
        <v>6</v>
      </c>
    </row>
    <row r="28" spans="1:17" thickBot="1" x14ac:dyDescent="0.3">
      <c r="A28" s="107" t="s">
        <v>141</v>
      </c>
      <c r="B28" s="38">
        <f>+COUNTIFS('LOI and Commissioning Master Sh'!$D:$D,'Review PPT update '!$A28, 'LOI and Commissioning Master Sh'!$G:$G,"D1")</f>
        <v>19</v>
      </c>
      <c r="C28" s="38">
        <f>+COUNTIFS('LOI and Commissioning Master Sh'!$D:$D,'Review PPT update '!$A28, 'LOI and Commissioning Master Sh'!$G:$G,"D1", 'LOI and Commissioning Master Sh'!$W:$W,"Yes")</f>
        <v>8</v>
      </c>
      <c r="D28" s="38">
        <f>+COUNTIFS('LOI and Commissioning Master Sh'!$D:$D,'Review PPT update '!$A28, 'LOI and Commissioning Master Sh'!$G:$G,"D1", 'LOI and Commissioning Master Sh'!$X:$X,"Yes")</f>
        <v>4</v>
      </c>
      <c r="E28" s="38">
        <f>+COUNTIFS('LOI and Commissioning Master Sh'!$D:$D,'Review PPT update '!$A28, 'LOI and Commissioning Master Sh'!$G:$G,"D1", 'LOI and Commissioning Master Sh'!$X:$X,"Yes",'LOI and Commissioning Master Sh'!$AE:$AE,E$19)</f>
        <v>0</v>
      </c>
      <c r="F28" s="38">
        <f>+COUNTIFS('LOI and Commissioning Master Sh'!$D:$D,'Review PPT update '!$A28, 'LOI and Commissioning Master Sh'!$G:$G,"D1", 'LOI and Commissioning Master Sh'!$X:$X,"Yes",'LOI and Commissioning Master Sh'!$AE:$AE,F$19)</f>
        <v>1</v>
      </c>
      <c r="G28" s="38">
        <f>+COUNTIFS('LOI and Commissioning Master Sh'!$D:$D,'Review PPT update '!$A28, 'LOI and Commissioning Master Sh'!$G:$G,"D1", 'LOI and Commissioning Master Sh'!$X:$X,"Yes",'LOI and Commissioning Master Sh'!$AE:$AE,G$19)</f>
        <v>0</v>
      </c>
      <c r="H28" s="38">
        <f>+COUNTIFS('LOI and Commissioning Master Sh'!$D:$D,'Review PPT update '!$A28, 'LOI and Commissioning Master Sh'!$G:$G,"D1", 'LOI and Commissioning Master Sh'!$X:$X,"Yes",'LOI and Commissioning Master Sh'!$AE:$AE,H$19)</f>
        <v>0</v>
      </c>
      <c r="I28" s="38">
        <f>+COUNTIFS('LOI and Commissioning Master Sh'!$D:$D,'Review PPT update '!$A28, 'LOI and Commissioning Master Sh'!$G:$G,"D1", 'LOI and Commissioning Master Sh'!$X:$X,"Yes",'LOI and Commissioning Master Sh'!$AE:$AE,I$19)</f>
        <v>3</v>
      </c>
      <c r="J28" s="38">
        <f>+COUNTIFS('LOI and Commissioning Master Sh'!$D:$D,'Review PPT update '!$A28, 'LOI and Commissioning Master Sh'!$G:$G,"D1", 'LOI and Commissioning Master Sh'!$X:$X,"Yes",'LOI and Commissioning Master Sh'!$AE:$AE,J$19)</f>
        <v>0</v>
      </c>
      <c r="K28" s="38">
        <f>+COUNTIFS('LOI and Commissioning Master Sh'!$D:$D,'Review PPT update '!$A28, 'LOI and Commissioning Master Sh'!$G:$G,"D1", 'LOI and Commissioning Master Sh'!$X:$X,"Yes",'LOI and Commissioning Master Sh'!$AE:$AE,K$19)</f>
        <v>0</v>
      </c>
      <c r="L28" s="38">
        <f>+COUNTIFS('LOI and Commissioning Master Sh'!$D:$D,'Review PPT update '!$A28, 'LOI and Commissioning Master Sh'!$G:$G,"D1", 'LOI and Commissioning Master Sh'!$X:$X,"Yes",'LOI and Commissioning Master Sh'!$AE:$AE,L$19)</f>
        <v>0</v>
      </c>
      <c r="M28" s="38">
        <f>+COUNTIFS('LOI and Commissioning Master Sh'!$D:$D,'Review PPT update '!$A28, 'LOI and Commissioning Master Sh'!$G:$G,"D1", 'LOI and Commissioning Master Sh'!$X:$X,"Yes",'LOI and Commissioning Master Sh'!$AE:$AE,M$19)</f>
        <v>0</v>
      </c>
      <c r="N28" s="38">
        <f>+COUNTIFS('LOI and Commissioning Master Sh'!$D:$D,'Review PPT update '!$A28, 'LOI and Commissioning Master Sh'!$G:$G,"D1", 'LOI and Commissioning Master Sh'!$X:$X,"Yes",'LOI and Commissioning Master Sh'!$AE:$AE,N$19)</f>
        <v>0</v>
      </c>
      <c r="O28" s="38">
        <f>+COUNTIFS('LOI and Commissioning Master Sh'!$D:$D,'Review PPT update '!$A28, 'LOI and Commissioning Master Sh'!$G:$G,"D1", 'LOI and Commissioning Master Sh'!$X:$X,"Yes",'LOI and Commissioning Master Sh'!$AE:$AE,O$19)</f>
        <v>0</v>
      </c>
      <c r="P28" s="38">
        <f>+COUNTIFS('LOI and Commissioning Master Sh'!$D:$D,'Review PPT update '!$A28, 'LOI and Commissioning Master Sh'!$G:$G,"D1", 'LOI and Commissioning Master Sh'!$X:$X,"Yes",'LOI and Commissioning Master Sh'!$AE:$AE,P$19)</f>
        <v>0</v>
      </c>
      <c r="Q28" s="38">
        <f t="shared" si="5"/>
        <v>4</v>
      </c>
    </row>
    <row r="29" spans="1:17" thickBot="1" x14ac:dyDescent="0.3">
      <c r="A29" s="107" t="s">
        <v>135</v>
      </c>
      <c r="B29" s="38">
        <f>+COUNTIFS('LOI and Commissioning Master Sh'!$D:$D,'Review PPT update '!$A29, 'LOI and Commissioning Master Sh'!$G:$G,"D1")</f>
        <v>15</v>
      </c>
      <c r="C29" s="38">
        <f>+COUNTIFS('LOI and Commissioning Master Sh'!$D:$D,'Review PPT update '!$A29, 'LOI and Commissioning Master Sh'!$G:$G,"D1", 'LOI and Commissioning Master Sh'!$W:$W,"Yes")</f>
        <v>5</v>
      </c>
      <c r="D29" s="38">
        <f>+COUNTIFS('LOI and Commissioning Master Sh'!$D:$D,'Review PPT update '!$A29, 'LOI and Commissioning Master Sh'!$G:$G,"D1", 'LOI and Commissioning Master Sh'!$X:$X,"Yes")</f>
        <v>4</v>
      </c>
      <c r="E29" s="38">
        <f>+COUNTIFS('LOI and Commissioning Master Sh'!$D:$D,'Review PPT update '!$A29, 'LOI and Commissioning Master Sh'!$G:$G,"D1", 'LOI and Commissioning Master Sh'!$X:$X,"Yes",'LOI and Commissioning Master Sh'!$AE:$AE,E$19)</f>
        <v>0</v>
      </c>
      <c r="F29" s="38">
        <f>+COUNTIFS('LOI and Commissioning Master Sh'!$D:$D,'Review PPT update '!$A29, 'LOI and Commissioning Master Sh'!$G:$G,"D1", 'LOI and Commissioning Master Sh'!$X:$X,"Yes",'LOI and Commissioning Master Sh'!$AE:$AE,F$19)</f>
        <v>0</v>
      </c>
      <c r="G29" s="38">
        <f>+COUNTIFS('LOI and Commissioning Master Sh'!$D:$D,'Review PPT update '!$A29, 'LOI and Commissioning Master Sh'!$G:$G,"D1", 'LOI and Commissioning Master Sh'!$X:$X,"Yes",'LOI and Commissioning Master Sh'!$AE:$AE,G$19)</f>
        <v>1</v>
      </c>
      <c r="H29" s="38">
        <f>+COUNTIFS('LOI and Commissioning Master Sh'!$D:$D,'Review PPT update '!$A29, 'LOI and Commissioning Master Sh'!$G:$G,"D1", 'LOI and Commissioning Master Sh'!$X:$X,"Yes",'LOI and Commissioning Master Sh'!$AE:$AE,H$19)</f>
        <v>0</v>
      </c>
      <c r="I29" s="38">
        <f>+COUNTIFS('LOI and Commissioning Master Sh'!$D:$D,'Review PPT update '!$A29, 'LOI and Commissioning Master Sh'!$G:$G,"D1", 'LOI and Commissioning Master Sh'!$X:$X,"Yes",'LOI and Commissioning Master Sh'!$AE:$AE,I$19)</f>
        <v>0</v>
      </c>
      <c r="J29" s="38">
        <f>+COUNTIFS('LOI and Commissioning Master Sh'!$D:$D,'Review PPT update '!$A29, 'LOI and Commissioning Master Sh'!$G:$G,"D1", 'LOI and Commissioning Master Sh'!$X:$X,"Yes",'LOI and Commissioning Master Sh'!$AE:$AE,J$19)</f>
        <v>0</v>
      </c>
      <c r="K29" s="38">
        <f>+COUNTIFS('LOI and Commissioning Master Sh'!$D:$D,'Review PPT update '!$A29, 'LOI and Commissioning Master Sh'!$G:$G,"D1", 'LOI and Commissioning Master Sh'!$X:$X,"Yes",'LOI and Commissioning Master Sh'!$AE:$AE,K$19)</f>
        <v>0</v>
      </c>
      <c r="L29" s="38">
        <f>+COUNTIFS('LOI and Commissioning Master Sh'!$D:$D,'Review PPT update '!$A29, 'LOI and Commissioning Master Sh'!$G:$G,"D1", 'LOI and Commissioning Master Sh'!$X:$X,"Yes",'LOI and Commissioning Master Sh'!$AE:$AE,L$19)</f>
        <v>1</v>
      </c>
      <c r="M29" s="38">
        <f>+COUNTIFS('LOI and Commissioning Master Sh'!$D:$D,'Review PPT update '!$A29, 'LOI and Commissioning Master Sh'!$G:$G,"D1", 'LOI and Commissioning Master Sh'!$X:$X,"Yes",'LOI and Commissioning Master Sh'!$AE:$AE,M$19)</f>
        <v>1</v>
      </c>
      <c r="N29" s="38">
        <f>+COUNTIFS('LOI and Commissioning Master Sh'!$D:$D,'Review PPT update '!$A29, 'LOI and Commissioning Master Sh'!$G:$G,"D1", 'LOI and Commissioning Master Sh'!$X:$X,"Yes",'LOI and Commissioning Master Sh'!$AE:$AE,N$19)</f>
        <v>1</v>
      </c>
      <c r="O29" s="38">
        <f>+COUNTIFS('LOI and Commissioning Master Sh'!$D:$D,'Review PPT update '!$A29, 'LOI and Commissioning Master Sh'!$G:$G,"D1", 'LOI and Commissioning Master Sh'!$X:$X,"Yes",'LOI and Commissioning Master Sh'!$AE:$AE,O$19)</f>
        <v>0</v>
      </c>
      <c r="P29" s="38">
        <f>+COUNTIFS('LOI and Commissioning Master Sh'!$D:$D,'Review PPT update '!$A29, 'LOI and Commissioning Master Sh'!$G:$G,"D1", 'LOI and Commissioning Master Sh'!$X:$X,"Yes",'LOI and Commissioning Master Sh'!$AE:$AE,P$19)</f>
        <v>0</v>
      </c>
      <c r="Q29" s="38">
        <f t="shared" si="5"/>
        <v>4</v>
      </c>
    </row>
    <row r="30" spans="1:17" thickBot="1" x14ac:dyDescent="0.3">
      <c r="A30" s="107" t="s">
        <v>195</v>
      </c>
      <c r="B30" s="38">
        <f>+COUNTIFS('LOI and Commissioning Master Sh'!$D:$D,'Review PPT update '!$A30, 'LOI and Commissioning Master Sh'!$G:$G,"D1")</f>
        <v>8</v>
      </c>
      <c r="C30" s="38">
        <f>+COUNTIFS('LOI and Commissioning Master Sh'!$D:$D,'Review PPT update '!$A30, 'LOI and Commissioning Master Sh'!$G:$G,"D1", 'LOI and Commissioning Master Sh'!$W:$W,"Yes")</f>
        <v>5</v>
      </c>
      <c r="D30" s="38">
        <f>+COUNTIFS('LOI and Commissioning Master Sh'!$D:$D,'Review PPT update '!$A30, 'LOI and Commissioning Master Sh'!$G:$G,"D1", 'LOI and Commissioning Master Sh'!$X:$X,"Yes")</f>
        <v>3</v>
      </c>
      <c r="E30" s="38">
        <f>+COUNTIFS('LOI and Commissioning Master Sh'!$D:$D,'Review PPT update '!$A30, 'LOI and Commissioning Master Sh'!$G:$G,"D1", 'LOI and Commissioning Master Sh'!$X:$X,"Yes",'LOI and Commissioning Master Sh'!$AE:$AE,E$19)</f>
        <v>0</v>
      </c>
      <c r="F30" s="38">
        <f>+COUNTIFS('LOI and Commissioning Master Sh'!$D:$D,'Review PPT update '!$A30, 'LOI and Commissioning Master Sh'!$G:$G,"D1", 'LOI and Commissioning Master Sh'!$X:$X,"Yes",'LOI and Commissioning Master Sh'!$AE:$AE,F$19)</f>
        <v>0</v>
      </c>
      <c r="G30" s="38">
        <f>+COUNTIFS('LOI and Commissioning Master Sh'!$D:$D,'Review PPT update '!$A30, 'LOI and Commissioning Master Sh'!$G:$G,"D1", 'LOI and Commissioning Master Sh'!$X:$X,"Yes",'LOI and Commissioning Master Sh'!$AE:$AE,G$19)</f>
        <v>0</v>
      </c>
      <c r="H30" s="38">
        <f>+COUNTIFS('LOI and Commissioning Master Sh'!$D:$D,'Review PPT update '!$A30, 'LOI and Commissioning Master Sh'!$G:$G,"D1", 'LOI and Commissioning Master Sh'!$X:$X,"Yes",'LOI and Commissioning Master Sh'!$AE:$AE,H$19)</f>
        <v>1</v>
      </c>
      <c r="I30" s="38">
        <f>+COUNTIFS('LOI and Commissioning Master Sh'!$D:$D,'Review PPT update '!$A30, 'LOI and Commissioning Master Sh'!$G:$G,"D1", 'LOI and Commissioning Master Sh'!$X:$X,"Yes",'LOI and Commissioning Master Sh'!$AE:$AE,I$19)</f>
        <v>0</v>
      </c>
      <c r="J30" s="38">
        <f>+COUNTIFS('LOI and Commissioning Master Sh'!$D:$D,'Review PPT update '!$A30, 'LOI and Commissioning Master Sh'!$G:$G,"D1", 'LOI and Commissioning Master Sh'!$X:$X,"Yes",'LOI and Commissioning Master Sh'!$AE:$AE,J$19)</f>
        <v>0</v>
      </c>
      <c r="K30" s="38">
        <f>+COUNTIFS('LOI and Commissioning Master Sh'!$D:$D,'Review PPT update '!$A30, 'LOI and Commissioning Master Sh'!$G:$G,"D1", 'LOI and Commissioning Master Sh'!$X:$X,"Yes",'LOI and Commissioning Master Sh'!$AE:$AE,K$19)</f>
        <v>1</v>
      </c>
      <c r="L30" s="38">
        <f>+COUNTIFS('LOI and Commissioning Master Sh'!$D:$D,'Review PPT update '!$A30, 'LOI and Commissioning Master Sh'!$G:$G,"D1", 'LOI and Commissioning Master Sh'!$X:$X,"Yes",'LOI and Commissioning Master Sh'!$AE:$AE,L$19)</f>
        <v>0</v>
      </c>
      <c r="M30" s="38">
        <f>+COUNTIFS('LOI and Commissioning Master Sh'!$D:$D,'Review PPT update '!$A30, 'LOI and Commissioning Master Sh'!$G:$G,"D1", 'LOI and Commissioning Master Sh'!$X:$X,"Yes",'LOI and Commissioning Master Sh'!$AE:$AE,M$19)</f>
        <v>0</v>
      </c>
      <c r="N30" s="38">
        <f>+COUNTIFS('LOI and Commissioning Master Sh'!$D:$D,'Review PPT update '!$A30, 'LOI and Commissioning Master Sh'!$G:$G,"D1", 'LOI and Commissioning Master Sh'!$X:$X,"Yes",'LOI and Commissioning Master Sh'!$AE:$AE,N$19)</f>
        <v>0</v>
      </c>
      <c r="O30" s="38">
        <f>+COUNTIFS('LOI and Commissioning Master Sh'!$D:$D,'Review PPT update '!$A30, 'LOI and Commissioning Master Sh'!$G:$G,"D1", 'LOI and Commissioning Master Sh'!$X:$X,"Yes",'LOI and Commissioning Master Sh'!$AE:$AE,O$19)</f>
        <v>1</v>
      </c>
      <c r="P30" s="38">
        <f>+COUNTIFS('LOI and Commissioning Master Sh'!$D:$D,'Review PPT update '!$A30, 'LOI and Commissioning Master Sh'!$G:$G,"D1", 'LOI and Commissioning Master Sh'!$X:$X,"Yes",'LOI and Commissioning Master Sh'!$AE:$AE,P$19)</f>
        <v>0</v>
      </c>
      <c r="Q30" s="38">
        <f t="shared" si="5"/>
        <v>3</v>
      </c>
    </row>
    <row r="31" spans="1:17" thickBot="1" x14ac:dyDescent="0.3">
      <c r="A31" s="40" t="s">
        <v>1344</v>
      </c>
      <c r="B31" s="40">
        <f t="shared" ref="B31:Q31" si="6">SUM(B20:B30)</f>
        <v>134</v>
      </c>
      <c r="C31" s="40">
        <f>SUM(C20:C30)</f>
        <v>68</v>
      </c>
      <c r="D31" s="40">
        <f t="shared" si="6"/>
        <v>39</v>
      </c>
      <c r="E31" s="40">
        <f t="shared" si="6"/>
        <v>0</v>
      </c>
      <c r="F31" s="40">
        <f t="shared" ref="F31:P31" si="7">SUM(F20:F30)</f>
        <v>3</v>
      </c>
      <c r="G31" s="40">
        <f t="shared" si="7"/>
        <v>6</v>
      </c>
      <c r="H31" s="40">
        <f t="shared" si="7"/>
        <v>1</v>
      </c>
      <c r="I31" s="40">
        <f t="shared" si="7"/>
        <v>3</v>
      </c>
      <c r="J31" s="40">
        <f t="shared" si="7"/>
        <v>3</v>
      </c>
      <c r="K31" s="40">
        <f t="shared" si="7"/>
        <v>3</v>
      </c>
      <c r="L31" s="40">
        <f t="shared" si="7"/>
        <v>4</v>
      </c>
      <c r="M31" s="40">
        <f t="shared" si="7"/>
        <v>2</v>
      </c>
      <c r="N31" s="40">
        <f t="shared" si="7"/>
        <v>6</v>
      </c>
      <c r="O31" s="40">
        <f t="shared" si="7"/>
        <v>5</v>
      </c>
      <c r="P31" s="40">
        <f t="shared" si="7"/>
        <v>3</v>
      </c>
      <c r="Q31" s="40">
        <f t="shared" si="6"/>
        <v>39</v>
      </c>
    </row>
    <row r="34" spans="1:17" x14ac:dyDescent="0.3">
      <c r="A34" s="39" t="s">
        <v>634</v>
      </c>
    </row>
    <row r="35" spans="1:17" ht="72" x14ac:dyDescent="0.25">
      <c r="A35" s="103" t="s">
        <v>1473</v>
      </c>
      <c r="B35" s="103" t="s">
        <v>1474</v>
      </c>
      <c r="C35" s="103" t="s">
        <v>1475</v>
      </c>
      <c r="D35" s="103" t="s">
        <v>1476</v>
      </c>
      <c r="E35" s="104">
        <v>46113</v>
      </c>
      <c r="F35" s="104">
        <v>46143</v>
      </c>
      <c r="G35" s="104">
        <v>46174</v>
      </c>
      <c r="H35" s="104">
        <v>46204</v>
      </c>
      <c r="I35" s="104">
        <v>46235</v>
      </c>
      <c r="J35" s="104">
        <v>46266</v>
      </c>
      <c r="K35" s="104">
        <v>46296</v>
      </c>
      <c r="L35" s="104">
        <v>46327</v>
      </c>
      <c r="M35" s="104">
        <v>46357</v>
      </c>
      <c r="N35" s="104">
        <v>46388</v>
      </c>
      <c r="O35" s="104">
        <v>46419</v>
      </c>
      <c r="P35" s="104">
        <v>46447</v>
      </c>
      <c r="Q35" s="103" t="s">
        <v>1344</v>
      </c>
    </row>
    <row r="36" spans="1:17" ht="18" x14ac:dyDescent="0.25">
      <c r="A36" s="107" t="s">
        <v>190</v>
      </c>
      <c r="B36" s="105">
        <f>+COUNTIFS('LOI and Commissioning Master Sh'!$D:$D,'Review PPT update '!$A36, 'LOI and Commissioning Master Sh'!$G:$G,"C")</f>
        <v>1</v>
      </c>
      <c r="C36" s="105">
        <f>+COUNTIFS('LOI and Commissioning Master Sh'!$D:$D,'Review PPT update '!$A36, 'LOI and Commissioning Master Sh'!$G:$G,"C", 'LOI and Commissioning Master Sh'!$W:$W,"Yes")</f>
        <v>0</v>
      </c>
      <c r="D36" s="105">
        <f>+COUNTIFS('LOI and Commissioning Master Sh'!$D:$D,'Review PPT update '!$A36, 'LOI and Commissioning Master Sh'!$G:$G,"C", 'LOI and Commissioning Master Sh'!$X:$X,"Yes")</f>
        <v>0</v>
      </c>
      <c r="E36" s="105">
        <f>+COUNTIFS('LOI and Commissioning Master Sh'!$D:$D,'Review PPT update '!$A36, 'LOI and Commissioning Master Sh'!$G:$G,"C", 'LOI and Commissioning Master Sh'!$X:$X,"Yes",'LOI and Commissioning Master Sh'!$AE:$AE,E$35)</f>
        <v>0</v>
      </c>
      <c r="F36" s="105">
        <f>+COUNTIFS('LOI and Commissioning Master Sh'!$D:$D,'Review PPT update '!$A36, 'LOI and Commissioning Master Sh'!$G:$G,"C", 'LOI and Commissioning Master Sh'!$X:$X,"Yes",'LOI and Commissioning Master Sh'!$AE:$AE,F$35)</f>
        <v>0</v>
      </c>
      <c r="G36" s="105">
        <f>+COUNTIFS('LOI and Commissioning Master Sh'!$D:$D,'Review PPT update '!$A36, 'LOI and Commissioning Master Sh'!$G:$G,"C", 'LOI and Commissioning Master Sh'!$X:$X,"Yes",'LOI and Commissioning Master Sh'!$AE:$AE,G$35)</f>
        <v>0</v>
      </c>
      <c r="H36" s="105">
        <f>+COUNTIFS('LOI and Commissioning Master Sh'!$D:$D,'Review PPT update '!$A36, 'LOI and Commissioning Master Sh'!$G:$G,"C", 'LOI and Commissioning Master Sh'!$X:$X,"Yes",'LOI and Commissioning Master Sh'!$AE:$AE,H$35)</f>
        <v>0</v>
      </c>
      <c r="I36" s="105">
        <f>+COUNTIFS('LOI and Commissioning Master Sh'!$D:$D,'Review PPT update '!$A36, 'LOI and Commissioning Master Sh'!$G:$G,"C", 'LOI and Commissioning Master Sh'!$X:$X,"Yes",'LOI and Commissioning Master Sh'!$AE:$AE,I$35)</f>
        <v>0</v>
      </c>
      <c r="J36" s="105">
        <f>+COUNTIFS('LOI and Commissioning Master Sh'!$D:$D,'Review PPT update '!$A36, 'LOI and Commissioning Master Sh'!$G:$G,"C", 'LOI and Commissioning Master Sh'!$X:$X,"Yes",'LOI and Commissioning Master Sh'!$AE:$AE,J$35)</f>
        <v>0</v>
      </c>
      <c r="K36" s="105">
        <f>+COUNTIFS('LOI and Commissioning Master Sh'!$D:$D,'Review PPT update '!$A36, 'LOI and Commissioning Master Sh'!$G:$G,"C", 'LOI and Commissioning Master Sh'!$X:$X,"Yes",'LOI and Commissioning Master Sh'!$AE:$AE,K$35)</f>
        <v>0</v>
      </c>
      <c r="L36" s="105">
        <f>+COUNTIFS('LOI and Commissioning Master Sh'!$D:$D,'Review PPT update '!$A36, 'LOI and Commissioning Master Sh'!$G:$G,"C", 'LOI and Commissioning Master Sh'!$X:$X,"Yes",'LOI and Commissioning Master Sh'!$AE:$AE,L$35)</f>
        <v>0</v>
      </c>
      <c r="M36" s="105">
        <f>+COUNTIFS('LOI and Commissioning Master Sh'!$D:$D,'Review PPT update '!$A36, 'LOI and Commissioning Master Sh'!$G:$G,"C", 'LOI and Commissioning Master Sh'!$X:$X,"Yes",'LOI and Commissioning Master Sh'!$AE:$AE,M$35)</f>
        <v>0</v>
      </c>
      <c r="N36" s="105">
        <f>+COUNTIFS('LOI and Commissioning Master Sh'!$D:$D,'Review PPT update '!$A36, 'LOI and Commissioning Master Sh'!$G:$G,"C", 'LOI and Commissioning Master Sh'!$X:$X,"Yes",'LOI and Commissioning Master Sh'!$AE:$AE,N$35)</f>
        <v>0</v>
      </c>
      <c r="O36" s="105">
        <f>+COUNTIFS('LOI and Commissioning Master Sh'!$D:$D,'Review PPT update '!$A36, 'LOI and Commissioning Master Sh'!$G:$G,"C", 'LOI and Commissioning Master Sh'!$X:$X,"Yes",'LOI and Commissioning Master Sh'!$AE:$AE,O$35)</f>
        <v>0</v>
      </c>
      <c r="P36" s="105">
        <f>+COUNTIFS('LOI and Commissioning Master Sh'!$D:$D,'Review PPT update '!$A36, 'LOI and Commissioning Master Sh'!$G:$G,"C", 'LOI and Commissioning Master Sh'!$X:$X,"Yes",'LOI and Commissioning Master Sh'!$AE:$AE,P$35)</f>
        <v>0</v>
      </c>
      <c r="Q36" s="105">
        <f t="shared" ref="Q36:Q46" si="8">+SUM(E36:P36)</f>
        <v>0</v>
      </c>
    </row>
    <row r="37" spans="1:17" ht="18" x14ac:dyDescent="0.25">
      <c r="A37" s="107" t="s">
        <v>156</v>
      </c>
      <c r="B37" s="105">
        <f>+COUNTIFS('LOI and Commissioning Master Sh'!$D:$D,'Review PPT update '!$A37, 'LOI and Commissioning Master Sh'!$G:$G,"C")</f>
        <v>0</v>
      </c>
      <c r="C37" s="105">
        <f>+COUNTIFS('LOI and Commissioning Master Sh'!$D:$D,'Review PPT update '!$A37, 'LOI and Commissioning Master Sh'!$G:$G,"C", 'LOI and Commissioning Master Sh'!$W:$W,"Yes")</f>
        <v>0</v>
      </c>
      <c r="D37" s="105">
        <f>+COUNTIFS('LOI and Commissioning Master Sh'!$D:$D,'Review PPT update '!$A37, 'LOI and Commissioning Master Sh'!$G:$G,"C", 'LOI and Commissioning Master Sh'!$X:$X,"Yes")</f>
        <v>0</v>
      </c>
      <c r="E37" s="105">
        <f>+COUNTIFS('LOI and Commissioning Master Sh'!$D:$D,'Review PPT update '!$A37, 'LOI and Commissioning Master Sh'!$G:$G,"C", 'LOI and Commissioning Master Sh'!$X:$X,"Yes",'LOI and Commissioning Master Sh'!$AE:$AE,E$35)</f>
        <v>0</v>
      </c>
      <c r="F37" s="105">
        <f>+COUNTIFS('LOI and Commissioning Master Sh'!$D:$D,'Review PPT update '!$A37, 'LOI and Commissioning Master Sh'!$G:$G,"C", 'LOI and Commissioning Master Sh'!$X:$X,"Yes",'LOI and Commissioning Master Sh'!$AE:$AE,F$35)</f>
        <v>0</v>
      </c>
      <c r="G37" s="105">
        <f>+COUNTIFS('LOI and Commissioning Master Sh'!$D:$D,'Review PPT update '!$A37, 'LOI and Commissioning Master Sh'!$G:$G,"C", 'LOI and Commissioning Master Sh'!$X:$X,"Yes",'LOI and Commissioning Master Sh'!$AE:$AE,G$35)</f>
        <v>0</v>
      </c>
      <c r="H37" s="105">
        <f>+COUNTIFS('LOI and Commissioning Master Sh'!$D:$D,'Review PPT update '!$A37, 'LOI and Commissioning Master Sh'!$G:$G,"C", 'LOI and Commissioning Master Sh'!$X:$X,"Yes",'LOI and Commissioning Master Sh'!$AE:$AE,H$35)</f>
        <v>0</v>
      </c>
      <c r="I37" s="105">
        <f>+COUNTIFS('LOI and Commissioning Master Sh'!$D:$D,'Review PPT update '!$A37, 'LOI and Commissioning Master Sh'!$G:$G,"C", 'LOI and Commissioning Master Sh'!$X:$X,"Yes",'LOI and Commissioning Master Sh'!$AE:$AE,I$35)</f>
        <v>0</v>
      </c>
      <c r="J37" s="105">
        <f>+COUNTIFS('LOI and Commissioning Master Sh'!$D:$D,'Review PPT update '!$A37, 'LOI and Commissioning Master Sh'!$G:$G,"C", 'LOI and Commissioning Master Sh'!$X:$X,"Yes",'LOI and Commissioning Master Sh'!$AE:$AE,J$35)</f>
        <v>0</v>
      </c>
      <c r="K37" s="105">
        <f>+COUNTIFS('LOI and Commissioning Master Sh'!$D:$D,'Review PPT update '!$A37, 'LOI and Commissioning Master Sh'!$G:$G,"C", 'LOI and Commissioning Master Sh'!$X:$X,"Yes",'LOI and Commissioning Master Sh'!$AE:$AE,K$35)</f>
        <v>0</v>
      </c>
      <c r="L37" s="105">
        <f>+COUNTIFS('LOI and Commissioning Master Sh'!$D:$D,'Review PPT update '!$A37, 'LOI and Commissioning Master Sh'!$G:$G,"C", 'LOI and Commissioning Master Sh'!$X:$X,"Yes",'LOI and Commissioning Master Sh'!$AE:$AE,L$35)</f>
        <v>0</v>
      </c>
      <c r="M37" s="105">
        <f>+COUNTIFS('LOI and Commissioning Master Sh'!$D:$D,'Review PPT update '!$A37, 'LOI and Commissioning Master Sh'!$G:$G,"C", 'LOI and Commissioning Master Sh'!$X:$X,"Yes",'LOI and Commissioning Master Sh'!$AE:$AE,M$35)</f>
        <v>0</v>
      </c>
      <c r="N37" s="105">
        <f>+COUNTIFS('LOI and Commissioning Master Sh'!$D:$D,'Review PPT update '!$A37, 'LOI and Commissioning Master Sh'!$G:$G,"C", 'LOI and Commissioning Master Sh'!$X:$X,"Yes",'LOI and Commissioning Master Sh'!$AE:$AE,N$35)</f>
        <v>0</v>
      </c>
      <c r="O37" s="105">
        <f>+COUNTIFS('LOI and Commissioning Master Sh'!$D:$D,'Review PPT update '!$A37, 'LOI and Commissioning Master Sh'!$G:$G,"C", 'LOI and Commissioning Master Sh'!$X:$X,"Yes",'LOI and Commissioning Master Sh'!$AE:$AE,O$35)</f>
        <v>0</v>
      </c>
      <c r="P37" s="105">
        <f>+COUNTIFS('LOI and Commissioning Master Sh'!$D:$D,'Review PPT update '!$A37, 'LOI and Commissioning Master Sh'!$G:$G,"C", 'LOI and Commissioning Master Sh'!$X:$X,"Yes",'LOI and Commissioning Master Sh'!$AE:$AE,P$35)</f>
        <v>0</v>
      </c>
      <c r="Q37" s="105">
        <f t="shared" si="8"/>
        <v>0</v>
      </c>
    </row>
    <row r="38" spans="1:17" ht="18" x14ac:dyDescent="0.25">
      <c r="A38" s="107" t="s">
        <v>383</v>
      </c>
      <c r="B38" s="105">
        <f>+COUNTIFS('LOI and Commissioning Master Sh'!$D:$D,'Review PPT update '!$A38, 'LOI and Commissioning Master Sh'!$G:$G,"C")</f>
        <v>1</v>
      </c>
      <c r="C38" s="105">
        <f>+COUNTIFS('LOI and Commissioning Master Sh'!$D:$D,'Review PPT update '!$A38, 'LOI and Commissioning Master Sh'!$G:$G,"C", 'LOI and Commissioning Master Sh'!$W:$W,"Yes")</f>
        <v>0</v>
      </c>
      <c r="D38" s="105">
        <f>+COUNTIFS('LOI and Commissioning Master Sh'!$D:$D,'Review PPT update '!$A38, 'LOI and Commissioning Master Sh'!$G:$G,"C", 'LOI and Commissioning Master Sh'!$X:$X,"Yes")</f>
        <v>0</v>
      </c>
      <c r="E38" s="105">
        <f>+COUNTIFS('LOI and Commissioning Master Sh'!$D:$D,'Review PPT update '!$A38, 'LOI and Commissioning Master Sh'!$G:$G,"C", 'LOI and Commissioning Master Sh'!$X:$X,"Yes",'LOI and Commissioning Master Sh'!$AE:$AE,E$35)</f>
        <v>0</v>
      </c>
      <c r="F38" s="105">
        <f>+COUNTIFS('LOI and Commissioning Master Sh'!$D:$D,'Review PPT update '!$A38, 'LOI and Commissioning Master Sh'!$G:$G,"C", 'LOI and Commissioning Master Sh'!$X:$X,"Yes",'LOI and Commissioning Master Sh'!$AE:$AE,F$35)</f>
        <v>0</v>
      </c>
      <c r="G38" s="105">
        <f>+COUNTIFS('LOI and Commissioning Master Sh'!$D:$D,'Review PPT update '!$A38, 'LOI and Commissioning Master Sh'!$G:$G,"C", 'LOI and Commissioning Master Sh'!$X:$X,"Yes",'LOI and Commissioning Master Sh'!$AE:$AE,G$35)</f>
        <v>0</v>
      </c>
      <c r="H38" s="105">
        <f>+COUNTIFS('LOI and Commissioning Master Sh'!$D:$D,'Review PPT update '!$A38, 'LOI and Commissioning Master Sh'!$G:$G,"C", 'LOI and Commissioning Master Sh'!$X:$X,"Yes",'LOI and Commissioning Master Sh'!$AE:$AE,H$35)</f>
        <v>0</v>
      </c>
      <c r="I38" s="105">
        <f>+COUNTIFS('LOI and Commissioning Master Sh'!$D:$D,'Review PPT update '!$A38, 'LOI and Commissioning Master Sh'!$G:$G,"C", 'LOI and Commissioning Master Sh'!$X:$X,"Yes",'LOI and Commissioning Master Sh'!$AE:$AE,I$35)</f>
        <v>0</v>
      </c>
      <c r="J38" s="105">
        <f>+COUNTIFS('LOI and Commissioning Master Sh'!$D:$D,'Review PPT update '!$A38, 'LOI and Commissioning Master Sh'!$G:$G,"C", 'LOI and Commissioning Master Sh'!$X:$X,"Yes",'LOI and Commissioning Master Sh'!$AE:$AE,J$35)</f>
        <v>0</v>
      </c>
      <c r="K38" s="105">
        <f>+COUNTIFS('LOI and Commissioning Master Sh'!$D:$D,'Review PPT update '!$A38, 'LOI and Commissioning Master Sh'!$G:$G,"C", 'LOI and Commissioning Master Sh'!$X:$X,"Yes",'LOI and Commissioning Master Sh'!$AE:$AE,K$35)</f>
        <v>0</v>
      </c>
      <c r="L38" s="105">
        <f>+COUNTIFS('LOI and Commissioning Master Sh'!$D:$D,'Review PPT update '!$A38, 'LOI and Commissioning Master Sh'!$G:$G,"C", 'LOI and Commissioning Master Sh'!$X:$X,"Yes",'LOI and Commissioning Master Sh'!$AE:$AE,L$35)</f>
        <v>0</v>
      </c>
      <c r="M38" s="105">
        <f>+COUNTIFS('LOI and Commissioning Master Sh'!$D:$D,'Review PPT update '!$A38, 'LOI and Commissioning Master Sh'!$G:$G,"C", 'LOI and Commissioning Master Sh'!$X:$X,"Yes",'LOI and Commissioning Master Sh'!$AE:$AE,M$35)</f>
        <v>0</v>
      </c>
      <c r="N38" s="105">
        <f>+COUNTIFS('LOI and Commissioning Master Sh'!$D:$D,'Review PPT update '!$A38, 'LOI and Commissioning Master Sh'!$G:$G,"C", 'LOI and Commissioning Master Sh'!$X:$X,"Yes",'LOI and Commissioning Master Sh'!$AE:$AE,N$35)</f>
        <v>0</v>
      </c>
      <c r="O38" s="105">
        <f>+COUNTIFS('LOI and Commissioning Master Sh'!$D:$D,'Review PPT update '!$A38, 'LOI and Commissioning Master Sh'!$G:$G,"C", 'LOI and Commissioning Master Sh'!$X:$X,"Yes",'LOI and Commissioning Master Sh'!$AE:$AE,O$35)</f>
        <v>0</v>
      </c>
      <c r="P38" s="105">
        <f>+COUNTIFS('LOI and Commissioning Master Sh'!$D:$D,'Review PPT update '!$A38, 'LOI and Commissioning Master Sh'!$G:$G,"C", 'LOI and Commissioning Master Sh'!$X:$X,"Yes",'LOI and Commissioning Master Sh'!$AE:$AE,P$35)</f>
        <v>0</v>
      </c>
      <c r="Q38" s="105">
        <f t="shared" si="8"/>
        <v>0</v>
      </c>
    </row>
    <row r="39" spans="1:17" ht="18" x14ac:dyDescent="0.25">
      <c r="A39" s="107" t="s">
        <v>150</v>
      </c>
      <c r="B39" s="105">
        <f>+COUNTIFS('LOI and Commissioning Master Sh'!$D:$D,'Review PPT update '!$A39, 'LOI and Commissioning Master Sh'!$G:$G,"C")</f>
        <v>1</v>
      </c>
      <c r="C39" s="105">
        <f>+COUNTIFS('LOI and Commissioning Master Sh'!$D:$D,'Review PPT update '!$A39, 'LOI and Commissioning Master Sh'!$G:$G,"C", 'LOI and Commissioning Master Sh'!$W:$W,"Yes")</f>
        <v>0</v>
      </c>
      <c r="D39" s="105">
        <f>+COUNTIFS('LOI and Commissioning Master Sh'!$D:$D,'Review PPT update '!$A39, 'LOI and Commissioning Master Sh'!$G:$G,"C", 'LOI and Commissioning Master Sh'!$X:$X,"Yes")</f>
        <v>0</v>
      </c>
      <c r="E39" s="105">
        <f>+COUNTIFS('LOI and Commissioning Master Sh'!$D:$D,'Review PPT update '!$A39, 'LOI and Commissioning Master Sh'!$G:$G,"C", 'LOI and Commissioning Master Sh'!$X:$X,"Yes",'LOI and Commissioning Master Sh'!$AE:$AE,E$35)</f>
        <v>0</v>
      </c>
      <c r="F39" s="105">
        <f>+COUNTIFS('LOI and Commissioning Master Sh'!$D:$D,'Review PPT update '!$A39, 'LOI and Commissioning Master Sh'!$G:$G,"C", 'LOI and Commissioning Master Sh'!$X:$X,"Yes",'LOI and Commissioning Master Sh'!$AE:$AE,F$35)</f>
        <v>0</v>
      </c>
      <c r="G39" s="105">
        <f>+COUNTIFS('LOI and Commissioning Master Sh'!$D:$D,'Review PPT update '!$A39, 'LOI and Commissioning Master Sh'!$G:$G,"C", 'LOI and Commissioning Master Sh'!$X:$X,"Yes",'LOI and Commissioning Master Sh'!$AE:$AE,G$35)</f>
        <v>0</v>
      </c>
      <c r="H39" s="105">
        <f>+COUNTIFS('LOI and Commissioning Master Sh'!$D:$D,'Review PPT update '!$A39, 'LOI and Commissioning Master Sh'!$G:$G,"C", 'LOI and Commissioning Master Sh'!$X:$X,"Yes",'LOI and Commissioning Master Sh'!$AE:$AE,H$35)</f>
        <v>0</v>
      </c>
      <c r="I39" s="105">
        <f>+COUNTIFS('LOI and Commissioning Master Sh'!$D:$D,'Review PPT update '!$A39, 'LOI and Commissioning Master Sh'!$G:$G,"C", 'LOI and Commissioning Master Sh'!$X:$X,"Yes",'LOI and Commissioning Master Sh'!$AE:$AE,I$35)</f>
        <v>0</v>
      </c>
      <c r="J39" s="105">
        <f>+COUNTIFS('LOI and Commissioning Master Sh'!$D:$D,'Review PPT update '!$A39, 'LOI and Commissioning Master Sh'!$G:$G,"C", 'LOI and Commissioning Master Sh'!$X:$X,"Yes",'LOI and Commissioning Master Sh'!$AE:$AE,J$35)</f>
        <v>0</v>
      </c>
      <c r="K39" s="105">
        <f>+COUNTIFS('LOI and Commissioning Master Sh'!$D:$D,'Review PPT update '!$A39, 'LOI and Commissioning Master Sh'!$G:$G,"C", 'LOI and Commissioning Master Sh'!$X:$X,"Yes",'LOI and Commissioning Master Sh'!$AE:$AE,K$35)</f>
        <v>0</v>
      </c>
      <c r="L39" s="105">
        <f>+COUNTIFS('LOI and Commissioning Master Sh'!$D:$D,'Review PPT update '!$A39, 'LOI and Commissioning Master Sh'!$G:$G,"C", 'LOI and Commissioning Master Sh'!$X:$X,"Yes",'LOI and Commissioning Master Sh'!$AE:$AE,L$35)</f>
        <v>0</v>
      </c>
      <c r="M39" s="105">
        <f>+COUNTIFS('LOI and Commissioning Master Sh'!$D:$D,'Review PPT update '!$A39, 'LOI and Commissioning Master Sh'!$G:$G,"C", 'LOI and Commissioning Master Sh'!$X:$X,"Yes",'LOI and Commissioning Master Sh'!$AE:$AE,M$35)</f>
        <v>0</v>
      </c>
      <c r="N39" s="105">
        <f>+COUNTIFS('LOI and Commissioning Master Sh'!$D:$D,'Review PPT update '!$A39, 'LOI and Commissioning Master Sh'!$G:$G,"C", 'LOI and Commissioning Master Sh'!$X:$X,"Yes",'LOI and Commissioning Master Sh'!$AE:$AE,N$35)</f>
        <v>0</v>
      </c>
      <c r="O39" s="105">
        <f>+COUNTIFS('LOI and Commissioning Master Sh'!$D:$D,'Review PPT update '!$A39, 'LOI and Commissioning Master Sh'!$G:$G,"C", 'LOI and Commissioning Master Sh'!$X:$X,"Yes",'LOI and Commissioning Master Sh'!$AE:$AE,O$35)</f>
        <v>0</v>
      </c>
      <c r="P39" s="105">
        <f>+COUNTIFS('LOI and Commissioning Master Sh'!$D:$D,'Review PPT update '!$A39, 'LOI and Commissioning Master Sh'!$G:$G,"C", 'LOI and Commissioning Master Sh'!$X:$X,"Yes",'LOI and Commissioning Master Sh'!$AE:$AE,P$35)</f>
        <v>0</v>
      </c>
      <c r="Q39" s="105">
        <f t="shared" si="8"/>
        <v>0</v>
      </c>
    </row>
    <row r="40" spans="1:17" ht="18" x14ac:dyDescent="0.25">
      <c r="A40" s="107" t="s">
        <v>121</v>
      </c>
      <c r="B40" s="105">
        <f>+COUNTIFS('LOI and Commissioning Master Sh'!$D:$D,'Review PPT update '!$A40, 'LOI and Commissioning Master Sh'!$G:$G,"C")</f>
        <v>0</v>
      </c>
      <c r="C40" s="105">
        <f>+COUNTIFS('LOI and Commissioning Master Sh'!$D:$D,'Review PPT update '!$A40, 'LOI and Commissioning Master Sh'!$G:$G,"C", 'LOI and Commissioning Master Sh'!$W:$W,"Yes")</f>
        <v>0</v>
      </c>
      <c r="D40" s="105">
        <f>+COUNTIFS('LOI and Commissioning Master Sh'!$D:$D,'Review PPT update '!$A40, 'LOI and Commissioning Master Sh'!$G:$G,"C", 'LOI and Commissioning Master Sh'!$X:$X,"Yes")</f>
        <v>0</v>
      </c>
      <c r="E40" s="105">
        <f>+COUNTIFS('LOI and Commissioning Master Sh'!$D:$D,'Review PPT update '!$A40, 'LOI and Commissioning Master Sh'!$G:$G,"C", 'LOI and Commissioning Master Sh'!$X:$X,"Yes",'LOI and Commissioning Master Sh'!$AE:$AE,E$35)</f>
        <v>0</v>
      </c>
      <c r="F40" s="105">
        <f>+COUNTIFS('LOI and Commissioning Master Sh'!$D:$D,'Review PPT update '!$A40, 'LOI and Commissioning Master Sh'!$G:$G,"C", 'LOI and Commissioning Master Sh'!$X:$X,"Yes",'LOI and Commissioning Master Sh'!$AE:$AE,F$35)</f>
        <v>0</v>
      </c>
      <c r="G40" s="105">
        <f>+COUNTIFS('LOI and Commissioning Master Sh'!$D:$D,'Review PPT update '!$A40, 'LOI and Commissioning Master Sh'!$G:$G,"C", 'LOI and Commissioning Master Sh'!$X:$X,"Yes",'LOI and Commissioning Master Sh'!$AE:$AE,G$35)</f>
        <v>0</v>
      </c>
      <c r="H40" s="105">
        <f>+COUNTIFS('LOI and Commissioning Master Sh'!$D:$D,'Review PPT update '!$A40, 'LOI and Commissioning Master Sh'!$G:$G,"C", 'LOI and Commissioning Master Sh'!$X:$X,"Yes",'LOI and Commissioning Master Sh'!$AE:$AE,H$35)</f>
        <v>0</v>
      </c>
      <c r="I40" s="105">
        <f>+COUNTIFS('LOI and Commissioning Master Sh'!$D:$D,'Review PPT update '!$A40, 'LOI and Commissioning Master Sh'!$G:$G,"C", 'LOI and Commissioning Master Sh'!$X:$X,"Yes",'LOI and Commissioning Master Sh'!$AE:$AE,I$35)</f>
        <v>0</v>
      </c>
      <c r="J40" s="105">
        <f>+COUNTIFS('LOI and Commissioning Master Sh'!$D:$D,'Review PPT update '!$A40, 'LOI and Commissioning Master Sh'!$G:$G,"C", 'LOI and Commissioning Master Sh'!$X:$X,"Yes",'LOI and Commissioning Master Sh'!$AE:$AE,J$35)</f>
        <v>0</v>
      </c>
      <c r="K40" s="105">
        <f>+COUNTIFS('LOI and Commissioning Master Sh'!$D:$D,'Review PPT update '!$A40, 'LOI and Commissioning Master Sh'!$G:$G,"C", 'LOI and Commissioning Master Sh'!$X:$X,"Yes",'LOI and Commissioning Master Sh'!$AE:$AE,K$35)</f>
        <v>0</v>
      </c>
      <c r="L40" s="105">
        <f>+COUNTIFS('LOI and Commissioning Master Sh'!$D:$D,'Review PPT update '!$A40, 'LOI and Commissioning Master Sh'!$G:$G,"C", 'LOI and Commissioning Master Sh'!$X:$X,"Yes",'LOI and Commissioning Master Sh'!$AE:$AE,L$35)</f>
        <v>0</v>
      </c>
      <c r="M40" s="105">
        <f>+COUNTIFS('LOI and Commissioning Master Sh'!$D:$D,'Review PPT update '!$A40, 'LOI and Commissioning Master Sh'!$G:$G,"C", 'LOI and Commissioning Master Sh'!$X:$X,"Yes",'LOI and Commissioning Master Sh'!$AE:$AE,M$35)</f>
        <v>0</v>
      </c>
      <c r="N40" s="105">
        <f>+COUNTIFS('LOI and Commissioning Master Sh'!$D:$D,'Review PPT update '!$A40, 'LOI and Commissioning Master Sh'!$G:$G,"C", 'LOI and Commissioning Master Sh'!$X:$X,"Yes",'LOI and Commissioning Master Sh'!$AE:$AE,N$35)</f>
        <v>0</v>
      </c>
      <c r="O40" s="105">
        <f>+COUNTIFS('LOI and Commissioning Master Sh'!$D:$D,'Review PPT update '!$A40, 'LOI and Commissioning Master Sh'!$G:$G,"C", 'LOI and Commissioning Master Sh'!$X:$X,"Yes",'LOI and Commissioning Master Sh'!$AE:$AE,O$35)</f>
        <v>0</v>
      </c>
      <c r="P40" s="105">
        <f>+COUNTIFS('LOI and Commissioning Master Sh'!$D:$D,'Review PPT update '!$A40, 'LOI and Commissioning Master Sh'!$G:$G,"C", 'LOI and Commissioning Master Sh'!$X:$X,"Yes",'LOI and Commissioning Master Sh'!$AE:$AE,P$35)</f>
        <v>0</v>
      </c>
      <c r="Q40" s="105">
        <f t="shared" si="8"/>
        <v>0</v>
      </c>
    </row>
    <row r="41" spans="1:17" ht="18" x14ac:dyDescent="0.25">
      <c r="A41" s="107" t="s">
        <v>220</v>
      </c>
      <c r="B41" s="105">
        <f>+COUNTIFS('LOI and Commissioning Master Sh'!$D:$D,'Review PPT update '!$A41, 'LOI and Commissioning Master Sh'!$G:$G,"C")</f>
        <v>1</v>
      </c>
      <c r="C41" s="105">
        <f>+COUNTIFS('LOI and Commissioning Master Sh'!$D:$D,'Review PPT update '!$A41, 'LOI and Commissioning Master Sh'!$G:$G,"C", 'LOI and Commissioning Master Sh'!$W:$W,"Yes")</f>
        <v>0</v>
      </c>
      <c r="D41" s="105">
        <f>+COUNTIFS('LOI and Commissioning Master Sh'!$D:$D,'Review PPT update '!$A41, 'LOI and Commissioning Master Sh'!$G:$G,"C", 'LOI and Commissioning Master Sh'!$X:$X,"Yes")</f>
        <v>0</v>
      </c>
      <c r="E41" s="105">
        <f>+COUNTIFS('LOI and Commissioning Master Sh'!$D:$D,'Review PPT update '!$A41, 'LOI and Commissioning Master Sh'!$G:$G,"C", 'LOI and Commissioning Master Sh'!$X:$X,"Yes",'LOI and Commissioning Master Sh'!$AE:$AE,E$35)</f>
        <v>0</v>
      </c>
      <c r="F41" s="105">
        <f>+COUNTIFS('LOI and Commissioning Master Sh'!$D:$D,'Review PPT update '!$A41, 'LOI and Commissioning Master Sh'!$G:$G,"C", 'LOI and Commissioning Master Sh'!$X:$X,"Yes",'LOI and Commissioning Master Sh'!$AE:$AE,F$35)</f>
        <v>0</v>
      </c>
      <c r="G41" s="105">
        <f>+COUNTIFS('LOI and Commissioning Master Sh'!$D:$D,'Review PPT update '!$A41, 'LOI and Commissioning Master Sh'!$G:$G,"C", 'LOI and Commissioning Master Sh'!$X:$X,"Yes",'LOI and Commissioning Master Sh'!$AE:$AE,G$35)</f>
        <v>0</v>
      </c>
      <c r="H41" s="105">
        <f>+COUNTIFS('LOI and Commissioning Master Sh'!$D:$D,'Review PPT update '!$A41, 'LOI and Commissioning Master Sh'!$G:$G,"C", 'LOI and Commissioning Master Sh'!$X:$X,"Yes",'LOI and Commissioning Master Sh'!$AE:$AE,H$35)</f>
        <v>0</v>
      </c>
      <c r="I41" s="105">
        <f>+COUNTIFS('LOI and Commissioning Master Sh'!$D:$D,'Review PPT update '!$A41, 'LOI and Commissioning Master Sh'!$G:$G,"C", 'LOI and Commissioning Master Sh'!$X:$X,"Yes",'LOI and Commissioning Master Sh'!$AE:$AE,I$35)</f>
        <v>0</v>
      </c>
      <c r="J41" s="105">
        <f>+COUNTIFS('LOI and Commissioning Master Sh'!$D:$D,'Review PPT update '!$A41, 'LOI and Commissioning Master Sh'!$G:$G,"C", 'LOI and Commissioning Master Sh'!$X:$X,"Yes",'LOI and Commissioning Master Sh'!$AE:$AE,J$35)</f>
        <v>0</v>
      </c>
      <c r="K41" s="105">
        <f>+COUNTIFS('LOI and Commissioning Master Sh'!$D:$D,'Review PPT update '!$A41, 'LOI and Commissioning Master Sh'!$G:$G,"C", 'LOI and Commissioning Master Sh'!$X:$X,"Yes",'LOI and Commissioning Master Sh'!$AE:$AE,K$35)</f>
        <v>0</v>
      </c>
      <c r="L41" s="105">
        <f>+COUNTIFS('LOI and Commissioning Master Sh'!$D:$D,'Review PPT update '!$A41, 'LOI and Commissioning Master Sh'!$G:$G,"C", 'LOI and Commissioning Master Sh'!$X:$X,"Yes",'LOI and Commissioning Master Sh'!$AE:$AE,L$35)</f>
        <v>0</v>
      </c>
      <c r="M41" s="105">
        <f>+COUNTIFS('LOI and Commissioning Master Sh'!$D:$D,'Review PPT update '!$A41, 'LOI and Commissioning Master Sh'!$G:$G,"C", 'LOI and Commissioning Master Sh'!$X:$X,"Yes",'LOI and Commissioning Master Sh'!$AE:$AE,M$35)</f>
        <v>0</v>
      </c>
      <c r="N41" s="105">
        <f>+COUNTIFS('LOI and Commissioning Master Sh'!$D:$D,'Review PPT update '!$A41, 'LOI and Commissioning Master Sh'!$G:$G,"C", 'LOI and Commissioning Master Sh'!$X:$X,"Yes",'LOI and Commissioning Master Sh'!$AE:$AE,N$35)</f>
        <v>0</v>
      </c>
      <c r="O41" s="105">
        <f>+COUNTIFS('LOI and Commissioning Master Sh'!$D:$D,'Review PPT update '!$A41, 'LOI and Commissioning Master Sh'!$G:$G,"C", 'LOI and Commissioning Master Sh'!$X:$X,"Yes",'LOI and Commissioning Master Sh'!$AE:$AE,O$35)</f>
        <v>0</v>
      </c>
      <c r="P41" s="105">
        <f>+COUNTIFS('LOI and Commissioning Master Sh'!$D:$D,'Review PPT update '!$A41, 'LOI and Commissioning Master Sh'!$G:$G,"C", 'LOI and Commissioning Master Sh'!$X:$X,"Yes",'LOI and Commissioning Master Sh'!$AE:$AE,P$35)</f>
        <v>0</v>
      </c>
      <c r="Q41" s="105">
        <f t="shared" si="8"/>
        <v>0</v>
      </c>
    </row>
    <row r="42" spans="1:17" ht="18" x14ac:dyDescent="0.25">
      <c r="A42" s="107" t="s">
        <v>398</v>
      </c>
      <c r="B42" s="105">
        <f>+COUNTIFS('LOI and Commissioning Master Sh'!$D:$D,'Review PPT update '!$A42, 'LOI and Commissioning Master Sh'!$G:$G,"C")</f>
        <v>0</v>
      </c>
      <c r="C42" s="105">
        <f>+COUNTIFS('LOI and Commissioning Master Sh'!$D:$D,'Review PPT update '!$A42, 'LOI and Commissioning Master Sh'!$G:$G,"C", 'LOI and Commissioning Master Sh'!$W:$W,"Yes")</f>
        <v>0</v>
      </c>
      <c r="D42" s="105">
        <f>+COUNTIFS('LOI and Commissioning Master Sh'!$D:$D,'Review PPT update '!$A42, 'LOI and Commissioning Master Sh'!$G:$G,"C", 'LOI and Commissioning Master Sh'!$X:$X,"Yes")</f>
        <v>0</v>
      </c>
      <c r="E42" s="105">
        <f>+COUNTIFS('LOI and Commissioning Master Sh'!$D:$D,'Review PPT update '!$A42, 'LOI and Commissioning Master Sh'!$G:$G,"C", 'LOI and Commissioning Master Sh'!$X:$X,"Yes",'LOI and Commissioning Master Sh'!$AE:$AE,E$35)</f>
        <v>0</v>
      </c>
      <c r="F42" s="105">
        <f>+COUNTIFS('LOI and Commissioning Master Sh'!$D:$D,'Review PPT update '!$A42, 'LOI and Commissioning Master Sh'!$G:$G,"C", 'LOI and Commissioning Master Sh'!$X:$X,"Yes",'LOI and Commissioning Master Sh'!$AE:$AE,F$35)</f>
        <v>0</v>
      </c>
      <c r="G42" s="105">
        <f>+COUNTIFS('LOI and Commissioning Master Sh'!$D:$D,'Review PPT update '!$A42, 'LOI and Commissioning Master Sh'!$G:$G,"C", 'LOI and Commissioning Master Sh'!$X:$X,"Yes",'LOI and Commissioning Master Sh'!$AE:$AE,G$35)</f>
        <v>0</v>
      </c>
      <c r="H42" s="105">
        <f>+COUNTIFS('LOI and Commissioning Master Sh'!$D:$D,'Review PPT update '!$A42, 'LOI and Commissioning Master Sh'!$G:$G,"C", 'LOI and Commissioning Master Sh'!$X:$X,"Yes",'LOI and Commissioning Master Sh'!$AE:$AE,H$35)</f>
        <v>0</v>
      </c>
      <c r="I42" s="105">
        <f>+COUNTIFS('LOI and Commissioning Master Sh'!$D:$D,'Review PPT update '!$A42, 'LOI and Commissioning Master Sh'!$G:$G,"C", 'LOI and Commissioning Master Sh'!$X:$X,"Yes",'LOI and Commissioning Master Sh'!$AE:$AE,I$35)</f>
        <v>0</v>
      </c>
      <c r="J42" s="105">
        <f>+COUNTIFS('LOI and Commissioning Master Sh'!$D:$D,'Review PPT update '!$A42, 'LOI and Commissioning Master Sh'!$G:$G,"C", 'LOI and Commissioning Master Sh'!$X:$X,"Yes",'LOI and Commissioning Master Sh'!$AE:$AE,J$35)</f>
        <v>0</v>
      </c>
      <c r="K42" s="105">
        <f>+COUNTIFS('LOI and Commissioning Master Sh'!$D:$D,'Review PPT update '!$A42, 'LOI and Commissioning Master Sh'!$G:$G,"C", 'LOI and Commissioning Master Sh'!$X:$X,"Yes",'LOI and Commissioning Master Sh'!$AE:$AE,K$35)</f>
        <v>0</v>
      </c>
      <c r="L42" s="105">
        <f>+COUNTIFS('LOI and Commissioning Master Sh'!$D:$D,'Review PPT update '!$A42, 'LOI and Commissioning Master Sh'!$G:$G,"C", 'LOI and Commissioning Master Sh'!$X:$X,"Yes",'LOI and Commissioning Master Sh'!$AE:$AE,L$35)</f>
        <v>0</v>
      </c>
      <c r="M42" s="105">
        <f>+COUNTIFS('LOI and Commissioning Master Sh'!$D:$D,'Review PPT update '!$A42, 'LOI and Commissioning Master Sh'!$G:$G,"C", 'LOI and Commissioning Master Sh'!$X:$X,"Yes",'LOI and Commissioning Master Sh'!$AE:$AE,M$35)</f>
        <v>0</v>
      </c>
      <c r="N42" s="105">
        <f>+COUNTIFS('LOI and Commissioning Master Sh'!$D:$D,'Review PPT update '!$A42, 'LOI and Commissioning Master Sh'!$G:$G,"C", 'LOI and Commissioning Master Sh'!$X:$X,"Yes",'LOI and Commissioning Master Sh'!$AE:$AE,N$35)</f>
        <v>0</v>
      </c>
      <c r="O42" s="105">
        <f>+COUNTIFS('LOI and Commissioning Master Sh'!$D:$D,'Review PPT update '!$A42, 'LOI and Commissioning Master Sh'!$G:$G,"C", 'LOI and Commissioning Master Sh'!$X:$X,"Yes",'LOI and Commissioning Master Sh'!$AE:$AE,O$35)</f>
        <v>0</v>
      </c>
      <c r="P42" s="105">
        <f>+COUNTIFS('LOI and Commissioning Master Sh'!$D:$D,'Review PPT update '!$A42, 'LOI and Commissioning Master Sh'!$G:$G,"C", 'LOI and Commissioning Master Sh'!$X:$X,"Yes",'LOI and Commissioning Master Sh'!$AE:$AE,P$35)</f>
        <v>0</v>
      </c>
      <c r="Q42" s="105">
        <f t="shared" si="8"/>
        <v>0</v>
      </c>
    </row>
    <row r="43" spans="1:17" ht="18" x14ac:dyDescent="0.25">
      <c r="A43" s="107" t="s">
        <v>99</v>
      </c>
      <c r="B43" s="105">
        <f>+COUNTIFS('LOI and Commissioning Master Sh'!$D:$D,'Review PPT update '!$A43, 'LOI and Commissioning Master Sh'!$G:$G,"C")</f>
        <v>2</v>
      </c>
      <c r="C43" s="105">
        <f>+COUNTIFS('LOI and Commissioning Master Sh'!$D:$D,'Review PPT update '!$A43, 'LOI and Commissioning Master Sh'!$G:$G,"C", 'LOI and Commissioning Master Sh'!$W:$W,"Yes")</f>
        <v>0</v>
      </c>
      <c r="D43" s="105">
        <f>+COUNTIFS('LOI and Commissioning Master Sh'!$D:$D,'Review PPT update '!$A43, 'LOI and Commissioning Master Sh'!$G:$G,"C", 'LOI and Commissioning Master Sh'!$X:$X,"Yes")</f>
        <v>0</v>
      </c>
      <c r="E43" s="105">
        <f>+COUNTIFS('LOI and Commissioning Master Sh'!$D:$D,'Review PPT update '!$A43, 'LOI and Commissioning Master Sh'!$G:$G,"C", 'LOI and Commissioning Master Sh'!$X:$X,"Yes",'LOI and Commissioning Master Sh'!$AE:$AE,E$35)</f>
        <v>0</v>
      </c>
      <c r="F43" s="105">
        <f>+COUNTIFS('LOI and Commissioning Master Sh'!$D:$D,'Review PPT update '!$A43, 'LOI and Commissioning Master Sh'!$G:$G,"C", 'LOI and Commissioning Master Sh'!$X:$X,"Yes",'LOI and Commissioning Master Sh'!$AE:$AE,F$35)</f>
        <v>0</v>
      </c>
      <c r="G43" s="105">
        <f>+COUNTIFS('LOI and Commissioning Master Sh'!$D:$D,'Review PPT update '!$A43, 'LOI and Commissioning Master Sh'!$G:$G,"C", 'LOI and Commissioning Master Sh'!$X:$X,"Yes",'LOI and Commissioning Master Sh'!$AE:$AE,G$35)</f>
        <v>0</v>
      </c>
      <c r="H43" s="105">
        <f>+COUNTIFS('LOI and Commissioning Master Sh'!$D:$D,'Review PPT update '!$A43, 'LOI and Commissioning Master Sh'!$G:$G,"C", 'LOI and Commissioning Master Sh'!$X:$X,"Yes",'LOI and Commissioning Master Sh'!$AE:$AE,H$35)</f>
        <v>0</v>
      </c>
      <c r="I43" s="105">
        <f>+COUNTIFS('LOI and Commissioning Master Sh'!$D:$D,'Review PPT update '!$A43, 'LOI and Commissioning Master Sh'!$G:$G,"C", 'LOI and Commissioning Master Sh'!$X:$X,"Yes",'LOI and Commissioning Master Sh'!$AE:$AE,I$35)</f>
        <v>0</v>
      </c>
      <c r="J43" s="105">
        <f>+COUNTIFS('LOI and Commissioning Master Sh'!$D:$D,'Review PPT update '!$A43, 'LOI and Commissioning Master Sh'!$G:$G,"C", 'LOI and Commissioning Master Sh'!$X:$X,"Yes",'LOI and Commissioning Master Sh'!$AE:$AE,J$35)</f>
        <v>0</v>
      </c>
      <c r="K43" s="105">
        <f>+COUNTIFS('LOI and Commissioning Master Sh'!$D:$D,'Review PPT update '!$A43, 'LOI and Commissioning Master Sh'!$G:$G,"C", 'LOI and Commissioning Master Sh'!$X:$X,"Yes",'LOI and Commissioning Master Sh'!$AE:$AE,K$35)</f>
        <v>0</v>
      </c>
      <c r="L43" s="105">
        <f>+COUNTIFS('LOI and Commissioning Master Sh'!$D:$D,'Review PPT update '!$A43, 'LOI and Commissioning Master Sh'!$G:$G,"C", 'LOI and Commissioning Master Sh'!$X:$X,"Yes",'LOI and Commissioning Master Sh'!$AE:$AE,L$35)</f>
        <v>0</v>
      </c>
      <c r="M43" s="105">
        <f>+COUNTIFS('LOI and Commissioning Master Sh'!$D:$D,'Review PPT update '!$A43, 'LOI and Commissioning Master Sh'!$G:$G,"C", 'LOI and Commissioning Master Sh'!$X:$X,"Yes",'LOI and Commissioning Master Sh'!$AE:$AE,M$35)</f>
        <v>0</v>
      </c>
      <c r="N43" s="105">
        <f>+COUNTIFS('LOI and Commissioning Master Sh'!$D:$D,'Review PPT update '!$A43, 'LOI and Commissioning Master Sh'!$G:$G,"C", 'LOI and Commissioning Master Sh'!$X:$X,"Yes",'LOI and Commissioning Master Sh'!$AE:$AE,N$35)</f>
        <v>0</v>
      </c>
      <c r="O43" s="105">
        <f>+COUNTIFS('LOI and Commissioning Master Sh'!$D:$D,'Review PPT update '!$A43, 'LOI and Commissioning Master Sh'!$G:$G,"C", 'LOI and Commissioning Master Sh'!$X:$X,"Yes",'LOI and Commissioning Master Sh'!$AE:$AE,O$35)</f>
        <v>0</v>
      </c>
      <c r="P43" s="105">
        <f>+COUNTIFS('LOI and Commissioning Master Sh'!$D:$D,'Review PPT update '!$A43, 'LOI and Commissioning Master Sh'!$G:$G,"C", 'LOI and Commissioning Master Sh'!$X:$X,"Yes",'LOI and Commissioning Master Sh'!$AE:$AE,P$35)</f>
        <v>0</v>
      </c>
      <c r="Q43" s="105">
        <f t="shared" si="8"/>
        <v>0</v>
      </c>
    </row>
    <row r="44" spans="1:17" ht="18" x14ac:dyDescent="0.25">
      <c r="A44" s="107" t="s">
        <v>141</v>
      </c>
      <c r="B44" s="105">
        <f>+COUNTIFS('LOI and Commissioning Master Sh'!$D:$D,'Review PPT update '!$A44, 'LOI and Commissioning Master Sh'!$G:$G,"C")</f>
        <v>1</v>
      </c>
      <c r="C44" s="105">
        <f>+COUNTIFS('LOI and Commissioning Master Sh'!$D:$D,'Review PPT update '!$A44, 'LOI and Commissioning Master Sh'!$G:$G,"C", 'LOI and Commissioning Master Sh'!$W:$W,"Yes")</f>
        <v>0</v>
      </c>
      <c r="D44" s="105">
        <f>+COUNTIFS('LOI and Commissioning Master Sh'!$D:$D,'Review PPT update '!$A44, 'LOI and Commissioning Master Sh'!$G:$G,"C", 'LOI and Commissioning Master Sh'!$X:$X,"Yes")</f>
        <v>0</v>
      </c>
      <c r="E44" s="105">
        <f>+COUNTIFS('LOI and Commissioning Master Sh'!$D:$D,'Review PPT update '!$A44, 'LOI and Commissioning Master Sh'!$G:$G,"C", 'LOI and Commissioning Master Sh'!$X:$X,"Yes",'LOI and Commissioning Master Sh'!$AE:$AE,E$35)</f>
        <v>0</v>
      </c>
      <c r="F44" s="105">
        <f>+COUNTIFS('LOI and Commissioning Master Sh'!$D:$D,'Review PPT update '!$A44, 'LOI and Commissioning Master Sh'!$G:$G,"C", 'LOI and Commissioning Master Sh'!$X:$X,"Yes",'LOI and Commissioning Master Sh'!$AE:$AE,F$35)</f>
        <v>0</v>
      </c>
      <c r="G44" s="105">
        <f>+COUNTIFS('LOI and Commissioning Master Sh'!$D:$D,'Review PPT update '!$A44, 'LOI and Commissioning Master Sh'!$G:$G,"C", 'LOI and Commissioning Master Sh'!$X:$X,"Yes",'LOI and Commissioning Master Sh'!$AE:$AE,G$35)</f>
        <v>0</v>
      </c>
      <c r="H44" s="105">
        <f>+COUNTIFS('LOI and Commissioning Master Sh'!$D:$D,'Review PPT update '!$A44, 'LOI and Commissioning Master Sh'!$G:$G,"C", 'LOI and Commissioning Master Sh'!$X:$X,"Yes",'LOI and Commissioning Master Sh'!$AE:$AE,H$35)</f>
        <v>0</v>
      </c>
      <c r="I44" s="105">
        <f>+COUNTIFS('LOI and Commissioning Master Sh'!$D:$D,'Review PPT update '!$A44, 'LOI and Commissioning Master Sh'!$G:$G,"C", 'LOI and Commissioning Master Sh'!$X:$X,"Yes",'LOI and Commissioning Master Sh'!$AE:$AE,I$35)</f>
        <v>0</v>
      </c>
      <c r="J44" s="105">
        <f>+COUNTIFS('LOI and Commissioning Master Sh'!$D:$D,'Review PPT update '!$A44, 'LOI and Commissioning Master Sh'!$G:$G,"C", 'LOI and Commissioning Master Sh'!$X:$X,"Yes",'LOI and Commissioning Master Sh'!$AE:$AE,J$35)</f>
        <v>0</v>
      </c>
      <c r="K44" s="105">
        <f>+COUNTIFS('LOI and Commissioning Master Sh'!$D:$D,'Review PPT update '!$A44, 'LOI and Commissioning Master Sh'!$G:$G,"C", 'LOI and Commissioning Master Sh'!$X:$X,"Yes",'LOI and Commissioning Master Sh'!$AE:$AE,K$35)</f>
        <v>0</v>
      </c>
      <c r="L44" s="105">
        <f>+COUNTIFS('LOI and Commissioning Master Sh'!$D:$D,'Review PPT update '!$A44, 'LOI and Commissioning Master Sh'!$G:$G,"C", 'LOI and Commissioning Master Sh'!$X:$X,"Yes",'LOI and Commissioning Master Sh'!$AE:$AE,L$35)</f>
        <v>0</v>
      </c>
      <c r="M44" s="105">
        <f>+COUNTIFS('LOI and Commissioning Master Sh'!$D:$D,'Review PPT update '!$A44, 'LOI and Commissioning Master Sh'!$G:$G,"C", 'LOI and Commissioning Master Sh'!$X:$X,"Yes",'LOI and Commissioning Master Sh'!$AE:$AE,M$35)</f>
        <v>0</v>
      </c>
      <c r="N44" s="105">
        <f>+COUNTIFS('LOI and Commissioning Master Sh'!$D:$D,'Review PPT update '!$A44, 'LOI and Commissioning Master Sh'!$G:$G,"C", 'LOI and Commissioning Master Sh'!$X:$X,"Yes",'LOI and Commissioning Master Sh'!$AE:$AE,N$35)</f>
        <v>0</v>
      </c>
      <c r="O44" s="105">
        <f>+COUNTIFS('LOI and Commissioning Master Sh'!$D:$D,'Review PPT update '!$A44, 'LOI and Commissioning Master Sh'!$G:$G,"C", 'LOI and Commissioning Master Sh'!$X:$X,"Yes",'LOI and Commissioning Master Sh'!$AE:$AE,O$35)</f>
        <v>0</v>
      </c>
      <c r="P44" s="105">
        <f>+COUNTIFS('LOI and Commissioning Master Sh'!$D:$D,'Review PPT update '!$A44, 'LOI and Commissioning Master Sh'!$G:$G,"C", 'LOI and Commissioning Master Sh'!$X:$X,"Yes",'LOI and Commissioning Master Sh'!$AE:$AE,P$35)</f>
        <v>0</v>
      </c>
      <c r="Q44" s="105">
        <f t="shared" si="8"/>
        <v>0</v>
      </c>
    </row>
    <row r="45" spans="1:17" ht="18" x14ac:dyDescent="0.25">
      <c r="A45" s="107" t="s">
        <v>135</v>
      </c>
      <c r="B45" s="105">
        <f>+COUNTIFS('LOI and Commissioning Master Sh'!$D:$D,'Review PPT update '!$A45, 'LOI and Commissioning Master Sh'!$G:$G,"C")</f>
        <v>4</v>
      </c>
      <c r="C45" s="105">
        <f>+COUNTIFS('LOI and Commissioning Master Sh'!$D:$D,'Review PPT update '!$A45, 'LOI and Commissioning Master Sh'!$G:$G,"C", 'LOI and Commissioning Master Sh'!$W:$W,"Yes")</f>
        <v>1</v>
      </c>
      <c r="D45" s="105">
        <f>+COUNTIFS('LOI and Commissioning Master Sh'!$D:$D,'Review PPT update '!$A45, 'LOI and Commissioning Master Sh'!$G:$G,"C", 'LOI and Commissioning Master Sh'!$X:$X,"Yes")</f>
        <v>0</v>
      </c>
      <c r="E45" s="105">
        <f>+COUNTIFS('LOI and Commissioning Master Sh'!$D:$D,'Review PPT update '!$A45, 'LOI and Commissioning Master Sh'!$G:$G,"C", 'LOI and Commissioning Master Sh'!$X:$X,"Yes",'LOI and Commissioning Master Sh'!$AE:$AE,E$35)</f>
        <v>0</v>
      </c>
      <c r="F45" s="105">
        <f>+COUNTIFS('LOI and Commissioning Master Sh'!$D:$D,'Review PPT update '!$A45, 'LOI and Commissioning Master Sh'!$G:$G,"C", 'LOI and Commissioning Master Sh'!$X:$X,"Yes",'LOI and Commissioning Master Sh'!$AE:$AE,F$35)</f>
        <v>0</v>
      </c>
      <c r="G45" s="105">
        <f>+COUNTIFS('LOI and Commissioning Master Sh'!$D:$D,'Review PPT update '!$A45, 'LOI and Commissioning Master Sh'!$G:$G,"C", 'LOI and Commissioning Master Sh'!$X:$X,"Yes",'LOI and Commissioning Master Sh'!$AE:$AE,G$35)</f>
        <v>0</v>
      </c>
      <c r="H45" s="105">
        <f>+COUNTIFS('LOI and Commissioning Master Sh'!$D:$D,'Review PPT update '!$A45, 'LOI and Commissioning Master Sh'!$G:$G,"C", 'LOI and Commissioning Master Sh'!$X:$X,"Yes",'LOI and Commissioning Master Sh'!$AE:$AE,H$35)</f>
        <v>0</v>
      </c>
      <c r="I45" s="105">
        <f>+COUNTIFS('LOI and Commissioning Master Sh'!$D:$D,'Review PPT update '!$A45, 'LOI and Commissioning Master Sh'!$G:$G,"C", 'LOI and Commissioning Master Sh'!$X:$X,"Yes",'LOI and Commissioning Master Sh'!$AE:$AE,I$35)</f>
        <v>0</v>
      </c>
      <c r="J45" s="105">
        <f>+COUNTIFS('LOI and Commissioning Master Sh'!$D:$D,'Review PPT update '!$A45, 'LOI and Commissioning Master Sh'!$G:$G,"C", 'LOI and Commissioning Master Sh'!$X:$X,"Yes",'LOI and Commissioning Master Sh'!$AE:$AE,J$35)</f>
        <v>0</v>
      </c>
      <c r="K45" s="105">
        <f>+COUNTIFS('LOI and Commissioning Master Sh'!$D:$D,'Review PPT update '!$A45, 'LOI and Commissioning Master Sh'!$G:$G,"C", 'LOI and Commissioning Master Sh'!$X:$X,"Yes",'LOI and Commissioning Master Sh'!$AE:$AE,K$35)</f>
        <v>0</v>
      </c>
      <c r="L45" s="105">
        <f>+COUNTIFS('LOI and Commissioning Master Sh'!$D:$D,'Review PPT update '!$A45, 'LOI and Commissioning Master Sh'!$G:$G,"C", 'LOI and Commissioning Master Sh'!$X:$X,"Yes",'LOI and Commissioning Master Sh'!$AE:$AE,L$35)</f>
        <v>0</v>
      </c>
      <c r="M45" s="105">
        <f>+COUNTIFS('LOI and Commissioning Master Sh'!$D:$D,'Review PPT update '!$A45, 'LOI and Commissioning Master Sh'!$G:$G,"C", 'LOI and Commissioning Master Sh'!$X:$X,"Yes",'LOI and Commissioning Master Sh'!$AE:$AE,M$35)</f>
        <v>0</v>
      </c>
      <c r="N45" s="105">
        <f>+COUNTIFS('LOI and Commissioning Master Sh'!$D:$D,'Review PPT update '!$A45, 'LOI and Commissioning Master Sh'!$G:$G,"C", 'LOI and Commissioning Master Sh'!$X:$X,"Yes",'LOI and Commissioning Master Sh'!$AE:$AE,N$35)</f>
        <v>0</v>
      </c>
      <c r="O45" s="105">
        <f>+COUNTIFS('LOI and Commissioning Master Sh'!$D:$D,'Review PPT update '!$A45, 'LOI and Commissioning Master Sh'!$G:$G,"C", 'LOI and Commissioning Master Sh'!$X:$X,"Yes",'LOI and Commissioning Master Sh'!$AE:$AE,O$35)</f>
        <v>0</v>
      </c>
      <c r="P45" s="105">
        <f>+COUNTIFS('LOI and Commissioning Master Sh'!$D:$D,'Review PPT update '!$A45, 'LOI and Commissioning Master Sh'!$G:$G,"C", 'LOI and Commissioning Master Sh'!$X:$X,"Yes",'LOI and Commissioning Master Sh'!$AE:$AE,P$35)</f>
        <v>0</v>
      </c>
      <c r="Q45" s="105">
        <f t="shared" si="8"/>
        <v>0</v>
      </c>
    </row>
    <row r="46" spans="1:17" ht="18" x14ac:dyDescent="0.25">
      <c r="A46" s="107" t="s">
        <v>195</v>
      </c>
      <c r="B46" s="105">
        <f>+COUNTIFS('LOI and Commissioning Master Sh'!$D:$D,'Review PPT update '!$A46, 'LOI and Commissioning Master Sh'!$G:$G,"C")</f>
        <v>0</v>
      </c>
      <c r="C46" s="105">
        <f>+COUNTIFS('LOI and Commissioning Master Sh'!$D:$D,'Review PPT update '!$A46, 'LOI and Commissioning Master Sh'!$G:$G,"C", 'LOI and Commissioning Master Sh'!$W:$W,"Yes")</f>
        <v>0</v>
      </c>
      <c r="D46" s="105">
        <f>+COUNTIFS('LOI and Commissioning Master Sh'!$D:$D,'Review PPT update '!$A46, 'LOI and Commissioning Master Sh'!$G:$G,"C", 'LOI and Commissioning Master Sh'!$X:$X,"Yes")</f>
        <v>0</v>
      </c>
      <c r="E46" s="105">
        <f>+COUNTIFS('LOI and Commissioning Master Sh'!$D:$D,'Review PPT update '!$A46, 'LOI and Commissioning Master Sh'!$G:$G,"C", 'LOI and Commissioning Master Sh'!$X:$X,"Yes",'LOI and Commissioning Master Sh'!$AE:$AE,E$35)</f>
        <v>0</v>
      </c>
      <c r="F46" s="105">
        <f>+COUNTIFS('LOI and Commissioning Master Sh'!$D:$D,'Review PPT update '!$A46, 'LOI and Commissioning Master Sh'!$G:$G,"C", 'LOI and Commissioning Master Sh'!$X:$X,"Yes",'LOI and Commissioning Master Sh'!$AE:$AE,F$35)</f>
        <v>0</v>
      </c>
      <c r="G46" s="105">
        <f>+COUNTIFS('LOI and Commissioning Master Sh'!$D:$D,'Review PPT update '!$A46, 'LOI and Commissioning Master Sh'!$G:$G,"C", 'LOI and Commissioning Master Sh'!$X:$X,"Yes",'LOI and Commissioning Master Sh'!$AE:$AE,G$35)</f>
        <v>0</v>
      </c>
      <c r="H46" s="105">
        <f>+COUNTIFS('LOI and Commissioning Master Sh'!$D:$D,'Review PPT update '!$A46, 'LOI and Commissioning Master Sh'!$G:$G,"C", 'LOI and Commissioning Master Sh'!$X:$X,"Yes",'LOI and Commissioning Master Sh'!$AE:$AE,H$35)</f>
        <v>0</v>
      </c>
      <c r="I46" s="105">
        <f>+COUNTIFS('LOI and Commissioning Master Sh'!$D:$D,'Review PPT update '!$A46, 'LOI and Commissioning Master Sh'!$G:$G,"C", 'LOI and Commissioning Master Sh'!$X:$X,"Yes",'LOI and Commissioning Master Sh'!$AE:$AE,I$35)</f>
        <v>0</v>
      </c>
      <c r="J46" s="105">
        <f>+COUNTIFS('LOI and Commissioning Master Sh'!$D:$D,'Review PPT update '!$A46, 'LOI and Commissioning Master Sh'!$G:$G,"C", 'LOI and Commissioning Master Sh'!$X:$X,"Yes",'LOI and Commissioning Master Sh'!$AE:$AE,J$35)</f>
        <v>0</v>
      </c>
      <c r="K46" s="105">
        <f>+COUNTIFS('LOI and Commissioning Master Sh'!$D:$D,'Review PPT update '!$A46, 'LOI and Commissioning Master Sh'!$G:$G,"C", 'LOI and Commissioning Master Sh'!$X:$X,"Yes",'LOI and Commissioning Master Sh'!$AE:$AE,K$35)</f>
        <v>0</v>
      </c>
      <c r="L46" s="105">
        <f>+COUNTIFS('LOI and Commissioning Master Sh'!$D:$D,'Review PPT update '!$A46, 'LOI and Commissioning Master Sh'!$G:$G,"C", 'LOI and Commissioning Master Sh'!$X:$X,"Yes",'LOI and Commissioning Master Sh'!$AE:$AE,L$35)</f>
        <v>0</v>
      </c>
      <c r="M46" s="105">
        <f>+COUNTIFS('LOI and Commissioning Master Sh'!$D:$D,'Review PPT update '!$A46, 'LOI and Commissioning Master Sh'!$G:$G,"C", 'LOI and Commissioning Master Sh'!$X:$X,"Yes",'LOI and Commissioning Master Sh'!$AE:$AE,M$35)</f>
        <v>0</v>
      </c>
      <c r="N46" s="105">
        <f>+COUNTIFS('LOI and Commissioning Master Sh'!$D:$D,'Review PPT update '!$A46, 'LOI and Commissioning Master Sh'!$G:$G,"C", 'LOI and Commissioning Master Sh'!$X:$X,"Yes",'LOI and Commissioning Master Sh'!$AE:$AE,N$35)</f>
        <v>0</v>
      </c>
      <c r="O46" s="105">
        <f>+COUNTIFS('LOI and Commissioning Master Sh'!$D:$D,'Review PPT update '!$A46, 'LOI and Commissioning Master Sh'!$G:$G,"C", 'LOI and Commissioning Master Sh'!$X:$X,"Yes",'LOI and Commissioning Master Sh'!$AE:$AE,O$35)</f>
        <v>0</v>
      </c>
      <c r="P46" s="105">
        <f>+COUNTIFS('LOI and Commissioning Master Sh'!$D:$D,'Review PPT update '!$A46, 'LOI and Commissioning Master Sh'!$G:$G,"C", 'LOI and Commissioning Master Sh'!$X:$X,"Yes",'LOI and Commissioning Master Sh'!$AE:$AE,P$35)</f>
        <v>0</v>
      </c>
      <c r="Q46" s="105">
        <f t="shared" si="8"/>
        <v>0</v>
      </c>
    </row>
    <row r="47" spans="1:17" ht="18" x14ac:dyDescent="0.25">
      <c r="A47" s="108" t="s">
        <v>1344</v>
      </c>
      <c r="B47" s="108">
        <f>SUM(B36:B46)</f>
        <v>11</v>
      </c>
      <c r="C47" s="108">
        <f>SUM(C36:C46)</f>
        <v>1</v>
      </c>
      <c r="D47" s="108">
        <f t="shared" ref="D47:Q47" si="9">SUM(D36:D46)</f>
        <v>0</v>
      </c>
      <c r="E47" s="108">
        <f t="shared" si="9"/>
        <v>0</v>
      </c>
      <c r="F47" s="108">
        <f t="shared" si="9"/>
        <v>0</v>
      </c>
      <c r="G47" s="108">
        <f t="shared" si="9"/>
        <v>0</v>
      </c>
      <c r="H47" s="108">
        <f t="shared" si="9"/>
        <v>0</v>
      </c>
      <c r="I47" s="108">
        <f t="shared" si="9"/>
        <v>0</v>
      </c>
      <c r="J47" s="108">
        <f t="shared" si="9"/>
        <v>0</v>
      </c>
      <c r="K47" s="108">
        <f t="shared" si="9"/>
        <v>0</v>
      </c>
      <c r="L47" s="108">
        <f t="shared" si="9"/>
        <v>0</v>
      </c>
      <c r="M47" s="108">
        <f t="shared" si="9"/>
        <v>0</v>
      </c>
      <c r="N47" s="108">
        <f t="shared" si="9"/>
        <v>0</v>
      </c>
      <c r="O47" s="108">
        <f t="shared" si="9"/>
        <v>0</v>
      </c>
      <c r="P47" s="108">
        <f t="shared" si="9"/>
        <v>0</v>
      </c>
      <c r="Q47" s="108">
        <f t="shared" si="9"/>
        <v>0</v>
      </c>
    </row>
    <row r="51" spans="1:17" x14ac:dyDescent="0.3">
      <c r="A51" s="39" t="s">
        <v>169</v>
      </c>
    </row>
    <row r="52" spans="1:17" ht="72" x14ac:dyDescent="0.25">
      <c r="A52" s="103" t="s">
        <v>1473</v>
      </c>
      <c r="B52" s="103" t="s">
        <v>1477</v>
      </c>
      <c r="C52" s="103" t="s">
        <v>1475</v>
      </c>
      <c r="D52" s="103" t="s">
        <v>1478</v>
      </c>
      <c r="E52" s="104">
        <v>46113</v>
      </c>
      <c r="F52" s="104">
        <v>46143</v>
      </c>
      <c r="G52" s="104">
        <v>46174</v>
      </c>
      <c r="H52" s="104">
        <v>46204</v>
      </c>
      <c r="I52" s="104">
        <v>46235</v>
      </c>
      <c r="J52" s="104">
        <v>46266</v>
      </c>
      <c r="K52" s="104">
        <v>46296</v>
      </c>
      <c r="L52" s="104">
        <v>46327</v>
      </c>
      <c r="M52" s="104">
        <v>46357</v>
      </c>
      <c r="N52" s="104">
        <v>46388</v>
      </c>
      <c r="O52" s="104">
        <v>46419</v>
      </c>
      <c r="P52" s="104">
        <v>46447</v>
      </c>
      <c r="Q52" s="103" t="s">
        <v>1344</v>
      </c>
    </row>
    <row r="53" spans="1:17" ht="18" x14ac:dyDescent="0.25">
      <c r="A53" s="107" t="s">
        <v>190</v>
      </c>
      <c r="B53" s="105">
        <f>+COUNTIFS('LOI and Commissioning Master Sh'!$D:$D,'Review PPT update '!$A53, 'LOI and Commissioning Master Sh'!$G:$G,"D2")</f>
        <v>10</v>
      </c>
      <c r="C53" s="105">
        <f>+COUNTIFS('LOI and Commissioning Master Sh'!$D:$D,'Review PPT update '!$A53, 'LOI and Commissioning Master Sh'!$G:$G,"D2", 'LOI and Commissioning Master Sh'!$W:$W,"Yes")</f>
        <v>6</v>
      </c>
      <c r="D53" s="105">
        <f>+COUNTIFS('LOI and Commissioning Master Sh'!$D:$D,'Review PPT update '!$A53, 'LOI and Commissioning Master Sh'!$G:$G,"D2", 'LOI and Commissioning Master Sh'!$X:$X,"Yes")</f>
        <v>4</v>
      </c>
      <c r="E53" s="105">
        <f>+COUNTIFS('LOI and Commissioning Master Sh'!$D:$D,'Review PPT update '!$A53, 'LOI and Commissioning Master Sh'!$G:$G,"D2", 'LOI and Commissioning Master Sh'!$X:$X,"Yes",'LOI and Commissioning Master Sh'!$AE:$AE,E$52)</f>
        <v>0</v>
      </c>
      <c r="F53" s="105">
        <f>+COUNTIFS('LOI and Commissioning Master Sh'!$D:$D,'Review PPT update '!$A53, 'LOI and Commissioning Master Sh'!$G:$G,"D2", 'LOI and Commissioning Master Sh'!$X:$X,"Yes",'LOI and Commissioning Master Sh'!$AE:$AE,F$52)</f>
        <v>0</v>
      </c>
      <c r="G53" s="105">
        <f>+COUNTIFS('LOI and Commissioning Master Sh'!$D:$D,'Review PPT update '!$A53, 'LOI and Commissioning Master Sh'!$G:$G,"D2", 'LOI and Commissioning Master Sh'!$X:$X,"Yes",'LOI and Commissioning Master Sh'!$AE:$AE,G$52)</f>
        <v>2</v>
      </c>
      <c r="H53" s="105">
        <f>+COUNTIFS('LOI and Commissioning Master Sh'!$D:$D,'Review PPT update '!$A53, 'LOI and Commissioning Master Sh'!$G:$G,"D2", 'LOI and Commissioning Master Sh'!$X:$X,"Yes",'LOI and Commissioning Master Sh'!$AE:$AE,H$52)</f>
        <v>0</v>
      </c>
      <c r="I53" s="105">
        <f>+COUNTIFS('LOI and Commissioning Master Sh'!$D:$D,'Review PPT update '!$A53, 'LOI and Commissioning Master Sh'!$G:$G,"D2", 'LOI and Commissioning Master Sh'!$X:$X,"Yes",'LOI and Commissioning Master Sh'!$AE:$AE,I$52)</f>
        <v>0</v>
      </c>
      <c r="J53" s="105">
        <f>+COUNTIFS('LOI and Commissioning Master Sh'!$D:$D,'Review PPT update '!$A53, 'LOI and Commissioning Master Sh'!$G:$G,"D2", 'LOI and Commissioning Master Sh'!$X:$X,"Yes",'LOI and Commissioning Master Sh'!$AE:$AE,J$52)</f>
        <v>0</v>
      </c>
      <c r="K53" s="105">
        <f>+COUNTIFS('LOI and Commissioning Master Sh'!$D:$D,'Review PPT update '!$A53, 'LOI and Commissioning Master Sh'!$G:$G,"D2", 'LOI and Commissioning Master Sh'!$X:$X,"Yes",'LOI and Commissioning Master Sh'!$AE:$AE,K$52)</f>
        <v>0</v>
      </c>
      <c r="L53" s="105">
        <f>+COUNTIFS('LOI and Commissioning Master Sh'!$D:$D,'Review PPT update '!$A53, 'LOI and Commissioning Master Sh'!$G:$G,"D2", 'LOI and Commissioning Master Sh'!$X:$X,"Yes",'LOI and Commissioning Master Sh'!$AE:$AE,L$52)</f>
        <v>0</v>
      </c>
      <c r="M53" s="105">
        <f>+COUNTIFS('LOI and Commissioning Master Sh'!$D:$D,'Review PPT update '!$A53, 'LOI and Commissioning Master Sh'!$G:$G,"D2", 'LOI and Commissioning Master Sh'!$X:$X,"Yes",'LOI and Commissioning Master Sh'!$AE:$AE,M$52)</f>
        <v>0</v>
      </c>
      <c r="N53" s="105">
        <f>+COUNTIFS('LOI and Commissioning Master Sh'!$D:$D,'Review PPT update '!$A53, 'LOI and Commissioning Master Sh'!$G:$G,"D2", 'LOI and Commissioning Master Sh'!$X:$X,"Yes",'LOI and Commissioning Master Sh'!$AE:$AE,N$52)</f>
        <v>2</v>
      </c>
      <c r="O53" s="105">
        <f>+COUNTIFS('LOI and Commissioning Master Sh'!$D:$D,'Review PPT update '!$A53, 'LOI and Commissioning Master Sh'!$G:$G,"D2", 'LOI and Commissioning Master Sh'!$X:$X,"Yes",'LOI and Commissioning Master Sh'!$AE:$AE,O$52)</f>
        <v>0</v>
      </c>
      <c r="P53" s="105">
        <f>+COUNTIFS('LOI and Commissioning Master Sh'!$D:$D,'Review PPT update '!$A53, 'LOI and Commissioning Master Sh'!$G:$G,"D2", 'LOI and Commissioning Master Sh'!$X:$X,"Yes",'LOI and Commissioning Master Sh'!$AE:$AE,P$52)</f>
        <v>0</v>
      </c>
      <c r="Q53" s="105">
        <f t="shared" ref="Q53:Q63" si="10">+SUM(E53:P53)</f>
        <v>4</v>
      </c>
    </row>
    <row r="54" spans="1:17" ht="18" x14ac:dyDescent="0.25">
      <c r="A54" s="107" t="s">
        <v>156</v>
      </c>
      <c r="B54" s="105">
        <f>+COUNTIFS('LOI and Commissioning Master Sh'!$D:$D,'Review PPT update '!$A54, 'LOI and Commissioning Master Sh'!$G:$G,"D2")</f>
        <v>12</v>
      </c>
      <c r="C54" s="105">
        <f>+COUNTIFS('LOI and Commissioning Master Sh'!$D:$D,'Review PPT update '!$A54, 'LOI and Commissioning Master Sh'!$G:$G,"D2", 'LOI and Commissioning Master Sh'!$W:$W,"Yes")</f>
        <v>5</v>
      </c>
      <c r="D54" s="105">
        <f>+COUNTIFS('LOI and Commissioning Master Sh'!$D:$D,'Review PPT update '!$A54, 'LOI and Commissioning Master Sh'!$G:$G,"D2", 'LOI and Commissioning Master Sh'!$X:$X,"Yes")</f>
        <v>3</v>
      </c>
      <c r="E54" s="105">
        <f>+COUNTIFS('LOI and Commissioning Master Sh'!$D:$D,'Review PPT update '!$A54, 'LOI and Commissioning Master Sh'!$G:$G,"D2", 'LOI and Commissioning Master Sh'!$X:$X,"Yes",'LOI and Commissioning Master Sh'!$AE:$AE,E$52)</f>
        <v>0</v>
      </c>
      <c r="F54" s="105">
        <f>+COUNTIFS('LOI and Commissioning Master Sh'!$D:$D,'Review PPT update '!$A54, 'LOI and Commissioning Master Sh'!$G:$G,"D2", 'LOI and Commissioning Master Sh'!$X:$X,"Yes",'LOI and Commissioning Master Sh'!$AE:$AE,F$52)</f>
        <v>0</v>
      </c>
      <c r="G54" s="105">
        <f>+COUNTIFS('LOI and Commissioning Master Sh'!$D:$D,'Review PPT update '!$A54, 'LOI and Commissioning Master Sh'!$G:$G,"D2", 'LOI and Commissioning Master Sh'!$X:$X,"Yes",'LOI and Commissioning Master Sh'!$AE:$AE,G$52)</f>
        <v>1</v>
      </c>
      <c r="H54" s="105">
        <f>+COUNTIFS('LOI and Commissioning Master Sh'!$D:$D,'Review PPT update '!$A54, 'LOI and Commissioning Master Sh'!$G:$G,"D2", 'LOI and Commissioning Master Sh'!$X:$X,"Yes",'LOI and Commissioning Master Sh'!$AE:$AE,H$52)</f>
        <v>1</v>
      </c>
      <c r="I54" s="105">
        <f>+COUNTIFS('LOI and Commissioning Master Sh'!$D:$D,'Review PPT update '!$A54, 'LOI and Commissioning Master Sh'!$G:$G,"D2", 'LOI and Commissioning Master Sh'!$X:$X,"Yes",'LOI and Commissioning Master Sh'!$AE:$AE,I$52)</f>
        <v>0</v>
      </c>
      <c r="J54" s="105">
        <f>+COUNTIFS('LOI and Commissioning Master Sh'!$D:$D,'Review PPT update '!$A54, 'LOI and Commissioning Master Sh'!$G:$G,"D2", 'LOI and Commissioning Master Sh'!$X:$X,"Yes",'LOI and Commissioning Master Sh'!$AE:$AE,J$52)</f>
        <v>1</v>
      </c>
      <c r="K54" s="105">
        <f>+COUNTIFS('LOI and Commissioning Master Sh'!$D:$D,'Review PPT update '!$A54, 'LOI and Commissioning Master Sh'!$G:$G,"D2", 'LOI and Commissioning Master Sh'!$X:$X,"Yes",'LOI and Commissioning Master Sh'!$AE:$AE,K$52)</f>
        <v>0</v>
      </c>
      <c r="L54" s="105">
        <f>+COUNTIFS('LOI and Commissioning Master Sh'!$D:$D,'Review PPT update '!$A54, 'LOI and Commissioning Master Sh'!$G:$G,"D2", 'LOI and Commissioning Master Sh'!$X:$X,"Yes",'LOI and Commissioning Master Sh'!$AE:$AE,L$52)</f>
        <v>0</v>
      </c>
      <c r="M54" s="105">
        <f>+COUNTIFS('LOI and Commissioning Master Sh'!$D:$D,'Review PPT update '!$A54, 'LOI and Commissioning Master Sh'!$G:$G,"D2", 'LOI and Commissioning Master Sh'!$X:$X,"Yes",'LOI and Commissioning Master Sh'!$AE:$AE,M$52)</f>
        <v>0</v>
      </c>
      <c r="N54" s="105">
        <f>+COUNTIFS('LOI and Commissioning Master Sh'!$D:$D,'Review PPT update '!$A54, 'LOI and Commissioning Master Sh'!$G:$G,"D2", 'LOI and Commissioning Master Sh'!$X:$X,"Yes",'LOI and Commissioning Master Sh'!$AE:$AE,N$52)</f>
        <v>0</v>
      </c>
      <c r="O54" s="105">
        <f>+COUNTIFS('LOI and Commissioning Master Sh'!$D:$D,'Review PPT update '!$A54, 'LOI and Commissioning Master Sh'!$G:$G,"D2", 'LOI and Commissioning Master Sh'!$X:$X,"Yes",'LOI and Commissioning Master Sh'!$AE:$AE,O$52)</f>
        <v>0</v>
      </c>
      <c r="P54" s="105">
        <f>+COUNTIFS('LOI and Commissioning Master Sh'!$D:$D,'Review PPT update '!$A54, 'LOI and Commissioning Master Sh'!$G:$G,"D2", 'LOI and Commissioning Master Sh'!$X:$X,"Yes",'LOI and Commissioning Master Sh'!$AE:$AE,P$52)</f>
        <v>0</v>
      </c>
      <c r="Q54" s="105">
        <f t="shared" si="10"/>
        <v>3</v>
      </c>
    </row>
    <row r="55" spans="1:17" ht="18" x14ac:dyDescent="0.25">
      <c r="A55" s="107" t="s">
        <v>383</v>
      </c>
      <c r="B55" s="105">
        <f>+COUNTIFS('LOI and Commissioning Master Sh'!$D:$D,'Review PPT update '!$A55, 'LOI and Commissioning Master Sh'!$G:$G,"D2")</f>
        <v>1</v>
      </c>
      <c r="C55" s="105">
        <f>+COUNTIFS('LOI and Commissioning Master Sh'!$D:$D,'Review PPT update '!$A55, 'LOI and Commissioning Master Sh'!$G:$G,"D2", 'LOI and Commissioning Master Sh'!$W:$W,"Yes")</f>
        <v>0</v>
      </c>
      <c r="D55" s="105">
        <f>+COUNTIFS('LOI and Commissioning Master Sh'!$D:$D,'Review PPT update '!$A55, 'LOI and Commissioning Master Sh'!$G:$G,"D2", 'LOI and Commissioning Master Sh'!$X:$X,"Yes")</f>
        <v>0</v>
      </c>
      <c r="E55" s="105">
        <f>+COUNTIFS('LOI and Commissioning Master Sh'!$D:$D,'Review PPT update '!$A55, 'LOI and Commissioning Master Sh'!$G:$G,"D2", 'LOI and Commissioning Master Sh'!$X:$X,"Yes",'LOI and Commissioning Master Sh'!$AE:$AE,E$52)</f>
        <v>0</v>
      </c>
      <c r="F55" s="105">
        <f>+COUNTIFS('LOI and Commissioning Master Sh'!$D:$D,'Review PPT update '!$A55, 'LOI and Commissioning Master Sh'!$G:$G,"D2", 'LOI and Commissioning Master Sh'!$X:$X,"Yes",'LOI and Commissioning Master Sh'!$AE:$AE,F$52)</f>
        <v>0</v>
      </c>
      <c r="G55" s="105">
        <f>+COUNTIFS('LOI and Commissioning Master Sh'!$D:$D,'Review PPT update '!$A55, 'LOI and Commissioning Master Sh'!$G:$G,"D2", 'LOI and Commissioning Master Sh'!$X:$X,"Yes",'LOI and Commissioning Master Sh'!$AE:$AE,G$52)</f>
        <v>0</v>
      </c>
      <c r="H55" s="105">
        <f>+COUNTIFS('LOI and Commissioning Master Sh'!$D:$D,'Review PPT update '!$A55, 'LOI and Commissioning Master Sh'!$G:$G,"D2", 'LOI and Commissioning Master Sh'!$X:$X,"Yes",'LOI and Commissioning Master Sh'!$AE:$AE,H$52)</f>
        <v>0</v>
      </c>
      <c r="I55" s="105">
        <f>+COUNTIFS('LOI and Commissioning Master Sh'!$D:$D,'Review PPT update '!$A55, 'LOI and Commissioning Master Sh'!$G:$G,"D2", 'LOI and Commissioning Master Sh'!$X:$X,"Yes",'LOI and Commissioning Master Sh'!$AE:$AE,I$52)</f>
        <v>0</v>
      </c>
      <c r="J55" s="105">
        <f>+COUNTIFS('LOI and Commissioning Master Sh'!$D:$D,'Review PPT update '!$A55, 'LOI and Commissioning Master Sh'!$G:$G,"D2", 'LOI and Commissioning Master Sh'!$X:$X,"Yes",'LOI and Commissioning Master Sh'!$AE:$AE,J$52)</f>
        <v>0</v>
      </c>
      <c r="K55" s="105">
        <f>+COUNTIFS('LOI and Commissioning Master Sh'!$D:$D,'Review PPT update '!$A55, 'LOI and Commissioning Master Sh'!$G:$G,"D2", 'LOI and Commissioning Master Sh'!$X:$X,"Yes",'LOI and Commissioning Master Sh'!$AE:$AE,K$52)</f>
        <v>0</v>
      </c>
      <c r="L55" s="105">
        <f>+COUNTIFS('LOI and Commissioning Master Sh'!$D:$D,'Review PPT update '!$A55, 'LOI and Commissioning Master Sh'!$G:$G,"D2", 'LOI and Commissioning Master Sh'!$X:$X,"Yes",'LOI and Commissioning Master Sh'!$AE:$AE,L$52)</f>
        <v>0</v>
      </c>
      <c r="M55" s="105">
        <f>+COUNTIFS('LOI and Commissioning Master Sh'!$D:$D,'Review PPT update '!$A55, 'LOI and Commissioning Master Sh'!$G:$G,"D2", 'LOI and Commissioning Master Sh'!$X:$X,"Yes",'LOI and Commissioning Master Sh'!$AE:$AE,M$52)</f>
        <v>0</v>
      </c>
      <c r="N55" s="105">
        <f>+COUNTIFS('LOI and Commissioning Master Sh'!$D:$D,'Review PPT update '!$A55, 'LOI and Commissioning Master Sh'!$G:$G,"D2", 'LOI and Commissioning Master Sh'!$X:$X,"Yes",'LOI and Commissioning Master Sh'!$AE:$AE,N$52)</f>
        <v>0</v>
      </c>
      <c r="O55" s="105">
        <f>+COUNTIFS('LOI and Commissioning Master Sh'!$D:$D,'Review PPT update '!$A55, 'LOI and Commissioning Master Sh'!$G:$G,"D2", 'LOI and Commissioning Master Sh'!$X:$X,"Yes",'LOI and Commissioning Master Sh'!$AE:$AE,O$52)</f>
        <v>0</v>
      </c>
      <c r="P55" s="105">
        <f>+COUNTIFS('LOI and Commissioning Master Sh'!$D:$D,'Review PPT update '!$A55, 'LOI and Commissioning Master Sh'!$G:$G,"D2", 'LOI and Commissioning Master Sh'!$X:$X,"Yes",'LOI and Commissioning Master Sh'!$AE:$AE,P$52)</f>
        <v>0</v>
      </c>
      <c r="Q55" s="105">
        <f t="shared" si="10"/>
        <v>0</v>
      </c>
    </row>
    <row r="56" spans="1:17" ht="18" x14ac:dyDescent="0.25">
      <c r="A56" s="107" t="s">
        <v>150</v>
      </c>
      <c r="B56" s="105">
        <f>+COUNTIFS('LOI and Commissioning Master Sh'!$D:$D,'Review PPT update '!$A56, 'LOI and Commissioning Master Sh'!$G:$G,"D2")</f>
        <v>0</v>
      </c>
      <c r="C56" s="105">
        <f>+COUNTIFS('LOI and Commissioning Master Sh'!$D:$D,'Review PPT update '!$A56, 'LOI and Commissioning Master Sh'!$G:$G,"D2", 'LOI and Commissioning Master Sh'!$W:$W,"Yes")</f>
        <v>0</v>
      </c>
      <c r="D56" s="105">
        <f>+COUNTIFS('LOI and Commissioning Master Sh'!$D:$D,'Review PPT update '!$A56, 'LOI and Commissioning Master Sh'!$G:$G,"D2", 'LOI and Commissioning Master Sh'!$X:$X,"Yes")</f>
        <v>0</v>
      </c>
      <c r="E56" s="105">
        <f>+COUNTIFS('LOI and Commissioning Master Sh'!$D:$D,'Review PPT update '!$A56, 'LOI and Commissioning Master Sh'!$G:$G,"D2", 'LOI and Commissioning Master Sh'!$X:$X,"Yes",'LOI and Commissioning Master Sh'!$AE:$AE,E$52)</f>
        <v>0</v>
      </c>
      <c r="F56" s="105">
        <f>+COUNTIFS('LOI and Commissioning Master Sh'!$D:$D,'Review PPT update '!$A56, 'LOI and Commissioning Master Sh'!$G:$G,"D2", 'LOI and Commissioning Master Sh'!$X:$X,"Yes",'LOI and Commissioning Master Sh'!$AE:$AE,F$52)</f>
        <v>0</v>
      </c>
      <c r="G56" s="105">
        <f>+COUNTIFS('LOI and Commissioning Master Sh'!$D:$D,'Review PPT update '!$A56, 'LOI and Commissioning Master Sh'!$G:$G,"D2", 'LOI and Commissioning Master Sh'!$X:$X,"Yes",'LOI and Commissioning Master Sh'!$AE:$AE,G$52)</f>
        <v>0</v>
      </c>
      <c r="H56" s="105">
        <f>+COUNTIFS('LOI and Commissioning Master Sh'!$D:$D,'Review PPT update '!$A56, 'LOI and Commissioning Master Sh'!$G:$G,"D2", 'LOI and Commissioning Master Sh'!$X:$X,"Yes",'LOI and Commissioning Master Sh'!$AE:$AE,H$52)</f>
        <v>0</v>
      </c>
      <c r="I56" s="105">
        <f>+COUNTIFS('LOI and Commissioning Master Sh'!$D:$D,'Review PPT update '!$A56, 'LOI and Commissioning Master Sh'!$G:$G,"D2", 'LOI and Commissioning Master Sh'!$X:$X,"Yes",'LOI and Commissioning Master Sh'!$AE:$AE,I$52)</f>
        <v>0</v>
      </c>
      <c r="J56" s="105">
        <f>+COUNTIFS('LOI and Commissioning Master Sh'!$D:$D,'Review PPT update '!$A56, 'LOI and Commissioning Master Sh'!$G:$G,"D2", 'LOI and Commissioning Master Sh'!$X:$X,"Yes",'LOI and Commissioning Master Sh'!$AE:$AE,J$52)</f>
        <v>0</v>
      </c>
      <c r="K56" s="105">
        <f>+COUNTIFS('LOI and Commissioning Master Sh'!$D:$D,'Review PPT update '!$A56, 'LOI and Commissioning Master Sh'!$G:$G,"D2", 'LOI and Commissioning Master Sh'!$X:$X,"Yes",'LOI and Commissioning Master Sh'!$AE:$AE,K$52)</f>
        <v>0</v>
      </c>
      <c r="L56" s="105">
        <f>+COUNTIFS('LOI and Commissioning Master Sh'!$D:$D,'Review PPT update '!$A56, 'LOI and Commissioning Master Sh'!$G:$G,"D2", 'LOI and Commissioning Master Sh'!$X:$X,"Yes",'LOI and Commissioning Master Sh'!$AE:$AE,L$52)</f>
        <v>0</v>
      </c>
      <c r="M56" s="105">
        <f>+COUNTIFS('LOI and Commissioning Master Sh'!$D:$D,'Review PPT update '!$A56, 'LOI and Commissioning Master Sh'!$G:$G,"D2", 'LOI and Commissioning Master Sh'!$X:$X,"Yes",'LOI and Commissioning Master Sh'!$AE:$AE,M$52)</f>
        <v>0</v>
      </c>
      <c r="N56" s="105">
        <f>+COUNTIFS('LOI and Commissioning Master Sh'!$D:$D,'Review PPT update '!$A56, 'LOI and Commissioning Master Sh'!$G:$G,"D2", 'LOI and Commissioning Master Sh'!$X:$X,"Yes",'LOI and Commissioning Master Sh'!$AE:$AE,N$52)</f>
        <v>0</v>
      </c>
      <c r="O56" s="105">
        <f>+COUNTIFS('LOI and Commissioning Master Sh'!$D:$D,'Review PPT update '!$A56, 'LOI and Commissioning Master Sh'!$G:$G,"D2", 'LOI and Commissioning Master Sh'!$X:$X,"Yes",'LOI and Commissioning Master Sh'!$AE:$AE,O$52)</f>
        <v>0</v>
      </c>
      <c r="P56" s="105">
        <f>+COUNTIFS('LOI and Commissioning Master Sh'!$D:$D,'Review PPT update '!$A56, 'LOI and Commissioning Master Sh'!$G:$G,"D2", 'LOI and Commissioning Master Sh'!$X:$X,"Yes",'LOI and Commissioning Master Sh'!$AE:$AE,P$52)</f>
        <v>0</v>
      </c>
      <c r="Q56" s="105">
        <f t="shared" si="10"/>
        <v>0</v>
      </c>
    </row>
    <row r="57" spans="1:17" ht="18" x14ac:dyDescent="0.25">
      <c r="A57" s="107" t="s">
        <v>121</v>
      </c>
      <c r="B57" s="105">
        <f>+COUNTIFS('LOI and Commissioning Master Sh'!$D:$D,'Review PPT update '!$A57, 'LOI and Commissioning Master Sh'!$G:$G,"D2")</f>
        <v>4</v>
      </c>
      <c r="C57" s="105">
        <f>+COUNTIFS('LOI and Commissioning Master Sh'!$D:$D,'Review PPT update '!$A57, 'LOI and Commissioning Master Sh'!$G:$G,"D2", 'LOI and Commissioning Master Sh'!$W:$W,"Yes")</f>
        <v>0</v>
      </c>
      <c r="D57" s="105">
        <f>+COUNTIFS('LOI and Commissioning Master Sh'!$D:$D,'Review PPT update '!$A57, 'LOI and Commissioning Master Sh'!$G:$G,"D2", 'LOI and Commissioning Master Sh'!$X:$X,"Yes")</f>
        <v>0</v>
      </c>
      <c r="E57" s="105">
        <f>+COUNTIFS('LOI and Commissioning Master Sh'!$D:$D,'Review PPT update '!$A57, 'LOI and Commissioning Master Sh'!$G:$G,"D2", 'LOI and Commissioning Master Sh'!$X:$X,"Yes",'LOI and Commissioning Master Sh'!$AE:$AE,E$52)</f>
        <v>0</v>
      </c>
      <c r="F57" s="105">
        <f>+COUNTIFS('LOI and Commissioning Master Sh'!$D:$D,'Review PPT update '!$A57, 'LOI and Commissioning Master Sh'!$G:$G,"D2", 'LOI and Commissioning Master Sh'!$X:$X,"Yes",'LOI and Commissioning Master Sh'!$AE:$AE,F$52)</f>
        <v>0</v>
      </c>
      <c r="G57" s="105">
        <f>+COUNTIFS('LOI and Commissioning Master Sh'!$D:$D,'Review PPT update '!$A57, 'LOI and Commissioning Master Sh'!$G:$G,"D2", 'LOI and Commissioning Master Sh'!$X:$X,"Yes",'LOI and Commissioning Master Sh'!$AE:$AE,G$52)</f>
        <v>0</v>
      </c>
      <c r="H57" s="105">
        <f>+COUNTIFS('LOI and Commissioning Master Sh'!$D:$D,'Review PPT update '!$A57, 'LOI and Commissioning Master Sh'!$G:$G,"D2", 'LOI and Commissioning Master Sh'!$X:$X,"Yes",'LOI and Commissioning Master Sh'!$AE:$AE,H$52)</f>
        <v>0</v>
      </c>
      <c r="I57" s="105">
        <f>+COUNTIFS('LOI and Commissioning Master Sh'!$D:$D,'Review PPT update '!$A57, 'LOI and Commissioning Master Sh'!$G:$G,"D2", 'LOI and Commissioning Master Sh'!$X:$X,"Yes",'LOI and Commissioning Master Sh'!$AE:$AE,I$52)</f>
        <v>0</v>
      </c>
      <c r="J57" s="105">
        <f>+COUNTIFS('LOI and Commissioning Master Sh'!$D:$D,'Review PPT update '!$A57, 'LOI and Commissioning Master Sh'!$G:$G,"D2", 'LOI and Commissioning Master Sh'!$X:$X,"Yes",'LOI and Commissioning Master Sh'!$AE:$AE,J$52)</f>
        <v>0</v>
      </c>
      <c r="K57" s="105">
        <f>+COUNTIFS('LOI and Commissioning Master Sh'!$D:$D,'Review PPT update '!$A57, 'LOI and Commissioning Master Sh'!$G:$G,"D2", 'LOI and Commissioning Master Sh'!$X:$X,"Yes",'LOI and Commissioning Master Sh'!$AE:$AE,K$52)</f>
        <v>0</v>
      </c>
      <c r="L57" s="105">
        <f>+COUNTIFS('LOI and Commissioning Master Sh'!$D:$D,'Review PPT update '!$A57, 'LOI and Commissioning Master Sh'!$G:$G,"D2", 'LOI and Commissioning Master Sh'!$X:$X,"Yes",'LOI and Commissioning Master Sh'!$AE:$AE,L$52)</f>
        <v>0</v>
      </c>
      <c r="M57" s="105">
        <f>+COUNTIFS('LOI and Commissioning Master Sh'!$D:$D,'Review PPT update '!$A57, 'LOI and Commissioning Master Sh'!$G:$G,"D2", 'LOI and Commissioning Master Sh'!$X:$X,"Yes",'LOI and Commissioning Master Sh'!$AE:$AE,M$52)</f>
        <v>0</v>
      </c>
      <c r="N57" s="105">
        <f>+COUNTIFS('LOI and Commissioning Master Sh'!$D:$D,'Review PPT update '!$A57, 'LOI and Commissioning Master Sh'!$G:$G,"D2", 'LOI and Commissioning Master Sh'!$X:$X,"Yes",'LOI and Commissioning Master Sh'!$AE:$AE,N$52)</f>
        <v>0</v>
      </c>
      <c r="O57" s="105">
        <f>+COUNTIFS('LOI and Commissioning Master Sh'!$D:$D,'Review PPT update '!$A57, 'LOI and Commissioning Master Sh'!$G:$G,"D2", 'LOI and Commissioning Master Sh'!$X:$X,"Yes",'LOI and Commissioning Master Sh'!$AE:$AE,O$52)</f>
        <v>0</v>
      </c>
      <c r="P57" s="105">
        <f>+COUNTIFS('LOI and Commissioning Master Sh'!$D:$D,'Review PPT update '!$A57, 'LOI and Commissioning Master Sh'!$G:$G,"D2", 'LOI and Commissioning Master Sh'!$X:$X,"Yes",'LOI and Commissioning Master Sh'!$AE:$AE,P$52)</f>
        <v>0</v>
      </c>
      <c r="Q57" s="105">
        <f t="shared" si="10"/>
        <v>0</v>
      </c>
    </row>
    <row r="58" spans="1:17" ht="18" x14ac:dyDescent="0.25">
      <c r="A58" s="107" t="s">
        <v>220</v>
      </c>
      <c r="B58" s="105">
        <f>+COUNTIFS('LOI and Commissioning Master Sh'!$D:$D,'Review PPT update '!$A58, 'LOI and Commissioning Master Sh'!$G:$G,"D2")</f>
        <v>13</v>
      </c>
      <c r="C58" s="105">
        <f>+COUNTIFS('LOI and Commissioning Master Sh'!$D:$D,'Review PPT update '!$A58, 'LOI and Commissioning Master Sh'!$G:$G,"D2", 'LOI and Commissioning Master Sh'!$W:$W,"Yes")</f>
        <v>7</v>
      </c>
      <c r="D58" s="105">
        <f>+COUNTIFS('LOI and Commissioning Master Sh'!$D:$D,'Review PPT update '!$A58, 'LOI and Commissioning Master Sh'!$G:$G,"D2", 'LOI and Commissioning Master Sh'!$X:$X,"Yes")</f>
        <v>5</v>
      </c>
      <c r="E58" s="105">
        <f>+COUNTIFS('LOI and Commissioning Master Sh'!$D:$D,'Review PPT update '!$A58, 'LOI and Commissioning Master Sh'!$G:$G,"D2", 'LOI and Commissioning Master Sh'!$X:$X,"Yes",'LOI and Commissioning Master Sh'!$AE:$AE,E$52)</f>
        <v>0</v>
      </c>
      <c r="F58" s="105">
        <f>+COUNTIFS('LOI and Commissioning Master Sh'!$D:$D,'Review PPT update '!$A58, 'LOI and Commissioning Master Sh'!$G:$G,"D2", 'LOI and Commissioning Master Sh'!$X:$X,"Yes",'LOI and Commissioning Master Sh'!$AE:$AE,F$52)</f>
        <v>0</v>
      </c>
      <c r="G58" s="105">
        <f>+COUNTIFS('LOI and Commissioning Master Sh'!$D:$D,'Review PPT update '!$A58, 'LOI and Commissioning Master Sh'!$G:$G,"D2", 'LOI and Commissioning Master Sh'!$X:$X,"Yes",'LOI and Commissioning Master Sh'!$AE:$AE,G$52)</f>
        <v>1</v>
      </c>
      <c r="H58" s="105">
        <f>+COUNTIFS('LOI and Commissioning Master Sh'!$D:$D,'Review PPT update '!$A58, 'LOI and Commissioning Master Sh'!$G:$G,"D2", 'LOI and Commissioning Master Sh'!$X:$X,"Yes",'LOI and Commissioning Master Sh'!$AE:$AE,H$52)</f>
        <v>0</v>
      </c>
      <c r="I58" s="105">
        <f>+COUNTIFS('LOI and Commissioning Master Sh'!$D:$D,'Review PPT update '!$A58, 'LOI and Commissioning Master Sh'!$G:$G,"D2", 'LOI and Commissioning Master Sh'!$X:$X,"Yes",'LOI and Commissioning Master Sh'!$AE:$AE,I$52)</f>
        <v>0</v>
      </c>
      <c r="J58" s="105">
        <f>+COUNTIFS('LOI and Commissioning Master Sh'!$D:$D,'Review PPT update '!$A58, 'LOI and Commissioning Master Sh'!$G:$G,"D2", 'LOI and Commissioning Master Sh'!$X:$X,"Yes",'LOI and Commissioning Master Sh'!$AE:$AE,J$52)</f>
        <v>1</v>
      </c>
      <c r="K58" s="105">
        <f>+COUNTIFS('LOI and Commissioning Master Sh'!$D:$D,'Review PPT update '!$A58, 'LOI and Commissioning Master Sh'!$G:$G,"D2", 'LOI and Commissioning Master Sh'!$X:$X,"Yes",'LOI and Commissioning Master Sh'!$AE:$AE,K$52)</f>
        <v>1</v>
      </c>
      <c r="L58" s="105">
        <f>+COUNTIFS('LOI and Commissioning Master Sh'!$D:$D,'Review PPT update '!$A58, 'LOI and Commissioning Master Sh'!$G:$G,"D2", 'LOI and Commissioning Master Sh'!$X:$X,"Yes",'LOI and Commissioning Master Sh'!$AE:$AE,L$52)</f>
        <v>0</v>
      </c>
      <c r="M58" s="105">
        <f>+COUNTIFS('LOI and Commissioning Master Sh'!$D:$D,'Review PPT update '!$A58, 'LOI and Commissioning Master Sh'!$G:$G,"D2", 'LOI and Commissioning Master Sh'!$X:$X,"Yes",'LOI and Commissioning Master Sh'!$AE:$AE,M$52)</f>
        <v>1</v>
      </c>
      <c r="N58" s="105">
        <f>+COUNTIFS('LOI and Commissioning Master Sh'!$D:$D,'Review PPT update '!$A58, 'LOI and Commissioning Master Sh'!$G:$G,"D2", 'LOI and Commissioning Master Sh'!$X:$X,"Yes",'LOI and Commissioning Master Sh'!$AE:$AE,N$52)</f>
        <v>0</v>
      </c>
      <c r="O58" s="105">
        <f>+COUNTIFS('LOI and Commissioning Master Sh'!$D:$D,'Review PPT update '!$A58, 'LOI and Commissioning Master Sh'!$G:$G,"D2", 'LOI and Commissioning Master Sh'!$X:$X,"Yes",'LOI and Commissioning Master Sh'!$AE:$AE,O$52)</f>
        <v>0</v>
      </c>
      <c r="P58" s="105">
        <f>+COUNTIFS('LOI and Commissioning Master Sh'!$D:$D,'Review PPT update '!$A58, 'LOI and Commissioning Master Sh'!$G:$G,"D2", 'LOI and Commissioning Master Sh'!$X:$X,"Yes",'LOI and Commissioning Master Sh'!$AE:$AE,P$52)</f>
        <v>1</v>
      </c>
      <c r="Q58" s="105">
        <f t="shared" si="10"/>
        <v>5</v>
      </c>
    </row>
    <row r="59" spans="1:17" ht="18" x14ac:dyDescent="0.25">
      <c r="A59" s="107" t="s">
        <v>398</v>
      </c>
      <c r="B59" s="105">
        <f>+COUNTIFS('LOI and Commissioning Master Sh'!$D:$D,'Review PPT update '!$A59, 'LOI and Commissioning Master Sh'!$G:$G,"D2")</f>
        <v>1</v>
      </c>
      <c r="C59" s="105">
        <f>+COUNTIFS('LOI and Commissioning Master Sh'!$D:$D,'Review PPT update '!$A59, 'LOI and Commissioning Master Sh'!$G:$G,"D2", 'LOI and Commissioning Master Sh'!$W:$W,"Yes")</f>
        <v>0</v>
      </c>
      <c r="D59" s="105">
        <f>+COUNTIFS('LOI and Commissioning Master Sh'!$D:$D,'Review PPT update '!$A59, 'LOI and Commissioning Master Sh'!$G:$G,"D2", 'LOI and Commissioning Master Sh'!$X:$X,"Yes")</f>
        <v>0</v>
      </c>
      <c r="E59" s="105">
        <f>+COUNTIFS('LOI and Commissioning Master Sh'!$D:$D,'Review PPT update '!$A59, 'LOI and Commissioning Master Sh'!$G:$G,"D2", 'LOI and Commissioning Master Sh'!$X:$X,"Yes",'LOI and Commissioning Master Sh'!$AE:$AE,E$52)</f>
        <v>0</v>
      </c>
      <c r="F59" s="105">
        <f>+COUNTIFS('LOI and Commissioning Master Sh'!$D:$D,'Review PPT update '!$A59, 'LOI and Commissioning Master Sh'!$G:$G,"D2", 'LOI and Commissioning Master Sh'!$X:$X,"Yes",'LOI and Commissioning Master Sh'!$AE:$AE,F$52)</f>
        <v>0</v>
      </c>
      <c r="G59" s="105">
        <f>+COUNTIFS('LOI and Commissioning Master Sh'!$D:$D,'Review PPT update '!$A59, 'LOI and Commissioning Master Sh'!$G:$G,"D2", 'LOI and Commissioning Master Sh'!$X:$X,"Yes",'LOI and Commissioning Master Sh'!$AE:$AE,G$52)</f>
        <v>0</v>
      </c>
      <c r="H59" s="105">
        <f>+COUNTIFS('LOI and Commissioning Master Sh'!$D:$D,'Review PPT update '!$A59, 'LOI and Commissioning Master Sh'!$G:$G,"D2", 'LOI and Commissioning Master Sh'!$X:$X,"Yes",'LOI and Commissioning Master Sh'!$AE:$AE,H$52)</f>
        <v>0</v>
      </c>
      <c r="I59" s="105">
        <f>+COUNTIFS('LOI and Commissioning Master Sh'!$D:$D,'Review PPT update '!$A59, 'LOI and Commissioning Master Sh'!$G:$G,"D2", 'LOI and Commissioning Master Sh'!$X:$X,"Yes",'LOI and Commissioning Master Sh'!$AE:$AE,I$52)</f>
        <v>0</v>
      </c>
      <c r="J59" s="105">
        <f>+COUNTIFS('LOI and Commissioning Master Sh'!$D:$D,'Review PPT update '!$A59, 'LOI and Commissioning Master Sh'!$G:$G,"D2", 'LOI and Commissioning Master Sh'!$X:$X,"Yes",'LOI and Commissioning Master Sh'!$AE:$AE,J$52)</f>
        <v>0</v>
      </c>
      <c r="K59" s="105">
        <f>+COUNTIFS('LOI and Commissioning Master Sh'!$D:$D,'Review PPT update '!$A59, 'LOI and Commissioning Master Sh'!$G:$G,"D2", 'LOI and Commissioning Master Sh'!$X:$X,"Yes",'LOI and Commissioning Master Sh'!$AE:$AE,K$52)</f>
        <v>0</v>
      </c>
      <c r="L59" s="105">
        <f>+COUNTIFS('LOI and Commissioning Master Sh'!$D:$D,'Review PPT update '!$A59, 'LOI and Commissioning Master Sh'!$G:$G,"D2", 'LOI and Commissioning Master Sh'!$X:$X,"Yes",'LOI and Commissioning Master Sh'!$AE:$AE,L$52)</f>
        <v>0</v>
      </c>
      <c r="M59" s="105">
        <f>+COUNTIFS('LOI and Commissioning Master Sh'!$D:$D,'Review PPT update '!$A59, 'LOI and Commissioning Master Sh'!$G:$G,"D2", 'LOI and Commissioning Master Sh'!$X:$X,"Yes",'LOI and Commissioning Master Sh'!$AE:$AE,M$52)</f>
        <v>0</v>
      </c>
      <c r="N59" s="105">
        <f>+COUNTIFS('LOI and Commissioning Master Sh'!$D:$D,'Review PPT update '!$A59, 'LOI and Commissioning Master Sh'!$G:$G,"D2", 'LOI and Commissioning Master Sh'!$X:$X,"Yes",'LOI and Commissioning Master Sh'!$AE:$AE,N$52)</f>
        <v>0</v>
      </c>
      <c r="O59" s="105">
        <f>+COUNTIFS('LOI and Commissioning Master Sh'!$D:$D,'Review PPT update '!$A59, 'LOI and Commissioning Master Sh'!$G:$G,"D2", 'LOI and Commissioning Master Sh'!$X:$X,"Yes",'LOI and Commissioning Master Sh'!$AE:$AE,O$52)</f>
        <v>0</v>
      </c>
      <c r="P59" s="105">
        <f>+COUNTIFS('LOI and Commissioning Master Sh'!$D:$D,'Review PPT update '!$A59, 'LOI and Commissioning Master Sh'!$G:$G,"D2", 'LOI and Commissioning Master Sh'!$X:$X,"Yes",'LOI and Commissioning Master Sh'!$AE:$AE,P$52)</f>
        <v>0</v>
      </c>
      <c r="Q59" s="105">
        <f t="shared" si="10"/>
        <v>0</v>
      </c>
    </row>
    <row r="60" spans="1:17" ht="18" x14ac:dyDescent="0.25">
      <c r="A60" s="107" t="s">
        <v>99</v>
      </c>
      <c r="B60" s="105">
        <f>+COUNTIFS('LOI and Commissioning Master Sh'!$D:$D,'Review PPT update '!$A60, 'LOI and Commissioning Master Sh'!$G:$G,"D2")</f>
        <v>6</v>
      </c>
      <c r="C60" s="105">
        <f>+COUNTIFS('LOI and Commissioning Master Sh'!$D:$D,'Review PPT update '!$A60, 'LOI and Commissioning Master Sh'!$G:$G,"D2", 'LOI and Commissioning Master Sh'!$W:$W,"Yes")</f>
        <v>3</v>
      </c>
      <c r="D60" s="105">
        <f>+COUNTIFS('LOI and Commissioning Master Sh'!$D:$D,'Review PPT update '!$A60, 'LOI and Commissioning Master Sh'!$G:$G,"D2", 'LOI and Commissioning Master Sh'!$X:$X,"Yes")</f>
        <v>2</v>
      </c>
      <c r="E60" s="105">
        <f>+COUNTIFS('LOI and Commissioning Master Sh'!$D:$D,'Review PPT update '!$A60, 'LOI and Commissioning Master Sh'!$G:$G,"D2", 'LOI and Commissioning Master Sh'!$X:$X,"Yes",'LOI and Commissioning Master Sh'!$AE:$AE,E$52)</f>
        <v>0</v>
      </c>
      <c r="F60" s="105">
        <f>+COUNTIFS('LOI and Commissioning Master Sh'!$D:$D,'Review PPT update '!$A60, 'LOI and Commissioning Master Sh'!$G:$G,"D2", 'LOI and Commissioning Master Sh'!$X:$X,"Yes",'LOI and Commissioning Master Sh'!$AE:$AE,F$52)</f>
        <v>1</v>
      </c>
      <c r="G60" s="105">
        <f>+COUNTIFS('LOI and Commissioning Master Sh'!$D:$D,'Review PPT update '!$A60, 'LOI and Commissioning Master Sh'!$G:$G,"D2", 'LOI and Commissioning Master Sh'!$X:$X,"Yes",'LOI and Commissioning Master Sh'!$AE:$AE,G$52)</f>
        <v>0</v>
      </c>
      <c r="H60" s="105">
        <f>+COUNTIFS('LOI and Commissioning Master Sh'!$D:$D,'Review PPT update '!$A60, 'LOI and Commissioning Master Sh'!$G:$G,"D2", 'LOI and Commissioning Master Sh'!$X:$X,"Yes",'LOI and Commissioning Master Sh'!$AE:$AE,H$52)</f>
        <v>0</v>
      </c>
      <c r="I60" s="105">
        <f>+COUNTIFS('LOI and Commissioning Master Sh'!$D:$D,'Review PPT update '!$A60, 'LOI and Commissioning Master Sh'!$G:$G,"D2", 'LOI and Commissioning Master Sh'!$X:$X,"Yes",'LOI and Commissioning Master Sh'!$AE:$AE,I$52)</f>
        <v>0</v>
      </c>
      <c r="J60" s="105">
        <f>+COUNTIFS('LOI and Commissioning Master Sh'!$D:$D,'Review PPT update '!$A60, 'LOI and Commissioning Master Sh'!$G:$G,"D2", 'LOI and Commissioning Master Sh'!$X:$X,"Yes",'LOI and Commissioning Master Sh'!$AE:$AE,J$52)</f>
        <v>1</v>
      </c>
      <c r="K60" s="105">
        <f>+COUNTIFS('LOI and Commissioning Master Sh'!$D:$D,'Review PPT update '!$A60, 'LOI and Commissioning Master Sh'!$G:$G,"D2", 'LOI and Commissioning Master Sh'!$X:$X,"Yes",'LOI and Commissioning Master Sh'!$AE:$AE,K$52)</f>
        <v>0</v>
      </c>
      <c r="L60" s="105">
        <f>+COUNTIFS('LOI and Commissioning Master Sh'!$D:$D,'Review PPT update '!$A60, 'LOI and Commissioning Master Sh'!$G:$G,"D2", 'LOI and Commissioning Master Sh'!$X:$X,"Yes",'LOI and Commissioning Master Sh'!$AE:$AE,L$52)</f>
        <v>0</v>
      </c>
      <c r="M60" s="105">
        <f>+COUNTIFS('LOI and Commissioning Master Sh'!$D:$D,'Review PPT update '!$A60, 'LOI and Commissioning Master Sh'!$G:$G,"D2", 'LOI and Commissioning Master Sh'!$X:$X,"Yes",'LOI and Commissioning Master Sh'!$AE:$AE,M$52)</f>
        <v>0</v>
      </c>
      <c r="N60" s="105">
        <f>+COUNTIFS('LOI and Commissioning Master Sh'!$D:$D,'Review PPT update '!$A60, 'LOI and Commissioning Master Sh'!$G:$G,"D2", 'LOI and Commissioning Master Sh'!$X:$X,"Yes",'LOI and Commissioning Master Sh'!$AE:$AE,N$52)</f>
        <v>0</v>
      </c>
      <c r="O60" s="105">
        <f>+COUNTIFS('LOI and Commissioning Master Sh'!$D:$D,'Review PPT update '!$A60, 'LOI and Commissioning Master Sh'!$G:$G,"D2", 'LOI and Commissioning Master Sh'!$X:$X,"Yes",'LOI and Commissioning Master Sh'!$AE:$AE,O$52)</f>
        <v>0</v>
      </c>
      <c r="P60" s="105">
        <f>+COUNTIFS('LOI and Commissioning Master Sh'!$D:$D,'Review PPT update '!$A60, 'LOI and Commissioning Master Sh'!$G:$G,"D2", 'LOI and Commissioning Master Sh'!$X:$X,"Yes",'LOI and Commissioning Master Sh'!$AE:$AE,P$52)</f>
        <v>0</v>
      </c>
      <c r="Q60" s="105">
        <f t="shared" si="10"/>
        <v>2</v>
      </c>
    </row>
    <row r="61" spans="1:17" ht="18" x14ac:dyDescent="0.25">
      <c r="A61" s="107" t="s">
        <v>141</v>
      </c>
      <c r="B61" s="105">
        <f>+COUNTIFS('LOI and Commissioning Master Sh'!$D:$D,'Review PPT update '!$A61, 'LOI and Commissioning Master Sh'!$G:$G,"D2")</f>
        <v>4</v>
      </c>
      <c r="C61" s="105">
        <f>+COUNTIFS('LOI and Commissioning Master Sh'!$D:$D,'Review PPT update '!$A61, 'LOI and Commissioning Master Sh'!$G:$G,"D2", 'LOI and Commissioning Master Sh'!$W:$W,"Yes")</f>
        <v>1</v>
      </c>
      <c r="D61" s="105">
        <f>+COUNTIFS('LOI and Commissioning Master Sh'!$D:$D,'Review PPT update '!$A61, 'LOI and Commissioning Master Sh'!$G:$G,"D2", 'LOI and Commissioning Master Sh'!$X:$X,"Yes")</f>
        <v>1</v>
      </c>
      <c r="E61" s="105">
        <f>+COUNTIFS('LOI and Commissioning Master Sh'!$D:$D,'Review PPT update '!$A61, 'LOI and Commissioning Master Sh'!$G:$G,"D2", 'LOI and Commissioning Master Sh'!$X:$X,"Yes",'LOI and Commissioning Master Sh'!$AE:$AE,E$52)</f>
        <v>0</v>
      </c>
      <c r="F61" s="105">
        <f>+COUNTIFS('LOI and Commissioning Master Sh'!$D:$D,'Review PPT update '!$A61, 'LOI and Commissioning Master Sh'!$G:$G,"D2", 'LOI and Commissioning Master Sh'!$X:$X,"Yes",'LOI and Commissioning Master Sh'!$AE:$AE,F$52)</f>
        <v>0</v>
      </c>
      <c r="G61" s="105">
        <f>+COUNTIFS('LOI and Commissioning Master Sh'!$D:$D,'Review PPT update '!$A61, 'LOI and Commissioning Master Sh'!$G:$G,"D2", 'LOI and Commissioning Master Sh'!$X:$X,"Yes",'LOI and Commissioning Master Sh'!$AE:$AE,G$52)</f>
        <v>0</v>
      </c>
      <c r="H61" s="105">
        <f>+COUNTIFS('LOI and Commissioning Master Sh'!$D:$D,'Review PPT update '!$A61, 'LOI and Commissioning Master Sh'!$G:$G,"D2", 'LOI and Commissioning Master Sh'!$X:$X,"Yes",'LOI and Commissioning Master Sh'!$AE:$AE,H$52)</f>
        <v>0</v>
      </c>
      <c r="I61" s="105">
        <f>+COUNTIFS('LOI and Commissioning Master Sh'!$D:$D,'Review PPT update '!$A61, 'LOI and Commissioning Master Sh'!$G:$G,"D2", 'LOI and Commissioning Master Sh'!$X:$X,"Yes",'LOI and Commissioning Master Sh'!$AE:$AE,I$52)</f>
        <v>0</v>
      </c>
      <c r="J61" s="105">
        <f>+COUNTIFS('LOI and Commissioning Master Sh'!$D:$D,'Review PPT update '!$A61, 'LOI and Commissioning Master Sh'!$G:$G,"D2", 'LOI and Commissioning Master Sh'!$X:$X,"Yes",'LOI and Commissioning Master Sh'!$AE:$AE,J$52)</f>
        <v>0</v>
      </c>
      <c r="K61" s="105">
        <f>+COUNTIFS('LOI and Commissioning Master Sh'!$D:$D,'Review PPT update '!$A61, 'LOI and Commissioning Master Sh'!$G:$G,"D2", 'LOI and Commissioning Master Sh'!$X:$X,"Yes",'LOI and Commissioning Master Sh'!$AE:$AE,K$52)</f>
        <v>1</v>
      </c>
      <c r="L61" s="105">
        <f>+COUNTIFS('LOI and Commissioning Master Sh'!$D:$D,'Review PPT update '!$A61, 'LOI and Commissioning Master Sh'!$G:$G,"D2", 'LOI and Commissioning Master Sh'!$X:$X,"Yes",'LOI and Commissioning Master Sh'!$AE:$AE,L$52)</f>
        <v>0</v>
      </c>
      <c r="M61" s="105">
        <f>+COUNTIFS('LOI and Commissioning Master Sh'!$D:$D,'Review PPT update '!$A61, 'LOI and Commissioning Master Sh'!$G:$G,"D2", 'LOI and Commissioning Master Sh'!$X:$X,"Yes",'LOI and Commissioning Master Sh'!$AE:$AE,M$52)</f>
        <v>0</v>
      </c>
      <c r="N61" s="105">
        <f>+COUNTIFS('LOI and Commissioning Master Sh'!$D:$D,'Review PPT update '!$A61, 'LOI and Commissioning Master Sh'!$G:$G,"D2", 'LOI and Commissioning Master Sh'!$X:$X,"Yes",'LOI and Commissioning Master Sh'!$AE:$AE,N$52)</f>
        <v>0</v>
      </c>
      <c r="O61" s="105">
        <f>+COUNTIFS('LOI and Commissioning Master Sh'!$D:$D,'Review PPT update '!$A61, 'LOI and Commissioning Master Sh'!$G:$G,"D2", 'LOI and Commissioning Master Sh'!$X:$X,"Yes",'LOI and Commissioning Master Sh'!$AE:$AE,O$52)</f>
        <v>0</v>
      </c>
      <c r="P61" s="105">
        <f>+COUNTIFS('LOI and Commissioning Master Sh'!$D:$D,'Review PPT update '!$A61, 'LOI and Commissioning Master Sh'!$G:$G,"D2", 'LOI and Commissioning Master Sh'!$X:$X,"Yes",'LOI and Commissioning Master Sh'!$AE:$AE,P$52)</f>
        <v>0</v>
      </c>
      <c r="Q61" s="105">
        <f t="shared" si="10"/>
        <v>1</v>
      </c>
    </row>
    <row r="62" spans="1:17" ht="18" x14ac:dyDescent="0.25">
      <c r="A62" s="107" t="s">
        <v>135</v>
      </c>
      <c r="B62" s="105">
        <f>+COUNTIFS('LOI and Commissioning Master Sh'!$D:$D,'Review PPT update '!$A62, 'LOI and Commissioning Master Sh'!$G:$G,"D2")</f>
        <v>9</v>
      </c>
      <c r="C62" s="105">
        <f>+COUNTIFS('LOI and Commissioning Master Sh'!$D:$D,'Review PPT update '!$A62, 'LOI and Commissioning Master Sh'!$G:$G,"D2", 'LOI and Commissioning Master Sh'!$W:$W,"Yes")</f>
        <v>0</v>
      </c>
      <c r="D62" s="105">
        <f>+COUNTIFS('LOI and Commissioning Master Sh'!$D:$D,'Review PPT update '!$A62, 'LOI and Commissioning Master Sh'!$G:$G,"D2", 'LOI and Commissioning Master Sh'!$X:$X,"Yes")</f>
        <v>0</v>
      </c>
      <c r="E62" s="105">
        <f>+COUNTIFS('LOI and Commissioning Master Sh'!$D:$D,'Review PPT update '!$A62, 'LOI and Commissioning Master Sh'!$G:$G,"D2", 'LOI and Commissioning Master Sh'!$X:$X,"Yes",'LOI and Commissioning Master Sh'!$AE:$AE,E$52)</f>
        <v>0</v>
      </c>
      <c r="F62" s="105">
        <f>+COUNTIFS('LOI and Commissioning Master Sh'!$D:$D,'Review PPT update '!$A62, 'LOI and Commissioning Master Sh'!$G:$G,"D2", 'LOI and Commissioning Master Sh'!$X:$X,"Yes",'LOI and Commissioning Master Sh'!$AE:$AE,F$52)</f>
        <v>0</v>
      </c>
      <c r="G62" s="105">
        <f>+COUNTIFS('LOI and Commissioning Master Sh'!$D:$D,'Review PPT update '!$A62, 'LOI and Commissioning Master Sh'!$G:$G,"D2", 'LOI and Commissioning Master Sh'!$X:$X,"Yes",'LOI and Commissioning Master Sh'!$AE:$AE,G$52)</f>
        <v>0</v>
      </c>
      <c r="H62" s="105">
        <f>+COUNTIFS('LOI and Commissioning Master Sh'!$D:$D,'Review PPT update '!$A62, 'LOI and Commissioning Master Sh'!$G:$G,"D2", 'LOI and Commissioning Master Sh'!$X:$X,"Yes",'LOI and Commissioning Master Sh'!$AE:$AE,H$52)</f>
        <v>0</v>
      </c>
      <c r="I62" s="105">
        <f>+COUNTIFS('LOI and Commissioning Master Sh'!$D:$D,'Review PPT update '!$A62, 'LOI and Commissioning Master Sh'!$G:$G,"D2", 'LOI and Commissioning Master Sh'!$X:$X,"Yes",'LOI and Commissioning Master Sh'!$AE:$AE,I$52)</f>
        <v>0</v>
      </c>
      <c r="J62" s="105">
        <f>+COUNTIFS('LOI and Commissioning Master Sh'!$D:$D,'Review PPT update '!$A62, 'LOI and Commissioning Master Sh'!$G:$G,"D2", 'LOI and Commissioning Master Sh'!$X:$X,"Yes",'LOI and Commissioning Master Sh'!$AE:$AE,J$52)</f>
        <v>0</v>
      </c>
      <c r="K62" s="105">
        <f>+COUNTIFS('LOI and Commissioning Master Sh'!$D:$D,'Review PPT update '!$A62, 'LOI and Commissioning Master Sh'!$G:$G,"D2", 'LOI and Commissioning Master Sh'!$X:$X,"Yes",'LOI and Commissioning Master Sh'!$AE:$AE,K$52)</f>
        <v>0</v>
      </c>
      <c r="L62" s="105">
        <f>+COUNTIFS('LOI and Commissioning Master Sh'!$D:$D,'Review PPT update '!$A62, 'LOI and Commissioning Master Sh'!$G:$G,"D2", 'LOI and Commissioning Master Sh'!$X:$X,"Yes",'LOI and Commissioning Master Sh'!$AE:$AE,L$52)</f>
        <v>0</v>
      </c>
      <c r="M62" s="105">
        <f>+COUNTIFS('LOI and Commissioning Master Sh'!$D:$D,'Review PPT update '!$A62, 'LOI and Commissioning Master Sh'!$G:$G,"D2", 'LOI and Commissioning Master Sh'!$X:$X,"Yes",'LOI and Commissioning Master Sh'!$AE:$AE,M$52)</f>
        <v>0</v>
      </c>
      <c r="N62" s="105">
        <f>+COUNTIFS('LOI and Commissioning Master Sh'!$D:$D,'Review PPT update '!$A62, 'LOI and Commissioning Master Sh'!$G:$G,"D2", 'LOI and Commissioning Master Sh'!$X:$X,"Yes",'LOI and Commissioning Master Sh'!$AE:$AE,N$52)</f>
        <v>0</v>
      </c>
      <c r="O62" s="105">
        <f>+COUNTIFS('LOI and Commissioning Master Sh'!$D:$D,'Review PPT update '!$A62, 'LOI and Commissioning Master Sh'!$G:$G,"D2", 'LOI and Commissioning Master Sh'!$X:$X,"Yes",'LOI and Commissioning Master Sh'!$AE:$AE,O$52)</f>
        <v>0</v>
      </c>
      <c r="P62" s="105">
        <f>+COUNTIFS('LOI and Commissioning Master Sh'!$D:$D,'Review PPT update '!$A62, 'LOI and Commissioning Master Sh'!$G:$G,"D2", 'LOI and Commissioning Master Sh'!$X:$X,"Yes",'LOI and Commissioning Master Sh'!$AE:$AE,P$52)</f>
        <v>0</v>
      </c>
      <c r="Q62" s="105">
        <f t="shared" si="10"/>
        <v>0</v>
      </c>
    </row>
    <row r="63" spans="1:17" ht="18" x14ac:dyDescent="0.25">
      <c r="A63" s="107" t="s">
        <v>195</v>
      </c>
      <c r="B63" s="105">
        <f>+COUNTIFS('LOI and Commissioning Master Sh'!$D:$D,'Review PPT update '!$A63, 'LOI and Commissioning Master Sh'!$G:$G,"D2")</f>
        <v>6</v>
      </c>
      <c r="C63" s="105">
        <f>+COUNTIFS('LOI and Commissioning Master Sh'!$D:$D,'Review PPT update '!$A63, 'LOI and Commissioning Master Sh'!$G:$G,"D2", 'LOI and Commissioning Master Sh'!$W:$W,"Yes")</f>
        <v>4</v>
      </c>
      <c r="D63" s="105">
        <f>+COUNTIFS('LOI and Commissioning Master Sh'!$D:$D,'Review PPT update '!$A63, 'LOI and Commissioning Master Sh'!$G:$G,"D2", 'LOI and Commissioning Master Sh'!$X:$X,"Yes")</f>
        <v>2</v>
      </c>
      <c r="E63" s="105">
        <f>+COUNTIFS('LOI and Commissioning Master Sh'!$D:$D,'Review PPT update '!$A63, 'LOI and Commissioning Master Sh'!$G:$G,"D2", 'LOI and Commissioning Master Sh'!$X:$X,"Yes",'LOI and Commissioning Master Sh'!$AE:$AE,E$52)</f>
        <v>0</v>
      </c>
      <c r="F63" s="105">
        <f>+COUNTIFS('LOI and Commissioning Master Sh'!$D:$D,'Review PPT update '!$A63, 'LOI and Commissioning Master Sh'!$G:$G,"D2", 'LOI and Commissioning Master Sh'!$X:$X,"Yes",'LOI and Commissioning Master Sh'!$AE:$AE,F$52)</f>
        <v>0</v>
      </c>
      <c r="G63" s="105">
        <f>+COUNTIFS('LOI and Commissioning Master Sh'!$D:$D,'Review PPT update '!$A63, 'LOI and Commissioning Master Sh'!$G:$G,"D2", 'LOI and Commissioning Master Sh'!$X:$X,"Yes",'LOI and Commissioning Master Sh'!$AE:$AE,G$52)</f>
        <v>1</v>
      </c>
      <c r="H63" s="105">
        <f>+COUNTIFS('LOI and Commissioning Master Sh'!$D:$D,'Review PPT update '!$A63, 'LOI and Commissioning Master Sh'!$G:$G,"D2", 'LOI and Commissioning Master Sh'!$X:$X,"Yes",'LOI and Commissioning Master Sh'!$AE:$AE,H$52)</f>
        <v>0</v>
      </c>
      <c r="I63" s="105">
        <f>+COUNTIFS('LOI and Commissioning Master Sh'!$D:$D,'Review PPT update '!$A63, 'LOI and Commissioning Master Sh'!$G:$G,"D2", 'LOI and Commissioning Master Sh'!$X:$X,"Yes",'LOI and Commissioning Master Sh'!$AE:$AE,I$52)</f>
        <v>1</v>
      </c>
      <c r="J63" s="105">
        <f>+COUNTIFS('LOI and Commissioning Master Sh'!$D:$D,'Review PPT update '!$A63, 'LOI and Commissioning Master Sh'!$G:$G,"D2", 'LOI and Commissioning Master Sh'!$X:$X,"Yes",'LOI and Commissioning Master Sh'!$AE:$AE,J$52)</f>
        <v>0</v>
      </c>
      <c r="K63" s="105">
        <f>+COUNTIFS('LOI and Commissioning Master Sh'!$D:$D,'Review PPT update '!$A63, 'LOI and Commissioning Master Sh'!$G:$G,"D2", 'LOI and Commissioning Master Sh'!$X:$X,"Yes",'LOI and Commissioning Master Sh'!$AE:$AE,K$52)</f>
        <v>0</v>
      </c>
      <c r="L63" s="105">
        <f>+COUNTIFS('LOI and Commissioning Master Sh'!$D:$D,'Review PPT update '!$A63, 'LOI and Commissioning Master Sh'!$G:$G,"D2", 'LOI and Commissioning Master Sh'!$X:$X,"Yes",'LOI and Commissioning Master Sh'!$AE:$AE,L$52)</f>
        <v>0</v>
      </c>
      <c r="M63" s="105">
        <f>+COUNTIFS('LOI and Commissioning Master Sh'!$D:$D,'Review PPT update '!$A63, 'LOI and Commissioning Master Sh'!$G:$G,"D2", 'LOI and Commissioning Master Sh'!$X:$X,"Yes",'LOI and Commissioning Master Sh'!$AE:$AE,M$52)</f>
        <v>0</v>
      </c>
      <c r="N63" s="105">
        <f>+COUNTIFS('LOI and Commissioning Master Sh'!$D:$D,'Review PPT update '!$A63, 'LOI and Commissioning Master Sh'!$G:$G,"D2", 'LOI and Commissioning Master Sh'!$X:$X,"Yes",'LOI and Commissioning Master Sh'!$AE:$AE,N$52)</f>
        <v>0</v>
      </c>
      <c r="O63" s="105">
        <f>+COUNTIFS('LOI and Commissioning Master Sh'!$D:$D,'Review PPT update '!$A63, 'LOI and Commissioning Master Sh'!$G:$G,"D2", 'LOI and Commissioning Master Sh'!$X:$X,"Yes",'LOI and Commissioning Master Sh'!$AE:$AE,O$52)</f>
        <v>0</v>
      </c>
      <c r="P63" s="105">
        <f>+COUNTIFS('LOI and Commissioning Master Sh'!$D:$D,'Review PPT update '!$A63, 'LOI and Commissioning Master Sh'!$G:$G,"D2", 'LOI and Commissioning Master Sh'!$X:$X,"Yes",'LOI and Commissioning Master Sh'!$AE:$AE,P$52)</f>
        <v>0</v>
      </c>
      <c r="Q63" s="105">
        <f t="shared" si="10"/>
        <v>2</v>
      </c>
    </row>
    <row r="64" spans="1:17" ht="18" x14ac:dyDescent="0.25">
      <c r="A64" s="106" t="s">
        <v>1344</v>
      </c>
      <c r="B64" s="106">
        <f>SUM(B53:B63)</f>
        <v>66</v>
      </c>
      <c r="C64" s="106">
        <f>SUM(C53:C63)</f>
        <v>26</v>
      </c>
      <c r="D64" s="106">
        <f t="shared" ref="D64:Q64" si="11">SUM(D53:D63)</f>
        <v>17</v>
      </c>
      <c r="E64" s="106">
        <f t="shared" si="11"/>
        <v>0</v>
      </c>
      <c r="F64" s="106">
        <f t="shared" si="11"/>
        <v>1</v>
      </c>
      <c r="G64" s="106">
        <f t="shared" si="11"/>
        <v>5</v>
      </c>
      <c r="H64" s="106">
        <f t="shared" si="11"/>
        <v>1</v>
      </c>
      <c r="I64" s="106">
        <f t="shared" si="11"/>
        <v>1</v>
      </c>
      <c r="J64" s="106">
        <f t="shared" si="11"/>
        <v>3</v>
      </c>
      <c r="K64" s="106">
        <f t="shared" si="11"/>
        <v>2</v>
      </c>
      <c r="L64" s="106">
        <f t="shared" si="11"/>
        <v>0</v>
      </c>
      <c r="M64" s="106">
        <f t="shared" si="11"/>
        <v>1</v>
      </c>
      <c r="N64" s="106">
        <f t="shared" si="11"/>
        <v>2</v>
      </c>
      <c r="O64" s="106">
        <f t="shared" si="11"/>
        <v>0</v>
      </c>
      <c r="P64" s="106">
        <f t="shared" si="11"/>
        <v>1</v>
      </c>
      <c r="Q64" s="106">
        <f t="shared" si="11"/>
        <v>17</v>
      </c>
    </row>
    <row r="68" spans="1:17" ht="19.5" thickBot="1" x14ac:dyDescent="0.35">
      <c r="A68" s="39" t="s">
        <v>100</v>
      </c>
    </row>
    <row r="69" spans="1:17" ht="72.75" thickBot="1" x14ac:dyDescent="0.3">
      <c r="A69" s="37" t="s">
        <v>1473</v>
      </c>
      <c r="B69" s="103" t="s">
        <v>1474</v>
      </c>
      <c r="C69" s="103" t="s">
        <v>1475</v>
      </c>
      <c r="D69" s="103" t="s">
        <v>1476</v>
      </c>
      <c r="E69" s="104">
        <v>46113</v>
      </c>
      <c r="F69" s="104">
        <v>46143</v>
      </c>
      <c r="G69" s="104">
        <v>46174</v>
      </c>
      <c r="H69" s="104">
        <v>46204</v>
      </c>
      <c r="I69" s="104">
        <v>46235</v>
      </c>
      <c r="J69" s="104">
        <v>46266</v>
      </c>
      <c r="K69" s="104">
        <v>46296</v>
      </c>
      <c r="L69" s="104">
        <v>46327</v>
      </c>
      <c r="M69" s="104">
        <v>46357</v>
      </c>
      <c r="N69" s="104">
        <v>46388</v>
      </c>
      <c r="O69" s="104">
        <v>46419</v>
      </c>
      <c r="P69" s="104">
        <v>46447</v>
      </c>
      <c r="Q69" s="103" t="s">
        <v>1344</v>
      </c>
    </row>
    <row r="70" spans="1:17" thickBot="1" x14ac:dyDescent="0.3">
      <c r="A70" s="107" t="s">
        <v>190</v>
      </c>
      <c r="B70" s="38">
        <f>+COUNTIFS('LOI and Commissioning Master Sh'!$D:$D,'Review PPT update '!$A70, 'LOI and Commissioning Master Sh'!$G:$G,"E")</f>
        <v>3</v>
      </c>
      <c r="C70" s="38">
        <f>+COUNTIFS('LOI and Commissioning Master Sh'!$D:$D,'Review PPT update '!$A70, 'LOI and Commissioning Master Sh'!$G:$G,"E", 'LOI and Commissioning Master Sh'!$W:$W,"Yes")</f>
        <v>2</v>
      </c>
      <c r="D70" s="38">
        <f>+COUNTIFS('LOI and Commissioning Master Sh'!$D:$D,'Review PPT update '!$A70, 'LOI and Commissioning Master Sh'!$G:$G,"E", 'LOI and Commissioning Master Sh'!$X:$X,"Yes")</f>
        <v>1</v>
      </c>
      <c r="E70" s="38">
        <f>+COUNTIFS('LOI and Commissioning Master Sh'!$D:$D,'Review PPT update '!$A70, 'LOI and Commissioning Master Sh'!$G:$G,"E", 'LOI and Commissioning Master Sh'!$X:$X,"Yes",'LOI and Commissioning Master Sh'!$AE:$AE,E$69)</f>
        <v>0</v>
      </c>
      <c r="F70" s="38">
        <f>+COUNTIFS('LOI and Commissioning Master Sh'!$D:$D,'Review PPT update '!$A70, 'LOI and Commissioning Master Sh'!$G:$G,"E", 'LOI and Commissioning Master Sh'!$X:$X,"Yes",'LOI and Commissioning Master Sh'!$AE:$AE,F$69)</f>
        <v>0</v>
      </c>
      <c r="G70" s="38">
        <f>+COUNTIFS('LOI and Commissioning Master Sh'!$D:$D,'Review PPT update '!$A70, 'LOI and Commissioning Master Sh'!$G:$G,"E", 'LOI and Commissioning Master Sh'!$X:$X,"Yes",'LOI and Commissioning Master Sh'!$AE:$AE,G$69)</f>
        <v>0</v>
      </c>
      <c r="H70" s="38">
        <f>+COUNTIFS('LOI and Commissioning Master Sh'!$D:$D,'Review PPT update '!$A70, 'LOI and Commissioning Master Sh'!$G:$G,"E", 'LOI and Commissioning Master Sh'!$X:$X,"Yes",'LOI and Commissioning Master Sh'!$AE:$AE,H$69)</f>
        <v>0</v>
      </c>
      <c r="I70" s="38">
        <f>+COUNTIFS('LOI and Commissioning Master Sh'!$D:$D,'Review PPT update '!$A70, 'LOI and Commissioning Master Sh'!$G:$G,"E", 'LOI and Commissioning Master Sh'!$X:$X,"Yes",'LOI and Commissioning Master Sh'!$AE:$AE,I$69)</f>
        <v>0</v>
      </c>
      <c r="J70" s="38">
        <f>+COUNTIFS('LOI and Commissioning Master Sh'!$D:$D,'Review PPT update '!$A70, 'LOI and Commissioning Master Sh'!$G:$G,"E", 'LOI and Commissioning Master Sh'!$X:$X,"Yes",'LOI and Commissioning Master Sh'!$AE:$AE,J$69)</f>
        <v>0</v>
      </c>
      <c r="K70" s="38">
        <f>+COUNTIFS('LOI and Commissioning Master Sh'!$D:$D,'Review PPT update '!$A70, 'LOI and Commissioning Master Sh'!$G:$G,"E", 'LOI and Commissioning Master Sh'!$X:$X,"Yes",'LOI and Commissioning Master Sh'!$AE:$AE,K$69)</f>
        <v>0</v>
      </c>
      <c r="L70" s="38">
        <f>+COUNTIFS('LOI and Commissioning Master Sh'!$D:$D,'Review PPT update '!$A70, 'LOI and Commissioning Master Sh'!$G:$G,"E", 'LOI and Commissioning Master Sh'!$X:$X,"Yes",'LOI and Commissioning Master Sh'!$AE:$AE,L$69)</f>
        <v>0</v>
      </c>
      <c r="M70" s="38">
        <f>+COUNTIFS('LOI and Commissioning Master Sh'!$D:$D,'Review PPT update '!$A70, 'LOI and Commissioning Master Sh'!$G:$G,"E", 'LOI and Commissioning Master Sh'!$X:$X,"Yes",'LOI and Commissioning Master Sh'!$AE:$AE,M$69)</f>
        <v>1</v>
      </c>
      <c r="N70" s="38">
        <f>+COUNTIFS('LOI and Commissioning Master Sh'!$D:$D,'Review PPT update '!$A70, 'LOI and Commissioning Master Sh'!$G:$G,"E", 'LOI and Commissioning Master Sh'!$X:$X,"Yes",'LOI and Commissioning Master Sh'!$AE:$AE,N$69)</f>
        <v>0</v>
      </c>
      <c r="O70" s="38">
        <f>+COUNTIFS('LOI and Commissioning Master Sh'!$D:$D,'Review PPT update '!$A70, 'LOI and Commissioning Master Sh'!$G:$G,"E", 'LOI and Commissioning Master Sh'!$X:$X,"Yes",'LOI and Commissioning Master Sh'!$AE:$AE,O$69)</f>
        <v>0</v>
      </c>
      <c r="P70" s="38">
        <f>+COUNTIFS('LOI and Commissioning Master Sh'!$D:$D,'Review PPT update '!$A70, 'LOI and Commissioning Master Sh'!$G:$G,"E", 'LOI and Commissioning Master Sh'!$X:$X,"Yes",'LOI and Commissioning Master Sh'!$AE:$AE,P$69)</f>
        <v>0</v>
      </c>
      <c r="Q70" s="38">
        <f t="shared" ref="Q70:Q80" si="12">+SUM(E70:P70)</f>
        <v>1</v>
      </c>
    </row>
    <row r="71" spans="1:17" thickBot="1" x14ac:dyDescent="0.3">
      <c r="A71" s="107" t="s">
        <v>156</v>
      </c>
      <c r="B71" s="38">
        <f>+COUNTIFS('LOI and Commissioning Master Sh'!$D:$D,'Review PPT update '!$A71, 'LOI and Commissioning Master Sh'!$G:$G,"E")</f>
        <v>8</v>
      </c>
      <c r="C71" s="38">
        <f>+COUNTIFS('LOI and Commissioning Master Sh'!$D:$D,'Review PPT update '!$A71, 'LOI and Commissioning Master Sh'!$G:$G,"E", 'LOI and Commissioning Master Sh'!$W:$W,"Yes")</f>
        <v>4</v>
      </c>
      <c r="D71" s="38">
        <f>+COUNTIFS('LOI and Commissioning Master Sh'!$D:$D,'Review PPT update '!$A71, 'LOI and Commissioning Master Sh'!$G:$G,"E", 'LOI and Commissioning Master Sh'!$X:$X,"Yes")</f>
        <v>3</v>
      </c>
      <c r="E71" s="38">
        <f>+COUNTIFS('LOI and Commissioning Master Sh'!$D:$D,'Review PPT update '!$A71, 'LOI and Commissioning Master Sh'!$G:$G,"E", 'LOI and Commissioning Master Sh'!$X:$X,"Yes",'LOI and Commissioning Master Sh'!$AE:$AE,E$69)</f>
        <v>0</v>
      </c>
      <c r="F71" s="38">
        <f>+COUNTIFS('LOI and Commissioning Master Sh'!$D:$D,'Review PPT update '!$A71, 'LOI and Commissioning Master Sh'!$G:$G,"E", 'LOI and Commissioning Master Sh'!$X:$X,"Yes",'LOI and Commissioning Master Sh'!$AE:$AE,F$69)</f>
        <v>0</v>
      </c>
      <c r="G71" s="38">
        <f>+COUNTIFS('LOI and Commissioning Master Sh'!$D:$D,'Review PPT update '!$A71, 'LOI and Commissioning Master Sh'!$G:$G,"E", 'LOI and Commissioning Master Sh'!$X:$X,"Yes",'LOI and Commissioning Master Sh'!$AE:$AE,G$69)</f>
        <v>1</v>
      </c>
      <c r="H71" s="38">
        <f>+COUNTIFS('LOI and Commissioning Master Sh'!$D:$D,'Review PPT update '!$A71, 'LOI and Commissioning Master Sh'!$G:$G,"E", 'LOI and Commissioning Master Sh'!$X:$X,"Yes",'LOI and Commissioning Master Sh'!$AE:$AE,H$69)</f>
        <v>0</v>
      </c>
      <c r="I71" s="38">
        <f>+COUNTIFS('LOI and Commissioning Master Sh'!$D:$D,'Review PPT update '!$A71, 'LOI and Commissioning Master Sh'!$G:$G,"E", 'LOI and Commissioning Master Sh'!$X:$X,"Yes",'LOI and Commissioning Master Sh'!$AE:$AE,I$69)</f>
        <v>1</v>
      </c>
      <c r="J71" s="38">
        <f>+COUNTIFS('LOI and Commissioning Master Sh'!$D:$D,'Review PPT update '!$A71, 'LOI and Commissioning Master Sh'!$G:$G,"E", 'LOI and Commissioning Master Sh'!$X:$X,"Yes",'LOI and Commissioning Master Sh'!$AE:$AE,J$69)</f>
        <v>0</v>
      </c>
      <c r="K71" s="38">
        <f>+COUNTIFS('LOI and Commissioning Master Sh'!$D:$D,'Review PPT update '!$A71, 'LOI and Commissioning Master Sh'!$G:$G,"E", 'LOI and Commissioning Master Sh'!$X:$X,"Yes",'LOI and Commissioning Master Sh'!$AE:$AE,K$69)</f>
        <v>1</v>
      </c>
      <c r="L71" s="38">
        <f>+COUNTIFS('LOI and Commissioning Master Sh'!$D:$D,'Review PPT update '!$A71, 'LOI and Commissioning Master Sh'!$G:$G,"E", 'LOI and Commissioning Master Sh'!$X:$X,"Yes",'LOI and Commissioning Master Sh'!$AE:$AE,L$69)</f>
        <v>0</v>
      </c>
      <c r="M71" s="38">
        <f>+COUNTIFS('LOI and Commissioning Master Sh'!$D:$D,'Review PPT update '!$A71, 'LOI and Commissioning Master Sh'!$G:$G,"E", 'LOI and Commissioning Master Sh'!$X:$X,"Yes",'LOI and Commissioning Master Sh'!$AE:$AE,M$69)</f>
        <v>0</v>
      </c>
      <c r="N71" s="38">
        <f>+COUNTIFS('LOI and Commissioning Master Sh'!$D:$D,'Review PPT update '!$A71, 'LOI and Commissioning Master Sh'!$G:$G,"E", 'LOI and Commissioning Master Sh'!$X:$X,"Yes",'LOI and Commissioning Master Sh'!$AE:$AE,N$69)</f>
        <v>0</v>
      </c>
      <c r="O71" s="38">
        <f>+COUNTIFS('LOI and Commissioning Master Sh'!$D:$D,'Review PPT update '!$A71, 'LOI and Commissioning Master Sh'!$G:$G,"E", 'LOI and Commissioning Master Sh'!$X:$X,"Yes",'LOI and Commissioning Master Sh'!$AE:$AE,O$69)</f>
        <v>0</v>
      </c>
      <c r="P71" s="38">
        <f>+COUNTIFS('LOI and Commissioning Master Sh'!$D:$D,'Review PPT update '!$A71, 'LOI and Commissioning Master Sh'!$G:$G,"E", 'LOI and Commissioning Master Sh'!$X:$X,"Yes",'LOI and Commissioning Master Sh'!$AE:$AE,P$69)</f>
        <v>0</v>
      </c>
      <c r="Q71" s="38">
        <f t="shared" si="12"/>
        <v>3</v>
      </c>
    </row>
    <row r="72" spans="1:17" thickBot="1" x14ac:dyDescent="0.3">
      <c r="A72" s="107" t="s">
        <v>383</v>
      </c>
      <c r="B72" s="38">
        <f>+COUNTIFS('LOI and Commissioning Master Sh'!$D:$D,'Review PPT update '!$A72, 'LOI and Commissioning Master Sh'!$G:$G,"E")</f>
        <v>0</v>
      </c>
      <c r="C72" s="38">
        <f>+COUNTIFS('LOI and Commissioning Master Sh'!$D:$D,'Review PPT update '!$A72, 'LOI and Commissioning Master Sh'!$G:$G,"E", 'LOI and Commissioning Master Sh'!$W:$W,"Yes")</f>
        <v>0</v>
      </c>
      <c r="D72" s="38">
        <f>+COUNTIFS('LOI and Commissioning Master Sh'!$D:$D,'Review PPT update '!$A72, 'LOI and Commissioning Master Sh'!$G:$G,"E", 'LOI and Commissioning Master Sh'!$X:$X,"Yes")</f>
        <v>0</v>
      </c>
      <c r="E72" s="38">
        <f>+COUNTIFS('LOI and Commissioning Master Sh'!$D:$D,'Review PPT update '!$A72, 'LOI and Commissioning Master Sh'!$G:$G,"E", 'LOI and Commissioning Master Sh'!$X:$X,"Yes",'LOI and Commissioning Master Sh'!$AE:$AE,E$69)</f>
        <v>0</v>
      </c>
      <c r="F72" s="38">
        <f>+COUNTIFS('LOI and Commissioning Master Sh'!$D:$D,'Review PPT update '!$A72, 'LOI and Commissioning Master Sh'!$G:$G,"E", 'LOI and Commissioning Master Sh'!$X:$X,"Yes",'LOI and Commissioning Master Sh'!$AE:$AE,F$69)</f>
        <v>0</v>
      </c>
      <c r="G72" s="38">
        <f>+COUNTIFS('LOI and Commissioning Master Sh'!$D:$D,'Review PPT update '!$A72, 'LOI and Commissioning Master Sh'!$G:$G,"E", 'LOI and Commissioning Master Sh'!$X:$X,"Yes",'LOI and Commissioning Master Sh'!$AE:$AE,G$69)</f>
        <v>0</v>
      </c>
      <c r="H72" s="38">
        <f>+COUNTIFS('LOI and Commissioning Master Sh'!$D:$D,'Review PPT update '!$A72, 'LOI and Commissioning Master Sh'!$G:$G,"E", 'LOI and Commissioning Master Sh'!$X:$X,"Yes",'LOI and Commissioning Master Sh'!$AE:$AE,H$69)</f>
        <v>0</v>
      </c>
      <c r="I72" s="38">
        <f>+COUNTIFS('LOI and Commissioning Master Sh'!$D:$D,'Review PPT update '!$A72, 'LOI and Commissioning Master Sh'!$G:$G,"E", 'LOI and Commissioning Master Sh'!$X:$X,"Yes",'LOI and Commissioning Master Sh'!$AE:$AE,I$69)</f>
        <v>0</v>
      </c>
      <c r="J72" s="38">
        <f>+COUNTIFS('LOI and Commissioning Master Sh'!$D:$D,'Review PPT update '!$A72, 'LOI and Commissioning Master Sh'!$G:$G,"E", 'LOI and Commissioning Master Sh'!$X:$X,"Yes",'LOI and Commissioning Master Sh'!$AE:$AE,J$69)</f>
        <v>0</v>
      </c>
      <c r="K72" s="38">
        <f>+COUNTIFS('LOI and Commissioning Master Sh'!$D:$D,'Review PPT update '!$A72, 'LOI and Commissioning Master Sh'!$G:$G,"E", 'LOI and Commissioning Master Sh'!$X:$X,"Yes",'LOI and Commissioning Master Sh'!$AE:$AE,K$69)</f>
        <v>0</v>
      </c>
      <c r="L72" s="38">
        <f>+COUNTIFS('LOI and Commissioning Master Sh'!$D:$D,'Review PPT update '!$A72, 'LOI and Commissioning Master Sh'!$G:$G,"E", 'LOI and Commissioning Master Sh'!$X:$X,"Yes",'LOI and Commissioning Master Sh'!$AE:$AE,L$69)</f>
        <v>0</v>
      </c>
      <c r="M72" s="38">
        <f>+COUNTIFS('LOI and Commissioning Master Sh'!$D:$D,'Review PPT update '!$A72, 'LOI and Commissioning Master Sh'!$G:$G,"E", 'LOI and Commissioning Master Sh'!$X:$X,"Yes",'LOI and Commissioning Master Sh'!$AE:$AE,M$69)</f>
        <v>0</v>
      </c>
      <c r="N72" s="38">
        <f>+COUNTIFS('LOI and Commissioning Master Sh'!$D:$D,'Review PPT update '!$A72, 'LOI and Commissioning Master Sh'!$G:$G,"E", 'LOI and Commissioning Master Sh'!$X:$X,"Yes",'LOI and Commissioning Master Sh'!$AE:$AE,N$69)</f>
        <v>0</v>
      </c>
      <c r="O72" s="38">
        <f>+COUNTIFS('LOI and Commissioning Master Sh'!$D:$D,'Review PPT update '!$A72, 'LOI and Commissioning Master Sh'!$G:$G,"E", 'LOI and Commissioning Master Sh'!$X:$X,"Yes",'LOI and Commissioning Master Sh'!$AE:$AE,O$69)</f>
        <v>0</v>
      </c>
      <c r="P72" s="38">
        <f>+COUNTIFS('LOI and Commissioning Master Sh'!$D:$D,'Review PPT update '!$A72, 'LOI and Commissioning Master Sh'!$G:$G,"E", 'LOI and Commissioning Master Sh'!$X:$X,"Yes",'LOI and Commissioning Master Sh'!$AE:$AE,P$69)</f>
        <v>0</v>
      </c>
      <c r="Q72" s="38">
        <f t="shared" si="12"/>
        <v>0</v>
      </c>
    </row>
    <row r="73" spans="1:17" thickBot="1" x14ac:dyDescent="0.3">
      <c r="A73" s="107" t="s">
        <v>150</v>
      </c>
      <c r="B73" s="38">
        <f>+COUNTIFS('LOI and Commissioning Master Sh'!$D:$D,'Review PPT update '!$A73, 'LOI and Commissioning Master Sh'!$G:$G,"E")</f>
        <v>0</v>
      </c>
      <c r="C73" s="38">
        <f>+COUNTIFS('LOI and Commissioning Master Sh'!$D:$D,'Review PPT update '!$A73, 'LOI and Commissioning Master Sh'!$G:$G,"E", 'LOI and Commissioning Master Sh'!$W:$W,"Yes")</f>
        <v>0</v>
      </c>
      <c r="D73" s="38">
        <f>+COUNTIFS('LOI and Commissioning Master Sh'!$D:$D,'Review PPT update '!$A73, 'LOI and Commissioning Master Sh'!$G:$G,"E", 'LOI and Commissioning Master Sh'!$X:$X,"Yes")</f>
        <v>0</v>
      </c>
      <c r="E73" s="38">
        <f>+COUNTIFS('LOI and Commissioning Master Sh'!$D:$D,'Review PPT update '!$A73, 'LOI and Commissioning Master Sh'!$G:$G,"E", 'LOI and Commissioning Master Sh'!$X:$X,"Yes",'LOI and Commissioning Master Sh'!$AE:$AE,E$69)</f>
        <v>0</v>
      </c>
      <c r="F73" s="38">
        <f>+COUNTIFS('LOI and Commissioning Master Sh'!$D:$D,'Review PPT update '!$A73, 'LOI and Commissioning Master Sh'!$G:$G,"E", 'LOI and Commissioning Master Sh'!$X:$X,"Yes",'LOI and Commissioning Master Sh'!$AE:$AE,F$69)</f>
        <v>0</v>
      </c>
      <c r="G73" s="38">
        <f>+COUNTIFS('LOI and Commissioning Master Sh'!$D:$D,'Review PPT update '!$A73, 'LOI and Commissioning Master Sh'!$G:$G,"E", 'LOI and Commissioning Master Sh'!$X:$X,"Yes",'LOI and Commissioning Master Sh'!$AE:$AE,G$69)</f>
        <v>0</v>
      </c>
      <c r="H73" s="38">
        <f>+COUNTIFS('LOI and Commissioning Master Sh'!$D:$D,'Review PPT update '!$A73, 'LOI and Commissioning Master Sh'!$G:$G,"E", 'LOI and Commissioning Master Sh'!$X:$X,"Yes",'LOI and Commissioning Master Sh'!$AE:$AE,H$69)</f>
        <v>0</v>
      </c>
      <c r="I73" s="38">
        <f>+COUNTIFS('LOI and Commissioning Master Sh'!$D:$D,'Review PPT update '!$A73, 'LOI and Commissioning Master Sh'!$G:$G,"E", 'LOI and Commissioning Master Sh'!$X:$X,"Yes",'LOI and Commissioning Master Sh'!$AE:$AE,I$69)</f>
        <v>0</v>
      </c>
      <c r="J73" s="38">
        <f>+COUNTIFS('LOI and Commissioning Master Sh'!$D:$D,'Review PPT update '!$A73, 'LOI and Commissioning Master Sh'!$G:$G,"E", 'LOI and Commissioning Master Sh'!$X:$X,"Yes",'LOI and Commissioning Master Sh'!$AE:$AE,J$69)</f>
        <v>0</v>
      </c>
      <c r="K73" s="38">
        <f>+COUNTIFS('LOI and Commissioning Master Sh'!$D:$D,'Review PPT update '!$A73, 'LOI and Commissioning Master Sh'!$G:$G,"E", 'LOI and Commissioning Master Sh'!$X:$X,"Yes",'LOI and Commissioning Master Sh'!$AE:$AE,K$69)</f>
        <v>0</v>
      </c>
      <c r="L73" s="38">
        <f>+COUNTIFS('LOI and Commissioning Master Sh'!$D:$D,'Review PPT update '!$A73, 'LOI and Commissioning Master Sh'!$G:$G,"E", 'LOI and Commissioning Master Sh'!$X:$X,"Yes",'LOI and Commissioning Master Sh'!$AE:$AE,L$69)</f>
        <v>0</v>
      </c>
      <c r="M73" s="38">
        <f>+COUNTIFS('LOI and Commissioning Master Sh'!$D:$D,'Review PPT update '!$A73, 'LOI and Commissioning Master Sh'!$G:$G,"E", 'LOI and Commissioning Master Sh'!$X:$X,"Yes",'LOI and Commissioning Master Sh'!$AE:$AE,M$69)</f>
        <v>0</v>
      </c>
      <c r="N73" s="38">
        <f>+COUNTIFS('LOI and Commissioning Master Sh'!$D:$D,'Review PPT update '!$A73, 'LOI and Commissioning Master Sh'!$G:$G,"E", 'LOI and Commissioning Master Sh'!$X:$X,"Yes",'LOI and Commissioning Master Sh'!$AE:$AE,N$69)</f>
        <v>0</v>
      </c>
      <c r="O73" s="38">
        <f>+COUNTIFS('LOI and Commissioning Master Sh'!$D:$D,'Review PPT update '!$A73, 'LOI and Commissioning Master Sh'!$G:$G,"E", 'LOI and Commissioning Master Sh'!$X:$X,"Yes",'LOI and Commissioning Master Sh'!$AE:$AE,O$69)</f>
        <v>0</v>
      </c>
      <c r="P73" s="38">
        <f>+COUNTIFS('LOI and Commissioning Master Sh'!$D:$D,'Review PPT update '!$A73, 'LOI and Commissioning Master Sh'!$G:$G,"E", 'LOI and Commissioning Master Sh'!$X:$X,"Yes",'LOI and Commissioning Master Sh'!$AE:$AE,P$69)</f>
        <v>0</v>
      </c>
      <c r="Q73" s="38">
        <f t="shared" si="12"/>
        <v>0</v>
      </c>
    </row>
    <row r="74" spans="1:17" thickBot="1" x14ac:dyDescent="0.3">
      <c r="A74" s="107" t="s">
        <v>121</v>
      </c>
      <c r="B74" s="38">
        <f>+COUNTIFS('LOI and Commissioning Master Sh'!$D:$D,'Review PPT update '!$A74, 'LOI and Commissioning Master Sh'!$G:$G,"E")</f>
        <v>6</v>
      </c>
      <c r="C74" s="38">
        <f>+COUNTIFS('LOI and Commissioning Master Sh'!$D:$D,'Review PPT update '!$A74, 'LOI and Commissioning Master Sh'!$G:$G,"E", 'LOI and Commissioning Master Sh'!$W:$W,"Yes")</f>
        <v>3</v>
      </c>
      <c r="D74" s="38">
        <f>+COUNTIFS('LOI and Commissioning Master Sh'!$D:$D,'Review PPT update '!$A74, 'LOI and Commissioning Master Sh'!$G:$G,"E", 'LOI and Commissioning Master Sh'!$X:$X,"Yes")</f>
        <v>2</v>
      </c>
      <c r="E74" s="38">
        <f>+COUNTIFS('LOI and Commissioning Master Sh'!$D:$D,'Review PPT update '!$A74, 'LOI and Commissioning Master Sh'!$G:$G,"E", 'LOI and Commissioning Master Sh'!$X:$X,"Yes",'LOI and Commissioning Master Sh'!$AE:$AE,E$69)</f>
        <v>0</v>
      </c>
      <c r="F74" s="38">
        <f>+COUNTIFS('LOI and Commissioning Master Sh'!$D:$D,'Review PPT update '!$A74, 'LOI and Commissioning Master Sh'!$G:$G,"E", 'LOI and Commissioning Master Sh'!$X:$X,"Yes",'LOI and Commissioning Master Sh'!$AE:$AE,F$69)</f>
        <v>1</v>
      </c>
      <c r="G74" s="38">
        <f>+COUNTIFS('LOI and Commissioning Master Sh'!$D:$D,'Review PPT update '!$A74, 'LOI and Commissioning Master Sh'!$G:$G,"E", 'LOI and Commissioning Master Sh'!$X:$X,"Yes",'LOI and Commissioning Master Sh'!$AE:$AE,G$69)</f>
        <v>0</v>
      </c>
      <c r="H74" s="38">
        <f>+COUNTIFS('LOI and Commissioning Master Sh'!$D:$D,'Review PPT update '!$A74, 'LOI and Commissioning Master Sh'!$G:$G,"E", 'LOI and Commissioning Master Sh'!$X:$X,"Yes",'LOI and Commissioning Master Sh'!$AE:$AE,H$69)</f>
        <v>0</v>
      </c>
      <c r="I74" s="38">
        <f>+COUNTIFS('LOI and Commissioning Master Sh'!$D:$D,'Review PPT update '!$A74, 'LOI and Commissioning Master Sh'!$G:$G,"E", 'LOI and Commissioning Master Sh'!$X:$X,"Yes",'LOI and Commissioning Master Sh'!$AE:$AE,I$69)</f>
        <v>0</v>
      </c>
      <c r="J74" s="38">
        <f>+COUNTIFS('LOI and Commissioning Master Sh'!$D:$D,'Review PPT update '!$A74, 'LOI and Commissioning Master Sh'!$G:$G,"E", 'LOI and Commissioning Master Sh'!$X:$X,"Yes",'LOI and Commissioning Master Sh'!$AE:$AE,J$69)</f>
        <v>0</v>
      </c>
      <c r="K74" s="38">
        <f>+COUNTIFS('LOI and Commissioning Master Sh'!$D:$D,'Review PPT update '!$A74, 'LOI and Commissioning Master Sh'!$G:$G,"E", 'LOI and Commissioning Master Sh'!$X:$X,"Yes",'LOI and Commissioning Master Sh'!$AE:$AE,K$69)</f>
        <v>0</v>
      </c>
      <c r="L74" s="38">
        <f>+COUNTIFS('LOI and Commissioning Master Sh'!$D:$D,'Review PPT update '!$A74, 'LOI and Commissioning Master Sh'!$G:$G,"E", 'LOI and Commissioning Master Sh'!$X:$X,"Yes",'LOI and Commissioning Master Sh'!$AE:$AE,L$69)</f>
        <v>0</v>
      </c>
      <c r="M74" s="38">
        <f>+COUNTIFS('LOI and Commissioning Master Sh'!$D:$D,'Review PPT update '!$A74, 'LOI and Commissioning Master Sh'!$G:$G,"E", 'LOI and Commissioning Master Sh'!$X:$X,"Yes",'LOI and Commissioning Master Sh'!$AE:$AE,M$69)</f>
        <v>0</v>
      </c>
      <c r="N74" s="38">
        <f>+COUNTIFS('LOI and Commissioning Master Sh'!$D:$D,'Review PPT update '!$A74, 'LOI and Commissioning Master Sh'!$G:$G,"E", 'LOI and Commissioning Master Sh'!$X:$X,"Yes",'LOI and Commissioning Master Sh'!$AE:$AE,N$69)</f>
        <v>0</v>
      </c>
      <c r="O74" s="38">
        <f>+COUNTIFS('LOI and Commissioning Master Sh'!$D:$D,'Review PPT update '!$A74, 'LOI and Commissioning Master Sh'!$G:$G,"E", 'LOI and Commissioning Master Sh'!$X:$X,"Yes",'LOI and Commissioning Master Sh'!$AE:$AE,O$69)</f>
        <v>0</v>
      </c>
      <c r="P74" s="38">
        <f>+COUNTIFS('LOI and Commissioning Master Sh'!$D:$D,'Review PPT update '!$A74, 'LOI and Commissioning Master Sh'!$G:$G,"E", 'LOI and Commissioning Master Sh'!$X:$X,"Yes",'LOI and Commissioning Master Sh'!$AE:$AE,P$69)</f>
        <v>1</v>
      </c>
      <c r="Q74" s="38">
        <f t="shared" si="12"/>
        <v>2</v>
      </c>
    </row>
    <row r="75" spans="1:17" thickBot="1" x14ac:dyDescent="0.3">
      <c r="A75" s="107" t="s">
        <v>220</v>
      </c>
      <c r="B75" s="38">
        <f>+COUNTIFS('LOI and Commissioning Master Sh'!$D:$D,'Review PPT update '!$A75, 'LOI and Commissioning Master Sh'!$G:$G,"E")</f>
        <v>1</v>
      </c>
      <c r="C75" s="38">
        <f>+COUNTIFS('LOI and Commissioning Master Sh'!$D:$D,'Review PPT update '!$A75, 'LOI and Commissioning Master Sh'!$G:$G,"E", 'LOI and Commissioning Master Sh'!$W:$W,"Yes")</f>
        <v>0</v>
      </c>
      <c r="D75" s="38">
        <f>+COUNTIFS('LOI and Commissioning Master Sh'!$D:$D,'Review PPT update '!$A75, 'LOI and Commissioning Master Sh'!$G:$G,"E", 'LOI and Commissioning Master Sh'!$X:$X,"Yes")</f>
        <v>0</v>
      </c>
      <c r="E75" s="38">
        <f>+COUNTIFS('LOI and Commissioning Master Sh'!$D:$D,'Review PPT update '!$A75, 'LOI and Commissioning Master Sh'!$G:$G,"E", 'LOI and Commissioning Master Sh'!$X:$X,"Yes",'LOI and Commissioning Master Sh'!$AE:$AE,E$69)</f>
        <v>0</v>
      </c>
      <c r="F75" s="38">
        <f>+COUNTIFS('LOI and Commissioning Master Sh'!$D:$D,'Review PPT update '!$A75, 'LOI and Commissioning Master Sh'!$G:$G,"E", 'LOI and Commissioning Master Sh'!$X:$X,"Yes",'LOI and Commissioning Master Sh'!$AE:$AE,F$69)</f>
        <v>0</v>
      </c>
      <c r="G75" s="38">
        <f>+COUNTIFS('LOI and Commissioning Master Sh'!$D:$D,'Review PPT update '!$A75, 'LOI and Commissioning Master Sh'!$G:$G,"E", 'LOI and Commissioning Master Sh'!$X:$X,"Yes",'LOI and Commissioning Master Sh'!$AE:$AE,G$69)</f>
        <v>0</v>
      </c>
      <c r="H75" s="38">
        <f>+COUNTIFS('LOI and Commissioning Master Sh'!$D:$D,'Review PPT update '!$A75, 'LOI and Commissioning Master Sh'!$G:$G,"E", 'LOI and Commissioning Master Sh'!$X:$X,"Yes",'LOI and Commissioning Master Sh'!$AE:$AE,H$69)</f>
        <v>0</v>
      </c>
      <c r="I75" s="38">
        <f>+COUNTIFS('LOI and Commissioning Master Sh'!$D:$D,'Review PPT update '!$A75, 'LOI and Commissioning Master Sh'!$G:$G,"E", 'LOI and Commissioning Master Sh'!$X:$X,"Yes",'LOI and Commissioning Master Sh'!$AE:$AE,I$69)</f>
        <v>0</v>
      </c>
      <c r="J75" s="38">
        <f>+COUNTIFS('LOI and Commissioning Master Sh'!$D:$D,'Review PPT update '!$A75, 'LOI and Commissioning Master Sh'!$G:$G,"E", 'LOI and Commissioning Master Sh'!$X:$X,"Yes",'LOI and Commissioning Master Sh'!$AE:$AE,J$69)</f>
        <v>0</v>
      </c>
      <c r="K75" s="38">
        <f>+COUNTIFS('LOI and Commissioning Master Sh'!$D:$D,'Review PPT update '!$A75, 'LOI and Commissioning Master Sh'!$G:$G,"E", 'LOI and Commissioning Master Sh'!$X:$X,"Yes",'LOI and Commissioning Master Sh'!$AE:$AE,K$69)</f>
        <v>0</v>
      </c>
      <c r="L75" s="38">
        <f>+COUNTIFS('LOI and Commissioning Master Sh'!$D:$D,'Review PPT update '!$A75, 'LOI and Commissioning Master Sh'!$G:$G,"E", 'LOI and Commissioning Master Sh'!$X:$X,"Yes",'LOI and Commissioning Master Sh'!$AE:$AE,L$69)</f>
        <v>0</v>
      </c>
      <c r="M75" s="38">
        <f>+COUNTIFS('LOI and Commissioning Master Sh'!$D:$D,'Review PPT update '!$A75, 'LOI and Commissioning Master Sh'!$G:$G,"E", 'LOI and Commissioning Master Sh'!$X:$X,"Yes",'LOI and Commissioning Master Sh'!$AE:$AE,M$69)</f>
        <v>0</v>
      </c>
      <c r="N75" s="38">
        <f>+COUNTIFS('LOI and Commissioning Master Sh'!$D:$D,'Review PPT update '!$A75, 'LOI and Commissioning Master Sh'!$G:$G,"E", 'LOI and Commissioning Master Sh'!$X:$X,"Yes",'LOI and Commissioning Master Sh'!$AE:$AE,N$69)</f>
        <v>0</v>
      </c>
      <c r="O75" s="38">
        <f>+COUNTIFS('LOI and Commissioning Master Sh'!$D:$D,'Review PPT update '!$A75, 'LOI and Commissioning Master Sh'!$G:$G,"E", 'LOI and Commissioning Master Sh'!$X:$X,"Yes",'LOI and Commissioning Master Sh'!$AE:$AE,O$69)</f>
        <v>0</v>
      </c>
      <c r="P75" s="38">
        <f>+COUNTIFS('LOI and Commissioning Master Sh'!$D:$D,'Review PPT update '!$A75, 'LOI and Commissioning Master Sh'!$G:$G,"E", 'LOI and Commissioning Master Sh'!$X:$X,"Yes",'LOI and Commissioning Master Sh'!$AE:$AE,P$69)</f>
        <v>0</v>
      </c>
      <c r="Q75" s="38">
        <f t="shared" si="12"/>
        <v>0</v>
      </c>
    </row>
    <row r="76" spans="1:17" thickBot="1" x14ac:dyDescent="0.3">
      <c r="A76" s="107" t="s">
        <v>398</v>
      </c>
      <c r="B76" s="38">
        <f>+COUNTIFS('LOI and Commissioning Master Sh'!$D:$D,'Review PPT update '!$A76, 'LOI and Commissioning Master Sh'!$G:$G,"E")</f>
        <v>3</v>
      </c>
      <c r="C76" s="38">
        <f>+COUNTIFS('LOI and Commissioning Master Sh'!$D:$D,'Review PPT update '!$A76, 'LOI and Commissioning Master Sh'!$G:$G,"E", 'LOI and Commissioning Master Sh'!$W:$W,"Yes")</f>
        <v>2</v>
      </c>
      <c r="D76" s="38">
        <f>+COUNTIFS('LOI and Commissioning Master Sh'!$D:$D,'Review PPT update '!$A76, 'LOI and Commissioning Master Sh'!$G:$G,"E", 'LOI and Commissioning Master Sh'!$X:$X,"Yes")</f>
        <v>1</v>
      </c>
      <c r="E76" s="38">
        <f>+COUNTIFS('LOI and Commissioning Master Sh'!$D:$D,'Review PPT update '!$A76, 'LOI and Commissioning Master Sh'!$G:$G,"E", 'LOI and Commissioning Master Sh'!$X:$X,"Yes",'LOI and Commissioning Master Sh'!$AE:$AE,E$69)</f>
        <v>0</v>
      </c>
      <c r="F76" s="38">
        <f>+COUNTIFS('LOI and Commissioning Master Sh'!$D:$D,'Review PPT update '!$A76, 'LOI and Commissioning Master Sh'!$G:$G,"E", 'LOI and Commissioning Master Sh'!$X:$X,"Yes",'LOI and Commissioning Master Sh'!$AE:$AE,F$69)</f>
        <v>0</v>
      </c>
      <c r="G76" s="38">
        <f>+COUNTIFS('LOI and Commissioning Master Sh'!$D:$D,'Review PPT update '!$A76, 'LOI and Commissioning Master Sh'!$G:$G,"E", 'LOI and Commissioning Master Sh'!$X:$X,"Yes",'LOI and Commissioning Master Sh'!$AE:$AE,G$69)</f>
        <v>0</v>
      </c>
      <c r="H76" s="38">
        <f>+COUNTIFS('LOI and Commissioning Master Sh'!$D:$D,'Review PPT update '!$A76, 'LOI and Commissioning Master Sh'!$G:$G,"E", 'LOI and Commissioning Master Sh'!$X:$X,"Yes",'LOI and Commissioning Master Sh'!$AE:$AE,H$69)</f>
        <v>0</v>
      </c>
      <c r="I76" s="38">
        <f>+COUNTIFS('LOI and Commissioning Master Sh'!$D:$D,'Review PPT update '!$A76, 'LOI and Commissioning Master Sh'!$G:$G,"E", 'LOI and Commissioning Master Sh'!$X:$X,"Yes",'LOI and Commissioning Master Sh'!$AE:$AE,I$69)</f>
        <v>0</v>
      </c>
      <c r="J76" s="38">
        <f>+COUNTIFS('LOI and Commissioning Master Sh'!$D:$D,'Review PPT update '!$A76, 'LOI and Commissioning Master Sh'!$G:$G,"E", 'LOI and Commissioning Master Sh'!$X:$X,"Yes",'LOI and Commissioning Master Sh'!$AE:$AE,J$69)</f>
        <v>0</v>
      </c>
      <c r="K76" s="38">
        <f>+COUNTIFS('LOI and Commissioning Master Sh'!$D:$D,'Review PPT update '!$A76, 'LOI and Commissioning Master Sh'!$G:$G,"E", 'LOI and Commissioning Master Sh'!$X:$X,"Yes",'LOI and Commissioning Master Sh'!$AE:$AE,K$69)</f>
        <v>0</v>
      </c>
      <c r="L76" s="38">
        <f>+COUNTIFS('LOI and Commissioning Master Sh'!$D:$D,'Review PPT update '!$A76, 'LOI and Commissioning Master Sh'!$G:$G,"E", 'LOI and Commissioning Master Sh'!$X:$X,"Yes",'LOI and Commissioning Master Sh'!$AE:$AE,L$69)</f>
        <v>0</v>
      </c>
      <c r="M76" s="38">
        <f>+COUNTIFS('LOI and Commissioning Master Sh'!$D:$D,'Review PPT update '!$A76, 'LOI and Commissioning Master Sh'!$G:$G,"E", 'LOI and Commissioning Master Sh'!$X:$X,"Yes",'LOI and Commissioning Master Sh'!$AE:$AE,M$69)</f>
        <v>0</v>
      </c>
      <c r="N76" s="38">
        <f>+COUNTIFS('LOI and Commissioning Master Sh'!$D:$D,'Review PPT update '!$A76, 'LOI and Commissioning Master Sh'!$G:$G,"E", 'LOI and Commissioning Master Sh'!$X:$X,"Yes",'LOI and Commissioning Master Sh'!$AE:$AE,N$69)</f>
        <v>1</v>
      </c>
      <c r="O76" s="38">
        <f>+COUNTIFS('LOI and Commissioning Master Sh'!$D:$D,'Review PPT update '!$A76, 'LOI and Commissioning Master Sh'!$G:$G,"E", 'LOI and Commissioning Master Sh'!$X:$X,"Yes",'LOI and Commissioning Master Sh'!$AE:$AE,O$69)</f>
        <v>0</v>
      </c>
      <c r="P76" s="38">
        <f>+COUNTIFS('LOI and Commissioning Master Sh'!$D:$D,'Review PPT update '!$A76, 'LOI and Commissioning Master Sh'!$G:$G,"E", 'LOI and Commissioning Master Sh'!$X:$X,"Yes",'LOI and Commissioning Master Sh'!$AE:$AE,P$69)</f>
        <v>0</v>
      </c>
      <c r="Q76" s="38">
        <f t="shared" si="12"/>
        <v>1</v>
      </c>
    </row>
    <row r="77" spans="1:17" thickBot="1" x14ac:dyDescent="0.3">
      <c r="A77" s="107" t="s">
        <v>99</v>
      </c>
      <c r="B77" s="38">
        <f>+COUNTIFS('LOI and Commissioning Master Sh'!$D:$D,'Review PPT update '!$A77, 'LOI and Commissioning Master Sh'!$G:$G,"E")</f>
        <v>4</v>
      </c>
      <c r="C77" s="38">
        <f>+COUNTIFS('LOI and Commissioning Master Sh'!$D:$D,'Review PPT update '!$A77, 'LOI and Commissioning Master Sh'!$G:$G,"E", 'LOI and Commissioning Master Sh'!$W:$W,"Yes")</f>
        <v>2</v>
      </c>
      <c r="D77" s="38">
        <f>+COUNTIFS('LOI and Commissioning Master Sh'!$D:$D,'Review PPT update '!$A77, 'LOI and Commissioning Master Sh'!$G:$G,"E", 'LOI and Commissioning Master Sh'!$X:$X,"Yes")</f>
        <v>2</v>
      </c>
      <c r="E77" s="38">
        <f>+COUNTIFS('LOI and Commissioning Master Sh'!$D:$D,'Review PPT update '!$A77, 'LOI and Commissioning Master Sh'!$G:$G,"E", 'LOI and Commissioning Master Sh'!$X:$X,"Yes",'LOI and Commissioning Master Sh'!$AE:$AE,E$69)</f>
        <v>1</v>
      </c>
      <c r="F77" s="38">
        <f>+COUNTIFS('LOI and Commissioning Master Sh'!$D:$D,'Review PPT update '!$A77, 'LOI and Commissioning Master Sh'!$G:$G,"E", 'LOI and Commissioning Master Sh'!$X:$X,"Yes",'LOI and Commissioning Master Sh'!$AE:$AE,F$69)</f>
        <v>0</v>
      </c>
      <c r="G77" s="38">
        <f>+COUNTIFS('LOI and Commissioning Master Sh'!$D:$D,'Review PPT update '!$A77, 'LOI and Commissioning Master Sh'!$G:$G,"E", 'LOI and Commissioning Master Sh'!$X:$X,"Yes",'LOI and Commissioning Master Sh'!$AE:$AE,G$69)</f>
        <v>0</v>
      </c>
      <c r="H77" s="38">
        <f>+COUNTIFS('LOI and Commissioning Master Sh'!$D:$D,'Review PPT update '!$A77, 'LOI and Commissioning Master Sh'!$G:$G,"E", 'LOI and Commissioning Master Sh'!$X:$X,"Yes",'LOI and Commissioning Master Sh'!$AE:$AE,H$69)</f>
        <v>0</v>
      </c>
      <c r="I77" s="38">
        <f>+COUNTIFS('LOI and Commissioning Master Sh'!$D:$D,'Review PPT update '!$A77, 'LOI and Commissioning Master Sh'!$G:$G,"E", 'LOI and Commissioning Master Sh'!$X:$X,"Yes",'LOI and Commissioning Master Sh'!$AE:$AE,I$69)</f>
        <v>0</v>
      </c>
      <c r="J77" s="38">
        <f>+COUNTIFS('LOI and Commissioning Master Sh'!$D:$D,'Review PPT update '!$A77, 'LOI and Commissioning Master Sh'!$G:$G,"E", 'LOI and Commissioning Master Sh'!$X:$X,"Yes",'LOI and Commissioning Master Sh'!$AE:$AE,J$69)</f>
        <v>0</v>
      </c>
      <c r="K77" s="38">
        <f>+COUNTIFS('LOI and Commissioning Master Sh'!$D:$D,'Review PPT update '!$A77, 'LOI and Commissioning Master Sh'!$G:$G,"E", 'LOI and Commissioning Master Sh'!$X:$X,"Yes",'LOI and Commissioning Master Sh'!$AE:$AE,K$69)</f>
        <v>0</v>
      </c>
      <c r="L77" s="38">
        <f>+COUNTIFS('LOI and Commissioning Master Sh'!$D:$D,'Review PPT update '!$A77, 'LOI and Commissioning Master Sh'!$G:$G,"E", 'LOI and Commissioning Master Sh'!$X:$X,"Yes",'LOI and Commissioning Master Sh'!$AE:$AE,L$69)</f>
        <v>0</v>
      </c>
      <c r="M77" s="38">
        <f>+COUNTIFS('LOI and Commissioning Master Sh'!$D:$D,'Review PPT update '!$A77, 'LOI and Commissioning Master Sh'!$G:$G,"E", 'LOI and Commissioning Master Sh'!$X:$X,"Yes",'LOI and Commissioning Master Sh'!$AE:$AE,M$69)</f>
        <v>0</v>
      </c>
      <c r="N77" s="38">
        <f>+COUNTIFS('LOI and Commissioning Master Sh'!$D:$D,'Review PPT update '!$A77, 'LOI and Commissioning Master Sh'!$G:$G,"E", 'LOI and Commissioning Master Sh'!$X:$X,"Yes",'LOI and Commissioning Master Sh'!$AE:$AE,N$69)</f>
        <v>0</v>
      </c>
      <c r="O77" s="38">
        <f>+COUNTIFS('LOI and Commissioning Master Sh'!$D:$D,'Review PPT update '!$A77, 'LOI and Commissioning Master Sh'!$G:$G,"E", 'LOI and Commissioning Master Sh'!$X:$X,"Yes",'LOI and Commissioning Master Sh'!$AE:$AE,O$69)</f>
        <v>1</v>
      </c>
      <c r="P77" s="38">
        <f>+COUNTIFS('LOI and Commissioning Master Sh'!$D:$D,'Review PPT update '!$A77, 'LOI and Commissioning Master Sh'!$G:$G,"E", 'LOI and Commissioning Master Sh'!$X:$X,"Yes",'LOI and Commissioning Master Sh'!$AE:$AE,P$69)</f>
        <v>0</v>
      </c>
      <c r="Q77" s="38">
        <f t="shared" si="12"/>
        <v>2</v>
      </c>
    </row>
    <row r="78" spans="1:17" thickBot="1" x14ac:dyDescent="0.3">
      <c r="A78" s="107" t="s">
        <v>141</v>
      </c>
      <c r="B78" s="38">
        <f>+COUNTIFS('LOI and Commissioning Master Sh'!$D:$D,'Review PPT update '!$A78, 'LOI and Commissioning Master Sh'!$G:$G,"E")</f>
        <v>1</v>
      </c>
      <c r="C78" s="38">
        <f>+COUNTIFS('LOI and Commissioning Master Sh'!$D:$D,'Review PPT update '!$A78, 'LOI and Commissioning Master Sh'!$G:$G,"E", 'LOI and Commissioning Master Sh'!$W:$W,"Yes")</f>
        <v>0</v>
      </c>
      <c r="D78" s="38">
        <f>+COUNTIFS('LOI and Commissioning Master Sh'!$D:$D,'Review PPT update '!$A78, 'LOI and Commissioning Master Sh'!$G:$G,"E", 'LOI and Commissioning Master Sh'!$X:$X,"Yes")</f>
        <v>0</v>
      </c>
      <c r="E78" s="38">
        <f>+COUNTIFS('LOI and Commissioning Master Sh'!$D:$D,'Review PPT update '!$A78, 'LOI and Commissioning Master Sh'!$G:$G,"E", 'LOI and Commissioning Master Sh'!$X:$X,"Yes",'LOI and Commissioning Master Sh'!$AE:$AE,E$69)</f>
        <v>0</v>
      </c>
      <c r="F78" s="38">
        <f>+COUNTIFS('LOI and Commissioning Master Sh'!$D:$D,'Review PPT update '!$A78, 'LOI and Commissioning Master Sh'!$G:$G,"E", 'LOI and Commissioning Master Sh'!$X:$X,"Yes",'LOI and Commissioning Master Sh'!$AE:$AE,F$69)</f>
        <v>0</v>
      </c>
      <c r="G78" s="38">
        <f>+COUNTIFS('LOI and Commissioning Master Sh'!$D:$D,'Review PPT update '!$A78, 'LOI and Commissioning Master Sh'!$G:$G,"E", 'LOI and Commissioning Master Sh'!$X:$X,"Yes",'LOI and Commissioning Master Sh'!$AE:$AE,G$69)</f>
        <v>0</v>
      </c>
      <c r="H78" s="38">
        <f>+COUNTIFS('LOI and Commissioning Master Sh'!$D:$D,'Review PPT update '!$A78, 'LOI and Commissioning Master Sh'!$G:$G,"E", 'LOI and Commissioning Master Sh'!$X:$X,"Yes",'LOI and Commissioning Master Sh'!$AE:$AE,H$69)</f>
        <v>0</v>
      </c>
      <c r="I78" s="38">
        <f>+COUNTIFS('LOI and Commissioning Master Sh'!$D:$D,'Review PPT update '!$A78, 'LOI and Commissioning Master Sh'!$G:$G,"E", 'LOI and Commissioning Master Sh'!$X:$X,"Yes",'LOI and Commissioning Master Sh'!$AE:$AE,I$69)</f>
        <v>0</v>
      </c>
      <c r="J78" s="38">
        <f>+COUNTIFS('LOI and Commissioning Master Sh'!$D:$D,'Review PPT update '!$A78, 'LOI and Commissioning Master Sh'!$G:$G,"E", 'LOI and Commissioning Master Sh'!$X:$X,"Yes",'LOI and Commissioning Master Sh'!$AE:$AE,J$69)</f>
        <v>0</v>
      </c>
      <c r="K78" s="38">
        <f>+COUNTIFS('LOI and Commissioning Master Sh'!$D:$D,'Review PPT update '!$A78, 'LOI and Commissioning Master Sh'!$G:$G,"E", 'LOI and Commissioning Master Sh'!$X:$X,"Yes",'LOI and Commissioning Master Sh'!$AE:$AE,K$69)</f>
        <v>0</v>
      </c>
      <c r="L78" s="38">
        <f>+COUNTIFS('LOI and Commissioning Master Sh'!$D:$D,'Review PPT update '!$A78, 'LOI and Commissioning Master Sh'!$G:$G,"E", 'LOI and Commissioning Master Sh'!$X:$X,"Yes",'LOI and Commissioning Master Sh'!$AE:$AE,L$69)</f>
        <v>0</v>
      </c>
      <c r="M78" s="38">
        <f>+COUNTIFS('LOI and Commissioning Master Sh'!$D:$D,'Review PPT update '!$A78, 'LOI and Commissioning Master Sh'!$G:$G,"E", 'LOI and Commissioning Master Sh'!$X:$X,"Yes",'LOI and Commissioning Master Sh'!$AE:$AE,M$69)</f>
        <v>0</v>
      </c>
      <c r="N78" s="38">
        <f>+COUNTIFS('LOI and Commissioning Master Sh'!$D:$D,'Review PPT update '!$A78, 'LOI and Commissioning Master Sh'!$G:$G,"E", 'LOI and Commissioning Master Sh'!$X:$X,"Yes",'LOI and Commissioning Master Sh'!$AE:$AE,N$69)</f>
        <v>0</v>
      </c>
      <c r="O78" s="38">
        <f>+COUNTIFS('LOI and Commissioning Master Sh'!$D:$D,'Review PPT update '!$A78, 'LOI and Commissioning Master Sh'!$G:$G,"E", 'LOI and Commissioning Master Sh'!$X:$X,"Yes",'LOI and Commissioning Master Sh'!$AE:$AE,O$69)</f>
        <v>0</v>
      </c>
      <c r="P78" s="38">
        <f>+COUNTIFS('LOI and Commissioning Master Sh'!$D:$D,'Review PPT update '!$A78, 'LOI and Commissioning Master Sh'!$G:$G,"E", 'LOI and Commissioning Master Sh'!$X:$X,"Yes",'LOI and Commissioning Master Sh'!$AE:$AE,P$69)</f>
        <v>0</v>
      </c>
      <c r="Q78" s="38">
        <f t="shared" si="12"/>
        <v>0</v>
      </c>
    </row>
    <row r="79" spans="1:17" thickBot="1" x14ac:dyDescent="0.3">
      <c r="A79" s="107" t="s">
        <v>135</v>
      </c>
      <c r="B79" s="38">
        <f>+COUNTIFS('LOI and Commissioning Master Sh'!$D:$D,'Review PPT update '!$A79, 'LOI and Commissioning Master Sh'!$G:$G,"E")</f>
        <v>3</v>
      </c>
      <c r="C79" s="38">
        <f>+COUNTIFS('LOI and Commissioning Master Sh'!$D:$D,'Review PPT update '!$A79, 'LOI and Commissioning Master Sh'!$G:$G,"E", 'LOI and Commissioning Master Sh'!$W:$W,"Yes")</f>
        <v>1</v>
      </c>
      <c r="D79" s="38">
        <f>+COUNTIFS('LOI and Commissioning Master Sh'!$D:$D,'Review PPT update '!$A79, 'LOI and Commissioning Master Sh'!$G:$G,"E", 'LOI and Commissioning Master Sh'!$X:$X,"Yes")</f>
        <v>1</v>
      </c>
      <c r="E79" s="38">
        <f>+COUNTIFS('LOI and Commissioning Master Sh'!$D:$D,'Review PPT update '!$A79, 'LOI and Commissioning Master Sh'!$G:$G,"E", 'LOI and Commissioning Master Sh'!$X:$X,"Yes",'LOI and Commissioning Master Sh'!$AE:$AE,E$69)</f>
        <v>0</v>
      </c>
      <c r="F79" s="38">
        <f>+COUNTIFS('LOI and Commissioning Master Sh'!$D:$D,'Review PPT update '!$A79, 'LOI and Commissioning Master Sh'!$G:$G,"E", 'LOI and Commissioning Master Sh'!$X:$X,"Yes",'LOI and Commissioning Master Sh'!$AE:$AE,F$69)</f>
        <v>1</v>
      </c>
      <c r="G79" s="38">
        <f>+COUNTIFS('LOI and Commissioning Master Sh'!$D:$D,'Review PPT update '!$A79, 'LOI and Commissioning Master Sh'!$G:$G,"E", 'LOI and Commissioning Master Sh'!$X:$X,"Yes",'LOI and Commissioning Master Sh'!$AE:$AE,G$69)</f>
        <v>0</v>
      </c>
      <c r="H79" s="38">
        <f>+COUNTIFS('LOI and Commissioning Master Sh'!$D:$D,'Review PPT update '!$A79, 'LOI and Commissioning Master Sh'!$G:$G,"E", 'LOI and Commissioning Master Sh'!$X:$X,"Yes",'LOI and Commissioning Master Sh'!$AE:$AE,H$69)</f>
        <v>0</v>
      </c>
      <c r="I79" s="38">
        <f>+COUNTIFS('LOI and Commissioning Master Sh'!$D:$D,'Review PPT update '!$A79, 'LOI and Commissioning Master Sh'!$G:$G,"E", 'LOI and Commissioning Master Sh'!$X:$X,"Yes",'LOI and Commissioning Master Sh'!$AE:$AE,I$69)</f>
        <v>0</v>
      </c>
      <c r="J79" s="38">
        <f>+COUNTIFS('LOI and Commissioning Master Sh'!$D:$D,'Review PPT update '!$A79, 'LOI and Commissioning Master Sh'!$G:$G,"E", 'LOI and Commissioning Master Sh'!$X:$X,"Yes",'LOI and Commissioning Master Sh'!$AE:$AE,J$69)</f>
        <v>0</v>
      </c>
      <c r="K79" s="38">
        <f>+COUNTIFS('LOI and Commissioning Master Sh'!$D:$D,'Review PPT update '!$A79, 'LOI and Commissioning Master Sh'!$G:$G,"E", 'LOI and Commissioning Master Sh'!$X:$X,"Yes",'LOI and Commissioning Master Sh'!$AE:$AE,K$69)</f>
        <v>0</v>
      </c>
      <c r="L79" s="38">
        <f>+COUNTIFS('LOI and Commissioning Master Sh'!$D:$D,'Review PPT update '!$A79, 'LOI and Commissioning Master Sh'!$G:$G,"E", 'LOI and Commissioning Master Sh'!$X:$X,"Yes",'LOI and Commissioning Master Sh'!$AE:$AE,L$69)</f>
        <v>0</v>
      </c>
      <c r="M79" s="38">
        <f>+COUNTIFS('LOI and Commissioning Master Sh'!$D:$D,'Review PPT update '!$A79, 'LOI and Commissioning Master Sh'!$G:$G,"E", 'LOI and Commissioning Master Sh'!$X:$X,"Yes",'LOI and Commissioning Master Sh'!$AE:$AE,M$69)</f>
        <v>0</v>
      </c>
      <c r="N79" s="38">
        <f>+COUNTIFS('LOI and Commissioning Master Sh'!$D:$D,'Review PPT update '!$A79, 'LOI and Commissioning Master Sh'!$G:$G,"E", 'LOI and Commissioning Master Sh'!$X:$X,"Yes",'LOI and Commissioning Master Sh'!$AE:$AE,N$69)</f>
        <v>0</v>
      </c>
      <c r="O79" s="38">
        <f>+COUNTIFS('LOI and Commissioning Master Sh'!$D:$D,'Review PPT update '!$A79, 'LOI and Commissioning Master Sh'!$G:$G,"E", 'LOI and Commissioning Master Sh'!$X:$X,"Yes",'LOI and Commissioning Master Sh'!$AE:$AE,O$69)</f>
        <v>0</v>
      </c>
      <c r="P79" s="38">
        <f>+COUNTIFS('LOI and Commissioning Master Sh'!$D:$D,'Review PPT update '!$A79, 'LOI and Commissioning Master Sh'!$G:$G,"E", 'LOI and Commissioning Master Sh'!$X:$X,"Yes",'LOI and Commissioning Master Sh'!$AE:$AE,P$69)</f>
        <v>0</v>
      </c>
      <c r="Q79" s="38">
        <f t="shared" si="12"/>
        <v>1</v>
      </c>
    </row>
    <row r="80" spans="1:17" thickBot="1" x14ac:dyDescent="0.3">
      <c r="A80" s="107" t="s">
        <v>195</v>
      </c>
      <c r="B80" s="38">
        <f>+COUNTIFS('LOI and Commissioning Master Sh'!$D:$D,'Review PPT update '!$A80, 'LOI and Commissioning Master Sh'!$G:$G,"E")</f>
        <v>2</v>
      </c>
      <c r="C80" s="38">
        <f>+COUNTIFS('LOI and Commissioning Master Sh'!$D:$D,'Review PPT update '!$A80, 'LOI and Commissioning Master Sh'!$G:$G,"E", 'LOI and Commissioning Master Sh'!$W:$W,"Yes")</f>
        <v>1</v>
      </c>
      <c r="D80" s="38">
        <f>+COUNTIFS('LOI and Commissioning Master Sh'!$D:$D,'Review PPT update '!$A80, 'LOI and Commissioning Master Sh'!$G:$G,"E", 'LOI and Commissioning Master Sh'!$X:$X,"Yes")</f>
        <v>1</v>
      </c>
      <c r="E80" s="38">
        <f>+COUNTIFS('LOI and Commissioning Master Sh'!$D:$D,'Review PPT update '!$A80, 'LOI and Commissioning Master Sh'!$G:$G,"E", 'LOI and Commissioning Master Sh'!$X:$X,"Yes",'LOI and Commissioning Master Sh'!$AE:$AE,E$69)</f>
        <v>0</v>
      </c>
      <c r="F80" s="38">
        <f>+COUNTIFS('LOI and Commissioning Master Sh'!$D:$D,'Review PPT update '!$A80, 'LOI and Commissioning Master Sh'!$G:$G,"E", 'LOI and Commissioning Master Sh'!$X:$X,"Yes",'LOI and Commissioning Master Sh'!$AE:$AE,F$69)</f>
        <v>0</v>
      </c>
      <c r="G80" s="38">
        <f>+COUNTIFS('LOI and Commissioning Master Sh'!$D:$D,'Review PPT update '!$A80, 'LOI and Commissioning Master Sh'!$G:$G,"E", 'LOI and Commissioning Master Sh'!$X:$X,"Yes",'LOI and Commissioning Master Sh'!$AE:$AE,G$69)</f>
        <v>0</v>
      </c>
      <c r="H80" s="38">
        <f>+COUNTIFS('LOI and Commissioning Master Sh'!$D:$D,'Review PPT update '!$A80, 'LOI and Commissioning Master Sh'!$G:$G,"E", 'LOI and Commissioning Master Sh'!$X:$X,"Yes",'LOI and Commissioning Master Sh'!$AE:$AE,H$69)</f>
        <v>0</v>
      </c>
      <c r="I80" s="38">
        <f>+COUNTIFS('LOI and Commissioning Master Sh'!$D:$D,'Review PPT update '!$A80, 'LOI and Commissioning Master Sh'!$G:$G,"E", 'LOI and Commissioning Master Sh'!$X:$X,"Yes",'LOI and Commissioning Master Sh'!$AE:$AE,I$69)</f>
        <v>0</v>
      </c>
      <c r="J80" s="38">
        <f>+COUNTIFS('LOI and Commissioning Master Sh'!$D:$D,'Review PPT update '!$A80, 'LOI and Commissioning Master Sh'!$G:$G,"E", 'LOI and Commissioning Master Sh'!$X:$X,"Yes",'LOI and Commissioning Master Sh'!$AE:$AE,J$69)</f>
        <v>0</v>
      </c>
      <c r="K80" s="38">
        <f>+COUNTIFS('LOI and Commissioning Master Sh'!$D:$D,'Review PPT update '!$A80, 'LOI and Commissioning Master Sh'!$G:$G,"E", 'LOI and Commissioning Master Sh'!$X:$X,"Yes",'LOI and Commissioning Master Sh'!$AE:$AE,K$69)</f>
        <v>1</v>
      </c>
      <c r="L80" s="38">
        <f>+COUNTIFS('LOI and Commissioning Master Sh'!$D:$D,'Review PPT update '!$A80, 'LOI and Commissioning Master Sh'!$G:$G,"E", 'LOI and Commissioning Master Sh'!$X:$X,"Yes",'LOI and Commissioning Master Sh'!$AE:$AE,L$69)</f>
        <v>0</v>
      </c>
      <c r="M80" s="38">
        <f>+COUNTIFS('LOI and Commissioning Master Sh'!$D:$D,'Review PPT update '!$A80, 'LOI and Commissioning Master Sh'!$G:$G,"E", 'LOI and Commissioning Master Sh'!$X:$X,"Yes",'LOI and Commissioning Master Sh'!$AE:$AE,M$69)</f>
        <v>0</v>
      </c>
      <c r="N80" s="38">
        <f>+COUNTIFS('LOI and Commissioning Master Sh'!$D:$D,'Review PPT update '!$A80, 'LOI and Commissioning Master Sh'!$G:$G,"E", 'LOI and Commissioning Master Sh'!$X:$X,"Yes",'LOI and Commissioning Master Sh'!$AE:$AE,N$69)</f>
        <v>0</v>
      </c>
      <c r="O80" s="38">
        <f>+COUNTIFS('LOI and Commissioning Master Sh'!$D:$D,'Review PPT update '!$A80, 'LOI and Commissioning Master Sh'!$G:$G,"E", 'LOI and Commissioning Master Sh'!$X:$X,"Yes",'LOI and Commissioning Master Sh'!$AE:$AE,O$69)</f>
        <v>0</v>
      </c>
      <c r="P80" s="38">
        <f>+COUNTIFS('LOI and Commissioning Master Sh'!$D:$D,'Review PPT update '!$A80, 'LOI and Commissioning Master Sh'!$G:$G,"E", 'LOI and Commissioning Master Sh'!$X:$X,"Yes",'LOI and Commissioning Master Sh'!$AE:$AE,P$69)</f>
        <v>0</v>
      </c>
      <c r="Q80" s="38">
        <f t="shared" si="12"/>
        <v>1</v>
      </c>
    </row>
    <row r="81" spans="1:17" thickBot="1" x14ac:dyDescent="0.3">
      <c r="A81" s="41" t="s">
        <v>1344</v>
      </c>
      <c r="B81" s="41">
        <f>SUM(B70:B80)</f>
        <v>31</v>
      </c>
      <c r="C81" s="41">
        <f>SUM(C70:C80)</f>
        <v>15</v>
      </c>
      <c r="D81" s="41">
        <f t="shared" ref="D81:Q81" si="13">SUM(D70:D80)</f>
        <v>11</v>
      </c>
      <c r="E81" s="41">
        <f t="shared" si="13"/>
        <v>1</v>
      </c>
      <c r="F81" s="41">
        <f t="shared" si="13"/>
        <v>2</v>
      </c>
      <c r="G81" s="41">
        <f t="shared" si="13"/>
        <v>1</v>
      </c>
      <c r="H81" s="41">
        <f t="shared" si="13"/>
        <v>0</v>
      </c>
      <c r="I81" s="41">
        <f t="shared" si="13"/>
        <v>1</v>
      </c>
      <c r="J81" s="41">
        <f t="shared" si="13"/>
        <v>0</v>
      </c>
      <c r="K81" s="41">
        <f t="shared" si="13"/>
        <v>2</v>
      </c>
      <c r="L81" s="41">
        <f t="shared" si="13"/>
        <v>0</v>
      </c>
      <c r="M81" s="41">
        <f t="shared" si="13"/>
        <v>1</v>
      </c>
      <c r="N81" s="41">
        <f t="shared" si="13"/>
        <v>1</v>
      </c>
      <c r="O81" s="41">
        <f t="shared" si="13"/>
        <v>1</v>
      </c>
      <c r="P81" s="41">
        <f t="shared" si="13"/>
        <v>1</v>
      </c>
      <c r="Q81" s="41">
        <f t="shared" si="13"/>
        <v>11</v>
      </c>
    </row>
    <row r="83" spans="1:17" ht="19.5" thickBot="1" x14ac:dyDescent="0.35">
      <c r="A83" s="39" t="s">
        <v>1348</v>
      </c>
    </row>
    <row r="84" spans="1:17" ht="72.75" thickBot="1" x14ac:dyDescent="0.3">
      <c r="A84" s="37" t="s">
        <v>1473</v>
      </c>
      <c r="B84" s="103" t="s">
        <v>1474</v>
      </c>
      <c r="C84" s="103" t="s">
        <v>1475</v>
      </c>
      <c r="D84" s="103" t="s">
        <v>1476</v>
      </c>
      <c r="E84" s="104">
        <v>46113</v>
      </c>
      <c r="F84" s="104">
        <v>46143</v>
      </c>
      <c r="G84" s="104">
        <v>46174</v>
      </c>
      <c r="H84" s="104">
        <v>46204</v>
      </c>
      <c r="I84" s="104">
        <v>46235</v>
      </c>
      <c r="J84" s="104">
        <v>46266</v>
      </c>
      <c r="K84" s="104">
        <v>46296</v>
      </c>
      <c r="L84" s="104">
        <v>46327</v>
      </c>
      <c r="M84" s="104">
        <v>46357</v>
      </c>
      <c r="N84" s="104">
        <v>46388</v>
      </c>
      <c r="O84" s="104">
        <v>46419</v>
      </c>
      <c r="P84" s="104">
        <v>46447</v>
      </c>
      <c r="Q84" s="103" t="s">
        <v>1344</v>
      </c>
    </row>
    <row r="85" spans="1:17" thickBot="1" x14ac:dyDescent="0.3">
      <c r="A85" s="107" t="s">
        <v>190</v>
      </c>
      <c r="B85" s="38">
        <f>+COUNTIFS('LOI and Commissioning Master Sh'!$D:$D,'Review PPT update '!$A85)</f>
        <v>22</v>
      </c>
      <c r="C85" s="38">
        <f>+COUNTIFS('LOI and Commissioning Master Sh'!$D:$D,'Review PPT update '!$A85, 'LOI and Commissioning Master Sh'!$W:$W,"Yes")</f>
        <v>14</v>
      </c>
      <c r="D85" s="38">
        <f>+COUNTIFS('LOI and Commissioning Master Sh'!$D:$D,'Review PPT update '!$A85, 'LOI and Commissioning Master Sh'!$X:$X,"Yes")</f>
        <v>8</v>
      </c>
      <c r="E85" s="38">
        <f>+COUNTIFS('LOI and Commissioning Master Sh'!$D:$D,'Review PPT update '!$A85, 'LOI and Commissioning Master Sh'!$X:$X,"Yes",'LOI and Commissioning Master Sh'!$AE:$AE,E$84)</f>
        <v>0</v>
      </c>
      <c r="F85" s="38">
        <f>+COUNTIFS('LOI and Commissioning Master Sh'!$D:$D,'Review PPT update '!$A85, 'LOI and Commissioning Master Sh'!$X:$X,"Yes",'LOI and Commissioning Master Sh'!$AE:$AE,F$84)</f>
        <v>0</v>
      </c>
      <c r="G85" s="38">
        <f>+COUNTIFS('LOI and Commissioning Master Sh'!$D:$D,'Review PPT update '!$A85, 'LOI and Commissioning Master Sh'!$X:$X,"Yes",'LOI and Commissioning Master Sh'!$AE:$AE,G$84)</f>
        <v>2</v>
      </c>
      <c r="H85" s="38">
        <f>+COUNTIFS('LOI and Commissioning Master Sh'!$D:$D,'Review PPT update '!$A85, 'LOI and Commissioning Master Sh'!$X:$X,"Yes",'LOI and Commissioning Master Sh'!$AE:$AE,H$84)</f>
        <v>0</v>
      </c>
      <c r="I85" s="38">
        <f>+COUNTIFS('LOI and Commissioning Master Sh'!$D:$D,'Review PPT update '!$A85, 'LOI and Commissioning Master Sh'!$X:$X,"Yes",'LOI and Commissioning Master Sh'!$AE:$AE,I$84)</f>
        <v>0</v>
      </c>
      <c r="J85" s="38">
        <f>+COUNTIFS('LOI and Commissioning Master Sh'!$D:$D,'Review PPT update '!$A85, 'LOI and Commissioning Master Sh'!$X:$X,"Yes",'LOI and Commissioning Master Sh'!$AE:$AE,J$84)</f>
        <v>1</v>
      </c>
      <c r="K85" s="38">
        <f>+COUNTIFS('LOI and Commissioning Master Sh'!$D:$D,'Review PPT update '!$A85, 'LOI and Commissioning Master Sh'!$X:$X,"Yes",'LOI and Commissioning Master Sh'!$AE:$AE,K$84)</f>
        <v>1</v>
      </c>
      <c r="L85" s="38">
        <f>+COUNTIFS('LOI and Commissioning Master Sh'!$D:$D,'Review PPT update '!$A85, 'LOI and Commissioning Master Sh'!$X:$X,"Yes",'LOI and Commissioning Master Sh'!$AE:$AE,L$84)</f>
        <v>0</v>
      </c>
      <c r="M85" s="38">
        <f>+COUNTIFS('LOI and Commissioning Master Sh'!$D:$D,'Review PPT update '!$A85, 'LOI and Commissioning Master Sh'!$X:$X,"Yes",'LOI and Commissioning Master Sh'!$AE:$AE,M$84)</f>
        <v>1</v>
      </c>
      <c r="N85" s="38">
        <f>+COUNTIFS('LOI and Commissioning Master Sh'!$D:$D,'Review PPT update '!$A85, 'LOI and Commissioning Master Sh'!$X:$X,"Yes",'LOI and Commissioning Master Sh'!$AE:$AE,N$84)</f>
        <v>3</v>
      </c>
      <c r="O85" s="38">
        <f>+COUNTIFS('LOI and Commissioning Master Sh'!$D:$D,'Review PPT update '!$A85, 'LOI and Commissioning Master Sh'!$X:$X,"Yes",'LOI and Commissioning Master Sh'!$AE:$AE,O$84)</f>
        <v>0</v>
      </c>
      <c r="P85" s="38">
        <f>+COUNTIFS('LOI and Commissioning Master Sh'!$D:$D,'Review PPT update '!$A85, 'LOI and Commissioning Master Sh'!$X:$X,"Yes",'LOI and Commissioning Master Sh'!$AE:$AE,P$84)</f>
        <v>0</v>
      </c>
      <c r="Q85" s="38">
        <f t="shared" ref="Q85:Q95" si="14">+SUM(E85:P85)</f>
        <v>8</v>
      </c>
    </row>
    <row r="86" spans="1:17" thickBot="1" x14ac:dyDescent="0.3">
      <c r="A86" s="107" t="s">
        <v>156</v>
      </c>
      <c r="B86" s="38">
        <f>+COUNTIFS('LOI and Commissioning Master Sh'!$D:$D,'Review PPT update '!$A86)</f>
        <v>33</v>
      </c>
      <c r="C86" s="38">
        <f>+COUNTIFS('LOI and Commissioning Master Sh'!$D:$D,'Review PPT update '!$A86, 'LOI and Commissioning Master Sh'!$W:$W,"Yes")</f>
        <v>15</v>
      </c>
      <c r="D86" s="38">
        <f>+COUNTIFS('LOI and Commissioning Master Sh'!$D:$D,'Review PPT update '!$A86, 'LOI and Commissioning Master Sh'!$X:$X,"Yes")</f>
        <v>11</v>
      </c>
      <c r="E86" s="38">
        <f>+COUNTIFS('LOI and Commissioning Master Sh'!$D:$D,'Review PPT update '!$A86, 'LOI and Commissioning Master Sh'!$X:$X,"Yes",'LOI and Commissioning Master Sh'!$AE:$AE,E$84)</f>
        <v>0</v>
      </c>
      <c r="F86" s="38">
        <f>+COUNTIFS('LOI and Commissioning Master Sh'!$D:$D,'Review PPT update '!$A86, 'LOI and Commissioning Master Sh'!$X:$X,"Yes",'LOI and Commissioning Master Sh'!$AE:$AE,F$84)</f>
        <v>1</v>
      </c>
      <c r="G86" s="38">
        <f>+COUNTIFS('LOI and Commissioning Master Sh'!$D:$D,'Review PPT update '!$A86, 'LOI and Commissioning Master Sh'!$X:$X,"Yes",'LOI and Commissioning Master Sh'!$AE:$AE,G$84)</f>
        <v>4</v>
      </c>
      <c r="H86" s="38">
        <f>+COUNTIFS('LOI and Commissioning Master Sh'!$D:$D,'Review PPT update '!$A86, 'LOI and Commissioning Master Sh'!$X:$X,"Yes",'LOI and Commissioning Master Sh'!$AE:$AE,H$84)</f>
        <v>1</v>
      </c>
      <c r="I86" s="38">
        <f>+COUNTIFS('LOI and Commissioning Master Sh'!$D:$D,'Review PPT update '!$A86, 'LOI and Commissioning Master Sh'!$X:$X,"Yes",'LOI and Commissioning Master Sh'!$AE:$AE,I$84)</f>
        <v>1</v>
      </c>
      <c r="J86" s="38">
        <f>+COUNTIFS('LOI and Commissioning Master Sh'!$D:$D,'Review PPT update '!$A86, 'LOI and Commissioning Master Sh'!$X:$X,"Yes",'LOI and Commissioning Master Sh'!$AE:$AE,J$84)</f>
        <v>1</v>
      </c>
      <c r="K86" s="38">
        <f>+COUNTIFS('LOI and Commissioning Master Sh'!$D:$D,'Review PPT update '!$A86, 'LOI and Commissioning Master Sh'!$X:$X,"Yes",'LOI and Commissioning Master Sh'!$AE:$AE,K$84)</f>
        <v>1</v>
      </c>
      <c r="L86" s="38">
        <f>+COUNTIFS('LOI and Commissioning Master Sh'!$D:$D,'Review PPT update '!$A86, 'LOI and Commissioning Master Sh'!$X:$X,"Yes",'LOI and Commissioning Master Sh'!$AE:$AE,L$84)</f>
        <v>1</v>
      </c>
      <c r="M86" s="38">
        <f>+COUNTIFS('LOI and Commissioning Master Sh'!$D:$D,'Review PPT update '!$A86, 'LOI and Commissioning Master Sh'!$X:$X,"Yes",'LOI and Commissioning Master Sh'!$AE:$AE,M$84)</f>
        <v>0</v>
      </c>
      <c r="N86" s="38">
        <f>+COUNTIFS('LOI and Commissioning Master Sh'!$D:$D,'Review PPT update '!$A86, 'LOI and Commissioning Master Sh'!$X:$X,"Yes",'LOI and Commissioning Master Sh'!$AE:$AE,N$84)</f>
        <v>1</v>
      </c>
      <c r="O86" s="38">
        <f>+COUNTIFS('LOI and Commissioning Master Sh'!$D:$D,'Review PPT update '!$A86, 'LOI and Commissioning Master Sh'!$X:$X,"Yes",'LOI and Commissioning Master Sh'!$AE:$AE,O$84)</f>
        <v>0</v>
      </c>
      <c r="P86" s="38">
        <f>+COUNTIFS('LOI and Commissioning Master Sh'!$D:$D,'Review PPT update '!$A86, 'LOI and Commissioning Master Sh'!$X:$X,"Yes",'LOI and Commissioning Master Sh'!$AE:$AE,P$84)</f>
        <v>0</v>
      </c>
      <c r="Q86" s="38">
        <f t="shared" si="14"/>
        <v>11</v>
      </c>
    </row>
    <row r="87" spans="1:17" thickBot="1" x14ac:dyDescent="0.3">
      <c r="A87" s="107" t="s">
        <v>383</v>
      </c>
      <c r="B87" s="38">
        <f>+COUNTIFS('LOI and Commissioning Master Sh'!$D:$D,'Review PPT update '!$A87)</f>
        <v>16</v>
      </c>
      <c r="C87" s="38">
        <f>+COUNTIFS('LOI and Commissioning Master Sh'!$D:$D,'Review PPT update '!$A87, 'LOI and Commissioning Master Sh'!$W:$W,"Yes")</f>
        <v>3</v>
      </c>
      <c r="D87" s="38">
        <f>+COUNTIFS('LOI and Commissioning Master Sh'!$D:$D,'Review PPT update '!$A87, 'LOI and Commissioning Master Sh'!$X:$X,"Yes")</f>
        <v>3</v>
      </c>
      <c r="E87" s="38">
        <f>+COUNTIFS('LOI and Commissioning Master Sh'!$D:$D,'Review PPT update '!$A87, 'LOI and Commissioning Master Sh'!$X:$X,"Yes",'LOI and Commissioning Master Sh'!$AE:$AE,E$84)</f>
        <v>0</v>
      </c>
      <c r="F87" s="38">
        <f>+COUNTIFS('LOI and Commissioning Master Sh'!$D:$D,'Review PPT update '!$A87, 'LOI and Commissioning Master Sh'!$X:$X,"Yes",'LOI and Commissioning Master Sh'!$AE:$AE,F$84)</f>
        <v>0</v>
      </c>
      <c r="G87" s="38">
        <f>+COUNTIFS('LOI and Commissioning Master Sh'!$D:$D,'Review PPT update '!$A87, 'LOI and Commissioning Master Sh'!$X:$X,"Yes",'LOI and Commissioning Master Sh'!$AE:$AE,G$84)</f>
        <v>0</v>
      </c>
      <c r="H87" s="38">
        <f>+COUNTIFS('LOI and Commissioning Master Sh'!$D:$D,'Review PPT update '!$A87, 'LOI and Commissioning Master Sh'!$X:$X,"Yes",'LOI and Commissioning Master Sh'!$AE:$AE,H$84)</f>
        <v>0</v>
      </c>
      <c r="I87" s="38">
        <f>+COUNTIFS('LOI and Commissioning Master Sh'!$D:$D,'Review PPT update '!$A87, 'LOI and Commissioning Master Sh'!$X:$X,"Yes",'LOI and Commissioning Master Sh'!$AE:$AE,I$84)</f>
        <v>0</v>
      </c>
      <c r="J87" s="38">
        <f>+COUNTIFS('LOI and Commissioning Master Sh'!$D:$D,'Review PPT update '!$A87, 'LOI and Commissioning Master Sh'!$X:$X,"Yes",'LOI and Commissioning Master Sh'!$AE:$AE,J$84)</f>
        <v>0</v>
      </c>
      <c r="K87" s="38">
        <f>+COUNTIFS('LOI and Commissioning Master Sh'!$D:$D,'Review PPT update '!$A87, 'LOI and Commissioning Master Sh'!$X:$X,"Yes",'LOI and Commissioning Master Sh'!$AE:$AE,K$84)</f>
        <v>0</v>
      </c>
      <c r="L87" s="38">
        <f>+COUNTIFS('LOI and Commissioning Master Sh'!$D:$D,'Review PPT update '!$A87, 'LOI and Commissioning Master Sh'!$X:$X,"Yes",'LOI and Commissioning Master Sh'!$AE:$AE,L$84)</f>
        <v>0</v>
      </c>
      <c r="M87" s="38">
        <f>+COUNTIFS('LOI and Commissioning Master Sh'!$D:$D,'Review PPT update '!$A87, 'LOI and Commissioning Master Sh'!$X:$X,"Yes",'LOI and Commissioning Master Sh'!$AE:$AE,M$84)</f>
        <v>1</v>
      </c>
      <c r="N87" s="38">
        <f>+COUNTIFS('LOI and Commissioning Master Sh'!$D:$D,'Review PPT update '!$A87, 'LOI and Commissioning Master Sh'!$X:$X,"Yes",'LOI and Commissioning Master Sh'!$AE:$AE,N$84)</f>
        <v>0</v>
      </c>
      <c r="O87" s="38">
        <f>+COUNTIFS('LOI and Commissioning Master Sh'!$D:$D,'Review PPT update '!$A87, 'LOI and Commissioning Master Sh'!$X:$X,"Yes",'LOI and Commissioning Master Sh'!$AE:$AE,O$84)</f>
        <v>2</v>
      </c>
      <c r="P87" s="38">
        <f>+COUNTIFS('LOI and Commissioning Master Sh'!$D:$D,'Review PPT update '!$A87, 'LOI and Commissioning Master Sh'!$X:$X,"Yes",'LOI and Commissioning Master Sh'!$AE:$AE,P$84)</f>
        <v>0</v>
      </c>
      <c r="Q87" s="38">
        <f t="shared" si="14"/>
        <v>3</v>
      </c>
    </row>
    <row r="88" spans="1:17" thickBot="1" x14ac:dyDescent="0.3">
      <c r="A88" s="107" t="s">
        <v>150</v>
      </c>
      <c r="B88" s="38">
        <f>+COUNTIFS('LOI and Commissioning Master Sh'!$D:$D,'Review PPT update '!$A88)</f>
        <v>16</v>
      </c>
      <c r="C88" s="38">
        <f>+COUNTIFS('LOI and Commissioning Master Sh'!$D:$D,'Review PPT update '!$A88, 'LOI and Commissioning Master Sh'!$W:$W,"Yes")</f>
        <v>7</v>
      </c>
      <c r="D88" s="38">
        <f>+COUNTIFS('LOI and Commissioning Master Sh'!$D:$D,'Review PPT update '!$A88, 'LOI and Commissioning Master Sh'!$X:$X,"Yes")</f>
        <v>6</v>
      </c>
      <c r="E88" s="38">
        <f>+COUNTIFS('LOI and Commissioning Master Sh'!$D:$D,'Review PPT update '!$A88, 'LOI and Commissioning Master Sh'!$X:$X,"Yes",'LOI and Commissioning Master Sh'!$AE:$AE,E$84)</f>
        <v>0</v>
      </c>
      <c r="F88" s="38">
        <f>+COUNTIFS('LOI and Commissioning Master Sh'!$D:$D,'Review PPT update '!$A88, 'LOI and Commissioning Master Sh'!$X:$X,"Yes",'LOI and Commissioning Master Sh'!$AE:$AE,F$84)</f>
        <v>1</v>
      </c>
      <c r="G88" s="38">
        <f>+COUNTIFS('LOI and Commissioning Master Sh'!$D:$D,'Review PPT update '!$A88, 'LOI and Commissioning Master Sh'!$X:$X,"Yes",'LOI and Commissioning Master Sh'!$AE:$AE,G$84)</f>
        <v>0</v>
      </c>
      <c r="H88" s="38">
        <f>+COUNTIFS('LOI and Commissioning Master Sh'!$D:$D,'Review PPT update '!$A88, 'LOI and Commissioning Master Sh'!$X:$X,"Yes",'LOI and Commissioning Master Sh'!$AE:$AE,H$84)</f>
        <v>1</v>
      </c>
      <c r="I88" s="38">
        <f>+COUNTIFS('LOI and Commissioning Master Sh'!$D:$D,'Review PPT update '!$A88, 'LOI and Commissioning Master Sh'!$X:$X,"Yes",'LOI and Commissioning Master Sh'!$AE:$AE,I$84)</f>
        <v>0</v>
      </c>
      <c r="J88" s="38">
        <f>+COUNTIFS('LOI and Commissioning Master Sh'!$D:$D,'Review PPT update '!$A88, 'LOI and Commissioning Master Sh'!$X:$X,"Yes",'LOI and Commissioning Master Sh'!$AE:$AE,J$84)</f>
        <v>2</v>
      </c>
      <c r="K88" s="38">
        <f>+COUNTIFS('LOI and Commissioning Master Sh'!$D:$D,'Review PPT update '!$A88, 'LOI and Commissioning Master Sh'!$X:$X,"Yes",'LOI and Commissioning Master Sh'!$AE:$AE,K$84)</f>
        <v>0</v>
      </c>
      <c r="L88" s="38">
        <f>+COUNTIFS('LOI and Commissioning Master Sh'!$D:$D,'Review PPT update '!$A88, 'LOI and Commissioning Master Sh'!$X:$X,"Yes",'LOI and Commissioning Master Sh'!$AE:$AE,L$84)</f>
        <v>0</v>
      </c>
      <c r="M88" s="38">
        <f>+COUNTIFS('LOI and Commissioning Master Sh'!$D:$D,'Review PPT update '!$A88, 'LOI and Commissioning Master Sh'!$X:$X,"Yes",'LOI and Commissioning Master Sh'!$AE:$AE,M$84)</f>
        <v>1</v>
      </c>
      <c r="N88" s="38">
        <f>+COUNTIFS('LOI and Commissioning Master Sh'!$D:$D,'Review PPT update '!$A88, 'LOI and Commissioning Master Sh'!$X:$X,"Yes",'LOI and Commissioning Master Sh'!$AE:$AE,N$84)</f>
        <v>0</v>
      </c>
      <c r="O88" s="38">
        <f>+COUNTIFS('LOI and Commissioning Master Sh'!$D:$D,'Review PPT update '!$A88, 'LOI and Commissioning Master Sh'!$X:$X,"Yes",'LOI and Commissioning Master Sh'!$AE:$AE,O$84)</f>
        <v>0</v>
      </c>
      <c r="P88" s="38">
        <f>+COUNTIFS('LOI and Commissioning Master Sh'!$D:$D,'Review PPT update '!$A88, 'LOI and Commissioning Master Sh'!$X:$X,"Yes",'LOI and Commissioning Master Sh'!$AE:$AE,P$84)</f>
        <v>1</v>
      </c>
      <c r="Q88" s="38">
        <f t="shared" si="14"/>
        <v>6</v>
      </c>
    </row>
    <row r="89" spans="1:17" thickBot="1" x14ac:dyDescent="0.3">
      <c r="A89" s="107" t="s">
        <v>121</v>
      </c>
      <c r="B89" s="38">
        <f>+COUNTIFS('LOI and Commissioning Master Sh'!$D:$D,'Review PPT update '!$A89)</f>
        <v>28</v>
      </c>
      <c r="C89" s="38">
        <f>+COUNTIFS('LOI and Commissioning Master Sh'!$D:$D,'Review PPT update '!$A89, 'LOI and Commissioning Master Sh'!$W:$W,"Yes")</f>
        <v>13</v>
      </c>
      <c r="D89" s="38">
        <f>+COUNTIFS('LOI and Commissioning Master Sh'!$D:$D,'Review PPT update '!$A89, 'LOI and Commissioning Master Sh'!$X:$X,"Yes")</f>
        <v>9</v>
      </c>
      <c r="E89" s="38">
        <f>+COUNTIFS('LOI and Commissioning Master Sh'!$D:$D,'Review PPT update '!$A89, 'LOI and Commissioning Master Sh'!$X:$X,"Yes",'LOI and Commissioning Master Sh'!$AE:$AE,E$84)</f>
        <v>0</v>
      </c>
      <c r="F89" s="38">
        <f>+COUNTIFS('LOI and Commissioning Master Sh'!$D:$D,'Review PPT update '!$A89, 'LOI and Commissioning Master Sh'!$X:$X,"Yes",'LOI and Commissioning Master Sh'!$AE:$AE,F$84)</f>
        <v>2</v>
      </c>
      <c r="G89" s="38">
        <f>+COUNTIFS('LOI and Commissioning Master Sh'!$D:$D,'Review PPT update '!$A89, 'LOI and Commissioning Master Sh'!$X:$X,"Yes",'LOI and Commissioning Master Sh'!$AE:$AE,G$84)</f>
        <v>2</v>
      </c>
      <c r="H89" s="38">
        <f>+COUNTIFS('LOI and Commissioning Master Sh'!$D:$D,'Review PPT update '!$A89, 'LOI and Commissioning Master Sh'!$X:$X,"Yes",'LOI and Commissioning Master Sh'!$AE:$AE,H$84)</f>
        <v>0</v>
      </c>
      <c r="I89" s="38">
        <f>+COUNTIFS('LOI and Commissioning Master Sh'!$D:$D,'Review PPT update '!$A89, 'LOI and Commissioning Master Sh'!$X:$X,"Yes",'LOI and Commissioning Master Sh'!$AE:$AE,I$84)</f>
        <v>0</v>
      </c>
      <c r="J89" s="38">
        <f>+COUNTIFS('LOI and Commissioning Master Sh'!$D:$D,'Review PPT update '!$A89, 'LOI and Commissioning Master Sh'!$X:$X,"Yes",'LOI and Commissioning Master Sh'!$AE:$AE,J$84)</f>
        <v>0</v>
      </c>
      <c r="K89" s="38">
        <f>+COUNTIFS('LOI and Commissioning Master Sh'!$D:$D,'Review PPT update '!$A89, 'LOI and Commissioning Master Sh'!$X:$X,"Yes",'LOI and Commissioning Master Sh'!$AE:$AE,K$84)</f>
        <v>1</v>
      </c>
      <c r="L89" s="38">
        <f>+COUNTIFS('LOI and Commissioning Master Sh'!$D:$D,'Review PPT update '!$A89, 'LOI and Commissioning Master Sh'!$X:$X,"Yes",'LOI and Commissioning Master Sh'!$AE:$AE,L$84)</f>
        <v>1</v>
      </c>
      <c r="M89" s="38">
        <f>+COUNTIFS('LOI and Commissioning Master Sh'!$D:$D,'Review PPT update '!$A89, 'LOI and Commissioning Master Sh'!$X:$X,"Yes",'LOI and Commissioning Master Sh'!$AE:$AE,M$84)</f>
        <v>0</v>
      </c>
      <c r="N89" s="38">
        <f>+COUNTIFS('LOI and Commissioning Master Sh'!$D:$D,'Review PPT update '!$A89, 'LOI and Commissioning Master Sh'!$X:$X,"Yes",'LOI and Commissioning Master Sh'!$AE:$AE,N$84)</f>
        <v>1</v>
      </c>
      <c r="O89" s="38">
        <f>+COUNTIFS('LOI and Commissioning Master Sh'!$D:$D,'Review PPT update '!$A89, 'LOI and Commissioning Master Sh'!$X:$X,"Yes",'LOI and Commissioning Master Sh'!$AE:$AE,O$84)</f>
        <v>1</v>
      </c>
      <c r="P89" s="38">
        <f>+COUNTIFS('LOI and Commissioning Master Sh'!$D:$D,'Review PPT update '!$A89, 'LOI and Commissioning Master Sh'!$X:$X,"Yes",'LOI and Commissioning Master Sh'!$AE:$AE,P$84)</f>
        <v>1</v>
      </c>
      <c r="Q89" s="38">
        <f t="shared" si="14"/>
        <v>9</v>
      </c>
    </row>
    <row r="90" spans="1:17" thickBot="1" x14ac:dyDescent="0.3">
      <c r="A90" s="107" t="s">
        <v>220</v>
      </c>
      <c r="B90" s="38">
        <f>+COUNTIFS('LOI and Commissioning Master Sh'!$D:$D,'Review PPT update '!$A90)</f>
        <v>34</v>
      </c>
      <c r="C90" s="38">
        <f>+COUNTIFS('LOI and Commissioning Master Sh'!$D:$D,'Review PPT update '!$A90, 'LOI and Commissioning Master Sh'!$W:$W,"Yes")</f>
        <v>15</v>
      </c>
      <c r="D90" s="38">
        <f>+COUNTIFS('LOI and Commissioning Master Sh'!$D:$D,'Review PPT update '!$A90, 'LOI and Commissioning Master Sh'!$X:$X,"Yes")</f>
        <v>8</v>
      </c>
      <c r="E90" s="38">
        <f>+COUNTIFS('LOI and Commissioning Master Sh'!$D:$D,'Review PPT update '!$A90, 'LOI and Commissioning Master Sh'!$X:$X,"Yes",'LOI and Commissioning Master Sh'!$AE:$AE,E$84)</f>
        <v>0</v>
      </c>
      <c r="F90" s="38">
        <f>+COUNTIFS('LOI and Commissioning Master Sh'!$D:$D,'Review PPT update '!$A90, 'LOI and Commissioning Master Sh'!$X:$X,"Yes",'LOI and Commissioning Master Sh'!$AE:$AE,F$84)</f>
        <v>0</v>
      </c>
      <c r="G90" s="38">
        <f>+COUNTIFS('LOI and Commissioning Master Sh'!$D:$D,'Review PPT update '!$A90, 'LOI and Commissioning Master Sh'!$X:$X,"Yes",'LOI and Commissioning Master Sh'!$AE:$AE,G$84)</f>
        <v>2</v>
      </c>
      <c r="H90" s="38">
        <f>+COUNTIFS('LOI and Commissioning Master Sh'!$D:$D,'Review PPT update '!$A90, 'LOI and Commissioning Master Sh'!$X:$X,"Yes",'LOI and Commissioning Master Sh'!$AE:$AE,H$84)</f>
        <v>0</v>
      </c>
      <c r="I90" s="38">
        <f>+COUNTIFS('LOI and Commissioning Master Sh'!$D:$D,'Review PPT update '!$A90, 'LOI and Commissioning Master Sh'!$X:$X,"Yes",'LOI and Commissioning Master Sh'!$AE:$AE,I$84)</f>
        <v>0</v>
      </c>
      <c r="J90" s="38">
        <f>+COUNTIFS('LOI and Commissioning Master Sh'!$D:$D,'Review PPT update '!$A90, 'LOI and Commissioning Master Sh'!$X:$X,"Yes",'LOI and Commissioning Master Sh'!$AE:$AE,J$84)</f>
        <v>1</v>
      </c>
      <c r="K90" s="38">
        <f>+COUNTIFS('LOI and Commissioning Master Sh'!$D:$D,'Review PPT update '!$A90, 'LOI and Commissioning Master Sh'!$X:$X,"Yes",'LOI and Commissioning Master Sh'!$AE:$AE,K$84)</f>
        <v>1</v>
      </c>
      <c r="L90" s="38">
        <f>+COUNTIFS('LOI and Commissioning Master Sh'!$D:$D,'Review PPT update '!$A90, 'LOI and Commissioning Master Sh'!$X:$X,"Yes",'LOI and Commissioning Master Sh'!$AE:$AE,L$84)</f>
        <v>0</v>
      </c>
      <c r="M90" s="38">
        <f>+COUNTIFS('LOI and Commissioning Master Sh'!$D:$D,'Review PPT update '!$A90, 'LOI and Commissioning Master Sh'!$X:$X,"Yes",'LOI and Commissioning Master Sh'!$AE:$AE,M$84)</f>
        <v>2</v>
      </c>
      <c r="N90" s="38">
        <f>+COUNTIFS('LOI and Commissioning Master Sh'!$D:$D,'Review PPT update '!$A90, 'LOI and Commissioning Master Sh'!$X:$X,"Yes",'LOI and Commissioning Master Sh'!$AE:$AE,N$84)</f>
        <v>1</v>
      </c>
      <c r="O90" s="38">
        <f>+COUNTIFS('LOI and Commissioning Master Sh'!$D:$D,'Review PPT update '!$A90, 'LOI and Commissioning Master Sh'!$X:$X,"Yes",'LOI and Commissioning Master Sh'!$AE:$AE,O$84)</f>
        <v>0</v>
      </c>
      <c r="P90" s="38">
        <f>+COUNTIFS('LOI and Commissioning Master Sh'!$D:$D,'Review PPT update '!$A90, 'LOI and Commissioning Master Sh'!$X:$X,"Yes",'LOI and Commissioning Master Sh'!$AE:$AE,P$84)</f>
        <v>1</v>
      </c>
      <c r="Q90" s="38">
        <f t="shared" si="14"/>
        <v>8</v>
      </c>
    </row>
    <row r="91" spans="1:17" thickBot="1" x14ac:dyDescent="0.3">
      <c r="A91" s="107" t="s">
        <v>398</v>
      </c>
      <c r="B91" s="38">
        <f>+COUNTIFS('LOI and Commissioning Master Sh'!$D:$D,'Review PPT update '!$A91)</f>
        <v>17</v>
      </c>
      <c r="C91" s="38">
        <f>+COUNTIFS('LOI and Commissioning Master Sh'!$D:$D,'Review PPT update '!$A91, 'LOI and Commissioning Master Sh'!$W:$W,"Yes")</f>
        <v>9</v>
      </c>
      <c r="D91" s="38">
        <f>+COUNTIFS('LOI and Commissioning Master Sh'!$D:$D,'Review PPT update '!$A91, 'LOI and Commissioning Master Sh'!$X:$X,"Yes")</f>
        <v>3</v>
      </c>
      <c r="E91" s="38">
        <f>+COUNTIFS('LOI and Commissioning Master Sh'!$D:$D,'Review PPT update '!$A91, 'LOI and Commissioning Master Sh'!$X:$X,"Yes",'LOI and Commissioning Master Sh'!$AE:$AE,E$84)</f>
        <v>0</v>
      </c>
      <c r="F91" s="38">
        <f>+COUNTIFS('LOI and Commissioning Master Sh'!$D:$D,'Review PPT update '!$A91, 'LOI and Commissioning Master Sh'!$X:$X,"Yes",'LOI and Commissioning Master Sh'!$AE:$AE,F$84)</f>
        <v>0</v>
      </c>
      <c r="G91" s="38">
        <f>+COUNTIFS('LOI and Commissioning Master Sh'!$D:$D,'Review PPT update '!$A91, 'LOI and Commissioning Master Sh'!$X:$X,"Yes",'LOI and Commissioning Master Sh'!$AE:$AE,G$84)</f>
        <v>0</v>
      </c>
      <c r="H91" s="38">
        <f>+COUNTIFS('LOI and Commissioning Master Sh'!$D:$D,'Review PPT update '!$A91, 'LOI and Commissioning Master Sh'!$X:$X,"Yes",'LOI and Commissioning Master Sh'!$AE:$AE,H$84)</f>
        <v>0</v>
      </c>
      <c r="I91" s="38">
        <f>+COUNTIFS('LOI and Commissioning Master Sh'!$D:$D,'Review PPT update '!$A91, 'LOI and Commissioning Master Sh'!$X:$X,"Yes",'LOI and Commissioning Master Sh'!$AE:$AE,I$84)</f>
        <v>0</v>
      </c>
      <c r="J91" s="38">
        <f>+COUNTIFS('LOI and Commissioning Master Sh'!$D:$D,'Review PPT update '!$A91, 'LOI and Commissioning Master Sh'!$X:$X,"Yes",'LOI and Commissioning Master Sh'!$AE:$AE,J$84)</f>
        <v>0</v>
      </c>
      <c r="K91" s="38">
        <f>+COUNTIFS('LOI and Commissioning Master Sh'!$D:$D,'Review PPT update '!$A91, 'LOI and Commissioning Master Sh'!$X:$X,"Yes",'LOI and Commissioning Master Sh'!$AE:$AE,K$84)</f>
        <v>0</v>
      </c>
      <c r="L91" s="38">
        <f>+COUNTIFS('LOI and Commissioning Master Sh'!$D:$D,'Review PPT update '!$A91, 'LOI and Commissioning Master Sh'!$X:$X,"Yes",'LOI and Commissioning Master Sh'!$AE:$AE,L$84)</f>
        <v>0</v>
      </c>
      <c r="M91" s="38">
        <f>+COUNTIFS('LOI and Commissioning Master Sh'!$D:$D,'Review PPT update '!$A91, 'LOI and Commissioning Master Sh'!$X:$X,"Yes",'LOI and Commissioning Master Sh'!$AE:$AE,M$84)</f>
        <v>0</v>
      </c>
      <c r="N91" s="38">
        <f>+COUNTIFS('LOI and Commissioning Master Sh'!$D:$D,'Review PPT update '!$A91, 'LOI and Commissioning Master Sh'!$X:$X,"Yes",'LOI and Commissioning Master Sh'!$AE:$AE,N$84)</f>
        <v>2</v>
      </c>
      <c r="O91" s="38">
        <f>+COUNTIFS('LOI and Commissioning Master Sh'!$D:$D,'Review PPT update '!$A91, 'LOI and Commissioning Master Sh'!$X:$X,"Yes",'LOI and Commissioning Master Sh'!$AE:$AE,O$84)</f>
        <v>1</v>
      </c>
      <c r="P91" s="38">
        <f>+COUNTIFS('LOI and Commissioning Master Sh'!$D:$D,'Review PPT update '!$A91, 'LOI and Commissioning Master Sh'!$X:$X,"Yes",'LOI and Commissioning Master Sh'!$AE:$AE,P$84)</f>
        <v>0</v>
      </c>
      <c r="Q91" s="38">
        <f t="shared" si="14"/>
        <v>3</v>
      </c>
    </row>
    <row r="92" spans="1:17" thickBot="1" x14ac:dyDescent="0.3">
      <c r="A92" s="107" t="s">
        <v>99</v>
      </c>
      <c r="B92" s="38">
        <f>+COUNTIFS('LOI and Commissioning Master Sh'!$D:$D,'Review PPT update '!$A92)</f>
        <v>29</v>
      </c>
      <c r="C92" s="38">
        <f>+COUNTIFS('LOI and Commissioning Master Sh'!$D:$D,'Review PPT update '!$A92, 'LOI and Commissioning Master Sh'!$W:$W,"Yes")</f>
        <v>17</v>
      </c>
      <c r="D92" s="38">
        <f>+COUNTIFS('LOI and Commissioning Master Sh'!$D:$D,'Review PPT update '!$A92, 'LOI and Commissioning Master Sh'!$X:$X,"Yes")</f>
        <v>11</v>
      </c>
      <c r="E92" s="38">
        <f>+COUNTIFS('LOI and Commissioning Master Sh'!$D:$D,'Review PPT update '!$A92, 'LOI and Commissioning Master Sh'!$X:$X,"Yes",'LOI and Commissioning Master Sh'!$AE:$AE,E$84)</f>
        <v>1</v>
      </c>
      <c r="F92" s="38">
        <f>+COUNTIFS('LOI and Commissioning Master Sh'!$D:$D,'Review PPT update '!$A92, 'LOI and Commissioning Master Sh'!$X:$X,"Yes",'LOI and Commissioning Master Sh'!$AE:$AE,F$84)</f>
        <v>1</v>
      </c>
      <c r="G92" s="38">
        <f>+COUNTIFS('LOI and Commissioning Master Sh'!$D:$D,'Review PPT update '!$A92, 'LOI and Commissioning Master Sh'!$X:$X,"Yes",'LOI and Commissioning Master Sh'!$AE:$AE,G$84)</f>
        <v>0</v>
      </c>
      <c r="H92" s="38">
        <f>+COUNTIFS('LOI and Commissioning Master Sh'!$D:$D,'Review PPT update '!$A92, 'LOI and Commissioning Master Sh'!$X:$X,"Yes",'LOI and Commissioning Master Sh'!$AE:$AE,H$84)</f>
        <v>0</v>
      </c>
      <c r="I92" s="38">
        <f>+COUNTIFS('LOI and Commissioning Master Sh'!$D:$D,'Review PPT update '!$A92, 'LOI and Commissioning Master Sh'!$X:$X,"Yes",'LOI and Commissioning Master Sh'!$AE:$AE,I$84)</f>
        <v>0</v>
      </c>
      <c r="J92" s="38">
        <f>+COUNTIFS('LOI and Commissioning Master Sh'!$D:$D,'Review PPT update '!$A92, 'LOI and Commissioning Master Sh'!$X:$X,"Yes",'LOI and Commissioning Master Sh'!$AE:$AE,J$84)</f>
        <v>2</v>
      </c>
      <c r="K92" s="38">
        <f>+COUNTIFS('LOI and Commissioning Master Sh'!$D:$D,'Review PPT update '!$A92, 'LOI and Commissioning Master Sh'!$X:$X,"Yes",'LOI and Commissioning Master Sh'!$AE:$AE,K$84)</f>
        <v>0</v>
      </c>
      <c r="L92" s="38">
        <f>+COUNTIFS('LOI and Commissioning Master Sh'!$D:$D,'Review PPT update '!$A92, 'LOI and Commissioning Master Sh'!$X:$X,"Yes",'LOI and Commissioning Master Sh'!$AE:$AE,L$84)</f>
        <v>1</v>
      </c>
      <c r="M92" s="38">
        <f>+COUNTIFS('LOI and Commissioning Master Sh'!$D:$D,'Review PPT update '!$A92, 'LOI and Commissioning Master Sh'!$X:$X,"Yes",'LOI and Commissioning Master Sh'!$AE:$AE,M$84)</f>
        <v>1</v>
      </c>
      <c r="N92" s="38">
        <f>+COUNTIFS('LOI and Commissioning Master Sh'!$D:$D,'Review PPT update '!$A92, 'LOI and Commissioning Master Sh'!$X:$X,"Yes",'LOI and Commissioning Master Sh'!$AE:$AE,N$84)</f>
        <v>0</v>
      </c>
      <c r="O92" s="38">
        <f>+COUNTIFS('LOI and Commissioning Master Sh'!$D:$D,'Review PPT update '!$A92, 'LOI and Commissioning Master Sh'!$X:$X,"Yes",'LOI and Commissioning Master Sh'!$AE:$AE,O$84)</f>
        <v>2</v>
      </c>
      <c r="P92" s="38">
        <f>+COUNTIFS('LOI and Commissioning Master Sh'!$D:$D,'Review PPT update '!$A92, 'LOI and Commissioning Master Sh'!$X:$X,"Yes",'LOI and Commissioning Master Sh'!$AE:$AE,P$84)</f>
        <v>3</v>
      </c>
      <c r="Q92" s="38">
        <f t="shared" si="14"/>
        <v>11</v>
      </c>
    </row>
    <row r="93" spans="1:17" thickBot="1" x14ac:dyDescent="0.3">
      <c r="A93" s="107" t="s">
        <v>141</v>
      </c>
      <c r="B93" s="38">
        <f>+COUNTIFS('LOI and Commissioning Master Sh'!$D:$D,'Review PPT update '!$A93)</f>
        <v>25</v>
      </c>
      <c r="C93" s="38">
        <f>+COUNTIFS('LOI and Commissioning Master Sh'!$D:$D,'Review PPT update '!$A93, 'LOI and Commissioning Master Sh'!$W:$W,"Yes")</f>
        <v>9</v>
      </c>
      <c r="D93" s="38">
        <f>+COUNTIFS('LOI and Commissioning Master Sh'!$D:$D,'Review PPT update '!$A93, 'LOI and Commissioning Master Sh'!$X:$X,"Yes")</f>
        <v>5</v>
      </c>
      <c r="E93" s="38">
        <f>+COUNTIFS('LOI and Commissioning Master Sh'!$D:$D,'Review PPT update '!$A93, 'LOI and Commissioning Master Sh'!$X:$X,"Yes",'LOI and Commissioning Master Sh'!$AE:$AE,E$84)</f>
        <v>0</v>
      </c>
      <c r="F93" s="38">
        <f>+COUNTIFS('LOI and Commissioning Master Sh'!$D:$D,'Review PPT update '!$A93, 'LOI and Commissioning Master Sh'!$X:$X,"Yes",'LOI and Commissioning Master Sh'!$AE:$AE,F$84)</f>
        <v>1</v>
      </c>
      <c r="G93" s="38">
        <f>+COUNTIFS('LOI and Commissioning Master Sh'!$D:$D,'Review PPT update '!$A93, 'LOI and Commissioning Master Sh'!$X:$X,"Yes",'LOI and Commissioning Master Sh'!$AE:$AE,G$84)</f>
        <v>0</v>
      </c>
      <c r="H93" s="38">
        <f>+COUNTIFS('LOI and Commissioning Master Sh'!$D:$D,'Review PPT update '!$A93, 'LOI and Commissioning Master Sh'!$X:$X,"Yes",'LOI and Commissioning Master Sh'!$AE:$AE,H$84)</f>
        <v>0</v>
      </c>
      <c r="I93" s="38">
        <f>+COUNTIFS('LOI and Commissioning Master Sh'!$D:$D,'Review PPT update '!$A93, 'LOI and Commissioning Master Sh'!$X:$X,"Yes",'LOI and Commissioning Master Sh'!$AE:$AE,I$84)</f>
        <v>3</v>
      </c>
      <c r="J93" s="38">
        <f>+COUNTIFS('LOI and Commissioning Master Sh'!$D:$D,'Review PPT update '!$A93, 'LOI and Commissioning Master Sh'!$X:$X,"Yes",'LOI and Commissioning Master Sh'!$AE:$AE,J$84)</f>
        <v>0</v>
      </c>
      <c r="K93" s="38">
        <f>+COUNTIFS('LOI and Commissioning Master Sh'!$D:$D,'Review PPT update '!$A93, 'LOI and Commissioning Master Sh'!$X:$X,"Yes",'LOI and Commissioning Master Sh'!$AE:$AE,K$84)</f>
        <v>1</v>
      </c>
      <c r="L93" s="38">
        <f>+COUNTIFS('LOI and Commissioning Master Sh'!$D:$D,'Review PPT update '!$A93, 'LOI and Commissioning Master Sh'!$X:$X,"Yes",'LOI and Commissioning Master Sh'!$AE:$AE,L$84)</f>
        <v>0</v>
      </c>
      <c r="M93" s="38">
        <f>+COUNTIFS('LOI and Commissioning Master Sh'!$D:$D,'Review PPT update '!$A93, 'LOI and Commissioning Master Sh'!$X:$X,"Yes",'LOI and Commissioning Master Sh'!$AE:$AE,M$84)</f>
        <v>0</v>
      </c>
      <c r="N93" s="38">
        <f>+COUNTIFS('LOI and Commissioning Master Sh'!$D:$D,'Review PPT update '!$A93, 'LOI and Commissioning Master Sh'!$X:$X,"Yes",'LOI and Commissioning Master Sh'!$AE:$AE,N$84)</f>
        <v>0</v>
      </c>
      <c r="O93" s="38">
        <f>+COUNTIFS('LOI and Commissioning Master Sh'!$D:$D,'Review PPT update '!$A93, 'LOI and Commissioning Master Sh'!$X:$X,"Yes",'LOI and Commissioning Master Sh'!$AE:$AE,O$84)</f>
        <v>0</v>
      </c>
      <c r="P93" s="38">
        <f>+COUNTIFS('LOI and Commissioning Master Sh'!$D:$D,'Review PPT update '!$A93, 'LOI and Commissioning Master Sh'!$X:$X,"Yes",'LOI and Commissioning Master Sh'!$AE:$AE,P$84)</f>
        <v>0</v>
      </c>
      <c r="Q93" s="38">
        <f t="shared" si="14"/>
        <v>5</v>
      </c>
    </row>
    <row r="94" spans="1:17" thickBot="1" x14ac:dyDescent="0.3">
      <c r="A94" s="107" t="s">
        <v>135</v>
      </c>
      <c r="B94" s="38">
        <f>+COUNTIFS('LOI and Commissioning Master Sh'!$D:$D,'Review PPT update '!$A94)</f>
        <v>31</v>
      </c>
      <c r="C94" s="38">
        <f>+COUNTIFS('LOI and Commissioning Master Sh'!$D:$D,'Review PPT update '!$A94, 'LOI and Commissioning Master Sh'!$W:$W,"Yes")</f>
        <v>7</v>
      </c>
      <c r="D94" s="38">
        <f>+COUNTIFS('LOI and Commissioning Master Sh'!$D:$D,'Review PPT update '!$A94, 'LOI and Commissioning Master Sh'!$X:$X,"Yes")</f>
        <v>5</v>
      </c>
      <c r="E94" s="38">
        <f>+COUNTIFS('LOI and Commissioning Master Sh'!$D:$D,'Review PPT update '!$A94, 'LOI and Commissioning Master Sh'!$X:$X,"Yes",'LOI and Commissioning Master Sh'!$AE:$AE,E$84)</f>
        <v>0</v>
      </c>
      <c r="F94" s="38">
        <f>+COUNTIFS('LOI and Commissioning Master Sh'!$D:$D,'Review PPT update '!$A94, 'LOI and Commissioning Master Sh'!$X:$X,"Yes",'LOI and Commissioning Master Sh'!$AE:$AE,F$84)</f>
        <v>1</v>
      </c>
      <c r="G94" s="38">
        <f>+COUNTIFS('LOI and Commissioning Master Sh'!$D:$D,'Review PPT update '!$A94, 'LOI and Commissioning Master Sh'!$X:$X,"Yes",'LOI and Commissioning Master Sh'!$AE:$AE,G$84)</f>
        <v>1</v>
      </c>
      <c r="H94" s="38">
        <f>+COUNTIFS('LOI and Commissioning Master Sh'!$D:$D,'Review PPT update '!$A94, 'LOI and Commissioning Master Sh'!$X:$X,"Yes",'LOI and Commissioning Master Sh'!$AE:$AE,H$84)</f>
        <v>0</v>
      </c>
      <c r="I94" s="38">
        <f>+COUNTIFS('LOI and Commissioning Master Sh'!$D:$D,'Review PPT update '!$A94, 'LOI and Commissioning Master Sh'!$X:$X,"Yes",'LOI and Commissioning Master Sh'!$AE:$AE,I$84)</f>
        <v>0</v>
      </c>
      <c r="J94" s="38">
        <f>+COUNTIFS('LOI and Commissioning Master Sh'!$D:$D,'Review PPT update '!$A94, 'LOI and Commissioning Master Sh'!$X:$X,"Yes",'LOI and Commissioning Master Sh'!$AE:$AE,J$84)</f>
        <v>0</v>
      </c>
      <c r="K94" s="38">
        <f>+COUNTIFS('LOI and Commissioning Master Sh'!$D:$D,'Review PPT update '!$A94, 'LOI and Commissioning Master Sh'!$X:$X,"Yes",'LOI and Commissioning Master Sh'!$AE:$AE,K$84)</f>
        <v>0</v>
      </c>
      <c r="L94" s="38">
        <f>+COUNTIFS('LOI and Commissioning Master Sh'!$D:$D,'Review PPT update '!$A94, 'LOI and Commissioning Master Sh'!$X:$X,"Yes",'LOI and Commissioning Master Sh'!$AE:$AE,L$84)</f>
        <v>1</v>
      </c>
      <c r="M94" s="38">
        <f>+COUNTIFS('LOI and Commissioning Master Sh'!$D:$D,'Review PPT update '!$A94, 'LOI and Commissioning Master Sh'!$X:$X,"Yes",'LOI and Commissioning Master Sh'!$AE:$AE,M$84)</f>
        <v>1</v>
      </c>
      <c r="N94" s="38">
        <f>+COUNTIFS('LOI and Commissioning Master Sh'!$D:$D,'Review PPT update '!$A94, 'LOI and Commissioning Master Sh'!$X:$X,"Yes",'LOI and Commissioning Master Sh'!$AE:$AE,N$84)</f>
        <v>1</v>
      </c>
      <c r="O94" s="38">
        <f>+COUNTIFS('LOI and Commissioning Master Sh'!$D:$D,'Review PPT update '!$A94, 'LOI and Commissioning Master Sh'!$X:$X,"Yes",'LOI and Commissioning Master Sh'!$AE:$AE,O$84)</f>
        <v>0</v>
      </c>
      <c r="P94" s="38">
        <f>+COUNTIFS('LOI and Commissioning Master Sh'!$D:$D,'Review PPT update '!$A94, 'LOI and Commissioning Master Sh'!$X:$X,"Yes",'LOI and Commissioning Master Sh'!$AE:$AE,P$84)</f>
        <v>0</v>
      </c>
      <c r="Q94" s="38">
        <f t="shared" si="14"/>
        <v>5</v>
      </c>
    </row>
    <row r="95" spans="1:17" thickBot="1" x14ac:dyDescent="0.3">
      <c r="A95" s="107" t="s">
        <v>195</v>
      </c>
      <c r="B95" s="38">
        <f>+COUNTIFS('LOI and Commissioning Master Sh'!$D:$D,'Review PPT update '!$A95)</f>
        <v>16</v>
      </c>
      <c r="C95" s="38">
        <f>+COUNTIFS('LOI and Commissioning Master Sh'!$D:$D,'Review PPT update '!$A95, 'LOI and Commissioning Master Sh'!$W:$W,"Yes")</f>
        <v>10</v>
      </c>
      <c r="D95" s="38">
        <f>+COUNTIFS('LOI and Commissioning Master Sh'!$D:$D,'Review PPT update '!$A95, 'LOI and Commissioning Master Sh'!$X:$X,"Yes")</f>
        <v>6</v>
      </c>
      <c r="E95" s="38">
        <f>+COUNTIFS('LOI and Commissioning Master Sh'!$D:$D,'Review PPT update '!$A95, 'LOI and Commissioning Master Sh'!$X:$X,"Yes",'LOI and Commissioning Master Sh'!$AE:$AE,E$84)</f>
        <v>0</v>
      </c>
      <c r="F95" s="38">
        <f>+COUNTIFS('LOI and Commissioning Master Sh'!$D:$D,'Review PPT update '!$A95, 'LOI and Commissioning Master Sh'!$X:$X,"Yes",'LOI and Commissioning Master Sh'!$AE:$AE,F$84)</f>
        <v>0</v>
      </c>
      <c r="G95" s="38">
        <f>+COUNTIFS('LOI and Commissioning Master Sh'!$D:$D,'Review PPT update '!$A95, 'LOI and Commissioning Master Sh'!$X:$X,"Yes",'LOI and Commissioning Master Sh'!$AE:$AE,G$84)</f>
        <v>1</v>
      </c>
      <c r="H95" s="38">
        <f>+COUNTIFS('LOI and Commissioning Master Sh'!$D:$D,'Review PPT update '!$A95, 'LOI and Commissioning Master Sh'!$X:$X,"Yes",'LOI and Commissioning Master Sh'!$AE:$AE,H$84)</f>
        <v>1</v>
      </c>
      <c r="I95" s="38">
        <f>+COUNTIFS('LOI and Commissioning Master Sh'!$D:$D,'Review PPT update '!$A95, 'LOI and Commissioning Master Sh'!$X:$X,"Yes",'LOI and Commissioning Master Sh'!$AE:$AE,I$84)</f>
        <v>1</v>
      </c>
      <c r="J95" s="38">
        <f>+COUNTIFS('LOI and Commissioning Master Sh'!$D:$D,'Review PPT update '!$A95, 'LOI and Commissioning Master Sh'!$X:$X,"Yes",'LOI and Commissioning Master Sh'!$AE:$AE,J$84)</f>
        <v>0</v>
      </c>
      <c r="K95" s="38">
        <f>+COUNTIFS('LOI and Commissioning Master Sh'!$D:$D,'Review PPT update '!$A95, 'LOI and Commissioning Master Sh'!$X:$X,"Yes",'LOI and Commissioning Master Sh'!$AE:$AE,K$84)</f>
        <v>2</v>
      </c>
      <c r="L95" s="38">
        <f>+COUNTIFS('LOI and Commissioning Master Sh'!$D:$D,'Review PPT update '!$A95, 'LOI and Commissioning Master Sh'!$X:$X,"Yes",'LOI and Commissioning Master Sh'!$AE:$AE,L$84)</f>
        <v>0</v>
      </c>
      <c r="M95" s="38">
        <f>+COUNTIFS('LOI and Commissioning Master Sh'!$D:$D,'Review PPT update '!$A95, 'LOI and Commissioning Master Sh'!$X:$X,"Yes",'LOI and Commissioning Master Sh'!$AE:$AE,M$84)</f>
        <v>0</v>
      </c>
      <c r="N95" s="38">
        <f>+COUNTIFS('LOI and Commissioning Master Sh'!$D:$D,'Review PPT update '!$A95, 'LOI and Commissioning Master Sh'!$X:$X,"Yes",'LOI and Commissioning Master Sh'!$AE:$AE,N$84)</f>
        <v>0</v>
      </c>
      <c r="O95" s="38">
        <f>+COUNTIFS('LOI and Commissioning Master Sh'!$D:$D,'Review PPT update '!$A95, 'LOI and Commissioning Master Sh'!$X:$X,"Yes",'LOI and Commissioning Master Sh'!$AE:$AE,O$84)</f>
        <v>1</v>
      </c>
      <c r="P95" s="38">
        <f>+COUNTIFS('LOI and Commissioning Master Sh'!$D:$D,'Review PPT update '!$A95, 'LOI and Commissioning Master Sh'!$X:$X,"Yes",'LOI and Commissioning Master Sh'!$AE:$AE,P$84)</f>
        <v>0</v>
      </c>
      <c r="Q95" s="38">
        <f t="shared" si="14"/>
        <v>6</v>
      </c>
    </row>
    <row r="96" spans="1:17" thickBot="1" x14ac:dyDescent="0.3">
      <c r="A96" s="41" t="s">
        <v>1344</v>
      </c>
      <c r="B96" s="41">
        <f t="shared" ref="B96:Q96" si="15">SUM(B85:B95)</f>
        <v>267</v>
      </c>
      <c r="C96" s="41">
        <f>SUM(C85:C95)</f>
        <v>119</v>
      </c>
      <c r="D96" s="41">
        <f t="shared" si="15"/>
        <v>75</v>
      </c>
      <c r="E96" s="41">
        <f t="shared" si="15"/>
        <v>1</v>
      </c>
      <c r="F96" s="41">
        <f t="shared" si="15"/>
        <v>7</v>
      </c>
      <c r="G96" s="41">
        <f t="shared" si="15"/>
        <v>12</v>
      </c>
      <c r="H96" s="41">
        <f t="shared" si="15"/>
        <v>3</v>
      </c>
      <c r="I96" s="41">
        <f t="shared" si="15"/>
        <v>5</v>
      </c>
      <c r="J96" s="41">
        <f t="shared" si="15"/>
        <v>7</v>
      </c>
      <c r="K96" s="41">
        <f t="shared" si="15"/>
        <v>7</v>
      </c>
      <c r="L96" s="41">
        <f t="shared" si="15"/>
        <v>4</v>
      </c>
      <c r="M96" s="41">
        <f t="shared" si="15"/>
        <v>7</v>
      </c>
      <c r="N96" s="41">
        <f t="shared" si="15"/>
        <v>9</v>
      </c>
      <c r="O96" s="41">
        <f t="shared" si="15"/>
        <v>7</v>
      </c>
      <c r="P96" s="41">
        <f t="shared" si="15"/>
        <v>6</v>
      </c>
      <c r="Q96" s="41">
        <f t="shared" si="15"/>
        <v>75</v>
      </c>
    </row>
    <row r="97" spans="1:17" ht="18" x14ac:dyDescent="0.25">
      <c r="A97" s="180"/>
      <c r="B97" s="180"/>
      <c r="C97" s="180"/>
      <c r="D97" s="180"/>
      <c r="E97" s="180"/>
      <c r="F97" s="180"/>
      <c r="G97" s="180"/>
      <c r="H97" s="180"/>
      <c r="I97" s="180"/>
      <c r="J97" s="180"/>
      <c r="K97" s="180"/>
      <c r="L97" s="180"/>
      <c r="M97" s="180"/>
      <c r="N97" s="180"/>
      <c r="O97" s="180"/>
      <c r="P97" s="180"/>
      <c r="Q97" s="180"/>
    </row>
    <row r="98" spans="1:17" ht="19.5" thickBot="1" x14ac:dyDescent="0.35">
      <c r="A98" s="39" t="s">
        <v>1479</v>
      </c>
    </row>
    <row r="99" spans="1:17" ht="72.75" thickBot="1" x14ac:dyDescent="0.3">
      <c r="A99" s="37" t="s">
        <v>1473</v>
      </c>
      <c r="B99" s="103" t="s">
        <v>1474</v>
      </c>
      <c r="C99" s="103" t="s">
        <v>1475</v>
      </c>
      <c r="D99" s="103" t="s">
        <v>1476</v>
      </c>
      <c r="E99" s="104">
        <v>46113</v>
      </c>
      <c r="F99" s="104">
        <v>46143</v>
      </c>
      <c r="G99" s="104">
        <v>46174</v>
      </c>
      <c r="H99" s="104">
        <v>46204</v>
      </c>
      <c r="I99" s="104">
        <v>46235</v>
      </c>
      <c r="J99" s="104">
        <v>46266</v>
      </c>
      <c r="K99" s="104">
        <v>46296</v>
      </c>
      <c r="L99" s="104">
        <v>46327</v>
      </c>
      <c r="M99" s="104">
        <v>46357</v>
      </c>
      <c r="N99" s="104">
        <v>46388</v>
      </c>
      <c r="O99" s="104">
        <v>46419</v>
      </c>
      <c r="P99" s="104">
        <v>46447</v>
      </c>
      <c r="Q99" s="103" t="s">
        <v>1344</v>
      </c>
    </row>
    <row r="100" spans="1:17" thickBot="1" x14ac:dyDescent="0.3">
      <c r="A100" s="107" t="s">
        <v>190</v>
      </c>
      <c r="B100" s="38">
        <f>+COUNTIFS('LOI and Commissioning Master Sh'!$D:$D,'Review PPT update '!$A100)</f>
        <v>22</v>
      </c>
      <c r="C100" s="38">
        <f>+C85-C3-C20</f>
        <v>8</v>
      </c>
      <c r="D100" s="38">
        <f t="shared" ref="D100:Q100" si="16">+D85-D3-D20</f>
        <v>5</v>
      </c>
      <c r="E100" s="38">
        <f t="shared" si="16"/>
        <v>0</v>
      </c>
      <c r="F100" s="38">
        <f t="shared" si="16"/>
        <v>0</v>
      </c>
      <c r="G100" s="38">
        <f t="shared" si="16"/>
        <v>2</v>
      </c>
      <c r="H100" s="38">
        <f t="shared" si="16"/>
        <v>0</v>
      </c>
      <c r="I100" s="38">
        <f t="shared" si="16"/>
        <v>0</v>
      </c>
      <c r="J100" s="38">
        <f t="shared" si="16"/>
        <v>0</v>
      </c>
      <c r="K100" s="38">
        <f t="shared" si="16"/>
        <v>0</v>
      </c>
      <c r="L100" s="38">
        <f t="shared" si="16"/>
        <v>0</v>
      </c>
      <c r="M100" s="38">
        <f t="shared" si="16"/>
        <v>1</v>
      </c>
      <c r="N100" s="38">
        <f t="shared" si="16"/>
        <v>2</v>
      </c>
      <c r="O100" s="38">
        <f t="shared" si="16"/>
        <v>0</v>
      </c>
      <c r="P100" s="38">
        <f t="shared" si="16"/>
        <v>0</v>
      </c>
      <c r="Q100" s="38">
        <f t="shared" si="16"/>
        <v>5</v>
      </c>
    </row>
    <row r="101" spans="1:17" thickBot="1" x14ac:dyDescent="0.3">
      <c r="A101" s="107" t="s">
        <v>156</v>
      </c>
      <c r="B101" s="38">
        <f>+COUNTIFS('LOI and Commissioning Master Sh'!$D:$D,'Review PPT update '!$A101)</f>
        <v>33</v>
      </c>
      <c r="C101" s="38">
        <f t="shared" ref="C101:Q110" si="17">+C86-C4-C21</f>
        <v>9</v>
      </c>
      <c r="D101" s="38">
        <f t="shared" si="17"/>
        <v>6</v>
      </c>
      <c r="E101" s="38">
        <f t="shared" si="17"/>
        <v>0</v>
      </c>
      <c r="F101" s="38">
        <f t="shared" si="17"/>
        <v>0</v>
      </c>
      <c r="G101" s="38">
        <f t="shared" si="17"/>
        <v>2</v>
      </c>
      <c r="H101" s="38">
        <f t="shared" si="17"/>
        <v>1</v>
      </c>
      <c r="I101" s="38">
        <f t="shared" si="17"/>
        <v>1</v>
      </c>
      <c r="J101" s="38">
        <f t="shared" si="17"/>
        <v>1</v>
      </c>
      <c r="K101" s="38">
        <f t="shared" si="17"/>
        <v>1</v>
      </c>
      <c r="L101" s="38">
        <f t="shared" si="17"/>
        <v>0</v>
      </c>
      <c r="M101" s="38">
        <f t="shared" si="17"/>
        <v>0</v>
      </c>
      <c r="N101" s="38">
        <f t="shared" si="17"/>
        <v>0</v>
      </c>
      <c r="O101" s="38">
        <f t="shared" si="17"/>
        <v>0</v>
      </c>
      <c r="P101" s="38">
        <f t="shared" si="17"/>
        <v>0</v>
      </c>
      <c r="Q101" s="38">
        <f t="shared" si="17"/>
        <v>6</v>
      </c>
    </row>
    <row r="102" spans="1:17" thickBot="1" x14ac:dyDescent="0.3">
      <c r="A102" s="107" t="s">
        <v>383</v>
      </c>
      <c r="B102" s="38">
        <f>+COUNTIFS('LOI and Commissioning Master Sh'!$D:$D,'Review PPT update '!$A102)</f>
        <v>16</v>
      </c>
      <c r="C102" s="38">
        <f t="shared" si="17"/>
        <v>0</v>
      </c>
      <c r="D102" s="38">
        <f t="shared" si="17"/>
        <v>0</v>
      </c>
      <c r="E102" s="38">
        <f t="shared" si="17"/>
        <v>0</v>
      </c>
      <c r="F102" s="38">
        <f t="shared" si="17"/>
        <v>0</v>
      </c>
      <c r="G102" s="38">
        <f t="shared" si="17"/>
        <v>0</v>
      </c>
      <c r="H102" s="38">
        <f t="shared" si="17"/>
        <v>0</v>
      </c>
      <c r="I102" s="38">
        <f t="shared" si="17"/>
        <v>0</v>
      </c>
      <c r="J102" s="38">
        <f t="shared" si="17"/>
        <v>0</v>
      </c>
      <c r="K102" s="38">
        <f t="shared" si="17"/>
        <v>0</v>
      </c>
      <c r="L102" s="38">
        <f t="shared" si="17"/>
        <v>0</v>
      </c>
      <c r="M102" s="38">
        <f t="shared" si="17"/>
        <v>0</v>
      </c>
      <c r="N102" s="38">
        <f t="shared" si="17"/>
        <v>0</v>
      </c>
      <c r="O102" s="38">
        <f t="shared" si="17"/>
        <v>0</v>
      </c>
      <c r="P102" s="38">
        <f t="shared" si="17"/>
        <v>0</v>
      </c>
      <c r="Q102" s="38">
        <f t="shared" si="17"/>
        <v>0</v>
      </c>
    </row>
    <row r="103" spans="1:17" thickBot="1" x14ac:dyDescent="0.3">
      <c r="A103" s="107" t="s">
        <v>150</v>
      </c>
      <c r="B103" s="38">
        <f>+COUNTIFS('LOI and Commissioning Master Sh'!$D:$D,'Review PPT update '!$A103)</f>
        <v>16</v>
      </c>
      <c r="C103" s="38">
        <f t="shared" si="17"/>
        <v>0</v>
      </c>
      <c r="D103" s="38">
        <f t="shared" si="17"/>
        <v>0</v>
      </c>
      <c r="E103" s="38">
        <f t="shared" si="17"/>
        <v>0</v>
      </c>
      <c r="F103" s="38">
        <f t="shared" si="17"/>
        <v>0</v>
      </c>
      <c r="G103" s="38">
        <f t="shared" si="17"/>
        <v>0</v>
      </c>
      <c r="H103" s="38">
        <f t="shared" si="17"/>
        <v>0</v>
      </c>
      <c r="I103" s="38">
        <f t="shared" si="17"/>
        <v>0</v>
      </c>
      <c r="J103" s="38">
        <f t="shared" si="17"/>
        <v>0</v>
      </c>
      <c r="K103" s="38">
        <f t="shared" si="17"/>
        <v>0</v>
      </c>
      <c r="L103" s="38">
        <f t="shared" si="17"/>
        <v>0</v>
      </c>
      <c r="M103" s="38">
        <f t="shared" si="17"/>
        <v>0</v>
      </c>
      <c r="N103" s="38">
        <f t="shared" si="17"/>
        <v>0</v>
      </c>
      <c r="O103" s="38">
        <f t="shared" si="17"/>
        <v>0</v>
      </c>
      <c r="P103" s="38">
        <f t="shared" si="17"/>
        <v>0</v>
      </c>
      <c r="Q103" s="38">
        <f t="shared" si="17"/>
        <v>0</v>
      </c>
    </row>
    <row r="104" spans="1:17" thickBot="1" x14ac:dyDescent="0.3">
      <c r="A104" s="107" t="s">
        <v>121</v>
      </c>
      <c r="B104" s="38">
        <f>+COUNTIFS('LOI and Commissioning Master Sh'!$D:$D,'Review PPT update '!$A104)</f>
        <v>28</v>
      </c>
      <c r="C104" s="38">
        <f t="shared" si="17"/>
        <v>3</v>
      </c>
      <c r="D104" s="38">
        <f t="shared" si="17"/>
        <v>2</v>
      </c>
      <c r="E104" s="38">
        <f t="shared" si="17"/>
        <v>0</v>
      </c>
      <c r="F104" s="38">
        <f t="shared" si="17"/>
        <v>1</v>
      </c>
      <c r="G104" s="38">
        <f t="shared" si="17"/>
        <v>0</v>
      </c>
      <c r="H104" s="38">
        <f t="shared" si="17"/>
        <v>0</v>
      </c>
      <c r="I104" s="38">
        <f t="shared" si="17"/>
        <v>0</v>
      </c>
      <c r="J104" s="38">
        <f t="shared" si="17"/>
        <v>0</v>
      </c>
      <c r="K104" s="38">
        <f t="shared" si="17"/>
        <v>0</v>
      </c>
      <c r="L104" s="38">
        <f t="shared" si="17"/>
        <v>0</v>
      </c>
      <c r="M104" s="38">
        <f t="shared" si="17"/>
        <v>0</v>
      </c>
      <c r="N104" s="38">
        <f t="shared" si="17"/>
        <v>0</v>
      </c>
      <c r="O104" s="38">
        <f t="shared" si="17"/>
        <v>0</v>
      </c>
      <c r="P104" s="38">
        <f t="shared" si="17"/>
        <v>1</v>
      </c>
      <c r="Q104" s="38">
        <f t="shared" si="17"/>
        <v>2</v>
      </c>
    </row>
    <row r="105" spans="1:17" thickBot="1" x14ac:dyDescent="0.3">
      <c r="A105" s="107" t="s">
        <v>220</v>
      </c>
      <c r="B105" s="38">
        <f>+COUNTIFS('LOI and Commissioning Master Sh'!$D:$D,'Review PPT update '!$A105)</f>
        <v>34</v>
      </c>
      <c r="C105" s="38">
        <f t="shared" si="17"/>
        <v>7</v>
      </c>
      <c r="D105" s="38">
        <f t="shared" si="17"/>
        <v>5</v>
      </c>
      <c r="E105" s="38">
        <f t="shared" si="17"/>
        <v>0</v>
      </c>
      <c r="F105" s="38">
        <f t="shared" si="17"/>
        <v>0</v>
      </c>
      <c r="G105" s="38">
        <f t="shared" si="17"/>
        <v>1</v>
      </c>
      <c r="H105" s="38">
        <f t="shared" si="17"/>
        <v>0</v>
      </c>
      <c r="I105" s="38">
        <f t="shared" si="17"/>
        <v>0</v>
      </c>
      <c r="J105" s="38">
        <f t="shared" si="17"/>
        <v>1</v>
      </c>
      <c r="K105" s="38">
        <f t="shared" si="17"/>
        <v>1</v>
      </c>
      <c r="L105" s="38">
        <f t="shared" si="17"/>
        <v>0</v>
      </c>
      <c r="M105" s="38">
        <f t="shared" si="17"/>
        <v>1</v>
      </c>
      <c r="N105" s="38">
        <f t="shared" si="17"/>
        <v>0</v>
      </c>
      <c r="O105" s="38">
        <f t="shared" si="17"/>
        <v>0</v>
      </c>
      <c r="P105" s="38">
        <f t="shared" si="17"/>
        <v>1</v>
      </c>
      <c r="Q105" s="38">
        <f t="shared" si="17"/>
        <v>5</v>
      </c>
    </row>
    <row r="106" spans="1:17" thickBot="1" x14ac:dyDescent="0.3">
      <c r="A106" s="107" t="s">
        <v>398</v>
      </c>
      <c r="B106" s="38">
        <f>+COUNTIFS('LOI and Commissioning Master Sh'!$D:$D,'Review PPT update '!$A106)</f>
        <v>17</v>
      </c>
      <c r="C106" s="38">
        <f t="shared" si="17"/>
        <v>2</v>
      </c>
      <c r="D106" s="38">
        <f t="shared" si="17"/>
        <v>1</v>
      </c>
      <c r="E106" s="38">
        <f t="shared" si="17"/>
        <v>0</v>
      </c>
      <c r="F106" s="38">
        <f t="shared" si="17"/>
        <v>0</v>
      </c>
      <c r="G106" s="38">
        <f t="shared" si="17"/>
        <v>0</v>
      </c>
      <c r="H106" s="38">
        <f t="shared" si="17"/>
        <v>0</v>
      </c>
      <c r="I106" s="38">
        <f t="shared" si="17"/>
        <v>0</v>
      </c>
      <c r="J106" s="38">
        <f t="shared" si="17"/>
        <v>0</v>
      </c>
      <c r="K106" s="38">
        <f t="shared" si="17"/>
        <v>0</v>
      </c>
      <c r="L106" s="38">
        <f t="shared" si="17"/>
        <v>0</v>
      </c>
      <c r="M106" s="38">
        <f t="shared" si="17"/>
        <v>0</v>
      </c>
      <c r="N106" s="38">
        <f t="shared" si="17"/>
        <v>1</v>
      </c>
      <c r="O106" s="38">
        <f t="shared" si="17"/>
        <v>0</v>
      </c>
      <c r="P106" s="38">
        <f t="shared" si="17"/>
        <v>0</v>
      </c>
      <c r="Q106" s="38">
        <f t="shared" si="17"/>
        <v>1</v>
      </c>
    </row>
    <row r="107" spans="1:17" thickBot="1" x14ac:dyDescent="0.3">
      <c r="A107" s="107" t="s">
        <v>99</v>
      </c>
      <c r="B107" s="38">
        <f>+COUNTIFS('LOI and Commissioning Master Sh'!$D:$D,'Review PPT update '!$A107)</f>
        <v>29</v>
      </c>
      <c r="C107" s="38">
        <f t="shared" si="17"/>
        <v>5</v>
      </c>
      <c r="D107" s="38">
        <f t="shared" si="17"/>
        <v>4</v>
      </c>
      <c r="E107" s="38">
        <f t="shared" si="17"/>
        <v>1</v>
      </c>
      <c r="F107" s="38">
        <f t="shared" si="17"/>
        <v>1</v>
      </c>
      <c r="G107" s="38">
        <f t="shared" si="17"/>
        <v>0</v>
      </c>
      <c r="H107" s="38">
        <f t="shared" si="17"/>
        <v>0</v>
      </c>
      <c r="I107" s="38">
        <f t="shared" si="17"/>
        <v>0</v>
      </c>
      <c r="J107" s="38">
        <f t="shared" si="17"/>
        <v>1</v>
      </c>
      <c r="K107" s="38">
        <f t="shared" si="17"/>
        <v>0</v>
      </c>
      <c r="L107" s="38">
        <f t="shared" si="17"/>
        <v>0</v>
      </c>
      <c r="M107" s="38">
        <f t="shared" si="17"/>
        <v>0</v>
      </c>
      <c r="N107" s="38">
        <f t="shared" si="17"/>
        <v>0</v>
      </c>
      <c r="O107" s="38">
        <f t="shared" si="17"/>
        <v>1</v>
      </c>
      <c r="P107" s="38">
        <f t="shared" si="17"/>
        <v>0</v>
      </c>
      <c r="Q107" s="38">
        <f t="shared" si="17"/>
        <v>4</v>
      </c>
    </row>
    <row r="108" spans="1:17" thickBot="1" x14ac:dyDescent="0.3">
      <c r="A108" s="107" t="s">
        <v>141</v>
      </c>
      <c r="B108" s="38">
        <f>+COUNTIFS('LOI and Commissioning Master Sh'!$D:$D,'Review PPT update '!$A108)</f>
        <v>25</v>
      </c>
      <c r="C108" s="38">
        <f t="shared" si="17"/>
        <v>1</v>
      </c>
      <c r="D108" s="38">
        <f t="shared" si="17"/>
        <v>1</v>
      </c>
      <c r="E108" s="38">
        <f t="shared" si="17"/>
        <v>0</v>
      </c>
      <c r="F108" s="38">
        <f t="shared" si="17"/>
        <v>0</v>
      </c>
      <c r="G108" s="38">
        <f t="shared" si="17"/>
        <v>0</v>
      </c>
      <c r="H108" s="38">
        <f t="shared" si="17"/>
        <v>0</v>
      </c>
      <c r="I108" s="38">
        <f t="shared" si="17"/>
        <v>0</v>
      </c>
      <c r="J108" s="38">
        <f t="shared" si="17"/>
        <v>0</v>
      </c>
      <c r="K108" s="38">
        <f t="shared" si="17"/>
        <v>1</v>
      </c>
      <c r="L108" s="38">
        <f t="shared" si="17"/>
        <v>0</v>
      </c>
      <c r="M108" s="38">
        <f t="shared" si="17"/>
        <v>0</v>
      </c>
      <c r="N108" s="38">
        <f t="shared" si="17"/>
        <v>0</v>
      </c>
      <c r="O108" s="38">
        <f t="shared" si="17"/>
        <v>0</v>
      </c>
      <c r="P108" s="38">
        <f t="shared" si="17"/>
        <v>0</v>
      </c>
      <c r="Q108" s="38">
        <f t="shared" si="17"/>
        <v>1</v>
      </c>
    </row>
    <row r="109" spans="1:17" thickBot="1" x14ac:dyDescent="0.3">
      <c r="A109" s="107" t="s">
        <v>135</v>
      </c>
      <c r="B109" s="38">
        <f>+COUNTIFS('LOI and Commissioning Master Sh'!$D:$D,'Review PPT update '!$A109)</f>
        <v>31</v>
      </c>
      <c r="C109" s="38">
        <f t="shared" si="17"/>
        <v>2</v>
      </c>
      <c r="D109" s="38">
        <f t="shared" si="17"/>
        <v>1</v>
      </c>
      <c r="E109" s="38">
        <f t="shared" si="17"/>
        <v>0</v>
      </c>
      <c r="F109" s="38">
        <f t="shared" si="17"/>
        <v>1</v>
      </c>
      <c r="G109" s="38">
        <f t="shared" si="17"/>
        <v>0</v>
      </c>
      <c r="H109" s="38">
        <f t="shared" si="17"/>
        <v>0</v>
      </c>
      <c r="I109" s="38">
        <f t="shared" si="17"/>
        <v>0</v>
      </c>
      <c r="J109" s="38">
        <f t="shared" si="17"/>
        <v>0</v>
      </c>
      <c r="K109" s="38">
        <f t="shared" si="17"/>
        <v>0</v>
      </c>
      <c r="L109" s="38">
        <f t="shared" si="17"/>
        <v>0</v>
      </c>
      <c r="M109" s="38">
        <f t="shared" si="17"/>
        <v>0</v>
      </c>
      <c r="N109" s="38">
        <f t="shared" si="17"/>
        <v>0</v>
      </c>
      <c r="O109" s="38">
        <f t="shared" si="17"/>
        <v>0</v>
      </c>
      <c r="P109" s="38">
        <f t="shared" si="17"/>
        <v>0</v>
      </c>
      <c r="Q109" s="38">
        <f t="shared" si="17"/>
        <v>1</v>
      </c>
    </row>
    <row r="110" spans="1:17" thickBot="1" x14ac:dyDescent="0.3">
      <c r="A110" s="107" t="s">
        <v>195</v>
      </c>
      <c r="B110" s="38">
        <f>+COUNTIFS('LOI and Commissioning Master Sh'!$D:$D,'Review PPT update '!$A110)</f>
        <v>16</v>
      </c>
      <c r="C110" s="38">
        <f t="shared" si="17"/>
        <v>5</v>
      </c>
      <c r="D110" s="38">
        <f t="shared" si="17"/>
        <v>3</v>
      </c>
      <c r="E110" s="38">
        <f t="shared" si="17"/>
        <v>0</v>
      </c>
      <c r="F110" s="38">
        <f t="shared" si="17"/>
        <v>0</v>
      </c>
      <c r="G110" s="38">
        <f t="shared" si="17"/>
        <v>1</v>
      </c>
      <c r="H110" s="38">
        <f t="shared" si="17"/>
        <v>0</v>
      </c>
      <c r="I110" s="38">
        <f t="shared" si="17"/>
        <v>1</v>
      </c>
      <c r="J110" s="38">
        <f t="shared" si="17"/>
        <v>0</v>
      </c>
      <c r="K110" s="38">
        <f t="shared" si="17"/>
        <v>1</v>
      </c>
      <c r="L110" s="38">
        <f t="shared" si="17"/>
        <v>0</v>
      </c>
      <c r="M110" s="38">
        <f t="shared" si="17"/>
        <v>0</v>
      </c>
      <c r="N110" s="38">
        <f t="shared" si="17"/>
        <v>0</v>
      </c>
      <c r="O110" s="38">
        <f t="shared" si="17"/>
        <v>0</v>
      </c>
      <c r="P110" s="38">
        <f t="shared" si="17"/>
        <v>0</v>
      </c>
      <c r="Q110" s="38">
        <f t="shared" si="17"/>
        <v>3</v>
      </c>
    </row>
    <row r="111" spans="1:17" thickBot="1" x14ac:dyDescent="0.3">
      <c r="A111" s="41" t="s">
        <v>1344</v>
      </c>
      <c r="B111" s="41">
        <f t="shared" ref="B111" si="18">SUM(B100:B110)</f>
        <v>267</v>
      </c>
      <c r="C111" s="41">
        <f>SUM(C100:C110)</f>
        <v>42</v>
      </c>
      <c r="D111" s="41">
        <f t="shared" ref="D111:Q111" si="19">SUM(D100:D110)</f>
        <v>28</v>
      </c>
      <c r="E111" s="41">
        <f t="shared" si="19"/>
        <v>1</v>
      </c>
      <c r="F111" s="41">
        <f t="shared" si="19"/>
        <v>3</v>
      </c>
      <c r="G111" s="41">
        <f t="shared" si="19"/>
        <v>6</v>
      </c>
      <c r="H111" s="41">
        <f t="shared" si="19"/>
        <v>1</v>
      </c>
      <c r="I111" s="41">
        <f t="shared" si="19"/>
        <v>2</v>
      </c>
      <c r="J111" s="41">
        <f t="shared" si="19"/>
        <v>3</v>
      </c>
      <c r="K111" s="41">
        <f t="shared" si="19"/>
        <v>4</v>
      </c>
      <c r="L111" s="41">
        <f t="shared" si="19"/>
        <v>0</v>
      </c>
      <c r="M111" s="41">
        <f t="shared" si="19"/>
        <v>2</v>
      </c>
      <c r="N111" s="41">
        <f t="shared" si="19"/>
        <v>3</v>
      </c>
      <c r="O111" s="41">
        <f t="shared" si="19"/>
        <v>1</v>
      </c>
      <c r="P111" s="41">
        <f t="shared" si="19"/>
        <v>2</v>
      </c>
      <c r="Q111" s="41">
        <f t="shared" si="19"/>
        <v>28</v>
      </c>
    </row>
  </sheetData>
  <autoFilter ref="A2:Q14" xr:uid="{473054C7-A67E-4D67-972D-634F41B4A27A}"/>
  <conditionalFormatting sqref="A3:A13">
    <cfRule type="cellIs" dxfId="8" priority="1" operator="greaterThan">
      <formula>0</formula>
    </cfRule>
  </conditionalFormatting>
  <conditionalFormatting sqref="A20:A30">
    <cfRule type="cellIs" dxfId="7" priority="7" operator="greaterThan">
      <formula>0</formula>
    </cfRule>
  </conditionalFormatting>
  <conditionalFormatting sqref="A36:A46">
    <cfRule type="cellIs" dxfId="6" priority="6" operator="greaterThan">
      <formula>0</formula>
    </cfRule>
  </conditionalFormatting>
  <conditionalFormatting sqref="A53:A63">
    <cfRule type="cellIs" dxfId="5" priority="13" operator="greaterThan">
      <formula>0</formula>
    </cfRule>
  </conditionalFormatting>
  <conditionalFormatting sqref="A70:A80">
    <cfRule type="cellIs" dxfId="4" priority="5" operator="greaterThan">
      <formula>0</formula>
    </cfRule>
  </conditionalFormatting>
  <conditionalFormatting sqref="A85:A95">
    <cfRule type="cellIs" dxfId="3" priority="4" operator="greaterThan">
      <formula>0</formula>
    </cfRule>
  </conditionalFormatting>
  <conditionalFormatting sqref="A100:A110">
    <cfRule type="cellIs" dxfId="2" priority="2" operator="greaterThan">
      <formula>0</formula>
    </cfRule>
  </conditionalFormatting>
  <conditionalFormatting sqref="A96:Q1048576 A1:Q2 B3:Q13 A14:Q19 B20:Q30 A31:Q35 B36:Q47 A47:Q52 B53:Q64 A64:Q69 B70:Q81 A81:Q84 B85:Q111">
    <cfRule type="cellIs" dxfId="1" priority="28" operator="greaterThan">
      <formula>0</formula>
    </cfRule>
  </conditionalFormatting>
  <conditionalFormatting sqref="B36:Q47 B53:Q64 B70:Q81">
    <cfRule type="cellIs" priority="31" operator="greaterThan">
      <formula>0</formula>
    </cfRule>
  </conditionalFormatting>
  <conditionalFormatting sqref="B85:Q111">
    <cfRule type="cellIs" priority="3" operator="greaterThan">
      <formula>0</formula>
    </cfRule>
  </conditionalFormatting>
  <conditionalFormatting sqref="I3:Q13">
    <cfRule type="cellIs" dxfId="0" priority="29" operator="equal">
      <formula>1</formula>
    </cfRule>
  </conditionalFormatting>
  <pageMargins left="0.70866141732283472" right="0.70866141732283472" top="0.74803149606299213" bottom="0.74803149606299213" header="0.31496062992125984" footer="0.31496062992125984"/>
  <pageSetup paperSize="9" scale="58" fitToHeight="4" orientation="landscape" r:id="rId1"/>
  <rowBreaks count="1" manualBreakCount="1">
    <brk id="33" max="16383" man="1"/>
  </rowBreaks>
  <colBreaks count="1" manualBreakCount="1">
    <brk id="17" max="89"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EF2673-2DE7-4FEC-AC7A-73FB6AC11725}">
  <dimension ref="A3:AB30"/>
  <sheetViews>
    <sheetView workbookViewId="0">
      <selection activeCell="V20" sqref="V20"/>
    </sheetView>
  </sheetViews>
  <sheetFormatPr defaultRowHeight="15" x14ac:dyDescent="0.25"/>
  <cols>
    <col min="2" max="2" width="10.85546875" customWidth="1"/>
  </cols>
  <sheetData>
    <row r="3" spans="1:28" x14ac:dyDescent="0.25">
      <c r="A3" s="47"/>
      <c r="B3" s="48" t="s">
        <v>1480</v>
      </c>
      <c r="C3" s="48" t="s">
        <v>1480</v>
      </c>
      <c r="D3" s="48" t="s">
        <v>1480</v>
      </c>
      <c r="E3" s="48" t="s">
        <v>1480</v>
      </c>
      <c r="F3" s="48" t="s">
        <v>1480</v>
      </c>
      <c r="G3" s="48" t="s">
        <v>1480</v>
      </c>
      <c r="H3" s="9" t="s">
        <v>1481</v>
      </c>
      <c r="I3" s="9" t="s">
        <v>1481</v>
      </c>
      <c r="J3" s="9" t="s">
        <v>1481</v>
      </c>
      <c r="K3" s="9" t="s">
        <v>1481</v>
      </c>
      <c r="L3" s="9" t="s">
        <v>1481</v>
      </c>
      <c r="M3" s="9" t="s">
        <v>1481</v>
      </c>
      <c r="N3" s="49" t="s">
        <v>1482</v>
      </c>
      <c r="O3" s="49" t="s">
        <v>1482</v>
      </c>
      <c r="P3" s="49" t="s">
        <v>1482</v>
      </c>
      <c r="Q3" s="49" t="s">
        <v>1482</v>
      </c>
      <c r="R3" s="49" t="s">
        <v>1482</v>
      </c>
      <c r="S3" s="49" t="s">
        <v>1482</v>
      </c>
      <c r="T3" s="51" t="s">
        <v>1483</v>
      </c>
      <c r="U3" s="51" t="s">
        <v>1483</v>
      </c>
      <c r="V3" s="51" t="s">
        <v>1483</v>
      </c>
      <c r="W3" s="51" t="s">
        <v>1483</v>
      </c>
      <c r="X3" s="51" t="s">
        <v>1483</v>
      </c>
      <c r="Y3" s="25" t="s">
        <v>1484</v>
      </c>
      <c r="Z3" s="25" t="s">
        <v>1480</v>
      </c>
      <c r="AA3" s="25" t="s">
        <v>1481</v>
      </c>
      <c r="AB3" s="25" t="s">
        <v>1482</v>
      </c>
    </row>
    <row r="4" spans="1:28" x14ac:dyDescent="0.25">
      <c r="A4" s="47"/>
      <c r="B4" s="48" t="s">
        <v>101</v>
      </c>
      <c r="C4" s="48" t="s">
        <v>634</v>
      </c>
      <c r="D4" s="48" t="s">
        <v>142</v>
      </c>
      <c r="E4" s="48" t="s">
        <v>169</v>
      </c>
      <c r="F4" s="48" t="s">
        <v>100</v>
      </c>
      <c r="G4" s="48" t="s">
        <v>1344</v>
      </c>
      <c r="H4" s="9" t="s">
        <v>101</v>
      </c>
      <c r="I4" s="9" t="s">
        <v>634</v>
      </c>
      <c r="J4" s="9" t="s">
        <v>142</v>
      </c>
      <c r="K4" s="9" t="s">
        <v>169</v>
      </c>
      <c r="L4" s="9" t="s">
        <v>100</v>
      </c>
      <c r="M4" s="9" t="s">
        <v>1344</v>
      </c>
      <c r="N4" s="49" t="s">
        <v>101</v>
      </c>
      <c r="O4" s="49" t="s">
        <v>634</v>
      </c>
      <c r="P4" s="49" t="s">
        <v>142</v>
      </c>
      <c r="Q4" s="49" t="s">
        <v>169</v>
      </c>
      <c r="R4" s="49" t="s">
        <v>100</v>
      </c>
      <c r="S4" s="49" t="s">
        <v>1344</v>
      </c>
      <c r="T4" s="51" t="s">
        <v>101</v>
      </c>
      <c r="U4" s="51" t="s">
        <v>634</v>
      </c>
      <c r="V4" s="51" t="s">
        <v>142</v>
      </c>
      <c r="W4" s="51" t="s">
        <v>169</v>
      </c>
      <c r="X4" s="51" t="s">
        <v>100</v>
      </c>
      <c r="Y4" s="25"/>
      <c r="Z4" s="25"/>
      <c r="AA4" s="25"/>
      <c r="AB4" s="25"/>
    </row>
    <row r="5" spans="1:28" x14ac:dyDescent="0.25">
      <c r="A5" s="47" t="s">
        <v>1485</v>
      </c>
      <c r="B5" s="48">
        <v>0</v>
      </c>
      <c r="C5" s="48">
        <v>0</v>
      </c>
      <c r="D5" s="48">
        <v>11</v>
      </c>
      <c r="E5" s="48">
        <v>4</v>
      </c>
      <c r="F5" s="48">
        <v>3</v>
      </c>
      <c r="G5" s="48">
        <v>18</v>
      </c>
      <c r="H5" s="9">
        <v>5</v>
      </c>
      <c r="I5" s="9">
        <v>2</v>
      </c>
      <c r="J5" s="9">
        <v>10</v>
      </c>
      <c r="K5" s="9">
        <v>5</v>
      </c>
      <c r="L5" s="9">
        <v>0</v>
      </c>
      <c r="M5" s="9">
        <v>22</v>
      </c>
      <c r="N5" s="49">
        <v>1</v>
      </c>
      <c r="O5" s="49">
        <v>2</v>
      </c>
      <c r="P5" s="49">
        <v>8</v>
      </c>
      <c r="Q5" s="49">
        <v>11</v>
      </c>
      <c r="R5" s="49">
        <v>1</v>
      </c>
      <c r="S5" s="49">
        <v>23</v>
      </c>
      <c r="T5" s="51">
        <v>6</v>
      </c>
      <c r="U5" s="51">
        <v>4</v>
      </c>
      <c r="V5" s="51">
        <v>29</v>
      </c>
      <c r="W5" s="51">
        <v>20</v>
      </c>
      <c r="X5" s="51">
        <v>4</v>
      </c>
      <c r="Y5" s="25">
        <v>63</v>
      </c>
      <c r="Z5" s="50">
        <v>0.2857142857142857</v>
      </c>
      <c r="AA5" s="50">
        <v>0.34920634920634919</v>
      </c>
      <c r="AB5" s="50">
        <v>0.36507936507936506</v>
      </c>
    </row>
    <row r="6" spans="1:28" x14ac:dyDescent="0.25">
      <c r="A6" s="47" t="s">
        <v>770</v>
      </c>
      <c r="B6" s="48">
        <v>2</v>
      </c>
      <c r="C6" s="48">
        <v>1</v>
      </c>
      <c r="D6" s="48">
        <v>4</v>
      </c>
      <c r="E6" s="48">
        <v>7</v>
      </c>
      <c r="F6" s="48">
        <v>4</v>
      </c>
      <c r="G6" s="48">
        <v>18</v>
      </c>
      <c r="H6" s="9">
        <v>0</v>
      </c>
      <c r="I6" s="9">
        <v>0</v>
      </c>
      <c r="J6" s="9">
        <v>2</v>
      </c>
      <c r="K6" s="9">
        <v>2</v>
      </c>
      <c r="L6" s="9">
        <v>2</v>
      </c>
      <c r="M6" s="9">
        <v>6</v>
      </c>
      <c r="N6" s="49">
        <v>1</v>
      </c>
      <c r="O6" s="49">
        <v>0</v>
      </c>
      <c r="P6" s="49">
        <v>8</v>
      </c>
      <c r="Q6" s="49">
        <v>2</v>
      </c>
      <c r="R6" s="49">
        <v>3</v>
      </c>
      <c r="S6" s="49">
        <v>14</v>
      </c>
      <c r="T6" s="51">
        <v>3</v>
      </c>
      <c r="U6" s="51">
        <v>1</v>
      </c>
      <c r="V6" s="51">
        <v>14</v>
      </c>
      <c r="W6" s="51">
        <v>11</v>
      </c>
      <c r="X6" s="51">
        <v>9</v>
      </c>
      <c r="Y6" s="25">
        <v>38</v>
      </c>
      <c r="Z6" s="50">
        <v>0.47368421052631576</v>
      </c>
      <c r="AA6" s="50">
        <v>0.15789473684210525</v>
      </c>
      <c r="AB6" s="50">
        <v>0.36842105263157893</v>
      </c>
    </row>
    <row r="7" spans="1:28" x14ac:dyDescent="0.25">
      <c r="A7" s="47" t="s">
        <v>1486</v>
      </c>
      <c r="B7" s="48">
        <v>1</v>
      </c>
      <c r="C7" s="48">
        <v>0</v>
      </c>
      <c r="D7" s="48">
        <v>7</v>
      </c>
      <c r="E7" s="48">
        <v>10</v>
      </c>
      <c r="F7" s="48">
        <v>4</v>
      </c>
      <c r="G7" s="48">
        <v>22</v>
      </c>
      <c r="H7" s="9">
        <v>4</v>
      </c>
      <c r="I7" s="9">
        <v>0</v>
      </c>
      <c r="J7" s="9">
        <v>6</v>
      </c>
      <c r="K7" s="9">
        <v>7</v>
      </c>
      <c r="L7" s="9">
        <v>7</v>
      </c>
      <c r="M7" s="9">
        <v>24</v>
      </c>
      <c r="N7" s="49">
        <v>3</v>
      </c>
      <c r="O7" s="49">
        <v>1</v>
      </c>
      <c r="P7" s="49">
        <v>11</v>
      </c>
      <c r="Q7" s="49">
        <v>6</v>
      </c>
      <c r="R7" s="49">
        <v>3</v>
      </c>
      <c r="S7" s="49">
        <v>24</v>
      </c>
      <c r="T7" s="51">
        <v>8</v>
      </c>
      <c r="U7" s="51">
        <v>1</v>
      </c>
      <c r="V7" s="51">
        <v>24</v>
      </c>
      <c r="W7" s="51">
        <v>23</v>
      </c>
      <c r="X7" s="51">
        <v>14</v>
      </c>
      <c r="Y7" s="25">
        <v>70</v>
      </c>
      <c r="Z7" s="50">
        <v>0.31428571428571428</v>
      </c>
      <c r="AA7" s="50">
        <v>0.34285714285714286</v>
      </c>
      <c r="AB7" s="50">
        <v>0.34285714285714286</v>
      </c>
    </row>
    <row r="8" spans="1:28" x14ac:dyDescent="0.25">
      <c r="A8" s="47" t="s">
        <v>179</v>
      </c>
      <c r="B8" s="48">
        <v>2</v>
      </c>
      <c r="C8" s="48">
        <v>0</v>
      </c>
      <c r="D8" s="48">
        <v>4</v>
      </c>
      <c r="E8" s="48">
        <v>2</v>
      </c>
      <c r="F8" s="48">
        <v>5</v>
      </c>
      <c r="G8" s="48">
        <v>13</v>
      </c>
      <c r="H8" s="9">
        <v>0</v>
      </c>
      <c r="I8" s="9">
        <v>0</v>
      </c>
      <c r="J8" s="9">
        <v>6</v>
      </c>
      <c r="K8" s="9">
        <v>7</v>
      </c>
      <c r="L8" s="9">
        <v>5</v>
      </c>
      <c r="M8" s="9">
        <v>18</v>
      </c>
      <c r="N8" s="49">
        <v>2</v>
      </c>
      <c r="O8" s="49">
        <v>4</v>
      </c>
      <c r="P8" s="49">
        <v>3</v>
      </c>
      <c r="Q8" s="49">
        <v>3</v>
      </c>
      <c r="R8" s="49">
        <v>1</v>
      </c>
      <c r="S8" s="49">
        <v>13</v>
      </c>
      <c r="T8" s="51">
        <v>4</v>
      </c>
      <c r="U8" s="51">
        <v>4</v>
      </c>
      <c r="V8" s="51">
        <v>13</v>
      </c>
      <c r="W8" s="51">
        <v>12</v>
      </c>
      <c r="X8" s="51">
        <v>11</v>
      </c>
      <c r="Y8" s="25">
        <v>44</v>
      </c>
      <c r="Z8" s="50">
        <v>0.29545454545454547</v>
      </c>
      <c r="AA8" s="50">
        <v>0.40909090909090912</v>
      </c>
      <c r="AB8" s="50">
        <v>0.29545454545454547</v>
      </c>
    </row>
    <row r="9" spans="1:28" x14ac:dyDescent="0.25">
      <c r="A9" s="47" t="s">
        <v>1487</v>
      </c>
      <c r="B9" s="48">
        <v>1</v>
      </c>
      <c r="C9" s="48">
        <v>0</v>
      </c>
      <c r="D9" s="48">
        <v>8</v>
      </c>
      <c r="E9" s="48">
        <v>4</v>
      </c>
      <c r="F9" s="48">
        <v>3</v>
      </c>
      <c r="G9" s="48">
        <v>16</v>
      </c>
      <c r="H9" s="9">
        <v>5</v>
      </c>
      <c r="I9" s="9">
        <v>2</v>
      </c>
      <c r="J9" s="9">
        <v>5</v>
      </c>
      <c r="K9" s="9">
        <v>11</v>
      </c>
      <c r="L9" s="9">
        <v>4</v>
      </c>
      <c r="M9" s="9">
        <v>27</v>
      </c>
      <c r="N9" s="49">
        <v>3</v>
      </c>
      <c r="O9" s="49">
        <v>2</v>
      </c>
      <c r="P9" s="49">
        <v>7</v>
      </c>
      <c r="Q9" s="49">
        <v>2</v>
      </c>
      <c r="R9" s="49">
        <v>3</v>
      </c>
      <c r="S9" s="49">
        <v>17</v>
      </c>
      <c r="T9" s="51">
        <v>9</v>
      </c>
      <c r="U9" s="51">
        <v>4</v>
      </c>
      <c r="V9" s="51">
        <v>20</v>
      </c>
      <c r="W9" s="51">
        <v>17</v>
      </c>
      <c r="X9" s="51">
        <v>10</v>
      </c>
      <c r="Y9" s="25">
        <v>60</v>
      </c>
      <c r="Z9" s="50">
        <v>0.26666666666666666</v>
      </c>
      <c r="AA9" s="50">
        <v>0.45</v>
      </c>
      <c r="AB9" s="50">
        <v>0.28333333333333333</v>
      </c>
    </row>
    <row r="10" spans="1:28" x14ac:dyDescent="0.25">
      <c r="A10" s="47" t="s">
        <v>1488</v>
      </c>
      <c r="B10" s="48">
        <v>3</v>
      </c>
      <c r="C10" s="48">
        <v>3</v>
      </c>
      <c r="D10" s="48">
        <v>14</v>
      </c>
      <c r="E10" s="48">
        <v>12</v>
      </c>
      <c r="F10" s="48">
        <v>12</v>
      </c>
      <c r="G10" s="48">
        <v>44</v>
      </c>
      <c r="H10" s="9">
        <v>5</v>
      </c>
      <c r="I10" s="9">
        <v>7</v>
      </c>
      <c r="J10" s="9">
        <v>11</v>
      </c>
      <c r="K10" s="9">
        <v>11</v>
      </c>
      <c r="L10" s="9">
        <v>13</v>
      </c>
      <c r="M10" s="9">
        <v>47</v>
      </c>
      <c r="N10" s="49">
        <v>9</v>
      </c>
      <c r="O10" s="49">
        <v>3</v>
      </c>
      <c r="P10" s="49">
        <v>13</v>
      </c>
      <c r="Q10" s="49">
        <v>13</v>
      </c>
      <c r="R10" s="49">
        <v>5</v>
      </c>
      <c r="S10" s="49">
        <v>43</v>
      </c>
      <c r="T10" s="51">
        <v>17</v>
      </c>
      <c r="U10" s="51">
        <v>13</v>
      </c>
      <c r="V10" s="51">
        <v>38</v>
      </c>
      <c r="W10" s="51">
        <v>36</v>
      </c>
      <c r="X10" s="51">
        <v>30</v>
      </c>
      <c r="Y10" s="25">
        <v>134</v>
      </c>
      <c r="Z10" s="50">
        <v>0.32835820895522388</v>
      </c>
      <c r="AA10" s="50">
        <v>0.35074626865671643</v>
      </c>
      <c r="AB10" s="50">
        <v>0.32089552238805968</v>
      </c>
    </row>
    <row r="11" spans="1:28" x14ac:dyDescent="0.25">
      <c r="A11" s="47" t="s">
        <v>1489</v>
      </c>
      <c r="B11" s="48">
        <v>2</v>
      </c>
      <c r="C11" s="48">
        <v>0</v>
      </c>
      <c r="D11" s="48">
        <v>26</v>
      </c>
      <c r="E11" s="48">
        <v>11</v>
      </c>
      <c r="F11" s="48">
        <v>17</v>
      </c>
      <c r="G11" s="48">
        <v>56</v>
      </c>
      <c r="H11" s="9">
        <v>5</v>
      </c>
      <c r="I11" s="9">
        <v>2</v>
      </c>
      <c r="J11" s="9">
        <v>12</v>
      </c>
      <c r="K11" s="9">
        <v>6</v>
      </c>
      <c r="L11" s="9">
        <v>8</v>
      </c>
      <c r="M11" s="9">
        <v>33</v>
      </c>
      <c r="N11" s="49">
        <v>8</v>
      </c>
      <c r="O11" s="49">
        <v>4</v>
      </c>
      <c r="P11" s="49">
        <v>19</v>
      </c>
      <c r="Q11" s="49">
        <v>15</v>
      </c>
      <c r="R11" s="49">
        <v>5</v>
      </c>
      <c r="S11" s="49">
        <v>51</v>
      </c>
      <c r="T11" s="51">
        <v>15</v>
      </c>
      <c r="U11" s="51">
        <v>6</v>
      </c>
      <c r="V11" s="51">
        <v>57</v>
      </c>
      <c r="W11" s="51">
        <v>32</v>
      </c>
      <c r="X11" s="51">
        <v>30</v>
      </c>
      <c r="Y11" s="25">
        <v>140</v>
      </c>
      <c r="Z11" s="50">
        <v>0.4</v>
      </c>
      <c r="AA11" s="50">
        <v>0.23571428571428571</v>
      </c>
      <c r="AB11" s="50">
        <v>0.36428571428571427</v>
      </c>
    </row>
    <row r="12" spans="1:28" x14ac:dyDescent="0.25">
      <c r="A12" s="47" t="s">
        <v>1490</v>
      </c>
      <c r="B12" s="48">
        <v>0</v>
      </c>
      <c r="C12" s="48">
        <v>0</v>
      </c>
      <c r="D12" s="48">
        <v>11</v>
      </c>
      <c r="E12" s="48">
        <v>6</v>
      </c>
      <c r="F12" s="48">
        <v>9</v>
      </c>
      <c r="G12" s="48">
        <v>26</v>
      </c>
      <c r="H12" s="9">
        <v>0</v>
      </c>
      <c r="I12" s="9">
        <v>2</v>
      </c>
      <c r="J12" s="9">
        <v>7</v>
      </c>
      <c r="K12" s="9">
        <v>5</v>
      </c>
      <c r="L12" s="9">
        <v>4</v>
      </c>
      <c r="M12" s="9">
        <v>18</v>
      </c>
      <c r="N12" s="49">
        <v>3</v>
      </c>
      <c r="O12" s="49">
        <v>4</v>
      </c>
      <c r="P12" s="49">
        <v>16</v>
      </c>
      <c r="Q12" s="49">
        <v>3</v>
      </c>
      <c r="R12" s="49">
        <v>5</v>
      </c>
      <c r="S12" s="49">
        <v>31</v>
      </c>
      <c r="T12" s="51">
        <v>3</v>
      </c>
      <c r="U12" s="51">
        <v>6</v>
      </c>
      <c r="V12" s="51">
        <v>34</v>
      </c>
      <c r="W12" s="51">
        <v>14</v>
      </c>
      <c r="X12" s="51">
        <v>18</v>
      </c>
      <c r="Y12" s="25">
        <v>75</v>
      </c>
      <c r="Z12" s="50">
        <v>0.34666666666666668</v>
      </c>
      <c r="AA12" s="50">
        <v>0.24</v>
      </c>
      <c r="AB12" s="50">
        <v>0.41333333333333333</v>
      </c>
    </row>
    <row r="13" spans="1:28" x14ac:dyDescent="0.25">
      <c r="A13" s="47" t="s">
        <v>1491</v>
      </c>
      <c r="B13" s="48">
        <v>0</v>
      </c>
      <c r="C13" s="48">
        <v>2</v>
      </c>
      <c r="D13" s="48">
        <v>8</v>
      </c>
      <c r="E13" s="48">
        <v>11</v>
      </c>
      <c r="F13" s="48">
        <v>3</v>
      </c>
      <c r="G13" s="48">
        <v>24</v>
      </c>
      <c r="H13" s="9">
        <v>4</v>
      </c>
      <c r="I13" s="9">
        <v>3</v>
      </c>
      <c r="J13" s="9">
        <v>18</v>
      </c>
      <c r="K13" s="9">
        <v>7</v>
      </c>
      <c r="L13" s="9">
        <v>6</v>
      </c>
      <c r="M13" s="9">
        <v>38</v>
      </c>
      <c r="N13" s="49">
        <v>3</v>
      </c>
      <c r="O13" s="49">
        <v>2</v>
      </c>
      <c r="P13" s="49">
        <v>20</v>
      </c>
      <c r="Q13" s="49">
        <v>9</v>
      </c>
      <c r="R13" s="49">
        <v>5</v>
      </c>
      <c r="S13" s="49">
        <v>39</v>
      </c>
      <c r="T13" s="51">
        <v>7</v>
      </c>
      <c r="U13" s="51">
        <v>7</v>
      </c>
      <c r="V13" s="51">
        <v>46</v>
      </c>
      <c r="W13" s="51">
        <v>27</v>
      </c>
      <c r="X13" s="51">
        <v>14</v>
      </c>
      <c r="Y13" s="25">
        <v>101</v>
      </c>
      <c r="Z13" s="50">
        <v>0.23762376237623761</v>
      </c>
      <c r="AA13" s="50">
        <v>0.37623762376237624</v>
      </c>
      <c r="AB13" s="50">
        <v>0.38613861386138615</v>
      </c>
    </row>
    <row r="14" spans="1:28" x14ac:dyDescent="0.25">
      <c r="A14" s="47" t="s">
        <v>1492</v>
      </c>
      <c r="B14" s="48">
        <v>0</v>
      </c>
      <c r="C14" s="48">
        <v>0</v>
      </c>
      <c r="D14" s="48">
        <v>7</v>
      </c>
      <c r="E14" s="48">
        <v>2</v>
      </c>
      <c r="F14" s="48">
        <v>2</v>
      </c>
      <c r="G14" s="48">
        <v>11</v>
      </c>
      <c r="H14" s="9">
        <v>1</v>
      </c>
      <c r="I14" s="9">
        <v>0</v>
      </c>
      <c r="J14" s="9">
        <v>7</v>
      </c>
      <c r="K14" s="9">
        <v>3</v>
      </c>
      <c r="L14" s="9">
        <v>0</v>
      </c>
      <c r="M14" s="9">
        <v>11</v>
      </c>
      <c r="N14" s="49">
        <v>4</v>
      </c>
      <c r="O14" s="49">
        <v>2</v>
      </c>
      <c r="P14" s="49">
        <v>2</v>
      </c>
      <c r="Q14" s="49">
        <v>1</v>
      </c>
      <c r="R14" s="49">
        <v>1</v>
      </c>
      <c r="S14" s="49">
        <v>10</v>
      </c>
      <c r="T14" s="51">
        <v>5</v>
      </c>
      <c r="U14" s="51">
        <v>2</v>
      </c>
      <c r="V14" s="51">
        <v>16</v>
      </c>
      <c r="W14" s="51">
        <v>6</v>
      </c>
      <c r="X14" s="51">
        <v>3</v>
      </c>
      <c r="Y14" s="25">
        <v>32</v>
      </c>
      <c r="Z14" s="50">
        <v>0.34375</v>
      </c>
      <c r="AA14" s="50">
        <v>0.34375</v>
      </c>
      <c r="AB14" s="50">
        <v>0.3125</v>
      </c>
    </row>
    <row r="15" spans="1:28" x14ac:dyDescent="0.25">
      <c r="A15" s="47" t="s">
        <v>1344</v>
      </c>
      <c r="B15" s="48">
        <v>11</v>
      </c>
      <c r="C15" s="48">
        <v>6</v>
      </c>
      <c r="D15" s="48">
        <v>100</v>
      </c>
      <c r="E15" s="48">
        <v>69</v>
      </c>
      <c r="F15" s="48">
        <v>62</v>
      </c>
      <c r="G15" s="48">
        <v>248</v>
      </c>
      <c r="H15" s="9">
        <v>29</v>
      </c>
      <c r="I15" s="9">
        <v>18</v>
      </c>
      <c r="J15" s="9">
        <v>84</v>
      </c>
      <c r="K15" s="9">
        <v>64</v>
      </c>
      <c r="L15" s="9">
        <v>49</v>
      </c>
      <c r="M15" s="9">
        <v>244</v>
      </c>
      <c r="N15" s="49">
        <v>37</v>
      </c>
      <c r="O15" s="49">
        <v>24</v>
      </c>
      <c r="P15" s="49">
        <v>107</v>
      </c>
      <c r="Q15" s="49">
        <v>65</v>
      </c>
      <c r="R15" s="49">
        <v>32</v>
      </c>
      <c r="S15" s="49">
        <v>265</v>
      </c>
      <c r="T15" s="51">
        <v>77</v>
      </c>
      <c r="U15" s="51">
        <v>48</v>
      </c>
      <c r="V15" s="51">
        <v>291</v>
      </c>
      <c r="W15" s="51">
        <v>198</v>
      </c>
      <c r="X15" s="51">
        <v>143</v>
      </c>
      <c r="Y15" s="25">
        <v>757</v>
      </c>
      <c r="Z15" s="50">
        <v>0.3276089828269485</v>
      </c>
      <c r="AA15" s="50">
        <v>0.32232496697490093</v>
      </c>
      <c r="AB15" s="50">
        <v>0.35006605019815057</v>
      </c>
    </row>
    <row r="18" spans="1:22" x14ac:dyDescent="0.25">
      <c r="B18" s="48" t="s">
        <v>1480</v>
      </c>
      <c r="C18" s="48" t="s">
        <v>1480</v>
      </c>
      <c r="D18" s="48" t="s">
        <v>1480</v>
      </c>
      <c r="E18" s="48" t="s">
        <v>1480</v>
      </c>
      <c r="F18" s="48" t="s">
        <v>1480</v>
      </c>
      <c r="G18" s="48" t="s">
        <v>1480</v>
      </c>
      <c r="H18" s="9" t="s">
        <v>1481</v>
      </c>
      <c r="I18" s="9" t="s">
        <v>1481</v>
      </c>
      <c r="J18" s="9" t="s">
        <v>1481</v>
      </c>
      <c r="K18" s="9" t="s">
        <v>1481</v>
      </c>
      <c r="L18" s="9" t="s">
        <v>1481</v>
      </c>
      <c r="M18" s="9" t="s">
        <v>1481</v>
      </c>
      <c r="N18" s="49" t="s">
        <v>1482</v>
      </c>
      <c r="O18" s="49" t="s">
        <v>1482</v>
      </c>
      <c r="P18" s="49" t="s">
        <v>1482</v>
      </c>
      <c r="Q18" s="49" t="s">
        <v>1482</v>
      </c>
      <c r="R18" s="49" t="s">
        <v>1482</v>
      </c>
      <c r="S18" s="49" t="s">
        <v>1482</v>
      </c>
      <c r="T18" s="25" t="s">
        <v>1480</v>
      </c>
      <c r="U18" s="25" t="s">
        <v>1481</v>
      </c>
      <c r="V18" s="25" t="s">
        <v>1482</v>
      </c>
    </row>
    <row r="19" spans="1:22" x14ac:dyDescent="0.25">
      <c r="B19" s="48" t="s">
        <v>101</v>
      </c>
      <c r="C19" s="48" t="s">
        <v>634</v>
      </c>
      <c r="D19" s="48" t="s">
        <v>142</v>
      </c>
      <c r="E19" s="48" t="s">
        <v>169</v>
      </c>
      <c r="F19" s="48" t="s">
        <v>100</v>
      </c>
      <c r="G19" s="48" t="s">
        <v>1344</v>
      </c>
      <c r="H19" s="9" t="s">
        <v>101</v>
      </c>
      <c r="I19" s="9" t="s">
        <v>634</v>
      </c>
      <c r="J19" s="9" t="s">
        <v>142</v>
      </c>
      <c r="K19" s="9" t="s">
        <v>169</v>
      </c>
      <c r="L19" s="9" t="s">
        <v>100</v>
      </c>
      <c r="M19" s="9" t="s">
        <v>1344</v>
      </c>
      <c r="N19" s="49" t="s">
        <v>101</v>
      </c>
      <c r="O19" s="49" t="s">
        <v>634</v>
      </c>
      <c r="P19" s="49" t="s">
        <v>142</v>
      </c>
      <c r="Q19" s="49" t="s">
        <v>169</v>
      </c>
      <c r="R19" s="49" t="s">
        <v>100</v>
      </c>
      <c r="S19" s="49" t="s">
        <v>1344</v>
      </c>
      <c r="T19" s="25"/>
      <c r="U19" s="25"/>
      <c r="V19" s="25"/>
    </row>
    <row r="20" spans="1:22" x14ac:dyDescent="0.25">
      <c r="A20" s="47" t="s">
        <v>1485</v>
      </c>
      <c r="B20" s="52">
        <v>0</v>
      </c>
      <c r="C20" s="52">
        <v>0</v>
      </c>
      <c r="D20" s="52">
        <v>0.37931034482758619</v>
      </c>
      <c r="E20" s="52">
        <v>0.2</v>
      </c>
      <c r="F20" s="52">
        <v>0.75</v>
      </c>
      <c r="G20" s="52">
        <v>0.2857142857142857</v>
      </c>
      <c r="H20" s="53">
        <v>0.83333333333333337</v>
      </c>
      <c r="I20" s="53">
        <v>0.5</v>
      </c>
      <c r="J20" s="53">
        <v>0.34482758620689657</v>
      </c>
      <c r="K20" s="53">
        <v>0.25</v>
      </c>
      <c r="L20" s="53">
        <v>0</v>
      </c>
      <c r="M20" s="53">
        <v>0.34920634920634919</v>
      </c>
      <c r="N20" s="54">
        <v>0.16666666666666666</v>
      </c>
      <c r="O20" s="54">
        <v>0.5</v>
      </c>
      <c r="P20" s="54">
        <v>0.27586206896551724</v>
      </c>
      <c r="Q20" s="54">
        <v>0.55000000000000004</v>
      </c>
      <c r="R20" s="54">
        <v>0.25</v>
      </c>
      <c r="S20" s="54">
        <v>0.36507936507936506</v>
      </c>
      <c r="T20" s="50">
        <v>0.2857142857142857</v>
      </c>
      <c r="U20" s="50">
        <v>0.34920634920634919</v>
      </c>
      <c r="V20" s="50">
        <v>0.36507936507936506</v>
      </c>
    </row>
    <row r="21" spans="1:22" x14ac:dyDescent="0.25">
      <c r="A21" s="47" t="s">
        <v>770</v>
      </c>
      <c r="B21" s="52">
        <v>0.66666666666666663</v>
      </c>
      <c r="C21" s="52">
        <v>1</v>
      </c>
      <c r="D21" s="52">
        <v>0.2857142857142857</v>
      </c>
      <c r="E21" s="52">
        <v>0.63636363636363635</v>
      </c>
      <c r="F21" s="52">
        <v>0.44444444444444442</v>
      </c>
      <c r="G21" s="52">
        <v>0.47368421052631576</v>
      </c>
      <c r="H21" s="53">
        <v>0</v>
      </c>
      <c r="I21" s="53">
        <v>0</v>
      </c>
      <c r="J21" s="53">
        <v>0.14285714285714285</v>
      </c>
      <c r="K21" s="53">
        <v>0.18181818181818182</v>
      </c>
      <c r="L21" s="53">
        <v>0.22222222222222221</v>
      </c>
      <c r="M21" s="53">
        <v>0.15789473684210525</v>
      </c>
      <c r="N21" s="54">
        <v>0.33333333333333331</v>
      </c>
      <c r="O21" s="54">
        <v>0</v>
      </c>
      <c r="P21" s="54">
        <v>0.5714285714285714</v>
      </c>
      <c r="Q21" s="54">
        <v>0.18181818181818182</v>
      </c>
      <c r="R21" s="54">
        <v>0.33333333333333331</v>
      </c>
      <c r="S21" s="54">
        <v>0.36842105263157893</v>
      </c>
      <c r="T21" s="50">
        <v>0.47368421052631576</v>
      </c>
      <c r="U21" s="50">
        <v>0.15789473684210525</v>
      </c>
      <c r="V21" s="50">
        <v>0.36842105263157893</v>
      </c>
    </row>
    <row r="22" spans="1:22" x14ac:dyDescent="0.25">
      <c r="A22" s="47" t="s">
        <v>1486</v>
      </c>
      <c r="B22" s="52">
        <v>0.125</v>
      </c>
      <c r="C22" s="52">
        <v>0</v>
      </c>
      <c r="D22" s="52">
        <v>0.29166666666666669</v>
      </c>
      <c r="E22" s="52">
        <v>0.43478260869565216</v>
      </c>
      <c r="F22" s="52">
        <v>0.2857142857142857</v>
      </c>
      <c r="G22" s="52">
        <v>0.31428571428571428</v>
      </c>
      <c r="H22" s="53">
        <v>0.5</v>
      </c>
      <c r="I22" s="53">
        <v>0</v>
      </c>
      <c r="J22" s="53">
        <v>0.25</v>
      </c>
      <c r="K22" s="53">
        <v>0.30434782608695654</v>
      </c>
      <c r="L22" s="53">
        <v>0.5</v>
      </c>
      <c r="M22" s="53">
        <v>0.34285714285714286</v>
      </c>
      <c r="N22" s="54">
        <v>0.375</v>
      </c>
      <c r="O22" s="54">
        <v>1</v>
      </c>
      <c r="P22" s="54">
        <v>0.45833333333333331</v>
      </c>
      <c r="Q22" s="54">
        <v>0.2608695652173913</v>
      </c>
      <c r="R22" s="54">
        <v>0.21428571428571427</v>
      </c>
      <c r="S22" s="54">
        <v>0.34285714285714286</v>
      </c>
      <c r="T22" s="50">
        <v>0.31428571428571428</v>
      </c>
      <c r="U22" s="50">
        <v>0.34285714285714286</v>
      </c>
      <c r="V22" s="50">
        <v>0.34285714285714286</v>
      </c>
    </row>
    <row r="23" spans="1:22" x14ac:dyDescent="0.25">
      <c r="A23" s="47" t="s">
        <v>179</v>
      </c>
      <c r="B23" s="52">
        <v>0.5</v>
      </c>
      <c r="C23" s="52">
        <v>0</v>
      </c>
      <c r="D23" s="52">
        <v>0.30769230769230771</v>
      </c>
      <c r="E23" s="52">
        <v>0.16666666666666666</v>
      </c>
      <c r="F23" s="52">
        <v>0.45454545454545453</v>
      </c>
      <c r="G23" s="52">
        <v>0.29545454545454547</v>
      </c>
      <c r="H23" s="53">
        <v>0</v>
      </c>
      <c r="I23" s="53">
        <v>0</v>
      </c>
      <c r="J23" s="53">
        <v>0.46153846153846156</v>
      </c>
      <c r="K23" s="53">
        <v>0.58333333333333337</v>
      </c>
      <c r="L23" s="53">
        <v>0.45454545454545453</v>
      </c>
      <c r="M23" s="53">
        <v>0.40909090909090912</v>
      </c>
      <c r="N23" s="54">
        <v>0.5</v>
      </c>
      <c r="O23" s="54">
        <v>1</v>
      </c>
      <c r="P23" s="54">
        <v>0.23076923076923078</v>
      </c>
      <c r="Q23" s="54">
        <v>0.25</v>
      </c>
      <c r="R23" s="54">
        <v>9.0909090909090912E-2</v>
      </c>
      <c r="S23" s="54">
        <v>0.29545454545454547</v>
      </c>
      <c r="T23" s="50">
        <v>0.29545454545454547</v>
      </c>
      <c r="U23" s="50">
        <v>0.40909090909090912</v>
      </c>
      <c r="V23" s="50">
        <v>0.29545454545454547</v>
      </c>
    </row>
    <row r="24" spans="1:22" x14ac:dyDescent="0.25">
      <c r="A24" s="47" t="s">
        <v>1487</v>
      </c>
      <c r="B24" s="52">
        <v>0.1111111111111111</v>
      </c>
      <c r="C24" s="52">
        <v>0</v>
      </c>
      <c r="D24" s="52">
        <v>0.4</v>
      </c>
      <c r="E24" s="52">
        <v>0.23529411764705882</v>
      </c>
      <c r="F24" s="52">
        <v>0.3</v>
      </c>
      <c r="G24" s="52">
        <v>0.26666666666666666</v>
      </c>
      <c r="H24" s="53">
        <v>0.55555555555555558</v>
      </c>
      <c r="I24" s="53">
        <v>0.5</v>
      </c>
      <c r="J24" s="53">
        <v>0.25</v>
      </c>
      <c r="K24" s="53">
        <v>0.6470588235294118</v>
      </c>
      <c r="L24" s="53">
        <v>0.4</v>
      </c>
      <c r="M24" s="53">
        <v>0.45</v>
      </c>
      <c r="N24" s="54">
        <v>0.33333333333333331</v>
      </c>
      <c r="O24" s="54">
        <v>0.5</v>
      </c>
      <c r="P24" s="54">
        <v>0.35</v>
      </c>
      <c r="Q24" s="54">
        <v>0.11764705882352941</v>
      </c>
      <c r="R24" s="54">
        <v>0.3</v>
      </c>
      <c r="S24" s="54">
        <v>0.28333333333333333</v>
      </c>
      <c r="T24" s="50">
        <v>0.26666666666666666</v>
      </c>
      <c r="U24" s="50">
        <v>0.45</v>
      </c>
      <c r="V24" s="50">
        <v>0.28333333333333333</v>
      </c>
    </row>
    <row r="25" spans="1:22" x14ac:dyDescent="0.25">
      <c r="A25" s="47" t="s">
        <v>1488</v>
      </c>
      <c r="B25" s="52">
        <v>0.17647058823529413</v>
      </c>
      <c r="C25" s="52">
        <v>0.23076923076923078</v>
      </c>
      <c r="D25" s="52">
        <v>0.36842105263157893</v>
      </c>
      <c r="E25" s="52">
        <v>0.33333333333333331</v>
      </c>
      <c r="F25" s="52">
        <v>0.4</v>
      </c>
      <c r="G25" s="52">
        <v>0.32835820895522388</v>
      </c>
      <c r="H25" s="53">
        <v>0.29411764705882354</v>
      </c>
      <c r="I25" s="53">
        <v>0.53846153846153844</v>
      </c>
      <c r="J25" s="53">
        <v>0.28947368421052633</v>
      </c>
      <c r="K25" s="53">
        <v>0.30555555555555558</v>
      </c>
      <c r="L25" s="53">
        <v>0.43333333333333335</v>
      </c>
      <c r="M25" s="53">
        <v>0.35074626865671643</v>
      </c>
      <c r="N25" s="54">
        <v>0.52941176470588236</v>
      </c>
      <c r="O25" s="54">
        <v>0.23076923076923078</v>
      </c>
      <c r="P25" s="54">
        <v>0.34210526315789475</v>
      </c>
      <c r="Q25" s="54">
        <v>0.3611111111111111</v>
      </c>
      <c r="R25" s="54">
        <v>0.16666666666666666</v>
      </c>
      <c r="S25" s="54">
        <v>0.32089552238805968</v>
      </c>
      <c r="T25" s="50">
        <v>0.32835820895522388</v>
      </c>
      <c r="U25" s="50">
        <v>0.35074626865671643</v>
      </c>
      <c r="V25" s="50">
        <v>0.32089552238805968</v>
      </c>
    </row>
    <row r="26" spans="1:22" x14ac:dyDescent="0.25">
      <c r="A26" s="47" t="s">
        <v>1489</v>
      </c>
      <c r="B26" s="52">
        <v>0.13333333333333333</v>
      </c>
      <c r="C26" s="52">
        <v>0</v>
      </c>
      <c r="D26" s="52">
        <v>0.45614035087719296</v>
      </c>
      <c r="E26" s="52">
        <v>0.34375</v>
      </c>
      <c r="F26" s="52">
        <v>0.56666666666666665</v>
      </c>
      <c r="G26" s="52">
        <v>0.4</v>
      </c>
      <c r="H26" s="53">
        <v>0.33333333333333331</v>
      </c>
      <c r="I26" s="53">
        <v>0.33333333333333331</v>
      </c>
      <c r="J26" s="53">
        <v>0.21052631578947367</v>
      </c>
      <c r="K26" s="53">
        <v>0.1875</v>
      </c>
      <c r="L26" s="53">
        <v>0.26666666666666666</v>
      </c>
      <c r="M26" s="53">
        <v>0.23571428571428571</v>
      </c>
      <c r="N26" s="54">
        <v>0.53333333333333333</v>
      </c>
      <c r="O26" s="54">
        <v>0.66666666666666663</v>
      </c>
      <c r="P26" s="54">
        <v>0.33333333333333331</v>
      </c>
      <c r="Q26" s="54">
        <v>0.46875</v>
      </c>
      <c r="R26" s="54">
        <v>0.16666666666666666</v>
      </c>
      <c r="S26" s="54">
        <v>0.36428571428571427</v>
      </c>
      <c r="T26" s="50">
        <v>0.4</v>
      </c>
      <c r="U26" s="50">
        <v>0.23571428571428571</v>
      </c>
      <c r="V26" s="50">
        <v>0.36428571428571427</v>
      </c>
    </row>
    <row r="27" spans="1:22" x14ac:dyDescent="0.25">
      <c r="A27" s="47" t="s">
        <v>1490</v>
      </c>
      <c r="B27" s="52">
        <v>0</v>
      </c>
      <c r="C27" s="52">
        <v>0</v>
      </c>
      <c r="D27" s="52">
        <v>0.3235294117647059</v>
      </c>
      <c r="E27" s="52">
        <v>0.42857142857142855</v>
      </c>
      <c r="F27" s="52">
        <v>0.5</v>
      </c>
      <c r="G27" s="52">
        <v>0.34666666666666668</v>
      </c>
      <c r="H27" s="53">
        <v>0</v>
      </c>
      <c r="I27" s="53">
        <v>0.33333333333333331</v>
      </c>
      <c r="J27" s="53">
        <v>0.20588235294117646</v>
      </c>
      <c r="K27" s="53">
        <v>0.35714285714285715</v>
      </c>
      <c r="L27" s="53">
        <v>0.22222222222222221</v>
      </c>
      <c r="M27" s="53">
        <v>0.24</v>
      </c>
      <c r="N27" s="54">
        <v>1</v>
      </c>
      <c r="O27" s="54">
        <v>0.66666666666666663</v>
      </c>
      <c r="P27" s="54">
        <v>0.47058823529411764</v>
      </c>
      <c r="Q27" s="54">
        <v>0.21428571428571427</v>
      </c>
      <c r="R27" s="54">
        <v>0.27777777777777779</v>
      </c>
      <c r="S27" s="54">
        <v>0.41333333333333333</v>
      </c>
      <c r="T27" s="50">
        <v>0.34666666666666668</v>
      </c>
      <c r="U27" s="50">
        <v>0.24</v>
      </c>
      <c r="V27" s="50">
        <v>0.41333333333333333</v>
      </c>
    </row>
    <row r="28" spans="1:22" x14ac:dyDescent="0.25">
      <c r="A28" s="47" t="s">
        <v>1491</v>
      </c>
      <c r="B28" s="52">
        <v>0</v>
      </c>
      <c r="C28" s="52">
        <v>0.2857142857142857</v>
      </c>
      <c r="D28" s="52">
        <v>0.17391304347826086</v>
      </c>
      <c r="E28" s="52">
        <v>0.40740740740740738</v>
      </c>
      <c r="F28" s="52">
        <v>0.21428571428571427</v>
      </c>
      <c r="G28" s="52">
        <v>0.23762376237623761</v>
      </c>
      <c r="H28" s="53">
        <v>0.5714285714285714</v>
      </c>
      <c r="I28" s="53">
        <v>0.42857142857142855</v>
      </c>
      <c r="J28" s="53">
        <v>0.39130434782608697</v>
      </c>
      <c r="K28" s="53">
        <v>0.25925925925925924</v>
      </c>
      <c r="L28" s="53">
        <v>0.42857142857142855</v>
      </c>
      <c r="M28" s="53">
        <v>0.37623762376237624</v>
      </c>
      <c r="N28" s="54">
        <v>0.42857142857142855</v>
      </c>
      <c r="O28" s="54">
        <v>0.2857142857142857</v>
      </c>
      <c r="P28" s="54">
        <v>0.43478260869565216</v>
      </c>
      <c r="Q28" s="54">
        <v>0.33333333333333331</v>
      </c>
      <c r="R28" s="54">
        <v>0.35714285714285715</v>
      </c>
      <c r="S28" s="54">
        <v>0.38613861386138615</v>
      </c>
      <c r="T28" s="50">
        <v>0.23762376237623761</v>
      </c>
      <c r="U28" s="50">
        <v>0.37623762376237624</v>
      </c>
      <c r="V28" s="50">
        <v>0.38613861386138615</v>
      </c>
    </row>
    <row r="29" spans="1:22" x14ac:dyDescent="0.25">
      <c r="A29" s="47" t="s">
        <v>1492</v>
      </c>
      <c r="B29" s="52">
        <v>0</v>
      </c>
      <c r="C29" s="52">
        <v>0</v>
      </c>
      <c r="D29" s="52">
        <v>0.4375</v>
      </c>
      <c r="E29" s="52">
        <v>0.33333333333333331</v>
      </c>
      <c r="F29" s="52">
        <v>0.66666666666666663</v>
      </c>
      <c r="G29" s="52">
        <v>0.34375</v>
      </c>
      <c r="H29" s="53">
        <v>0.2</v>
      </c>
      <c r="I29" s="53">
        <v>0</v>
      </c>
      <c r="J29" s="53">
        <v>0.4375</v>
      </c>
      <c r="K29" s="53">
        <v>0.5</v>
      </c>
      <c r="L29" s="53">
        <v>0</v>
      </c>
      <c r="M29" s="53">
        <v>0.34375</v>
      </c>
      <c r="N29" s="54">
        <v>0.8</v>
      </c>
      <c r="O29" s="54">
        <v>1</v>
      </c>
      <c r="P29" s="54">
        <v>0.125</v>
      </c>
      <c r="Q29" s="54">
        <v>0.16666666666666666</v>
      </c>
      <c r="R29" s="54">
        <v>0.33333333333333331</v>
      </c>
      <c r="S29" s="54">
        <v>0.3125</v>
      </c>
      <c r="T29" s="50">
        <v>0.34375</v>
      </c>
      <c r="U29" s="50">
        <v>0.34375</v>
      </c>
      <c r="V29" s="50">
        <v>0.3125</v>
      </c>
    </row>
    <row r="30" spans="1:22" x14ac:dyDescent="0.25">
      <c r="A30" s="47" t="s">
        <v>1344</v>
      </c>
      <c r="B30" s="52">
        <v>0.14285714285714285</v>
      </c>
      <c r="C30" s="52">
        <v>0.125</v>
      </c>
      <c r="D30" s="52">
        <v>0.3436426116838488</v>
      </c>
      <c r="E30" s="52">
        <v>0.34848484848484851</v>
      </c>
      <c r="F30" s="52">
        <v>0.43356643356643354</v>
      </c>
      <c r="G30" s="52">
        <v>0.3276089828269485</v>
      </c>
      <c r="H30" s="53">
        <v>0.37662337662337664</v>
      </c>
      <c r="I30" s="53">
        <v>0.375</v>
      </c>
      <c r="J30" s="53">
        <v>0.28865979381443296</v>
      </c>
      <c r="K30" s="53">
        <v>0.32323232323232326</v>
      </c>
      <c r="L30" s="53">
        <v>0.34265734265734266</v>
      </c>
      <c r="M30" s="53">
        <v>0.32232496697490093</v>
      </c>
      <c r="N30" s="54">
        <v>0.48051948051948051</v>
      </c>
      <c r="O30" s="54">
        <v>0.5</v>
      </c>
      <c r="P30" s="54">
        <v>0.36769759450171824</v>
      </c>
      <c r="Q30" s="54">
        <v>0.32828282828282829</v>
      </c>
      <c r="R30" s="54">
        <v>0.22377622377622378</v>
      </c>
      <c r="S30" s="54">
        <v>0.35006605019815057</v>
      </c>
      <c r="T30" s="50">
        <v>0.3276089828269485</v>
      </c>
      <c r="U30" s="50">
        <v>0.32232496697490093</v>
      </c>
      <c r="V30" s="50">
        <v>0.35006605019815057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79163F-86D4-43C0-996E-43E0038A10B2}">
  <dimension ref="A1:K51"/>
  <sheetViews>
    <sheetView zoomScaleNormal="100" workbookViewId="0">
      <selection activeCell="A44" sqref="A44"/>
    </sheetView>
  </sheetViews>
  <sheetFormatPr defaultRowHeight="15" x14ac:dyDescent="0.25"/>
  <cols>
    <col min="1" max="1" width="9.140625" style="184"/>
    <col min="2" max="2" width="60.5703125" style="191" customWidth="1"/>
    <col min="3" max="4" width="8.85546875" style="184" customWidth="1"/>
    <col min="5" max="5" width="10.28515625" style="184" bestFit="1" customWidth="1"/>
    <col min="6" max="7" width="9.140625" style="184"/>
    <col min="8" max="8" width="13.5703125" style="184" customWidth="1"/>
    <col min="9" max="9" width="9.140625" style="184"/>
    <col min="10" max="10" width="13.5703125" style="184" bestFit="1" customWidth="1"/>
    <col min="11" max="11" width="13.7109375" style="184" customWidth="1"/>
  </cols>
  <sheetData>
    <row r="1" spans="1:11" ht="51" x14ac:dyDescent="0.25">
      <c r="A1" s="182" t="s">
        <v>1493</v>
      </c>
      <c r="B1" s="189" t="s">
        <v>7</v>
      </c>
      <c r="C1" s="182" t="s">
        <v>1494</v>
      </c>
      <c r="D1" s="182" t="s">
        <v>13</v>
      </c>
      <c r="E1" s="182" t="s">
        <v>1495</v>
      </c>
      <c r="F1" s="182" t="s">
        <v>1496</v>
      </c>
      <c r="G1" s="182" t="s">
        <v>1497</v>
      </c>
      <c r="H1" s="182" t="s">
        <v>1498</v>
      </c>
      <c r="I1" s="182" t="s">
        <v>1499</v>
      </c>
      <c r="J1" s="182" t="s">
        <v>1500</v>
      </c>
      <c r="K1" s="182" t="s">
        <v>1501</v>
      </c>
    </row>
    <row r="2" spans="1:11" ht="31.5" x14ac:dyDescent="0.25">
      <c r="A2" s="183">
        <v>1</v>
      </c>
      <c r="B2" s="181" t="s">
        <v>154</v>
      </c>
      <c r="C2" s="185" t="s">
        <v>142</v>
      </c>
      <c r="D2" s="185" t="s">
        <v>122</v>
      </c>
      <c r="E2" s="186">
        <v>45460</v>
      </c>
      <c r="F2" s="185" t="s">
        <v>112</v>
      </c>
      <c r="G2" s="185" t="s">
        <v>109</v>
      </c>
      <c r="H2" s="185" t="s">
        <v>115</v>
      </c>
      <c r="I2" s="187">
        <v>46113</v>
      </c>
      <c r="J2" s="185" t="s">
        <v>112</v>
      </c>
      <c r="K2" s="187">
        <v>46113</v>
      </c>
    </row>
    <row r="3" spans="1:11" ht="15.75" x14ac:dyDescent="0.25">
      <c r="A3" s="183">
        <v>2</v>
      </c>
      <c r="B3" s="181" t="s">
        <v>148</v>
      </c>
      <c r="C3" s="185" t="s">
        <v>101</v>
      </c>
      <c r="D3" s="185" t="s">
        <v>101</v>
      </c>
      <c r="E3" s="186">
        <v>45322</v>
      </c>
      <c r="F3" s="185" t="s">
        <v>184</v>
      </c>
      <c r="G3" s="185" t="s">
        <v>109</v>
      </c>
      <c r="H3" s="185" t="s">
        <v>109</v>
      </c>
      <c r="I3" s="187">
        <v>46113</v>
      </c>
      <c r="J3" s="185" t="s">
        <v>112</v>
      </c>
      <c r="K3" s="187">
        <v>46113</v>
      </c>
    </row>
    <row r="4" spans="1:11" ht="15.75" x14ac:dyDescent="0.25">
      <c r="A4" s="183">
        <v>3</v>
      </c>
      <c r="B4" s="181" t="s">
        <v>97</v>
      </c>
      <c r="C4" s="185" t="s">
        <v>100</v>
      </c>
      <c r="D4" s="185" t="s">
        <v>101</v>
      </c>
      <c r="E4" s="186">
        <v>45315</v>
      </c>
      <c r="F4" s="185" t="s">
        <v>112</v>
      </c>
      <c r="G4" s="185" t="s">
        <v>109</v>
      </c>
      <c r="H4" s="185" t="s">
        <v>109</v>
      </c>
      <c r="I4" s="187">
        <v>46082</v>
      </c>
      <c r="J4" s="185" t="s">
        <v>112</v>
      </c>
      <c r="K4" s="187">
        <v>46113</v>
      </c>
    </row>
    <row r="5" spans="1:11" ht="15.75" x14ac:dyDescent="0.25">
      <c r="A5" s="183">
        <v>4</v>
      </c>
      <c r="B5" s="181" t="s">
        <v>209</v>
      </c>
      <c r="C5" s="185" t="s">
        <v>169</v>
      </c>
      <c r="D5" s="185" t="s">
        <v>101</v>
      </c>
      <c r="E5" s="186">
        <v>45349</v>
      </c>
      <c r="F5" s="185" t="s">
        <v>184</v>
      </c>
      <c r="G5" s="185" t="s">
        <v>171</v>
      </c>
      <c r="H5" s="185" t="s">
        <v>109</v>
      </c>
      <c r="I5" s="187">
        <v>46113</v>
      </c>
      <c r="J5" s="188">
        <v>46113</v>
      </c>
      <c r="K5" s="187">
        <v>46143</v>
      </c>
    </row>
    <row r="6" spans="1:11" ht="31.5" x14ac:dyDescent="0.25">
      <c r="A6" s="183">
        <v>5</v>
      </c>
      <c r="B6" s="181" t="s">
        <v>230</v>
      </c>
      <c r="C6" s="185" t="s">
        <v>100</v>
      </c>
      <c r="D6" s="185" t="s">
        <v>122</v>
      </c>
      <c r="E6" s="186">
        <v>45699</v>
      </c>
      <c r="F6" s="185" t="s">
        <v>184</v>
      </c>
      <c r="G6" s="185" t="s">
        <v>171</v>
      </c>
      <c r="H6" s="185" t="s">
        <v>115</v>
      </c>
      <c r="I6" s="187">
        <v>46113</v>
      </c>
      <c r="J6" s="188">
        <v>46113</v>
      </c>
      <c r="K6" s="187">
        <v>46143</v>
      </c>
    </row>
    <row r="7" spans="1:11" ht="15.75" x14ac:dyDescent="0.25">
      <c r="A7" s="183">
        <v>6</v>
      </c>
      <c r="B7" s="181" t="s">
        <v>167</v>
      </c>
      <c r="C7" s="185" t="s">
        <v>169</v>
      </c>
      <c r="D7" s="185" t="s">
        <v>101</v>
      </c>
      <c r="E7" s="186">
        <v>45547</v>
      </c>
      <c r="F7" s="185" t="s">
        <v>184</v>
      </c>
      <c r="G7" s="185" t="s">
        <v>109</v>
      </c>
      <c r="H7" s="185" t="s">
        <v>109</v>
      </c>
      <c r="I7" s="187">
        <v>46143</v>
      </c>
      <c r="J7" s="185" t="s">
        <v>112</v>
      </c>
      <c r="K7" s="187">
        <v>46143</v>
      </c>
    </row>
    <row r="8" spans="1:11" ht="31.5" x14ac:dyDescent="0.25">
      <c r="A8" s="183">
        <v>7</v>
      </c>
      <c r="B8" s="181" t="s">
        <v>188</v>
      </c>
      <c r="C8" s="185" t="s">
        <v>169</v>
      </c>
      <c r="D8" s="185" t="s">
        <v>122</v>
      </c>
      <c r="E8" s="186">
        <v>45257</v>
      </c>
      <c r="F8" s="185" t="s">
        <v>184</v>
      </c>
      <c r="G8" s="185" t="s">
        <v>109</v>
      </c>
      <c r="H8" s="185" t="s">
        <v>115</v>
      </c>
      <c r="I8" s="187">
        <v>46143</v>
      </c>
      <c r="J8" s="185" t="s">
        <v>112</v>
      </c>
      <c r="K8" s="187">
        <v>46143</v>
      </c>
    </row>
    <row r="9" spans="1:11" ht="31.5" x14ac:dyDescent="0.25">
      <c r="A9" s="183">
        <v>8</v>
      </c>
      <c r="B9" s="181" t="s">
        <v>213</v>
      </c>
      <c r="C9" s="185" t="s">
        <v>169</v>
      </c>
      <c r="D9" s="185" t="s">
        <v>101</v>
      </c>
      <c r="E9" s="186">
        <v>45357</v>
      </c>
      <c r="F9" s="185" t="s">
        <v>184</v>
      </c>
      <c r="G9" s="185" t="s">
        <v>171</v>
      </c>
      <c r="H9" s="185" t="s">
        <v>184</v>
      </c>
      <c r="I9" s="187">
        <v>46113</v>
      </c>
      <c r="J9" s="188">
        <v>46113</v>
      </c>
      <c r="K9" s="187">
        <v>46143</v>
      </c>
    </row>
    <row r="10" spans="1:11" ht="15.75" x14ac:dyDescent="0.25">
      <c r="A10" s="183">
        <v>9</v>
      </c>
      <c r="B10" s="181" t="s">
        <v>224</v>
      </c>
      <c r="C10" s="185" t="s">
        <v>142</v>
      </c>
      <c r="D10" s="185" t="s">
        <v>122</v>
      </c>
      <c r="E10" s="186">
        <v>45458</v>
      </c>
      <c r="F10" s="185" t="s">
        <v>184</v>
      </c>
      <c r="G10" s="185" t="s">
        <v>109</v>
      </c>
      <c r="H10" s="185" t="s">
        <v>115</v>
      </c>
      <c r="I10" s="187">
        <v>46143</v>
      </c>
      <c r="J10" s="185" t="s">
        <v>112</v>
      </c>
      <c r="K10" s="187">
        <v>46143</v>
      </c>
    </row>
    <row r="11" spans="1:11" ht="31.5" x14ac:dyDescent="0.25">
      <c r="A11" s="183">
        <v>10</v>
      </c>
      <c r="B11" s="181" t="s">
        <v>160</v>
      </c>
      <c r="C11" s="185" t="s">
        <v>142</v>
      </c>
      <c r="D11" s="185" t="s">
        <v>101</v>
      </c>
      <c r="E11" s="186">
        <v>45463</v>
      </c>
      <c r="F11" s="185" t="s">
        <v>184</v>
      </c>
      <c r="G11" s="185" t="s">
        <v>109</v>
      </c>
      <c r="H11" s="185" t="s">
        <v>109</v>
      </c>
      <c r="I11" s="187">
        <v>46143</v>
      </c>
      <c r="J11" s="185" t="s">
        <v>112</v>
      </c>
      <c r="K11" s="187">
        <v>46143</v>
      </c>
    </row>
    <row r="12" spans="1:11" ht="31.5" x14ac:dyDescent="0.25">
      <c r="A12" s="183">
        <v>11</v>
      </c>
      <c r="B12" s="181" t="s">
        <v>218</v>
      </c>
      <c r="C12" s="185" t="s">
        <v>142</v>
      </c>
      <c r="D12" s="185" t="s">
        <v>122</v>
      </c>
      <c r="E12" s="186">
        <v>45456</v>
      </c>
      <c r="F12" s="185" t="s">
        <v>184</v>
      </c>
      <c r="G12" s="185" t="s">
        <v>109</v>
      </c>
      <c r="H12" s="185" t="s">
        <v>115</v>
      </c>
      <c r="I12" s="187">
        <v>46023</v>
      </c>
      <c r="J12" s="185" t="s">
        <v>112</v>
      </c>
      <c r="K12" s="187">
        <v>46174</v>
      </c>
    </row>
    <row r="13" spans="1:11" ht="31.5" x14ac:dyDescent="0.25">
      <c r="A13" s="183">
        <v>12</v>
      </c>
      <c r="B13" s="181" t="s">
        <v>236</v>
      </c>
      <c r="C13" s="185" t="s">
        <v>169</v>
      </c>
      <c r="D13" s="185" t="s">
        <v>122</v>
      </c>
      <c r="E13" s="186">
        <v>45964</v>
      </c>
      <c r="F13" s="185" t="s">
        <v>184</v>
      </c>
      <c r="G13" s="185" t="s">
        <v>171</v>
      </c>
      <c r="H13" s="185" t="s">
        <v>115</v>
      </c>
      <c r="I13" s="187">
        <v>46143</v>
      </c>
      <c r="J13" s="188">
        <f>+EOMONTH(I13,-2)+1</f>
        <v>46113</v>
      </c>
      <c r="K13" s="187">
        <v>46174</v>
      </c>
    </row>
    <row r="14" spans="1:11" ht="31.5" x14ac:dyDescent="0.25">
      <c r="A14" s="183">
        <v>13</v>
      </c>
      <c r="B14" s="181" t="s">
        <v>139</v>
      </c>
      <c r="C14" s="185" t="s">
        <v>142</v>
      </c>
      <c r="D14" s="185" t="s">
        <v>122</v>
      </c>
      <c r="E14" s="186">
        <v>45271</v>
      </c>
      <c r="F14" s="185" t="s">
        <v>184</v>
      </c>
      <c r="G14" s="185" t="s">
        <v>109</v>
      </c>
      <c r="H14" s="185" t="s">
        <v>115</v>
      </c>
      <c r="I14" s="187">
        <v>46143</v>
      </c>
      <c r="J14" s="185" t="s">
        <v>112</v>
      </c>
      <c r="K14" s="187">
        <v>46174</v>
      </c>
    </row>
    <row r="15" spans="1:11" ht="31.5" x14ac:dyDescent="0.25">
      <c r="A15" s="183">
        <v>14</v>
      </c>
      <c r="B15" s="181" t="s">
        <v>204</v>
      </c>
      <c r="C15" s="185" t="s">
        <v>142</v>
      </c>
      <c r="D15" s="185" t="s">
        <v>122</v>
      </c>
      <c r="E15" s="186">
        <v>45349</v>
      </c>
      <c r="F15" s="185" t="s">
        <v>184</v>
      </c>
      <c r="G15" s="185" t="s">
        <v>109</v>
      </c>
      <c r="H15" s="185" t="s">
        <v>115</v>
      </c>
      <c r="I15" s="187">
        <v>46143</v>
      </c>
      <c r="J15" s="185" t="s">
        <v>112</v>
      </c>
      <c r="K15" s="187">
        <v>46204</v>
      </c>
    </row>
    <row r="16" spans="1:11" ht="31.5" x14ac:dyDescent="0.25">
      <c r="A16" s="183">
        <v>15</v>
      </c>
      <c r="B16" s="181" t="s">
        <v>200</v>
      </c>
      <c r="C16" s="185" t="s">
        <v>142</v>
      </c>
      <c r="D16" s="185" t="s">
        <v>101</v>
      </c>
      <c r="E16" s="186">
        <v>45307</v>
      </c>
      <c r="F16" s="185" t="s">
        <v>184</v>
      </c>
      <c r="G16" s="185" t="s">
        <v>109</v>
      </c>
      <c r="H16" s="185" t="s">
        <v>109</v>
      </c>
      <c r="I16" s="187">
        <v>46143</v>
      </c>
      <c r="J16" s="185" t="s">
        <v>112</v>
      </c>
      <c r="K16" s="187">
        <v>46204</v>
      </c>
    </row>
    <row r="17" spans="1:11" ht="15.75" x14ac:dyDescent="0.25">
      <c r="A17" s="183">
        <v>16</v>
      </c>
      <c r="B17" s="181" t="s">
        <v>176</v>
      </c>
      <c r="C17" s="185" t="s">
        <v>142</v>
      </c>
      <c r="D17" s="185" t="s">
        <v>101</v>
      </c>
      <c r="E17" s="186">
        <v>45012</v>
      </c>
      <c r="F17" s="185" t="s">
        <v>184</v>
      </c>
      <c r="G17" s="185" t="s">
        <v>171</v>
      </c>
      <c r="H17" s="185" t="s">
        <v>184</v>
      </c>
      <c r="I17" s="187">
        <v>46174</v>
      </c>
      <c r="J17" s="188">
        <v>46113</v>
      </c>
      <c r="K17" s="187">
        <v>46204</v>
      </c>
    </row>
    <row r="18" spans="1:11" ht="15.75" x14ac:dyDescent="0.25">
      <c r="A18" s="183">
        <v>17</v>
      </c>
      <c r="B18" s="181" t="s">
        <v>193</v>
      </c>
      <c r="C18" s="185" t="s">
        <v>169</v>
      </c>
      <c r="D18" s="185" t="s">
        <v>101</v>
      </c>
      <c r="E18" s="186">
        <v>45279</v>
      </c>
      <c r="F18" s="185" t="s">
        <v>184</v>
      </c>
      <c r="G18" s="185" t="s">
        <v>109</v>
      </c>
      <c r="H18" s="185" t="s">
        <v>184</v>
      </c>
      <c r="I18" s="187">
        <v>46143</v>
      </c>
      <c r="J18" s="185" t="s">
        <v>112</v>
      </c>
      <c r="K18" s="187">
        <v>46204</v>
      </c>
    </row>
    <row r="19" spans="1:11" ht="31.5" x14ac:dyDescent="0.25">
      <c r="A19" s="183">
        <v>18</v>
      </c>
      <c r="B19" s="181" t="s">
        <v>250</v>
      </c>
      <c r="C19" s="185" t="s">
        <v>169</v>
      </c>
      <c r="D19" s="185" t="s">
        <v>122</v>
      </c>
      <c r="E19" s="186">
        <v>45479</v>
      </c>
      <c r="F19" s="185" t="s">
        <v>184</v>
      </c>
      <c r="G19" s="185" t="s">
        <v>109</v>
      </c>
      <c r="H19" s="185" t="s">
        <v>115</v>
      </c>
      <c r="I19" s="187">
        <v>46174</v>
      </c>
      <c r="J19" s="185" t="s">
        <v>112</v>
      </c>
      <c r="K19" s="187">
        <v>46204</v>
      </c>
    </row>
    <row r="20" spans="1:11" ht="31.5" x14ac:dyDescent="0.25">
      <c r="A20" s="183">
        <v>19</v>
      </c>
      <c r="B20" s="181" t="s">
        <v>267</v>
      </c>
      <c r="C20" s="185" t="s">
        <v>142</v>
      </c>
      <c r="D20" s="185" t="s">
        <v>122</v>
      </c>
      <c r="E20" s="186">
        <v>45458</v>
      </c>
      <c r="F20" s="185" t="s">
        <v>184</v>
      </c>
      <c r="G20" s="185" t="s">
        <v>171</v>
      </c>
      <c r="H20" s="185" t="s">
        <v>115</v>
      </c>
      <c r="I20" s="187">
        <v>46204</v>
      </c>
      <c r="J20" s="188">
        <v>46174</v>
      </c>
      <c r="K20" s="187">
        <v>46235</v>
      </c>
    </row>
    <row r="21" spans="1:11" ht="31.5" x14ac:dyDescent="0.25">
      <c r="A21" s="183">
        <v>20</v>
      </c>
      <c r="B21" s="181" t="s">
        <v>254</v>
      </c>
      <c r="C21" s="185" t="s">
        <v>142</v>
      </c>
      <c r="D21" s="185" t="s">
        <v>122</v>
      </c>
      <c r="E21" s="186">
        <v>43536</v>
      </c>
      <c r="F21" s="185" t="s">
        <v>184</v>
      </c>
      <c r="G21" s="185" t="s">
        <v>109</v>
      </c>
      <c r="H21" s="185" t="s">
        <v>115</v>
      </c>
      <c r="I21" s="187">
        <v>46204</v>
      </c>
      <c r="J21" s="185" t="s">
        <v>112</v>
      </c>
      <c r="K21" s="187">
        <v>46235</v>
      </c>
    </row>
    <row r="22" spans="1:11" ht="31.5" x14ac:dyDescent="0.25">
      <c r="A22" s="183">
        <v>21</v>
      </c>
      <c r="B22" s="181" t="s">
        <v>287</v>
      </c>
      <c r="C22" s="185" t="s">
        <v>142</v>
      </c>
      <c r="D22" s="185" t="s">
        <v>101</v>
      </c>
      <c r="E22" s="186">
        <v>45274</v>
      </c>
      <c r="F22" s="185" t="s">
        <v>184</v>
      </c>
      <c r="G22" s="185" t="s">
        <v>171</v>
      </c>
      <c r="H22" s="185" t="s">
        <v>184</v>
      </c>
      <c r="I22" s="187">
        <v>46204</v>
      </c>
      <c r="J22" s="188">
        <v>46174</v>
      </c>
      <c r="K22" s="187">
        <v>46266</v>
      </c>
    </row>
    <row r="23" spans="1:11" ht="15.75" x14ac:dyDescent="0.25">
      <c r="A23" s="183">
        <v>22</v>
      </c>
      <c r="B23" s="181" t="s">
        <v>308</v>
      </c>
      <c r="C23" s="185" t="s">
        <v>142</v>
      </c>
      <c r="D23" s="185" t="s">
        <v>101</v>
      </c>
      <c r="E23" s="186">
        <v>45659</v>
      </c>
      <c r="F23" s="185" t="s">
        <v>184</v>
      </c>
      <c r="G23" s="185" t="s">
        <v>171</v>
      </c>
      <c r="H23" s="185" t="s">
        <v>109</v>
      </c>
      <c r="I23" s="187">
        <v>46023</v>
      </c>
      <c r="J23" s="188">
        <v>46113</v>
      </c>
      <c r="K23" s="187">
        <v>46266</v>
      </c>
    </row>
    <row r="24" spans="1:11" ht="31.5" x14ac:dyDescent="0.25">
      <c r="A24" s="183">
        <v>23</v>
      </c>
      <c r="B24" s="181" t="s">
        <v>381</v>
      </c>
      <c r="C24" s="185" t="s">
        <v>101</v>
      </c>
      <c r="D24" s="185" t="s">
        <v>101</v>
      </c>
      <c r="E24" s="186">
        <v>45632</v>
      </c>
      <c r="F24" s="185" t="s">
        <v>184</v>
      </c>
      <c r="G24" s="185" t="s">
        <v>109</v>
      </c>
      <c r="H24" s="185" t="s">
        <v>109</v>
      </c>
      <c r="I24" s="187">
        <v>46266</v>
      </c>
      <c r="J24" s="185" t="s">
        <v>112</v>
      </c>
      <c r="K24" s="187">
        <v>46266</v>
      </c>
    </row>
    <row r="25" spans="1:11" ht="31.5" x14ac:dyDescent="0.25">
      <c r="A25" s="183">
        <v>24</v>
      </c>
      <c r="B25" s="181" t="s">
        <v>281</v>
      </c>
      <c r="C25" s="185" t="s">
        <v>169</v>
      </c>
      <c r="D25" s="185" t="s">
        <v>101</v>
      </c>
      <c r="E25" s="186">
        <v>45047</v>
      </c>
      <c r="F25" s="185" t="s">
        <v>184</v>
      </c>
      <c r="G25" s="185" t="s">
        <v>171</v>
      </c>
      <c r="H25" s="185" t="s">
        <v>184</v>
      </c>
      <c r="I25" s="187">
        <v>46204</v>
      </c>
      <c r="J25" s="188">
        <v>46174</v>
      </c>
      <c r="K25" s="187">
        <v>46266</v>
      </c>
    </row>
    <row r="26" spans="1:11" ht="31.5" x14ac:dyDescent="0.25">
      <c r="A26" s="183">
        <v>25</v>
      </c>
      <c r="B26" s="181" t="s">
        <v>304</v>
      </c>
      <c r="C26" s="185" t="s">
        <v>142</v>
      </c>
      <c r="D26" s="185" t="s">
        <v>122</v>
      </c>
      <c r="E26" s="186">
        <v>45460</v>
      </c>
      <c r="F26" s="185" t="s">
        <v>184</v>
      </c>
      <c r="G26" s="185" t="s">
        <v>109</v>
      </c>
      <c r="H26" s="185" t="s">
        <v>115</v>
      </c>
      <c r="I26" s="187">
        <v>46204</v>
      </c>
      <c r="J26" s="185" t="s">
        <v>112</v>
      </c>
      <c r="K26" s="187">
        <v>46266</v>
      </c>
    </row>
    <row r="27" spans="1:11" ht="31.5" x14ac:dyDescent="0.25">
      <c r="A27" s="183">
        <v>26</v>
      </c>
      <c r="B27" s="181" t="s">
        <v>1502</v>
      </c>
      <c r="C27" s="185" t="s">
        <v>101</v>
      </c>
      <c r="D27" s="185" t="s">
        <v>101</v>
      </c>
      <c r="E27" s="186">
        <v>45323</v>
      </c>
      <c r="F27" s="185" t="s">
        <v>184</v>
      </c>
      <c r="G27" s="185" t="s">
        <v>171</v>
      </c>
      <c r="H27" s="185" t="s">
        <v>109</v>
      </c>
      <c r="I27" s="187">
        <v>45627</v>
      </c>
      <c r="J27" s="188">
        <v>46174</v>
      </c>
      <c r="K27" s="187">
        <v>46296</v>
      </c>
    </row>
    <row r="28" spans="1:11" ht="31.5" x14ac:dyDescent="0.25">
      <c r="A28" s="183">
        <v>27</v>
      </c>
      <c r="B28" s="181" t="s">
        <v>322</v>
      </c>
      <c r="C28" s="185" t="s">
        <v>169</v>
      </c>
      <c r="D28" s="185" t="s">
        <v>101</v>
      </c>
      <c r="E28" s="186">
        <v>45338</v>
      </c>
      <c r="F28" s="185" t="s">
        <v>184</v>
      </c>
      <c r="G28" s="185" t="s">
        <v>171</v>
      </c>
      <c r="H28" s="185" t="s">
        <v>184</v>
      </c>
      <c r="I28" s="187">
        <v>46266</v>
      </c>
      <c r="J28" s="188">
        <v>46235</v>
      </c>
      <c r="K28" s="187">
        <v>46296</v>
      </c>
    </row>
    <row r="29" spans="1:11" ht="31.5" x14ac:dyDescent="0.25">
      <c r="A29" s="183">
        <v>28</v>
      </c>
      <c r="B29" s="181" t="s">
        <v>291</v>
      </c>
      <c r="C29" s="185" t="s">
        <v>169</v>
      </c>
      <c r="D29" s="185" t="s">
        <v>122</v>
      </c>
      <c r="E29" s="186">
        <v>45275</v>
      </c>
      <c r="F29" s="185" t="s">
        <v>184</v>
      </c>
      <c r="G29" s="185" t="s">
        <v>171</v>
      </c>
      <c r="H29" s="185" t="s">
        <v>115</v>
      </c>
      <c r="I29" s="187">
        <v>46266</v>
      </c>
      <c r="J29" s="188">
        <v>46174</v>
      </c>
      <c r="K29" s="187">
        <v>46296</v>
      </c>
    </row>
    <row r="30" spans="1:11" ht="15.75" x14ac:dyDescent="0.25">
      <c r="A30" s="183">
        <v>29</v>
      </c>
      <c r="B30" s="181" t="s">
        <v>326</v>
      </c>
      <c r="C30" s="185" t="s">
        <v>169</v>
      </c>
      <c r="D30" s="185" t="s">
        <v>122</v>
      </c>
      <c r="E30" s="186">
        <v>45456</v>
      </c>
      <c r="F30" s="185" t="s">
        <v>184</v>
      </c>
      <c r="G30" s="185" t="s">
        <v>171</v>
      </c>
      <c r="H30" s="185" t="s">
        <v>115</v>
      </c>
      <c r="I30" s="187">
        <v>46266</v>
      </c>
      <c r="J30" s="188">
        <v>46174</v>
      </c>
      <c r="K30" s="187">
        <v>46296</v>
      </c>
    </row>
    <row r="31" spans="1:11" ht="31.5" x14ac:dyDescent="0.25">
      <c r="A31" s="183">
        <v>30</v>
      </c>
      <c r="B31" s="181" t="s">
        <v>294</v>
      </c>
      <c r="C31" s="185" t="s">
        <v>169</v>
      </c>
      <c r="D31" s="185" t="s">
        <v>122</v>
      </c>
      <c r="E31" s="186">
        <v>45309</v>
      </c>
      <c r="F31" s="185" t="s">
        <v>184</v>
      </c>
      <c r="G31" s="185" t="s">
        <v>171</v>
      </c>
      <c r="H31" s="185" t="s">
        <v>115</v>
      </c>
      <c r="I31" s="187">
        <v>46266</v>
      </c>
      <c r="J31" s="188">
        <v>46174</v>
      </c>
      <c r="K31" s="187">
        <v>46296</v>
      </c>
    </row>
    <row r="32" spans="1:11" ht="31.5" x14ac:dyDescent="0.25">
      <c r="A32" s="183">
        <v>31</v>
      </c>
      <c r="B32" s="181" t="s">
        <v>344</v>
      </c>
      <c r="C32" s="185" t="s">
        <v>142</v>
      </c>
      <c r="D32" s="185" t="s">
        <v>122</v>
      </c>
      <c r="E32" s="186">
        <v>45464</v>
      </c>
      <c r="F32" s="185" t="s">
        <v>184</v>
      </c>
      <c r="G32" s="185" t="s">
        <v>171</v>
      </c>
      <c r="H32" s="185" t="s">
        <v>115</v>
      </c>
      <c r="I32" s="187">
        <v>46296</v>
      </c>
      <c r="J32" s="188">
        <v>46174</v>
      </c>
      <c r="K32" s="187">
        <v>46327</v>
      </c>
    </row>
    <row r="33" spans="1:11" ht="31.5" x14ac:dyDescent="0.25">
      <c r="A33" s="183">
        <v>32</v>
      </c>
      <c r="B33" s="181" t="s">
        <v>341</v>
      </c>
      <c r="C33" s="185" t="s">
        <v>142</v>
      </c>
      <c r="D33" s="185" t="s">
        <v>122</v>
      </c>
      <c r="E33" s="186">
        <v>45265</v>
      </c>
      <c r="F33" s="185" t="s">
        <v>184</v>
      </c>
      <c r="G33" s="185" t="s">
        <v>109</v>
      </c>
      <c r="H33" s="185" t="s">
        <v>115</v>
      </c>
      <c r="I33" s="187">
        <v>46296</v>
      </c>
      <c r="J33" s="185" t="s">
        <v>112</v>
      </c>
      <c r="K33" s="187">
        <v>46327</v>
      </c>
    </row>
    <row r="34" spans="1:11" ht="31.5" x14ac:dyDescent="0.25">
      <c r="A34" s="183">
        <v>33</v>
      </c>
      <c r="B34" s="181" t="s">
        <v>375</v>
      </c>
      <c r="C34" s="185" t="s">
        <v>101</v>
      </c>
      <c r="D34" s="185" t="s">
        <v>101</v>
      </c>
      <c r="E34" s="186">
        <v>45580</v>
      </c>
      <c r="F34" s="185" t="s">
        <v>184</v>
      </c>
      <c r="G34" s="185" t="s">
        <v>171</v>
      </c>
      <c r="H34" s="185" t="s">
        <v>184</v>
      </c>
      <c r="I34" s="187">
        <v>46266</v>
      </c>
      <c r="J34" s="188">
        <v>46235</v>
      </c>
      <c r="K34" s="187">
        <v>46357</v>
      </c>
    </row>
    <row r="35" spans="1:11" ht="15.75" x14ac:dyDescent="0.25">
      <c r="A35" s="183">
        <v>34</v>
      </c>
      <c r="B35" s="181" t="s">
        <v>385</v>
      </c>
      <c r="C35" s="185" t="s">
        <v>169</v>
      </c>
      <c r="D35" s="185" t="s">
        <v>101</v>
      </c>
      <c r="E35" s="186">
        <v>46070</v>
      </c>
      <c r="F35" s="185" t="s">
        <v>184</v>
      </c>
      <c r="G35" s="185" t="s">
        <v>171</v>
      </c>
      <c r="H35" s="185" t="s">
        <v>184</v>
      </c>
      <c r="I35" s="187">
        <v>46296</v>
      </c>
      <c r="J35" s="188">
        <v>46235</v>
      </c>
      <c r="K35" s="187">
        <v>46357</v>
      </c>
    </row>
    <row r="36" spans="1:11" ht="15.75" x14ac:dyDescent="0.25">
      <c r="A36" s="183">
        <v>35</v>
      </c>
      <c r="B36" s="181" t="s">
        <v>372</v>
      </c>
      <c r="C36" s="185" t="s">
        <v>100</v>
      </c>
      <c r="D36" s="185" t="s">
        <v>122</v>
      </c>
      <c r="E36" s="186">
        <v>45456</v>
      </c>
      <c r="F36" s="185" t="s">
        <v>184</v>
      </c>
      <c r="G36" s="185" t="s">
        <v>171</v>
      </c>
      <c r="H36" s="185" t="s">
        <v>115</v>
      </c>
      <c r="I36" s="187">
        <v>46327</v>
      </c>
      <c r="J36" s="188">
        <v>46174</v>
      </c>
      <c r="K36" s="187">
        <v>46357</v>
      </c>
    </row>
    <row r="37" spans="1:11" ht="15.75" x14ac:dyDescent="0.25">
      <c r="A37" s="183">
        <v>36</v>
      </c>
      <c r="B37" s="181" t="s">
        <v>366</v>
      </c>
      <c r="C37" s="185" t="s">
        <v>142</v>
      </c>
      <c r="D37" s="185" t="s">
        <v>122</v>
      </c>
      <c r="E37" s="186">
        <v>45314</v>
      </c>
      <c r="F37" s="185" t="s">
        <v>184</v>
      </c>
      <c r="G37" s="185" t="s">
        <v>171</v>
      </c>
      <c r="H37" s="185" t="s">
        <v>115</v>
      </c>
      <c r="I37" s="187">
        <v>46327</v>
      </c>
      <c r="J37" s="188">
        <v>46174</v>
      </c>
      <c r="K37" s="187">
        <v>46357</v>
      </c>
    </row>
    <row r="38" spans="1:11" ht="15.75" x14ac:dyDescent="0.25">
      <c r="A38" s="183">
        <v>37</v>
      </c>
      <c r="B38" s="181" t="s">
        <v>412</v>
      </c>
      <c r="C38" s="185" t="s">
        <v>169</v>
      </c>
      <c r="D38" s="185" t="s">
        <v>122</v>
      </c>
      <c r="E38" s="186">
        <v>45461</v>
      </c>
      <c r="F38" s="185" t="s">
        <v>184</v>
      </c>
      <c r="G38" s="185" t="s">
        <v>171</v>
      </c>
      <c r="H38" s="185" t="s">
        <v>115</v>
      </c>
      <c r="I38" s="187">
        <v>46357</v>
      </c>
      <c r="J38" s="188">
        <v>46174</v>
      </c>
      <c r="K38" s="187">
        <v>46388</v>
      </c>
    </row>
    <row r="39" spans="1:11" ht="15.75" x14ac:dyDescent="0.25">
      <c r="A39" s="183">
        <v>38</v>
      </c>
      <c r="B39" s="181" t="s">
        <v>433</v>
      </c>
      <c r="C39" s="185" t="s">
        <v>142</v>
      </c>
      <c r="D39" s="185" t="s">
        <v>122</v>
      </c>
      <c r="E39" s="186">
        <v>45839</v>
      </c>
      <c r="F39" s="185" t="s">
        <v>184</v>
      </c>
      <c r="G39" s="185" t="s">
        <v>171</v>
      </c>
      <c r="H39" s="185" t="s">
        <v>115</v>
      </c>
      <c r="I39" s="187">
        <v>46357</v>
      </c>
      <c r="J39" s="188">
        <v>46174</v>
      </c>
      <c r="K39" s="187">
        <v>46388</v>
      </c>
    </row>
    <row r="40" spans="1:11" ht="31.5" x14ac:dyDescent="0.25">
      <c r="A40" s="183">
        <v>39</v>
      </c>
      <c r="B40" s="181" t="s">
        <v>453</v>
      </c>
      <c r="C40" s="185" t="s">
        <v>142</v>
      </c>
      <c r="D40" s="185" t="s">
        <v>101</v>
      </c>
      <c r="E40" s="186">
        <v>45334</v>
      </c>
      <c r="F40" s="185" t="s">
        <v>184</v>
      </c>
      <c r="G40" s="185" t="s">
        <v>109</v>
      </c>
      <c r="H40" s="185" t="s">
        <v>109</v>
      </c>
      <c r="I40" s="187">
        <v>46296</v>
      </c>
      <c r="J40" s="185" t="s">
        <v>112</v>
      </c>
      <c r="K40" s="187">
        <v>46388</v>
      </c>
    </row>
    <row r="41" spans="1:11" ht="31.5" x14ac:dyDescent="0.25">
      <c r="A41" s="183">
        <v>40</v>
      </c>
      <c r="B41" s="181" t="s">
        <v>450</v>
      </c>
      <c r="C41" s="185" t="s">
        <v>142</v>
      </c>
      <c r="D41" s="185" t="s">
        <v>122</v>
      </c>
      <c r="E41" s="186">
        <v>45314</v>
      </c>
      <c r="F41" s="185" t="s">
        <v>184</v>
      </c>
      <c r="G41" s="185" t="s">
        <v>171</v>
      </c>
      <c r="H41" s="185" t="s">
        <v>115</v>
      </c>
      <c r="I41" s="187">
        <v>46357</v>
      </c>
      <c r="J41" s="188">
        <v>46174</v>
      </c>
      <c r="K41" s="187">
        <v>46388</v>
      </c>
    </row>
    <row r="42" spans="1:11" ht="31.5" x14ac:dyDescent="0.25">
      <c r="A42" s="183">
        <v>41</v>
      </c>
      <c r="B42" s="181" t="s">
        <v>408</v>
      </c>
      <c r="C42" s="185" t="s">
        <v>142</v>
      </c>
      <c r="D42" s="185" t="s">
        <v>122</v>
      </c>
      <c r="E42" s="186">
        <v>45461</v>
      </c>
      <c r="F42" s="185" t="s">
        <v>184</v>
      </c>
      <c r="G42" s="185" t="s">
        <v>171</v>
      </c>
      <c r="H42" s="185" t="s">
        <v>115</v>
      </c>
      <c r="I42" s="187">
        <v>46357</v>
      </c>
      <c r="J42" s="188">
        <v>46174</v>
      </c>
      <c r="K42" s="187">
        <v>46388</v>
      </c>
    </row>
    <row r="43" spans="1:11" ht="31.5" x14ac:dyDescent="0.25">
      <c r="A43" s="183">
        <v>42</v>
      </c>
      <c r="B43" s="181" t="s">
        <v>446</v>
      </c>
      <c r="C43" s="185" t="s">
        <v>100</v>
      </c>
      <c r="D43" s="185" t="s">
        <v>122</v>
      </c>
      <c r="E43" s="186">
        <v>45273</v>
      </c>
      <c r="F43" s="185" t="s">
        <v>184</v>
      </c>
      <c r="G43" s="185" t="s">
        <v>171</v>
      </c>
      <c r="H43" s="185" t="s">
        <v>115</v>
      </c>
      <c r="I43" s="187">
        <v>46357</v>
      </c>
      <c r="J43" s="188">
        <v>46174</v>
      </c>
      <c r="K43" s="187">
        <v>46388</v>
      </c>
    </row>
    <row r="44" spans="1:11" ht="31.5" x14ac:dyDescent="0.25">
      <c r="A44" s="183">
        <v>43</v>
      </c>
      <c r="B44" s="181" t="s">
        <v>457</v>
      </c>
      <c r="C44" s="185" t="s">
        <v>142</v>
      </c>
      <c r="D44" s="185" t="s">
        <v>122</v>
      </c>
      <c r="E44" s="186">
        <v>45456</v>
      </c>
      <c r="F44" s="185" t="s">
        <v>184</v>
      </c>
      <c r="G44" s="185" t="s">
        <v>171</v>
      </c>
      <c r="H44" s="185" t="s">
        <v>115</v>
      </c>
      <c r="I44" s="187">
        <v>46357</v>
      </c>
      <c r="J44" s="188">
        <v>46174</v>
      </c>
      <c r="K44" s="187">
        <v>46388</v>
      </c>
    </row>
    <row r="45" spans="1:11" ht="31.5" x14ac:dyDescent="0.25">
      <c r="A45" s="183">
        <v>44</v>
      </c>
      <c r="B45" s="181" t="s">
        <v>415</v>
      </c>
      <c r="C45" s="185" t="s">
        <v>142</v>
      </c>
      <c r="D45" s="185" t="s">
        <v>101</v>
      </c>
      <c r="E45" s="186">
        <v>45462</v>
      </c>
      <c r="F45" s="185" t="s">
        <v>184</v>
      </c>
      <c r="G45" s="185" t="s">
        <v>171</v>
      </c>
      <c r="H45" s="185" t="s">
        <v>184</v>
      </c>
      <c r="I45" s="187">
        <v>46327</v>
      </c>
      <c r="J45" s="188">
        <v>46235</v>
      </c>
      <c r="K45" s="187">
        <v>46388</v>
      </c>
    </row>
    <row r="46" spans="1:11" ht="31.5" x14ac:dyDescent="0.25">
      <c r="A46" s="183">
        <v>45</v>
      </c>
      <c r="B46" s="181" t="s">
        <v>442</v>
      </c>
      <c r="C46" s="185" t="s">
        <v>101</v>
      </c>
      <c r="D46" s="185" t="s">
        <v>122</v>
      </c>
      <c r="E46" s="186">
        <v>45253</v>
      </c>
      <c r="F46" s="185" t="s">
        <v>184</v>
      </c>
      <c r="G46" s="185" t="s">
        <v>171</v>
      </c>
      <c r="H46" s="185" t="s">
        <v>115</v>
      </c>
      <c r="I46" s="187">
        <v>46388</v>
      </c>
      <c r="J46" s="188">
        <v>46174</v>
      </c>
      <c r="K46" s="187">
        <v>46419</v>
      </c>
    </row>
    <row r="47" spans="1:11" ht="31.5" x14ac:dyDescent="0.25">
      <c r="A47" s="183">
        <v>46</v>
      </c>
      <c r="B47" s="181" t="s">
        <v>461</v>
      </c>
      <c r="C47" s="185" t="s">
        <v>142</v>
      </c>
      <c r="D47" s="185" t="s">
        <v>101</v>
      </c>
      <c r="E47" s="186">
        <v>45868</v>
      </c>
      <c r="F47" s="185" t="s">
        <v>184</v>
      </c>
      <c r="G47" s="185" t="s">
        <v>171</v>
      </c>
      <c r="H47" s="185" t="s">
        <v>184</v>
      </c>
      <c r="I47" s="187">
        <v>46388</v>
      </c>
      <c r="J47" s="188">
        <v>46235</v>
      </c>
      <c r="K47" s="187">
        <v>46419</v>
      </c>
    </row>
    <row r="48" spans="1:11" ht="15.75" x14ac:dyDescent="0.25">
      <c r="A48" s="183">
        <v>47</v>
      </c>
      <c r="B48" s="181" t="s">
        <v>469</v>
      </c>
      <c r="C48" s="185" t="s">
        <v>142</v>
      </c>
      <c r="D48" s="185" t="s">
        <v>101</v>
      </c>
      <c r="E48" s="186">
        <v>45461</v>
      </c>
      <c r="F48" s="185" t="s">
        <v>184</v>
      </c>
      <c r="G48" s="185" t="s">
        <v>171</v>
      </c>
      <c r="H48" s="185" t="s">
        <v>184</v>
      </c>
      <c r="I48" s="187">
        <v>46419</v>
      </c>
      <c r="J48" s="188">
        <v>46235</v>
      </c>
      <c r="K48" s="187">
        <v>46447</v>
      </c>
    </row>
    <row r="49" spans="1:11" ht="31.5" x14ac:dyDescent="0.25">
      <c r="A49" s="183">
        <v>48</v>
      </c>
      <c r="B49" s="181" t="s">
        <v>481</v>
      </c>
      <c r="C49" s="185" t="s">
        <v>142</v>
      </c>
      <c r="D49" s="185" t="s">
        <v>101</v>
      </c>
      <c r="E49" s="186">
        <v>45997</v>
      </c>
      <c r="F49" s="185" t="s">
        <v>184</v>
      </c>
      <c r="G49" s="185" t="s">
        <v>171</v>
      </c>
      <c r="H49" s="185" t="s">
        <v>184</v>
      </c>
      <c r="I49" s="187">
        <v>46419</v>
      </c>
      <c r="J49" s="188">
        <v>46235</v>
      </c>
      <c r="K49" s="187">
        <v>46447</v>
      </c>
    </row>
    <row r="50" spans="1:11" ht="31.5" x14ac:dyDescent="0.25">
      <c r="A50" s="183">
        <v>49</v>
      </c>
      <c r="B50" s="181" t="s">
        <v>473</v>
      </c>
      <c r="C50" s="185" t="s">
        <v>100</v>
      </c>
      <c r="D50" s="185" t="s">
        <v>122</v>
      </c>
      <c r="E50" s="186">
        <v>45776</v>
      </c>
      <c r="F50" s="185" t="s">
        <v>184</v>
      </c>
      <c r="G50" s="185" t="s">
        <v>171</v>
      </c>
      <c r="H50" s="185" t="s">
        <v>115</v>
      </c>
      <c r="I50" s="187">
        <v>46419</v>
      </c>
      <c r="J50" s="188">
        <v>46174</v>
      </c>
      <c r="K50" s="187">
        <v>46447</v>
      </c>
    </row>
    <row r="51" spans="1:11" x14ac:dyDescent="0.25">
      <c r="A51" s="183">
        <v>50</v>
      </c>
      <c r="B51" s="190" t="s">
        <v>485</v>
      </c>
      <c r="C51" s="185" t="s">
        <v>169</v>
      </c>
      <c r="D51" s="185" t="s">
        <v>122</v>
      </c>
      <c r="E51" s="186">
        <v>46071</v>
      </c>
      <c r="F51" s="185" t="s">
        <v>184</v>
      </c>
      <c r="G51" s="185" t="s">
        <v>171</v>
      </c>
      <c r="H51" s="185" t="s">
        <v>115</v>
      </c>
      <c r="I51" s="187">
        <v>46419</v>
      </c>
      <c r="J51" s="188">
        <v>46174</v>
      </c>
      <c r="K51" s="187">
        <v>46447</v>
      </c>
    </row>
  </sheetData>
  <autoFilter ref="A1:K51" xr:uid="{5879163F-86D4-43C0-996E-43E0038A10B2}"/>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7766A-37D4-4B4B-AC7E-85E4EF3C3002}">
  <dimension ref="A1:G7"/>
  <sheetViews>
    <sheetView workbookViewId="0">
      <selection activeCell="B2" sqref="B2:B6"/>
    </sheetView>
  </sheetViews>
  <sheetFormatPr defaultRowHeight="15" x14ac:dyDescent="0.25"/>
  <cols>
    <col min="1" max="1" width="5.5703125" customWidth="1"/>
    <col min="2" max="2" width="49.5703125" customWidth="1"/>
    <col min="3" max="3" width="22.28515625" customWidth="1"/>
    <col min="7" max="7" width="34" style="82" customWidth="1"/>
  </cols>
  <sheetData>
    <row r="1" spans="1:7" ht="28.5" x14ac:dyDescent="0.25">
      <c r="A1" s="83" t="s">
        <v>6</v>
      </c>
      <c r="B1" s="83" t="s">
        <v>1503</v>
      </c>
      <c r="C1" s="83" t="s">
        <v>9</v>
      </c>
      <c r="D1" s="83" t="s">
        <v>12</v>
      </c>
      <c r="E1" s="83" t="s">
        <v>13</v>
      </c>
      <c r="F1" s="83" t="s">
        <v>14</v>
      </c>
      <c r="G1" s="84" t="s">
        <v>1504</v>
      </c>
    </row>
    <row r="2" spans="1:7" ht="28.5" x14ac:dyDescent="0.25">
      <c r="A2" s="77">
        <v>1</v>
      </c>
      <c r="B2" s="79" t="s">
        <v>1505</v>
      </c>
      <c r="C2" s="79" t="s">
        <v>220</v>
      </c>
      <c r="D2" s="77" t="s">
        <v>142</v>
      </c>
      <c r="E2" s="77" t="s">
        <v>101</v>
      </c>
      <c r="F2" s="77" t="s">
        <v>143</v>
      </c>
      <c r="G2" s="81" t="e">
        <f>VLOOKUP(B2,'LOI and Commissioning Master Sh'!B:AR,43,0)</f>
        <v>#N/A</v>
      </c>
    </row>
    <row r="3" spans="1:7" ht="28.5" x14ac:dyDescent="0.25">
      <c r="A3" s="77">
        <v>2</v>
      </c>
      <c r="B3" s="79" t="s">
        <v>1506</v>
      </c>
      <c r="C3" s="79" t="s">
        <v>220</v>
      </c>
      <c r="D3" s="77" t="s">
        <v>142</v>
      </c>
      <c r="E3" s="77" t="s">
        <v>101</v>
      </c>
      <c r="F3" s="77" t="s">
        <v>143</v>
      </c>
      <c r="G3" s="81" t="e">
        <f>VLOOKUP(B3,'LOI and Commissioning Master Sh'!B:AR,43,0)</f>
        <v>#N/A</v>
      </c>
    </row>
    <row r="4" spans="1:7" ht="28.5" x14ac:dyDescent="0.25">
      <c r="A4" s="77">
        <v>3</v>
      </c>
      <c r="B4" s="79" t="s">
        <v>1507</v>
      </c>
      <c r="C4" s="79" t="s">
        <v>383</v>
      </c>
      <c r="D4" s="77" t="s">
        <v>101</v>
      </c>
      <c r="E4" s="77" t="s">
        <v>122</v>
      </c>
      <c r="F4" s="77" t="s">
        <v>143</v>
      </c>
      <c r="G4" s="81" t="e">
        <f>VLOOKUP(B4,'LOI and Commissioning Master Sh'!B:AR,43,0)</f>
        <v>#N/A</v>
      </c>
    </row>
    <row r="5" spans="1:7" x14ac:dyDescent="0.25">
      <c r="A5" s="77">
        <v>4</v>
      </c>
      <c r="B5" s="79" t="s">
        <v>1508</v>
      </c>
      <c r="C5" s="79" t="s">
        <v>383</v>
      </c>
      <c r="D5" s="77" t="s">
        <v>101</v>
      </c>
      <c r="E5" s="77" t="s">
        <v>101</v>
      </c>
      <c r="F5" s="77" t="s">
        <v>143</v>
      </c>
      <c r="G5" s="81" t="e">
        <f>VLOOKUP(B5,'LOI and Commissioning Master Sh'!B:AR,43,0)</f>
        <v>#N/A</v>
      </c>
    </row>
    <row r="6" spans="1:7" x14ac:dyDescent="0.25">
      <c r="A6" s="77">
        <v>5</v>
      </c>
      <c r="B6" s="79" t="s">
        <v>1509</v>
      </c>
      <c r="C6" s="79" t="s">
        <v>383</v>
      </c>
      <c r="D6" s="77" t="s">
        <v>101</v>
      </c>
      <c r="E6" s="77" t="s">
        <v>101</v>
      </c>
      <c r="F6" s="77" t="s">
        <v>143</v>
      </c>
      <c r="G6" s="81" t="e">
        <f>VLOOKUP(B6,'LOI and Commissioning Master Sh'!B:AR,43,0)</f>
        <v>#N/A</v>
      </c>
    </row>
    <row r="7" spans="1:7" x14ac:dyDescent="0.25">
      <c r="A7" s="80"/>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96CE7-5A7D-450A-B255-67A86D7CE116}">
  <dimension ref="A1:I49"/>
  <sheetViews>
    <sheetView topLeftCell="A8" workbookViewId="0">
      <selection activeCell="D14" sqref="D14:D23"/>
    </sheetView>
  </sheetViews>
  <sheetFormatPr defaultRowHeight="15" x14ac:dyDescent="0.25"/>
  <cols>
    <col min="2" max="2" width="50.85546875" customWidth="1"/>
    <col min="3" max="3" width="10.28515625" style="10" bestFit="1" customWidth="1"/>
    <col min="4" max="4" width="10.28515625" style="94" bestFit="1" customWidth="1"/>
    <col min="5" max="6" width="9.140625" style="94"/>
    <col min="7" max="7" width="11.28515625" style="94" customWidth="1"/>
    <col min="8" max="8" width="11.140625" style="94" customWidth="1"/>
    <col min="9" max="9" width="23.140625" style="94" bestFit="1" customWidth="1"/>
  </cols>
  <sheetData>
    <row r="1" spans="1:9" s="1" customFormat="1" ht="69.75" thickBot="1" x14ac:dyDescent="0.3">
      <c r="A1" s="95" t="s">
        <v>1493</v>
      </c>
      <c r="B1" s="95" t="s">
        <v>7</v>
      </c>
      <c r="C1" s="95" t="s">
        <v>1495</v>
      </c>
      <c r="D1" s="96" t="s">
        <v>1496</v>
      </c>
      <c r="E1" s="96" t="s">
        <v>1497</v>
      </c>
      <c r="F1" s="96" t="s">
        <v>1498</v>
      </c>
      <c r="G1" s="96" t="s">
        <v>1510</v>
      </c>
      <c r="H1" s="96" t="s">
        <v>1500</v>
      </c>
      <c r="I1" s="96" t="s">
        <v>1501</v>
      </c>
    </row>
    <row r="2" spans="1:9" ht="30.75" thickBot="1" x14ac:dyDescent="0.3">
      <c r="A2" s="101">
        <v>1</v>
      </c>
      <c r="B2" s="102" t="s">
        <v>1511</v>
      </c>
      <c r="C2" s="99" t="e">
        <f>VLOOKUP(B2,'LOI and Commissioning Master Sh'!B:M,12,0)</f>
        <v>#N/A</v>
      </c>
      <c r="D2" s="100" t="e">
        <f>VLOOKUP(B2,'LOI and Commissioning Master Sh'!B:AC,28,0)</f>
        <v>#N/A</v>
      </c>
      <c r="E2" s="100" t="e">
        <f>VLOOKUP(B2,'LOI and Commissioning Master Sh'!B:Y,24,0)</f>
        <v>#N/A</v>
      </c>
      <c r="F2" s="100" t="s">
        <v>109</v>
      </c>
      <c r="G2" s="100" t="e">
        <f>VLOOKUP(B2,'LOI and Commissioning Master Sh'!B:AD,29,0)</f>
        <v>#N/A</v>
      </c>
      <c r="H2" s="100" t="e">
        <f>+IF(E2="Yes","NA",E2)</f>
        <v>#N/A</v>
      </c>
      <c r="I2" s="100" t="s">
        <v>1512</v>
      </c>
    </row>
    <row r="3" spans="1:9" ht="15.75" thickBot="1" x14ac:dyDescent="0.3">
      <c r="A3" s="101">
        <v>2</v>
      </c>
      <c r="B3" s="102" t="s">
        <v>1509</v>
      </c>
      <c r="C3" s="99" t="e">
        <f>VLOOKUP(B3,'LOI and Commissioning Master Sh'!B:M,12,0)</f>
        <v>#N/A</v>
      </c>
      <c r="D3" s="100" t="e">
        <f>VLOOKUP(B3,'LOI and Commissioning Master Sh'!B:AC,28,0)</f>
        <v>#N/A</v>
      </c>
      <c r="E3" s="100" t="e">
        <f>VLOOKUP(B3,'LOI and Commissioning Master Sh'!B:Y,24,0)</f>
        <v>#N/A</v>
      </c>
      <c r="F3" s="100" t="s">
        <v>109</v>
      </c>
      <c r="G3" s="100" t="e">
        <f>VLOOKUP(B3,'LOI and Commissioning Master Sh'!B:AD,29,0)</f>
        <v>#N/A</v>
      </c>
      <c r="H3" s="100" t="e">
        <f t="shared" ref="H3:H9" si="0">+IF(E3="Yes","NA",E3)</f>
        <v>#N/A</v>
      </c>
      <c r="I3" s="100" t="e">
        <f>VLOOKUP(B3,'Planned 50 Sites'!#REF!,8,0)</f>
        <v>#REF!</v>
      </c>
    </row>
    <row r="4" spans="1:9" ht="15.75" thickBot="1" x14ac:dyDescent="0.3">
      <c r="A4" s="101">
        <v>3</v>
      </c>
      <c r="B4" s="102" t="s">
        <v>1508</v>
      </c>
      <c r="C4" s="99" t="e">
        <f>VLOOKUP(B4,'LOI and Commissioning Master Sh'!B:M,12,0)</f>
        <v>#N/A</v>
      </c>
      <c r="D4" s="100" t="e">
        <f>VLOOKUP(B4,'LOI and Commissioning Master Sh'!B:AC,28,0)</f>
        <v>#N/A</v>
      </c>
      <c r="E4" s="100" t="e">
        <f>VLOOKUP(B4,'LOI and Commissioning Master Sh'!B:Y,24,0)</f>
        <v>#N/A</v>
      </c>
      <c r="F4" s="100" t="s">
        <v>109</v>
      </c>
      <c r="G4" s="100" t="e">
        <f>VLOOKUP(B4,'LOI and Commissioning Master Sh'!B:AD,29,0)</f>
        <v>#N/A</v>
      </c>
      <c r="H4" s="100" t="e">
        <f t="shared" si="0"/>
        <v>#N/A</v>
      </c>
      <c r="I4" s="100" t="s">
        <v>1512</v>
      </c>
    </row>
    <row r="5" spans="1:9" ht="30.75" thickBot="1" x14ac:dyDescent="0.3">
      <c r="A5" s="101">
        <v>4</v>
      </c>
      <c r="B5" s="102" t="s">
        <v>381</v>
      </c>
      <c r="C5" s="99">
        <f>VLOOKUP(B5,'LOI and Commissioning Master Sh'!B:M,12,0)</f>
        <v>45632</v>
      </c>
      <c r="D5" s="100">
        <f>VLOOKUP(B5,'LOI and Commissioning Master Sh'!B:AC,28,0)</f>
        <v>0</v>
      </c>
      <c r="E5" s="100" t="str">
        <f>VLOOKUP(B5,'LOI and Commissioning Master Sh'!B:Y,24,0)</f>
        <v>Yes</v>
      </c>
      <c r="F5" s="100" t="s">
        <v>109</v>
      </c>
      <c r="G5" s="100">
        <f>VLOOKUP(B5,'LOI and Commissioning Master Sh'!B:AD,29,0)</f>
        <v>46266</v>
      </c>
      <c r="H5" s="100" t="str">
        <f t="shared" si="0"/>
        <v>NA</v>
      </c>
      <c r="I5" s="100" t="e">
        <f>VLOOKUP(B5,'Planned 50 Sites'!#REF!,8,0)</f>
        <v>#REF!</v>
      </c>
    </row>
    <row r="6" spans="1:9" ht="30.75" thickBot="1" x14ac:dyDescent="0.3">
      <c r="A6" s="101">
        <v>5</v>
      </c>
      <c r="B6" s="102" t="s">
        <v>1507</v>
      </c>
      <c r="C6" s="99" t="e">
        <f>VLOOKUP(B6,'LOI and Commissioning Master Sh'!B:M,12,0)</f>
        <v>#N/A</v>
      </c>
      <c r="D6" s="100" t="e">
        <f>VLOOKUP(B6,'LOI and Commissioning Master Sh'!B:AC,28,0)</f>
        <v>#N/A</v>
      </c>
      <c r="E6" s="100" t="e">
        <f>VLOOKUP(B6,'LOI and Commissioning Master Sh'!B:Y,24,0)</f>
        <v>#N/A</v>
      </c>
      <c r="F6" s="100" t="s">
        <v>111</v>
      </c>
      <c r="G6" s="100" t="e">
        <f>VLOOKUP(B6,'LOI and Commissioning Master Sh'!B:AD,29,0)</f>
        <v>#N/A</v>
      </c>
      <c r="H6" s="100" t="e">
        <f t="shared" si="0"/>
        <v>#N/A</v>
      </c>
      <c r="I6" s="100" t="e">
        <f>VLOOKUP(B6,'Planned 50 Sites'!#REF!,8,0)</f>
        <v>#REF!</v>
      </c>
    </row>
    <row r="7" spans="1:9" ht="15.75" thickBot="1" x14ac:dyDescent="0.3">
      <c r="A7" s="101">
        <v>6</v>
      </c>
      <c r="B7" s="102" t="s">
        <v>148</v>
      </c>
      <c r="C7" s="99">
        <f>VLOOKUP(B7,'LOI and Commissioning Master Sh'!B:M,12,0)</f>
        <v>45322</v>
      </c>
      <c r="D7" s="100" t="str">
        <f>VLOOKUP(B7,'LOI and Commissioning Master Sh'!B:AC,28,0)</f>
        <v>Yes</v>
      </c>
      <c r="E7" s="100" t="str">
        <f>VLOOKUP(B7,'LOI and Commissioning Master Sh'!B:Y,24,0)</f>
        <v>Yes</v>
      </c>
      <c r="F7" s="100" t="s">
        <v>109</v>
      </c>
      <c r="G7" s="100">
        <f>VLOOKUP(B7,'LOI and Commissioning Master Sh'!B:AD,29,0)</f>
        <v>46113</v>
      </c>
      <c r="H7" s="100" t="str">
        <f t="shared" si="0"/>
        <v>NA</v>
      </c>
      <c r="I7" s="100" t="e">
        <f>VLOOKUP(B7,'Planned 50 Sites'!#REF!,8,0)</f>
        <v>#REF!</v>
      </c>
    </row>
    <row r="8" spans="1:9" ht="30.75" thickBot="1" x14ac:dyDescent="0.3">
      <c r="A8" s="101">
        <v>7</v>
      </c>
      <c r="B8" s="102" t="s">
        <v>245</v>
      </c>
      <c r="C8" s="99">
        <f>VLOOKUP(B8,'LOI and Commissioning Master Sh'!B:M,12,0)</f>
        <v>45462</v>
      </c>
      <c r="D8" s="100">
        <f>VLOOKUP(B8,'LOI and Commissioning Master Sh'!B:AC,28,0)</f>
        <v>0</v>
      </c>
      <c r="E8" s="100" t="str">
        <f>VLOOKUP(B8,'LOI and Commissioning Master Sh'!B:Y,24,0)</f>
        <v>Yes</v>
      </c>
      <c r="F8" s="100" t="s">
        <v>111</v>
      </c>
      <c r="G8" s="100">
        <f>VLOOKUP(B8,'LOI and Commissioning Master Sh'!B:AD,29,0)</f>
        <v>46204</v>
      </c>
      <c r="H8" s="100" t="str">
        <f t="shared" si="0"/>
        <v>NA</v>
      </c>
      <c r="I8" s="100" t="e">
        <f>VLOOKUP(B8,'Planned 50 Sites'!#REF!,8,0)</f>
        <v>#REF!</v>
      </c>
    </row>
    <row r="9" spans="1:9" ht="30.75" thickBot="1" x14ac:dyDescent="0.3">
      <c r="A9" s="101">
        <v>8</v>
      </c>
      <c r="B9" s="102" t="s">
        <v>375</v>
      </c>
      <c r="C9" s="99">
        <f>VLOOKUP(B9,'LOI and Commissioning Master Sh'!B:M,12,0)</f>
        <v>45580</v>
      </c>
      <c r="D9" s="100">
        <f>VLOOKUP(B9,'LOI and Commissioning Master Sh'!B:AC,28,0)</f>
        <v>0</v>
      </c>
      <c r="E9" s="100">
        <f>VLOOKUP(B9,'LOI and Commissioning Master Sh'!B:Y,24,0)</f>
        <v>46267</v>
      </c>
      <c r="F9" s="100" t="s">
        <v>171</v>
      </c>
      <c r="G9" s="100">
        <f>VLOOKUP(B9,'LOI and Commissioning Master Sh'!B:AD,29,0)</f>
        <v>46266</v>
      </c>
      <c r="H9" s="100">
        <f t="shared" si="0"/>
        <v>46267</v>
      </c>
      <c r="I9" s="100" t="e">
        <f>VLOOKUP(B9,'Planned 50 Sites'!#REF!,8,0)</f>
        <v>#REF!</v>
      </c>
    </row>
    <row r="12" spans="1:9" ht="15.75" thickBot="1" x14ac:dyDescent="0.3">
      <c r="A12" t="s">
        <v>1513</v>
      </c>
    </row>
    <row r="13" spans="1:9" ht="69.75" thickBot="1" x14ac:dyDescent="0.3">
      <c r="A13" s="95" t="s">
        <v>1493</v>
      </c>
      <c r="B13" s="95" t="s">
        <v>7</v>
      </c>
      <c r="C13" s="95" t="s">
        <v>1495</v>
      </c>
      <c r="D13" s="96" t="s">
        <v>1496</v>
      </c>
      <c r="E13" s="96" t="s">
        <v>1497</v>
      </c>
      <c r="F13" s="96" t="s">
        <v>1498</v>
      </c>
      <c r="G13" s="96" t="s">
        <v>1510</v>
      </c>
      <c r="H13" s="96" t="s">
        <v>1500</v>
      </c>
      <c r="I13" s="96" t="s">
        <v>1501</v>
      </c>
    </row>
    <row r="14" spans="1:9" ht="29.25" thickBot="1" x14ac:dyDescent="0.3">
      <c r="A14" s="97">
        <v>1</v>
      </c>
      <c r="B14" s="98" t="s">
        <v>1514</v>
      </c>
      <c r="C14" s="99" t="e">
        <f>VLOOKUP(B14,'LOI and Commissioning Master Sh'!B:M,12,0)</f>
        <v>#N/A</v>
      </c>
      <c r="D14" s="100" t="e">
        <f>VLOOKUP(B14,'LOI and Commissioning Master Sh'!B:AC,28,0)</f>
        <v>#N/A</v>
      </c>
      <c r="E14" s="100" t="e">
        <f>VLOOKUP(B14,'LOI and Commissioning Master Sh'!B:Y,24,0)</f>
        <v>#N/A</v>
      </c>
      <c r="F14" s="100" t="s">
        <v>171</v>
      </c>
      <c r="G14" s="100" t="e">
        <f>VLOOKUP(B14,'LOI and Commissioning Master Sh'!B:AD,29,0)</f>
        <v>#N/A</v>
      </c>
      <c r="H14" s="100" t="e">
        <f t="shared" ref="H14:H23" si="1">+IF(E14="Yes","NA",E14)</f>
        <v>#N/A</v>
      </c>
      <c r="I14" s="100" t="e">
        <f>VLOOKUP(B14,'Planned 50 Sites'!#REF!,8,0)</f>
        <v>#REF!</v>
      </c>
    </row>
    <row r="15" spans="1:9" ht="29.25" thickBot="1" x14ac:dyDescent="0.3">
      <c r="A15" s="97">
        <v>2</v>
      </c>
      <c r="B15" s="98" t="s">
        <v>1515</v>
      </c>
      <c r="C15" s="99" t="e">
        <f>VLOOKUP(B15,'LOI and Commissioning Master Sh'!B:M,12,0)</f>
        <v>#N/A</v>
      </c>
      <c r="D15" s="100" t="e">
        <f>VLOOKUP(B15,'LOI and Commissioning Master Sh'!B:AC,28,0)</f>
        <v>#N/A</v>
      </c>
      <c r="E15" s="100" t="e">
        <f>VLOOKUP(B15,'LOI and Commissioning Master Sh'!B:Y,24,0)</f>
        <v>#N/A</v>
      </c>
      <c r="F15" s="100" t="s">
        <v>171</v>
      </c>
      <c r="G15" s="100" t="e">
        <f>VLOOKUP(B15,'LOI and Commissioning Master Sh'!B:AD,29,0)</f>
        <v>#N/A</v>
      </c>
      <c r="H15" s="100" t="e">
        <f t="shared" si="1"/>
        <v>#N/A</v>
      </c>
      <c r="I15" s="100" t="e">
        <f>VLOOKUP(B15,'Planned 50 Sites'!#REF!,8,0)</f>
        <v>#REF!</v>
      </c>
    </row>
    <row r="16" spans="1:9" ht="29.25" thickBot="1" x14ac:dyDescent="0.3">
      <c r="A16" s="97">
        <v>3</v>
      </c>
      <c r="B16" s="98" t="s">
        <v>1516</v>
      </c>
      <c r="C16" s="99" t="e">
        <f>VLOOKUP(B16,'LOI and Commissioning Master Sh'!B:M,12,0)</f>
        <v>#N/A</v>
      </c>
      <c r="D16" s="100" t="e">
        <f>VLOOKUP(B16,'LOI and Commissioning Master Sh'!B:AC,28,0)</f>
        <v>#N/A</v>
      </c>
      <c r="E16" s="100" t="e">
        <f>VLOOKUP(B16,'LOI and Commissioning Master Sh'!B:Y,24,0)</f>
        <v>#N/A</v>
      </c>
      <c r="F16" s="100" t="s">
        <v>171</v>
      </c>
      <c r="G16" s="100" t="e">
        <f>VLOOKUP(B16,'LOI and Commissioning Master Sh'!B:AD,29,0)</f>
        <v>#N/A</v>
      </c>
      <c r="H16" s="100" t="e">
        <f t="shared" si="1"/>
        <v>#N/A</v>
      </c>
      <c r="I16" s="100" t="e">
        <f>VLOOKUP(B16,'Planned 50 Sites'!#REF!,8,0)</f>
        <v>#REF!</v>
      </c>
    </row>
    <row r="17" spans="1:9" ht="29.25" thickBot="1" x14ac:dyDescent="0.3">
      <c r="A17" s="97">
        <v>4</v>
      </c>
      <c r="B17" s="98" t="s">
        <v>1517</v>
      </c>
      <c r="C17" s="99" t="e">
        <f>VLOOKUP(B17,'LOI and Commissioning Master Sh'!B:M,12,0)</f>
        <v>#N/A</v>
      </c>
      <c r="D17" s="100" t="e">
        <f>VLOOKUP(B17,'LOI and Commissioning Master Sh'!B:AC,28,0)</f>
        <v>#N/A</v>
      </c>
      <c r="E17" s="100" t="e">
        <f>VLOOKUP(B17,'LOI and Commissioning Master Sh'!B:Y,24,0)</f>
        <v>#N/A</v>
      </c>
      <c r="F17" s="100" t="s">
        <v>171</v>
      </c>
      <c r="G17" s="100" t="e">
        <f>VLOOKUP(B17,'LOI and Commissioning Master Sh'!B:AD,29,0)</f>
        <v>#N/A</v>
      </c>
      <c r="H17" s="100" t="e">
        <f t="shared" si="1"/>
        <v>#N/A</v>
      </c>
      <c r="I17" s="100" t="e">
        <f>VLOOKUP(B17,'Planned 50 Sites'!#REF!,8,0)</f>
        <v>#REF!</v>
      </c>
    </row>
    <row r="18" spans="1:9" ht="29.25" thickBot="1" x14ac:dyDescent="0.3">
      <c r="A18" s="97">
        <v>5</v>
      </c>
      <c r="B18" s="98" t="s">
        <v>1518</v>
      </c>
      <c r="C18" s="99" t="e">
        <f>VLOOKUP(B18,'LOI and Commissioning Master Sh'!B:M,12,0)</f>
        <v>#N/A</v>
      </c>
      <c r="D18" s="100" t="e">
        <f>VLOOKUP(B18,'LOI and Commissioning Master Sh'!B:AC,28,0)</f>
        <v>#N/A</v>
      </c>
      <c r="E18" s="100" t="e">
        <f>VLOOKUP(B18,'LOI and Commissioning Master Sh'!B:Y,24,0)</f>
        <v>#N/A</v>
      </c>
      <c r="F18" s="100" t="s">
        <v>171</v>
      </c>
      <c r="G18" s="100" t="e">
        <f>VLOOKUP(B18,'LOI and Commissioning Master Sh'!B:AD,29,0)</f>
        <v>#N/A</v>
      </c>
      <c r="H18" s="100" t="e">
        <f t="shared" si="1"/>
        <v>#N/A</v>
      </c>
      <c r="I18" s="100" t="e">
        <f>VLOOKUP(B18,'Planned 50 Sites'!#REF!,8,0)</f>
        <v>#REF!</v>
      </c>
    </row>
    <row r="19" spans="1:9" ht="29.25" thickBot="1" x14ac:dyDescent="0.3">
      <c r="A19" s="97">
        <v>6</v>
      </c>
      <c r="B19" s="98" t="s">
        <v>1519</v>
      </c>
      <c r="C19" s="99" t="e">
        <f>VLOOKUP(B19,'LOI and Commissioning Master Sh'!B:M,12,0)</f>
        <v>#N/A</v>
      </c>
      <c r="D19" s="100" t="e">
        <f>VLOOKUP(B19,'LOI and Commissioning Master Sh'!B:AC,28,0)</f>
        <v>#N/A</v>
      </c>
      <c r="E19" s="100" t="e">
        <f>VLOOKUP(B19,'LOI and Commissioning Master Sh'!B:Y,24,0)</f>
        <v>#N/A</v>
      </c>
      <c r="F19" s="100" t="s">
        <v>171</v>
      </c>
      <c r="G19" s="100" t="e">
        <f>VLOOKUP(B19,'LOI and Commissioning Master Sh'!B:AD,29,0)</f>
        <v>#N/A</v>
      </c>
      <c r="H19" s="100" t="e">
        <f t="shared" si="1"/>
        <v>#N/A</v>
      </c>
      <c r="I19" s="100" t="e">
        <f>VLOOKUP(B19,'Planned 50 Sites'!#REF!,8,0)</f>
        <v>#REF!</v>
      </c>
    </row>
    <row r="20" spans="1:9" ht="29.25" thickBot="1" x14ac:dyDescent="0.3">
      <c r="A20" s="97">
        <v>7</v>
      </c>
      <c r="B20" s="98" t="s">
        <v>1520</v>
      </c>
      <c r="C20" s="99" t="e">
        <f>VLOOKUP(B20,'LOI and Commissioning Master Sh'!B:M,12,0)</f>
        <v>#N/A</v>
      </c>
      <c r="D20" s="100" t="e">
        <f>VLOOKUP(B20,'LOI and Commissioning Master Sh'!B:AC,28,0)</f>
        <v>#N/A</v>
      </c>
      <c r="E20" s="100" t="e">
        <f>VLOOKUP(B20,'LOI and Commissioning Master Sh'!B:Y,24,0)</f>
        <v>#N/A</v>
      </c>
      <c r="F20" s="100" t="s">
        <v>171</v>
      </c>
      <c r="G20" s="100" t="e">
        <f>VLOOKUP(B20,'LOI and Commissioning Master Sh'!B:AD,29,0)</f>
        <v>#N/A</v>
      </c>
      <c r="H20" s="100" t="e">
        <f t="shared" si="1"/>
        <v>#N/A</v>
      </c>
      <c r="I20" s="100" t="e">
        <f>VLOOKUP(B20,'Planned 50 Sites'!#REF!,8,0)</f>
        <v>#REF!</v>
      </c>
    </row>
    <row r="21" spans="1:9" ht="29.25" thickBot="1" x14ac:dyDescent="0.3">
      <c r="A21" s="97">
        <v>8</v>
      </c>
      <c r="B21" s="98" t="s">
        <v>1521</v>
      </c>
      <c r="C21" s="99" t="e">
        <f>VLOOKUP(B21,'LOI and Commissioning Master Sh'!B:M,12,0)</f>
        <v>#N/A</v>
      </c>
      <c r="D21" s="100" t="e">
        <f>VLOOKUP(B21,'LOI and Commissioning Master Sh'!B:AC,28,0)</f>
        <v>#N/A</v>
      </c>
      <c r="E21" s="100" t="e">
        <f>VLOOKUP(B21,'LOI and Commissioning Master Sh'!B:Y,24,0)</f>
        <v>#N/A</v>
      </c>
      <c r="F21" s="100" t="s">
        <v>171</v>
      </c>
      <c r="G21" s="100" t="e">
        <f>VLOOKUP(B21,'LOI and Commissioning Master Sh'!B:AD,29,0)</f>
        <v>#N/A</v>
      </c>
      <c r="H21" s="100" t="e">
        <f t="shared" si="1"/>
        <v>#N/A</v>
      </c>
      <c r="I21" s="100" t="e">
        <f>VLOOKUP(B21,'Planned 50 Sites'!#REF!,8,0)</f>
        <v>#REF!</v>
      </c>
    </row>
    <row r="22" spans="1:9" ht="15.75" thickBot="1" x14ac:dyDescent="0.3">
      <c r="A22" s="97">
        <v>9</v>
      </c>
      <c r="B22" s="98" t="s">
        <v>1522</v>
      </c>
      <c r="C22" s="99" t="e">
        <f>VLOOKUP(B22,'LOI and Commissioning Master Sh'!B:M,12,0)</f>
        <v>#N/A</v>
      </c>
      <c r="D22" s="100" t="e">
        <f>VLOOKUP(B22,'LOI and Commissioning Master Sh'!B:AC,28,0)</f>
        <v>#N/A</v>
      </c>
      <c r="E22" s="100" t="e">
        <f>VLOOKUP(B22,'LOI and Commissioning Master Sh'!B:Y,24,0)</f>
        <v>#N/A</v>
      </c>
      <c r="F22" s="100" t="s">
        <v>171</v>
      </c>
      <c r="G22" s="100" t="e">
        <f>VLOOKUP(B22,'LOI and Commissioning Master Sh'!B:AD,29,0)</f>
        <v>#N/A</v>
      </c>
      <c r="H22" s="100" t="e">
        <f t="shared" si="1"/>
        <v>#N/A</v>
      </c>
      <c r="I22" s="100" t="e">
        <f>VLOOKUP(B22,'Planned 50 Sites'!#REF!,8,0)</f>
        <v>#REF!</v>
      </c>
    </row>
    <row r="23" spans="1:9" ht="29.25" thickBot="1" x14ac:dyDescent="0.3">
      <c r="A23" s="97">
        <v>10</v>
      </c>
      <c r="B23" s="98" t="s">
        <v>1523</v>
      </c>
      <c r="C23" s="99" t="e">
        <f>VLOOKUP(B23,'LOI and Commissioning Master Sh'!B:M,12,0)</f>
        <v>#N/A</v>
      </c>
      <c r="D23" s="100" t="e">
        <f>VLOOKUP(B23,'LOI and Commissioning Master Sh'!B:AC,28,0)</f>
        <v>#N/A</v>
      </c>
      <c r="E23" s="100" t="e">
        <f>VLOOKUP(B23,'LOI and Commissioning Master Sh'!B:Y,24,0)</f>
        <v>#N/A</v>
      </c>
      <c r="F23" s="100" t="s">
        <v>171</v>
      </c>
      <c r="G23" s="100" t="e">
        <f>VLOOKUP(B23,'LOI and Commissioning Master Sh'!B:AD,29,0)</f>
        <v>#N/A</v>
      </c>
      <c r="H23" s="100" t="e">
        <f t="shared" si="1"/>
        <v>#N/A</v>
      </c>
      <c r="I23" s="100" t="e">
        <f>VLOOKUP(B23,'Planned 50 Sites'!#REF!,8,0)</f>
        <v>#REF!</v>
      </c>
    </row>
    <row r="25" spans="1:9" ht="15.75" thickBot="1" x14ac:dyDescent="0.3">
      <c r="A25" t="s">
        <v>1524</v>
      </c>
    </row>
    <row r="26" spans="1:9" ht="69" x14ac:dyDescent="0.25">
      <c r="A26" s="90" t="s">
        <v>1493</v>
      </c>
      <c r="B26" s="91" t="s">
        <v>7</v>
      </c>
      <c r="C26" s="91" t="s">
        <v>1495</v>
      </c>
      <c r="D26" s="92" t="s">
        <v>1496</v>
      </c>
      <c r="E26" s="92" t="s">
        <v>1497</v>
      </c>
      <c r="F26" s="92" t="s">
        <v>1498</v>
      </c>
      <c r="G26" s="92" t="s">
        <v>1510</v>
      </c>
      <c r="H26" s="92" t="s">
        <v>1500</v>
      </c>
      <c r="I26" s="93" t="s">
        <v>1501</v>
      </c>
    </row>
    <row r="27" spans="1:9" ht="28.5" x14ac:dyDescent="0.25">
      <c r="B27" s="76" t="s">
        <v>1525</v>
      </c>
    </row>
    <row r="28" spans="1:9" ht="42.75" x14ac:dyDescent="0.25">
      <c r="B28" s="76" t="s">
        <v>1526</v>
      </c>
    </row>
    <row r="29" spans="1:9" ht="28.5" x14ac:dyDescent="0.25">
      <c r="B29" s="76" t="s">
        <v>218</v>
      </c>
    </row>
    <row r="30" spans="1:9" ht="28.5" x14ac:dyDescent="0.25">
      <c r="B30" s="76" t="s">
        <v>1527</v>
      </c>
    </row>
    <row r="31" spans="1:9" ht="28.5" x14ac:dyDescent="0.25">
      <c r="B31" s="76" t="s">
        <v>1506</v>
      </c>
    </row>
    <row r="32" spans="1:9" ht="28.5" x14ac:dyDescent="0.25">
      <c r="B32" s="76" t="s">
        <v>200</v>
      </c>
    </row>
    <row r="33" spans="1:9" ht="28.5" x14ac:dyDescent="0.25">
      <c r="B33" s="76" t="s">
        <v>1528</v>
      </c>
    </row>
    <row r="34" spans="1:9" ht="28.5" x14ac:dyDescent="0.25">
      <c r="B34" s="76" t="s">
        <v>154</v>
      </c>
    </row>
    <row r="35" spans="1:9" ht="28.5" x14ac:dyDescent="0.25">
      <c r="B35" s="76" t="s">
        <v>224</v>
      </c>
    </row>
    <row r="36" spans="1:9" ht="28.5" x14ac:dyDescent="0.25">
      <c r="B36" s="76" t="s">
        <v>1529</v>
      </c>
    </row>
    <row r="38" spans="1:9" ht="15.75" thickBot="1" x14ac:dyDescent="0.3">
      <c r="A38" t="s">
        <v>1530</v>
      </c>
    </row>
    <row r="39" spans="1:9" ht="69" x14ac:dyDescent="0.25">
      <c r="A39" s="90" t="s">
        <v>1493</v>
      </c>
      <c r="B39" s="91" t="s">
        <v>7</v>
      </c>
      <c r="C39" s="91" t="s">
        <v>1495</v>
      </c>
      <c r="D39" s="92" t="s">
        <v>1496</v>
      </c>
      <c r="E39" s="92" t="s">
        <v>1497</v>
      </c>
      <c r="F39" s="92" t="s">
        <v>1498</v>
      </c>
      <c r="G39" s="92" t="s">
        <v>1510</v>
      </c>
      <c r="H39" s="92" t="s">
        <v>1500</v>
      </c>
      <c r="I39" s="93" t="s">
        <v>1501</v>
      </c>
    </row>
    <row r="40" spans="1:9" ht="28.5" x14ac:dyDescent="0.25">
      <c r="B40" s="76" t="s">
        <v>450</v>
      </c>
    </row>
    <row r="41" spans="1:9" ht="28.5" x14ac:dyDescent="0.25">
      <c r="B41" s="76" t="s">
        <v>457</v>
      </c>
    </row>
    <row r="42" spans="1:9" ht="42.75" x14ac:dyDescent="0.25">
      <c r="B42" s="76" t="s">
        <v>1531</v>
      </c>
    </row>
    <row r="43" spans="1:9" ht="28.5" x14ac:dyDescent="0.25">
      <c r="B43" s="76" t="s">
        <v>453</v>
      </c>
    </row>
    <row r="44" spans="1:9" ht="28.5" x14ac:dyDescent="0.25">
      <c r="B44" s="76" t="s">
        <v>1505</v>
      </c>
    </row>
    <row r="45" spans="1:9" ht="28.5" x14ac:dyDescent="0.25">
      <c r="B45" s="76" t="s">
        <v>337</v>
      </c>
    </row>
    <row r="46" spans="1:9" ht="28.5" x14ac:dyDescent="0.25">
      <c r="B46" s="76" t="s">
        <v>1532</v>
      </c>
    </row>
    <row r="47" spans="1:9" ht="28.5" x14ac:dyDescent="0.25">
      <c r="B47" s="76" t="s">
        <v>160</v>
      </c>
    </row>
    <row r="48" spans="1:9" ht="28.5" x14ac:dyDescent="0.25">
      <c r="B48" s="76" t="s">
        <v>1078</v>
      </c>
    </row>
    <row r="49" spans="2:2" ht="28.5" x14ac:dyDescent="0.25">
      <c r="B49" s="76" t="s">
        <v>607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3</vt:i4>
      </vt:variant>
    </vt:vector>
  </HeadingPairs>
  <TitlesOfParts>
    <vt:vector size="11" baseType="lpstr">
      <vt:lpstr>LOI and Commissioning Master Sh</vt:lpstr>
      <vt:lpstr>Summary</vt:lpstr>
      <vt:lpstr>Planned in Nov Dec</vt:lpstr>
      <vt:lpstr>Review PPT update </vt:lpstr>
      <vt:lpstr>OMC Last 10 Years</vt:lpstr>
      <vt:lpstr>Planned 50 Sites</vt:lpstr>
      <vt:lpstr>NOC and Advance Tender Sites</vt:lpstr>
      <vt:lpstr>Sheet1</vt:lpstr>
      <vt:lpstr>'LOI and Commissioning Master Sh'!Print_Area</vt:lpstr>
      <vt:lpstr>Summary!Print_Area</vt:lpstr>
      <vt:lpstr>Summary!Print_Titles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Gupta, Mayank:(NDO) (मयंक गुप्ता)</dc:creator>
  <cp:keywords/>
  <dc:description/>
  <cp:lastModifiedBy>Gupta, Mayank:(NDO) (मयंक गुप्ता)</cp:lastModifiedBy>
  <cp:revision/>
  <dcterms:created xsi:type="dcterms:W3CDTF">2025-04-22T13:41:58Z</dcterms:created>
  <dcterms:modified xsi:type="dcterms:W3CDTF">2026-06-04T04:10:24Z</dcterms:modified>
  <cp:category/>
  <cp:contentStatus/>
</cp:coreProperties>
</file>